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2. ESTRUTURAL/"/>
    </mc:Choice>
  </mc:AlternateContent>
  <xr:revisionPtr revIDLastSave="709" documentId="11_F0CCE639D482B4711C1DA22B133C36FD0BBB939A" xr6:coauthVersionLast="47" xr6:coauthVersionMax="47" xr10:uidLastSave="{5E145BFE-3C8B-424E-BCD7-41356DB3D9AB}"/>
  <bookViews>
    <workbookView xWindow="28680" yWindow="-120" windowWidth="29040" windowHeight="15720" tabRatio="837" activeTab="3" xr2:uid="{00000000-000D-0000-FFFF-FFFF00000000}"/>
  </bookViews>
  <sheets>
    <sheet name="0. Instruções" sheetId="5" r:id="rId1"/>
    <sheet name="1. Status" sheetId="7" r:id="rId2"/>
    <sheet name="2. Script " sheetId="4" r:id="rId3"/>
    <sheet name="3. Resultados" sheetId="8" r:id="rId4"/>
  </sheets>
  <definedNames>
    <definedName name="_xlnm._FilterDatabase" localSheetId="1" hidden="1">'1. Status'!$H$10:$O$10</definedName>
    <definedName name="_xlnm._FilterDatabase" localSheetId="2" hidden="1">'2. Script '!$B$8:$N$38</definedName>
    <definedName name="_xlnm._FilterDatabase" localSheetId="3" hidden="1">'3. Resultados'!$C$8:$L$308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67" i="7" l="1"/>
  <c r="O667" i="7" s="1"/>
  <c r="J666" i="7"/>
  <c r="O666" i="7" s="1"/>
  <c r="J665" i="7"/>
  <c r="J664" i="7"/>
  <c r="O664" i="7" s="1"/>
  <c r="J663" i="7"/>
  <c r="O663" i="7" s="1"/>
  <c r="J662" i="7"/>
  <c r="O662" i="7" s="1"/>
  <c r="J661" i="7"/>
  <c r="O661" i="7" s="1"/>
  <c r="J660" i="7"/>
  <c r="O660" i="7" s="1"/>
  <c r="J659" i="7"/>
  <c r="O659" i="7" s="1"/>
  <c r="J658" i="7"/>
  <c r="O658" i="7" s="1"/>
  <c r="J657" i="7"/>
  <c r="J656" i="7"/>
  <c r="O656" i="7" s="1"/>
  <c r="J655" i="7"/>
  <c r="O655" i="7" s="1"/>
  <c r="J654" i="7"/>
  <c r="O654" i="7" s="1"/>
  <c r="J653" i="7"/>
  <c r="O653" i="7" s="1"/>
  <c r="J652" i="7"/>
  <c r="O652" i="7" s="1"/>
  <c r="J651" i="7"/>
  <c r="O651" i="7" s="1"/>
  <c r="J650" i="7"/>
  <c r="O650" i="7" s="1"/>
  <c r="J649" i="7"/>
  <c r="J648" i="7"/>
  <c r="O648" i="7" s="1"/>
  <c r="J647" i="7"/>
  <c r="O647" i="7" s="1"/>
  <c r="J646" i="7"/>
  <c r="O646" i="7" s="1"/>
  <c r="J645" i="7"/>
  <c r="O645" i="7" s="1"/>
  <c r="J644" i="7"/>
  <c r="O644" i="7" s="1"/>
  <c r="J643" i="7"/>
  <c r="O643" i="7" s="1"/>
  <c r="J642" i="7"/>
  <c r="O642" i="7" s="1"/>
  <c r="J641" i="7"/>
  <c r="J640" i="7"/>
  <c r="O640" i="7" s="1"/>
  <c r="J639" i="7"/>
  <c r="O639" i="7" s="1"/>
  <c r="J638" i="7"/>
  <c r="O638" i="7" s="1"/>
  <c r="J637" i="7"/>
  <c r="O637" i="7" s="1"/>
  <c r="J636" i="7"/>
  <c r="O636" i="7" s="1"/>
  <c r="J635" i="7"/>
  <c r="O635" i="7" s="1"/>
  <c r="J634" i="7"/>
  <c r="O634" i="7" s="1"/>
  <c r="J633" i="7"/>
  <c r="J632" i="7"/>
  <c r="J631" i="7"/>
  <c r="O631" i="7" s="1"/>
  <c r="J630" i="7"/>
  <c r="O630" i="7" s="1"/>
  <c r="J629" i="7"/>
  <c r="O629" i="7" s="1"/>
  <c r="J628" i="7"/>
  <c r="O628" i="7" s="1"/>
  <c r="J627" i="7"/>
  <c r="O627" i="7" s="1"/>
  <c r="J626" i="7"/>
  <c r="O626" i="7" s="1"/>
  <c r="J625" i="7"/>
  <c r="J624" i="7"/>
  <c r="O624" i="7" s="1"/>
  <c r="J623" i="7"/>
  <c r="O623" i="7" s="1"/>
  <c r="J622" i="7"/>
  <c r="O622" i="7" s="1"/>
  <c r="J621" i="7"/>
  <c r="O621" i="7" s="1"/>
  <c r="J620" i="7"/>
  <c r="O620" i="7" s="1"/>
  <c r="J619" i="7"/>
  <c r="O619" i="7" s="1"/>
  <c r="J618" i="7"/>
  <c r="O618" i="7" s="1"/>
  <c r="J617" i="7"/>
  <c r="J616" i="7"/>
  <c r="O616" i="7" s="1"/>
  <c r="J615" i="7"/>
  <c r="O615" i="7" s="1"/>
  <c r="J614" i="7"/>
  <c r="O614" i="7" s="1"/>
  <c r="J613" i="7"/>
  <c r="O613" i="7" s="1"/>
  <c r="J612" i="7"/>
  <c r="O612" i="7" s="1"/>
  <c r="J611" i="7"/>
  <c r="O611" i="7" s="1"/>
  <c r="J610" i="7"/>
  <c r="O610" i="7" s="1"/>
  <c r="J609" i="7"/>
  <c r="J608" i="7"/>
  <c r="O608" i="7" s="1"/>
  <c r="J607" i="7"/>
  <c r="O607" i="7" s="1"/>
  <c r="J606" i="7"/>
  <c r="O606" i="7" s="1"/>
  <c r="J605" i="7"/>
  <c r="O605" i="7" s="1"/>
  <c r="J604" i="7"/>
  <c r="O604" i="7" s="1"/>
  <c r="J603" i="7"/>
  <c r="O603" i="7" s="1"/>
  <c r="J602" i="7"/>
  <c r="O602" i="7" s="1"/>
  <c r="J601" i="7"/>
  <c r="J600" i="7"/>
  <c r="O600" i="7" s="1"/>
  <c r="J599" i="7"/>
  <c r="O599" i="7" s="1"/>
  <c r="J598" i="7"/>
  <c r="O598" i="7" s="1"/>
  <c r="J597" i="7"/>
  <c r="O597" i="7" s="1"/>
  <c r="J596" i="7"/>
  <c r="O596" i="7" s="1"/>
  <c r="J595" i="7"/>
  <c r="O595" i="7" s="1"/>
  <c r="J594" i="7"/>
  <c r="O594" i="7" s="1"/>
  <c r="J593" i="7"/>
  <c r="J592" i="7"/>
  <c r="O592" i="7" s="1"/>
  <c r="J591" i="7"/>
  <c r="O591" i="7" s="1"/>
  <c r="J590" i="7"/>
  <c r="O590" i="7" s="1"/>
  <c r="J589" i="7"/>
  <c r="O589" i="7" s="1"/>
  <c r="J588" i="7"/>
  <c r="O588" i="7" s="1"/>
  <c r="J587" i="7"/>
  <c r="O587" i="7" s="1"/>
  <c r="J586" i="7"/>
  <c r="O586" i="7" s="1"/>
  <c r="J585" i="7"/>
  <c r="J584" i="7"/>
  <c r="O584" i="7" s="1"/>
  <c r="J583" i="7"/>
  <c r="O583" i="7" s="1"/>
  <c r="J582" i="7"/>
  <c r="O582" i="7" s="1"/>
  <c r="J581" i="7"/>
  <c r="O581" i="7" s="1"/>
  <c r="J580" i="7"/>
  <c r="O580" i="7" s="1"/>
  <c r="J579" i="7"/>
  <c r="O579" i="7" s="1"/>
  <c r="J578" i="7"/>
  <c r="O578" i="7" s="1"/>
  <c r="J577" i="7"/>
  <c r="J576" i="7"/>
  <c r="O576" i="7" s="1"/>
  <c r="J575" i="7"/>
  <c r="O575" i="7" s="1"/>
  <c r="J574" i="7"/>
  <c r="O574" i="7" s="1"/>
  <c r="J573" i="7"/>
  <c r="O573" i="7" s="1"/>
  <c r="J572" i="7"/>
  <c r="O572" i="7" s="1"/>
  <c r="J571" i="7"/>
  <c r="O571" i="7" s="1"/>
  <c r="J570" i="7"/>
  <c r="O570" i="7" s="1"/>
  <c r="J569" i="7"/>
  <c r="J568" i="7"/>
  <c r="O568" i="7" s="1"/>
  <c r="J567" i="7"/>
  <c r="O567" i="7" s="1"/>
  <c r="J566" i="7"/>
  <c r="O566" i="7" s="1"/>
  <c r="J565" i="7"/>
  <c r="O565" i="7" s="1"/>
  <c r="J564" i="7"/>
  <c r="O564" i="7" s="1"/>
  <c r="J563" i="7"/>
  <c r="O563" i="7" s="1"/>
  <c r="J562" i="7"/>
  <c r="O562" i="7" s="1"/>
  <c r="J561" i="7"/>
  <c r="J560" i="7"/>
  <c r="O560" i="7" s="1"/>
  <c r="J559" i="7"/>
  <c r="O559" i="7" s="1"/>
  <c r="J558" i="7"/>
  <c r="O558" i="7" s="1"/>
  <c r="J557" i="7"/>
  <c r="O557" i="7" s="1"/>
  <c r="J556" i="7"/>
  <c r="O556" i="7" s="1"/>
  <c r="J555" i="7"/>
  <c r="O555" i="7" s="1"/>
  <c r="J554" i="7"/>
  <c r="O554" i="7" s="1"/>
  <c r="J553" i="7"/>
  <c r="J552" i="7"/>
  <c r="O552" i="7" s="1"/>
  <c r="J551" i="7"/>
  <c r="O551" i="7" s="1"/>
  <c r="J550" i="7"/>
  <c r="O550" i="7" s="1"/>
  <c r="J549" i="7"/>
  <c r="O549" i="7" s="1"/>
  <c r="J548" i="7"/>
  <c r="O548" i="7" s="1"/>
  <c r="J547" i="7"/>
  <c r="O547" i="7" s="1"/>
  <c r="J546" i="7"/>
  <c r="O546" i="7" s="1"/>
  <c r="J545" i="7"/>
  <c r="J544" i="7"/>
  <c r="O544" i="7" s="1"/>
  <c r="J543" i="7"/>
  <c r="O543" i="7" s="1"/>
  <c r="J542" i="7"/>
  <c r="O542" i="7" s="1"/>
  <c r="J541" i="7"/>
  <c r="O541" i="7" s="1"/>
  <c r="J540" i="7"/>
  <c r="O540" i="7" s="1"/>
  <c r="J539" i="7"/>
  <c r="O539" i="7" s="1"/>
  <c r="J538" i="7"/>
  <c r="O538" i="7" s="1"/>
  <c r="J537" i="7"/>
  <c r="J536" i="7"/>
  <c r="O536" i="7" s="1"/>
  <c r="J535" i="7"/>
  <c r="O535" i="7" s="1"/>
  <c r="J534" i="7"/>
  <c r="O534" i="7" s="1"/>
  <c r="J533" i="7"/>
  <c r="O533" i="7" s="1"/>
  <c r="J532" i="7"/>
  <c r="O532" i="7" s="1"/>
  <c r="J531" i="7"/>
  <c r="O531" i="7" s="1"/>
  <c r="J530" i="7"/>
  <c r="O530" i="7" s="1"/>
  <c r="J529" i="7"/>
  <c r="J528" i="7"/>
  <c r="O528" i="7" s="1"/>
  <c r="J527" i="7"/>
  <c r="O527" i="7" s="1"/>
  <c r="J526" i="7"/>
  <c r="O526" i="7" s="1"/>
  <c r="J525" i="7"/>
  <c r="O525" i="7" s="1"/>
  <c r="J524" i="7"/>
  <c r="O524" i="7" s="1"/>
  <c r="J523" i="7"/>
  <c r="O523" i="7" s="1"/>
  <c r="J522" i="7"/>
  <c r="O522" i="7" s="1"/>
  <c r="J521" i="7"/>
  <c r="J520" i="7"/>
  <c r="O520" i="7" s="1"/>
  <c r="J519" i="7"/>
  <c r="O519" i="7" s="1"/>
  <c r="J518" i="7"/>
  <c r="O518" i="7" s="1"/>
  <c r="J517" i="7"/>
  <c r="O517" i="7" s="1"/>
  <c r="J516" i="7"/>
  <c r="O516" i="7" s="1"/>
  <c r="J515" i="7"/>
  <c r="O515" i="7" s="1"/>
  <c r="J514" i="7"/>
  <c r="O514" i="7" s="1"/>
  <c r="J513" i="7"/>
  <c r="J512" i="7"/>
  <c r="O512" i="7" s="1"/>
  <c r="J511" i="7"/>
  <c r="O511" i="7" s="1"/>
  <c r="J510" i="7"/>
  <c r="O510" i="7" s="1"/>
  <c r="J509" i="7"/>
  <c r="O509" i="7" s="1"/>
  <c r="J508" i="7"/>
  <c r="O508" i="7" s="1"/>
  <c r="J507" i="7"/>
  <c r="O507" i="7" s="1"/>
  <c r="J506" i="7"/>
  <c r="O506" i="7" s="1"/>
  <c r="J505" i="7"/>
  <c r="J504" i="7"/>
  <c r="O504" i="7" s="1"/>
  <c r="J503" i="7"/>
  <c r="O503" i="7" s="1"/>
  <c r="J502" i="7"/>
  <c r="O502" i="7" s="1"/>
  <c r="J501" i="7"/>
  <c r="O501" i="7" s="1"/>
  <c r="J500" i="7"/>
  <c r="O500" i="7" s="1"/>
  <c r="J499" i="7"/>
  <c r="O499" i="7" s="1"/>
  <c r="J498" i="7"/>
  <c r="O498" i="7" s="1"/>
  <c r="J497" i="7"/>
  <c r="J496" i="7"/>
  <c r="O496" i="7" s="1"/>
  <c r="J495" i="7"/>
  <c r="O495" i="7" s="1"/>
  <c r="J494" i="7"/>
  <c r="O494" i="7" s="1"/>
  <c r="J493" i="7"/>
  <c r="O493" i="7" s="1"/>
  <c r="J492" i="7"/>
  <c r="O492" i="7" s="1"/>
  <c r="J491" i="7"/>
  <c r="O491" i="7" s="1"/>
  <c r="J490" i="7"/>
  <c r="O490" i="7" s="1"/>
  <c r="J489" i="7"/>
  <c r="O489" i="7" s="1"/>
  <c r="J488" i="7"/>
  <c r="O488" i="7" s="1"/>
  <c r="J487" i="7"/>
  <c r="O487" i="7" s="1"/>
  <c r="J486" i="7"/>
  <c r="O486" i="7" s="1"/>
  <c r="J485" i="7"/>
  <c r="O485" i="7" s="1"/>
  <c r="J484" i="7"/>
  <c r="O484" i="7" s="1"/>
  <c r="J483" i="7"/>
  <c r="O483" i="7" s="1"/>
  <c r="J482" i="7"/>
  <c r="O482" i="7" s="1"/>
  <c r="J481" i="7"/>
  <c r="J480" i="7"/>
  <c r="O480" i="7" s="1"/>
  <c r="J479" i="7"/>
  <c r="O479" i="7" s="1"/>
  <c r="J478" i="7"/>
  <c r="O478" i="7" s="1"/>
  <c r="J477" i="7"/>
  <c r="O477" i="7" s="1"/>
  <c r="J476" i="7"/>
  <c r="O476" i="7" s="1"/>
  <c r="J475" i="7"/>
  <c r="O475" i="7" s="1"/>
  <c r="J474" i="7"/>
  <c r="O474" i="7" s="1"/>
  <c r="J473" i="7"/>
  <c r="J472" i="7"/>
  <c r="J471" i="7"/>
  <c r="O471" i="7" s="1"/>
  <c r="J470" i="7"/>
  <c r="O470" i="7" s="1"/>
  <c r="J469" i="7"/>
  <c r="O469" i="7" s="1"/>
  <c r="J468" i="7"/>
  <c r="O468" i="7" s="1"/>
  <c r="J467" i="7"/>
  <c r="O467" i="7" s="1"/>
  <c r="J466" i="7"/>
  <c r="O466" i="7" s="1"/>
  <c r="J465" i="7"/>
  <c r="O465" i="7" s="1"/>
  <c r="J464" i="7"/>
  <c r="O464" i="7" s="1"/>
  <c r="J463" i="7"/>
  <c r="O463" i="7" s="1"/>
  <c r="J462" i="7"/>
  <c r="O462" i="7" s="1"/>
  <c r="J461" i="7"/>
  <c r="O461" i="7" s="1"/>
  <c r="J460" i="7"/>
  <c r="O460" i="7" s="1"/>
  <c r="J459" i="7"/>
  <c r="O459" i="7" s="1"/>
  <c r="J458" i="7"/>
  <c r="O458" i="7" s="1"/>
  <c r="J457" i="7"/>
  <c r="O457" i="7" s="1"/>
  <c r="J456" i="7"/>
  <c r="O456" i="7" s="1"/>
  <c r="J455" i="7"/>
  <c r="O455" i="7" s="1"/>
  <c r="J454" i="7"/>
  <c r="O454" i="7" s="1"/>
  <c r="J453" i="7"/>
  <c r="O453" i="7" s="1"/>
  <c r="J452" i="7"/>
  <c r="O452" i="7" s="1"/>
  <c r="J451" i="7"/>
  <c r="O451" i="7" s="1"/>
  <c r="J450" i="7"/>
  <c r="O450" i="7" s="1"/>
  <c r="J449" i="7"/>
  <c r="J448" i="7"/>
  <c r="O448" i="7" s="1"/>
  <c r="J447" i="7"/>
  <c r="O447" i="7" s="1"/>
  <c r="J446" i="7"/>
  <c r="O446" i="7" s="1"/>
  <c r="J445" i="7"/>
  <c r="O445" i="7" s="1"/>
  <c r="J444" i="7"/>
  <c r="O444" i="7" s="1"/>
  <c r="J443" i="7"/>
  <c r="O443" i="7" s="1"/>
  <c r="J442" i="7"/>
  <c r="O442" i="7" s="1"/>
  <c r="J441" i="7"/>
  <c r="O441" i="7" s="1"/>
  <c r="J440" i="7"/>
  <c r="O440" i="7" s="1"/>
  <c r="J439" i="7"/>
  <c r="O439" i="7" s="1"/>
  <c r="J438" i="7"/>
  <c r="O438" i="7" s="1"/>
  <c r="J437" i="7"/>
  <c r="O437" i="7" s="1"/>
  <c r="J436" i="7"/>
  <c r="O436" i="7" s="1"/>
  <c r="J435" i="7"/>
  <c r="O435" i="7" s="1"/>
  <c r="J434" i="7"/>
  <c r="O434" i="7" s="1"/>
  <c r="J433" i="7"/>
  <c r="O433" i="7" s="1"/>
  <c r="J432" i="7"/>
  <c r="O432" i="7" s="1"/>
  <c r="J431" i="7"/>
  <c r="O431" i="7" s="1"/>
  <c r="J430" i="7"/>
  <c r="O430" i="7" s="1"/>
  <c r="J429" i="7"/>
  <c r="O429" i="7" s="1"/>
  <c r="J428" i="7"/>
  <c r="O428" i="7" s="1"/>
  <c r="J427" i="7"/>
  <c r="O427" i="7" s="1"/>
  <c r="J426" i="7"/>
  <c r="O426" i="7" s="1"/>
  <c r="J425" i="7"/>
  <c r="O425" i="7" s="1"/>
  <c r="J424" i="7"/>
  <c r="O424" i="7" s="1"/>
  <c r="J423" i="7"/>
  <c r="O423" i="7" s="1"/>
  <c r="J422" i="7"/>
  <c r="O422" i="7" s="1"/>
  <c r="J421" i="7"/>
  <c r="O421" i="7" s="1"/>
  <c r="J420" i="7"/>
  <c r="O420" i="7" s="1"/>
  <c r="J419" i="7"/>
  <c r="O419" i="7" s="1"/>
  <c r="J418" i="7"/>
  <c r="O418" i="7" s="1"/>
  <c r="J417" i="7"/>
  <c r="J416" i="7"/>
  <c r="O416" i="7" s="1"/>
  <c r="J415" i="7"/>
  <c r="O415" i="7" s="1"/>
  <c r="J414" i="7"/>
  <c r="O414" i="7" s="1"/>
  <c r="J413" i="7"/>
  <c r="O413" i="7" s="1"/>
  <c r="J412" i="7"/>
  <c r="O412" i="7" s="1"/>
  <c r="J411" i="7"/>
  <c r="O411" i="7" s="1"/>
  <c r="J410" i="7"/>
  <c r="O410" i="7" s="1"/>
  <c r="J409" i="7"/>
  <c r="J408" i="7"/>
  <c r="O408" i="7" s="1"/>
  <c r="J407" i="7"/>
  <c r="O407" i="7" s="1"/>
  <c r="J406" i="7"/>
  <c r="O406" i="7" s="1"/>
  <c r="J405" i="7"/>
  <c r="O405" i="7" s="1"/>
  <c r="J404" i="7"/>
  <c r="O404" i="7" s="1"/>
  <c r="J403" i="7"/>
  <c r="O403" i="7" s="1"/>
  <c r="J402" i="7"/>
  <c r="O402" i="7" s="1"/>
  <c r="J401" i="7"/>
  <c r="O401" i="7" s="1"/>
  <c r="J400" i="7"/>
  <c r="O400" i="7" s="1"/>
  <c r="J399" i="7"/>
  <c r="O399" i="7" s="1"/>
  <c r="J398" i="7"/>
  <c r="O398" i="7" s="1"/>
  <c r="J397" i="7"/>
  <c r="O397" i="7" s="1"/>
  <c r="J396" i="7"/>
  <c r="O396" i="7" s="1"/>
  <c r="J395" i="7"/>
  <c r="O395" i="7" s="1"/>
  <c r="J394" i="7"/>
  <c r="O394" i="7" s="1"/>
  <c r="J393" i="7"/>
  <c r="O393" i="7" s="1"/>
  <c r="J392" i="7"/>
  <c r="O392" i="7" s="1"/>
  <c r="J391" i="7"/>
  <c r="O391" i="7" s="1"/>
  <c r="J390" i="7"/>
  <c r="O390" i="7" s="1"/>
  <c r="J389" i="7"/>
  <c r="O389" i="7" s="1"/>
  <c r="J388" i="7"/>
  <c r="O388" i="7" s="1"/>
  <c r="J387" i="7"/>
  <c r="O387" i="7" s="1"/>
  <c r="J386" i="7"/>
  <c r="O386" i="7" s="1"/>
  <c r="J385" i="7"/>
  <c r="J384" i="7"/>
  <c r="O384" i="7" s="1"/>
  <c r="J383" i="7"/>
  <c r="O383" i="7" s="1"/>
  <c r="J382" i="7"/>
  <c r="O382" i="7" s="1"/>
  <c r="J381" i="7"/>
  <c r="O381" i="7" s="1"/>
  <c r="J380" i="7"/>
  <c r="O380" i="7" s="1"/>
  <c r="J379" i="7"/>
  <c r="O379" i="7" s="1"/>
  <c r="J378" i="7"/>
  <c r="O378" i="7" s="1"/>
  <c r="J377" i="7"/>
  <c r="J376" i="7"/>
  <c r="O376" i="7" s="1"/>
  <c r="J375" i="7"/>
  <c r="O375" i="7" s="1"/>
  <c r="J374" i="7"/>
  <c r="O374" i="7" s="1"/>
  <c r="J373" i="7"/>
  <c r="O373" i="7" s="1"/>
  <c r="J372" i="7"/>
  <c r="O372" i="7" s="1"/>
  <c r="J371" i="7"/>
  <c r="O371" i="7" s="1"/>
  <c r="J370" i="7"/>
  <c r="O370" i="7" s="1"/>
  <c r="J369" i="7"/>
  <c r="O369" i="7" s="1"/>
  <c r="J368" i="7"/>
  <c r="O368" i="7" s="1"/>
  <c r="J367" i="7"/>
  <c r="O367" i="7" s="1"/>
  <c r="J366" i="7"/>
  <c r="O366" i="7" s="1"/>
  <c r="J365" i="7"/>
  <c r="O365" i="7" s="1"/>
  <c r="J364" i="7"/>
  <c r="O364" i="7" s="1"/>
  <c r="J363" i="7"/>
  <c r="O363" i="7" s="1"/>
  <c r="J362" i="7"/>
  <c r="O362" i="7" s="1"/>
  <c r="J361" i="7"/>
  <c r="O361" i="7" s="1"/>
  <c r="J360" i="7"/>
  <c r="O360" i="7" s="1"/>
  <c r="J359" i="7"/>
  <c r="O359" i="7" s="1"/>
  <c r="J358" i="7"/>
  <c r="O358" i="7" s="1"/>
  <c r="J357" i="7"/>
  <c r="O357" i="7" s="1"/>
  <c r="J356" i="7"/>
  <c r="O356" i="7" s="1"/>
  <c r="J355" i="7"/>
  <c r="O355" i="7" s="1"/>
  <c r="J354" i="7"/>
  <c r="O354" i="7" s="1"/>
  <c r="J353" i="7"/>
  <c r="O353" i="7" s="1"/>
  <c r="J352" i="7"/>
  <c r="O352" i="7" s="1"/>
  <c r="J351" i="7"/>
  <c r="O351" i="7" s="1"/>
  <c r="J350" i="7"/>
  <c r="O350" i="7" s="1"/>
  <c r="J349" i="7"/>
  <c r="O349" i="7" s="1"/>
  <c r="J348" i="7"/>
  <c r="O348" i="7" s="1"/>
  <c r="J347" i="7"/>
  <c r="O347" i="7" s="1"/>
  <c r="J346" i="7"/>
  <c r="O346" i="7" s="1"/>
  <c r="J345" i="7"/>
  <c r="J344" i="7"/>
  <c r="O344" i="7" s="1"/>
  <c r="J343" i="7"/>
  <c r="O343" i="7" s="1"/>
  <c r="J342" i="7"/>
  <c r="O342" i="7" s="1"/>
  <c r="J341" i="7"/>
  <c r="O341" i="7" s="1"/>
  <c r="J340" i="7"/>
  <c r="O340" i="7" s="1"/>
  <c r="J339" i="7"/>
  <c r="O339" i="7" s="1"/>
  <c r="J338" i="7"/>
  <c r="O338" i="7" s="1"/>
  <c r="J337" i="7"/>
  <c r="O337" i="7" s="1"/>
  <c r="J336" i="7"/>
  <c r="O336" i="7" s="1"/>
  <c r="J335" i="7"/>
  <c r="O335" i="7" s="1"/>
  <c r="J334" i="7"/>
  <c r="O334" i="7" s="1"/>
  <c r="J333" i="7"/>
  <c r="O333" i="7" s="1"/>
  <c r="J332" i="7"/>
  <c r="O332" i="7" s="1"/>
  <c r="J331" i="7"/>
  <c r="O331" i="7" s="1"/>
  <c r="J330" i="7"/>
  <c r="O330" i="7" s="1"/>
  <c r="J329" i="7"/>
  <c r="O329" i="7" s="1"/>
  <c r="J328" i="7"/>
  <c r="O328" i="7" s="1"/>
  <c r="J327" i="7"/>
  <c r="O327" i="7" s="1"/>
  <c r="J326" i="7"/>
  <c r="O326" i="7" s="1"/>
  <c r="J325" i="7"/>
  <c r="O325" i="7" s="1"/>
  <c r="J324" i="7"/>
  <c r="O324" i="7" s="1"/>
  <c r="J323" i="7"/>
  <c r="O323" i="7" s="1"/>
  <c r="J322" i="7"/>
  <c r="O322" i="7" s="1"/>
  <c r="J321" i="7"/>
  <c r="O321" i="7" s="1"/>
  <c r="J320" i="7"/>
  <c r="O320" i="7" s="1"/>
  <c r="J319" i="7"/>
  <c r="O319" i="7" s="1"/>
  <c r="J318" i="7"/>
  <c r="O318" i="7" s="1"/>
  <c r="J317" i="7"/>
  <c r="O317" i="7" s="1"/>
  <c r="J316" i="7"/>
  <c r="O316" i="7" s="1"/>
  <c r="J315" i="7"/>
  <c r="O315" i="7" s="1"/>
  <c r="J314" i="7"/>
  <c r="O314" i="7" s="1"/>
  <c r="J313" i="7"/>
  <c r="O313" i="7" s="1"/>
  <c r="J312" i="7"/>
  <c r="O312" i="7" s="1"/>
  <c r="J311" i="7"/>
  <c r="O311" i="7" s="1"/>
  <c r="J310" i="7"/>
  <c r="O310" i="7" s="1"/>
  <c r="J309" i="7"/>
  <c r="O309" i="7" s="1"/>
  <c r="J308" i="7"/>
  <c r="O308" i="7" s="1"/>
  <c r="J307" i="7"/>
  <c r="O307" i="7" s="1"/>
  <c r="J306" i="7"/>
  <c r="O306" i="7" s="1"/>
  <c r="J305" i="7"/>
  <c r="O305" i="7" s="1"/>
  <c r="J304" i="7"/>
  <c r="O304" i="7" s="1"/>
  <c r="J303" i="7"/>
  <c r="O303" i="7" s="1"/>
  <c r="J302" i="7"/>
  <c r="O302" i="7" s="1"/>
  <c r="J301" i="7"/>
  <c r="O301" i="7" s="1"/>
  <c r="J300" i="7"/>
  <c r="O300" i="7" s="1"/>
  <c r="J299" i="7"/>
  <c r="O299" i="7" s="1"/>
  <c r="J298" i="7"/>
  <c r="O298" i="7" s="1"/>
  <c r="J297" i="7"/>
  <c r="O297" i="7" s="1"/>
  <c r="J296" i="7"/>
  <c r="O296" i="7" s="1"/>
  <c r="J295" i="7"/>
  <c r="O295" i="7" s="1"/>
  <c r="J294" i="7"/>
  <c r="O294" i="7" s="1"/>
  <c r="J293" i="7"/>
  <c r="O293" i="7" s="1"/>
  <c r="J292" i="7"/>
  <c r="O292" i="7" s="1"/>
  <c r="J291" i="7"/>
  <c r="O291" i="7" s="1"/>
  <c r="J290" i="7"/>
  <c r="O290" i="7" s="1"/>
  <c r="J289" i="7"/>
  <c r="J288" i="7"/>
  <c r="O288" i="7" s="1"/>
  <c r="J287" i="7"/>
  <c r="O287" i="7" s="1"/>
  <c r="J286" i="7"/>
  <c r="O286" i="7" s="1"/>
  <c r="J285" i="7"/>
  <c r="O285" i="7" s="1"/>
  <c r="J284" i="7"/>
  <c r="O284" i="7" s="1"/>
  <c r="J283" i="7"/>
  <c r="O283" i="7" s="1"/>
  <c r="J282" i="7"/>
  <c r="O282" i="7" s="1"/>
  <c r="J281" i="7"/>
  <c r="J280" i="7"/>
  <c r="O280" i="7" s="1"/>
  <c r="J279" i="7"/>
  <c r="O279" i="7" s="1"/>
  <c r="J278" i="7"/>
  <c r="O278" i="7" s="1"/>
  <c r="J277" i="7"/>
  <c r="O277" i="7" s="1"/>
  <c r="J276" i="7"/>
  <c r="O276" i="7" s="1"/>
  <c r="J275" i="7"/>
  <c r="O275" i="7" s="1"/>
  <c r="J274" i="7"/>
  <c r="O274" i="7" s="1"/>
  <c r="J273" i="7"/>
  <c r="O273" i="7" s="1"/>
  <c r="J272" i="7"/>
  <c r="O272" i="7" s="1"/>
  <c r="J271" i="7"/>
  <c r="O271" i="7" s="1"/>
  <c r="J270" i="7"/>
  <c r="O270" i="7" s="1"/>
  <c r="J269" i="7"/>
  <c r="O269" i="7" s="1"/>
  <c r="J268" i="7"/>
  <c r="O268" i="7" s="1"/>
  <c r="J267" i="7"/>
  <c r="O267" i="7" s="1"/>
  <c r="J266" i="7"/>
  <c r="O266" i="7" s="1"/>
  <c r="J265" i="7"/>
  <c r="O265" i="7" s="1"/>
  <c r="J264" i="7"/>
  <c r="O264" i="7" s="1"/>
  <c r="J263" i="7"/>
  <c r="O263" i="7" s="1"/>
  <c r="J262" i="7"/>
  <c r="O262" i="7" s="1"/>
  <c r="J261" i="7"/>
  <c r="O261" i="7" s="1"/>
  <c r="J260" i="7"/>
  <c r="O260" i="7" s="1"/>
  <c r="J259" i="7"/>
  <c r="O259" i="7" s="1"/>
  <c r="J258" i="7"/>
  <c r="O258" i="7" s="1"/>
  <c r="J257" i="7"/>
  <c r="J256" i="7"/>
  <c r="O256" i="7" s="1"/>
  <c r="J255" i="7"/>
  <c r="O255" i="7" s="1"/>
  <c r="J254" i="7"/>
  <c r="O254" i="7" s="1"/>
  <c r="J253" i="7"/>
  <c r="O253" i="7" s="1"/>
  <c r="J252" i="7"/>
  <c r="O252" i="7" s="1"/>
  <c r="J251" i="7"/>
  <c r="O251" i="7" s="1"/>
  <c r="J250" i="7"/>
  <c r="O250" i="7" s="1"/>
  <c r="J249" i="7"/>
  <c r="J248" i="7"/>
  <c r="O248" i="7" s="1"/>
  <c r="J247" i="7"/>
  <c r="O247" i="7" s="1"/>
  <c r="J246" i="7"/>
  <c r="O246" i="7" s="1"/>
  <c r="J245" i="7"/>
  <c r="O245" i="7" s="1"/>
  <c r="J244" i="7"/>
  <c r="O244" i="7" s="1"/>
  <c r="J243" i="7"/>
  <c r="O243" i="7" s="1"/>
  <c r="J242" i="7"/>
  <c r="O242" i="7" s="1"/>
  <c r="J241" i="7"/>
  <c r="O241" i="7" s="1"/>
  <c r="J240" i="7"/>
  <c r="O240" i="7" s="1"/>
  <c r="J239" i="7"/>
  <c r="O239" i="7" s="1"/>
  <c r="J238" i="7"/>
  <c r="O238" i="7" s="1"/>
  <c r="J237" i="7"/>
  <c r="O237" i="7" s="1"/>
  <c r="J236" i="7"/>
  <c r="O236" i="7" s="1"/>
  <c r="J235" i="7"/>
  <c r="O235" i="7" s="1"/>
  <c r="J234" i="7"/>
  <c r="O234" i="7" s="1"/>
  <c r="J233" i="7"/>
  <c r="O233" i="7" s="1"/>
  <c r="J232" i="7"/>
  <c r="O232" i="7" s="1"/>
  <c r="J231" i="7"/>
  <c r="O231" i="7" s="1"/>
  <c r="J230" i="7"/>
  <c r="O230" i="7" s="1"/>
  <c r="J229" i="7"/>
  <c r="O229" i="7" s="1"/>
  <c r="J228" i="7"/>
  <c r="O228" i="7" s="1"/>
  <c r="J227" i="7"/>
  <c r="O227" i="7" s="1"/>
  <c r="J226" i="7"/>
  <c r="O226" i="7" s="1"/>
  <c r="J225" i="7"/>
  <c r="J224" i="7"/>
  <c r="O224" i="7" s="1"/>
  <c r="J223" i="7"/>
  <c r="O223" i="7" s="1"/>
  <c r="J222" i="7"/>
  <c r="O222" i="7" s="1"/>
  <c r="J221" i="7"/>
  <c r="O221" i="7" s="1"/>
  <c r="J220" i="7"/>
  <c r="O220" i="7" s="1"/>
  <c r="J219" i="7"/>
  <c r="O219" i="7" s="1"/>
  <c r="J218" i="7"/>
  <c r="O218" i="7" s="1"/>
  <c r="J217" i="7"/>
  <c r="J216" i="7"/>
  <c r="O216" i="7" s="1"/>
  <c r="J215" i="7"/>
  <c r="O215" i="7" s="1"/>
  <c r="J214" i="7"/>
  <c r="O214" i="7" s="1"/>
  <c r="J213" i="7"/>
  <c r="O213" i="7" s="1"/>
  <c r="J212" i="7"/>
  <c r="O212" i="7" s="1"/>
  <c r="J211" i="7"/>
  <c r="O211" i="7" s="1"/>
  <c r="J210" i="7"/>
  <c r="O210" i="7" s="1"/>
  <c r="J209" i="7"/>
  <c r="O209" i="7" s="1"/>
  <c r="J208" i="7"/>
  <c r="O208" i="7" s="1"/>
  <c r="J207" i="7"/>
  <c r="O207" i="7" s="1"/>
  <c r="J206" i="7"/>
  <c r="O206" i="7" s="1"/>
  <c r="J205" i="7"/>
  <c r="O205" i="7" s="1"/>
  <c r="J204" i="7"/>
  <c r="O204" i="7" s="1"/>
  <c r="J203" i="7"/>
  <c r="O203" i="7" s="1"/>
  <c r="J202" i="7"/>
  <c r="O202" i="7" s="1"/>
  <c r="J201" i="7"/>
  <c r="O201" i="7" s="1"/>
  <c r="J200" i="7"/>
  <c r="O200" i="7" s="1"/>
  <c r="J199" i="7"/>
  <c r="O199" i="7" s="1"/>
  <c r="J198" i="7"/>
  <c r="O198" i="7" s="1"/>
  <c r="J197" i="7"/>
  <c r="O197" i="7" s="1"/>
  <c r="J196" i="7"/>
  <c r="O196" i="7" s="1"/>
  <c r="J195" i="7"/>
  <c r="O195" i="7" s="1"/>
  <c r="J194" i="7"/>
  <c r="O194" i="7" s="1"/>
  <c r="J193" i="7"/>
  <c r="J192" i="7"/>
  <c r="O192" i="7" s="1"/>
  <c r="J191" i="7"/>
  <c r="O191" i="7" s="1"/>
  <c r="J190" i="7"/>
  <c r="O190" i="7" s="1"/>
  <c r="J189" i="7"/>
  <c r="O189" i="7" s="1"/>
  <c r="J188" i="7"/>
  <c r="O188" i="7" s="1"/>
  <c r="J187" i="7"/>
  <c r="O187" i="7" s="1"/>
  <c r="J186" i="7"/>
  <c r="O186" i="7" s="1"/>
  <c r="J185" i="7"/>
  <c r="O185" i="7" s="1"/>
  <c r="J184" i="7"/>
  <c r="O184" i="7" s="1"/>
  <c r="J183" i="7"/>
  <c r="O183" i="7" s="1"/>
  <c r="J182" i="7"/>
  <c r="O182" i="7" s="1"/>
  <c r="J181" i="7"/>
  <c r="O181" i="7" s="1"/>
  <c r="J180" i="7"/>
  <c r="O180" i="7" s="1"/>
  <c r="J179" i="7"/>
  <c r="O179" i="7" s="1"/>
  <c r="J178" i="7"/>
  <c r="O178" i="7" s="1"/>
  <c r="J177" i="7"/>
  <c r="O177" i="7" s="1"/>
  <c r="J176" i="7"/>
  <c r="O176" i="7" s="1"/>
  <c r="J175" i="7"/>
  <c r="O175" i="7" s="1"/>
  <c r="J174" i="7"/>
  <c r="O174" i="7" s="1"/>
  <c r="J173" i="7"/>
  <c r="O173" i="7" s="1"/>
  <c r="J172" i="7"/>
  <c r="O172" i="7" s="1"/>
  <c r="J171" i="7"/>
  <c r="O171" i="7" s="1"/>
  <c r="J170" i="7"/>
  <c r="O170" i="7" s="1"/>
  <c r="J169" i="7"/>
  <c r="O169" i="7" s="1"/>
  <c r="J168" i="7"/>
  <c r="O168" i="7" s="1"/>
  <c r="J167" i="7"/>
  <c r="O167" i="7" s="1"/>
  <c r="J166" i="7"/>
  <c r="O166" i="7" s="1"/>
  <c r="J165" i="7"/>
  <c r="O165" i="7" s="1"/>
  <c r="J164" i="7"/>
  <c r="O164" i="7" s="1"/>
  <c r="J163" i="7"/>
  <c r="O163" i="7" s="1"/>
  <c r="J162" i="7"/>
  <c r="O162" i="7" s="1"/>
  <c r="J161" i="7"/>
  <c r="J160" i="7"/>
  <c r="O160" i="7" s="1"/>
  <c r="J159" i="7"/>
  <c r="O159" i="7" s="1"/>
  <c r="J158" i="7"/>
  <c r="O158" i="7" s="1"/>
  <c r="J157" i="7"/>
  <c r="O157" i="7" s="1"/>
  <c r="J156" i="7"/>
  <c r="O156" i="7" s="1"/>
  <c r="J155" i="7"/>
  <c r="O155" i="7" s="1"/>
  <c r="J154" i="7"/>
  <c r="O154" i="7" s="1"/>
  <c r="J153" i="7"/>
  <c r="J152" i="7"/>
  <c r="O152" i="7" s="1"/>
  <c r="J151" i="7"/>
  <c r="O151" i="7" s="1"/>
  <c r="J150" i="7"/>
  <c r="O150" i="7" s="1"/>
  <c r="J149" i="7"/>
  <c r="O149" i="7" s="1"/>
  <c r="J148" i="7"/>
  <c r="O148" i="7" s="1"/>
  <c r="J147" i="7"/>
  <c r="O147" i="7" s="1"/>
  <c r="J146" i="7"/>
  <c r="O146" i="7" s="1"/>
  <c r="J145" i="7"/>
  <c r="O145" i="7" s="1"/>
  <c r="J144" i="7"/>
  <c r="O144" i="7" s="1"/>
  <c r="J143" i="7"/>
  <c r="O143" i="7" s="1"/>
  <c r="J142" i="7"/>
  <c r="O142" i="7" s="1"/>
  <c r="J141" i="7"/>
  <c r="O141" i="7" s="1"/>
  <c r="J140" i="7"/>
  <c r="O140" i="7" s="1"/>
  <c r="J139" i="7"/>
  <c r="O139" i="7" s="1"/>
  <c r="J138" i="7"/>
  <c r="O138" i="7" s="1"/>
  <c r="J137" i="7"/>
  <c r="O137" i="7" s="1"/>
  <c r="J136" i="7"/>
  <c r="O136" i="7" s="1"/>
  <c r="J135" i="7"/>
  <c r="O135" i="7" s="1"/>
  <c r="J134" i="7"/>
  <c r="O134" i="7" s="1"/>
  <c r="J133" i="7"/>
  <c r="O133" i="7" s="1"/>
  <c r="J132" i="7"/>
  <c r="O132" i="7" s="1"/>
  <c r="J131" i="7"/>
  <c r="O131" i="7" s="1"/>
  <c r="J130" i="7"/>
  <c r="O130" i="7" s="1"/>
  <c r="J129" i="7"/>
  <c r="J128" i="7"/>
  <c r="O128" i="7" s="1"/>
  <c r="J127" i="7"/>
  <c r="O127" i="7" s="1"/>
  <c r="J126" i="7"/>
  <c r="O126" i="7" s="1"/>
  <c r="J125" i="7"/>
  <c r="O125" i="7" s="1"/>
  <c r="J124" i="7"/>
  <c r="O124" i="7" s="1"/>
  <c r="J123" i="7"/>
  <c r="O123" i="7" s="1"/>
  <c r="J122" i="7"/>
  <c r="O122" i="7" s="1"/>
  <c r="J121" i="7"/>
  <c r="J120" i="7"/>
  <c r="O120" i="7" s="1"/>
  <c r="J119" i="7"/>
  <c r="O119" i="7" s="1"/>
  <c r="J118" i="7"/>
  <c r="O118" i="7" s="1"/>
  <c r="J117" i="7"/>
  <c r="O117" i="7" s="1"/>
  <c r="J116" i="7"/>
  <c r="O116" i="7" s="1"/>
  <c r="J115" i="7"/>
  <c r="O115" i="7" s="1"/>
  <c r="J114" i="7"/>
  <c r="O114" i="7" s="1"/>
  <c r="J113" i="7"/>
  <c r="O113" i="7" s="1"/>
  <c r="J112" i="7"/>
  <c r="O112" i="7" s="1"/>
  <c r="J111" i="7"/>
  <c r="O111" i="7" s="1"/>
  <c r="J110" i="7"/>
  <c r="O110" i="7" s="1"/>
  <c r="J109" i="7"/>
  <c r="O109" i="7" s="1"/>
  <c r="J108" i="7"/>
  <c r="O108" i="7" s="1"/>
  <c r="J107" i="7"/>
  <c r="O107" i="7" s="1"/>
  <c r="J106" i="7"/>
  <c r="O106" i="7" s="1"/>
  <c r="J105" i="7"/>
  <c r="O105" i="7" s="1"/>
  <c r="J104" i="7"/>
  <c r="O104" i="7" s="1"/>
  <c r="J103" i="7"/>
  <c r="O103" i="7" s="1"/>
  <c r="J102" i="7"/>
  <c r="O102" i="7" s="1"/>
  <c r="J101" i="7"/>
  <c r="O101" i="7" s="1"/>
  <c r="J100" i="7"/>
  <c r="O100" i="7" s="1"/>
  <c r="J99" i="7"/>
  <c r="O99" i="7" s="1"/>
  <c r="J98" i="7"/>
  <c r="O98" i="7" s="1"/>
  <c r="J97" i="7"/>
  <c r="O97" i="7" s="1"/>
  <c r="J96" i="7"/>
  <c r="O96" i="7" s="1"/>
  <c r="J95" i="7"/>
  <c r="O95" i="7" s="1"/>
  <c r="J94" i="7"/>
  <c r="O94" i="7" s="1"/>
  <c r="J93" i="7"/>
  <c r="O93" i="7" s="1"/>
  <c r="J92" i="7"/>
  <c r="O92" i="7" s="1"/>
  <c r="J91" i="7"/>
  <c r="O91" i="7" s="1"/>
  <c r="J90" i="7"/>
  <c r="O90" i="7" s="1"/>
  <c r="J89" i="7"/>
  <c r="J88" i="7"/>
  <c r="O88" i="7" s="1"/>
  <c r="J87" i="7"/>
  <c r="O87" i="7" s="1"/>
  <c r="J86" i="7"/>
  <c r="O86" i="7" s="1"/>
  <c r="J85" i="7"/>
  <c r="O85" i="7" s="1"/>
  <c r="J84" i="7"/>
  <c r="O84" i="7" s="1"/>
  <c r="J83" i="7"/>
  <c r="O83" i="7" s="1"/>
  <c r="J82" i="7"/>
  <c r="O82" i="7" s="1"/>
  <c r="J81" i="7"/>
  <c r="O81" i="7" s="1"/>
  <c r="J80" i="7"/>
  <c r="O80" i="7" s="1"/>
  <c r="J79" i="7"/>
  <c r="O79" i="7" s="1"/>
  <c r="J78" i="7"/>
  <c r="O78" i="7" s="1"/>
  <c r="J77" i="7"/>
  <c r="O77" i="7" s="1"/>
  <c r="J76" i="7"/>
  <c r="O76" i="7" s="1"/>
  <c r="J75" i="7"/>
  <c r="O75" i="7" s="1"/>
  <c r="J74" i="7"/>
  <c r="O74" i="7" s="1"/>
  <c r="J73" i="7"/>
  <c r="O73" i="7" s="1"/>
  <c r="J72" i="7"/>
  <c r="O72" i="7" s="1"/>
  <c r="J71" i="7"/>
  <c r="O71" i="7" s="1"/>
  <c r="J70" i="7"/>
  <c r="O70" i="7" s="1"/>
  <c r="J69" i="7"/>
  <c r="O69" i="7" s="1"/>
  <c r="J68" i="7"/>
  <c r="O68" i="7" s="1"/>
  <c r="J67" i="7"/>
  <c r="O67" i="7" s="1"/>
  <c r="J66" i="7"/>
  <c r="O66" i="7" s="1"/>
  <c r="J65" i="7"/>
  <c r="O65" i="7" s="1"/>
  <c r="J64" i="7"/>
  <c r="O64" i="7" s="1"/>
  <c r="J63" i="7"/>
  <c r="O63" i="7" s="1"/>
  <c r="J62" i="7"/>
  <c r="O62" i="7" s="1"/>
  <c r="J61" i="7"/>
  <c r="O61" i="7" s="1"/>
  <c r="J60" i="7"/>
  <c r="O60" i="7" s="1"/>
  <c r="J59" i="7"/>
  <c r="O59" i="7" s="1"/>
  <c r="J58" i="7"/>
  <c r="O58" i="7" s="1"/>
  <c r="J57" i="7"/>
  <c r="J56" i="7"/>
  <c r="O56" i="7" s="1"/>
  <c r="J55" i="7"/>
  <c r="O55" i="7" s="1"/>
  <c r="J54" i="7"/>
  <c r="O54" i="7" s="1"/>
  <c r="J53" i="7"/>
  <c r="O53" i="7" s="1"/>
  <c r="J52" i="7"/>
  <c r="O52" i="7" s="1"/>
  <c r="J51" i="7"/>
  <c r="O51" i="7" s="1"/>
  <c r="J50" i="7"/>
  <c r="O50" i="7" s="1"/>
  <c r="J49" i="7"/>
  <c r="O49" i="7" s="1"/>
  <c r="J48" i="7"/>
  <c r="O48" i="7" s="1"/>
  <c r="J47" i="7"/>
  <c r="O47" i="7" s="1"/>
  <c r="J46" i="7"/>
  <c r="O46" i="7" s="1"/>
  <c r="J45" i="7"/>
  <c r="O45" i="7" s="1"/>
  <c r="J44" i="7"/>
  <c r="O44" i="7" s="1"/>
  <c r="J43" i="7"/>
  <c r="O43" i="7" s="1"/>
  <c r="J42" i="7"/>
  <c r="O42" i="7" s="1"/>
  <c r="J41" i="7"/>
  <c r="O41" i="7" s="1"/>
  <c r="J40" i="7"/>
  <c r="O40" i="7" s="1"/>
  <c r="J39" i="7"/>
  <c r="O39" i="7" s="1"/>
  <c r="J38" i="7"/>
  <c r="O38" i="7" s="1"/>
  <c r="J37" i="7"/>
  <c r="O37" i="7" s="1"/>
  <c r="J36" i="7"/>
  <c r="O36" i="7" s="1"/>
  <c r="J35" i="7"/>
  <c r="O35" i="7" s="1"/>
  <c r="J34" i="7"/>
  <c r="O34" i="7" s="1"/>
  <c r="J33" i="7"/>
  <c r="O33" i="7" s="1"/>
  <c r="J32" i="7"/>
  <c r="O32" i="7" s="1"/>
  <c r="J31" i="7"/>
  <c r="O31" i="7" s="1"/>
  <c r="J30" i="7"/>
  <c r="O30" i="7" s="1"/>
  <c r="J29" i="7"/>
  <c r="O29" i="7" s="1"/>
  <c r="J28" i="7"/>
  <c r="O28" i="7" s="1"/>
  <c r="J27" i="7"/>
  <c r="O27" i="7" s="1"/>
  <c r="J26" i="7"/>
  <c r="O26" i="7" s="1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O665" i="7"/>
  <c r="O657" i="7"/>
  <c r="O649" i="7"/>
  <c r="O641" i="7"/>
  <c r="O633" i="7"/>
  <c r="O632" i="7"/>
  <c r="O625" i="7"/>
  <c r="O617" i="7"/>
  <c r="O609" i="7"/>
  <c r="O601" i="7"/>
  <c r="O593" i="7"/>
  <c r="O585" i="7"/>
  <c r="O577" i="7"/>
  <c r="O569" i="7"/>
  <c r="O561" i="7"/>
  <c r="O553" i="7"/>
  <c r="O545" i="7"/>
  <c r="O537" i="7"/>
  <c r="O529" i="7"/>
  <c r="O521" i="7"/>
  <c r="O513" i="7"/>
  <c r="O505" i="7"/>
  <c r="O497" i="7"/>
  <c r="O481" i="7"/>
  <c r="O473" i="7"/>
  <c r="O472" i="7"/>
  <c r="O449" i="7"/>
  <c r="O417" i="7"/>
  <c r="O409" i="7"/>
  <c r="O385" i="7"/>
  <c r="O377" i="7"/>
  <c r="O345" i="7"/>
  <c r="O289" i="7"/>
  <c r="O281" i="7"/>
  <c r="O257" i="7"/>
  <c r="O249" i="7"/>
  <c r="O225" i="7"/>
  <c r="O217" i="7"/>
  <c r="O193" i="7"/>
  <c r="O161" i="7"/>
  <c r="O153" i="7"/>
  <c r="O129" i="7"/>
  <c r="O121" i="7"/>
  <c r="O89" i="7"/>
  <c r="O57" i="7"/>
  <c r="B700" i="8"/>
  <c r="A700" i="8"/>
  <c r="B699" i="8"/>
  <c r="A699" i="8"/>
  <c r="B698" i="8"/>
  <c r="A698" i="8"/>
  <c r="B697" i="8"/>
  <c r="A697" i="8"/>
  <c r="B696" i="8"/>
  <c r="A696" i="8"/>
  <c r="B695" i="8"/>
  <c r="A695" i="8"/>
  <c r="B694" i="8"/>
  <c r="A694" i="8"/>
  <c r="B693" i="8"/>
  <c r="A693" i="8"/>
  <c r="B692" i="8"/>
  <c r="A692" i="8"/>
  <c r="B691" i="8"/>
  <c r="A691" i="8"/>
  <c r="B690" i="8"/>
  <c r="A690" i="8"/>
  <c r="B689" i="8"/>
  <c r="A689" i="8"/>
  <c r="B688" i="8"/>
  <c r="A688" i="8"/>
  <c r="B687" i="8"/>
  <c r="A687" i="8"/>
  <c r="B686" i="8"/>
  <c r="A686" i="8"/>
  <c r="B685" i="8"/>
  <c r="A685" i="8"/>
  <c r="B684" i="8"/>
  <c r="A684" i="8"/>
  <c r="B683" i="8"/>
  <c r="A683" i="8"/>
  <c r="B682" i="8"/>
  <c r="A682" i="8"/>
  <c r="B681" i="8"/>
  <c r="A681" i="8"/>
  <c r="B680" i="8"/>
  <c r="A680" i="8"/>
  <c r="B679" i="8"/>
  <c r="A679" i="8"/>
  <c r="B678" i="8"/>
  <c r="A678" i="8"/>
  <c r="B677" i="8"/>
  <c r="A677" i="8"/>
  <c r="B676" i="8"/>
  <c r="A676" i="8"/>
  <c r="B675" i="8"/>
  <c r="A675" i="8"/>
  <c r="B674" i="8"/>
  <c r="A674" i="8"/>
  <c r="B673" i="8"/>
  <c r="A673" i="8"/>
  <c r="B672" i="8"/>
  <c r="A672" i="8"/>
  <c r="B671" i="8"/>
  <c r="A671" i="8"/>
  <c r="B670" i="8"/>
  <c r="A670" i="8"/>
  <c r="B669" i="8"/>
  <c r="A669" i="8"/>
  <c r="B668" i="8"/>
  <c r="A668" i="8"/>
  <c r="B667" i="8"/>
  <c r="A667" i="8"/>
  <c r="B666" i="8"/>
  <c r="A666" i="8"/>
  <c r="B665" i="8"/>
  <c r="A665" i="8"/>
  <c r="B664" i="8"/>
  <c r="A664" i="8"/>
  <c r="B663" i="8"/>
  <c r="A663" i="8"/>
  <c r="B662" i="8"/>
  <c r="A662" i="8"/>
  <c r="B661" i="8"/>
  <c r="A661" i="8"/>
  <c r="B660" i="8"/>
  <c r="A660" i="8"/>
  <c r="B659" i="8"/>
  <c r="A659" i="8"/>
  <c r="B658" i="8"/>
  <c r="A658" i="8"/>
  <c r="B657" i="8"/>
  <c r="A657" i="8"/>
  <c r="B656" i="8"/>
  <c r="A656" i="8"/>
  <c r="B655" i="8"/>
  <c r="A655" i="8"/>
  <c r="B654" i="8"/>
  <c r="A654" i="8"/>
  <c r="B653" i="8"/>
  <c r="A653" i="8"/>
  <c r="B652" i="8"/>
  <c r="A652" i="8"/>
  <c r="B651" i="8"/>
  <c r="A651" i="8"/>
  <c r="B650" i="8"/>
  <c r="A650" i="8"/>
  <c r="B649" i="8"/>
  <c r="A649" i="8"/>
  <c r="B648" i="8"/>
  <c r="A648" i="8"/>
  <c r="B647" i="8"/>
  <c r="A647" i="8"/>
  <c r="B646" i="8"/>
  <c r="A646" i="8"/>
  <c r="B645" i="8"/>
  <c r="A645" i="8"/>
  <c r="B644" i="8"/>
  <c r="A644" i="8"/>
  <c r="B643" i="8"/>
  <c r="A643" i="8"/>
  <c r="B642" i="8"/>
  <c r="A642" i="8"/>
  <c r="B641" i="8"/>
  <c r="A641" i="8"/>
  <c r="B640" i="8"/>
  <c r="A640" i="8"/>
  <c r="B639" i="8"/>
  <c r="A639" i="8"/>
  <c r="B638" i="8"/>
  <c r="A638" i="8"/>
  <c r="B637" i="8"/>
  <c r="A637" i="8"/>
  <c r="B636" i="8"/>
  <c r="A636" i="8"/>
  <c r="B635" i="8"/>
  <c r="A635" i="8"/>
  <c r="B634" i="8"/>
  <c r="A634" i="8"/>
  <c r="B633" i="8"/>
  <c r="A633" i="8"/>
  <c r="B632" i="8"/>
  <c r="A632" i="8"/>
  <c r="B631" i="8"/>
  <c r="A631" i="8"/>
  <c r="B630" i="8"/>
  <c r="A630" i="8"/>
  <c r="B629" i="8"/>
  <c r="A629" i="8"/>
  <c r="B628" i="8"/>
  <c r="A628" i="8"/>
  <c r="B627" i="8"/>
  <c r="A627" i="8"/>
  <c r="B626" i="8"/>
  <c r="A626" i="8"/>
  <c r="B625" i="8"/>
  <c r="A625" i="8"/>
  <c r="B624" i="8"/>
  <c r="A624" i="8"/>
  <c r="B623" i="8"/>
  <c r="A623" i="8"/>
  <c r="B622" i="8"/>
  <c r="A622" i="8"/>
  <c r="B621" i="8"/>
  <c r="A621" i="8"/>
  <c r="B620" i="8"/>
  <c r="A620" i="8"/>
  <c r="B619" i="8"/>
  <c r="A619" i="8"/>
  <c r="B618" i="8"/>
  <c r="A618" i="8"/>
  <c r="B617" i="8"/>
  <c r="A617" i="8"/>
  <c r="B616" i="8"/>
  <c r="A616" i="8"/>
  <c r="B615" i="8"/>
  <c r="A615" i="8"/>
  <c r="B614" i="8"/>
  <c r="A614" i="8"/>
  <c r="B613" i="8"/>
  <c r="A613" i="8"/>
  <c r="B612" i="8"/>
  <c r="A612" i="8"/>
  <c r="B611" i="8"/>
  <c r="A611" i="8"/>
  <c r="B610" i="8"/>
  <c r="A610" i="8"/>
  <c r="B609" i="8"/>
  <c r="A609" i="8"/>
  <c r="B608" i="8"/>
  <c r="A608" i="8"/>
  <c r="B607" i="8"/>
  <c r="A607" i="8"/>
  <c r="B606" i="8"/>
  <c r="A606" i="8"/>
  <c r="B605" i="8"/>
  <c r="A605" i="8"/>
  <c r="B604" i="8"/>
  <c r="A604" i="8"/>
  <c r="B603" i="8"/>
  <c r="A603" i="8"/>
  <c r="B602" i="8"/>
  <c r="A602" i="8"/>
  <c r="B601" i="8"/>
  <c r="A601" i="8"/>
  <c r="B600" i="8"/>
  <c r="A600" i="8"/>
  <c r="B599" i="8"/>
  <c r="A599" i="8"/>
  <c r="B598" i="8"/>
  <c r="A598" i="8"/>
  <c r="B597" i="8"/>
  <c r="A597" i="8"/>
  <c r="B596" i="8"/>
  <c r="A596" i="8"/>
  <c r="B595" i="8"/>
  <c r="A595" i="8"/>
  <c r="B594" i="8"/>
  <c r="A594" i="8"/>
  <c r="B593" i="8"/>
  <c r="A593" i="8"/>
  <c r="B592" i="8"/>
  <c r="A592" i="8"/>
  <c r="B591" i="8"/>
  <c r="A591" i="8"/>
  <c r="B590" i="8"/>
  <c r="A590" i="8"/>
  <c r="B589" i="8"/>
  <c r="A589" i="8"/>
  <c r="B588" i="8"/>
  <c r="A588" i="8"/>
  <c r="B587" i="8"/>
  <c r="A587" i="8"/>
  <c r="B586" i="8"/>
  <c r="A586" i="8"/>
  <c r="B585" i="8"/>
  <c r="A585" i="8"/>
  <c r="B584" i="8"/>
  <c r="A584" i="8"/>
  <c r="B583" i="8"/>
  <c r="A583" i="8"/>
  <c r="B582" i="8"/>
  <c r="A582" i="8"/>
  <c r="B581" i="8"/>
  <c r="A581" i="8"/>
  <c r="B580" i="8"/>
  <c r="A580" i="8"/>
  <c r="B579" i="8"/>
  <c r="A579" i="8"/>
  <c r="B578" i="8"/>
  <c r="A578" i="8"/>
  <c r="B577" i="8"/>
  <c r="A577" i="8"/>
  <c r="B576" i="8"/>
  <c r="A576" i="8"/>
  <c r="B575" i="8"/>
  <c r="A575" i="8"/>
  <c r="B574" i="8"/>
  <c r="A574" i="8"/>
  <c r="B573" i="8"/>
  <c r="A573" i="8"/>
  <c r="B572" i="8"/>
  <c r="A572" i="8"/>
  <c r="B571" i="8"/>
  <c r="A571" i="8"/>
  <c r="B570" i="8"/>
  <c r="A570" i="8"/>
  <c r="B569" i="8"/>
  <c r="A569" i="8"/>
  <c r="B568" i="8"/>
  <c r="A568" i="8"/>
  <c r="B567" i="8"/>
  <c r="A567" i="8"/>
  <c r="B566" i="8"/>
  <c r="A566" i="8"/>
  <c r="B565" i="8"/>
  <c r="A565" i="8"/>
  <c r="B564" i="8"/>
  <c r="A564" i="8"/>
  <c r="B563" i="8"/>
  <c r="A563" i="8"/>
  <c r="B562" i="8"/>
  <c r="A562" i="8"/>
  <c r="B561" i="8"/>
  <c r="A561" i="8"/>
  <c r="B560" i="8"/>
  <c r="A560" i="8"/>
  <c r="B559" i="8"/>
  <c r="A559" i="8"/>
  <c r="B558" i="8"/>
  <c r="A558" i="8"/>
  <c r="B557" i="8"/>
  <c r="A557" i="8"/>
  <c r="B556" i="8"/>
  <c r="A556" i="8"/>
  <c r="B555" i="8"/>
  <c r="A555" i="8"/>
  <c r="B554" i="8"/>
  <c r="A554" i="8"/>
  <c r="B553" i="8"/>
  <c r="A553" i="8"/>
  <c r="B552" i="8"/>
  <c r="A552" i="8"/>
  <c r="B551" i="8"/>
  <c r="A551" i="8"/>
  <c r="B550" i="8"/>
  <c r="A550" i="8"/>
  <c r="B549" i="8"/>
  <c r="A549" i="8"/>
  <c r="B548" i="8"/>
  <c r="A548" i="8"/>
  <c r="B547" i="8"/>
  <c r="A547" i="8"/>
  <c r="B546" i="8"/>
  <c r="A546" i="8"/>
  <c r="B545" i="8"/>
  <c r="A545" i="8"/>
  <c r="B544" i="8"/>
  <c r="A544" i="8"/>
  <c r="B543" i="8"/>
  <c r="A543" i="8"/>
  <c r="B542" i="8"/>
  <c r="A542" i="8"/>
  <c r="B541" i="8"/>
  <c r="A541" i="8"/>
  <c r="B540" i="8"/>
  <c r="A540" i="8"/>
  <c r="B539" i="8"/>
  <c r="A539" i="8"/>
  <c r="B538" i="8"/>
  <c r="A538" i="8"/>
  <c r="B537" i="8"/>
  <c r="A537" i="8"/>
  <c r="B536" i="8"/>
  <c r="A536" i="8"/>
  <c r="B535" i="8"/>
  <c r="A535" i="8"/>
  <c r="B534" i="8"/>
  <c r="A534" i="8"/>
  <c r="B533" i="8"/>
  <c r="A533" i="8"/>
  <c r="B532" i="8"/>
  <c r="A532" i="8"/>
  <c r="B531" i="8"/>
  <c r="A531" i="8"/>
  <c r="B530" i="8"/>
  <c r="A530" i="8"/>
  <c r="B529" i="8"/>
  <c r="A529" i="8"/>
  <c r="B528" i="8"/>
  <c r="A528" i="8"/>
  <c r="B527" i="8"/>
  <c r="A527" i="8"/>
  <c r="B526" i="8"/>
  <c r="A526" i="8"/>
  <c r="B525" i="8"/>
  <c r="A525" i="8"/>
  <c r="B524" i="8"/>
  <c r="A524" i="8"/>
  <c r="B523" i="8"/>
  <c r="A523" i="8"/>
  <c r="B522" i="8"/>
  <c r="A522" i="8"/>
  <c r="B521" i="8"/>
  <c r="A521" i="8"/>
  <c r="B520" i="8"/>
  <c r="A520" i="8"/>
  <c r="B519" i="8"/>
  <c r="A519" i="8"/>
  <c r="B518" i="8"/>
  <c r="A518" i="8"/>
  <c r="B517" i="8"/>
  <c r="A517" i="8"/>
  <c r="B516" i="8"/>
  <c r="A516" i="8"/>
  <c r="B515" i="8"/>
  <c r="A515" i="8"/>
  <c r="B514" i="8"/>
  <c r="A514" i="8"/>
  <c r="B513" i="8"/>
  <c r="A513" i="8"/>
  <c r="B512" i="8"/>
  <c r="A512" i="8"/>
  <c r="B511" i="8"/>
  <c r="A511" i="8"/>
  <c r="B510" i="8"/>
  <c r="A510" i="8"/>
  <c r="B509" i="8"/>
  <c r="A509" i="8"/>
  <c r="B508" i="8"/>
  <c r="A508" i="8"/>
  <c r="B507" i="8"/>
  <c r="A507" i="8"/>
  <c r="B506" i="8"/>
  <c r="A506" i="8"/>
  <c r="B505" i="8"/>
  <c r="A505" i="8"/>
  <c r="B504" i="8"/>
  <c r="A504" i="8"/>
  <c r="B503" i="8"/>
  <c r="A503" i="8"/>
  <c r="B502" i="8"/>
  <c r="A502" i="8"/>
  <c r="B501" i="8"/>
  <c r="A501" i="8"/>
  <c r="B500" i="8"/>
  <c r="A500" i="8"/>
  <c r="B499" i="8"/>
  <c r="A499" i="8"/>
  <c r="B498" i="8"/>
  <c r="A498" i="8"/>
  <c r="B497" i="8"/>
  <c r="A497" i="8"/>
  <c r="B496" i="8"/>
  <c r="A496" i="8"/>
  <c r="B495" i="8"/>
  <c r="A495" i="8"/>
  <c r="B494" i="8"/>
  <c r="A494" i="8"/>
  <c r="B493" i="8"/>
  <c r="A493" i="8"/>
  <c r="B492" i="8"/>
  <c r="A492" i="8"/>
  <c r="B491" i="8"/>
  <c r="A491" i="8"/>
  <c r="B490" i="8"/>
  <c r="A490" i="8"/>
  <c r="B489" i="8"/>
  <c r="A489" i="8"/>
  <c r="B488" i="8"/>
  <c r="A488" i="8"/>
  <c r="B487" i="8"/>
  <c r="A487" i="8"/>
  <c r="B486" i="8"/>
  <c r="A486" i="8"/>
  <c r="B485" i="8"/>
  <c r="A485" i="8"/>
  <c r="B484" i="8"/>
  <c r="A484" i="8"/>
  <c r="B483" i="8"/>
  <c r="A483" i="8"/>
  <c r="B482" i="8"/>
  <c r="A482" i="8"/>
  <c r="B481" i="8"/>
  <c r="A481" i="8"/>
  <c r="B480" i="8"/>
  <c r="A480" i="8"/>
  <c r="B479" i="8"/>
  <c r="A479" i="8"/>
  <c r="B478" i="8"/>
  <c r="A478" i="8"/>
  <c r="B477" i="8"/>
  <c r="A477" i="8"/>
  <c r="B476" i="8"/>
  <c r="A476" i="8"/>
  <c r="B475" i="8"/>
  <c r="A475" i="8"/>
  <c r="B474" i="8"/>
  <c r="A474" i="8"/>
  <c r="B473" i="8"/>
  <c r="A473" i="8"/>
  <c r="B472" i="8"/>
  <c r="A472" i="8"/>
  <c r="B471" i="8"/>
  <c r="A471" i="8"/>
  <c r="B470" i="8"/>
  <c r="A470" i="8"/>
  <c r="B469" i="8"/>
  <c r="A469" i="8"/>
  <c r="B468" i="8"/>
  <c r="A468" i="8"/>
  <c r="B467" i="8"/>
  <c r="A467" i="8"/>
  <c r="B466" i="8"/>
  <c r="A466" i="8"/>
  <c r="B465" i="8"/>
  <c r="A465" i="8"/>
  <c r="B464" i="8"/>
  <c r="A464" i="8"/>
  <c r="B463" i="8"/>
  <c r="A463" i="8"/>
  <c r="B462" i="8"/>
  <c r="A462" i="8"/>
  <c r="B461" i="8"/>
  <c r="A461" i="8"/>
  <c r="B460" i="8"/>
  <c r="A460" i="8"/>
  <c r="B459" i="8"/>
  <c r="A459" i="8"/>
  <c r="B458" i="8"/>
  <c r="A458" i="8"/>
  <c r="B457" i="8"/>
  <c r="A457" i="8"/>
  <c r="B456" i="8"/>
  <c r="A456" i="8"/>
  <c r="B455" i="8"/>
  <c r="A455" i="8"/>
  <c r="B454" i="8"/>
  <c r="A454" i="8"/>
  <c r="B453" i="8"/>
  <c r="A453" i="8"/>
  <c r="B452" i="8"/>
  <c r="A452" i="8"/>
  <c r="B451" i="8"/>
  <c r="A451" i="8"/>
  <c r="B450" i="8"/>
  <c r="A450" i="8"/>
  <c r="B449" i="8"/>
  <c r="A449" i="8"/>
  <c r="B448" i="8"/>
  <c r="A448" i="8"/>
  <c r="B447" i="8"/>
  <c r="A447" i="8"/>
  <c r="B446" i="8"/>
  <c r="A446" i="8"/>
  <c r="B445" i="8"/>
  <c r="A445" i="8"/>
  <c r="B444" i="8"/>
  <c r="A444" i="8"/>
  <c r="B443" i="8"/>
  <c r="A443" i="8"/>
  <c r="B442" i="8"/>
  <c r="A442" i="8"/>
  <c r="B441" i="8"/>
  <c r="A441" i="8"/>
  <c r="B440" i="8"/>
  <c r="A440" i="8"/>
  <c r="B439" i="8"/>
  <c r="A439" i="8"/>
  <c r="B438" i="8"/>
  <c r="A438" i="8"/>
  <c r="B437" i="8"/>
  <c r="A437" i="8"/>
  <c r="B436" i="8"/>
  <c r="A436" i="8"/>
  <c r="B435" i="8"/>
  <c r="A435" i="8"/>
  <c r="B434" i="8"/>
  <c r="A434" i="8"/>
  <c r="B433" i="8"/>
  <c r="A433" i="8"/>
  <c r="B432" i="8"/>
  <c r="A432" i="8"/>
  <c r="B431" i="8"/>
  <c r="A431" i="8"/>
  <c r="B430" i="8"/>
  <c r="A430" i="8"/>
  <c r="B429" i="8"/>
  <c r="A429" i="8"/>
  <c r="B428" i="8"/>
  <c r="A428" i="8"/>
  <c r="B427" i="8"/>
  <c r="A427" i="8"/>
  <c r="B426" i="8"/>
  <c r="A426" i="8"/>
  <c r="B425" i="8"/>
  <c r="A425" i="8"/>
  <c r="B424" i="8"/>
  <c r="A424" i="8"/>
  <c r="B423" i="8"/>
  <c r="A423" i="8"/>
  <c r="B422" i="8"/>
  <c r="A422" i="8"/>
  <c r="B421" i="8"/>
  <c r="A421" i="8"/>
  <c r="B420" i="8"/>
  <c r="A420" i="8"/>
  <c r="B419" i="8"/>
  <c r="A419" i="8"/>
  <c r="B418" i="8"/>
  <c r="A418" i="8"/>
  <c r="B417" i="8"/>
  <c r="A417" i="8"/>
  <c r="B416" i="8"/>
  <c r="A416" i="8"/>
  <c r="B415" i="8"/>
  <c r="A415" i="8"/>
  <c r="B414" i="8"/>
  <c r="A414" i="8"/>
  <c r="B413" i="8"/>
  <c r="A413" i="8"/>
  <c r="B412" i="8"/>
  <c r="A412" i="8"/>
  <c r="B411" i="8"/>
  <c r="A411" i="8"/>
  <c r="B410" i="8"/>
  <c r="A410" i="8"/>
  <c r="B409" i="8"/>
  <c r="A409" i="8"/>
  <c r="B408" i="8"/>
  <c r="A408" i="8"/>
  <c r="B407" i="8"/>
  <c r="A407" i="8"/>
  <c r="B406" i="8"/>
  <c r="A406" i="8"/>
  <c r="B405" i="8"/>
  <c r="A405" i="8"/>
  <c r="B404" i="8"/>
  <c r="A404" i="8"/>
  <c r="B403" i="8"/>
  <c r="A403" i="8"/>
  <c r="B402" i="8"/>
  <c r="A402" i="8"/>
  <c r="B401" i="8"/>
  <c r="A401" i="8"/>
  <c r="B400" i="8"/>
  <c r="A400" i="8"/>
  <c r="B399" i="8"/>
  <c r="A399" i="8"/>
  <c r="B398" i="8"/>
  <c r="A398" i="8"/>
  <c r="B397" i="8"/>
  <c r="A397" i="8"/>
  <c r="B396" i="8"/>
  <c r="A396" i="8"/>
  <c r="B395" i="8"/>
  <c r="A395" i="8"/>
  <c r="B394" i="8"/>
  <c r="A394" i="8"/>
  <c r="B393" i="8"/>
  <c r="A393" i="8"/>
  <c r="B392" i="8"/>
  <c r="A392" i="8"/>
  <c r="B391" i="8"/>
  <c r="A391" i="8"/>
  <c r="B390" i="8"/>
  <c r="A390" i="8"/>
  <c r="B389" i="8"/>
  <c r="A389" i="8"/>
  <c r="B388" i="8"/>
  <c r="A388" i="8"/>
  <c r="B387" i="8"/>
  <c r="A387" i="8"/>
  <c r="B386" i="8"/>
  <c r="A386" i="8"/>
  <c r="B385" i="8"/>
  <c r="A385" i="8"/>
  <c r="B384" i="8"/>
  <c r="A384" i="8"/>
  <c r="B383" i="8"/>
  <c r="A383" i="8"/>
  <c r="B382" i="8"/>
  <c r="A382" i="8"/>
  <c r="B381" i="8"/>
  <c r="A381" i="8"/>
  <c r="B380" i="8"/>
  <c r="A380" i="8"/>
  <c r="B379" i="8"/>
  <c r="A379" i="8"/>
  <c r="B378" i="8"/>
  <c r="A378" i="8"/>
  <c r="B377" i="8"/>
  <c r="A377" i="8"/>
  <c r="B376" i="8"/>
  <c r="A376" i="8"/>
  <c r="B375" i="8"/>
  <c r="A375" i="8"/>
  <c r="B374" i="8"/>
  <c r="A374" i="8"/>
  <c r="B373" i="8"/>
  <c r="A373" i="8"/>
  <c r="B372" i="8"/>
  <c r="A372" i="8"/>
  <c r="B371" i="8"/>
  <c r="A371" i="8"/>
  <c r="B370" i="8"/>
  <c r="A370" i="8"/>
  <c r="B369" i="8"/>
  <c r="A369" i="8"/>
  <c r="B368" i="8"/>
  <c r="A368" i="8"/>
  <c r="B367" i="8"/>
  <c r="A367" i="8"/>
  <c r="B366" i="8"/>
  <c r="A366" i="8"/>
  <c r="B365" i="8"/>
  <c r="A365" i="8"/>
  <c r="B364" i="8"/>
  <c r="A364" i="8"/>
  <c r="B363" i="8"/>
  <c r="A363" i="8"/>
  <c r="B362" i="8"/>
  <c r="A362" i="8"/>
  <c r="B361" i="8"/>
  <c r="A361" i="8"/>
  <c r="B360" i="8"/>
  <c r="A360" i="8"/>
  <c r="B359" i="8"/>
  <c r="A359" i="8"/>
  <c r="B358" i="8"/>
  <c r="A358" i="8"/>
  <c r="B357" i="8"/>
  <c r="A357" i="8"/>
  <c r="B356" i="8"/>
  <c r="A356" i="8"/>
  <c r="B355" i="8"/>
  <c r="A355" i="8"/>
  <c r="B354" i="8"/>
  <c r="A354" i="8"/>
  <c r="B353" i="8"/>
  <c r="A353" i="8"/>
  <c r="B352" i="8"/>
  <c r="A352" i="8"/>
  <c r="B351" i="8"/>
  <c r="A351" i="8"/>
  <c r="B350" i="8"/>
  <c r="A350" i="8"/>
  <c r="B349" i="8"/>
  <c r="A349" i="8"/>
  <c r="B348" i="8"/>
  <c r="A348" i="8"/>
  <c r="B347" i="8"/>
  <c r="A347" i="8"/>
  <c r="B346" i="8"/>
  <c r="A346" i="8"/>
  <c r="B345" i="8"/>
  <c r="A345" i="8"/>
  <c r="B344" i="8"/>
  <c r="A344" i="8"/>
  <c r="B343" i="8"/>
  <c r="A343" i="8"/>
  <c r="B342" i="8"/>
  <c r="A342" i="8"/>
  <c r="B341" i="8"/>
  <c r="A341" i="8"/>
  <c r="B340" i="8"/>
  <c r="A340" i="8"/>
  <c r="B339" i="8"/>
  <c r="A339" i="8"/>
  <c r="B338" i="8"/>
  <c r="A338" i="8"/>
  <c r="B337" i="8"/>
  <c r="A337" i="8"/>
  <c r="B336" i="8"/>
  <c r="A336" i="8"/>
  <c r="B335" i="8"/>
  <c r="A335" i="8"/>
  <c r="B334" i="8"/>
  <c r="A334" i="8"/>
  <c r="B333" i="8"/>
  <c r="A333" i="8"/>
  <c r="B332" i="8"/>
  <c r="A332" i="8"/>
  <c r="B331" i="8"/>
  <c r="A331" i="8"/>
  <c r="B330" i="8"/>
  <c r="A330" i="8"/>
  <c r="B329" i="8"/>
  <c r="A329" i="8"/>
  <c r="B328" i="8"/>
  <c r="A328" i="8"/>
  <c r="B327" i="8"/>
  <c r="A327" i="8"/>
  <c r="B326" i="8"/>
  <c r="A326" i="8"/>
  <c r="B325" i="8"/>
  <c r="A325" i="8"/>
  <c r="B324" i="8"/>
  <c r="A324" i="8"/>
  <c r="B323" i="8"/>
  <c r="A323" i="8"/>
  <c r="B322" i="8"/>
  <c r="A322" i="8"/>
  <c r="B321" i="8"/>
  <c r="A321" i="8"/>
  <c r="B320" i="8"/>
  <c r="A320" i="8"/>
  <c r="B319" i="8"/>
  <c r="A319" i="8"/>
  <c r="B318" i="8"/>
  <c r="A318" i="8"/>
  <c r="B317" i="8"/>
  <c r="A317" i="8"/>
  <c r="B316" i="8"/>
  <c r="A316" i="8"/>
  <c r="B315" i="8"/>
  <c r="A315" i="8"/>
  <c r="B314" i="8"/>
  <c r="A314" i="8"/>
  <c r="B313" i="8"/>
  <c r="A313" i="8"/>
  <c r="B312" i="8"/>
  <c r="A312" i="8"/>
  <c r="B311" i="8"/>
  <c r="A311" i="8"/>
  <c r="B310" i="8"/>
  <c r="A310" i="8"/>
  <c r="B309" i="8"/>
  <c r="A309" i="8"/>
  <c r="L665" i="4"/>
  <c r="F665" i="4"/>
  <c r="E665" i="4"/>
  <c r="A665" i="4"/>
  <c r="L664" i="4"/>
  <c r="F664" i="4"/>
  <c r="E664" i="4"/>
  <c r="A664" i="4"/>
  <c r="L663" i="4"/>
  <c r="F663" i="4"/>
  <c r="E663" i="4"/>
  <c r="A663" i="4"/>
  <c r="L662" i="4"/>
  <c r="F662" i="4"/>
  <c r="E662" i="4"/>
  <c r="A662" i="4"/>
  <c r="L661" i="4"/>
  <c r="F661" i="4"/>
  <c r="E661" i="4"/>
  <c r="A661" i="4"/>
  <c r="L660" i="4"/>
  <c r="F660" i="4"/>
  <c r="E660" i="4"/>
  <c r="A660" i="4"/>
  <c r="L659" i="4"/>
  <c r="F659" i="4"/>
  <c r="E659" i="4"/>
  <c r="A659" i="4"/>
  <c r="L658" i="4"/>
  <c r="F658" i="4"/>
  <c r="E658" i="4"/>
  <c r="A658" i="4"/>
  <c r="L657" i="4"/>
  <c r="F657" i="4"/>
  <c r="E657" i="4"/>
  <c r="A657" i="4"/>
  <c r="L656" i="4"/>
  <c r="F656" i="4"/>
  <c r="E656" i="4"/>
  <c r="A656" i="4"/>
  <c r="L655" i="4"/>
  <c r="F655" i="4"/>
  <c r="E655" i="4"/>
  <c r="A655" i="4"/>
  <c r="L654" i="4"/>
  <c r="F654" i="4"/>
  <c r="E654" i="4"/>
  <c r="A654" i="4"/>
  <c r="L653" i="4"/>
  <c r="F653" i="4"/>
  <c r="E653" i="4"/>
  <c r="A653" i="4"/>
  <c r="L652" i="4"/>
  <c r="F652" i="4"/>
  <c r="E652" i="4"/>
  <c r="A652" i="4"/>
  <c r="L651" i="4"/>
  <c r="F651" i="4"/>
  <c r="E651" i="4"/>
  <c r="A651" i="4"/>
  <c r="L650" i="4"/>
  <c r="F650" i="4"/>
  <c r="E650" i="4"/>
  <c r="A650" i="4"/>
  <c r="L649" i="4"/>
  <c r="F649" i="4"/>
  <c r="E649" i="4"/>
  <c r="A649" i="4"/>
  <c r="L648" i="4"/>
  <c r="F648" i="4"/>
  <c r="E648" i="4"/>
  <c r="A648" i="4"/>
  <c r="L647" i="4"/>
  <c r="F647" i="4"/>
  <c r="E647" i="4"/>
  <c r="A647" i="4"/>
  <c r="L646" i="4"/>
  <c r="F646" i="4"/>
  <c r="E646" i="4"/>
  <c r="A646" i="4"/>
  <c r="L645" i="4"/>
  <c r="F645" i="4"/>
  <c r="E645" i="4"/>
  <c r="A645" i="4"/>
  <c r="L644" i="4"/>
  <c r="F644" i="4"/>
  <c r="E644" i="4"/>
  <c r="A644" i="4"/>
  <c r="L643" i="4"/>
  <c r="F643" i="4"/>
  <c r="E643" i="4"/>
  <c r="A643" i="4"/>
  <c r="L642" i="4"/>
  <c r="F642" i="4"/>
  <c r="E642" i="4"/>
  <c r="A642" i="4"/>
  <c r="L641" i="4"/>
  <c r="F641" i="4"/>
  <c r="E641" i="4"/>
  <c r="A641" i="4"/>
  <c r="L640" i="4"/>
  <c r="F640" i="4"/>
  <c r="E640" i="4"/>
  <c r="A640" i="4"/>
  <c r="L639" i="4"/>
  <c r="F639" i="4"/>
  <c r="E639" i="4"/>
  <c r="A639" i="4"/>
  <c r="L638" i="4"/>
  <c r="F638" i="4"/>
  <c r="E638" i="4"/>
  <c r="A638" i="4"/>
  <c r="L637" i="4"/>
  <c r="F637" i="4"/>
  <c r="E637" i="4"/>
  <c r="A637" i="4"/>
  <c r="L636" i="4"/>
  <c r="F636" i="4"/>
  <c r="E636" i="4"/>
  <c r="A636" i="4"/>
  <c r="L635" i="4"/>
  <c r="F635" i="4"/>
  <c r="E635" i="4"/>
  <c r="A635" i="4"/>
  <c r="L634" i="4"/>
  <c r="F634" i="4"/>
  <c r="E634" i="4"/>
  <c r="A634" i="4"/>
  <c r="L633" i="4"/>
  <c r="F633" i="4"/>
  <c r="E633" i="4"/>
  <c r="A633" i="4"/>
  <c r="L632" i="4"/>
  <c r="F632" i="4"/>
  <c r="E632" i="4"/>
  <c r="A632" i="4"/>
  <c r="L631" i="4"/>
  <c r="F631" i="4"/>
  <c r="E631" i="4"/>
  <c r="A631" i="4"/>
  <c r="L630" i="4"/>
  <c r="F630" i="4"/>
  <c r="E630" i="4"/>
  <c r="A630" i="4"/>
  <c r="L629" i="4"/>
  <c r="F629" i="4"/>
  <c r="E629" i="4"/>
  <c r="A629" i="4"/>
  <c r="L628" i="4"/>
  <c r="F628" i="4"/>
  <c r="E628" i="4"/>
  <c r="A628" i="4"/>
  <c r="L627" i="4"/>
  <c r="F627" i="4"/>
  <c r="E627" i="4"/>
  <c r="A627" i="4"/>
  <c r="L626" i="4"/>
  <c r="F626" i="4"/>
  <c r="E626" i="4"/>
  <c r="A626" i="4"/>
  <c r="L625" i="4"/>
  <c r="F625" i="4"/>
  <c r="E625" i="4"/>
  <c r="A625" i="4"/>
  <c r="L624" i="4"/>
  <c r="F624" i="4"/>
  <c r="E624" i="4"/>
  <c r="A624" i="4"/>
  <c r="L623" i="4"/>
  <c r="F623" i="4"/>
  <c r="E623" i="4"/>
  <c r="A623" i="4"/>
  <c r="L622" i="4"/>
  <c r="F622" i="4"/>
  <c r="E622" i="4"/>
  <c r="A622" i="4"/>
  <c r="L621" i="4"/>
  <c r="F621" i="4"/>
  <c r="E621" i="4"/>
  <c r="A621" i="4"/>
  <c r="L620" i="4"/>
  <c r="F620" i="4"/>
  <c r="E620" i="4"/>
  <c r="A620" i="4"/>
  <c r="L619" i="4"/>
  <c r="F619" i="4"/>
  <c r="E619" i="4"/>
  <c r="A619" i="4"/>
  <c r="L618" i="4"/>
  <c r="F618" i="4"/>
  <c r="E618" i="4"/>
  <c r="A618" i="4"/>
  <c r="L617" i="4"/>
  <c r="F617" i="4"/>
  <c r="E617" i="4"/>
  <c r="A617" i="4"/>
  <c r="L616" i="4"/>
  <c r="F616" i="4"/>
  <c r="E616" i="4"/>
  <c r="A616" i="4"/>
  <c r="L615" i="4"/>
  <c r="F615" i="4"/>
  <c r="E615" i="4"/>
  <c r="A615" i="4"/>
  <c r="L614" i="4"/>
  <c r="F614" i="4"/>
  <c r="E614" i="4"/>
  <c r="A614" i="4"/>
  <c r="L613" i="4"/>
  <c r="F613" i="4"/>
  <c r="E613" i="4"/>
  <c r="A613" i="4"/>
  <c r="L612" i="4"/>
  <c r="F612" i="4"/>
  <c r="E612" i="4"/>
  <c r="A612" i="4"/>
  <c r="L611" i="4"/>
  <c r="F611" i="4"/>
  <c r="E611" i="4"/>
  <c r="A611" i="4"/>
  <c r="L610" i="4"/>
  <c r="F610" i="4"/>
  <c r="E610" i="4"/>
  <c r="A610" i="4"/>
  <c r="L609" i="4"/>
  <c r="F609" i="4"/>
  <c r="E609" i="4"/>
  <c r="A609" i="4"/>
  <c r="L608" i="4"/>
  <c r="F608" i="4"/>
  <c r="E608" i="4"/>
  <c r="A608" i="4"/>
  <c r="L607" i="4"/>
  <c r="F607" i="4"/>
  <c r="E607" i="4"/>
  <c r="A607" i="4"/>
  <c r="L606" i="4"/>
  <c r="F606" i="4"/>
  <c r="E606" i="4"/>
  <c r="A606" i="4"/>
  <c r="L605" i="4"/>
  <c r="F605" i="4"/>
  <c r="E605" i="4"/>
  <c r="A605" i="4"/>
  <c r="L604" i="4"/>
  <c r="F604" i="4"/>
  <c r="E604" i="4"/>
  <c r="A604" i="4"/>
  <c r="L603" i="4"/>
  <c r="F603" i="4"/>
  <c r="E603" i="4"/>
  <c r="A603" i="4"/>
  <c r="L602" i="4"/>
  <c r="F602" i="4"/>
  <c r="E602" i="4"/>
  <c r="A602" i="4"/>
  <c r="L601" i="4"/>
  <c r="F601" i="4"/>
  <c r="E601" i="4"/>
  <c r="A601" i="4"/>
  <c r="L600" i="4"/>
  <c r="F600" i="4"/>
  <c r="E600" i="4"/>
  <c r="A600" i="4"/>
  <c r="L599" i="4"/>
  <c r="F599" i="4"/>
  <c r="E599" i="4"/>
  <c r="A599" i="4"/>
  <c r="L598" i="4"/>
  <c r="F598" i="4"/>
  <c r="E598" i="4"/>
  <c r="A598" i="4"/>
  <c r="L597" i="4"/>
  <c r="F597" i="4"/>
  <c r="E597" i="4"/>
  <c r="A597" i="4"/>
  <c r="L596" i="4"/>
  <c r="F596" i="4"/>
  <c r="E596" i="4"/>
  <c r="A596" i="4"/>
  <c r="L595" i="4"/>
  <c r="F595" i="4"/>
  <c r="E595" i="4"/>
  <c r="A595" i="4"/>
  <c r="L594" i="4"/>
  <c r="F594" i="4"/>
  <c r="E594" i="4"/>
  <c r="A594" i="4"/>
  <c r="L593" i="4"/>
  <c r="F593" i="4"/>
  <c r="E593" i="4"/>
  <c r="A593" i="4"/>
  <c r="L592" i="4"/>
  <c r="F592" i="4"/>
  <c r="E592" i="4"/>
  <c r="A592" i="4"/>
  <c r="L591" i="4"/>
  <c r="F591" i="4"/>
  <c r="E591" i="4"/>
  <c r="A591" i="4"/>
  <c r="L590" i="4"/>
  <c r="F590" i="4"/>
  <c r="E590" i="4"/>
  <c r="A590" i="4"/>
  <c r="L589" i="4"/>
  <c r="F589" i="4"/>
  <c r="E589" i="4"/>
  <c r="A589" i="4"/>
  <c r="L588" i="4"/>
  <c r="F588" i="4"/>
  <c r="E588" i="4"/>
  <c r="A588" i="4"/>
  <c r="L587" i="4"/>
  <c r="F587" i="4"/>
  <c r="E587" i="4"/>
  <c r="A587" i="4"/>
  <c r="L586" i="4"/>
  <c r="F586" i="4"/>
  <c r="E586" i="4"/>
  <c r="A586" i="4"/>
  <c r="L585" i="4"/>
  <c r="F585" i="4"/>
  <c r="E585" i="4"/>
  <c r="A585" i="4"/>
  <c r="L584" i="4"/>
  <c r="F584" i="4"/>
  <c r="E584" i="4"/>
  <c r="A584" i="4"/>
  <c r="L583" i="4"/>
  <c r="F583" i="4"/>
  <c r="E583" i="4"/>
  <c r="A583" i="4"/>
  <c r="L582" i="4"/>
  <c r="F582" i="4"/>
  <c r="E582" i="4"/>
  <c r="A582" i="4"/>
  <c r="L581" i="4"/>
  <c r="F581" i="4"/>
  <c r="E581" i="4"/>
  <c r="A581" i="4"/>
  <c r="L580" i="4"/>
  <c r="F580" i="4"/>
  <c r="E580" i="4"/>
  <c r="A580" i="4"/>
  <c r="L579" i="4"/>
  <c r="F579" i="4"/>
  <c r="E579" i="4"/>
  <c r="A579" i="4"/>
  <c r="L578" i="4"/>
  <c r="F578" i="4"/>
  <c r="E578" i="4"/>
  <c r="A578" i="4"/>
  <c r="L577" i="4"/>
  <c r="F577" i="4"/>
  <c r="E577" i="4"/>
  <c r="A577" i="4"/>
  <c r="L576" i="4"/>
  <c r="F576" i="4"/>
  <c r="E576" i="4"/>
  <c r="A576" i="4"/>
  <c r="L575" i="4"/>
  <c r="F575" i="4"/>
  <c r="E575" i="4"/>
  <c r="A575" i="4"/>
  <c r="L574" i="4"/>
  <c r="F574" i="4"/>
  <c r="E574" i="4"/>
  <c r="A574" i="4"/>
  <c r="L573" i="4"/>
  <c r="F573" i="4"/>
  <c r="E573" i="4"/>
  <c r="A573" i="4"/>
  <c r="L572" i="4"/>
  <c r="F572" i="4"/>
  <c r="E572" i="4"/>
  <c r="A572" i="4"/>
  <c r="L571" i="4"/>
  <c r="F571" i="4"/>
  <c r="E571" i="4"/>
  <c r="A571" i="4"/>
  <c r="L570" i="4"/>
  <c r="F570" i="4"/>
  <c r="E570" i="4"/>
  <c r="A570" i="4"/>
  <c r="L569" i="4"/>
  <c r="F569" i="4"/>
  <c r="E569" i="4"/>
  <c r="A569" i="4"/>
  <c r="L568" i="4"/>
  <c r="F568" i="4"/>
  <c r="E568" i="4"/>
  <c r="A568" i="4"/>
  <c r="L567" i="4"/>
  <c r="F567" i="4"/>
  <c r="E567" i="4"/>
  <c r="A567" i="4"/>
  <c r="L566" i="4"/>
  <c r="F566" i="4"/>
  <c r="E566" i="4"/>
  <c r="A566" i="4"/>
  <c r="L565" i="4"/>
  <c r="F565" i="4"/>
  <c r="E565" i="4"/>
  <c r="A565" i="4"/>
  <c r="L564" i="4"/>
  <c r="F564" i="4"/>
  <c r="E564" i="4"/>
  <c r="A564" i="4"/>
  <c r="L563" i="4"/>
  <c r="F563" i="4"/>
  <c r="E563" i="4"/>
  <c r="A563" i="4"/>
  <c r="L562" i="4"/>
  <c r="F562" i="4"/>
  <c r="E562" i="4"/>
  <c r="A562" i="4"/>
  <c r="L561" i="4"/>
  <c r="F561" i="4"/>
  <c r="E561" i="4"/>
  <c r="A561" i="4"/>
  <c r="L560" i="4"/>
  <c r="F560" i="4"/>
  <c r="E560" i="4"/>
  <c r="A560" i="4"/>
  <c r="L559" i="4"/>
  <c r="F559" i="4"/>
  <c r="E559" i="4"/>
  <c r="A559" i="4"/>
  <c r="L558" i="4"/>
  <c r="F558" i="4"/>
  <c r="E558" i="4"/>
  <c r="A558" i="4"/>
  <c r="L557" i="4"/>
  <c r="F557" i="4"/>
  <c r="E557" i="4"/>
  <c r="A557" i="4"/>
  <c r="L556" i="4"/>
  <c r="F556" i="4"/>
  <c r="E556" i="4"/>
  <c r="A556" i="4"/>
  <c r="L555" i="4"/>
  <c r="F555" i="4"/>
  <c r="E555" i="4"/>
  <c r="A555" i="4"/>
  <c r="L554" i="4"/>
  <c r="F554" i="4"/>
  <c r="E554" i="4"/>
  <c r="A554" i="4"/>
  <c r="L553" i="4"/>
  <c r="F553" i="4"/>
  <c r="E553" i="4"/>
  <c r="A553" i="4"/>
  <c r="L552" i="4"/>
  <c r="F552" i="4"/>
  <c r="E552" i="4"/>
  <c r="A552" i="4"/>
  <c r="L551" i="4"/>
  <c r="F551" i="4"/>
  <c r="E551" i="4"/>
  <c r="A551" i="4"/>
  <c r="L550" i="4"/>
  <c r="F550" i="4"/>
  <c r="E550" i="4"/>
  <c r="A550" i="4"/>
  <c r="L549" i="4"/>
  <c r="F549" i="4"/>
  <c r="E549" i="4"/>
  <c r="A549" i="4"/>
  <c r="L548" i="4"/>
  <c r="F548" i="4"/>
  <c r="E548" i="4"/>
  <c r="A548" i="4"/>
  <c r="L547" i="4"/>
  <c r="F547" i="4"/>
  <c r="E547" i="4"/>
  <c r="A547" i="4"/>
  <c r="L546" i="4"/>
  <c r="F546" i="4"/>
  <c r="E546" i="4"/>
  <c r="A546" i="4"/>
  <c r="L545" i="4"/>
  <c r="F545" i="4"/>
  <c r="E545" i="4"/>
  <c r="A545" i="4"/>
  <c r="L544" i="4"/>
  <c r="F544" i="4"/>
  <c r="E544" i="4"/>
  <c r="A544" i="4"/>
  <c r="L543" i="4"/>
  <c r="F543" i="4"/>
  <c r="E543" i="4"/>
  <c r="A543" i="4"/>
  <c r="L542" i="4"/>
  <c r="F542" i="4"/>
  <c r="E542" i="4"/>
  <c r="A542" i="4"/>
  <c r="L541" i="4"/>
  <c r="F541" i="4"/>
  <c r="E541" i="4"/>
  <c r="A541" i="4"/>
  <c r="L540" i="4"/>
  <c r="F540" i="4"/>
  <c r="E540" i="4"/>
  <c r="A540" i="4"/>
  <c r="L539" i="4"/>
  <c r="F539" i="4"/>
  <c r="E539" i="4"/>
  <c r="A539" i="4"/>
  <c r="L538" i="4"/>
  <c r="F538" i="4"/>
  <c r="E538" i="4"/>
  <c r="A538" i="4"/>
  <c r="L537" i="4"/>
  <c r="F537" i="4"/>
  <c r="E537" i="4"/>
  <c r="A537" i="4"/>
  <c r="L536" i="4"/>
  <c r="F536" i="4"/>
  <c r="E536" i="4"/>
  <c r="A536" i="4"/>
  <c r="L535" i="4"/>
  <c r="F535" i="4"/>
  <c r="E535" i="4"/>
  <c r="A535" i="4"/>
  <c r="L534" i="4"/>
  <c r="F534" i="4"/>
  <c r="E534" i="4"/>
  <c r="A534" i="4"/>
  <c r="L533" i="4"/>
  <c r="F533" i="4"/>
  <c r="E533" i="4"/>
  <c r="A533" i="4"/>
  <c r="L532" i="4"/>
  <c r="F532" i="4"/>
  <c r="E532" i="4"/>
  <c r="A532" i="4"/>
  <c r="L531" i="4"/>
  <c r="F531" i="4"/>
  <c r="E531" i="4"/>
  <c r="A531" i="4"/>
  <c r="L530" i="4"/>
  <c r="F530" i="4"/>
  <c r="E530" i="4"/>
  <c r="A530" i="4"/>
  <c r="L529" i="4"/>
  <c r="F529" i="4"/>
  <c r="E529" i="4"/>
  <c r="A529" i="4"/>
  <c r="L528" i="4"/>
  <c r="F528" i="4"/>
  <c r="E528" i="4"/>
  <c r="A528" i="4"/>
  <c r="L527" i="4"/>
  <c r="F527" i="4"/>
  <c r="E527" i="4"/>
  <c r="A527" i="4"/>
  <c r="L526" i="4"/>
  <c r="F526" i="4"/>
  <c r="E526" i="4"/>
  <c r="A526" i="4"/>
  <c r="L525" i="4"/>
  <c r="F525" i="4"/>
  <c r="E525" i="4"/>
  <c r="A525" i="4"/>
  <c r="L524" i="4"/>
  <c r="F524" i="4"/>
  <c r="E524" i="4"/>
  <c r="A524" i="4"/>
  <c r="L523" i="4"/>
  <c r="F523" i="4"/>
  <c r="E523" i="4"/>
  <c r="A523" i="4"/>
  <c r="L522" i="4"/>
  <c r="F522" i="4"/>
  <c r="E522" i="4"/>
  <c r="A522" i="4"/>
  <c r="L521" i="4"/>
  <c r="F521" i="4"/>
  <c r="E521" i="4"/>
  <c r="A521" i="4"/>
  <c r="L520" i="4"/>
  <c r="F520" i="4"/>
  <c r="E520" i="4"/>
  <c r="A520" i="4"/>
  <c r="L519" i="4"/>
  <c r="F519" i="4"/>
  <c r="E519" i="4"/>
  <c r="A519" i="4"/>
  <c r="L518" i="4"/>
  <c r="F518" i="4"/>
  <c r="E518" i="4"/>
  <c r="A518" i="4"/>
  <c r="L517" i="4"/>
  <c r="F517" i="4"/>
  <c r="E517" i="4"/>
  <c r="A517" i="4"/>
  <c r="L516" i="4"/>
  <c r="F516" i="4"/>
  <c r="E516" i="4"/>
  <c r="A516" i="4"/>
  <c r="L515" i="4"/>
  <c r="F515" i="4"/>
  <c r="E515" i="4"/>
  <c r="A515" i="4"/>
  <c r="L514" i="4"/>
  <c r="F514" i="4"/>
  <c r="E514" i="4"/>
  <c r="A514" i="4"/>
  <c r="L513" i="4"/>
  <c r="F513" i="4"/>
  <c r="E513" i="4"/>
  <c r="A513" i="4"/>
  <c r="L512" i="4"/>
  <c r="F512" i="4"/>
  <c r="E512" i="4"/>
  <c r="A512" i="4"/>
  <c r="L511" i="4"/>
  <c r="F511" i="4"/>
  <c r="E511" i="4"/>
  <c r="A511" i="4"/>
  <c r="L510" i="4"/>
  <c r="F510" i="4"/>
  <c r="E510" i="4"/>
  <c r="A510" i="4"/>
  <c r="L509" i="4"/>
  <c r="F509" i="4"/>
  <c r="E509" i="4"/>
  <c r="A509" i="4"/>
  <c r="L508" i="4"/>
  <c r="F508" i="4"/>
  <c r="E508" i="4"/>
  <c r="A508" i="4"/>
  <c r="L507" i="4"/>
  <c r="F507" i="4"/>
  <c r="E507" i="4"/>
  <c r="A507" i="4"/>
  <c r="L506" i="4"/>
  <c r="F506" i="4"/>
  <c r="E506" i="4"/>
  <c r="A506" i="4"/>
  <c r="L505" i="4"/>
  <c r="F505" i="4"/>
  <c r="E505" i="4"/>
  <c r="A505" i="4"/>
  <c r="L504" i="4"/>
  <c r="F504" i="4"/>
  <c r="E504" i="4"/>
  <c r="A504" i="4"/>
  <c r="L503" i="4"/>
  <c r="F503" i="4"/>
  <c r="E503" i="4"/>
  <c r="A503" i="4"/>
  <c r="L502" i="4"/>
  <c r="F502" i="4"/>
  <c r="E502" i="4"/>
  <c r="A502" i="4"/>
  <c r="L501" i="4"/>
  <c r="F501" i="4"/>
  <c r="E501" i="4"/>
  <c r="A501" i="4"/>
  <c r="L500" i="4"/>
  <c r="F500" i="4"/>
  <c r="E500" i="4"/>
  <c r="A500" i="4"/>
  <c r="L499" i="4"/>
  <c r="F499" i="4"/>
  <c r="E499" i="4"/>
  <c r="A499" i="4"/>
  <c r="L498" i="4"/>
  <c r="F498" i="4"/>
  <c r="E498" i="4"/>
  <c r="A498" i="4"/>
  <c r="L497" i="4"/>
  <c r="F497" i="4"/>
  <c r="E497" i="4"/>
  <c r="A497" i="4"/>
  <c r="L496" i="4"/>
  <c r="F496" i="4"/>
  <c r="E496" i="4"/>
  <c r="A496" i="4"/>
  <c r="L495" i="4"/>
  <c r="F495" i="4"/>
  <c r="E495" i="4"/>
  <c r="A495" i="4"/>
  <c r="L494" i="4"/>
  <c r="F494" i="4"/>
  <c r="E494" i="4"/>
  <c r="A494" i="4"/>
  <c r="L493" i="4"/>
  <c r="F493" i="4"/>
  <c r="E493" i="4"/>
  <c r="A493" i="4"/>
  <c r="L492" i="4"/>
  <c r="F492" i="4"/>
  <c r="E492" i="4"/>
  <c r="A492" i="4"/>
  <c r="L491" i="4"/>
  <c r="F491" i="4"/>
  <c r="E491" i="4"/>
  <c r="A491" i="4"/>
  <c r="L490" i="4"/>
  <c r="F490" i="4"/>
  <c r="E490" i="4"/>
  <c r="A490" i="4"/>
  <c r="L489" i="4"/>
  <c r="F489" i="4"/>
  <c r="E489" i="4"/>
  <c r="A489" i="4"/>
  <c r="L488" i="4"/>
  <c r="F488" i="4"/>
  <c r="E488" i="4"/>
  <c r="A488" i="4"/>
  <c r="L487" i="4"/>
  <c r="F487" i="4"/>
  <c r="E487" i="4"/>
  <c r="A487" i="4"/>
  <c r="L486" i="4"/>
  <c r="F486" i="4"/>
  <c r="E486" i="4"/>
  <c r="A486" i="4"/>
  <c r="L485" i="4"/>
  <c r="F485" i="4"/>
  <c r="E485" i="4"/>
  <c r="A485" i="4"/>
  <c r="L484" i="4"/>
  <c r="F484" i="4"/>
  <c r="E484" i="4"/>
  <c r="A484" i="4"/>
  <c r="L483" i="4"/>
  <c r="F483" i="4"/>
  <c r="E483" i="4"/>
  <c r="A483" i="4"/>
  <c r="L482" i="4"/>
  <c r="F482" i="4"/>
  <c r="E482" i="4"/>
  <c r="A482" i="4"/>
  <c r="L481" i="4"/>
  <c r="F481" i="4"/>
  <c r="E481" i="4"/>
  <c r="A481" i="4"/>
  <c r="L480" i="4"/>
  <c r="F480" i="4"/>
  <c r="E480" i="4"/>
  <c r="A480" i="4"/>
  <c r="L479" i="4"/>
  <c r="F479" i="4"/>
  <c r="E479" i="4"/>
  <c r="A479" i="4"/>
  <c r="L478" i="4"/>
  <c r="F478" i="4"/>
  <c r="E478" i="4"/>
  <c r="A478" i="4"/>
  <c r="L477" i="4"/>
  <c r="F477" i="4"/>
  <c r="E477" i="4"/>
  <c r="A477" i="4"/>
  <c r="L476" i="4"/>
  <c r="F476" i="4"/>
  <c r="E476" i="4"/>
  <c r="A476" i="4"/>
  <c r="L475" i="4"/>
  <c r="F475" i="4"/>
  <c r="E475" i="4"/>
  <c r="A475" i="4"/>
  <c r="L474" i="4"/>
  <c r="F474" i="4"/>
  <c r="E474" i="4"/>
  <c r="A474" i="4"/>
  <c r="L473" i="4"/>
  <c r="F473" i="4"/>
  <c r="E473" i="4"/>
  <c r="A473" i="4"/>
  <c r="L472" i="4"/>
  <c r="F472" i="4"/>
  <c r="E472" i="4"/>
  <c r="A472" i="4"/>
  <c r="L471" i="4"/>
  <c r="F471" i="4"/>
  <c r="E471" i="4"/>
  <c r="A471" i="4"/>
  <c r="L470" i="4"/>
  <c r="F470" i="4"/>
  <c r="E470" i="4"/>
  <c r="A470" i="4"/>
  <c r="L469" i="4"/>
  <c r="F469" i="4"/>
  <c r="E469" i="4"/>
  <c r="A469" i="4"/>
  <c r="L468" i="4"/>
  <c r="F468" i="4"/>
  <c r="E468" i="4"/>
  <c r="A468" i="4"/>
  <c r="L467" i="4"/>
  <c r="F467" i="4"/>
  <c r="E467" i="4"/>
  <c r="A467" i="4"/>
  <c r="L466" i="4"/>
  <c r="F466" i="4"/>
  <c r="E466" i="4"/>
  <c r="A466" i="4"/>
  <c r="L465" i="4"/>
  <c r="F465" i="4"/>
  <c r="E465" i="4"/>
  <c r="A465" i="4"/>
  <c r="L464" i="4"/>
  <c r="F464" i="4"/>
  <c r="E464" i="4"/>
  <c r="A464" i="4"/>
  <c r="L463" i="4"/>
  <c r="F463" i="4"/>
  <c r="E463" i="4"/>
  <c r="A463" i="4"/>
  <c r="L462" i="4"/>
  <c r="F462" i="4"/>
  <c r="E462" i="4"/>
  <c r="A462" i="4"/>
  <c r="L461" i="4"/>
  <c r="F461" i="4"/>
  <c r="E461" i="4"/>
  <c r="A461" i="4"/>
  <c r="L460" i="4"/>
  <c r="F460" i="4"/>
  <c r="E460" i="4"/>
  <c r="A460" i="4"/>
  <c r="L459" i="4"/>
  <c r="F459" i="4"/>
  <c r="E459" i="4"/>
  <c r="A459" i="4"/>
  <c r="L458" i="4"/>
  <c r="F458" i="4"/>
  <c r="E458" i="4"/>
  <c r="A458" i="4"/>
  <c r="L457" i="4"/>
  <c r="F457" i="4"/>
  <c r="E457" i="4"/>
  <c r="A457" i="4"/>
  <c r="L456" i="4"/>
  <c r="F456" i="4"/>
  <c r="E456" i="4"/>
  <c r="A456" i="4"/>
  <c r="L455" i="4"/>
  <c r="F455" i="4"/>
  <c r="E455" i="4"/>
  <c r="A455" i="4"/>
  <c r="L454" i="4"/>
  <c r="F454" i="4"/>
  <c r="E454" i="4"/>
  <c r="A454" i="4"/>
  <c r="L453" i="4"/>
  <c r="F453" i="4"/>
  <c r="E453" i="4"/>
  <c r="A453" i="4"/>
  <c r="L452" i="4"/>
  <c r="F452" i="4"/>
  <c r="E452" i="4"/>
  <c r="A452" i="4"/>
  <c r="L451" i="4"/>
  <c r="F451" i="4"/>
  <c r="E451" i="4"/>
  <c r="A451" i="4"/>
  <c r="L450" i="4"/>
  <c r="F450" i="4"/>
  <c r="E450" i="4"/>
  <c r="A450" i="4"/>
  <c r="L449" i="4"/>
  <c r="F449" i="4"/>
  <c r="E449" i="4"/>
  <c r="A449" i="4"/>
  <c r="L448" i="4"/>
  <c r="F448" i="4"/>
  <c r="E448" i="4"/>
  <c r="A448" i="4"/>
  <c r="L447" i="4"/>
  <c r="F447" i="4"/>
  <c r="E447" i="4"/>
  <c r="A447" i="4"/>
  <c r="L446" i="4"/>
  <c r="F446" i="4"/>
  <c r="E446" i="4"/>
  <c r="A446" i="4"/>
  <c r="L445" i="4"/>
  <c r="F445" i="4"/>
  <c r="E445" i="4"/>
  <c r="A445" i="4"/>
  <c r="L444" i="4"/>
  <c r="F444" i="4"/>
  <c r="E444" i="4"/>
  <c r="A444" i="4"/>
  <c r="L443" i="4"/>
  <c r="F443" i="4"/>
  <c r="E443" i="4"/>
  <c r="A443" i="4"/>
  <c r="L442" i="4"/>
  <c r="F442" i="4"/>
  <c r="E442" i="4"/>
  <c r="A442" i="4"/>
  <c r="L441" i="4"/>
  <c r="F441" i="4"/>
  <c r="E441" i="4"/>
  <c r="A441" i="4"/>
  <c r="L440" i="4"/>
  <c r="F440" i="4"/>
  <c r="E440" i="4"/>
  <c r="A440" i="4"/>
  <c r="L439" i="4"/>
  <c r="F439" i="4"/>
  <c r="E439" i="4"/>
  <c r="A439" i="4"/>
  <c r="L438" i="4"/>
  <c r="F438" i="4"/>
  <c r="E438" i="4"/>
  <c r="A438" i="4"/>
  <c r="L437" i="4"/>
  <c r="F437" i="4"/>
  <c r="E437" i="4"/>
  <c r="A437" i="4"/>
  <c r="L436" i="4"/>
  <c r="F436" i="4"/>
  <c r="E436" i="4"/>
  <c r="A436" i="4"/>
  <c r="L435" i="4"/>
  <c r="F435" i="4"/>
  <c r="E435" i="4"/>
  <c r="A435" i="4"/>
  <c r="L434" i="4"/>
  <c r="F434" i="4"/>
  <c r="E434" i="4"/>
  <c r="A434" i="4"/>
  <c r="L433" i="4"/>
  <c r="F433" i="4"/>
  <c r="E433" i="4"/>
  <c r="A433" i="4"/>
  <c r="L432" i="4"/>
  <c r="F432" i="4"/>
  <c r="E432" i="4"/>
  <c r="A432" i="4"/>
  <c r="L431" i="4"/>
  <c r="F431" i="4"/>
  <c r="E431" i="4"/>
  <c r="A431" i="4"/>
  <c r="L430" i="4"/>
  <c r="F430" i="4"/>
  <c r="E430" i="4"/>
  <c r="A430" i="4"/>
  <c r="L429" i="4"/>
  <c r="F429" i="4"/>
  <c r="E429" i="4"/>
  <c r="A429" i="4"/>
  <c r="L428" i="4"/>
  <c r="F428" i="4"/>
  <c r="E428" i="4"/>
  <c r="A428" i="4"/>
  <c r="L427" i="4"/>
  <c r="F427" i="4"/>
  <c r="E427" i="4"/>
  <c r="A427" i="4"/>
  <c r="L426" i="4"/>
  <c r="F426" i="4"/>
  <c r="E426" i="4"/>
  <c r="A426" i="4"/>
  <c r="L425" i="4"/>
  <c r="F425" i="4"/>
  <c r="E425" i="4"/>
  <c r="A425" i="4"/>
  <c r="L424" i="4"/>
  <c r="F424" i="4"/>
  <c r="E424" i="4"/>
  <c r="A424" i="4"/>
  <c r="L423" i="4"/>
  <c r="F423" i="4"/>
  <c r="E423" i="4"/>
  <c r="A423" i="4"/>
  <c r="L422" i="4"/>
  <c r="F422" i="4"/>
  <c r="E422" i="4"/>
  <c r="A422" i="4"/>
  <c r="L421" i="4"/>
  <c r="F421" i="4"/>
  <c r="E421" i="4"/>
  <c r="A421" i="4"/>
  <c r="L420" i="4"/>
  <c r="F420" i="4"/>
  <c r="E420" i="4"/>
  <c r="A420" i="4"/>
  <c r="L419" i="4"/>
  <c r="F419" i="4"/>
  <c r="E419" i="4"/>
  <c r="A419" i="4"/>
  <c r="L418" i="4"/>
  <c r="F418" i="4"/>
  <c r="E418" i="4"/>
  <c r="A418" i="4"/>
  <c r="L417" i="4"/>
  <c r="F417" i="4"/>
  <c r="E417" i="4"/>
  <c r="A417" i="4"/>
  <c r="L416" i="4"/>
  <c r="F416" i="4"/>
  <c r="E416" i="4"/>
  <c r="A416" i="4"/>
  <c r="L415" i="4"/>
  <c r="F415" i="4"/>
  <c r="E415" i="4"/>
  <c r="A415" i="4"/>
  <c r="L414" i="4"/>
  <c r="F414" i="4"/>
  <c r="E414" i="4"/>
  <c r="A414" i="4"/>
  <c r="L413" i="4"/>
  <c r="F413" i="4"/>
  <c r="E413" i="4"/>
  <c r="A413" i="4"/>
  <c r="L412" i="4"/>
  <c r="F412" i="4"/>
  <c r="E412" i="4"/>
  <c r="A412" i="4"/>
  <c r="L411" i="4"/>
  <c r="F411" i="4"/>
  <c r="E411" i="4"/>
  <c r="A411" i="4"/>
  <c r="L410" i="4"/>
  <c r="F410" i="4"/>
  <c r="E410" i="4"/>
  <c r="A410" i="4"/>
  <c r="L409" i="4"/>
  <c r="F409" i="4"/>
  <c r="E409" i="4"/>
  <c r="A409" i="4"/>
  <c r="L408" i="4"/>
  <c r="F408" i="4"/>
  <c r="E408" i="4"/>
  <c r="A408" i="4"/>
  <c r="L407" i="4"/>
  <c r="F407" i="4"/>
  <c r="E407" i="4"/>
  <c r="A407" i="4"/>
  <c r="L406" i="4"/>
  <c r="F406" i="4"/>
  <c r="E406" i="4"/>
  <c r="A406" i="4"/>
  <c r="L405" i="4"/>
  <c r="F405" i="4"/>
  <c r="E405" i="4"/>
  <c r="A405" i="4"/>
  <c r="L404" i="4"/>
  <c r="F404" i="4"/>
  <c r="E404" i="4"/>
  <c r="A404" i="4"/>
  <c r="L403" i="4"/>
  <c r="F403" i="4"/>
  <c r="E403" i="4"/>
  <c r="A403" i="4"/>
  <c r="L402" i="4"/>
  <c r="F402" i="4"/>
  <c r="E402" i="4"/>
  <c r="A402" i="4"/>
  <c r="L401" i="4"/>
  <c r="F401" i="4"/>
  <c r="E401" i="4"/>
  <c r="A401" i="4"/>
  <c r="L400" i="4"/>
  <c r="F400" i="4"/>
  <c r="E400" i="4"/>
  <c r="A400" i="4"/>
  <c r="L399" i="4"/>
  <c r="F399" i="4"/>
  <c r="E399" i="4"/>
  <c r="A399" i="4"/>
  <c r="L398" i="4"/>
  <c r="F398" i="4"/>
  <c r="E398" i="4"/>
  <c r="A398" i="4"/>
  <c r="L397" i="4"/>
  <c r="F397" i="4"/>
  <c r="E397" i="4"/>
  <c r="A397" i="4"/>
  <c r="L396" i="4"/>
  <c r="F396" i="4"/>
  <c r="E396" i="4"/>
  <c r="A396" i="4"/>
  <c r="L395" i="4"/>
  <c r="F395" i="4"/>
  <c r="E395" i="4"/>
  <c r="A395" i="4"/>
  <c r="L394" i="4"/>
  <c r="F394" i="4"/>
  <c r="E394" i="4"/>
  <c r="A394" i="4"/>
  <c r="L393" i="4"/>
  <c r="F393" i="4"/>
  <c r="E393" i="4"/>
  <c r="A393" i="4"/>
  <c r="L392" i="4"/>
  <c r="F392" i="4"/>
  <c r="E392" i="4"/>
  <c r="A392" i="4"/>
  <c r="L391" i="4"/>
  <c r="F391" i="4"/>
  <c r="E391" i="4"/>
  <c r="A391" i="4"/>
  <c r="L390" i="4"/>
  <c r="F390" i="4"/>
  <c r="E390" i="4"/>
  <c r="A390" i="4"/>
  <c r="L389" i="4"/>
  <c r="F389" i="4"/>
  <c r="E389" i="4"/>
  <c r="A389" i="4"/>
  <c r="L388" i="4"/>
  <c r="F388" i="4"/>
  <c r="E388" i="4"/>
  <c r="A388" i="4"/>
  <c r="L387" i="4"/>
  <c r="F387" i="4"/>
  <c r="E387" i="4"/>
  <c r="A387" i="4"/>
  <c r="L386" i="4"/>
  <c r="F386" i="4"/>
  <c r="E386" i="4"/>
  <c r="A386" i="4"/>
  <c r="L385" i="4"/>
  <c r="F385" i="4"/>
  <c r="E385" i="4"/>
  <c r="A385" i="4"/>
  <c r="L384" i="4"/>
  <c r="F384" i="4"/>
  <c r="E384" i="4"/>
  <c r="A384" i="4"/>
  <c r="L383" i="4"/>
  <c r="F383" i="4"/>
  <c r="E383" i="4"/>
  <c r="A383" i="4"/>
  <c r="L382" i="4"/>
  <c r="F382" i="4"/>
  <c r="E382" i="4"/>
  <c r="A382" i="4"/>
  <c r="L381" i="4"/>
  <c r="F381" i="4"/>
  <c r="E381" i="4"/>
  <c r="A381" i="4"/>
  <c r="L380" i="4"/>
  <c r="F380" i="4"/>
  <c r="E380" i="4"/>
  <c r="A380" i="4"/>
  <c r="L379" i="4"/>
  <c r="F379" i="4"/>
  <c r="E379" i="4"/>
  <c r="A379" i="4"/>
  <c r="L378" i="4"/>
  <c r="F378" i="4"/>
  <c r="E378" i="4"/>
  <c r="A378" i="4"/>
  <c r="L377" i="4"/>
  <c r="F377" i="4"/>
  <c r="E377" i="4"/>
  <c r="A377" i="4"/>
  <c r="L376" i="4"/>
  <c r="F376" i="4"/>
  <c r="E376" i="4"/>
  <c r="A376" i="4"/>
  <c r="L375" i="4"/>
  <c r="F375" i="4"/>
  <c r="E375" i="4"/>
  <c r="A375" i="4"/>
  <c r="L374" i="4"/>
  <c r="F374" i="4"/>
  <c r="E374" i="4"/>
  <c r="A374" i="4"/>
  <c r="L373" i="4"/>
  <c r="F373" i="4"/>
  <c r="E373" i="4"/>
  <c r="A373" i="4"/>
  <c r="L372" i="4"/>
  <c r="F372" i="4"/>
  <c r="E372" i="4"/>
  <c r="A372" i="4"/>
  <c r="L371" i="4"/>
  <c r="F371" i="4"/>
  <c r="E371" i="4"/>
  <c r="A371" i="4"/>
  <c r="L370" i="4"/>
  <c r="F370" i="4"/>
  <c r="E370" i="4"/>
  <c r="A370" i="4"/>
  <c r="L369" i="4"/>
  <c r="F369" i="4"/>
  <c r="E369" i="4"/>
  <c r="A369" i="4"/>
  <c r="L368" i="4"/>
  <c r="F368" i="4"/>
  <c r="E368" i="4"/>
  <c r="A368" i="4"/>
  <c r="L367" i="4"/>
  <c r="F367" i="4"/>
  <c r="E367" i="4"/>
  <c r="A367" i="4"/>
  <c r="L366" i="4"/>
  <c r="F366" i="4"/>
  <c r="E366" i="4"/>
  <c r="A366" i="4"/>
  <c r="L365" i="4"/>
  <c r="F365" i="4"/>
  <c r="E365" i="4"/>
  <c r="A365" i="4"/>
  <c r="L364" i="4"/>
  <c r="F364" i="4"/>
  <c r="E364" i="4"/>
  <c r="A364" i="4"/>
  <c r="L363" i="4"/>
  <c r="F363" i="4"/>
  <c r="E363" i="4"/>
  <c r="A363" i="4"/>
  <c r="L362" i="4"/>
  <c r="F362" i="4"/>
  <c r="E362" i="4"/>
  <c r="A362" i="4"/>
  <c r="L361" i="4"/>
  <c r="F361" i="4"/>
  <c r="E361" i="4"/>
  <c r="A361" i="4"/>
  <c r="L360" i="4"/>
  <c r="F360" i="4"/>
  <c r="E360" i="4"/>
  <c r="A360" i="4"/>
  <c r="L359" i="4"/>
  <c r="F359" i="4"/>
  <c r="E359" i="4"/>
  <c r="A359" i="4"/>
  <c r="L358" i="4"/>
  <c r="F358" i="4"/>
  <c r="E358" i="4"/>
  <c r="A358" i="4"/>
  <c r="L357" i="4"/>
  <c r="F357" i="4"/>
  <c r="E357" i="4"/>
  <c r="A357" i="4"/>
  <c r="L356" i="4"/>
  <c r="F356" i="4"/>
  <c r="E356" i="4"/>
  <c r="A356" i="4"/>
  <c r="L355" i="4"/>
  <c r="F355" i="4"/>
  <c r="E355" i="4"/>
  <c r="A355" i="4"/>
  <c r="L354" i="4"/>
  <c r="F354" i="4"/>
  <c r="E354" i="4"/>
  <c r="A354" i="4"/>
  <c r="L353" i="4"/>
  <c r="F353" i="4"/>
  <c r="E353" i="4"/>
  <c r="A353" i="4"/>
  <c r="L352" i="4"/>
  <c r="F352" i="4"/>
  <c r="E352" i="4"/>
  <c r="A352" i="4"/>
  <c r="L351" i="4"/>
  <c r="F351" i="4"/>
  <c r="E351" i="4"/>
  <c r="A351" i="4"/>
  <c r="L350" i="4"/>
  <c r="F350" i="4"/>
  <c r="E350" i="4"/>
  <c r="A350" i="4"/>
  <c r="L349" i="4"/>
  <c r="F349" i="4"/>
  <c r="E349" i="4"/>
  <c r="A349" i="4"/>
  <c r="L348" i="4"/>
  <c r="F348" i="4"/>
  <c r="E348" i="4"/>
  <c r="A348" i="4"/>
  <c r="L347" i="4"/>
  <c r="F347" i="4"/>
  <c r="E347" i="4"/>
  <c r="A347" i="4"/>
  <c r="L346" i="4"/>
  <c r="F346" i="4"/>
  <c r="E346" i="4"/>
  <c r="A346" i="4"/>
  <c r="L345" i="4"/>
  <c r="F345" i="4"/>
  <c r="E345" i="4"/>
  <c r="A345" i="4"/>
  <c r="L344" i="4"/>
  <c r="F344" i="4"/>
  <c r="E344" i="4"/>
  <c r="A344" i="4"/>
  <c r="L343" i="4"/>
  <c r="F343" i="4"/>
  <c r="E343" i="4"/>
  <c r="A343" i="4"/>
  <c r="L342" i="4"/>
  <c r="F342" i="4"/>
  <c r="E342" i="4"/>
  <c r="A342" i="4"/>
  <c r="L341" i="4"/>
  <c r="F341" i="4"/>
  <c r="E341" i="4"/>
  <c r="A341" i="4"/>
  <c r="L340" i="4"/>
  <c r="F340" i="4"/>
  <c r="E340" i="4"/>
  <c r="A340" i="4"/>
  <c r="L339" i="4"/>
  <c r="F339" i="4"/>
  <c r="E339" i="4"/>
  <c r="A339" i="4"/>
  <c r="L338" i="4"/>
  <c r="F338" i="4"/>
  <c r="E338" i="4"/>
  <c r="A338" i="4"/>
  <c r="L337" i="4"/>
  <c r="F337" i="4"/>
  <c r="E337" i="4"/>
  <c r="A337" i="4"/>
  <c r="L336" i="4"/>
  <c r="F336" i="4"/>
  <c r="E336" i="4"/>
  <c r="A336" i="4"/>
  <c r="L335" i="4"/>
  <c r="F335" i="4"/>
  <c r="E335" i="4"/>
  <c r="A335" i="4"/>
  <c r="L334" i="4"/>
  <c r="F334" i="4"/>
  <c r="E334" i="4"/>
  <c r="A334" i="4"/>
  <c r="L333" i="4"/>
  <c r="F333" i="4"/>
  <c r="E333" i="4"/>
  <c r="A333" i="4"/>
  <c r="L332" i="4"/>
  <c r="F332" i="4"/>
  <c r="E332" i="4"/>
  <c r="A332" i="4"/>
  <c r="L331" i="4"/>
  <c r="F331" i="4"/>
  <c r="E331" i="4"/>
  <c r="A331" i="4"/>
  <c r="L330" i="4"/>
  <c r="F330" i="4"/>
  <c r="E330" i="4"/>
  <c r="A330" i="4"/>
  <c r="L329" i="4"/>
  <c r="F329" i="4"/>
  <c r="E329" i="4"/>
  <c r="A329" i="4"/>
  <c r="L328" i="4"/>
  <c r="F328" i="4"/>
  <c r="E328" i="4"/>
  <c r="A328" i="4"/>
  <c r="L327" i="4"/>
  <c r="F327" i="4"/>
  <c r="E327" i="4"/>
  <c r="A327" i="4"/>
  <c r="L326" i="4"/>
  <c r="F326" i="4"/>
  <c r="E326" i="4"/>
  <c r="A326" i="4"/>
  <c r="L325" i="4"/>
  <c r="F325" i="4"/>
  <c r="E325" i="4"/>
  <c r="A325" i="4"/>
  <c r="L324" i="4"/>
  <c r="F324" i="4"/>
  <c r="E324" i="4"/>
  <c r="A324" i="4"/>
  <c r="L323" i="4"/>
  <c r="F323" i="4"/>
  <c r="E323" i="4"/>
  <c r="A323" i="4"/>
  <c r="L322" i="4"/>
  <c r="F322" i="4"/>
  <c r="E322" i="4"/>
  <c r="A322" i="4"/>
  <c r="L321" i="4"/>
  <c r="F321" i="4"/>
  <c r="E321" i="4"/>
  <c r="A321" i="4"/>
  <c r="L320" i="4"/>
  <c r="F320" i="4"/>
  <c r="E320" i="4"/>
  <c r="A320" i="4"/>
  <c r="L319" i="4"/>
  <c r="F319" i="4"/>
  <c r="E319" i="4"/>
  <c r="A319" i="4"/>
  <c r="L318" i="4"/>
  <c r="F318" i="4"/>
  <c r="E318" i="4"/>
  <c r="A318" i="4"/>
  <c r="L317" i="4"/>
  <c r="F317" i="4"/>
  <c r="E317" i="4"/>
  <c r="A317" i="4"/>
  <c r="L316" i="4"/>
  <c r="F316" i="4"/>
  <c r="E316" i="4"/>
  <c r="A316" i="4"/>
  <c r="L315" i="4"/>
  <c r="F315" i="4"/>
  <c r="E315" i="4"/>
  <c r="A315" i="4"/>
  <c r="L314" i="4"/>
  <c r="F314" i="4"/>
  <c r="E314" i="4"/>
  <c r="A314" i="4"/>
  <c r="L313" i="4"/>
  <c r="F313" i="4"/>
  <c r="E313" i="4"/>
  <c r="A313" i="4"/>
  <c r="L312" i="4"/>
  <c r="F312" i="4"/>
  <c r="E312" i="4"/>
  <c r="A312" i="4"/>
  <c r="L311" i="4"/>
  <c r="F311" i="4"/>
  <c r="E311" i="4"/>
  <c r="A311" i="4"/>
  <c r="L310" i="4"/>
  <c r="F310" i="4"/>
  <c r="E310" i="4"/>
  <c r="A310" i="4"/>
  <c r="L309" i="4"/>
  <c r="F309" i="4"/>
  <c r="E309" i="4"/>
  <c r="A309" i="4"/>
  <c r="L308" i="4"/>
  <c r="F308" i="4"/>
  <c r="E308" i="4"/>
  <c r="A308" i="4"/>
  <c r="L307" i="4"/>
  <c r="F307" i="4"/>
  <c r="E307" i="4"/>
  <c r="A307" i="4"/>
  <c r="L306" i="4"/>
  <c r="F306" i="4"/>
  <c r="E306" i="4"/>
  <c r="A306" i="4"/>
  <c r="L305" i="4"/>
  <c r="F305" i="4"/>
  <c r="E305" i="4"/>
  <c r="A305" i="4"/>
  <c r="L304" i="4"/>
  <c r="F304" i="4"/>
  <c r="E304" i="4"/>
  <c r="A304" i="4"/>
  <c r="L303" i="4"/>
  <c r="F303" i="4"/>
  <c r="E303" i="4"/>
  <c r="A303" i="4"/>
  <c r="L302" i="4"/>
  <c r="F302" i="4"/>
  <c r="E302" i="4"/>
  <c r="A302" i="4"/>
  <c r="L301" i="4"/>
  <c r="F301" i="4"/>
  <c r="E301" i="4"/>
  <c r="A301" i="4"/>
  <c r="L300" i="4"/>
  <c r="F300" i="4"/>
  <c r="E300" i="4"/>
  <c r="A300" i="4"/>
  <c r="L299" i="4"/>
  <c r="F299" i="4"/>
  <c r="E299" i="4"/>
  <c r="A299" i="4"/>
  <c r="L298" i="4"/>
  <c r="F298" i="4"/>
  <c r="E298" i="4"/>
  <c r="A298" i="4"/>
  <c r="L297" i="4"/>
  <c r="F297" i="4"/>
  <c r="E297" i="4"/>
  <c r="A297" i="4"/>
  <c r="L296" i="4"/>
  <c r="F296" i="4"/>
  <c r="E296" i="4"/>
  <c r="A296" i="4"/>
  <c r="L295" i="4"/>
  <c r="F295" i="4"/>
  <c r="E295" i="4"/>
  <c r="A295" i="4"/>
  <c r="L294" i="4"/>
  <c r="F294" i="4"/>
  <c r="E294" i="4"/>
  <c r="A294" i="4"/>
  <c r="L293" i="4"/>
  <c r="F293" i="4"/>
  <c r="E293" i="4"/>
  <c r="A293" i="4"/>
  <c r="L292" i="4"/>
  <c r="F292" i="4"/>
  <c r="E292" i="4"/>
  <c r="A292" i="4"/>
  <c r="L291" i="4"/>
  <c r="F291" i="4"/>
  <c r="E291" i="4"/>
  <c r="A291" i="4"/>
  <c r="L290" i="4"/>
  <c r="F290" i="4"/>
  <c r="E290" i="4"/>
  <c r="A290" i="4"/>
  <c r="L289" i="4"/>
  <c r="F289" i="4"/>
  <c r="E289" i="4"/>
  <c r="A289" i="4"/>
  <c r="L288" i="4"/>
  <c r="F288" i="4"/>
  <c r="E288" i="4"/>
  <c r="A288" i="4"/>
  <c r="L287" i="4"/>
  <c r="F287" i="4"/>
  <c r="E287" i="4"/>
  <c r="A287" i="4"/>
  <c r="L286" i="4"/>
  <c r="F286" i="4"/>
  <c r="E286" i="4"/>
  <c r="A286" i="4"/>
  <c r="L285" i="4"/>
  <c r="F285" i="4"/>
  <c r="E285" i="4"/>
  <c r="A285" i="4"/>
  <c r="L284" i="4"/>
  <c r="F284" i="4"/>
  <c r="E284" i="4"/>
  <c r="A284" i="4"/>
  <c r="L283" i="4"/>
  <c r="F283" i="4"/>
  <c r="E283" i="4"/>
  <c r="A283" i="4"/>
  <c r="L282" i="4"/>
  <c r="F282" i="4"/>
  <c r="E282" i="4"/>
  <c r="A282" i="4"/>
  <c r="L281" i="4"/>
  <c r="F281" i="4"/>
  <c r="E281" i="4"/>
  <c r="A281" i="4"/>
  <c r="L280" i="4"/>
  <c r="F280" i="4"/>
  <c r="E280" i="4"/>
  <c r="A280" i="4"/>
  <c r="L279" i="4"/>
  <c r="F279" i="4"/>
  <c r="E279" i="4"/>
  <c r="A279" i="4"/>
  <c r="L278" i="4"/>
  <c r="F278" i="4"/>
  <c r="E278" i="4"/>
  <c r="A278" i="4"/>
  <c r="L277" i="4"/>
  <c r="F277" i="4"/>
  <c r="E277" i="4"/>
  <c r="A277" i="4"/>
  <c r="L276" i="4"/>
  <c r="F276" i="4"/>
  <c r="E276" i="4"/>
  <c r="A276" i="4"/>
  <c r="L275" i="4"/>
  <c r="F275" i="4"/>
  <c r="E275" i="4"/>
  <c r="A275" i="4"/>
  <c r="L274" i="4"/>
  <c r="F274" i="4"/>
  <c r="E274" i="4"/>
  <c r="A274" i="4"/>
  <c r="L273" i="4"/>
  <c r="F273" i="4"/>
  <c r="E273" i="4"/>
  <c r="A273" i="4"/>
  <c r="L272" i="4"/>
  <c r="F272" i="4"/>
  <c r="E272" i="4"/>
  <c r="A272" i="4"/>
  <c r="L271" i="4"/>
  <c r="F271" i="4"/>
  <c r="E271" i="4"/>
  <c r="A271" i="4"/>
  <c r="L270" i="4"/>
  <c r="F270" i="4"/>
  <c r="E270" i="4"/>
  <c r="A270" i="4"/>
  <c r="L269" i="4"/>
  <c r="F269" i="4"/>
  <c r="E269" i="4"/>
  <c r="A269" i="4"/>
  <c r="L268" i="4"/>
  <c r="F268" i="4"/>
  <c r="E268" i="4"/>
  <c r="A268" i="4"/>
  <c r="L267" i="4"/>
  <c r="F267" i="4"/>
  <c r="E267" i="4"/>
  <c r="A267" i="4"/>
  <c r="L266" i="4"/>
  <c r="F266" i="4"/>
  <c r="E266" i="4"/>
  <c r="A266" i="4"/>
  <c r="L265" i="4"/>
  <c r="F265" i="4"/>
  <c r="E265" i="4"/>
  <c r="A265" i="4"/>
  <c r="L264" i="4"/>
  <c r="F264" i="4"/>
  <c r="E264" i="4"/>
  <c r="A264" i="4"/>
  <c r="L263" i="4"/>
  <c r="F263" i="4"/>
  <c r="E263" i="4"/>
  <c r="A263" i="4"/>
  <c r="L262" i="4"/>
  <c r="F262" i="4"/>
  <c r="E262" i="4"/>
  <c r="A262" i="4"/>
  <c r="L261" i="4"/>
  <c r="F261" i="4"/>
  <c r="E261" i="4"/>
  <c r="A261" i="4"/>
  <c r="L260" i="4"/>
  <c r="F260" i="4"/>
  <c r="E260" i="4"/>
  <c r="A260" i="4"/>
  <c r="L259" i="4"/>
  <c r="F259" i="4"/>
  <c r="E259" i="4"/>
  <c r="A259" i="4"/>
  <c r="L258" i="4"/>
  <c r="F258" i="4"/>
  <c r="E258" i="4"/>
  <c r="A258" i="4"/>
  <c r="L257" i="4"/>
  <c r="F257" i="4"/>
  <c r="E257" i="4"/>
  <c r="A257" i="4"/>
  <c r="L256" i="4"/>
  <c r="F256" i="4"/>
  <c r="E256" i="4"/>
  <c r="A256" i="4"/>
  <c r="L255" i="4"/>
  <c r="F255" i="4"/>
  <c r="E255" i="4"/>
  <c r="A255" i="4"/>
  <c r="L254" i="4"/>
  <c r="F254" i="4"/>
  <c r="E254" i="4"/>
  <c r="A254" i="4"/>
  <c r="L253" i="4"/>
  <c r="F253" i="4"/>
  <c r="E253" i="4"/>
  <c r="A253" i="4"/>
  <c r="L252" i="4"/>
  <c r="F252" i="4"/>
  <c r="E252" i="4"/>
  <c r="A252" i="4"/>
  <c r="L251" i="4"/>
  <c r="F251" i="4"/>
  <c r="E251" i="4"/>
  <c r="A251" i="4"/>
  <c r="L250" i="4"/>
  <c r="F250" i="4"/>
  <c r="E250" i="4"/>
  <c r="A250" i="4"/>
  <c r="L249" i="4"/>
  <c r="F249" i="4"/>
  <c r="E249" i="4"/>
  <c r="A249" i="4"/>
  <c r="L248" i="4"/>
  <c r="F248" i="4"/>
  <c r="E248" i="4"/>
  <c r="A248" i="4"/>
  <c r="L247" i="4"/>
  <c r="F247" i="4"/>
  <c r="E247" i="4"/>
  <c r="A247" i="4"/>
  <c r="L246" i="4"/>
  <c r="F246" i="4"/>
  <c r="E246" i="4"/>
  <c r="A246" i="4"/>
  <c r="L245" i="4"/>
  <c r="F245" i="4"/>
  <c r="E245" i="4"/>
  <c r="A245" i="4"/>
  <c r="L244" i="4"/>
  <c r="F244" i="4"/>
  <c r="E244" i="4"/>
  <c r="A244" i="4"/>
  <c r="L243" i="4"/>
  <c r="F243" i="4"/>
  <c r="E243" i="4"/>
  <c r="A243" i="4"/>
  <c r="L242" i="4"/>
  <c r="F242" i="4"/>
  <c r="E242" i="4"/>
  <c r="A242" i="4"/>
  <c r="L241" i="4"/>
  <c r="F241" i="4"/>
  <c r="E241" i="4"/>
  <c r="A241" i="4"/>
  <c r="L240" i="4"/>
  <c r="F240" i="4"/>
  <c r="E240" i="4"/>
  <c r="A240" i="4"/>
  <c r="L239" i="4"/>
  <c r="F239" i="4"/>
  <c r="E239" i="4"/>
  <c r="A239" i="4"/>
  <c r="L238" i="4"/>
  <c r="F238" i="4"/>
  <c r="E238" i="4"/>
  <c r="A238" i="4"/>
  <c r="L237" i="4"/>
  <c r="F237" i="4"/>
  <c r="E237" i="4"/>
  <c r="A237" i="4"/>
  <c r="L236" i="4"/>
  <c r="F236" i="4"/>
  <c r="E236" i="4"/>
  <c r="A236" i="4"/>
  <c r="L235" i="4"/>
  <c r="F235" i="4"/>
  <c r="E235" i="4"/>
  <c r="A235" i="4"/>
  <c r="L234" i="4"/>
  <c r="F234" i="4"/>
  <c r="E234" i="4"/>
  <c r="A234" i="4"/>
  <c r="L233" i="4"/>
  <c r="F233" i="4"/>
  <c r="E233" i="4"/>
  <c r="A233" i="4"/>
  <c r="L232" i="4"/>
  <c r="F232" i="4"/>
  <c r="E232" i="4"/>
  <c r="A232" i="4"/>
  <c r="L231" i="4"/>
  <c r="F231" i="4"/>
  <c r="E231" i="4"/>
  <c r="A231" i="4"/>
  <c r="L230" i="4"/>
  <c r="F230" i="4"/>
  <c r="E230" i="4"/>
  <c r="A230" i="4"/>
  <c r="L229" i="4"/>
  <c r="F229" i="4"/>
  <c r="E229" i="4"/>
  <c r="A229" i="4"/>
  <c r="L228" i="4"/>
  <c r="F228" i="4"/>
  <c r="E228" i="4"/>
  <c r="A228" i="4"/>
  <c r="L227" i="4"/>
  <c r="F227" i="4"/>
  <c r="E227" i="4"/>
  <c r="A227" i="4"/>
  <c r="L226" i="4"/>
  <c r="F226" i="4"/>
  <c r="E226" i="4"/>
  <c r="A226" i="4"/>
  <c r="L225" i="4"/>
  <c r="F225" i="4"/>
  <c r="E225" i="4"/>
  <c r="A225" i="4"/>
  <c r="L224" i="4"/>
  <c r="F224" i="4"/>
  <c r="E224" i="4"/>
  <c r="A224" i="4"/>
  <c r="L223" i="4"/>
  <c r="F223" i="4"/>
  <c r="E223" i="4"/>
  <c r="A223" i="4"/>
  <c r="L222" i="4"/>
  <c r="F222" i="4"/>
  <c r="E222" i="4"/>
  <c r="A222" i="4"/>
  <c r="L221" i="4"/>
  <c r="F221" i="4"/>
  <c r="E221" i="4"/>
  <c r="A221" i="4"/>
  <c r="L220" i="4"/>
  <c r="F220" i="4"/>
  <c r="E220" i="4"/>
  <c r="A220" i="4"/>
  <c r="L219" i="4"/>
  <c r="F219" i="4"/>
  <c r="E219" i="4"/>
  <c r="A219" i="4"/>
  <c r="L218" i="4"/>
  <c r="F218" i="4"/>
  <c r="E218" i="4"/>
  <c r="A218" i="4"/>
  <c r="L217" i="4"/>
  <c r="F217" i="4"/>
  <c r="E217" i="4"/>
  <c r="A217" i="4"/>
  <c r="L216" i="4"/>
  <c r="F216" i="4"/>
  <c r="E216" i="4"/>
  <c r="A216" i="4"/>
  <c r="L215" i="4"/>
  <c r="F215" i="4"/>
  <c r="E215" i="4"/>
  <c r="A215" i="4"/>
  <c r="L214" i="4"/>
  <c r="F214" i="4"/>
  <c r="E214" i="4"/>
  <c r="A214" i="4"/>
  <c r="L213" i="4"/>
  <c r="F213" i="4"/>
  <c r="E213" i="4"/>
  <c r="A213" i="4"/>
  <c r="L212" i="4"/>
  <c r="F212" i="4"/>
  <c r="E212" i="4"/>
  <c r="A212" i="4"/>
  <c r="L211" i="4"/>
  <c r="F211" i="4"/>
  <c r="E211" i="4"/>
  <c r="A211" i="4"/>
  <c r="L210" i="4"/>
  <c r="F210" i="4"/>
  <c r="E210" i="4"/>
  <c r="A210" i="4"/>
  <c r="L209" i="4"/>
  <c r="F209" i="4"/>
  <c r="E209" i="4"/>
  <c r="A209" i="4"/>
  <c r="L208" i="4"/>
  <c r="F208" i="4"/>
  <c r="E208" i="4"/>
  <c r="A208" i="4"/>
  <c r="L207" i="4"/>
  <c r="F207" i="4"/>
  <c r="E207" i="4"/>
  <c r="A207" i="4"/>
  <c r="L206" i="4"/>
  <c r="F206" i="4"/>
  <c r="E206" i="4"/>
  <c r="A206" i="4"/>
  <c r="L205" i="4"/>
  <c r="F205" i="4"/>
  <c r="E205" i="4"/>
  <c r="A205" i="4"/>
  <c r="L204" i="4"/>
  <c r="F204" i="4"/>
  <c r="E204" i="4"/>
  <c r="A204" i="4"/>
  <c r="L203" i="4"/>
  <c r="F203" i="4"/>
  <c r="E203" i="4"/>
  <c r="A203" i="4"/>
  <c r="L202" i="4"/>
  <c r="F202" i="4"/>
  <c r="E202" i="4"/>
  <c r="A202" i="4"/>
  <c r="L201" i="4"/>
  <c r="F201" i="4"/>
  <c r="E201" i="4"/>
  <c r="A201" i="4"/>
  <c r="L200" i="4"/>
  <c r="F200" i="4"/>
  <c r="E200" i="4"/>
  <c r="A200" i="4"/>
  <c r="L199" i="4"/>
  <c r="F199" i="4"/>
  <c r="E199" i="4"/>
  <c r="A199" i="4"/>
  <c r="L198" i="4"/>
  <c r="F198" i="4"/>
  <c r="E198" i="4"/>
  <c r="A198" i="4"/>
  <c r="L197" i="4"/>
  <c r="F197" i="4"/>
  <c r="E197" i="4"/>
  <c r="A197" i="4"/>
  <c r="L196" i="4"/>
  <c r="F196" i="4"/>
  <c r="E196" i="4"/>
  <c r="A196" i="4"/>
  <c r="L195" i="4"/>
  <c r="F195" i="4"/>
  <c r="E195" i="4"/>
  <c r="A195" i="4"/>
  <c r="L194" i="4"/>
  <c r="F194" i="4"/>
  <c r="E194" i="4"/>
  <c r="A194" i="4"/>
  <c r="L193" i="4"/>
  <c r="F193" i="4"/>
  <c r="E193" i="4"/>
  <c r="A193" i="4"/>
  <c r="L192" i="4"/>
  <c r="F192" i="4"/>
  <c r="E192" i="4"/>
  <c r="A192" i="4"/>
  <c r="L191" i="4"/>
  <c r="F191" i="4"/>
  <c r="E191" i="4"/>
  <c r="A191" i="4"/>
  <c r="L190" i="4"/>
  <c r="F190" i="4"/>
  <c r="E190" i="4"/>
  <c r="A190" i="4"/>
  <c r="L189" i="4"/>
  <c r="F189" i="4"/>
  <c r="E189" i="4"/>
  <c r="A189" i="4"/>
  <c r="L188" i="4"/>
  <c r="F188" i="4"/>
  <c r="E188" i="4"/>
  <c r="A188" i="4"/>
  <c r="L187" i="4"/>
  <c r="F187" i="4"/>
  <c r="E187" i="4"/>
  <c r="A187" i="4"/>
  <c r="L186" i="4"/>
  <c r="F186" i="4"/>
  <c r="E186" i="4"/>
  <c r="A186" i="4"/>
  <c r="L185" i="4"/>
  <c r="F185" i="4"/>
  <c r="E185" i="4"/>
  <c r="A185" i="4"/>
  <c r="L184" i="4"/>
  <c r="F184" i="4"/>
  <c r="E184" i="4"/>
  <c r="A184" i="4"/>
  <c r="L183" i="4"/>
  <c r="F183" i="4"/>
  <c r="E183" i="4"/>
  <c r="A183" i="4"/>
  <c r="L182" i="4"/>
  <c r="F182" i="4"/>
  <c r="E182" i="4"/>
  <c r="A182" i="4"/>
  <c r="L181" i="4"/>
  <c r="F181" i="4"/>
  <c r="E181" i="4"/>
  <c r="A181" i="4"/>
  <c r="L180" i="4"/>
  <c r="F180" i="4"/>
  <c r="E180" i="4"/>
  <c r="A180" i="4"/>
  <c r="L179" i="4"/>
  <c r="F179" i="4"/>
  <c r="E179" i="4"/>
  <c r="A179" i="4"/>
  <c r="L178" i="4"/>
  <c r="F178" i="4"/>
  <c r="E178" i="4"/>
  <c r="A178" i="4"/>
  <c r="L177" i="4"/>
  <c r="F177" i="4"/>
  <c r="E177" i="4"/>
  <c r="A177" i="4"/>
  <c r="L176" i="4"/>
  <c r="F176" i="4"/>
  <c r="E176" i="4"/>
  <c r="A176" i="4"/>
  <c r="L175" i="4"/>
  <c r="F175" i="4"/>
  <c r="E175" i="4"/>
  <c r="A175" i="4"/>
  <c r="L174" i="4"/>
  <c r="F174" i="4"/>
  <c r="E174" i="4"/>
  <c r="A174" i="4"/>
  <c r="L173" i="4"/>
  <c r="F173" i="4"/>
  <c r="E173" i="4"/>
  <c r="A173" i="4"/>
  <c r="L172" i="4"/>
  <c r="F172" i="4"/>
  <c r="E172" i="4"/>
  <c r="A172" i="4"/>
  <c r="L171" i="4"/>
  <c r="F171" i="4"/>
  <c r="E171" i="4"/>
  <c r="A171" i="4"/>
  <c r="L170" i="4"/>
  <c r="F170" i="4"/>
  <c r="E170" i="4"/>
  <c r="A170" i="4"/>
  <c r="L169" i="4"/>
  <c r="F169" i="4"/>
  <c r="E169" i="4"/>
  <c r="A169" i="4"/>
  <c r="L168" i="4"/>
  <c r="F168" i="4"/>
  <c r="E168" i="4"/>
  <c r="A168" i="4"/>
  <c r="L167" i="4"/>
  <c r="F167" i="4"/>
  <c r="E167" i="4"/>
  <c r="A167" i="4"/>
  <c r="L166" i="4"/>
  <c r="F166" i="4"/>
  <c r="E166" i="4"/>
  <c r="A166" i="4"/>
  <c r="L165" i="4"/>
  <c r="F165" i="4"/>
  <c r="E165" i="4"/>
  <c r="A165" i="4"/>
  <c r="L164" i="4"/>
  <c r="F164" i="4"/>
  <c r="E164" i="4"/>
  <c r="A164" i="4"/>
  <c r="L163" i="4"/>
  <c r="F163" i="4"/>
  <c r="E163" i="4"/>
  <c r="A163" i="4"/>
  <c r="L162" i="4"/>
  <c r="F162" i="4"/>
  <c r="E162" i="4"/>
  <c r="A162" i="4"/>
  <c r="L161" i="4"/>
  <c r="F161" i="4"/>
  <c r="E161" i="4"/>
  <c r="A161" i="4"/>
  <c r="L160" i="4"/>
  <c r="F160" i="4"/>
  <c r="E160" i="4"/>
  <c r="A160" i="4"/>
  <c r="L159" i="4"/>
  <c r="F159" i="4"/>
  <c r="E159" i="4"/>
  <c r="A159" i="4"/>
  <c r="L158" i="4"/>
  <c r="F158" i="4"/>
  <c r="E158" i="4"/>
  <c r="A158" i="4"/>
  <c r="L157" i="4"/>
  <c r="F157" i="4"/>
  <c r="E157" i="4"/>
  <c r="A157" i="4"/>
  <c r="L156" i="4"/>
  <c r="F156" i="4"/>
  <c r="E156" i="4"/>
  <c r="A156" i="4"/>
  <c r="L155" i="4"/>
  <c r="F155" i="4"/>
  <c r="E155" i="4"/>
  <c r="A155" i="4"/>
  <c r="L154" i="4"/>
  <c r="F154" i="4"/>
  <c r="E154" i="4"/>
  <c r="A154" i="4"/>
  <c r="L153" i="4"/>
  <c r="F153" i="4"/>
  <c r="E153" i="4"/>
  <c r="A153" i="4"/>
  <c r="L152" i="4"/>
  <c r="F152" i="4"/>
  <c r="E152" i="4"/>
  <c r="A152" i="4"/>
  <c r="L151" i="4"/>
  <c r="F151" i="4"/>
  <c r="E151" i="4"/>
  <c r="A151" i="4"/>
  <c r="L150" i="4"/>
  <c r="F150" i="4"/>
  <c r="E150" i="4"/>
  <c r="A150" i="4"/>
  <c r="L149" i="4"/>
  <c r="F149" i="4"/>
  <c r="E149" i="4"/>
  <c r="A149" i="4"/>
  <c r="L148" i="4"/>
  <c r="F148" i="4"/>
  <c r="E148" i="4"/>
  <c r="A148" i="4"/>
  <c r="L147" i="4"/>
  <c r="F147" i="4"/>
  <c r="E147" i="4"/>
  <c r="A147" i="4"/>
  <c r="L146" i="4"/>
  <c r="F146" i="4"/>
  <c r="E146" i="4"/>
  <c r="A146" i="4"/>
  <c r="L145" i="4"/>
  <c r="F145" i="4"/>
  <c r="E145" i="4"/>
  <c r="A145" i="4"/>
  <c r="L144" i="4"/>
  <c r="F144" i="4"/>
  <c r="E144" i="4"/>
  <c r="A144" i="4"/>
  <c r="L143" i="4"/>
  <c r="F143" i="4"/>
  <c r="E143" i="4"/>
  <c r="A143" i="4"/>
  <c r="L142" i="4"/>
  <c r="F142" i="4"/>
  <c r="E142" i="4"/>
  <c r="A142" i="4"/>
  <c r="L141" i="4"/>
  <c r="F141" i="4"/>
  <c r="E141" i="4"/>
  <c r="A141" i="4"/>
  <c r="L140" i="4"/>
  <c r="F140" i="4"/>
  <c r="E140" i="4"/>
  <c r="A140" i="4"/>
  <c r="L139" i="4"/>
  <c r="F139" i="4"/>
  <c r="E139" i="4"/>
  <c r="A139" i="4"/>
  <c r="L138" i="4"/>
  <c r="F138" i="4"/>
  <c r="E138" i="4"/>
  <c r="A138" i="4"/>
  <c r="L137" i="4"/>
  <c r="F137" i="4"/>
  <c r="E137" i="4"/>
  <c r="A137" i="4"/>
  <c r="L136" i="4"/>
  <c r="F136" i="4"/>
  <c r="E136" i="4"/>
  <c r="A136" i="4"/>
  <c r="L135" i="4"/>
  <c r="F135" i="4"/>
  <c r="E135" i="4"/>
  <c r="A135" i="4"/>
  <c r="L134" i="4"/>
  <c r="F134" i="4"/>
  <c r="E134" i="4"/>
  <c r="A134" i="4"/>
  <c r="L133" i="4"/>
  <c r="F133" i="4"/>
  <c r="E133" i="4"/>
  <c r="A133" i="4"/>
  <c r="L132" i="4"/>
  <c r="F132" i="4"/>
  <c r="E132" i="4"/>
  <c r="A132" i="4"/>
  <c r="L131" i="4"/>
  <c r="F131" i="4"/>
  <c r="E131" i="4"/>
  <c r="A131" i="4"/>
  <c r="L130" i="4"/>
  <c r="F130" i="4"/>
  <c r="E130" i="4"/>
  <c r="A130" i="4"/>
  <c r="L129" i="4"/>
  <c r="F129" i="4"/>
  <c r="E129" i="4"/>
  <c r="A129" i="4"/>
  <c r="L128" i="4"/>
  <c r="F128" i="4"/>
  <c r="E128" i="4"/>
  <c r="A128" i="4"/>
  <c r="L127" i="4"/>
  <c r="F127" i="4"/>
  <c r="E127" i="4"/>
  <c r="A127" i="4"/>
  <c r="L126" i="4"/>
  <c r="F126" i="4"/>
  <c r="E126" i="4"/>
  <c r="A126" i="4"/>
  <c r="L125" i="4"/>
  <c r="F125" i="4"/>
  <c r="E125" i="4"/>
  <c r="A125" i="4"/>
  <c r="L124" i="4"/>
  <c r="F124" i="4"/>
  <c r="E124" i="4"/>
  <c r="A124" i="4"/>
  <c r="L123" i="4"/>
  <c r="F123" i="4"/>
  <c r="E123" i="4"/>
  <c r="A123" i="4"/>
  <c r="L122" i="4"/>
  <c r="F122" i="4"/>
  <c r="E122" i="4"/>
  <c r="A122" i="4"/>
  <c r="L121" i="4"/>
  <c r="F121" i="4"/>
  <c r="E121" i="4"/>
  <c r="A121" i="4"/>
  <c r="L120" i="4"/>
  <c r="F120" i="4"/>
  <c r="E120" i="4"/>
  <c r="A120" i="4"/>
  <c r="L119" i="4"/>
  <c r="F119" i="4"/>
  <c r="E119" i="4"/>
  <c r="A119" i="4"/>
  <c r="L118" i="4"/>
  <c r="F118" i="4"/>
  <c r="E118" i="4"/>
  <c r="A118" i="4"/>
  <c r="L117" i="4"/>
  <c r="F117" i="4"/>
  <c r="E117" i="4"/>
  <c r="A117" i="4"/>
  <c r="L116" i="4"/>
  <c r="F116" i="4"/>
  <c r="E116" i="4"/>
  <c r="A116" i="4"/>
  <c r="L115" i="4"/>
  <c r="F115" i="4"/>
  <c r="E115" i="4"/>
  <c r="A115" i="4"/>
  <c r="L114" i="4"/>
  <c r="F114" i="4"/>
  <c r="E114" i="4"/>
  <c r="A114" i="4"/>
  <c r="L113" i="4"/>
  <c r="F113" i="4"/>
  <c r="E113" i="4"/>
  <c r="A113" i="4"/>
  <c r="L112" i="4"/>
  <c r="F112" i="4"/>
  <c r="E112" i="4"/>
  <c r="A112" i="4"/>
  <c r="L111" i="4"/>
  <c r="F111" i="4"/>
  <c r="E111" i="4"/>
  <c r="A111" i="4"/>
  <c r="L110" i="4"/>
  <c r="F110" i="4"/>
  <c r="E110" i="4"/>
  <c r="A110" i="4"/>
  <c r="L109" i="4"/>
  <c r="F109" i="4"/>
  <c r="E109" i="4"/>
  <c r="A109" i="4"/>
  <c r="L108" i="4"/>
  <c r="F108" i="4"/>
  <c r="E108" i="4"/>
  <c r="A108" i="4"/>
  <c r="L107" i="4"/>
  <c r="F107" i="4"/>
  <c r="E107" i="4"/>
  <c r="A107" i="4"/>
  <c r="L106" i="4"/>
  <c r="F106" i="4"/>
  <c r="E106" i="4"/>
  <c r="A106" i="4"/>
  <c r="L105" i="4"/>
  <c r="F105" i="4"/>
  <c r="E105" i="4"/>
  <c r="A105" i="4"/>
  <c r="L104" i="4"/>
  <c r="F104" i="4"/>
  <c r="E104" i="4"/>
  <c r="A104" i="4"/>
  <c r="L103" i="4"/>
  <c r="F103" i="4"/>
  <c r="E103" i="4"/>
  <c r="A103" i="4"/>
  <c r="L102" i="4"/>
  <c r="F102" i="4"/>
  <c r="E102" i="4"/>
  <c r="A102" i="4"/>
  <c r="L101" i="4"/>
  <c r="F101" i="4"/>
  <c r="E101" i="4"/>
  <c r="A101" i="4"/>
  <c r="L100" i="4"/>
  <c r="F100" i="4"/>
  <c r="E100" i="4"/>
  <c r="A100" i="4"/>
  <c r="L99" i="4"/>
  <c r="F99" i="4"/>
  <c r="E99" i="4"/>
  <c r="A99" i="4"/>
  <c r="L98" i="4"/>
  <c r="F98" i="4"/>
  <c r="E98" i="4"/>
  <c r="A98" i="4"/>
  <c r="L97" i="4"/>
  <c r="F97" i="4"/>
  <c r="E97" i="4"/>
  <c r="A97" i="4"/>
  <c r="L96" i="4"/>
  <c r="F96" i="4"/>
  <c r="E96" i="4"/>
  <c r="A96" i="4"/>
  <c r="L95" i="4"/>
  <c r="F95" i="4"/>
  <c r="E95" i="4"/>
  <c r="A95" i="4"/>
  <c r="L94" i="4"/>
  <c r="F94" i="4"/>
  <c r="E94" i="4"/>
  <c r="A94" i="4"/>
  <c r="L93" i="4"/>
  <c r="F93" i="4"/>
  <c r="E93" i="4"/>
  <c r="A93" i="4"/>
  <c r="L92" i="4"/>
  <c r="F92" i="4"/>
  <c r="E92" i="4"/>
  <c r="A92" i="4"/>
  <c r="L91" i="4"/>
  <c r="F91" i="4"/>
  <c r="E91" i="4"/>
  <c r="A91" i="4"/>
  <c r="L90" i="4"/>
  <c r="F90" i="4"/>
  <c r="E90" i="4"/>
  <c r="A90" i="4"/>
  <c r="L89" i="4"/>
  <c r="F89" i="4"/>
  <c r="E89" i="4"/>
  <c r="A89" i="4"/>
  <c r="L88" i="4"/>
  <c r="F88" i="4"/>
  <c r="E88" i="4"/>
  <c r="A88" i="4"/>
  <c r="L87" i="4"/>
  <c r="F87" i="4"/>
  <c r="E87" i="4"/>
  <c r="A87" i="4"/>
  <c r="L86" i="4"/>
  <c r="F86" i="4"/>
  <c r="E86" i="4"/>
  <c r="A86" i="4"/>
  <c r="L85" i="4"/>
  <c r="F85" i="4"/>
  <c r="E85" i="4"/>
  <c r="A85" i="4"/>
  <c r="L84" i="4"/>
  <c r="F84" i="4"/>
  <c r="E84" i="4"/>
  <c r="A84" i="4"/>
  <c r="L83" i="4"/>
  <c r="F83" i="4"/>
  <c r="E83" i="4"/>
  <c r="A83" i="4"/>
  <c r="L82" i="4"/>
  <c r="F82" i="4"/>
  <c r="E82" i="4"/>
  <c r="A82" i="4"/>
  <c r="L81" i="4"/>
  <c r="F81" i="4"/>
  <c r="E81" i="4"/>
  <c r="A81" i="4"/>
  <c r="L80" i="4"/>
  <c r="F80" i="4"/>
  <c r="E80" i="4"/>
  <c r="A80" i="4"/>
  <c r="L79" i="4"/>
  <c r="F79" i="4"/>
  <c r="E79" i="4"/>
  <c r="A79" i="4"/>
  <c r="L78" i="4"/>
  <c r="F78" i="4"/>
  <c r="E78" i="4"/>
  <c r="A78" i="4"/>
  <c r="L77" i="4"/>
  <c r="F77" i="4"/>
  <c r="E77" i="4"/>
  <c r="A77" i="4"/>
  <c r="L76" i="4"/>
  <c r="F76" i="4"/>
  <c r="E76" i="4"/>
  <c r="A76" i="4"/>
  <c r="L75" i="4"/>
  <c r="F75" i="4"/>
  <c r="E75" i="4"/>
  <c r="A75" i="4"/>
  <c r="L74" i="4"/>
  <c r="F74" i="4"/>
  <c r="E74" i="4"/>
  <c r="A74" i="4"/>
  <c r="L73" i="4"/>
  <c r="F73" i="4"/>
  <c r="E73" i="4"/>
  <c r="A73" i="4"/>
  <c r="L72" i="4"/>
  <c r="F72" i="4"/>
  <c r="E72" i="4"/>
  <c r="A72" i="4"/>
  <c r="L71" i="4"/>
  <c r="F71" i="4"/>
  <c r="E71" i="4"/>
  <c r="A71" i="4"/>
  <c r="L70" i="4"/>
  <c r="F70" i="4"/>
  <c r="E70" i="4"/>
  <c r="A70" i="4"/>
  <c r="L69" i="4"/>
  <c r="F69" i="4"/>
  <c r="E69" i="4"/>
  <c r="A69" i="4"/>
  <c r="L68" i="4"/>
  <c r="F68" i="4"/>
  <c r="E68" i="4"/>
  <c r="A68" i="4"/>
  <c r="L67" i="4"/>
  <c r="F67" i="4"/>
  <c r="E67" i="4"/>
  <c r="A67" i="4"/>
  <c r="L66" i="4"/>
  <c r="F66" i="4"/>
  <c r="E66" i="4"/>
  <c r="A66" i="4"/>
  <c r="L65" i="4"/>
  <c r="F65" i="4"/>
  <c r="E65" i="4"/>
  <c r="A65" i="4"/>
  <c r="L64" i="4"/>
  <c r="F64" i="4"/>
  <c r="E64" i="4"/>
  <c r="A64" i="4"/>
  <c r="L63" i="4"/>
  <c r="F63" i="4"/>
  <c r="E63" i="4"/>
  <c r="A63" i="4"/>
  <c r="L62" i="4"/>
  <c r="F62" i="4"/>
  <c r="E62" i="4"/>
  <c r="A62" i="4"/>
  <c r="L61" i="4"/>
  <c r="F61" i="4"/>
  <c r="E61" i="4"/>
  <c r="A61" i="4"/>
  <c r="L60" i="4"/>
  <c r="F60" i="4"/>
  <c r="E60" i="4"/>
  <c r="A60" i="4"/>
  <c r="L59" i="4"/>
  <c r="F59" i="4"/>
  <c r="E59" i="4"/>
  <c r="A59" i="4"/>
  <c r="L58" i="4"/>
  <c r="F58" i="4"/>
  <c r="E58" i="4"/>
  <c r="A58" i="4"/>
  <c r="L57" i="4"/>
  <c r="F57" i="4"/>
  <c r="E57" i="4"/>
  <c r="A57" i="4"/>
  <c r="L56" i="4"/>
  <c r="F56" i="4"/>
  <c r="E56" i="4"/>
  <c r="A56" i="4"/>
  <c r="L55" i="4"/>
  <c r="F55" i="4"/>
  <c r="E55" i="4"/>
  <c r="A55" i="4"/>
  <c r="L54" i="4"/>
  <c r="F54" i="4"/>
  <c r="E54" i="4"/>
  <c r="A54" i="4"/>
  <c r="L53" i="4"/>
  <c r="F53" i="4"/>
  <c r="E53" i="4"/>
  <c r="A53" i="4"/>
  <c r="L52" i="4"/>
  <c r="F52" i="4"/>
  <c r="E52" i="4"/>
  <c r="A52" i="4"/>
  <c r="L51" i="4"/>
  <c r="F51" i="4"/>
  <c r="E51" i="4"/>
  <c r="A51" i="4"/>
  <c r="L50" i="4"/>
  <c r="F50" i="4"/>
  <c r="E50" i="4"/>
  <c r="A50" i="4"/>
  <c r="L49" i="4"/>
  <c r="F49" i="4"/>
  <c r="E49" i="4"/>
  <c r="A49" i="4"/>
  <c r="L48" i="4"/>
  <c r="F48" i="4"/>
  <c r="E48" i="4"/>
  <c r="A48" i="4"/>
  <c r="L47" i="4"/>
  <c r="F47" i="4"/>
  <c r="E47" i="4"/>
  <c r="A47" i="4"/>
  <c r="L46" i="4"/>
  <c r="F46" i="4"/>
  <c r="E46" i="4"/>
  <c r="A46" i="4"/>
  <c r="L45" i="4"/>
  <c r="F45" i="4"/>
  <c r="E45" i="4"/>
  <c r="A45" i="4"/>
  <c r="L44" i="4"/>
  <c r="F44" i="4"/>
  <c r="E44" i="4"/>
  <c r="A44" i="4"/>
  <c r="L43" i="4"/>
  <c r="F43" i="4"/>
  <c r="E43" i="4"/>
  <c r="A43" i="4"/>
  <c r="L42" i="4"/>
  <c r="F42" i="4"/>
  <c r="E42" i="4"/>
  <c r="A42" i="4"/>
  <c r="L41" i="4"/>
  <c r="F41" i="4"/>
  <c r="E41" i="4"/>
  <c r="A41" i="4"/>
  <c r="L40" i="4"/>
  <c r="F40" i="4"/>
  <c r="E40" i="4"/>
  <c r="A40" i="4"/>
  <c r="L39" i="4"/>
  <c r="F39" i="4"/>
  <c r="E39" i="4"/>
  <c r="A39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D43" i="5"/>
  <c r="J599" i="4" s="1"/>
  <c r="D42" i="5"/>
  <c r="L38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B308" i="8"/>
  <c r="A308" i="8"/>
  <c r="B307" i="8"/>
  <c r="A307" i="8"/>
  <c r="B306" i="8"/>
  <c r="A306" i="8"/>
  <c r="B305" i="8"/>
  <c r="A305" i="8"/>
  <c r="B304" i="8"/>
  <c r="A304" i="8"/>
  <c r="B303" i="8"/>
  <c r="A303" i="8"/>
  <c r="B302" i="8"/>
  <c r="A302" i="8"/>
  <c r="B301" i="8"/>
  <c r="A301" i="8"/>
  <c r="B300" i="8"/>
  <c r="A300" i="8"/>
  <c r="B299" i="8"/>
  <c r="A299" i="8"/>
  <c r="B298" i="8"/>
  <c r="A298" i="8"/>
  <c r="B297" i="8"/>
  <c r="A297" i="8"/>
  <c r="B296" i="8"/>
  <c r="A296" i="8"/>
  <c r="B295" i="8"/>
  <c r="A295" i="8"/>
  <c r="B294" i="8"/>
  <c r="A294" i="8"/>
  <c r="B293" i="8"/>
  <c r="A293" i="8"/>
  <c r="B292" i="8"/>
  <c r="A292" i="8"/>
  <c r="B291" i="8"/>
  <c r="A291" i="8"/>
  <c r="B290" i="8"/>
  <c r="A290" i="8"/>
  <c r="B289" i="8"/>
  <c r="A289" i="8"/>
  <c r="B288" i="8"/>
  <c r="A288" i="8"/>
  <c r="B287" i="8"/>
  <c r="A287" i="8"/>
  <c r="B286" i="8"/>
  <c r="A286" i="8"/>
  <c r="B285" i="8"/>
  <c r="A285" i="8"/>
  <c r="B284" i="8"/>
  <c r="A284" i="8"/>
  <c r="B283" i="8"/>
  <c r="A283" i="8"/>
  <c r="B282" i="8"/>
  <c r="A282" i="8"/>
  <c r="B281" i="8"/>
  <c r="A281" i="8"/>
  <c r="B280" i="8"/>
  <c r="A280" i="8"/>
  <c r="B279" i="8"/>
  <c r="A279" i="8"/>
  <c r="B278" i="8"/>
  <c r="A278" i="8"/>
  <c r="B277" i="8"/>
  <c r="A277" i="8"/>
  <c r="B276" i="8"/>
  <c r="A276" i="8"/>
  <c r="B275" i="8"/>
  <c r="A275" i="8"/>
  <c r="B274" i="8"/>
  <c r="A274" i="8"/>
  <c r="B273" i="8"/>
  <c r="A273" i="8"/>
  <c r="B272" i="8"/>
  <c r="A272" i="8"/>
  <c r="B271" i="8"/>
  <c r="A271" i="8"/>
  <c r="B270" i="8"/>
  <c r="A270" i="8"/>
  <c r="B269" i="8"/>
  <c r="A269" i="8"/>
  <c r="B268" i="8"/>
  <c r="A268" i="8"/>
  <c r="B267" i="8"/>
  <c r="A267" i="8"/>
  <c r="B266" i="8"/>
  <c r="A266" i="8"/>
  <c r="B265" i="8"/>
  <c r="A265" i="8"/>
  <c r="B264" i="8"/>
  <c r="A264" i="8"/>
  <c r="B263" i="8"/>
  <c r="A263" i="8"/>
  <c r="B262" i="8"/>
  <c r="A262" i="8"/>
  <c r="B261" i="8"/>
  <c r="A261" i="8"/>
  <c r="B260" i="8"/>
  <c r="A260" i="8"/>
  <c r="B259" i="8"/>
  <c r="A259" i="8"/>
  <c r="B258" i="8"/>
  <c r="A258" i="8"/>
  <c r="B257" i="8"/>
  <c r="A257" i="8"/>
  <c r="B256" i="8"/>
  <c r="A256" i="8"/>
  <c r="B255" i="8"/>
  <c r="A255" i="8"/>
  <c r="B254" i="8"/>
  <c r="A254" i="8"/>
  <c r="B253" i="8"/>
  <c r="A253" i="8"/>
  <c r="B252" i="8"/>
  <c r="A252" i="8"/>
  <c r="B251" i="8"/>
  <c r="A251" i="8"/>
  <c r="B250" i="8"/>
  <c r="A250" i="8"/>
  <c r="B249" i="8"/>
  <c r="A249" i="8"/>
  <c r="B248" i="8"/>
  <c r="A248" i="8"/>
  <c r="B247" i="8"/>
  <c r="A247" i="8"/>
  <c r="B246" i="8"/>
  <c r="A246" i="8"/>
  <c r="B245" i="8"/>
  <c r="A245" i="8"/>
  <c r="B244" i="8"/>
  <c r="A244" i="8"/>
  <c r="B243" i="8"/>
  <c r="A243" i="8"/>
  <c r="B242" i="8"/>
  <c r="A242" i="8"/>
  <c r="B241" i="8"/>
  <c r="A241" i="8"/>
  <c r="B240" i="8"/>
  <c r="A240" i="8"/>
  <c r="B239" i="8"/>
  <c r="A239" i="8"/>
  <c r="B238" i="8"/>
  <c r="A238" i="8"/>
  <c r="B237" i="8"/>
  <c r="A237" i="8"/>
  <c r="B236" i="8"/>
  <c r="A236" i="8"/>
  <c r="B235" i="8"/>
  <c r="A235" i="8"/>
  <c r="B234" i="8"/>
  <c r="A234" i="8"/>
  <c r="B233" i="8"/>
  <c r="A233" i="8"/>
  <c r="B232" i="8"/>
  <c r="A232" i="8"/>
  <c r="B231" i="8"/>
  <c r="A231" i="8"/>
  <c r="B230" i="8"/>
  <c r="A230" i="8"/>
  <c r="B229" i="8"/>
  <c r="A229" i="8"/>
  <c r="L667" i="7"/>
  <c r="L666" i="7"/>
  <c r="L665" i="7"/>
  <c r="L664" i="7"/>
  <c r="L663" i="7"/>
  <c r="L662" i="7"/>
  <c r="L661" i="7"/>
  <c r="L660" i="7"/>
  <c r="L659" i="7"/>
  <c r="L658" i="7"/>
  <c r="L657" i="7"/>
  <c r="L656" i="7"/>
  <c r="L655" i="7"/>
  <c r="L654" i="7"/>
  <c r="L653" i="7"/>
  <c r="L652" i="7"/>
  <c r="L651" i="7"/>
  <c r="L650" i="7"/>
  <c r="L649" i="7"/>
  <c r="L648" i="7"/>
  <c r="L647" i="7"/>
  <c r="L646" i="7"/>
  <c r="L645" i="7"/>
  <c r="L644" i="7"/>
  <c r="L643" i="7"/>
  <c r="L642" i="7"/>
  <c r="L641" i="7"/>
  <c r="L640" i="7"/>
  <c r="L639" i="7"/>
  <c r="L638" i="7"/>
  <c r="L637" i="7"/>
  <c r="L636" i="7"/>
  <c r="L635" i="7"/>
  <c r="L634" i="7"/>
  <c r="L633" i="7"/>
  <c r="L632" i="7"/>
  <c r="L631" i="7"/>
  <c r="L630" i="7"/>
  <c r="L629" i="7"/>
  <c r="L628" i="7"/>
  <c r="L627" i="7"/>
  <c r="L626" i="7"/>
  <c r="L625" i="7"/>
  <c r="L624" i="7"/>
  <c r="L623" i="7"/>
  <c r="L622" i="7"/>
  <c r="L621" i="7"/>
  <c r="L620" i="7"/>
  <c r="L619" i="7"/>
  <c r="L618" i="7"/>
  <c r="L617" i="7"/>
  <c r="L616" i="7"/>
  <c r="L615" i="7"/>
  <c r="L614" i="7"/>
  <c r="L613" i="7"/>
  <c r="L612" i="7"/>
  <c r="L611" i="7"/>
  <c r="L610" i="7"/>
  <c r="L609" i="7"/>
  <c r="L608" i="7"/>
  <c r="L607" i="7"/>
  <c r="L606" i="7"/>
  <c r="L605" i="7"/>
  <c r="L604" i="7"/>
  <c r="L603" i="7"/>
  <c r="L602" i="7"/>
  <c r="L601" i="7"/>
  <c r="L600" i="7"/>
  <c r="L599" i="7"/>
  <c r="L598" i="7"/>
  <c r="L597" i="7"/>
  <c r="L596" i="7"/>
  <c r="L595" i="7"/>
  <c r="L594" i="7"/>
  <c r="L593" i="7"/>
  <c r="L592" i="7"/>
  <c r="L591" i="7"/>
  <c r="L590" i="7"/>
  <c r="L589" i="7"/>
  <c r="L588" i="7"/>
  <c r="L587" i="7"/>
  <c r="L586" i="7"/>
  <c r="L585" i="7"/>
  <c r="L584" i="7"/>
  <c r="L583" i="7"/>
  <c r="L582" i="7"/>
  <c r="L581" i="7"/>
  <c r="L580" i="7"/>
  <c r="L579" i="7"/>
  <c r="L578" i="7"/>
  <c r="L577" i="7"/>
  <c r="L576" i="7"/>
  <c r="L575" i="7"/>
  <c r="L574" i="7"/>
  <c r="L573" i="7"/>
  <c r="L572" i="7"/>
  <c r="L571" i="7"/>
  <c r="L570" i="7"/>
  <c r="L569" i="7"/>
  <c r="L568" i="7"/>
  <c r="L567" i="7"/>
  <c r="L566" i="7"/>
  <c r="L565" i="7"/>
  <c r="L564" i="7"/>
  <c r="L563" i="7"/>
  <c r="L562" i="7"/>
  <c r="L561" i="7"/>
  <c r="L560" i="7"/>
  <c r="L559" i="7"/>
  <c r="L558" i="7"/>
  <c r="L557" i="7"/>
  <c r="L556" i="7"/>
  <c r="L555" i="7"/>
  <c r="L554" i="7"/>
  <c r="L553" i="7"/>
  <c r="L552" i="7"/>
  <c r="L551" i="7"/>
  <c r="L550" i="7"/>
  <c r="L549" i="7"/>
  <c r="L548" i="7"/>
  <c r="L547" i="7"/>
  <c r="L546" i="7"/>
  <c r="L545" i="7"/>
  <c r="L544" i="7"/>
  <c r="L543" i="7"/>
  <c r="L542" i="7"/>
  <c r="L541" i="7"/>
  <c r="L540" i="7"/>
  <c r="L539" i="7"/>
  <c r="L538" i="7"/>
  <c r="L537" i="7"/>
  <c r="L536" i="7"/>
  <c r="L535" i="7"/>
  <c r="L534" i="7"/>
  <c r="L533" i="7"/>
  <c r="L532" i="7"/>
  <c r="L531" i="7"/>
  <c r="L530" i="7"/>
  <c r="L529" i="7"/>
  <c r="L528" i="7"/>
  <c r="L527" i="7"/>
  <c r="L526" i="7"/>
  <c r="L525" i="7"/>
  <c r="L524" i="7"/>
  <c r="L523" i="7"/>
  <c r="L522" i="7"/>
  <c r="L521" i="7"/>
  <c r="L520" i="7"/>
  <c r="L519" i="7"/>
  <c r="L518" i="7"/>
  <c r="L517" i="7"/>
  <c r="L516" i="7"/>
  <c r="L515" i="7"/>
  <c r="L514" i="7"/>
  <c r="L513" i="7"/>
  <c r="L512" i="7"/>
  <c r="L511" i="7"/>
  <c r="L510" i="7"/>
  <c r="L509" i="7"/>
  <c r="L508" i="7"/>
  <c r="L507" i="7"/>
  <c r="L506" i="7"/>
  <c r="L505" i="7"/>
  <c r="L504" i="7"/>
  <c r="L503" i="7"/>
  <c r="L502" i="7"/>
  <c r="L501" i="7"/>
  <c r="L500" i="7"/>
  <c r="L499" i="7"/>
  <c r="L498" i="7"/>
  <c r="L497" i="7"/>
  <c r="L496" i="7"/>
  <c r="L495" i="7"/>
  <c r="L494" i="7"/>
  <c r="L493" i="7"/>
  <c r="L492" i="7"/>
  <c r="L491" i="7"/>
  <c r="L490" i="7"/>
  <c r="L489" i="7"/>
  <c r="L488" i="7"/>
  <c r="L487" i="7"/>
  <c r="L486" i="7"/>
  <c r="L485" i="7"/>
  <c r="L484" i="7"/>
  <c r="L483" i="7"/>
  <c r="L482" i="7"/>
  <c r="L481" i="7"/>
  <c r="L480" i="7"/>
  <c r="L479" i="7"/>
  <c r="L478" i="7"/>
  <c r="L477" i="7"/>
  <c r="L476" i="7"/>
  <c r="L475" i="7"/>
  <c r="L474" i="7"/>
  <c r="L473" i="7"/>
  <c r="L472" i="7"/>
  <c r="L471" i="7"/>
  <c r="L470" i="7"/>
  <c r="L469" i="7"/>
  <c r="L468" i="7"/>
  <c r="L467" i="7"/>
  <c r="L466" i="7"/>
  <c r="L465" i="7"/>
  <c r="L464" i="7"/>
  <c r="L463" i="7"/>
  <c r="L462" i="7"/>
  <c r="L461" i="7"/>
  <c r="L460" i="7"/>
  <c r="L459" i="7"/>
  <c r="L458" i="7"/>
  <c r="L457" i="7"/>
  <c r="L456" i="7"/>
  <c r="L455" i="7"/>
  <c r="L454" i="7"/>
  <c r="L453" i="7"/>
  <c r="L452" i="7"/>
  <c r="L451" i="7"/>
  <c r="L450" i="7"/>
  <c r="L449" i="7"/>
  <c r="L448" i="7"/>
  <c r="L447" i="7"/>
  <c r="L446" i="7"/>
  <c r="L445" i="7"/>
  <c r="L444" i="7"/>
  <c r="L443" i="7"/>
  <c r="L442" i="7"/>
  <c r="L441" i="7"/>
  <c r="L440" i="7"/>
  <c r="L439" i="7"/>
  <c r="L438" i="7"/>
  <c r="L437" i="7"/>
  <c r="L436" i="7"/>
  <c r="L435" i="7"/>
  <c r="L434" i="7"/>
  <c r="L433" i="7"/>
  <c r="L432" i="7"/>
  <c r="L431" i="7"/>
  <c r="L430" i="7"/>
  <c r="L429" i="7"/>
  <c r="L428" i="7"/>
  <c r="L427" i="7"/>
  <c r="L426" i="7"/>
  <c r="L425" i="7"/>
  <c r="L424" i="7"/>
  <c r="L423" i="7"/>
  <c r="L422" i="7"/>
  <c r="L421" i="7"/>
  <c r="L420" i="7"/>
  <c r="L419" i="7"/>
  <c r="L418" i="7"/>
  <c r="L417" i="7"/>
  <c r="L416" i="7"/>
  <c r="L415" i="7"/>
  <c r="L414" i="7"/>
  <c r="L413" i="7"/>
  <c r="L412" i="7"/>
  <c r="L411" i="7"/>
  <c r="L410" i="7"/>
  <c r="L409" i="7"/>
  <c r="L408" i="7"/>
  <c r="L407" i="7"/>
  <c r="L406" i="7"/>
  <c r="L405" i="7"/>
  <c r="L404" i="7"/>
  <c r="L403" i="7"/>
  <c r="L402" i="7"/>
  <c r="L401" i="7"/>
  <c r="L400" i="7"/>
  <c r="L399" i="7"/>
  <c r="L398" i="7"/>
  <c r="L397" i="7"/>
  <c r="L396" i="7"/>
  <c r="L395" i="7"/>
  <c r="L394" i="7"/>
  <c r="L393" i="7"/>
  <c r="L392" i="7"/>
  <c r="L391" i="7"/>
  <c r="L390" i="7"/>
  <c r="L389" i="7"/>
  <c r="L388" i="7"/>
  <c r="L387" i="7"/>
  <c r="L386" i="7"/>
  <c r="L385" i="7"/>
  <c r="L384" i="7"/>
  <c r="L383" i="7"/>
  <c r="L382" i="7"/>
  <c r="L381" i="7"/>
  <c r="L380" i="7"/>
  <c r="L379" i="7"/>
  <c r="L378" i="7"/>
  <c r="L377" i="7"/>
  <c r="L376" i="7"/>
  <c r="L375" i="7"/>
  <c r="L374" i="7"/>
  <c r="L373" i="7"/>
  <c r="L372" i="7"/>
  <c r="L371" i="7"/>
  <c r="L370" i="7"/>
  <c r="L369" i="7"/>
  <c r="L368" i="7"/>
  <c r="L367" i="7"/>
  <c r="L366" i="7"/>
  <c r="L365" i="7"/>
  <c r="L364" i="7"/>
  <c r="L363" i="7"/>
  <c r="L362" i="7"/>
  <c r="L361" i="7"/>
  <c r="L360" i="7"/>
  <c r="L359" i="7"/>
  <c r="L358" i="7"/>
  <c r="L357" i="7"/>
  <c r="L356" i="7"/>
  <c r="L355" i="7"/>
  <c r="L354" i="7"/>
  <c r="L353" i="7"/>
  <c r="L352" i="7"/>
  <c r="L351" i="7"/>
  <c r="L350" i="7"/>
  <c r="L349" i="7"/>
  <c r="L348" i="7"/>
  <c r="L347" i="7"/>
  <c r="L346" i="7"/>
  <c r="L345" i="7"/>
  <c r="L344" i="7"/>
  <c r="L343" i="7"/>
  <c r="L342" i="7"/>
  <c r="L341" i="7"/>
  <c r="L340" i="7"/>
  <c r="L339" i="7"/>
  <c r="L338" i="7"/>
  <c r="L337" i="7"/>
  <c r="L336" i="7"/>
  <c r="L335" i="7"/>
  <c r="L334" i="7"/>
  <c r="L333" i="7"/>
  <c r="L332" i="7"/>
  <c r="L331" i="7"/>
  <c r="L330" i="7"/>
  <c r="L329" i="7"/>
  <c r="L328" i="7"/>
  <c r="L327" i="7"/>
  <c r="L326" i="7"/>
  <c r="L325" i="7"/>
  <c r="L324" i="7"/>
  <c r="L323" i="7"/>
  <c r="L322" i="7"/>
  <c r="L321" i="7"/>
  <c r="L320" i="7"/>
  <c r="L319" i="7"/>
  <c r="L318" i="7"/>
  <c r="L317" i="7"/>
  <c r="L316" i="7"/>
  <c r="L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J25" i="4" l="1"/>
  <c r="J481" i="4"/>
  <c r="J632" i="4"/>
  <c r="K367" i="4"/>
  <c r="J73" i="4"/>
  <c r="J111" i="4"/>
  <c r="J223" i="4"/>
  <c r="J243" i="4"/>
  <c r="J251" i="4"/>
  <c r="J295" i="4"/>
  <c r="J159" i="4"/>
  <c r="J207" i="4"/>
  <c r="J252" i="4"/>
  <c r="J450" i="4"/>
  <c r="J462" i="4"/>
  <c r="J80" i="4"/>
  <c r="J147" i="4"/>
  <c r="J231" i="4"/>
  <c r="J342" i="4"/>
  <c r="J46" i="4"/>
  <c r="J63" i="4"/>
  <c r="J148" i="4"/>
  <c r="J170" i="4"/>
  <c r="J182" i="4"/>
  <c r="J196" i="4"/>
  <c r="J35" i="4"/>
  <c r="J121" i="4"/>
  <c r="J127" i="4"/>
  <c r="J380" i="4"/>
  <c r="J394" i="4"/>
  <c r="J396" i="4"/>
  <c r="J511" i="4"/>
  <c r="J513" i="4"/>
  <c r="J515" i="4"/>
  <c r="J517" i="4"/>
  <c r="J72" i="4"/>
  <c r="J177" i="4"/>
  <c r="J254" i="4"/>
  <c r="J276" i="4"/>
  <c r="J448" i="4"/>
  <c r="J460" i="4"/>
  <c r="J106" i="4"/>
  <c r="J237" i="4"/>
  <c r="J314" i="4"/>
  <c r="J44" i="4"/>
  <c r="J52" i="4"/>
  <c r="J65" i="4"/>
  <c r="J142" i="4"/>
  <c r="J152" i="4"/>
  <c r="J198" i="4"/>
  <c r="J27" i="4"/>
  <c r="J367" i="4"/>
  <c r="J505" i="4"/>
  <c r="J588" i="4"/>
  <c r="J590" i="4"/>
  <c r="J211" i="4"/>
  <c r="J280" i="4"/>
  <c r="J294" i="4"/>
  <c r="J446" i="4"/>
  <c r="J456" i="4"/>
  <c r="J340" i="4"/>
  <c r="J58" i="4"/>
  <c r="J209" i="4"/>
  <c r="J256" i="4"/>
  <c r="J282" i="4"/>
  <c r="J290" i="4"/>
  <c r="J454" i="4"/>
  <c r="J108" i="4"/>
  <c r="J233" i="4"/>
  <c r="J346" i="4"/>
  <c r="J356" i="4"/>
  <c r="J360" i="4"/>
  <c r="J640" i="4"/>
  <c r="J22" i="4"/>
  <c r="J14" i="4"/>
  <c r="J10" i="4"/>
  <c r="J124" i="4"/>
  <c r="J126" i="4"/>
  <c r="J389" i="4"/>
  <c r="J546" i="4"/>
  <c r="J548" i="4"/>
  <c r="J550" i="4"/>
  <c r="J551" i="4"/>
  <c r="J573" i="4"/>
  <c r="J575" i="4"/>
  <c r="J344" i="4"/>
  <c r="J358" i="4"/>
  <c r="J424" i="4"/>
  <c r="J656" i="4"/>
  <c r="J33" i="4"/>
  <c r="J18" i="4"/>
  <c r="J247" i="4"/>
  <c r="J595" i="4"/>
  <c r="J43" i="4"/>
  <c r="J215" i="4"/>
  <c r="J258" i="4"/>
  <c r="J292" i="4"/>
  <c r="J458" i="4"/>
  <c r="J36" i="4"/>
  <c r="J50" i="4"/>
  <c r="J61" i="4"/>
  <c r="J67" i="4"/>
  <c r="J150" i="4"/>
  <c r="J168" i="4"/>
  <c r="J186" i="4"/>
  <c r="J202" i="4"/>
  <c r="J261" i="4"/>
  <c r="J263" i="4"/>
  <c r="J265" i="4"/>
  <c r="J267" i="4"/>
  <c r="J409" i="4"/>
  <c r="J601" i="4"/>
  <c r="J603" i="4"/>
  <c r="J629" i="4"/>
  <c r="J631" i="4"/>
  <c r="J70" i="4"/>
  <c r="J179" i="4"/>
  <c r="J213" i="4"/>
  <c r="J246" i="4"/>
  <c r="J278" i="4"/>
  <c r="J288" i="4"/>
  <c r="J452" i="4"/>
  <c r="J464" i="4"/>
  <c r="J576" i="4"/>
  <c r="J235" i="4"/>
  <c r="J48" i="4"/>
  <c r="J59" i="4"/>
  <c r="J69" i="4"/>
  <c r="J154" i="4"/>
  <c r="J184" i="4"/>
  <c r="J200" i="4"/>
  <c r="J31" i="4"/>
  <c r="J28" i="4"/>
  <c r="J77" i="4"/>
  <c r="J79" i="4"/>
  <c r="J85" i="4"/>
  <c r="J105" i="4"/>
  <c r="J240" i="4"/>
  <c r="J242" i="4"/>
  <c r="J305" i="4"/>
  <c r="J317" i="4"/>
  <c r="J650" i="4"/>
  <c r="M650" i="4" s="1"/>
  <c r="N650" i="4" s="1"/>
  <c r="J615" i="4"/>
  <c r="J587" i="4"/>
  <c r="J559" i="4"/>
  <c r="J541" i="4"/>
  <c r="J461" i="4"/>
  <c r="J440" i="4"/>
  <c r="J533" i="4"/>
  <c r="J512" i="4"/>
  <c r="J497" i="4"/>
  <c r="J480" i="4"/>
  <c r="J453" i="4"/>
  <c r="J412" i="4"/>
  <c r="J339" i="4"/>
  <c r="J328" i="4"/>
  <c r="J298" i="4"/>
  <c r="J266" i="4"/>
  <c r="J660" i="4"/>
  <c r="J654" i="4"/>
  <c r="J623" i="4"/>
  <c r="J604" i="4"/>
  <c r="J552" i="4"/>
  <c r="J38" i="4"/>
  <c r="J34" i="4"/>
  <c r="J20" i="4"/>
  <c r="J16" i="4"/>
  <c r="J12" i="4"/>
  <c r="J40" i="4"/>
  <c r="J42" i="4"/>
  <c r="J56" i="4"/>
  <c r="J60" i="4"/>
  <c r="J62" i="4"/>
  <c r="J64" i="4"/>
  <c r="J66" i="4"/>
  <c r="J68" i="4"/>
  <c r="J75" i="4"/>
  <c r="J81" i="4"/>
  <c r="J83" i="4"/>
  <c r="J102" i="4"/>
  <c r="J104" i="4"/>
  <c r="J119" i="4"/>
  <c r="J123" i="4"/>
  <c r="J125" i="4"/>
  <c r="J160" i="4"/>
  <c r="J162" i="4"/>
  <c r="J164" i="4"/>
  <c r="J166" i="4"/>
  <c r="J175" i="4"/>
  <c r="J181" i="4"/>
  <c r="J183" i="4"/>
  <c r="J185" i="4"/>
  <c r="J187" i="4"/>
  <c r="J189" i="4"/>
  <c r="J191" i="4"/>
  <c r="J193" i="4"/>
  <c r="J195" i="4"/>
  <c r="J232" i="4"/>
  <c r="J234" i="4"/>
  <c r="J274" i="4"/>
  <c r="J284" i="4"/>
  <c r="J286" i="4"/>
  <c r="J303" i="4"/>
  <c r="J307" i="4"/>
  <c r="J309" i="4"/>
  <c r="J338" i="4"/>
  <c r="J348" i="4"/>
  <c r="J350" i="4"/>
  <c r="J352" i="4"/>
  <c r="J354" i="4"/>
  <c r="J390" i="4"/>
  <c r="J411" i="4"/>
  <c r="J413" i="4"/>
  <c r="J415" i="4"/>
  <c r="J417" i="4"/>
  <c r="J419" i="4"/>
  <c r="J421" i="4"/>
  <c r="J466" i="4"/>
  <c r="J468" i="4"/>
  <c r="J470" i="4"/>
  <c r="J472" i="4"/>
  <c r="J569" i="4"/>
  <c r="J584" i="4"/>
  <c r="J592" i="4"/>
  <c r="J625" i="4"/>
  <c r="J636" i="4"/>
  <c r="J642" i="4"/>
  <c r="J37" i="4"/>
  <c r="J23" i="4"/>
  <c r="J19" i="4"/>
  <c r="J15" i="4"/>
  <c r="J11" i="4"/>
  <c r="J39" i="4"/>
  <c r="J55" i="4"/>
  <c r="J74" i="4"/>
  <c r="J89" i="4"/>
  <c r="J91" i="4"/>
  <c r="J93" i="4"/>
  <c r="J95" i="4"/>
  <c r="J97" i="4"/>
  <c r="J112" i="4"/>
  <c r="J114" i="4"/>
  <c r="J116" i="4"/>
  <c r="J118" i="4"/>
  <c r="J143" i="4"/>
  <c r="J145" i="4"/>
  <c r="J172" i="4"/>
  <c r="J174" i="4"/>
  <c r="J219" i="4"/>
  <c r="J221" i="4"/>
  <c r="J238" i="4"/>
  <c r="J244" i="4"/>
  <c r="J259" i="4"/>
  <c r="J269" i="4"/>
  <c r="J271" i="4"/>
  <c r="J273" i="4"/>
  <c r="J325" i="4"/>
  <c r="J327" i="4"/>
  <c r="J329" i="4"/>
  <c r="J331" i="4"/>
  <c r="J333" i="4"/>
  <c r="J335" i="4"/>
  <c r="J337" i="4"/>
  <c r="J377" i="4"/>
  <c r="J392" i="4"/>
  <c r="J425" i="4"/>
  <c r="J431" i="4"/>
  <c r="J494" i="4"/>
  <c r="J496" i="4"/>
  <c r="J498" i="4"/>
  <c r="J500" i="4"/>
  <c r="J502" i="4"/>
  <c r="J509" i="4"/>
  <c r="J519" i="4"/>
  <c r="J521" i="4"/>
  <c r="J523" i="4"/>
  <c r="J525" i="4"/>
  <c r="J527" i="4"/>
  <c r="J529" i="4"/>
  <c r="J571" i="4"/>
  <c r="J577" i="4"/>
  <c r="J579" i="4"/>
  <c r="J627" i="4"/>
  <c r="J633" i="4"/>
  <c r="J635" i="4"/>
  <c r="J662" i="4"/>
  <c r="J664" i="4"/>
  <c r="J30" i="4"/>
  <c r="J26" i="4"/>
  <c r="J57" i="4"/>
  <c r="J76" i="4"/>
  <c r="J78" i="4"/>
  <c r="J87" i="4"/>
  <c r="J120" i="4"/>
  <c r="J149" i="4"/>
  <c r="J151" i="4"/>
  <c r="J153" i="4"/>
  <c r="J155" i="4"/>
  <c r="J157" i="4"/>
  <c r="J225" i="4"/>
  <c r="J227" i="4"/>
  <c r="J229" i="4"/>
  <c r="J248" i="4"/>
  <c r="J250" i="4"/>
  <c r="J275" i="4"/>
  <c r="J323" i="4"/>
  <c r="J381" i="4"/>
  <c r="J383" i="4"/>
  <c r="J385" i="4"/>
  <c r="J387" i="4"/>
  <c r="J400" i="4"/>
  <c r="J402" i="4"/>
  <c r="J404" i="4"/>
  <c r="J406" i="4"/>
  <c r="J408" i="4"/>
  <c r="J435" i="4"/>
  <c r="J437" i="4"/>
  <c r="J439" i="4"/>
  <c r="J441" i="4"/>
  <c r="J443" i="4"/>
  <c r="J445" i="4"/>
  <c r="J554" i="4"/>
  <c r="J606" i="4"/>
  <c r="J608" i="4"/>
  <c r="J610" i="4"/>
  <c r="J639" i="4"/>
  <c r="J283" i="4"/>
  <c r="J310" i="4"/>
  <c r="J312" i="4"/>
  <c r="J379" i="4"/>
  <c r="J391" i="4"/>
  <c r="J398" i="4"/>
  <c r="J414" i="4"/>
  <c r="J433" i="4"/>
  <c r="J504" i="4"/>
  <c r="J506" i="4"/>
  <c r="J508" i="4"/>
  <c r="J545" i="4"/>
  <c r="J560" i="4"/>
  <c r="J562" i="4"/>
  <c r="J564" i="4"/>
  <c r="J566" i="4"/>
  <c r="J568" i="4"/>
  <c r="J593" i="4"/>
  <c r="J600" i="4"/>
  <c r="J616" i="4"/>
  <c r="J618" i="4"/>
  <c r="J620" i="4"/>
  <c r="J622" i="4"/>
  <c r="J643" i="4"/>
  <c r="J29" i="4"/>
  <c r="J41" i="4"/>
  <c r="J45" i="4"/>
  <c r="J47" i="4"/>
  <c r="J49" i="4"/>
  <c r="J51" i="4"/>
  <c r="J86" i="4"/>
  <c r="J103" i="4"/>
  <c r="J107" i="4"/>
  <c r="J109" i="4"/>
  <c r="J122" i="4"/>
  <c r="J128" i="4"/>
  <c r="J130" i="4"/>
  <c r="J132" i="4"/>
  <c r="J134" i="4"/>
  <c r="J136" i="4"/>
  <c r="J138" i="4"/>
  <c r="J140" i="4"/>
  <c r="J204" i="4"/>
  <c r="J206" i="4"/>
  <c r="J208" i="4"/>
  <c r="J210" i="4"/>
  <c r="J212" i="4"/>
  <c r="J214" i="4"/>
  <c r="J306" i="4"/>
  <c r="J316" i="4"/>
  <c r="J318" i="4"/>
  <c r="J320" i="4"/>
  <c r="J322" i="4"/>
  <c r="J361" i="4"/>
  <c r="J363" i="4"/>
  <c r="J365" i="4"/>
  <c r="J393" i="4"/>
  <c r="J465" i="4"/>
  <c r="J475" i="4"/>
  <c r="J477" i="4"/>
  <c r="J479" i="4"/>
  <c r="J556" i="4"/>
  <c r="J572" i="4"/>
  <c r="J591" i="4"/>
  <c r="J612" i="4"/>
  <c r="J628" i="4"/>
  <c r="J641" i="4"/>
  <c r="J651" i="4"/>
  <c r="J653" i="4"/>
  <c r="J32" i="4"/>
  <c r="J21" i="4"/>
  <c r="J17" i="4"/>
  <c r="J13" i="4"/>
  <c r="J9" i="4"/>
  <c r="J88" i="4"/>
  <c r="J90" i="4"/>
  <c r="J92" i="4"/>
  <c r="J94" i="4"/>
  <c r="J96" i="4"/>
  <c r="J98" i="4"/>
  <c r="J100" i="4"/>
  <c r="J167" i="4"/>
  <c r="J171" i="4"/>
  <c r="J173" i="4"/>
  <c r="J216" i="4"/>
  <c r="J218" i="4"/>
  <c r="J287" i="4"/>
  <c r="J297" i="4"/>
  <c r="J299" i="4"/>
  <c r="J301" i="4"/>
  <c r="J330" i="4"/>
  <c r="J355" i="4"/>
  <c r="J369" i="4"/>
  <c r="J371" i="4"/>
  <c r="J373" i="4"/>
  <c r="J374" i="4"/>
  <c r="J376" i="4"/>
  <c r="J378" i="4"/>
  <c r="J422" i="4"/>
  <c r="J426" i="4"/>
  <c r="J428" i="4"/>
  <c r="J430" i="4"/>
  <c r="J473" i="4"/>
  <c r="J483" i="4"/>
  <c r="J485" i="4"/>
  <c r="J487" i="4"/>
  <c r="J489" i="4"/>
  <c r="J491" i="4"/>
  <c r="J493" i="4"/>
  <c r="J530" i="4"/>
  <c r="J532" i="4"/>
  <c r="J534" i="4"/>
  <c r="J536" i="4"/>
  <c r="J538" i="4"/>
  <c r="J540" i="4"/>
  <c r="J542" i="4"/>
  <c r="J544" i="4"/>
  <c r="J580" i="4"/>
  <c r="J582" i="4"/>
  <c r="J645" i="4"/>
  <c r="J558" i="4"/>
  <c r="J586" i="4"/>
  <c r="J597" i="4"/>
  <c r="J614" i="4"/>
  <c r="J638" i="4"/>
  <c r="J647" i="4"/>
  <c r="J649" i="4"/>
  <c r="J658" i="4"/>
  <c r="J113" i="4"/>
  <c r="J115" i="4"/>
  <c r="J117" i="4"/>
  <c r="J144" i="4"/>
  <c r="J146" i="4"/>
  <c r="J161" i="4"/>
  <c r="J163" i="4"/>
  <c r="J165" i="4"/>
  <c r="J176" i="4"/>
  <c r="J178" i="4"/>
  <c r="J197" i="4"/>
  <c r="J199" i="4"/>
  <c r="J201" i="4"/>
  <c r="J220" i="4"/>
  <c r="J222" i="4"/>
  <c r="J239" i="4"/>
  <c r="J241" i="4"/>
  <c r="J260" i="4"/>
  <c r="J262" i="4"/>
  <c r="J264" i="4"/>
  <c r="J277" i="4"/>
  <c r="J279" i="4"/>
  <c r="J281" i="4"/>
  <c r="J296" i="4"/>
  <c r="J311" i="4"/>
  <c r="J313" i="4"/>
  <c r="J324" i="4"/>
  <c r="J326" i="4"/>
  <c r="J362" i="4"/>
  <c r="J364" i="4"/>
  <c r="J366" i="4"/>
  <c r="J382" i="4"/>
  <c r="J384" i="4"/>
  <c r="J386" i="4"/>
  <c r="J388" i="4"/>
  <c r="J395" i="4"/>
  <c r="J410" i="4"/>
  <c r="J423" i="4"/>
  <c r="J432" i="4"/>
  <c r="J447" i="4"/>
  <c r="J449" i="4"/>
  <c r="J451" i="4"/>
  <c r="J474" i="4"/>
  <c r="J476" i="4"/>
  <c r="J478" i="4"/>
  <c r="J495" i="4"/>
  <c r="J510" i="4"/>
  <c r="J531" i="4"/>
  <c r="J553" i="4"/>
  <c r="J555" i="4"/>
  <c r="J570" i="4"/>
  <c r="J581" i="4"/>
  <c r="J583" i="4"/>
  <c r="J594" i="4"/>
  <c r="J605" i="4"/>
  <c r="J607" i="4"/>
  <c r="J609" i="4"/>
  <c r="J611" i="4"/>
  <c r="J624" i="4"/>
  <c r="J626" i="4"/>
  <c r="J655" i="4"/>
  <c r="J169" i="4"/>
  <c r="J180" i="4"/>
  <c r="J203" i="4"/>
  <c r="J205" i="4"/>
  <c r="J224" i="4"/>
  <c r="J226" i="4"/>
  <c r="J228" i="4"/>
  <c r="J230" i="4"/>
  <c r="J245" i="4"/>
  <c r="J300" i="4"/>
  <c r="J302" i="4"/>
  <c r="J315" i="4"/>
  <c r="J341" i="4"/>
  <c r="J343" i="4"/>
  <c r="J345" i="4"/>
  <c r="J368" i="4"/>
  <c r="J370" i="4"/>
  <c r="J372" i="4"/>
  <c r="J375" i="4"/>
  <c r="J397" i="4"/>
  <c r="J434" i="4"/>
  <c r="J436" i="4"/>
  <c r="J438" i="4"/>
  <c r="J455" i="4"/>
  <c r="J457" i="4"/>
  <c r="J459" i="4"/>
  <c r="J499" i="4"/>
  <c r="J501" i="4"/>
  <c r="J503" i="4"/>
  <c r="J514" i="4"/>
  <c r="J516" i="4"/>
  <c r="J535" i="4"/>
  <c r="J537" i="4"/>
  <c r="J539" i="4"/>
  <c r="J557" i="4"/>
  <c r="J585" i="4"/>
  <c r="J596" i="4"/>
  <c r="J613" i="4"/>
  <c r="J637" i="4"/>
  <c r="J646" i="4"/>
  <c r="J648" i="4"/>
  <c r="J657" i="4"/>
  <c r="J659" i="4"/>
  <c r="J249" i="4"/>
  <c r="J268" i="4"/>
  <c r="J270" i="4"/>
  <c r="J272" i="4"/>
  <c r="J285" i="4"/>
  <c r="J304" i="4"/>
  <c r="J319" i="4"/>
  <c r="J347" i="4"/>
  <c r="J349" i="4"/>
  <c r="J351" i="4"/>
  <c r="J353" i="4"/>
  <c r="J399" i="4"/>
  <c r="J401" i="4"/>
  <c r="J403" i="4"/>
  <c r="J405" i="4"/>
  <c r="J416" i="4"/>
  <c r="J418" i="4"/>
  <c r="J420" i="4"/>
  <c r="J427" i="4"/>
  <c r="J463" i="4"/>
  <c r="J482" i="4"/>
  <c r="J484" i="4"/>
  <c r="J518" i="4"/>
  <c r="J520" i="4"/>
  <c r="J543" i="4"/>
  <c r="J561" i="4"/>
  <c r="J563" i="4"/>
  <c r="J574" i="4"/>
  <c r="J589" i="4"/>
  <c r="J617" i="4"/>
  <c r="J619" i="4"/>
  <c r="J630" i="4"/>
  <c r="J661" i="4"/>
  <c r="J663" i="4"/>
  <c r="J53" i="4"/>
  <c r="J54" i="4"/>
  <c r="J71" i="4"/>
  <c r="J82" i="4"/>
  <c r="J84" i="4"/>
  <c r="J99" i="4"/>
  <c r="M99" i="4" s="1"/>
  <c r="N99" i="4" s="1"/>
  <c r="J101" i="4"/>
  <c r="J110" i="4"/>
  <c r="J129" i="4"/>
  <c r="J131" i="4"/>
  <c r="J133" i="4"/>
  <c r="J135" i="4"/>
  <c r="J137" i="4"/>
  <c r="J139" i="4"/>
  <c r="J141" i="4"/>
  <c r="J156" i="4"/>
  <c r="J158" i="4"/>
  <c r="J188" i="4"/>
  <c r="J190" i="4"/>
  <c r="J192" i="4"/>
  <c r="J194" i="4"/>
  <c r="J217" i="4"/>
  <c r="J236" i="4"/>
  <c r="J253" i="4"/>
  <c r="J255" i="4"/>
  <c r="J257" i="4"/>
  <c r="J289" i="4"/>
  <c r="J291" i="4"/>
  <c r="J293" i="4"/>
  <c r="J308" i="4"/>
  <c r="J321" i="4"/>
  <c r="J332" i="4"/>
  <c r="J334" i="4"/>
  <c r="J336" i="4"/>
  <c r="J357" i="4"/>
  <c r="J359" i="4"/>
  <c r="J407" i="4"/>
  <c r="J429" i="4"/>
  <c r="J442" i="4"/>
  <c r="J444" i="4"/>
  <c r="J467" i="4"/>
  <c r="J469" i="4"/>
  <c r="J471" i="4"/>
  <c r="J486" i="4"/>
  <c r="J488" i="4"/>
  <c r="J490" i="4"/>
  <c r="M490" i="4" s="1"/>
  <c r="N490" i="4" s="1"/>
  <c r="J492" i="4"/>
  <c r="J507" i="4"/>
  <c r="J522" i="4"/>
  <c r="J524" i="4"/>
  <c r="J526" i="4"/>
  <c r="J528" i="4"/>
  <c r="J547" i="4"/>
  <c r="J549" i="4"/>
  <c r="M549" i="4" s="1"/>
  <c r="N549" i="4" s="1"/>
  <c r="J565" i="4"/>
  <c r="J567" i="4"/>
  <c r="J578" i="4"/>
  <c r="J602" i="4"/>
  <c r="J621" i="4"/>
  <c r="J634" i="4"/>
  <c r="J665" i="4"/>
  <c r="K79" i="4"/>
  <c r="M79" i="4" s="1"/>
  <c r="N79" i="4" s="1"/>
  <c r="K150" i="4"/>
  <c r="K242" i="4"/>
  <c r="K492" i="4"/>
  <c r="K35" i="4"/>
  <c r="M35" i="4" s="1"/>
  <c r="N35" i="4" s="1"/>
  <c r="K28" i="4"/>
  <c r="K41" i="4"/>
  <c r="K71" i="4"/>
  <c r="K128" i="4"/>
  <c r="M128" i="4" s="1"/>
  <c r="N128" i="4" s="1"/>
  <c r="K130" i="4"/>
  <c r="K132" i="4"/>
  <c r="K134" i="4"/>
  <c r="K181" i="4"/>
  <c r="K232" i="4"/>
  <c r="K234" i="4"/>
  <c r="K260" i="4"/>
  <c r="K262" i="4"/>
  <c r="M262" i="4" s="1"/>
  <c r="N262" i="4" s="1"/>
  <c r="K340" i="4"/>
  <c r="K422" i="4"/>
  <c r="M422" i="4" s="1"/>
  <c r="N422" i="4" s="1"/>
  <c r="K424" i="4"/>
  <c r="K465" i="4"/>
  <c r="K499" i="4"/>
  <c r="K510" i="4"/>
  <c r="K512" i="4"/>
  <c r="K625" i="4"/>
  <c r="K627" i="4"/>
  <c r="K634" i="4"/>
  <c r="K27" i="4"/>
  <c r="M27" i="4" s="1"/>
  <c r="N27" i="4" s="1"/>
  <c r="K92" i="4"/>
  <c r="K152" i="4"/>
  <c r="M152" i="4" s="1"/>
  <c r="N152" i="4" s="1"/>
  <c r="K346" i="4"/>
  <c r="K490" i="4"/>
  <c r="K25" i="4"/>
  <c r="M25" i="4" s="1"/>
  <c r="N25" i="4" s="1"/>
  <c r="K31" i="4"/>
  <c r="K38" i="4"/>
  <c r="K24" i="4"/>
  <c r="K16" i="4"/>
  <c r="K12" i="4"/>
  <c r="K40" i="4"/>
  <c r="K43" i="4"/>
  <c r="K50" i="4"/>
  <c r="K52" i="4"/>
  <c r="K60" i="4"/>
  <c r="K62" i="4"/>
  <c r="K64" i="4"/>
  <c r="K99" i="4"/>
  <c r="K101" i="4"/>
  <c r="K121" i="4"/>
  <c r="M121" i="4" s="1"/>
  <c r="N121" i="4" s="1"/>
  <c r="K170" i="4"/>
  <c r="K172" i="4"/>
  <c r="K174" i="4"/>
  <c r="K253" i="4"/>
  <c r="K255" i="4"/>
  <c r="K288" i="4"/>
  <c r="M288" i="4" s="1"/>
  <c r="N288" i="4" s="1"/>
  <c r="K305" i="4"/>
  <c r="K331" i="4"/>
  <c r="K355" i="4"/>
  <c r="M355" i="4" s="1"/>
  <c r="N355" i="4" s="1"/>
  <c r="K380" i="4"/>
  <c r="K395" i="4"/>
  <c r="K415" i="4"/>
  <c r="K417" i="4"/>
  <c r="K435" i="4"/>
  <c r="K437" i="4"/>
  <c r="K570" i="4"/>
  <c r="M570" i="4" s="1"/>
  <c r="N570" i="4" s="1"/>
  <c r="K616" i="4"/>
  <c r="M616" i="4" s="1"/>
  <c r="N616" i="4" s="1"/>
  <c r="K618" i="4"/>
  <c r="K620" i="4"/>
  <c r="K45" i="4"/>
  <c r="M45" i="4" s="1"/>
  <c r="N45" i="4" s="1"/>
  <c r="K110" i="4"/>
  <c r="K154" i="4"/>
  <c r="K426" i="4"/>
  <c r="M426" i="4" s="1"/>
  <c r="N426" i="4" s="1"/>
  <c r="K486" i="4"/>
  <c r="K20" i="4"/>
  <c r="M20" i="4" s="1"/>
  <c r="N20" i="4" s="1"/>
  <c r="K26" i="4"/>
  <c r="M26" i="4" s="1"/>
  <c r="N26" i="4" s="1"/>
  <c r="K37" i="4"/>
  <c r="K34" i="4"/>
  <c r="K23" i="4"/>
  <c r="K19" i="4"/>
  <c r="K15" i="4"/>
  <c r="K11" i="4"/>
  <c r="K47" i="4"/>
  <c r="M47" i="4" s="1"/>
  <c r="N47" i="4" s="1"/>
  <c r="K55" i="4"/>
  <c r="M55" i="4" s="1"/>
  <c r="N55" i="4" s="1"/>
  <c r="K68" i="4"/>
  <c r="K208" i="4"/>
  <c r="M208" i="4" s="1"/>
  <c r="N208" i="4" s="1"/>
  <c r="K210" i="4"/>
  <c r="K212" i="4"/>
  <c r="K214" i="4"/>
  <c r="K229" i="4"/>
  <c r="K231" i="4"/>
  <c r="K410" i="4"/>
  <c r="K454" i="4"/>
  <c r="M454" i="4" s="1"/>
  <c r="N454" i="4" s="1"/>
  <c r="K456" i="4"/>
  <c r="M456" i="4" s="1"/>
  <c r="N456" i="4" s="1"/>
  <c r="K458" i="4"/>
  <c r="M458" i="4" s="1"/>
  <c r="N458" i="4" s="1"/>
  <c r="K605" i="4"/>
  <c r="K607" i="4"/>
  <c r="K88" i="4"/>
  <c r="K240" i="4"/>
  <c r="K322" i="4"/>
  <c r="K559" i="4"/>
  <c r="M559" i="4" s="1"/>
  <c r="N559" i="4" s="1"/>
  <c r="K30" i="4"/>
  <c r="K42" i="4"/>
  <c r="K59" i="4"/>
  <c r="K96" i="4"/>
  <c r="K98" i="4"/>
  <c r="K103" i="4"/>
  <c r="K105" i="4"/>
  <c r="K114" i="4"/>
  <c r="M114" i="4" s="1"/>
  <c r="N114" i="4" s="1"/>
  <c r="K265" i="4"/>
  <c r="K268" i="4"/>
  <c r="M268" i="4" s="1"/>
  <c r="N268" i="4" s="1"/>
  <c r="K270" i="4"/>
  <c r="K287" i="4"/>
  <c r="K330" i="4"/>
  <c r="M330" i="4" s="1"/>
  <c r="N330" i="4" s="1"/>
  <c r="K369" i="4"/>
  <c r="K407" i="4"/>
  <c r="K443" i="4"/>
  <c r="K445" i="4"/>
  <c r="M445" i="4" s="1"/>
  <c r="N445" i="4" s="1"/>
  <c r="K462" i="4"/>
  <c r="M462" i="4" s="1"/>
  <c r="N462" i="4" s="1"/>
  <c r="K577" i="4"/>
  <c r="M577" i="4" s="1"/>
  <c r="N577" i="4" s="1"/>
  <c r="K552" i="4"/>
  <c r="K534" i="4"/>
  <c r="K505" i="4"/>
  <c r="K498" i="4"/>
  <c r="K473" i="4"/>
  <c r="K464" i="4"/>
  <c r="K442" i="4"/>
  <c r="K414" i="4"/>
  <c r="K406" i="4"/>
  <c r="M406" i="4" s="1"/>
  <c r="N406" i="4" s="1"/>
  <c r="K390" i="4"/>
  <c r="K357" i="4"/>
  <c r="K339" i="4"/>
  <c r="K321" i="4"/>
  <c r="K314" i="4"/>
  <c r="M314" i="4" s="1"/>
  <c r="N314" i="4" s="1"/>
  <c r="K264" i="4"/>
  <c r="M264" i="4" s="1"/>
  <c r="N264" i="4" s="1"/>
  <c r="K127" i="4"/>
  <c r="M127" i="4" s="1"/>
  <c r="N127" i="4" s="1"/>
  <c r="K120" i="4"/>
  <c r="K106" i="4"/>
  <c r="K9" i="4"/>
  <c r="K656" i="4"/>
  <c r="M656" i="4" s="1"/>
  <c r="N656" i="4" s="1"/>
  <c r="K589" i="4"/>
  <c r="K530" i="4"/>
  <c r="K478" i="4"/>
  <c r="K412" i="4"/>
  <c r="K398" i="4"/>
  <c r="K374" i="4"/>
  <c r="K299" i="4"/>
  <c r="K175" i="4"/>
  <c r="K109" i="4"/>
  <c r="K621" i="4"/>
  <c r="K592" i="4"/>
  <c r="K560" i="4"/>
  <c r="K553" i="4"/>
  <c r="K513" i="4"/>
  <c r="K506" i="4"/>
  <c r="K481" i="4"/>
  <c r="K474" i="4"/>
  <c r="M474" i="4" s="1"/>
  <c r="N474" i="4" s="1"/>
  <c r="K460" i="4"/>
  <c r="M460" i="4" s="1"/>
  <c r="N460" i="4" s="1"/>
  <c r="K349" i="4"/>
  <c r="K342" i="4"/>
  <c r="M342" i="4" s="1"/>
  <c r="N342" i="4" s="1"/>
  <c r="K315" i="4"/>
  <c r="K290" i="4"/>
  <c r="K272" i="4"/>
  <c r="K223" i="4"/>
  <c r="K195" i="4"/>
  <c r="K182" i="4"/>
  <c r="K95" i="4"/>
  <c r="K664" i="4"/>
  <c r="K657" i="4"/>
  <c r="K647" i="4"/>
  <c r="K608" i="4"/>
  <c r="K585" i="4"/>
  <c r="K576" i="4"/>
  <c r="K497" i="4"/>
  <c r="K461" i="4"/>
  <c r="K441" i="4"/>
  <c r="K425" i="4"/>
  <c r="M425" i="4" s="1"/>
  <c r="N425" i="4" s="1"/>
  <c r="K394" i="4"/>
  <c r="K286" i="4"/>
  <c r="K239" i="4"/>
  <c r="K228" i="4"/>
  <c r="K119" i="4"/>
  <c r="K67" i="4"/>
  <c r="K58" i="4"/>
  <c r="K660" i="4"/>
  <c r="K650" i="4"/>
  <c r="K638" i="4"/>
  <c r="K613" i="4"/>
  <c r="K482" i="4"/>
  <c r="K466" i="4"/>
  <c r="K446" i="4"/>
  <c r="M446" i="4" s="1"/>
  <c r="N446" i="4" s="1"/>
  <c r="K363" i="4"/>
  <c r="K323" i="4"/>
  <c r="M323" i="4" s="1"/>
  <c r="N323" i="4" s="1"/>
  <c r="K291" i="4"/>
  <c r="K259" i="4"/>
  <c r="K246" i="4"/>
  <c r="K224" i="4"/>
  <c r="M224" i="4" s="1"/>
  <c r="N224" i="4" s="1"/>
  <c r="K665" i="4"/>
  <c r="K600" i="4"/>
  <c r="M600" i="4" s="1"/>
  <c r="N600" i="4" s="1"/>
  <c r="K529" i="4"/>
  <c r="K502" i="4"/>
  <c r="K428" i="4"/>
  <c r="K418" i="4"/>
  <c r="M418" i="4" s="1"/>
  <c r="N418" i="4" s="1"/>
  <c r="K408" i="4"/>
  <c r="K381" i="4"/>
  <c r="K378" i="4"/>
  <c r="K370" i="4"/>
  <c r="K307" i="4"/>
  <c r="K282" i="4"/>
  <c r="K167" i="4"/>
  <c r="K135" i="4"/>
  <c r="M135" i="4" s="1"/>
  <c r="N135" i="4" s="1"/>
  <c r="K115" i="4"/>
  <c r="K70" i="4"/>
  <c r="K90" i="4"/>
  <c r="M90" i="4" s="1"/>
  <c r="N90" i="4" s="1"/>
  <c r="K148" i="4"/>
  <c r="K294" i="4"/>
  <c r="K488" i="4"/>
  <c r="K36" i="4"/>
  <c r="K33" i="4"/>
  <c r="M33" i="4" s="1"/>
  <c r="N33" i="4" s="1"/>
  <c r="K22" i="4"/>
  <c r="M22" i="4" s="1"/>
  <c r="N22" i="4" s="1"/>
  <c r="K14" i="4"/>
  <c r="K10" i="4"/>
  <c r="K39" i="4"/>
  <c r="K44" i="4"/>
  <c r="K49" i="4"/>
  <c r="K51" i="4"/>
  <c r="K74" i="4"/>
  <c r="K87" i="4"/>
  <c r="K107" i="4"/>
  <c r="K143" i="4"/>
  <c r="K145" i="4"/>
  <c r="K358" i="4"/>
  <c r="K360" i="4"/>
  <c r="K66" i="4"/>
  <c r="M66" i="4" s="1"/>
  <c r="N66" i="4" s="1"/>
  <c r="K94" i="4"/>
  <c r="K165" i="4"/>
  <c r="K377" i="4"/>
  <c r="K557" i="4"/>
  <c r="K65" i="4"/>
  <c r="K203" i="4"/>
  <c r="K205" i="4"/>
  <c r="K207" i="4"/>
  <c r="K218" i="4"/>
  <c r="K220" i="4"/>
  <c r="K222" i="4"/>
  <c r="K256" i="4"/>
  <c r="K258" i="4"/>
  <c r="M258" i="4" s="1"/>
  <c r="N258" i="4" s="1"/>
  <c r="K276" i="4"/>
  <c r="K278" i="4"/>
  <c r="K280" i="4"/>
  <c r="M280" i="4" s="1"/>
  <c r="N280" i="4" s="1"/>
  <c r="K409" i="4"/>
  <c r="K438" i="4"/>
  <c r="K440" i="4"/>
  <c r="K646" i="4"/>
  <c r="K77" i="4"/>
  <c r="K17" i="4"/>
  <c r="K32" i="4"/>
  <c r="K21" i="4"/>
  <c r="K13" i="4"/>
  <c r="K46" i="4"/>
  <c r="M46" i="4" s="1"/>
  <c r="N46" i="4" s="1"/>
  <c r="K48" i="4"/>
  <c r="K53" i="4"/>
  <c r="K54" i="4"/>
  <c r="K56" i="4"/>
  <c r="K80" i="4"/>
  <c r="K113" i="4"/>
  <c r="K122" i="4"/>
  <c r="M122" i="4" s="1"/>
  <c r="N122" i="4" s="1"/>
  <c r="K124" i="4"/>
  <c r="K126" i="4"/>
  <c r="K155" i="4"/>
  <c r="M155" i="4" s="1"/>
  <c r="N155" i="4" s="1"/>
  <c r="K192" i="4"/>
  <c r="K194" i="4"/>
  <c r="K245" i="4"/>
  <c r="K267" i="4"/>
  <c r="K297" i="4"/>
  <c r="K347" i="4"/>
  <c r="K391" i="4"/>
  <c r="K523" i="4"/>
  <c r="K525" i="4"/>
  <c r="K527" i="4"/>
  <c r="K584" i="4"/>
  <c r="K72" i="4"/>
  <c r="M72" i="4" s="1"/>
  <c r="N72" i="4" s="1"/>
  <c r="K83" i="4"/>
  <c r="K85" i="4"/>
  <c r="K117" i="4"/>
  <c r="M117" i="4" s="1"/>
  <c r="N117" i="4" s="1"/>
  <c r="K137" i="4"/>
  <c r="K139" i="4"/>
  <c r="K141" i="4"/>
  <c r="K156" i="4"/>
  <c r="M156" i="4" s="1"/>
  <c r="N156" i="4" s="1"/>
  <c r="K158" i="4"/>
  <c r="M158" i="4" s="1"/>
  <c r="N158" i="4" s="1"/>
  <c r="K169" i="4"/>
  <c r="K183" i="4"/>
  <c r="K185" i="4"/>
  <c r="K187" i="4"/>
  <c r="K196" i="4"/>
  <c r="K198" i="4"/>
  <c r="K200" i="4"/>
  <c r="K202" i="4"/>
  <c r="K217" i="4"/>
  <c r="K237" i="4"/>
  <c r="M237" i="4" s="1"/>
  <c r="N237" i="4" s="1"/>
  <c r="K273" i="4"/>
  <c r="K309" i="4"/>
  <c r="K316" i="4"/>
  <c r="K332" i="4"/>
  <c r="K334" i="4"/>
  <c r="K336" i="4"/>
  <c r="K338" i="4"/>
  <c r="K343" i="4"/>
  <c r="M343" i="4" s="1"/>
  <c r="N343" i="4" s="1"/>
  <c r="K345" i="4"/>
  <c r="K350" i="4"/>
  <c r="K352" i="4"/>
  <c r="K354" i="4"/>
  <c r="K361" i="4"/>
  <c r="K372" i="4"/>
  <c r="K383" i="4"/>
  <c r="K385" i="4"/>
  <c r="K387" i="4"/>
  <c r="K389" i="4"/>
  <c r="K420" i="4"/>
  <c r="M420" i="4" s="1"/>
  <c r="N420" i="4" s="1"/>
  <c r="K430" i="4"/>
  <c r="K475" i="4"/>
  <c r="M475" i="4" s="1"/>
  <c r="N475" i="4" s="1"/>
  <c r="K477" i="4"/>
  <c r="M477" i="4" s="1"/>
  <c r="N477" i="4" s="1"/>
  <c r="K495" i="4"/>
  <c r="K504" i="4"/>
  <c r="K507" i="4"/>
  <c r="K509" i="4"/>
  <c r="M509" i="4" s="1"/>
  <c r="N509" i="4" s="1"/>
  <c r="K514" i="4"/>
  <c r="K516" i="4"/>
  <c r="K542" i="4"/>
  <c r="M542" i="4" s="1"/>
  <c r="N542" i="4" s="1"/>
  <c r="K544" i="4"/>
  <c r="K554" i="4"/>
  <c r="M554" i="4" s="1"/>
  <c r="N554" i="4" s="1"/>
  <c r="K556" i="4"/>
  <c r="K561" i="4"/>
  <c r="M561" i="4" s="1"/>
  <c r="N561" i="4" s="1"/>
  <c r="K563" i="4"/>
  <c r="K574" i="4"/>
  <c r="K581" i="4"/>
  <c r="M581" i="4" s="1"/>
  <c r="N581" i="4" s="1"/>
  <c r="K583" i="4"/>
  <c r="K588" i="4"/>
  <c r="K593" i="4"/>
  <c r="K595" i="4"/>
  <c r="K602" i="4"/>
  <c r="K604" i="4"/>
  <c r="K622" i="4"/>
  <c r="K629" i="4"/>
  <c r="M629" i="4" s="1"/>
  <c r="N629" i="4" s="1"/>
  <c r="K631" i="4"/>
  <c r="K147" i="4"/>
  <c r="M147" i="4" s="1"/>
  <c r="N147" i="4" s="1"/>
  <c r="K160" i="4"/>
  <c r="K162" i="4"/>
  <c r="K164" i="4"/>
  <c r="K176" i="4"/>
  <c r="K178" i="4"/>
  <c r="K189" i="4"/>
  <c r="K191" i="4"/>
  <c r="K226" i="4"/>
  <c r="M226" i="4" s="1"/>
  <c r="N226" i="4" s="1"/>
  <c r="K248" i="4"/>
  <c r="K250" i="4"/>
  <c r="K275" i="4"/>
  <c r="M275" i="4" s="1"/>
  <c r="N275" i="4" s="1"/>
  <c r="K284" i="4"/>
  <c r="M284" i="4" s="1"/>
  <c r="N284" i="4" s="1"/>
  <c r="K293" i="4"/>
  <c r="K300" i="4"/>
  <c r="K302" i="4"/>
  <c r="K311" i="4"/>
  <c r="M311" i="4" s="1"/>
  <c r="N311" i="4" s="1"/>
  <c r="K313" i="4"/>
  <c r="K318" i="4"/>
  <c r="M318" i="4" s="1"/>
  <c r="N318" i="4" s="1"/>
  <c r="K320" i="4"/>
  <c r="M320" i="4" s="1"/>
  <c r="N320" i="4" s="1"/>
  <c r="K325" i="4"/>
  <c r="M325" i="4" s="1"/>
  <c r="N325" i="4" s="1"/>
  <c r="K327" i="4"/>
  <c r="M327" i="4" s="1"/>
  <c r="N327" i="4" s="1"/>
  <c r="K365" i="4"/>
  <c r="K375" i="4"/>
  <c r="K399" i="4"/>
  <c r="K401" i="4"/>
  <c r="K403" i="4"/>
  <c r="K405" i="4"/>
  <c r="K413" i="4"/>
  <c r="K432" i="4"/>
  <c r="K448" i="4"/>
  <c r="K450" i="4"/>
  <c r="K452" i="4"/>
  <c r="M452" i="4" s="1"/>
  <c r="N452" i="4" s="1"/>
  <c r="K468" i="4"/>
  <c r="M468" i="4" s="1"/>
  <c r="N468" i="4" s="1"/>
  <c r="K470" i="4"/>
  <c r="K472" i="4"/>
  <c r="K479" i="4"/>
  <c r="K484" i="4"/>
  <c r="K518" i="4"/>
  <c r="K520" i="4"/>
  <c r="K531" i="4"/>
  <c r="K533" i="4"/>
  <c r="K546" i="4"/>
  <c r="M546" i="4" s="1"/>
  <c r="N546" i="4" s="1"/>
  <c r="K548" i="4"/>
  <c r="K550" i="4"/>
  <c r="M550" i="4" s="1"/>
  <c r="N550" i="4" s="1"/>
  <c r="K551" i="4"/>
  <c r="K565" i="4"/>
  <c r="K567" i="4"/>
  <c r="K590" i="4"/>
  <c r="M590" i="4" s="1"/>
  <c r="N590" i="4" s="1"/>
  <c r="K597" i="4"/>
  <c r="M597" i="4" s="1"/>
  <c r="N597" i="4" s="1"/>
  <c r="K599" i="4"/>
  <c r="M599" i="4" s="1"/>
  <c r="N599" i="4" s="1"/>
  <c r="K615" i="4"/>
  <c r="K624" i="4"/>
  <c r="M624" i="4" s="1"/>
  <c r="N624" i="4" s="1"/>
  <c r="K633" i="4"/>
  <c r="K643" i="4"/>
  <c r="K645" i="4"/>
  <c r="K652" i="4"/>
  <c r="K662" i="4"/>
  <c r="K69" i="4"/>
  <c r="K76" i="4"/>
  <c r="K78" i="4"/>
  <c r="K89" i="4"/>
  <c r="K91" i="4"/>
  <c r="K93" i="4"/>
  <c r="K100" i="4"/>
  <c r="K102" i="4"/>
  <c r="K112" i="4"/>
  <c r="M112" i="4" s="1"/>
  <c r="N112" i="4" s="1"/>
  <c r="K149" i="4"/>
  <c r="K151" i="4"/>
  <c r="K153" i="4"/>
  <c r="M153" i="4" s="1"/>
  <c r="N153" i="4" s="1"/>
  <c r="K166" i="4"/>
  <c r="K171" i="4"/>
  <c r="M171" i="4" s="1"/>
  <c r="N171" i="4" s="1"/>
  <c r="K173" i="4"/>
  <c r="M173" i="4" s="1"/>
  <c r="N173" i="4" s="1"/>
  <c r="K180" i="4"/>
  <c r="K193" i="4"/>
  <c r="K204" i="4"/>
  <c r="M204" i="4" s="1"/>
  <c r="N204" i="4" s="1"/>
  <c r="K206" i="4"/>
  <c r="K219" i="4"/>
  <c r="K221" i="4"/>
  <c r="M221" i="4" s="1"/>
  <c r="N221" i="4" s="1"/>
  <c r="K230" i="4"/>
  <c r="K241" i="4"/>
  <c r="K243" i="4"/>
  <c r="K252" i="4"/>
  <c r="K254" i="4"/>
  <c r="K261" i="4"/>
  <c r="K263" i="4"/>
  <c r="K277" i="4"/>
  <c r="K279" i="4"/>
  <c r="K281" i="4"/>
  <c r="M281" i="4" s="1"/>
  <c r="N281" i="4" s="1"/>
  <c r="K295" i="4"/>
  <c r="M295" i="4" s="1"/>
  <c r="N295" i="4" s="1"/>
  <c r="K304" i="4"/>
  <c r="K306" i="4"/>
  <c r="K329" i="4"/>
  <c r="K356" i="4"/>
  <c r="K396" i="4"/>
  <c r="K427" i="4"/>
  <c r="K434" i="4"/>
  <c r="M434" i="4" s="1"/>
  <c r="N434" i="4" s="1"/>
  <c r="K436" i="4"/>
  <c r="K463" i="4"/>
  <c r="K511" i="4"/>
  <c r="K522" i="4"/>
  <c r="K524" i="4"/>
  <c r="K526" i="4"/>
  <c r="K528" i="4"/>
  <c r="K558" i="4"/>
  <c r="K569" i="4"/>
  <c r="K571" i="4"/>
  <c r="K606" i="4"/>
  <c r="K617" i="4"/>
  <c r="K619" i="4"/>
  <c r="K626" i="4"/>
  <c r="M626" i="4" s="1"/>
  <c r="N626" i="4" s="1"/>
  <c r="K635" i="4"/>
  <c r="K640" i="4"/>
  <c r="M640" i="4" s="1"/>
  <c r="N640" i="4" s="1"/>
  <c r="K654" i="4"/>
  <c r="K501" i="4"/>
  <c r="M501" i="4" s="1"/>
  <c r="N501" i="4" s="1"/>
  <c r="K535" i="4"/>
  <c r="K537" i="4"/>
  <c r="K539" i="4"/>
  <c r="K541" i="4"/>
  <c r="M541" i="4" s="1"/>
  <c r="N541" i="4" s="1"/>
  <c r="K578" i="4"/>
  <c r="K587" i="4"/>
  <c r="M587" i="4" s="1"/>
  <c r="N587" i="4" s="1"/>
  <c r="K610" i="4"/>
  <c r="M610" i="4" s="1"/>
  <c r="N610" i="4" s="1"/>
  <c r="K612" i="4"/>
  <c r="K628" i="4"/>
  <c r="K649" i="4"/>
  <c r="K659" i="4"/>
  <c r="K73" i="4"/>
  <c r="K82" i="4"/>
  <c r="K84" i="4"/>
  <c r="K116" i="4"/>
  <c r="K118" i="4"/>
  <c r="K136" i="4"/>
  <c r="K138" i="4"/>
  <c r="K140" i="4"/>
  <c r="K142" i="4"/>
  <c r="K157" i="4"/>
  <c r="K159" i="4"/>
  <c r="M159" i="4" s="1"/>
  <c r="N159" i="4" s="1"/>
  <c r="K168" i="4"/>
  <c r="K184" i="4"/>
  <c r="M184" i="4" s="1"/>
  <c r="N184" i="4" s="1"/>
  <c r="K186" i="4"/>
  <c r="K197" i="4"/>
  <c r="M197" i="4" s="1"/>
  <c r="N197" i="4" s="1"/>
  <c r="K199" i="4"/>
  <c r="K201" i="4"/>
  <c r="K216" i="4"/>
  <c r="K236" i="4"/>
  <c r="M236" i="4" s="1"/>
  <c r="N236" i="4" s="1"/>
  <c r="K238" i="4"/>
  <c r="K274" i="4"/>
  <c r="K283" i="4"/>
  <c r="K308" i="4"/>
  <c r="K317" i="4"/>
  <c r="K333" i="4"/>
  <c r="K335" i="4"/>
  <c r="K337" i="4"/>
  <c r="K344" i="4"/>
  <c r="M344" i="4" s="1"/>
  <c r="N344" i="4" s="1"/>
  <c r="K351" i="4"/>
  <c r="M351" i="4" s="1"/>
  <c r="N351" i="4" s="1"/>
  <c r="K353" i="4"/>
  <c r="K362" i="4"/>
  <c r="K371" i="4"/>
  <c r="K373" i="4"/>
  <c r="K379" i="4"/>
  <c r="M379" i="4" s="1"/>
  <c r="N379" i="4" s="1"/>
  <c r="K382" i="4"/>
  <c r="K384" i="4"/>
  <c r="K386" i="4"/>
  <c r="K388" i="4"/>
  <c r="M388" i="4" s="1"/>
  <c r="N388" i="4" s="1"/>
  <c r="K393" i="4"/>
  <c r="K419" i="4"/>
  <c r="M419" i="4" s="1"/>
  <c r="N419" i="4" s="1"/>
  <c r="K421" i="4"/>
  <c r="K429" i="4"/>
  <c r="K476" i="4"/>
  <c r="M476" i="4" s="1"/>
  <c r="N476" i="4" s="1"/>
  <c r="K494" i="4"/>
  <c r="K496" i="4"/>
  <c r="K503" i="4"/>
  <c r="K508" i="4"/>
  <c r="M508" i="4" s="1"/>
  <c r="N508" i="4" s="1"/>
  <c r="K515" i="4"/>
  <c r="K517" i="4"/>
  <c r="M517" i="4" s="1"/>
  <c r="N517" i="4" s="1"/>
  <c r="K543" i="4"/>
  <c r="M543" i="4" s="1"/>
  <c r="N543" i="4" s="1"/>
  <c r="K545" i="4"/>
  <c r="M545" i="4" s="1"/>
  <c r="N545" i="4" s="1"/>
  <c r="K555" i="4"/>
  <c r="K562" i="4"/>
  <c r="K564" i="4"/>
  <c r="K573" i="4"/>
  <c r="K575" i="4"/>
  <c r="K580" i="4"/>
  <c r="K582" i="4"/>
  <c r="K594" i="4"/>
  <c r="K601" i="4"/>
  <c r="M601" i="4" s="1"/>
  <c r="N601" i="4" s="1"/>
  <c r="K603" i="4"/>
  <c r="M603" i="4" s="1"/>
  <c r="N603" i="4" s="1"/>
  <c r="K623" i="4"/>
  <c r="M623" i="4" s="1"/>
  <c r="N623" i="4" s="1"/>
  <c r="K630" i="4"/>
  <c r="K632" i="4"/>
  <c r="M632" i="4" s="1"/>
  <c r="N632" i="4" s="1"/>
  <c r="K637" i="4"/>
  <c r="K642" i="4"/>
  <c r="K57" i="4"/>
  <c r="M57" i="4" s="1"/>
  <c r="N57" i="4" s="1"/>
  <c r="K75" i="4"/>
  <c r="K86" i="4"/>
  <c r="K97" i="4"/>
  <c r="K104" i="4"/>
  <c r="K111" i="4"/>
  <c r="K123" i="4"/>
  <c r="K125" i="4"/>
  <c r="K144" i="4"/>
  <c r="M144" i="4" s="1"/>
  <c r="N144" i="4" s="1"/>
  <c r="K146" i="4"/>
  <c r="K161" i="4"/>
  <c r="K163" i="4"/>
  <c r="K177" i="4"/>
  <c r="K179" i="4"/>
  <c r="K188" i="4"/>
  <c r="K190" i="4"/>
  <c r="K225" i="4"/>
  <c r="K227" i="4"/>
  <c r="K247" i="4"/>
  <c r="K249" i="4"/>
  <c r="M249" i="4" s="1"/>
  <c r="N249" i="4" s="1"/>
  <c r="K251" i="4"/>
  <c r="M251" i="4" s="1"/>
  <c r="N251" i="4" s="1"/>
  <c r="K285" i="4"/>
  <c r="K292" i="4"/>
  <c r="M292" i="4" s="1"/>
  <c r="N292" i="4" s="1"/>
  <c r="K301" i="4"/>
  <c r="K303" i="4"/>
  <c r="M303" i="4" s="1"/>
  <c r="N303" i="4" s="1"/>
  <c r="K310" i="4"/>
  <c r="K312" i="4"/>
  <c r="M312" i="4" s="1"/>
  <c r="N312" i="4" s="1"/>
  <c r="K319" i="4"/>
  <c r="K324" i="4"/>
  <c r="M324" i="4" s="1"/>
  <c r="N324" i="4" s="1"/>
  <c r="K326" i="4"/>
  <c r="M326" i="4" s="1"/>
  <c r="N326" i="4" s="1"/>
  <c r="K328" i="4"/>
  <c r="K364" i="4"/>
  <c r="K366" i="4"/>
  <c r="M366" i="4" s="1"/>
  <c r="N366" i="4" s="1"/>
  <c r="K376" i="4"/>
  <c r="K400" i="4"/>
  <c r="K402" i="4"/>
  <c r="K404" i="4"/>
  <c r="M404" i="4" s="1"/>
  <c r="N404" i="4" s="1"/>
  <c r="K431" i="4"/>
  <c r="K433" i="4"/>
  <c r="K447" i="4"/>
  <c r="K449" i="4"/>
  <c r="K451" i="4"/>
  <c r="K453" i="4"/>
  <c r="M453" i="4" s="1"/>
  <c r="N453" i="4" s="1"/>
  <c r="K467" i="4"/>
  <c r="K469" i="4"/>
  <c r="K471" i="4"/>
  <c r="K480" i="4"/>
  <c r="M480" i="4" s="1"/>
  <c r="N480" i="4" s="1"/>
  <c r="K483" i="4"/>
  <c r="K485" i="4"/>
  <c r="M485" i="4" s="1"/>
  <c r="N485" i="4" s="1"/>
  <c r="K519" i="4"/>
  <c r="M519" i="4" s="1"/>
  <c r="N519" i="4" s="1"/>
  <c r="K521" i="4"/>
  <c r="K532" i="4"/>
  <c r="K547" i="4"/>
  <c r="K549" i="4"/>
  <c r="K566" i="4"/>
  <c r="K568" i="4"/>
  <c r="M568" i="4" s="1"/>
  <c r="N568" i="4" s="1"/>
  <c r="K591" i="4"/>
  <c r="K596" i="4"/>
  <c r="M596" i="4" s="1"/>
  <c r="N596" i="4" s="1"/>
  <c r="K598" i="4"/>
  <c r="K614" i="4"/>
  <c r="M614" i="4" s="1"/>
  <c r="N614" i="4" s="1"/>
  <c r="K639" i="4"/>
  <c r="K644" i="4"/>
  <c r="K651" i="4"/>
  <c r="M651" i="4" s="1"/>
  <c r="N651" i="4" s="1"/>
  <c r="K653" i="4"/>
  <c r="K661" i="4"/>
  <c r="M661" i="4" s="1"/>
  <c r="N661" i="4" s="1"/>
  <c r="K663" i="4"/>
  <c r="K29" i="4"/>
  <c r="M29" i="4" s="1"/>
  <c r="N29" i="4" s="1"/>
  <c r="K61" i="4"/>
  <c r="K63" i="4"/>
  <c r="K81" i="4"/>
  <c r="K108" i="4"/>
  <c r="M108" i="4" s="1"/>
  <c r="N108" i="4" s="1"/>
  <c r="K129" i="4"/>
  <c r="K131" i="4"/>
  <c r="K133" i="4"/>
  <c r="K209" i="4"/>
  <c r="K211" i="4"/>
  <c r="K213" i="4"/>
  <c r="K215" i="4"/>
  <c r="K233" i="4"/>
  <c r="M233" i="4" s="1"/>
  <c r="N233" i="4" s="1"/>
  <c r="K235" i="4"/>
  <c r="M235" i="4" s="1"/>
  <c r="N235" i="4" s="1"/>
  <c r="K244" i="4"/>
  <c r="K257" i="4"/>
  <c r="K266" i="4"/>
  <c r="K269" i="4"/>
  <c r="K271" i="4"/>
  <c r="K289" i="4"/>
  <c r="K296" i="4"/>
  <c r="K298" i="4"/>
  <c r="M298" i="4" s="1"/>
  <c r="N298" i="4" s="1"/>
  <c r="K341" i="4"/>
  <c r="M341" i="4" s="1"/>
  <c r="N341" i="4" s="1"/>
  <c r="K348" i="4"/>
  <c r="K359" i="4"/>
  <c r="K368" i="4"/>
  <c r="K392" i="4"/>
  <c r="M392" i="4" s="1"/>
  <c r="N392" i="4" s="1"/>
  <c r="K397" i="4"/>
  <c r="M397" i="4" s="1"/>
  <c r="N397" i="4" s="1"/>
  <c r="K411" i="4"/>
  <c r="K416" i="4"/>
  <c r="K423" i="4"/>
  <c r="M423" i="4" s="1"/>
  <c r="N423" i="4" s="1"/>
  <c r="K439" i="4"/>
  <c r="K444" i="4"/>
  <c r="K455" i="4"/>
  <c r="K457" i="4"/>
  <c r="K459" i="4"/>
  <c r="K487" i="4"/>
  <c r="K489" i="4"/>
  <c r="M489" i="4" s="1"/>
  <c r="N489" i="4" s="1"/>
  <c r="K491" i="4"/>
  <c r="M491" i="4" s="1"/>
  <c r="N491" i="4" s="1"/>
  <c r="K493" i="4"/>
  <c r="M493" i="4" s="1"/>
  <c r="N493" i="4" s="1"/>
  <c r="K500" i="4"/>
  <c r="K536" i="4"/>
  <c r="K538" i="4"/>
  <c r="K540" i="4"/>
  <c r="M540" i="4" s="1"/>
  <c r="N540" i="4" s="1"/>
  <c r="K572" i="4"/>
  <c r="K579" i="4"/>
  <c r="M579" i="4" s="1"/>
  <c r="N579" i="4" s="1"/>
  <c r="K586" i="4"/>
  <c r="K609" i="4"/>
  <c r="K611" i="4"/>
  <c r="K636" i="4"/>
  <c r="M636" i="4" s="1"/>
  <c r="N636" i="4" s="1"/>
  <c r="K641" i="4"/>
  <c r="M641" i="4" s="1"/>
  <c r="N641" i="4" s="1"/>
  <c r="K648" i="4"/>
  <c r="K655" i="4"/>
  <c r="K658" i="4"/>
  <c r="J652" i="4"/>
  <c r="J598" i="4"/>
  <c r="J644" i="4"/>
  <c r="M461" i="4"/>
  <c r="N461" i="4" s="1"/>
  <c r="M187" i="4"/>
  <c r="N187" i="4" s="1"/>
  <c r="M65" i="4"/>
  <c r="N65" i="4" s="1"/>
  <c r="M59" i="4"/>
  <c r="N59" i="4" s="1"/>
  <c r="M503" i="4"/>
  <c r="N503" i="4" s="1"/>
  <c r="M482" i="4"/>
  <c r="N482" i="4" s="1"/>
  <c r="M492" i="4"/>
  <c r="N492" i="4" s="1"/>
  <c r="M278" i="4"/>
  <c r="N278" i="4" s="1"/>
  <c r="M186" i="4"/>
  <c r="N186" i="4" s="1"/>
  <c r="M40" i="4"/>
  <c r="N40" i="4" s="1"/>
  <c r="M141" i="4"/>
  <c r="N141" i="4" s="1"/>
  <c r="M71" i="4"/>
  <c r="N71" i="4" s="1"/>
  <c r="M154" i="4"/>
  <c r="N154" i="4" s="1"/>
  <c r="M105" i="4"/>
  <c r="N105" i="4" s="1"/>
  <c r="M69" i="4"/>
  <c r="N69" i="4" s="1"/>
  <c r="M175" i="4"/>
  <c r="N175" i="4" s="1"/>
  <c r="M199" i="4"/>
  <c r="N199" i="4" s="1"/>
  <c r="M367" i="4"/>
  <c r="N367" i="4" s="1"/>
  <c r="M88" i="4"/>
  <c r="N88" i="4" s="1"/>
  <c r="M196" i="4"/>
  <c r="N196" i="4" s="1"/>
  <c r="M149" i="4"/>
  <c r="N149" i="4" s="1"/>
  <c r="M604" i="4"/>
  <c r="N604" i="4" s="1"/>
  <c r="M219" i="4"/>
  <c r="N219" i="4" s="1"/>
  <c r="M276" i="4"/>
  <c r="N276" i="4" s="1"/>
  <c r="M472" i="4"/>
  <c r="N472" i="4" s="1"/>
  <c r="M207" i="4"/>
  <c r="N207" i="4" s="1"/>
  <c r="M306" i="4"/>
  <c r="N306" i="4" s="1"/>
  <c r="M396" i="4"/>
  <c r="N396" i="4" s="1"/>
  <c r="M515" i="4"/>
  <c r="N515" i="4" s="1"/>
  <c r="M206" i="4"/>
  <c r="N206" i="4" s="1"/>
  <c r="M473" i="4"/>
  <c r="N473" i="4" s="1"/>
  <c r="K18" i="4"/>
  <c r="J24" i="4"/>
  <c r="M14" i="4"/>
  <c r="N14" i="4" s="1"/>
  <c r="M21" i="4"/>
  <c r="N21" i="4" s="1"/>
  <c r="M126" i="4" l="1"/>
  <c r="N126" i="4" s="1"/>
  <c r="M195" i="4"/>
  <c r="N195" i="4" s="1"/>
  <c r="M595" i="4"/>
  <c r="N595" i="4" s="1"/>
  <c r="M87" i="4"/>
  <c r="N87" i="4" s="1"/>
  <c r="M429" i="4"/>
  <c r="N429" i="4" s="1"/>
  <c r="M302" i="4"/>
  <c r="N302" i="4" s="1"/>
  <c r="M132" i="4"/>
  <c r="N132" i="4" s="1"/>
  <c r="M605" i="4"/>
  <c r="N605" i="4" s="1"/>
  <c r="M212" i="4"/>
  <c r="N212" i="4" s="1"/>
  <c r="M23" i="4"/>
  <c r="N23" i="4" s="1"/>
  <c r="M665" i="4"/>
  <c r="N665" i="4" s="1"/>
  <c r="M265" i="4"/>
  <c r="N265" i="4" s="1"/>
  <c r="M62" i="4"/>
  <c r="N62" i="4" s="1"/>
  <c r="M123" i="4"/>
  <c r="N123" i="4" s="1"/>
  <c r="M553" i="4"/>
  <c r="N553" i="4" s="1"/>
  <c r="M215" i="4"/>
  <c r="N215" i="4" s="1"/>
  <c r="M529" i="4"/>
  <c r="N529" i="4" s="1"/>
  <c r="M441" i="4"/>
  <c r="N441" i="4" s="1"/>
  <c r="M15" i="4"/>
  <c r="N15" i="4" s="1"/>
  <c r="M101" i="4"/>
  <c r="N101" i="4" s="1"/>
  <c r="M234" i="4"/>
  <c r="N234" i="4" s="1"/>
  <c r="M285" i="4"/>
  <c r="N285" i="4" s="1"/>
  <c r="M430" i="4"/>
  <c r="N430" i="4" s="1"/>
  <c r="M608" i="4"/>
  <c r="N608" i="4" s="1"/>
  <c r="M633" i="4"/>
  <c r="N633" i="4" s="1"/>
  <c r="M305" i="4"/>
  <c r="N305" i="4" s="1"/>
  <c r="M31" i="4"/>
  <c r="N31" i="4" s="1"/>
  <c r="M50" i="4"/>
  <c r="N50" i="4" s="1"/>
  <c r="M536" i="4"/>
  <c r="N536" i="4" s="1"/>
  <c r="M283" i="4"/>
  <c r="N283" i="4" s="1"/>
  <c r="M615" i="4"/>
  <c r="N615" i="4" s="1"/>
  <c r="M497" i="4"/>
  <c r="N497" i="4" s="1"/>
  <c r="M442" i="4"/>
  <c r="N442" i="4" s="1"/>
  <c r="M210" i="4"/>
  <c r="N210" i="4" s="1"/>
  <c r="M417" i="4"/>
  <c r="N417" i="4" s="1"/>
  <c r="M16" i="4"/>
  <c r="N16" i="4" s="1"/>
  <c r="M131" i="4"/>
  <c r="N131" i="4" s="1"/>
  <c r="M49" i="4"/>
  <c r="N49" i="4" s="1"/>
  <c r="M612" i="4"/>
  <c r="N612" i="4" s="1"/>
  <c r="M424" i="4"/>
  <c r="N424" i="4" s="1"/>
  <c r="M384" i="4"/>
  <c r="N384" i="4" s="1"/>
  <c r="M504" i="4"/>
  <c r="N504" i="4" s="1"/>
  <c r="M183" i="4"/>
  <c r="N183" i="4" s="1"/>
  <c r="M246" i="4"/>
  <c r="N246" i="4" s="1"/>
  <c r="M585" i="4"/>
  <c r="N585" i="4" s="1"/>
  <c r="M321" i="4"/>
  <c r="N321" i="4" s="1"/>
  <c r="M217" i="4"/>
  <c r="N217" i="4" s="1"/>
  <c r="M409" i="4"/>
  <c r="N409" i="4" s="1"/>
  <c r="M172" i="4"/>
  <c r="N172" i="4" s="1"/>
  <c r="M619" i="4"/>
  <c r="N619" i="4" s="1"/>
  <c r="M319" i="4"/>
  <c r="N319" i="4" s="1"/>
  <c r="M365" i="4"/>
  <c r="N365" i="4" s="1"/>
  <c r="M136" i="4"/>
  <c r="N136" i="4" s="1"/>
  <c r="M662" i="4"/>
  <c r="N662" i="4" s="1"/>
  <c r="M19" i="4"/>
  <c r="N19" i="4" s="1"/>
  <c r="M569" i="4"/>
  <c r="N569" i="4" s="1"/>
  <c r="M181" i="4"/>
  <c r="N181" i="4" s="1"/>
  <c r="M119" i="4"/>
  <c r="N119" i="4" s="1"/>
  <c r="M266" i="4"/>
  <c r="N266" i="4" s="1"/>
  <c r="M512" i="4"/>
  <c r="N512" i="4" s="1"/>
  <c r="M267" i="4"/>
  <c r="N267" i="4" s="1"/>
  <c r="M358" i="4"/>
  <c r="N358" i="4" s="1"/>
  <c r="M243" i="4"/>
  <c r="N243" i="4" s="1"/>
  <c r="M252" i="4"/>
  <c r="N252" i="4" s="1"/>
  <c r="M646" i="4"/>
  <c r="N646" i="4" s="1"/>
  <c r="M349" i="4"/>
  <c r="N349" i="4" s="1"/>
  <c r="M592" i="4"/>
  <c r="N592" i="4" s="1"/>
  <c r="M621" i="4"/>
  <c r="N621" i="4" s="1"/>
  <c r="M134" i="4"/>
  <c r="N134" i="4" s="1"/>
  <c r="M437" i="4"/>
  <c r="N437" i="4" s="1"/>
  <c r="M309" i="4"/>
  <c r="N309" i="4" s="1"/>
  <c r="M179" i="4"/>
  <c r="N179" i="4" s="1"/>
  <c r="M170" i="4"/>
  <c r="N170" i="4" s="1"/>
  <c r="M218" i="4"/>
  <c r="N218" i="4" s="1"/>
  <c r="M620" i="4"/>
  <c r="N620" i="4" s="1"/>
  <c r="M401" i="4"/>
  <c r="N401" i="4" s="1"/>
  <c r="M637" i="4"/>
  <c r="N637" i="4" s="1"/>
  <c r="M580" i="4"/>
  <c r="N580" i="4" s="1"/>
  <c r="M73" i="4"/>
  <c r="N73" i="4" s="1"/>
  <c r="M631" i="4"/>
  <c r="N631" i="4" s="1"/>
  <c r="M380" i="4"/>
  <c r="N380" i="4" s="1"/>
  <c r="M340" i="4"/>
  <c r="N340" i="4" s="1"/>
  <c r="M130" i="4"/>
  <c r="N130" i="4" s="1"/>
  <c r="M150" i="4"/>
  <c r="N150" i="4" s="1"/>
  <c r="M63" i="4"/>
  <c r="N63" i="4" s="1"/>
  <c r="M308" i="4"/>
  <c r="N308" i="4" s="1"/>
  <c r="M139" i="4"/>
  <c r="N139" i="4" s="1"/>
  <c r="M48" i="4"/>
  <c r="N48" i="4" s="1"/>
  <c r="M64" i="4"/>
  <c r="N64" i="4" s="1"/>
  <c r="M531" i="4"/>
  <c r="N531" i="4" s="1"/>
  <c r="M94" i="4"/>
  <c r="N94" i="4" s="1"/>
  <c r="M556" i="4"/>
  <c r="N556" i="4" s="1"/>
  <c r="M562" i="4"/>
  <c r="N562" i="4" s="1"/>
  <c r="M435" i="4"/>
  <c r="N435" i="4" s="1"/>
  <c r="M523" i="4"/>
  <c r="N523" i="4" s="1"/>
  <c r="M494" i="4"/>
  <c r="N494" i="4" s="1"/>
  <c r="M244" i="4"/>
  <c r="N244" i="4" s="1"/>
  <c r="M118" i="4"/>
  <c r="N118" i="4" s="1"/>
  <c r="M470" i="4"/>
  <c r="N470" i="4" s="1"/>
  <c r="M193" i="4"/>
  <c r="N193" i="4" s="1"/>
  <c r="M102" i="4"/>
  <c r="N102" i="4" s="1"/>
  <c r="M576" i="4"/>
  <c r="N576" i="4" s="1"/>
  <c r="M70" i="4"/>
  <c r="N70" i="4" s="1"/>
  <c r="M263" i="4"/>
  <c r="N263" i="4" s="1"/>
  <c r="M247" i="4"/>
  <c r="N247" i="4" s="1"/>
  <c r="M52" i="4"/>
  <c r="N52" i="4" s="1"/>
  <c r="M254" i="4"/>
  <c r="N254" i="4" s="1"/>
  <c r="M394" i="4"/>
  <c r="N394" i="4" s="1"/>
  <c r="M338" i="4"/>
  <c r="N338" i="4" s="1"/>
  <c r="M161" i="4"/>
  <c r="N161" i="4" s="1"/>
  <c r="M24" i="4"/>
  <c r="N24" i="4" s="1"/>
  <c r="M572" i="4"/>
  <c r="N572" i="4" s="1"/>
  <c r="M582" i="4"/>
  <c r="N582" i="4" s="1"/>
  <c r="M82" i="4"/>
  <c r="N82" i="4" s="1"/>
  <c r="M578" i="4"/>
  <c r="N578" i="4" s="1"/>
  <c r="M635" i="4"/>
  <c r="N635" i="4" s="1"/>
  <c r="M528" i="4"/>
  <c r="N528" i="4" s="1"/>
  <c r="M223" i="4"/>
  <c r="N223" i="4" s="1"/>
  <c r="M589" i="4"/>
  <c r="N589" i="4" s="1"/>
  <c r="M334" i="4"/>
  <c r="N334" i="4" s="1"/>
  <c r="M53" i="4"/>
  <c r="N53" i="4" s="1"/>
  <c r="M463" i="4"/>
  <c r="N463" i="4" s="1"/>
  <c r="M272" i="4"/>
  <c r="N272" i="4" s="1"/>
  <c r="M345" i="4"/>
  <c r="N345" i="4" s="1"/>
  <c r="M228" i="4"/>
  <c r="N228" i="4" s="1"/>
  <c r="M478" i="4"/>
  <c r="N478" i="4" s="1"/>
  <c r="M479" i="4"/>
  <c r="N479" i="4" s="1"/>
  <c r="M381" i="4"/>
  <c r="N381" i="4" s="1"/>
  <c r="M627" i="4"/>
  <c r="N627" i="4" s="1"/>
  <c r="M329" i="4"/>
  <c r="N329" i="4" s="1"/>
  <c r="M238" i="4"/>
  <c r="N238" i="4" s="1"/>
  <c r="M116" i="4"/>
  <c r="N116" i="4" s="1"/>
  <c r="M164" i="4"/>
  <c r="N164" i="4" s="1"/>
  <c r="M552" i="4"/>
  <c r="N552" i="4" s="1"/>
  <c r="M339" i="4"/>
  <c r="N339" i="4" s="1"/>
  <c r="M464" i="4"/>
  <c r="N464" i="4" s="1"/>
  <c r="M188" i="4"/>
  <c r="N188" i="4" s="1"/>
  <c r="M643" i="4"/>
  <c r="N643" i="4" s="1"/>
  <c r="M448" i="4"/>
  <c r="N448" i="4" s="1"/>
  <c r="M507" i="4"/>
  <c r="N507" i="4" s="1"/>
  <c r="M444" i="4"/>
  <c r="N444" i="4" s="1"/>
  <c r="M663" i="4"/>
  <c r="N663" i="4" s="1"/>
  <c r="M563" i="4"/>
  <c r="N563" i="4" s="1"/>
  <c r="M436" i="4"/>
  <c r="N436" i="4" s="1"/>
  <c r="M220" i="4"/>
  <c r="N220" i="4" s="1"/>
  <c r="M333" i="4"/>
  <c r="N333" i="4" s="1"/>
  <c r="M213" i="4"/>
  <c r="N213" i="4" s="1"/>
  <c r="M539" i="4"/>
  <c r="N539" i="4" s="1"/>
  <c r="M524" i="4"/>
  <c r="N524" i="4" s="1"/>
  <c r="M356" i="4"/>
  <c r="N356" i="4" s="1"/>
  <c r="M432" i="4"/>
  <c r="N432" i="4" s="1"/>
  <c r="M382" i="4"/>
  <c r="N382" i="4" s="1"/>
  <c r="M455" i="4"/>
  <c r="N455" i="4" s="1"/>
  <c r="M61" i="4"/>
  <c r="N61" i="4" s="1"/>
  <c r="M469" i="4"/>
  <c r="N469" i="4" s="1"/>
  <c r="M104" i="4"/>
  <c r="N104" i="4" s="1"/>
  <c r="M649" i="4"/>
  <c r="N649" i="4" s="1"/>
  <c r="M413" i="4"/>
  <c r="N413" i="4" s="1"/>
  <c r="M657" i="4"/>
  <c r="N657" i="4" s="1"/>
  <c r="M260" i="4"/>
  <c r="N260" i="4" s="1"/>
  <c r="M654" i="4"/>
  <c r="N654" i="4" s="1"/>
  <c r="M168" i="4"/>
  <c r="N168" i="4" s="1"/>
  <c r="M481" i="4"/>
  <c r="N481" i="4" s="1"/>
  <c r="M658" i="4"/>
  <c r="N658" i="4" s="1"/>
  <c r="M359" i="4"/>
  <c r="N359" i="4" s="1"/>
  <c r="M209" i="4"/>
  <c r="N209" i="4" s="1"/>
  <c r="M532" i="4"/>
  <c r="N532" i="4" s="1"/>
  <c r="M163" i="4"/>
  <c r="N163" i="4" s="1"/>
  <c r="M564" i="4"/>
  <c r="N564" i="4" s="1"/>
  <c r="M535" i="4"/>
  <c r="N535" i="4" s="1"/>
  <c r="M525" i="4"/>
  <c r="N525" i="4" s="1"/>
  <c r="M77" i="4"/>
  <c r="N77" i="4" s="1"/>
  <c r="M370" i="4"/>
  <c r="N370" i="4" s="1"/>
  <c r="M67" i="4"/>
  <c r="N67" i="4" s="1"/>
  <c r="M287" i="4"/>
  <c r="N287" i="4" s="1"/>
  <c r="M96" i="4"/>
  <c r="N96" i="4" s="1"/>
  <c r="M510" i="4"/>
  <c r="N510" i="4" s="1"/>
  <c r="M129" i="4"/>
  <c r="N129" i="4" s="1"/>
  <c r="M225" i="4"/>
  <c r="N225" i="4" s="1"/>
  <c r="M594" i="4"/>
  <c r="N594" i="4" s="1"/>
  <c r="M399" i="4"/>
  <c r="N399" i="4" s="1"/>
  <c r="M495" i="4"/>
  <c r="N495" i="4" s="1"/>
  <c r="M383" i="4"/>
  <c r="N383" i="4" s="1"/>
  <c r="M85" i="4"/>
  <c r="N85" i="4" s="1"/>
  <c r="M255" i="4"/>
  <c r="N255" i="4" s="1"/>
  <c r="M526" i="4"/>
  <c r="N526" i="4" s="1"/>
  <c r="M471" i="4"/>
  <c r="N471" i="4" s="1"/>
  <c r="M484" i="4"/>
  <c r="N484" i="4" s="1"/>
  <c r="M607" i="4"/>
  <c r="N607" i="4" s="1"/>
  <c r="M364" i="4"/>
  <c r="N364" i="4" s="1"/>
  <c r="M642" i="4"/>
  <c r="N642" i="4" s="1"/>
  <c r="M279" i="4"/>
  <c r="N279" i="4" s="1"/>
  <c r="M230" i="4"/>
  <c r="N230" i="4" s="1"/>
  <c r="M567" i="4"/>
  <c r="N567" i="4" s="1"/>
  <c r="M191" i="4"/>
  <c r="N191" i="4" s="1"/>
  <c r="M83" i="4"/>
  <c r="N83" i="4" s="1"/>
  <c r="M438" i="4"/>
  <c r="N438" i="4" s="1"/>
  <c r="M530" i="4"/>
  <c r="N530" i="4" s="1"/>
  <c r="M415" i="4"/>
  <c r="N415" i="4" s="1"/>
  <c r="M111" i="4"/>
  <c r="N111" i="4" s="1"/>
  <c r="M38" i="4"/>
  <c r="M89" i="4"/>
  <c r="N89" i="4" s="1"/>
  <c r="M516" i="4"/>
  <c r="N516" i="4" s="1"/>
  <c r="M51" i="4"/>
  <c r="N51" i="4" s="1"/>
  <c r="M583" i="4"/>
  <c r="N583" i="4" s="1"/>
  <c r="M428" i="4"/>
  <c r="N428" i="4" s="1"/>
  <c r="M322" i="4"/>
  <c r="N322" i="4" s="1"/>
  <c r="M618" i="4"/>
  <c r="N618" i="4" s="1"/>
  <c r="M521" i="4"/>
  <c r="N521" i="4" s="1"/>
  <c r="M74" i="4"/>
  <c r="N74" i="4" s="1"/>
  <c r="M242" i="4"/>
  <c r="N242" i="4" s="1"/>
  <c r="M368" i="4"/>
  <c r="N368" i="4" s="1"/>
  <c r="M177" i="4"/>
  <c r="N177" i="4" s="1"/>
  <c r="M573" i="4"/>
  <c r="N573" i="4" s="1"/>
  <c r="M362" i="4"/>
  <c r="N362" i="4" s="1"/>
  <c r="M537" i="4"/>
  <c r="N537" i="4" s="1"/>
  <c r="M522" i="4"/>
  <c r="N522" i="4" s="1"/>
  <c r="M78" i="4"/>
  <c r="N78" i="4" s="1"/>
  <c r="M176" i="4"/>
  <c r="N176" i="4" s="1"/>
  <c r="M574" i="4"/>
  <c r="N574" i="4" s="1"/>
  <c r="M198" i="4"/>
  <c r="N198" i="4" s="1"/>
  <c r="M245" i="4"/>
  <c r="N245" i="4" s="1"/>
  <c r="M32" i="4"/>
  <c r="N32" i="4" s="1"/>
  <c r="M282" i="4"/>
  <c r="N282" i="4" s="1"/>
  <c r="M660" i="4"/>
  <c r="N660" i="4" s="1"/>
  <c r="M647" i="4"/>
  <c r="N647" i="4" s="1"/>
  <c r="M290" i="4"/>
  <c r="N290" i="4" s="1"/>
  <c r="M513" i="4"/>
  <c r="N513" i="4" s="1"/>
  <c r="M299" i="4"/>
  <c r="N299" i="4" s="1"/>
  <c r="M505" i="4"/>
  <c r="N505" i="4" s="1"/>
  <c r="M369" i="4"/>
  <c r="N369" i="4" s="1"/>
  <c r="M231" i="4"/>
  <c r="N231" i="4" s="1"/>
  <c r="M371" i="4"/>
  <c r="N371" i="4" s="1"/>
  <c r="M361" i="4"/>
  <c r="N361" i="4" s="1"/>
  <c r="M638" i="4"/>
  <c r="N638" i="4" s="1"/>
  <c r="M431" i="4"/>
  <c r="N431" i="4" s="1"/>
  <c r="M467" i="4"/>
  <c r="N467" i="4" s="1"/>
  <c r="M511" i="4"/>
  <c r="N511" i="4" s="1"/>
  <c r="M548" i="4"/>
  <c r="N548" i="4" s="1"/>
  <c r="M389" i="4"/>
  <c r="N389" i="4" s="1"/>
  <c r="M56" i="4"/>
  <c r="N56" i="4" s="1"/>
  <c r="M294" i="4"/>
  <c r="N294" i="4" s="1"/>
  <c r="M106" i="4"/>
  <c r="N106" i="4" s="1"/>
  <c r="M390" i="4"/>
  <c r="N390" i="4" s="1"/>
  <c r="M486" i="4"/>
  <c r="N486" i="4" s="1"/>
  <c r="M331" i="4"/>
  <c r="N331" i="4" s="1"/>
  <c r="M43" i="4"/>
  <c r="N43" i="4" s="1"/>
  <c r="M398" i="4"/>
  <c r="N398" i="4" s="1"/>
  <c r="M634" i="4"/>
  <c r="N634" i="4" s="1"/>
  <c r="M407" i="4"/>
  <c r="N407" i="4" s="1"/>
  <c r="M293" i="4"/>
  <c r="N293" i="4" s="1"/>
  <c r="M167" i="4"/>
  <c r="N167" i="4" s="1"/>
  <c r="M256" i="4"/>
  <c r="N256" i="4" s="1"/>
  <c r="M10" i="4"/>
  <c r="N10" i="4" s="1"/>
  <c r="M12" i="4"/>
  <c r="N12" i="4" s="1"/>
  <c r="M232" i="4"/>
  <c r="N232" i="4" s="1"/>
  <c r="M291" i="4"/>
  <c r="N291" i="4" s="1"/>
  <c r="M411" i="4"/>
  <c r="N411" i="4" s="1"/>
  <c r="M216" i="4"/>
  <c r="N216" i="4" s="1"/>
  <c r="M157" i="4"/>
  <c r="N157" i="4" s="1"/>
  <c r="M166" i="4"/>
  <c r="N166" i="4" s="1"/>
  <c r="M336" i="4"/>
  <c r="N336" i="4" s="1"/>
  <c r="M54" i="4"/>
  <c r="N54" i="4" s="1"/>
  <c r="M373" i="4"/>
  <c r="N373" i="4" s="1"/>
  <c r="M622" i="4"/>
  <c r="N622" i="4" s="1"/>
  <c r="M414" i="4"/>
  <c r="N414" i="4" s="1"/>
  <c r="M227" i="4"/>
  <c r="N227" i="4" s="1"/>
  <c r="M259" i="4"/>
  <c r="N259" i="4" s="1"/>
  <c r="M91" i="4"/>
  <c r="N91" i="4" s="1"/>
  <c r="M575" i="4"/>
  <c r="N575" i="4" s="1"/>
  <c r="M37" i="4"/>
  <c r="N37" i="4" s="1"/>
  <c r="M395" i="4"/>
  <c r="N395" i="4" s="1"/>
  <c r="M60" i="4"/>
  <c r="N60" i="4" s="1"/>
  <c r="M606" i="4"/>
  <c r="N606" i="4" s="1"/>
  <c r="M76" i="4"/>
  <c r="N76" i="4" s="1"/>
  <c r="M307" i="4"/>
  <c r="N307" i="4" s="1"/>
  <c r="M200" i="4"/>
  <c r="N200" i="4" s="1"/>
  <c r="M261" i="4"/>
  <c r="N261" i="4" s="1"/>
  <c r="M36" i="4"/>
  <c r="N36" i="4" s="1"/>
  <c r="M44" i="4"/>
  <c r="N44" i="4" s="1"/>
  <c r="M514" i="4"/>
  <c r="N514" i="4" s="1"/>
  <c r="M560" i="4"/>
  <c r="N560" i="4" s="1"/>
  <c r="M412" i="4"/>
  <c r="N412" i="4" s="1"/>
  <c r="M240" i="4"/>
  <c r="N240" i="4" s="1"/>
  <c r="M202" i="4"/>
  <c r="N202" i="4" s="1"/>
  <c r="M551" i="4"/>
  <c r="N551" i="4" s="1"/>
  <c r="M332" i="4"/>
  <c r="N332" i="4" s="1"/>
  <c r="M547" i="4"/>
  <c r="N547" i="4" s="1"/>
  <c r="M137" i="4"/>
  <c r="N137" i="4" s="1"/>
  <c r="M630" i="4"/>
  <c r="N630" i="4" s="1"/>
  <c r="M659" i="4"/>
  <c r="N659" i="4" s="1"/>
  <c r="M555" i="4"/>
  <c r="N555" i="4" s="1"/>
  <c r="M451" i="4"/>
  <c r="N451" i="4" s="1"/>
  <c r="M386" i="4"/>
  <c r="N386" i="4" s="1"/>
  <c r="M313" i="4"/>
  <c r="N313" i="4" s="1"/>
  <c r="M178" i="4"/>
  <c r="N178" i="4" s="1"/>
  <c r="M586" i="4"/>
  <c r="N586" i="4" s="1"/>
  <c r="M378" i="4"/>
  <c r="N378" i="4" s="1"/>
  <c r="M109" i="4"/>
  <c r="N109" i="4" s="1"/>
  <c r="M506" i="4"/>
  <c r="N506" i="4" s="1"/>
  <c r="M310" i="4"/>
  <c r="N310" i="4" s="1"/>
  <c r="M443" i="4"/>
  <c r="N443" i="4" s="1"/>
  <c r="M250" i="4"/>
  <c r="N250" i="4" s="1"/>
  <c r="M151" i="4"/>
  <c r="N151" i="4" s="1"/>
  <c r="M30" i="4"/>
  <c r="N30" i="4" s="1"/>
  <c r="M273" i="4"/>
  <c r="N273" i="4" s="1"/>
  <c r="M653" i="4"/>
  <c r="N653" i="4" s="1"/>
  <c r="M652" i="4"/>
  <c r="N652" i="4" s="1"/>
  <c r="M391" i="4"/>
  <c r="N391" i="4" s="1"/>
  <c r="M440" i="4"/>
  <c r="N440" i="4" s="1"/>
  <c r="M192" i="4"/>
  <c r="N192" i="4" s="1"/>
  <c r="M203" i="4"/>
  <c r="N203" i="4" s="1"/>
  <c r="M11" i="4"/>
  <c r="N11" i="4" s="1"/>
  <c r="M350" i="4"/>
  <c r="N350" i="4" s="1"/>
  <c r="M274" i="4"/>
  <c r="N274" i="4" s="1"/>
  <c r="M185" i="4"/>
  <c r="N185" i="4" s="1"/>
  <c r="M655" i="4"/>
  <c r="N655" i="4" s="1"/>
  <c r="M544" i="4"/>
  <c r="N544" i="4" s="1"/>
  <c r="M124" i="4"/>
  <c r="N124" i="4" s="1"/>
  <c r="M408" i="4"/>
  <c r="N408" i="4" s="1"/>
  <c r="M92" i="4"/>
  <c r="N92" i="4" s="1"/>
  <c r="M602" i="4"/>
  <c r="N602" i="4" s="1"/>
  <c r="M133" i="4"/>
  <c r="N133" i="4" s="1"/>
  <c r="M617" i="4"/>
  <c r="N617" i="4" s="1"/>
  <c r="M304" i="4"/>
  <c r="N304" i="4" s="1"/>
  <c r="M648" i="4"/>
  <c r="N648" i="4" s="1"/>
  <c r="M457" i="4"/>
  <c r="N457" i="4" s="1"/>
  <c r="M300" i="4"/>
  <c r="N300" i="4" s="1"/>
  <c r="M239" i="4"/>
  <c r="N239" i="4" s="1"/>
  <c r="M165" i="4"/>
  <c r="N165" i="4" s="1"/>
  <c r="M297" i="4"/>
  <c r="N297" i="4" s="1"/>
  <c r="M17" i="4"/>
  <c r="N17" i="4" s="1"/>
  <c r="M591" i="4"/>
  <c r="N591" i="4" s="1"/>
  <c r="M214" i="4"/>
  <c r="N214" i="4" s="1"/>
  <c r="M433" i="4"/>
  <c r="N433" i="4" s="1"/>
  <c r="M639" i="4"/>
  <c r="N639" i="4" s="1"/>
  <c r="M439" i="4"/>
  <c r="N439" i="4" s="1"/>
  <c r="M387" i="4"/>
  <c r="N387" i="4" s="1"/>
  <c r="M229" i="4"/>
  <c r="N229" i="4" s="1"/>
  <c r="M527" i="4"/>
  <c r="N527" i="4" s="1"/>
  <c r="M498" i="4"/>
  <c r="N498" i="4" s="1"/>
  <c r="M269" i="4"/>
  <c r="N269" i="4" s="1"/>
  <c r="M584" i="4"/>
  <c r="N584" i="4" s="1"/>
  <c r="M148" i="4"/>
  <c r="N148" i="4" s="1"/>
  <c r="M120" i="4"/>
  <c r="N120" i="4" s="1"/>
  <c r="M145" i="4"/>
  <c r="N145" i="4" s="1"/>
  <c r="M565" i="4"/>
  <c r="N565" i="4" s="1"/>
  <c r="M353" i="4"/>
  <c r="N353" i="4" s="1"/>
  <c r="M270" i="4"/>
  <c r="N270" i="4" s="1"/>
  <c r="M613" i="4"/>
  <c r="N613" i="4" s="1"/>
  <c r="M277" i="4"/>
  <c r="N277" i="4" s="1"/>
  <c r="M201" i="4"/>
  <c r="N201" i="4" s="1"/>
  <c r="M146" i="4"/>
  <c r="N146" i="4" s="1"/>
  <c r="M372" i="4"/>
  <c r="N372" i="4" s="1"/>
  <c r="M598" i="4"/>
  <c r="N598" i="4" s="1"/>
  <c r="M348" i="4"/>
  <c r="N348" i="4" s="1"/>
  <c r="M257" i="4"/>
  <c r="N257" i="4" s="1"/>
  <c r="M86" i="4"/>
  <c r="N86" i="4" s="1"/>
  <c r="M496" i="4"/>
  <c r="N496" i="4" s="1"/>
  <c r="M289" i="4"/>
  <c r="N289" i="4" s="1"/>
  <c r="M385" i="4"/>
  <c r="N385" i="4" s="1"/>
  <c r="M538" i="4"/>
  <c r="N538" i="4" s="1"/>
  <c r="M140" i="4"/>
  <c r="N140" i="4" s="1"/>
  <c r="M466" i="4"/>
  <c r="N466" i="4" s="1"/>
  <c r="M286" i="4"/>
  <c r="N286" i="4" s="1"/>
  <c r="M162" i="4"/>
  <c r="N162" i="4" s="1"/>
  <c r="M533" i="4"/>
  <c r="N533" i="4" s="1"/>
  <c r="M296" i="4"/>
  <c r="N296" i="4" s="1"/>
  <c r="M566" i="4"/>
  <c r="N566" i="4" s="1"/>
  <c r="M483" i="4"/>
  <c r="N483" i="4" s="1"/>
  <c r="M447" i="4"/>
  <c r="N447" i="4" s="1"/>
  <c r="M190" i="4"/>
  <c r="N190" i="4" s="1"/>
  <c r="M125" i="4"/>
  <c r="N125" i="4" s="1"/>
  <c r="M335" i="4"/>
  <c r="N335" i="4" s="1"/>
  <c r="M169" i="4"/>
  <c r="N169" i="4" s="1"/>
  <c r="M222" i="4"/>
  <c r="N222" i="4" s="1"/>
  <c r="M143" i="4"/>
  <c r="N143" i="4" s="1"/>
  <c r="M363" i="4"/>
  <c r="N363" i="4" s="1"/>
  <c r="M113" i="4"/>
  <c r="N113" i="4" s="1"/>
  <c r="M376" i="4"/>
  <c r="N376" i="4" s="1"/>
  <c r="M13" i="4"/>
  <c r="N13" i="4" s="1"/>
  <c r="M248" i="4"/>
  <c r="N248" i="4" s="1"/>
  <c r="M18" i="4"/>
  <c r="N18" i="4" s="1"/>
  <c r="M644" i="4"/>
  <c r="N644" i="4" s="1"/>
  <c r="M403" i="4"/>
  <c r="N403" i="4" s="1"/>
  <c r="M180" i="4"/>
  <c r="N180" i="4" s="1"/>
  <c r="M357" i="4"/>
  <c r="N357" i="4" s="1"/>
  <c r="M103" i="4"/>
  <c r="N103" i="4" s="1"/>
  <c r="M68" i="4"/>
  <c r="N68" i="4" s="1"/>
  <c r="M110" i="4"/>
  <c r="N110" i="4" s="1"/>
  <c r="M346" i="4"/>
  <c r="N346" i="4" s="1"/>
  <c r="M194" i="4"/>
  <c r="N194" i="4" s="1"/>
  <c r="M84" i="4"/>
  <c r="N84" i="4" s="1"/>
  <c r="M205" i="4"/>
  <c r="N205" i="4" s="1"/>
  <c r="M611" i="4"/>
  <c r="N611" i="4" s="1"/>
  <c r="M115" i="4"/>
  <c r="N115" i="4" s="1"/>
  <c r="M628" i="4"/>
  <c r="N628" i="4" s="1"/>
  <c r="M465" i="4"/>
  <c r="N465" i="4" s="1"/>
  <c r="M316" i="4"/>
  <c r="N316" i="4" s="1"/>
  <c r="M41" i="4"/>
  <c r="N41" i="4" s="1"/>
  <c r="M593" i="4"/>
  <c r="N593" i="4" s="1"/>
  <c r="M402" i="4"/>
  <c r="N402" i="4" s="1"/>
  <c r="M502" i="4"/>
  <c r="N502" i="4" s="1"/>
  <c r="M377" i="4"/>
  <c r="N377" i="4" s="1"/>
  <c r="M174" i="4"/>
  <c r="N174" i="4" s="1"/>
  <c r="M97" i="4"/>
  <c r="N97" i="4" s="1"/>
  <c r="M354" i="4"/>
  <c r="N354" i="4" s="1"/>
  <c r="M189" i="4"/>
  <c r="N189" i="4" s="1"/>
  <c r="M81" i="4"/>
  <c r="N81" i="4" s="1"/>
  <c r="M42" i="4"/>
  <c r="N42" i="4" s="1"/>
  <c r="M317" i="4"/>
  <c r="N317" i="4" s="1"/>
  <c r="M211" i="4"/>
  <c r="N211" i="4" s="1"/>
  <c r="M142" i="4"/>
  <c r="N142" i="4" s="1"/>
  <c r="M182" i="4"/>
  <c r="N182" i="4" s="1"/>
  <c r="M80" i="4"/>
  <c r="N80" i="4" s="1"/>
  <c r="M427" i="4"/>
  <c r="N427" i="4" s="1"/>
  <c r="M93" i="4"/>
  <c r="N93" i="4" s="1"/>
  <c r="M645" i="4"/>
  <c r="N645" i="4" s="1"/>
  <c r="M450" i="4"/>
  <c r="N450" i="4" s="1"/>
  <c r="M588" i="4"/>
  <c r="N588" i="4" s="1"/>
  <c r="M58" i="4"/>
  <c r="N58" i="4" s="1"/>
  <c r="M374" i="4"/>
  <c r="N374" i="4" s="1"/>
  <c r="M534" i="4"/>
  <c r="N534" i="4" s="1"/>
  <c r="M98" i="4"/>
  <c r="N98" i="4" s="1"/>
  <c r="M410" i="4"/>
  <c r="N410" i="4" s="1"/>
  <c r="M253" i="4"/>
  <c r="N253" i="4" s="1"/>
  <c r="M518" i="4"/>
  <c r="N518" i="4" s="1"/>
  <c r="M405" i="4"/>
  <c r="N405" i="4" s="1"/>
  <c r="M459" i="4"/>
  <c r="N459" i="4" s="1"/>
  <c r="M393" i="4"/>
  <c r="N393" i="4" s="1"/>
  <c r="M138" i="4"/>
  <c r="N138" i="4" s="1"/>
  <c r="M107" i="4"/>
  <c r="N107" i="4" s="1"/>
  <c r="M400" i="4"/>
  <c r="N400" i="4" s="1"/>
  <c r="M664" i="4"/>
  <c r="N664" i="4" s="1"/>
  <c r="M500" i="4"/>
  <c r="N500" i="4" s="1"/>
  <c r="M271" i="4"/>
  <c r="N271" i="4" s="1"/>
  <c r="M95" i="4"/>
  <c r="N95" i="4" s="1"/>
  <c r="M625" i="4"/>
  <c r="N625" i="4" s="1"/>
  <c r="M352" i="4"/>
  <c r="N352" i="4" s="1"/>
  <c r="M360" i="4"/>
  <c r="N360" i="4" s="1"/>
  <c r="M488" i="4"/>
  <c r="N488" i="4" s="1"/>
  <c r="M416" i="4"/>
  <c r="N416" i="4" s="1"/>
  <c r="M9" i="4"/>
  <c r="N9" i="4" s="1"/>
  <c r="M39" i="4"/>
  <c r="N39" i="4" s="1"/>
  <c r="M28" i="4"/>
  <c r="N28" i="4" s="1"/>
  <c r="M449" i="4"/>
  <c r="N449" i="4" s="1"/>
  <c r="M241" i="4"/>
  <c r="N241" i="4" s="1"/>
  <c r="M558" i="4"/>
  <c r="N558" i="4" s="1"/>
  <c r="M100" i="4"/>
  <c r="N100" i="4" s="1"/>
  <c r="M337" i="4"/>
  <c r="N337" i="4" s="1"/>
  <c r="M421" i="4"/>
  <c r="N421" i="4" s="1"/>
  <c r="M160" i="4"/>
  <c r="N160" i="4" s="1"/>
  <c r="M75" i="4"/>
  <c r="N75" i="4" s="1"/>
  <c r="M328" i="4"/>
  <c r="N328" i="4" s="1"/>
  <c r="M520" i="4"/>
  <c r="N520" i="4" s="1"/>
  <c r="M315" i="4"/>
  <c r="N315" i="4" s="1"/>
  <c r="M34" i="4"/>
  <c r="N34" i="4" s="1"/>
  <c r="M499" i="4"/>
  <c r="N499" i="4" s="1"/>
  <c r="M375" i="4"/>
  <c r="N375" i="4" s="1"/>
  <c r="M301" i="4"/>
  <c r="N301" i="4" s="1"/>
  <c r="M347" i="4"/>
  <c r="N347" i="4" s="1"/>
  <c r="M557" i="4"/>
  <c r="N557" i="4" s="1"/>
  <c r="M609" i="4"/>
  <c r="N609" i="4" s="1"/>
  <c r="M571" i="4"/>
  <c r="N571" i="4" s="1"/>
  <c r="M487" i="4"/>
  <c r="N487" i="4" s="1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9" i="4" l="1"/>
  <c r="A18" i="4"/>
  <c r="A17" i="4"/>
  <c r="A16" i="4"/>
  <c r="A15" i="4"/>
  <c r="A14" i="4"/>
  <c r="A13" i="4"/>
  <c r="A12" i="4"/>
  <c r="A11" i="4"/>
  <c r="A10" i="4"/>
  <c r="A9" i="4"/>
  <c r="A11" i="7" l="1"/>
  <c r="N38" i="4" l="1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B184" i="8" l="1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B14" i="8" l="1"/>
  <c r="A14" i="8"/>
  <c r="A9" i="8" l="1"/>
  <c r="B140" i="8" l="1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 l="1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M667" i="7" l="1"/>
  <c r="K667" i="7"/>
  <c r="M666" i="7"/>
  <c r="K666" i="7"/>
  <c r="M665" i="7"/>
  <c r="K665" i="7"/>
  <c r="M664" i="7"/>
  <c r="K664" i="7"/>
  <c r="M663" i="7"/>
  <c r="K663" i="7"/>
  <c r="M662" i="7"/>
  <c r="K662" i="7"/>
  <c r="M661" i="7"/>
  <c r="K661" i="7"/>
  <c r="M660" i="7"/>
  <c r="K660" i="7"/>
  <c r="M659" i="7"/>
  <c r="K659" i="7"/>
  <c r="M658" i="7"/>
  <c r="K658" i="7"/>
  <c r="M657" i="7"/>
  <c r="K657" i="7"/>
  <c r="M656" i="7"/>
  <c r="K656" i="7"/>
  <c r="M655" i="7"/>
  <c r="K655" i="7"/>
  <c r="M654" i="7"/>
  <c r="K654" i="7"/>
  <c r="M653" i="7"/>
  <c r="K653" i="7"/>
  <c r="M652" i="7"/>
  <c r="K652" i="7"/>
  <c r="M651" i="7"/>
  <c r="K651" i="7"/>
  <c r="M650" i="7"/>
  <c r="K650" i="7"/>
  <c r="M649" i="7"/>
  <c r="K649" i="7"/>
  <c r="M648" i="7"/>
  <c r="K648" i="7"/>
  <c r="M647" i="7"/>
  <c r="K647" i="7"/>
  <c r="M646" i="7"/>
  <c r="K646" i="7"/>
  <c r="M645" i="7"/>
  <c r="K645" i="7"/>
  <c r="M644" i="7"/>
  <c r="K644" i="7"/>
  <c r="M643" i="7"/>
  <c r="K643" i="7"/>
  <c r="M642" i="7"/>
  <c r="K642" i="7"/>
  <c r="M641" i="7"/>
  <c r="K641" i="7"/>
  <c r="M640" i="7"/>
  <c r="K640" i="7"/>
  <c r="M639" i="7"/>
  <c r="K639" i="7"/>
  <c r="M638" i="7"/>
  <c r="K638" i="7"/>
  <c r="M637" i="7"/>
  <c r="K637" i="7"/>
  <c r="M636" i="7"/>
  <c r="K636" i="7"/>
  <c r="M635" i="7"/>
  <c r="K635" i="7"/>
  <c r="M634" i="7"/>
  <c r="K634" i="7"/>
  <c r="M633" i="7"/>
  <c r="K633" i="7"/>
  <c r="M632" i="7"/>
  <c r="K632" i="7"/>
  <c r="M631" i="7"/>
  <c r="K631" i="7"/>
  <c r="M630" i="7"/>
  <c r="K630" i="7"/>
  <c r="M629" i="7"/>
  <c r="K629" i="7"/>
  <c r="M628" i="7"/>
  <c r="K628" i="7"/>
  <c r="M627" i="7"/>
  <c r="K627" i="7"/>
  <c r="M626" i="7"/>
  <c r="K626" i="7"/>
  <c r="M625" i="7"/>
  <c r="K625" i="7"/>
  <c r="M624" i="7"/>
  <c r="K624" i="7"/>
  <c r="M623" i="7"/>
  <c r="K623" i="7"/>
  <c r="M622" i="7"/>
  <c r="K622" i="7"/>
  <c r="M621" i="7"/>
  <c r="K621" i="7"/>
  <c r="M620" i="7"/>
  <c r="K620" i="7"/>
  <c r="M619" i="7"/>
  <c r="K619" i="7"/>
  <c r="M618" i="7"/>
  <c r="K618" i="7"/>
  <c r="M617" i="7"/>
  <c r="K617" i="7"/>
  <c r="M616" i="7"/>
  <c r="K616" i="7"/>
  <c r="M615" i="7"/>
  <c r="K615" i="7"/>
  <c r="M614" i="7"/>
  <c r="K614" i="7"/>
  <c r="M613" i="7"/>
  <c r="K613" i="7"/>
  <c r="M612" i="7"/>
  <c r="K612" i="7"/>
  <c r="M611" i="7"/>
  <c r="K611" i="7"/>
  <c r="M610" i="7"/>
  <c r="K610" i="7"/>
  <c r="M609" i="7"/>
  <c r="K609" i="7"/>
  <c r="M608" i="7"/>
  <c r="K608" i="7"/>
  <c r="M607" i="7"/>
  <c r="K607" i="7"/>
  <c r="M606" i="7"/>
  <c r="K606" i="7"/>
  <c r="M605" i="7"/>
  <c r="K605" i="7"/>
  <c r="M604" i="7"/>
  <c r="K604" i="7"/>
  <c r="M603" i="7"/>
  <c r="K603" i="7"/>
  <c r="M602" i="7"/>
  <c r="K602" i="7"/>
  <c r="M601" i="7"/>
  <c r="K601" i="7"/>
  <c r="M600" i="7"/>
  <c r="K600" i="7"/>
  <c r="M599" i="7"/>
  <c r="K599" i="7"/>
  <c r="M598" i="7"/>
  <c r="K598" i="7"/>
  <c r="M596" i="7"/>
  <c r="M593" i="7"/>
  <c r="M499" i="7"/>
  <c r="K499" i="7"/>
  <c r="M489" i="7"/>
  <c r="K489" i="7"/>
  <c r="M485" i="7"/>
  <c r="K485" i="7"/>
  <c r="M481" i="7"/>
  <c r="K481" i="7"/>
  <c r="M477" i="7"/>
  <c r="K477" i="7"/>
  <c r="M473" i="7"/>
  <c r="K473" i="7"/>
  <c r="M470" i="7"/>
  <c r="M466" i="7"/>
  <c r="M465" i="7"/>
  <c r="K465" i="7"/>
  <c r="M458" i="7"/>
  <c r="K458" i="7"/>
  <c r="M454" i="7"/>
  <c r="K454" i="7"/>
  <c r="M451" i="7"/>
  <c r="K451" i="7"/>
  <c r="M450" i="7"/>
  <c r="M447" i="7"/>
  <c r="K447" i="7"/>
  <c r="M446" i="7"/>
  <c r="K446" i="7"/>
  <c r="M441" i="7"/>
  <c r="K441" i="7"/>
  <c r="M440" i="7"/>
  <c r="K440" i="7"/>
  <c r="M436" i="7"/>
  <c r="K436" i="7"/>
  <c r="M435" i="7"/>
  <c r="K435" i="7"/>
  <c r="M431" i="7"/>
  <c r="K431" i="7"/>
  <c r="M428" i="7"/>
  <c r="M424" i="7"/>
  <c r="K424" i="7"/>
  <c r="M420" i="7"/>
  <c r="K420" i="7"/>
  <c r="M416" i="7"/>
  <c r="K416" i="7"/>
  <c r="K412" i="7"/>
  <c r="M242" i="7"/>
  <c r="K242" i="7"/>
  <c r="M241" i="7"/>
  <c r="K241" i="7"/>
  <c r="M240" i="7"/>
  <c r="K240" i="7"/>
  <c r="M228" i="7"/>
  <c r="K228" i="7"/>
  <c r="M227" i="7"/>
  <c r="K227" i="7"/>
  <c r="M226" i="7"/>
  <c r="K226" i="7"/>
  <c r="M216" i="7"/>
  <c r="M215" i="7"/>
  <c r="K215" i="7"/>
  <c r="M210" i="7"/>
  <c r="K210" i="7"/>
  <c r="M592" i="7"/>
  <c r="K592" i="7"/>
  <c r="M591" i="7"/>
  <c r="K591" i="7"/>
  <c r="M590" i="7"/>
  <c r="K590" i="7"/>
  <c r="M589" i="7"/>
  <c r="K589" i="7"/>
  <c r="M588" i="7"/>
  <c r="K588" i="7"/>
  <c r="M587" i="7"/>
  <c r="K587" i="7"/>
  <c r="M586" i="7"/>
  <c r="K586" i="7"/>
  <c r="M585" i="7"/>
  <c r="K585" i="7"/>
  <c r="M584" i="7"/>
  <c r="K584" i="7"/>
  <c r="M583" i="7"/>
  <c r="K583" i="7"/>
  <c r="M582" i="7"/>
  <c r="K582" i="7"/>
  <c r="M581" i="7"/>
  <c r="K581" i="7"/>
  <c r="M580" i="7"/>
  <c r="K580" i="7"/>
  <c r="M579" i="7"/>
  <c r="K579" i="7"/>
  <c r="M578" i="7"/>
  <c r="K578" i="7"/>
  <c r="M577" i="7"/>
  <c r="K577" i="7"/>
  <c r="M576" i="7"/>
  <c r="K576" i="7"/>
  <c r="M575" i="7"/>
  <c r="K575" i="7"/>
  <c r="M574" i="7"/>
  <c r="K574" i="7"/>
  <c r="M573" i="7"/>
  <c r="K573" i="7"/>
  <c r="M572" i="7"/>
  <c r="K572" i="7"/>
  <c r="M571" i="7"/>
  <c r="K571" i="7"/>
  <c r="M570" i="7"/>
  <c r="K570" i="7"/>
  <c r="M569" i="7"/>
  <c r="K569" i="7"/>
  <c r="M568" i="7"/>
  <c r="K568" i="7"/>
  <c r="M567" i="7"/>
  <c r="K567" i="7"/>
  <c r="M566" i="7"/>
  <c r="K566" i="7"/>
  <c r="M565" i="7"/>
  <c r="K565" i="7"/>
  <c r="M564" i="7"/>
  <c r="K564" i="7"/>
  <c r="M563" i="7"/>
  <c r="K563" i="7"/>
  <c r="M562" i="7"/>
  <c r="K562" i="7"/>
  <c r="M561" i="7"/>
  <c r="K561" i="7"/>
  <c r="M560" i="7"/>
  <c r="K560" i="7"/>
  <c r="M559" i="7"/>
  <c r="K559" i="7"/>
  <c r="M558" i="7"/>
  <c r="K558" i="7"/>
  <c r="M557" i="7"/>
  <c r="K557" i="7"/>
  <c r="M556" i="7"/>
  <c r="K556" i="7"/>
  <c r="M555" i="7"/>
  <c r="K555" i="7"/>
  <c r="M554" i="7"/>
  <c r="K554" i="7"/>
  <c r="M553" i="7"/>
  <c r="K553" i="7"/>
  <c r="M552" i="7"/>
  <c r="K552" i="7"/>
  <c r="M551" i="7"/>
  <c r="K551" i="7"/>
  <c r="M550" i="7"/>
  <c r="K550" i="7"/>
  <c r="M549" i="7"/>
  <c r="K549" i="7"/>
  <c r="M548" i="7"/>
  <c r="K548" i="7"/>
  <c r="M547" i="7"/>
  <c r="K547" i="7"/>
  <c r="M546" i="7"/>
  <c r="K546" i="7"/>
  <c r="M545" i="7"/>
  <c r="K545" i="7"/>
  <c r="M544" i="7"/>
  <c r="K544" i="7"/>
  <c r="M543" i="7"/>
  <c r="K543" i="7"/>
  <c r="M542" i="7"/>
  <c r="K542" i="7"/>
  <c r="M541" i="7"/>
  <c r="K541" i="7"/>
  <c r="M540" i="7"/>
  <c r="K540" i="7"/>
  <c r="M539" i="7"/>
  <c r="K539" i="7"/>
  <c r="M538" i="7"/>
  <c r="K538" i="7"/>
  <c r="M537" i="7"/>
  <c r="K537" i="7"/>
  <c r="M536" i="7"/>
  <c r="K536" i="7"/>
  <c r="M535" i="7"/>
  <c r="K535" i="7"/>
  <c r="M534" i="7"/>
  <c r="K534" i="7"/>
  <c r="M533" i="7"/>
  <c r="K533" i="7"/>
  <c r="M532" i="7"/>
  <c r="K532" i="7"/>
  <c r="M531" i="7"/>
  <c r="K531" i="7"/>
  <c r="M530" i="7"/>
  <c r="K530" i="7"/>
  <c r="M529" i="7"/>
  <c r="K529" i="7"/>
  <c r="M528" i="7"/>
  <c r="K528" i="7"/>
  <c r="M527" i="7"/>
  <c r="K527" i="7"/>
  <c r="M526" i="7"/>
  <c r="K526" i="7"/>
  <c r="M525" i="7"/>
  <c r="K525" i="7"/>
  <c r="M524" i="7"/>
  <c r="K524" i="7"/>
  <c r="M523" i="7"/>
  <c r="K523" i="7"/>
  <c r="M522" i="7"/>
  <c r="K522" i="7"/>
  <c r="M521" i="7"/>
  <c r="K521" i="7"/>
  <c r="M520" i="7"/>
  <c r="K520" i="7"/>
  <c r="M519" i="7"/>
  <c r="K519" i="7"/>
  <c r="M518" i="7"/>
  <c r="K518" i="7"/>
  <c r="M517" i="7"/>
  <c r="K517" i="7"/>
  <c r="M516" i="7"/>
  <c r="K516" i="7"/>
  <c r="M515" i="7"/>
  <c r="K515" i="7"/>
  <c r="M514" i="7"/>
  <c r="K514" i="7"/>
  <c r="M513" i="7"/>
  <c r="K513" i="7"/>
  <c r="M512" i="7"/>
  <c r="K512" i="7"/>
  <c r="M511" i="7"/>
  <c r="K511" i="7"/>
  <c r="M510" i="7"/>
  <c r="K510" i="7"/>
  <c r="M509" i="7"/>
  <c r="K509" i="7"/>
  <c r="M508" i="7"/>
  <c r="K508" i="7"/>
  <c r="M507" i="7"/>
  <c r="K507" i="7"/>
  <c r="M506" i="7"/>
  <c r="K506" i="7"/>
  <c r="M505" i="7"/>
  <c r="K505" i="7"/>
  <c r="M504" i="7"/>
  <c r="K504" i="7"/>
  <c r="M503" i="7"/>
  <c r="K503" i="7"/>
  <c r="K501" i="7"/>
  <c r="M500" i="7"/>
  <c r="K500" i="7"/>
  <c r="M497" i="7"/>
  <c r="K497" i="7"/>
  <c r="M490" i="7"/>
  <c r="K490" i="7"/>
  <c r="M483" i="7"/>
  <c r="K483" i="7"/>
  <c r="M482" i="7"/>
  <c r="K482" i="7"/>
  <c r="M478" i="7"/>
  <c r="K478" i="7"/>
  <c r="M474" i="7"/>
  <c r="K474" i="7"/>
  <c r="M471" i="7"/>
  <c r="K471" i="7"/>
  <c r="K470" i="7"/>
  <c r="M469" i="7"/>
  <c r="K469" i="7"/>
  <c r="K466" i="7"/>
  <c r="M462" i="7"/>
  <c r="K462" i="7"/>
  <c r="M461" i="7"/>
  <c r="K461" i="7"/>
  <c r="M457" i="7"/>
  <c r="K457" i="7"/>
  <c r="M453" i="7"/>
  <c r="K453" i="7"/>
  <c r="K450" i="7"/>
  <c r="M449" i="7"/>
  <c r="K449" i="7"/>
  <c r="M445" i="7"/>
  <c r="K445" i="7"/>
  <c r="M442" i="7"/>
  <c r="K442" i="7"/>
  <c r="M438" i="7"/>
  <c r="K438" i="7"/>
  <c r="M434" i="7"/>
  <c r="K434" i="7"/>
  <c r="M433" i="7"/>
  <c r="K433" i="7"/>
  <c r="M429" i="7"/>
  <c r="K429" i="7"/>
  <c r="M422" i="7"/>
  <c r="K422" i="7"/>
  <c r="M421" i="7"/>
  <c r="K421" i="7"/>
  <c r="K418" i="7"/>
  <c r="M417" i="7"/>
  <c r="K417" i="7"/>
  <c r="M414" i="7"/>
  <c r="K414" i="7"/>
  <c r="M413" i="7"/>
  <c r="K413" i="7"/>
  <c r="M409" i="7"/>
  <c r="K409" i="7"/>
  <c r="M405" i="7"/>
  <c r="K405" i="7"/>
  <c r="M402" i="7"/>
  <c r="M235" i="7"/>
  <c r="K235" i="7"/>
  <c r="M229" i="7"/>
  <c r="K229" i="7"/>
  <c r="M223" i="7"/>
  <c r="K223" i="7"/>
  <c r="M217" i="7"/>
  <c r="K217" i="7"/>
  <c r="K216" i="7"/>
  <c r="M212" i="7"/>
  <c r="M496" i="7"/>
  <c r="K496" i="7"/>
  <c r="M495" i="7"/>
  <c r="K495" i="7"/>
  <c r="M494" i="7"/>
  <c r="K494" i="7"/>
  <c r="M493" i="7"/>
  <c r="K493" i="7"/>
  <c r="M492" i="7"/>
  <c r="K492" i="7"/>
  <c r="M491" i="7"/>
  <c r="K491" i="7"/>
  <c r="K401" i="7"/>
  <c r="M400" i="7"/>
  <c r="K400" i="7"/>
  <c r="M399" i="7"/>
  <c r="K399" i="7"/>
  <c r="M398" i="7"/>
  <c r="K398" i="7"/>
  <c r="M397" i="7"/>
  <c r="K397" i="7"/>
  <c r="M396" i="7"/>
  <c r="K396" i="7"/>
  <c r="M395" i="7"/>
  <c r="K395" i="7"/>
  <c r="M394" i="7"/>
  <c r="K394" i="7"/>
  <c r="M393" i="7"/>
  <c r="K393" i="7"/>
  <c r="M392" i="7"/>
  <c r="K392" i="7"/>
  <c r="M391" i="7"/>
  <c r="K391" i="7"/>
  <c r="M390" i="7"/>
  <c r="K390" i="7"/>
  <c r="M389" i="7"/>
  <c r="K389" i="7"/>
  <c r="M388" i="7"/>
  <c r="K388" i="7"/>
  <c r="M387" i="7"/>
  <c r="K387" i="7"/>
  <c r="M386" i="7"/>
  <c r="K386" i="7"/>
  <c r="M385" i="7"/>
  <c r="K385" i="7"/>
  <c r="M384" i="7"/>
  <c r="K384" i="7"/>
  <c r="M383" i="7"/>
  <c r="K383" i="7"/>
  <c r="M382" i="7"/>
  <c r="K382" i="7"/>
  <c r="M381" i="7"/>
  <c r="K381" i="7"/>
  <c r="M380" i="7"/>
  <c r="K380" i="7"/>
  <c r="M379" i="7"/>
  <c r="K379" i="7"/>
  <c r="M378" i="7"/>
  <c r="K378" i="7"/>
  <c r="M377" i="7"/>
  <c r="K377" i="7"/>
  <c r="M376" i="7"/>
  <c r="K376" i="7"/>
  <c r="M375" i="7"/>
  <c r="K375" i="7"/>
  <c r="M374" i="7"/>
  <c r="K374" i="7"/>
  <c r="M373" i="7"/>
  <c r="K373" i="7"/>
  <c r="M372" i="7"/>
  <c r="K372" i="7"/>
  <c r="M371" i="7"/>
  <c r="K371" i="7"/>
  <c r="M370" i="7"/>
  <c r="K370" i="7"/>
  <c r="M369" i="7"/>
  <c r="K369" i="7"/>
  <c r="M368" i="7"/>
  <c r="K368" i="7"/>
  <c r="M367" i="7"/>
  <c r="K367" i="7"/>
  <c r="M366" i="7"/>
  <c r="K366" i="7"/>
  <c r="M365" i="7"/>
  <c r="K365" i="7"/>
  <c r="M364" i="7"/>
  <c r="K364" i="7"/>
  <c r="M363" i="7"/>
  <c r="K363" i="7"/>
  <c r="M362" i="7"/>
  <c r="K362" i="7"/>
  <c r="M361" i="7"/>
  <c r="K361" i="7"/>
  <c r="M360" i="7"/>
  <c r="K360" i="7"/>
  <c r="M359" i="7"/>
  <c r="K359" i="7"/>
  <c r="M358" i="7"/>
  <c r="K358" i="7"/>
  <c r="M357" i="7"/>
  <c r="K357" i="7"/>
  <c r="M356" i="7"/>
  <c r="K356" i="7"/>
  <c r="M355" i="7"/>
  <c r="K355" i="7"/>
  <c r="M354" i="7"/>
  <c r="K354" i="7"/>
  <c r="M353" i="7"/>
  <c r="K353" i="7"/>
  <c r="M352" i="7"/>
  <c r="K352" i="7"/>
  <c r="M351" i="7"/>
  <c r="K351" i="7"/>
  <c r="M350" i="7"/>
  <c r="K350" i="7"/>
  <c r="M349" i="7"/>
  <c r="K349" i="7"/>
  <c r="M348" i="7"/>
  <c r="K348" i="7"/>
  <c r="M347" i="7"/>
  <c r="K347" i="7"/>
  <c r="M346" i="7"/>
  <c r="K346" i="7"/>
  <c r="M345" i="7"/>
  <c r="K345" i="7"/>
  <c r="M344" i="7"/>
  <c r="K344" i="7"/>
  <c r="M343" i="7"/>
  <c r="K343" i="7"/>
  <c r="M342" i="7"/>
  <c r="K342" i="7"/>
  <c r="M341" i="7"/>
  <c r="K341" i="7"/>
  <c r="M340" i="7"/>
  <c r="K340" i="7"/>
  <c r="M339" i="7"/>
  <c r="K339" i="7"/>
  <c r="M338" i="7"/>
  <c r="K338" i="7"/>
  <c r="M337" i="7"/>
  <c r="K337" i="7"/>
  <c r="M336" i="7"/>
  <c r="K336" i="7"/>
  <c r="M335" i="7"/>
  <c r="K335" i="7"/>
  <c r="M334" i="7"/>
  <c r="K334" i="7"/>
  <c r="M333" i="7"/>
  <c r="K333" i="7"/>
  <c r="M332" i="7"/>
  <c r="K332" i="7"/>
  <c r="M331" i="7"/>
  <c r="K331" i="7"/>
  <c r="M330" i="7"/>
  <c r="K330" i="7"/>
  <c r="M329" i="7"/>
  <c r="K329" i="7"/>
  <c r="M328" i="7"/>
  <c r="K328" i="7"/>
  <c r="M327" i="7"/>
  <c r="K327" i="7"/>
  <c r="M326" i="7"/>
  <c r="K326" i="7"/>
  <c r="M325" i="7"/>
  <c r="K325" i="7"/>
  <c r="M324" i="7"/>
  <c r="K324" i="7"/>
  <c r="M323" i="7"/>
  <c r="K323" i="7"/>
  <c r="M322" i="7"/>
  <c r="K322" i="7"/>
  <c r="M321" i="7"/>
  <c r="K321" i="7"/>
  <c r="M320" i="7"/>
  <c r="K320" i="7"/>
  <c r="M319" i="7"/>
  <c r="K319" i="7"/>
  <c r="M318" i="7"/>
  <c r="K318" i="7"/>
  <c r="M317" i="7"/>
  <c r="K317" i="7"/>
  <c r="M316" i="7"/>
  <c r="K316" i="7"/>
  <c r="M315" i="7"/>
  <c r="K315" i="7"/>
  <c r="M314" i="7"/>
  <c r="K314" i="7"/>
  <c r="M313" i="7"/>
  <c r="K313" i="7"/>
  <c r="M312" i="7"/>
  <c r="K312" i="7"/>
  <c r="M311" i="7"/>
  <c r="K311" i="7"/>
  <c r="M310" i="7"/>
  <c r="K310" i="7"/>
  <c r="M309" i="7"/>
  <c r="K309" i="7"/>
  <c r="M308" i="7"/>
  <c r="K308" i="7"/>
  <c r="M307" i="7"/>
  <c r="K307" i="7"/>
  <c r="M306" i="7"/>
  <c r="K306" i="7"/>
  <c r="M302" i="7"/>
  <c r="K302" i="7"/>
  <c r="M301" i="7"/>
  <c r="K301" i="7"/>
  <c r="M300" i="7"/>
  <c r="K300" i="7"/>
  <c r="M299" i="7"/>
  <c r="K299" i="7"/>
  <c r="M298" i="7"/>
  <c r="K298" i="7"/>
  <c r="M297" i="7"/>
  <c r="K297" i="7"/>
  <c r="M296" i="7"/>
  <c r="K296" i="7"/>
  <c r="M295" i="7"/>
  <c r="K295" i="7"/>
  <c r="M294" i="7"/>
  <c r="K294" i="7"/>
  <c r="M293" i="7"/>
  <c r="K293" i="7"/>
  <c r="M292" i="7"/>
  <c r="K292" i="7"/>
  <c r="M291" i="7"/>
  <c r="K291" i="7"/>
  <c r="M290" i="7"/>
  <c r="K290" i="7"/>
  <c r="M289" i="7"/>
  <c r="K289" i="7"/>
  <c r="M288" i="7"/>
  <c r="K288" i="7"/>
  <c r="M287" i="7"/>
  <c r="K287" i="7"/>
  <c r="M286" i="7"/>
  <c r="K286" i="7"/>
  <c r="M285" i="7"/>
  <c r="K285" i="7"/>
  <c r="M284" i="7"/>
  <c r="K284" i="7"/>
  <c r="M283" i="7"/>
  <c r="K283" i="7"/>
  <c r="M282" i="7"/>
  <c r="K282" i="7"/>
  <c r="M281" i="7"/>
  <c r="K281" i="7"/>
  <c r="M280" i="7"/>
  <c r="K280" i="7"/>
  <c r="M279" i="7"/>
  <c r="K279" i="7"/>
  <c r="M278" i="7"/>
  <c r="K278" i="7"/>
  <c r="M277" i="7"/>
  <c r="K277" i="7"/>
  <c r="M276" i="7"/>
  <c r="K276" i="7"/>
  <c r="M275" i="7"/>
  <c r="K275" i="7"/>
  <c r="M274" i="7"/>
  <c r="K274" i="7"/>
  <c r="M273" i="7"/>
  <c r="K273" i="7"/>
  <c r="M272" i="7"/>
  <c r="K272" i="7"/>
  <c r="M271" i="7"/>
  <c r="K271" i="7"/>
  <c r="M270" i="7"/>
  <c r="K270" i="7"/>
  <c r="M269" i="7"/>
  <c r="K269" i="7"/>
  <c r="M268" i="7"/>
  <c r="K268" i="7"/>
  <c r="M267" i="7"/>
  <c r="K267" i="7"/>
  <c r="M266" i="7"/>
  <c r="K266" i="7"/>
  <c r="M264" i="7"/>
  <c r="K264" i="7"/>
  <c r="M262" i="7"/>
  <c r="K262" i="7"/>
  <c r="M260" i="7"/>
  <c r="K260" i="7"/>
  <c r="M258" i="7"/>
  <c r="K258" i="7"/>
  <c r="M256" i="7"/>
  <c r="K256" i="7"/>
  <c r="M254" i="7"/>
  <c r="K254" i="7"/>
  <c r="K249" i="7"/>
  <c r="M247" i="7"/>
  <c r="K247" i="7"/>
  <c r="M245" i="7"/>
  <c r="K245" i="7"/>
  <c r="M239" i="7"/>
  <c r="K239" i="7"/>
  <c r="M238" i="7"/>
  <c r="K238" i="7"/>
  <c r="M237" i="7"/>
  <c r="K237" i="7"/>
  <c r="M232" i="7"/>
  <c r="K212" i="7"/>
  <c r="M305" i="7"/>
  <c r="K305" i="7"/>
  <c r="M304" i="7"/>
  <c r="K304" i="7"/>
  <c r="M303" i="7"/>
  <c r="K303" i="7"/>
  <c r="M265" i="7"/>
  <c r="K265" i="7"/>
  <c r="M263" i="7"/>
  <c r="K263" i="7"/>
  <c r="M261" i="7"/>
  <c r="K261" i="7"/>
  <c r="M259" i="7"/>
  <c r="K259" i="7"/>
  <c r="M257" i="7"/>
  <c r="K257" i="7"/>
  <c r="M255" i="7"/>
  <c r="K255" i="7"/>
  <c r="M253" i="7"/>
  <c r="K253" i="7"/>
  <c r="M252" i="7"/>
  <c r="K252" i="7"/>
  <c r="M251" i="7"/>
  <c r="K251" i="7"/>
  <c r="M250" i="7"/>
  <c r="K250" i="7"/>
  <c r="M249" i="7"/>
  <c r="M248" i="7"/>
  <c r="K248" i="7"/>
  <c r="M246" i="7"/>
  <c r="K246" i="7"/>
  <c r="M234" i="7"/>
  <c r="K234" i="7"/>
  <c r="M233" i="7"/>
  <c r="K233" i="7"/>
  <c r="M222" i="7"/>
  <c r="K222" i="7"/>
  <c r="M221" i="7"/>
  <c r="K221" i="7"/>
  <c r="M220" i="7"/>
  <c r="K220" i="7"/>
  <c r="M219" i="7"/>
  <c r="K219" i="7"/>
  <c r="M214" i="7"/>
  <c r="K214" i="7"/>
  <c r="M209" i="7"/>
  <c r="K209" i="7"/>
  <c r="M208" i="7"/>
  <c r="K208" i="7"/>
  <c r="M207" i="7"/>
  <c r="K207" i="7"/>
  <c r="M206" i="7"/>
  <c r="K206" i="7"/>
  <c r="M205" i="7"/>
  <c r="K205" i="7"/>
  <c r="M204" i="7"/>
  <c r="K204" i="7"/>
  <c r="M203" i="7"/>
  <c r="K203" i="7"/>
  <c r="M202" i="7"/>
  <c r="K202" i="7"/>
  <c r="M201" i="7"/>
  <c r="K201" i="7"/>
  <c r="M200" i="7"/>
  <c r="K200" i="7"/>
  <c r="M199" i="7"/>
  <c r="K199" i="7"/>
  <c r="M198" i="7"/>
  <c r="K198" i="7"/>
  <c r="M197" i="7"/>
  <c r="K197" i="7"/>
  <c r="M196" i="7"/>
  <c r="K196" i="7"/>
  <c r="M195" i="7"/>
  <c r="K195" i="7"/>
  <c r="M194" i="7"/>
  <c r="K194" i="7"/>
  <c r="M193" i="7"/>
  <c r="K193" i="7"/>
  <c r="M192" i="7"/>
  <c r="K192" i="7"/>
  <c r="M191" i="7"/>
  <c r="K191" i="7"/>
  <c r="M190" i="7"/>
  <c r="K190" i="7"/>
  <c r="M189" i="7"/>
  <c r="K189" i="7"/>
  <c r="M188" i="7"/>
  <c r="K188" i="7"/>
  <c r="M187" i="7"/>
  <c r="K187" i="7"/>
  <c r="M186" i="7"/>
  <c r="K186" i="7"/>
  <c r="M185" i="7"/>
  <c r="K185" i="7"/>
  <c r="M184" i="7"/>
  <c r="K184" i="7"/>
  <c r="M183" i="7"/>
  <c r="K183" i="7"/>
  <c r="M182" i="7"/>
  <c r="K182" i="7"/>
  <c r="M181" i="7"/>
  <c r="K181" i="7"/>
  <c r="M180" i="7"/>
  <c r="K180" i="7"/>
  <c r="M179" i="7"/>
  <c r="K179" i="7"/>
  <c r="M178" i="7"/>
  <c r="K178" i="7"/>
  <c r="M177" i="7"/>
  <c r="K177" i="7"/>
  <c r="M176" i="7"/>
  <c r="K176" i="7"/>
  <c r="M175" i="7"/>
  <c r="K175" i="7"/>
  <c r="M174" i="7"/>
  <c r="K174" i="7"/>
  <c r="M173" i="7"/>
  <c r="K173" i="7"/>
  <c r="M172" i="7"/>
  <c r="K172" i="7"/>
  <c r="M171" i="7"/>
  <c r="K171" i="7"/>
  <c r="M170" i="7"/>
  <c r="K170" i="7"/>
  <c r="M169" i="7"/>
  <c r="K169" i="7"/>
  <c r="M168" i="7"/>
  <c r="K168" i="7"/>
  <c r="M167" i="7"/>
  <c r="K167" i="7"/>
  <c r="M166" i="7"/>
  <c r="K166" i="7"/>
  <c r="M165" i="7"/>
  <c r="K165" i="7"/>
  <c r="M164" i="7"/>
  <c r="K164" i="7"/>
  <c r="M163" i="7"/>
  <c r="K163" i="7"/>
  <c r="M162" i="7"/>
  <c r="K162" i="7"/>
  <c r="M161" i="7"/>
  <c r="K161" i="7"/>
  <c r="M160" i="7"/>
  <c r="K160" i="7"/>
  <c r="M159" i="7"/>
  <c r="K159" i="7"/>
  <c r="M158" i="7"/>
  <c r="K158" i="7"/>
  <c r="M157" i="7"/>
  <c r="K157" i="7"/>
  <c r="M156" i="7"/>
  <c r="K156" i="7"/>
  <c r="M155" i="7"/>
  <c r="K155" i="7"/>
  <c r="M154" i="7"/>
  <c r="K154" i="7"/>
  <c r="M153" i="7"/>
  <c r="K153" i="7"/>
  <c r="M152" i="7"/>
  <c r="K152" i="7"/>
  <c r="M151" i="7"/>
  <c r="K151" i="7"/>
  <c r="M150" i="7"/>
  <c r="K150" i="7"/>
  <c r="M149" i="7"/>
  <c r="K149" i="7"/>
  <c r="M148" i="7"/>
  <c r="K148" i="7"/>
  <c r="M147" i="7"/>
  <c r="K147" i="7"/>
  <c r="M146" i="7"/>
  <c r="K146" i="7"/>
  <c r="M145" i="7"/>
  <c r="K145" i="7"/>
  <c r="M144" i="7"/>
  <c r="K144" i="7"/>
  <c r="M143" i="7"/>
  <c r="K143" i="7"/>
  <c r="M142" i="7"/>
  <c r="K142" i="7"/>
  <c r="M141" i="7"/>
  <c r="K141" i="7"/>
  <c r="M140" i="7"/>
  <c r="K140" i="7"/>
  <c r="M139" i="7"/>
  <c r="K139" i="7"/>
  <c r="M138" i="7"/>
  <c r="K138" i="7"/>
  <c r="M137" i="7"/>
  <c r="K137" i="7"/>
  <c r="M136" i="7"/>
  <c r="K136" i="7"/>
  <c r="M135" i="7"/>
  <c r="K135" i="7"/>
  <c r="M134" i="7"/>
  <c r="K134" i="7"/>
  <c r="M133" i="7"/>
  <c r="K133" i="7"/>
  <c r="M132" i="7"/>
  <c r="K132" i="7"/>
  <c r="M131" i="7"/>
  <c r="K131" i="7"/>
  <c r="M130" i="7"/>
  <c r="K130" i="7"/>
  <c r="M129" i="7"/>
  <c r="K129" i="7"/>
  <c r="M128" i="7"/>
  <c r="K128" i="7"/>
  <c r="M127" i="7"/>
  <c r="K127" i="7"/>
  <c r="M126" i="7"/>
  <c r="K126" i="7"/>
  <c r="M125" i="7"/>
  <c r="K125" i="7"/>
  <c r="M124" i="7"/>
  <c r="K124" i="7"/>
  <c r="M123" i="7"/>
  <c r="K123" i="7"/>
  <c r="M122" i="7"/>
  <c r="K122" i="7"/>
  <c r="M121" i="7"/>
  <c r="K121" i="7"/>
  <c r="M120" i="7"/>
  <c r="K120" i="7"/>
  <c r="M119" i="7"/>
  <c r="K119" i="7"/>
  <c r="M118" i="7"/>
  <c r="K118" i="7"/>
  <c r="M117" i="7"/>
  <c r="K117" i="7"/>
  <c r="M116" i="7"/>
  <c r="K116" i="7"/>
  <c r="M115" i="7"/>
  <c r="K115" i="7"/>
  <c r="M114" i="7"/>
  <c r="K596" i="7"/>
  <c r="M595" i="7"/>
  <c r="K595" i="7"/>
  <c r="K593" i="7"/>
  <c r="M502" i="7"/>
  <c r="K502" i="7"/>
  <c r="M498" i="7"/>
  <c r="K498" i="7"/>
  <c r="M488" i="7"/>
  <c r="K488" i="7"/>
  <c r="M484" i="7"/>
  <c r="K484" i="7"/>
  <c r="M480" i="7"/>
  <c r="K480" i="7"/>
  <c r="M476" i="7"/>
  <c r="K476" i="7"/>
  <c r="M472" i="7"/>
  <c r="K472" i="7"/>
  <c r="M468" i="7"/>
  <c r="K468" i="7"/>
  <c r="M464" i="7"/>
  <c r="K464" i="7"/>
  <c r="M460" i="7"/>
  <c r="K460" i="7"/>
  <c r="M456" i="7"/>
  <c r="K456" i="7"/>
  <c r="M452" i="7"/>
  <c r="K452" i="7"/>
  <c r="M448" i="7"/>
  <c r="K448" i="7"/>
  <c r="M444" i="7"/>
  <c r="K444" i="7"/>
  <c r="M437" i="7"/>
  <c r="K437" i="7"/>
  <c r="M430" i="7"/>
  <c r="K430" i="7"/>
  <c r="M426" i="7"/>
  <c r="K426" i="7"/>
  <c r="M425" i="7"/>
  <c r="K425" i="7"/>
  <c r="M418" i="7"/>
  <c r="M411" i="7"/>
  <c r="K411" i="7"/>
  <c r="M410" i="7"/>
  <c r="K410" i="7"/>
  <c r="M407" i="7"/>
  <c r="K407" i="7"/>
  <c r="M406" i="7"/>
  <c r="K406" i="7"/>
  <c r="M236" i="7"/>
  <c r="K236" i="7"/>
  <c r="M230" i="7"/>
  <c r="K230" i="7"/>
  <c r="M225" i="7"/>
  <c r="M213" i="7"/>
  <c r="K213" i="7"/>
  <c r="K114" i="7"/>
  <c r="M113" i="7"/>
  <c r="K113" i="7"/>
  <c r="M112" i="7"/>
  <c r="K112" i="7"/>
  <c r="M111" i="7"/>
  <c r="K111" i="7"/>
  <c r="M110" i="7"/>
  <c r="K110" i="7"/>
  <c r="M109" i="7"/>
  <c r="K109" i="7"/>
  <c r="M108" i="7"/>
  <c r="K108" i="7"/>
  <c r="M107" i="7"/>
  <c r="K107" i="7"/>
  <c r="M106" i="7"/>
  <c r="K106" i="7"/>
  <c r="M105" i="7"/>
  <c r="K105" i="7"/>
  <c r="M104" i="7"/>
  <c r="K104" i="7"/>
  <c r="M103" i="7"/>
  <c r="K103" i="7"/>
  <c r="M102" i="7"/>
  <c r="K102" i="7"/>
  <c r="M101" i="7"/>
  <c r="K101" i="7"/>
  <c r="M100" i="7"/>
  <c r="K100" i="7"/>
  <c r="M99" i="7"/>
  <c r="K99" i="7"/>
  <c r="M98" i="7"/>
  <c r="K98" i="7"/>
  <c r="M97" i="7"/>
  <c r="K97" i="7"/>
  <c r="M96" i="7"/>
  <c r="K96" i="7"/>
  <c r="M95" i="7"/>
  <c r="K95" i="7"/>
  <c r="M94" i="7"/>
  <c r="K94" i="7"/>
  <c r="M93" i="7"/>
  <c r="K93" i="7"/>
  <c r="M92" i="7"/>
  <c r="K92" i="7"/>
  <c r="M91" i="7"/>
  <c r="K91" i="7"/>
  <c r="M90" i="7"/>
  <c r="K90" i="7"/>
  <c r="M89" i="7"/>
  <c r="K89" i="7"/>
  <c r="M88" i="7"/>
  <c r="K88" i="7"/>
  <c r="M87" i="7"/>
  <c r="K87" i="7"/>
  <c r="M86" i="7"/>
  <c r="K86" i="7"/>
  <c r="M85" i="7"/>
  <c r="K85" i="7"/>
  <c r="M84" i="7"/>
  <c r="K84" i="7"/>
  <c r="M83" i="7"/>
  <c r="K83" i="7"/>
  <c r="M82" i="7"/>
  <c r="K82" i="7"/>
  <c r="M81" i="7"/>
  <c r="K81" i="7"/>
  <c r="M80" i="7"/>
  <c r="K80" i="7"/>
  <c r="M79" i="7"/>
  <c r="K79" i="7"/>
  <c r="M78" i="7"/>
  <c r="K78" i="7"/>
  <c r="M77" i="7"/>
  <c r="K77" i="7"/>
  <c r="M76" i="7"/>
  <c r="K76" i="7"/>
  <c r="M75" i="7"/>
  <c r="K75" i="7"/>
  <c r="M74" i="7"/>
  <c r="K74" i="7"/>
  <c r="M73" i="7"/>
  <c r="K73" i="7"/>
  <c r="M72" i="7"/>
  <c r="K72" i="7"/>
  <c r="M71" i="7"/>
  <c r="K71" i="7"/>
  <c r="M70" i="7"/>
  <c r="K70" i="7"/>
  <c r="M69" i="7"/>
  <c r="K69" i="7"/>
  <c r="M68" i="7"/>
  <c r="K68" i="7"/>
  <c r="M67" i="7"/>
  <c r="K67" i="7"/>
  <c r="M66" i="7"/>
  <c r="K66" i="7"/>
  <c r="M65" i="7"/>
  <c r="K65" i="7"/>
  <c r="M64" i="7"/>
  <c r="K64" i="7"/>
  <c r="M597" i="7"/>
  <c r="K597" i="7"/>
  <c r="M594" i="7"/>
  <c r="K594" i="7"/>
  <c r="M501" i="7"/>
  <c r="M487" i="7"/>
  <c r="K487" i="7"/>
  <c r="M486" i="7"/>
  <c r="K486" i="7"/>
  <c r="M479" i="7"/>
  <c r="K479" i="7"/>
  <c r="M475" i="7"/>
  <c r="K475" i="7"/>
  <c r="M467" i="7"/>
  <c r="K467" i="7"/>
  <c r="M463" i="7"/>
  <c r="K463" i="7"/>
  <c r="M459" i="7"/>
  <c r="K459" i="7"/>
  <c r="M455" i="7"/>
  <c r="K455" i="7"/>
  <c r="M443" i="7"/>
  <c r="K443" i="7"/>
  <c r="M439" i="7"/>
  <c r="K439" i="7"/>
  <c r="M432" i="7"/>
  <c r="K432" i="7"/>
  <c r="K428" i="7"/>
  <c r="M427" i="7"/>
  <c r="K427" i="7"/>
  <c r="M423" i="7"/>
  <c r="K423" i="7"/>
  <c r="M419" i="7"/>
  <c r="K419" i="7"/>
  <c r="M415" i="7"/>
  <c r="K415" i="7"/>
  <c r="M412" i="7"/>
  <c r="M408" i="7"/>
  <c r="K408" i="7"/>
  <c r="M404" i="7"/>
  <c r="K404" i="7"/>
  <c r="M403" i="7"/>
  <c r="K403" i="7"/>
  <c r="K402" i="7"/>
  <c r="M401" i="7"/>
  <c r="M244" i="7"/>
  <c r="K244" i="7"/>
  <c r="M243" i="7"/>
  <c r="K243" i="7"/>
  <c r="K232" i="7"/>
  <c r="M231" i="7"/>
  <c r="K231" i="7"/>
  <c r="K225" i="7"/>
  <c r="M224" i="7"/>
  <c r="K224" i="7"/>
  <c r="M218" i="7"/>
  <c r="K218" i="7"/>
  <c r="M211" i="7"/>
  <c r="K211" i="7"/>
  <c r="C63" i="7" a="1"/>
  <c r="C63" i="7" s="1"/>
  <c r="E50" i="7" a="1"/>
  <c r="E50" i="7" s="1"/>
  <c r="B38" i="7" a="1"/>
  <c r="B38" i="7" s="1"/>
  <c r="F23" i="7" a="1"/>
  <c r="F23" i="7" s="1"/>
  <c r="D20" i="7" a="1"/>
  <c r="D20" i="7" s="1"/>
  <c r="C55" i="7" a="1"/>
  <c r="C55" i="7" s="1"/>
  <c r="E42" i="7" a="1"/>
  <c r="E42" i="7" s="1"/>
  <c r="B30" i="7" a="1"/>
  <c r="B30" i="7" s="1"/>
  <c r="F13" i="7" a="1"/>
  <c r="F13" i="7" s="1"/>
  <c r="F51" i="7" a="1"/>
  <c r="F51" i="7" s="1"/>
  <c r="C39" i="7" a="1"/>
  <c r="C39" i="7" s="1"/>
  <c r="E26" i="7" a="1"/>
  <c r="E26" i="7" s="1"/>
  <c r="C61" i="7" a="1"/>
  <c r="C61" i="7" s="1"/>
  <c r="E48" i="7" a="1"/>
  <c r="E48" i="7" s="1"/>
  <c r="F35" i="7" a="1"/>
  <c r="F35" i="7" s="1"/>
  <c r="C23" i="7" a="1"/>
  <c r="C23" i="7" s="1"/>
  <c r="F14" i="7" a="1"/>
  <c r="F14" i="7" s="1"/>
  <c r="E54" i="7" a="1"/>
  <c r="E54" i="7" s="1"/>
  <c r="B42" i="7" a="1"/>
  <c r="B42" i="7" s="1"/>
  <c r="D29" i="7" a="1"/>
  <c r="D29" i="7" s="1"/>
  <c r="E16" i="7" a="1"/>
  <c r="E16" i="7" s="1"/>
  <c r="E57" i="7" a="1"/>
  <c r="E57" i="7" s="1"/>
  <c r="B45" i="7" a="1"/>
  <c r="B45" i="7" s="1"/>
  <c r="D32" i="7" a="1"/>
  <c r="D32" i="7" s="1"/>
  <c r="E19" i="7" a="1"/>
  <c r="E19" i="7" s="1"/>
  <c r="C54" i="7" a="1"/>
  <c r="C54" i="7" s="1"/>
  <c r="E41" i="7" a="1"/>
  <c r="E41" i="7" s="1"/>
  <c r="B29" i="7" a="1"/>
  <c r="B29" i="7" s="1"/>
  <c r="C16" i="7" a="1"/>
  <c r="C16" i="7" s="1"/>
  <c r="D52" i="7" a="1"/>
  <c r="D52" i="7" s="1"/>
  <c r="C38" i="7" a="1"/>
  <c r="C38" i="7" s="1"/>
  <c r="E25" i="7" a="1"/>
  <c r="E25" i="7" s="1"/>
  <c r="F12" i="7" a="1"/>
  <c r="F12" i="7" s="1"/>
  <c r="E11" i="7" a="1"/>
  <c r="E11" i="7" s="1"/>
  <c r="F61" i="7" a="1"/>
  <c r="F61" i="7" s="1"/>
  <c r="C49" i="7" a="1"/>
  <c r="C49" i="7" s="1"/>
  <c r="D36" i="7" a="1"/>
  <c r="D36" i="7" s="1"/>
  <c r="C22" i="7" a="1"/>
  <c r="C22" i="7" s="1"/>
  <c r="E15" i="7" a="1"/>
  <c r="E15" i="7" s="1"/>
  <c r="E53" i="7" a="1"/>
  <c r="E53" i="7" s="1"/>
  <c r="B41" i="7" a="1"/>
  <c r="B41" i="7" s="1"/>
  <c r="D28" i="7" a="1"/>
  <c r="D28" i="7" s="1"/>
  <c r="F62" i="7" a="1"/>
  <c r="F62" i="7" s="1"/>
  <c r="C50" i="7" a="1"/>
  <c r="C50" i="7" s="1"/>
  <c r="E37" i="7" a="1"/>
  <c r="E37" i="7" s="1"/>
  <c r="B25" i="7" a="1"/>
  <c r="B25" i="7" s="1"/>
  <c r="E59" i="7" a="1"/>
  <c r="E59" i="7" s="1"/>
  <c r="B47" i="7" a="1"/>
  <c r="B47" i="7" s="1"/>
  <c r="C34" i="7" a="1"/>
  <c r="C34" i="7" s="1"/>
  <c r="E21" i="7" a="1"/>
  <c r="E21" i="7" s="1"/>
  <c r="B13" i="7" a="1"/>
  <c r="B13" i="7" s="1"/>
  <c r="B53" i="7" a="1"/>
  <c r="B53" i="7" s="1"/>
  <c r="D40" i="7" a="1"/>
  <c r="D40" i="7" s="1"/>
  <c r="F27" i="7" a="1"/>
  <c r="F27" i="7" s="1"/>
  <c r="B15" i="7" a="1"/>
  <c r="B15" i="7" s="1"/>
  <c r="B56" i="7" a="1"/>
  <c r="B56" i="7" s="1"/>
  <c r="D43" i="7" a="1"/>
  <c r="D43" i="7" s="1"/>
  <c r="F30" i="7" a="1"/>
  <c r="F30" i="7" s="1"/>
  <c r="B18" i="7" a="1"/>
  <c r="B18" i="7" s="1"/>
  <c r="E52" i="7" a="1"/>
  <c r="E52" i="7" s="1"/>
  <c r="B40" i="7" a="1"/>
  <c r="B40" i="7" s="1"/>
  <c r="D27" i="7" a="1"/>
  <c r="D27" i="7" s="1"/>
  <c r="D63" i="7" a="1"/>
  <c r="D63" i="7" s="1"/>
  <c r="F50" i="7" a="1"/>
  <c r="F50" i="7" s="1"/>
  <c r="E36" i="7" a="1"/>
  <c r="E36" i="7" s="1"/>
  <c r="B24" i="7" a="1"/>
  <c r="B24" i="7" s="1"/>
  <c r="C60" i="7" a="1"/>
  <c r="C60" i="7" s="1"/>
  <c r="E47" i="7" a="1"/>
  <c r="E47" i="7" s="1"/>
  <c r="F34" i="7" a="1"/>
  <c r="F34" i="7" s="1"/>
  <c r="E20" i="7" a="1"/>
  <c r="E20" i="7" s="1"/>
  <c r="D15" i="7" a="1"/>
  <c r="D15" i="7" s="1"/>
  <c r="B52" i="7" a="1"/>
  <c r="B52" i="7" s="1"/>
  <c r="D39" i="7" a="1"/>
  <c r="D39" i="7" s="1"/>
  <c r="F26" i="7" a="1"/>
  <c r="F26" i="7" s="1"/>
  <c r="D61" i="7" a="1"/>
  <c r="D61" i="7" s="1"/>
  <c r="F48" i="7" a="1"/>
  <c r="F48" i="7" s="1"/>
  <c r="B36" i="7" a="1"/>
  <c r="B36" i="7" s="1"/>
  <c r="D23" i="7" a="1"/>
  <c r="D23" i="7" s="1"/>
  <c r="B58" i="7" a="1"/>
  <c r="B58" i="7" s="1"/>
  <c r="D45" i="7" a="1"/>
  <c r="D45" i="7" s="1"/>
  <c r="F32" i="7" a="1"/>
  <c r="F32" i="7" s="1"/>
  <c r="B20" i="7" a="1"/>
  <c r="B20" i="7" s="1"/>
  <c r="F63" i="7" a="1"/>
  <c r="F63" i="7" s="1"/>
  <c r="D51" i="7" a="1"/>
  <c r="D51" i="7" s="1"/>
  <c r="F38" i="7" a="1"/>
  <c r="F38" i="7" s="1"/>
  <c r="C26" i="7" a="1"/>
  <c r="C26" i="7" s="1"/>
  <c r="D13" i="7" a="1"/>
  <c r="D13" i="7" s="1"/>
  <c r="D54" i="7" a="1"/>
  <c r="D54" i="7" s="1"/>
  <c r="F41" i="7" a="1"/>
  <c r="F41" i="7" s="1"/>
  <c r="C29" i="7" a="1"/>
  <c r="C29" i="7" s="1"/>
  <c r="C13" i="7" a="1"/>
  <c r="C13" i="7" s="1"/>
  <c r="B51" i="7" a="1"/>
  <c r="B51" i="7" s="1"/>
  <c r="D38" i="7" a="1"/>
  <c r="D38" i="7" s="1"/>
  <c r="F25" i="7" a="1"/>
  <c r="F25" i="7" s="1"/>
  <c r="B62" i="7" a="1"/>
  <c r="B62" i="7" s="1"/>
  <c r="F47" i="7" a="1"/>
  <c r="F47" i="7" s="1"/>
  <c r="B35" i="7" a="1"/>
  <c r="B35" i="7" s="1"/>
  <c r="D22" i="7" a="1"/>
  <c r="D22" i="7" s="1"/>
  <c r="E58" i="7" a="1"/>
  <c r="E58" i="7" s="1"/>
  <c r="B46" i="7" a="1"/>
  <c r="B46" i="7" s="1"/>
  <c r="F31" i="7" a="1"/>
  <c r="F31" i="7" s="1"/>
  <c r="B19" i="7" a="1"/>
  <c r="B19" i="7" s="1"/>
  <c r="B63" i="7" a="1"/>
  <c r="B63" i="7" s="1"/>
  <c r="D50" i="7" a="1"/>
  <c r="D50" i="7" s="1"/>
  <c r="F37" i="7" a="1"/>
  <c r="F37" i="7" s="1"/>
  <c r="C25" i="7" a="1"/>
  <c r="C25" i="7" s="1"/>
  <c r="F59" i="7" a="1"/>
  <c r="F59" i="7" s="1"/>
  <c r="C47" i="7" a="1"/>
  <c r="C47" i="7" s="1"/>
  <c r="D34" i="7" a="1"/>
  <c r="D34" i="7" s="1"/>
  <c r="F21" i="7" a="1"/>
  <c r="F21" i="7" s="1"/>
  <c r="D56" i="7" a="1"/>
  <c r="D56" i="7" s="1"/>
  <c r="F43" i="7" a="1"/>
  <c r="F43" i="7" s="1"/>
  <c r="C31" i="7" a="1"/>
  <c r="C31" i="7" s="1"/>
  <c r="D18" i="7" a="1"/>
  <c r="D18" i="7" s="1"/>
  <c r="D62" i="7" a="1"/>
  <c r="D62" i="7" s="1"/>
  <c r="F49" i="7" a="1"/>
  <c r="F49" i="7" s="1"/>
  <c r="C37" i="7" a="1"/>
  <c r="C37" i="7" s="1"/>
  <c r="E24" i="7" a="1"/>
  <c r="E24" i="7" s="1"/>
  <c r="D16" i="7" a="1"/>
  <c r="D16" i="7" s="1"/>
  <c r="F52" i="7" a="1"/>
  <c r="F52" i="7" s="1"/>
  <c r="C40" i="7" a="1"/>
  <c r="C40" i="7" s="1"/>
  <c r="E27" i="7" a="1"/>
  <c r="E27" i="7" s="1"/>
  <c r="E63" i="7" a="1"/>
  <c r="E63" i="7" s="1"/>
  <c r="D49" i="7" a="1"/>
  <c r="D49" i="7" s="1"/>
  <c r="F36" i="7" a="1"/>
  <c r="F36" i="7" s="1"/>
  <c r="C24" i="7" a="1"/>
  <c r="C24" i="7" s="1"/>
  <c r="D60" i="7" a="1"/>
  <c r="D60" i="7" s="1"/>
  <c r="C46" i="7" a="1"/>
  <c r="C46" i="7" s="1"/>
  <c r="D33" i="7" a="1"/>
  <c r="D33" i="7" s="1"/>
  <c r="F20" i="7" a="1"/>
  <c r="F20" i="7" s="1"/>
  <c r="C12" i="7" a="1"/>
  <c r="C12" i="7" s="1"/>
  <c r="D11" i="7" a="1"/>
  <c r="D11" i="7" s="1"/>
  <c r="B57" i="7" a="1"/>
  <c r="B57" i="7" s="1"/>
  <c r="D44" i="7" a="1"/>
  <c r="D44" i="7" s="1"/>
  <c r="C30" i="7" a="1"/>
  <c r="C30" i="7" s="1"/>
  <c r="D17" i="7" a="1"/>
  <c r="D17" i="7" s="1"/>
  <c r="E61" i="7" a="1"/>
  <c r="E61" i="7" s="1"/>
  <c r="B49" i="7" a="1"/>
  <c r="B49" i="7" s="1"/>
  <c r="C36" i="7" a="1"/>
  <c r="C36" i="7" s="1"/>
  <c r="E23" i="7" a="1"/>
  <c r="E23" i="7" s="1"/>
  <c r="C58" i="7" a="1"/>
  <c r="C58" i="7" s="1"/>
  <c r="E45" i="7" a="1"/>
  <c r="E45" i="7" s="1"/>
  <c r="B33" i="7" a="1"/>
  <c r="B33" i="7" s="1"/>
  <c r="C20" i="7" a="1"/>
  <c r="C20" i="7" s="1"/>
  <c r="F54" i="7" a="1"/>
  <c r="F54" i="7" s="1"/>
  <c r="C42" i="7" a="1"/>
  <c r="C42" i="7" s="1"/>
  <c r="E29" i="7" a="1"/>
  <c r="E29" i="7" s="1"/>
  <c r="F16" i="7" a="1"/>
  <c r="F16" i="7" s="1"/>
  <c r="B61" i="7" a="1"/>
  <c r="B61" i="7" s="1"/>
  <c r="D48" i="7" a="1"/>
  <c r="D48" i="7" s="1"/>
  <c r="E35" i="7" a="1"/>
  <c r="E35" i="7" s="1"/>
  <c r="B23" i="7" a="1"/>
  <c r="B23" i="7" s="1"/>
  <c r="E14" i="7" a="1"/>
  <c r="E14" i="7" s="1"/>
  <c r="C51" i="7" a="1"/>
  <c r="C51" i="7" s="1"/>
  <c r="E38" i="7" a="1"/>
  <c r="E38" i="7" s="1"/>
  <c r="B26" i="7" a="1"/>
  <c r="B26" i="7" s="1"/>
  <c r="E60" i="7" a="1"/>
  <c r="E60" i="7" s="1"/>
  <c r="B48" i="7" a="1"/>
  <c r="B48" i="7" s="1"/>
  <c r="C35" i="7" a="1"/>
  <c r="C35" i="7" s="1"/>
  <c r="E22" i="7" a="1"/>
  <c r="E22" i="7" s="1"/>
  <c r="F58" i="7" a="1"/>
  <c r="F58" i="7" s="1"/>
  <c r="E44" i="7" a="1"/>
  <c r="E44" i="7" s="1"/>
  <c r="B32" i="7" a="1"/>
  <c r="B32" i="7" s="1"/>
  <c r="C19" i="7" a="1"/>
  <c r="C19" i="7" s="1"/>
  <c r="B11" i="7" a="1"/>
  <c r="B11" i="7" s="1"/>
  <c r="E17" i="7" a="1"/>
  <c r="E17" i="7" s="1"/>
  <c r="C11" i="7" a="1"/>
  <c r="C11" i="7" s="1"/>
  <c r="D55" i="7" a="1"/>
  <c r="D55" i="7" s="1"/>
  <c r="F42" i="7" a="1"/>
  <c r="F42" i="7" s="1"/>
  <c r="E28" i="7" a="1"/>
  <c r="E28" i="7" s="1"/>
  <c r="F15" i="7" a="1"/>
  <c r="F15" i="7" s="1"/>
  <c r="B60" i="7" a="1"/>
  <c r="B60" i="7" s="1"/>
  <c r="D47" i="7" a="1"/>
  <c r="D47" i="7" s="1"/>
  <c r="E34" i="7" a="1"/>
  <c r="E34" i="7" s="1"/>
  <c r="B22" i="7" a="1"/>
  <c r="B22" i="7" s="1"/>
  <c r="E56" i="7" a="1"/>
  <c r="E56" i="7" s="1"/>
  <c r="B44" i="7" a="1"/>
  <c r="B44" i="7" s="1"/>
  <c r="D31" i="7" a="1"/>
  <c r="D31" i="7" s="1"/>
  <c r="E18" i="7" a="1"/>
  <c r="E18" i="7" s="1"/>
  <c r="C53" i="7" a="1"/>
  <c r="C53" i="7" s="1"/>
  <c r="E40" i="7" a="1"/>
  <c r="E40" i="7" s="1"/>
  <c r="B28" i="7" a="1"/>
  <c r="B28" i="7" s="1"/>
  <c r="C15" i="7" a="1"/>
  <c r="C15" i="7" s="1"/>
  <c r="D59" i="7" a="1"/>
  <c r="D59" i="7" s="1"/>
  <c r="F46" i="7" a="1"/>
  <c r="F46" i="7" s="1"/>
  <c r="B34" i="7" a="1"/>
  <c r="B34" i="7" s="1"/>
  <c r="D21" i="7" a="1"/>
  <c r="D21" i="7" s="1"/>
  <c r="C62" i="7" a="1"/>
  <c r="C62" i="7" s="1"/>
  <c r="E49" i="7" a="1"/>
  <c r="E49" i="7" s="1"/>
  <c r="B37" i="7" a="1"/>
  <c r="B37" i="7" s="1"/>
  <c r="D24" i="7" a="1"/>
  <c r="D24" i="7" s="1"/>
  <c r="B59" i="7" a="1"/>
  <c r="B59" i="7" s="1"/>
  <c r="D46" i="7" a="1"/>
  <c r="D46" i="7" s="1"/>
  <c r="E33" i="7" a="1"/>
  <c r="E33" i="7" s="1"/>
  <c r="B21" i="7" a="1"/>
  <c r="B21" i="7" s="1"/>
  <c r="C57" i="7" a="1"/>
  <c r="C57" i="7" s="1"/>
  <c r="B43" i="7" a="1"/>
  <c r="B43" i="7" s="1"/>
  <c r="D30" i="7" a="1"/>
  <c r="D30" i="7" s="1"/>
  <c r="B14" i="7" a="1"/>
  <c r="B14" i="7" s="1"/>
  <c r="F53" i="7" a="1"/>
  <c r="F53" i="7" s="1"/>
  <c r="C41" i="7" a="1"/>
  <c r="C41" i="7" s="1"/>
  <c r="B27" i="7" a="1"/>
  <c r="B27" i="7" s="1"/>
  <c r="C14" i="7" a="1"/>
  <c r="C14" i="7" s="1"/>
  <c r="D58" i="7" a="1"/>
  <c r="D58" i="7" s="1"/>
  <c r="F45" i="7" a="1"/>
  <c r="F45" i="7" s="1"/>
  <c r="C33" i="7" a="1"/>
  <c r="C33" i="7" s="1"/>
  <c r="F18" i="7" a="1"/>
  <c r="F18" i="7" s="1"/>
  <c r="B55" i="7" a="1"/>
  <c r="B55" i="7" s="1"/>
  <c r="D42" i="7" a="1"/>
  <c r="D42" i="7" s="1"/>
  <c r="F29" i="7" a="1"/>
  <c r="F29" i="7" s="1"/>
  <c r="B17" i="7" a="1"/>
  <c r="B17" i="7" s="1"/>
  <c r="E51" i="7" a="1"/>
  <c r="E51" i="7" s="1"/>
  <c r="B39" i="7" a="1"/>
  <c r="B39" i="7" s="1"/>
  <c r="D26" i="7" a="1"/>
  <c r="D26" i="7" s="1"/>
  <c r="E13" i="7" a="1"/>
  <c r="E13" i="7" s="1"/>
  <c r="F57" i="7" a="1"/>
  <c r="F57" i="7" s="1"/>
  <c r="C45" i="7" a="1"/>
  <c r="C45" i="7" s="1"/>
  <c r="E32" i="7" a="1"/>
  <c r="E32" i="7" s="1"/>
  <c r="F19" i="7" a="1"/>
  <c r="F19" i="7" s="1"/>
  <c r="F60" i="7" a="1"/>
  <c r="F60" i="7" s="1"/>
  <c r="C48" i="7" a="1"/>
  <c r="C48" i="7" s="1"/>
  <c r="D35" i="7" a="1"/>
  <c r="D35" i="7" s="1"/>
  <c r="F22" i="7" a="1"/>
  <c r="F22" i="7" s="1"/>
  <c r="D57" i="7" a="1"/>
  <c r="D57" i="7" s="1"/>
  <c r="F44" i="7" a="1"/>
  <c r="F44" i="7" s="1"/>
  <c r="C32" i="7" a="1"/>
  <c r="C32" i="7" s="1"/>
  <c r="D19" i="7" a="1"/>
  <c r="D19" i="7" s="1"/>
  <c r="E55" i="7" a="1"/>
  <c r="E55" i="7" s="1"/>
  <c r="D41" i="7" a="1"/>
  <c r="D41" i="7" s="1"/>
  <c r="F28" i="7" a="1"/>
  <c r="F28" i="7" s="1"/>
  <c r="B16" i="7" a="1"/>
  <c r="B16" i="7" s="1"/>
  <c r="C52" i="7" a="1"/>
  <c r="C52" i="7" s="1"/>
  <c r="E39" i="7" a="1"/>
  <c r="E39" i="7" s="1"/>
  <c r="D25" i="7" a="1"/>
  <c r="D25" i="7" s="1"/>
  <c r="E12" i="7" a="1"/>
  <c r="E12" i="7" s="1"/>
  <c r="F56" i="7" a="1"/>
  <c r="F56" i="7" s="1"/>
  <c r="C44" i="7" a="1"/>
  <c r="C44" i="7" s="1"/>
  <c r="E31" i="7" a="1"/>
  <c r="E31" i="7" s="1"/>
  <c r="D12" i="7" a="1"/>
  <c r="D12" i="7" s="1"/>
  <c r="D53" i="7" a="1"/>
  <c r="D53" i="7" s="1"/>
  <c r="F40" i="7" a="1"/>
  <c r="F40" i="7" s="1"/>
  <c r="C28" i="7" a="1"/>
  <c r="C28" i="7" s="1"/>
  <c r="E62" i="7" a="1"/>
  <c r="E62" i="7" s="1"/>
  <c r="B50" i="7" a="1"/>
  <c r="B50" i="7" s="1"/>
  <c r="D37" i="7" a="1"/>
  <c r="D37" i="7" s="1"/>
  <c r="F24" i="7" a="1"/>
  <c r="F24" i="7" s="1"/>
  <c r="B12" i="7" a="1"/>
  <c r="B12" i="7" s="1"/>
  <c r="C56" i="7" a="1"/>
  <c r="C56" i="7" s="1"/>
  <c r="E43" i="7" a="1"/>
  <c r="E43" i="7" s="1"/>
  <c r="B31" i="7" a="1"/>
  <c r="B31" i="7" s="1"/>
  <c r="C18" i="7" a="1"/>
  <c r="C18" i="7" s="1"/>
  <c r="C59" i="7" a="1"/>
  <c r="C59" i="7" s="1"/>
  <c r="E46" i="7" a="1"/>
  <c r="E46" i="7" s="1"/>
  <c r="F33" i="7" a="1"/>
  <c r="F33" i="7" s="1"/>
  <c r="C21" i="7" a="1"/>
  <c r="C21" i="7" s="1"/>
  <c r="F55" i="7" a="1"/>
  <c r="F55" i="7" s="1"/>
  <c r="C43" i="7" a="1"/>
  <c r="C43" i="7" s="1"/>
  <c r="E30" i="7" a="1"/>
  <c r="E30" i="7" s="1"/>
  <c r="F17" i="7" a="1"/>
  <c r="F17" i="7" s="1"/>
  <c r="B54" i="7" a="1"/>
  <c r="B54" i="7" s="1"/>
  <c r="F39" i="7" a="1"/>
  <c r="F39" i="7" s="1"/>
  <c r="C27" i="7" a="1"/>
  <c r="C27" i="7" s="1"/>
  <c r="D14" i="7" a="1"/>
  <c r="D14" i="7" s="1"/>
  <c r="F11" i="7" a="1"/>
  <c r="F11" i="7" s="1"/>
  <c r="C17" i="7" a="1"/>
  <c r="C17" i="7" s="1"/>
  <c r="K38" i="7" l="1"/>
  <c r="M38" i="7"/>
  <c r="L38" i="7"/>
  <c r="K30" i="7"/>
  <c r="M30" i="7"/>
  <c r="L30" i="7"/>
  <c r="M42" i="7"/>
  <c r="L42" i="7"/>
  <c r="K42" i="7"/>
  <c r="M45" i="7"/>
  <c r="K45" i="7"/>
  <c r="L45" i="7"/>
  <c r="K29" i="7"/>
  <c r="M29" i="7"/>
  <c r="L29" i="7"/>
  <c r="L41" i="7"/>
  <c r="K41" i="7"/>
  <c r="M41" i="7"/>
  <c r="L25" i="7"/>
  <c r="K25" i="7"/>
  <c r="O25" i="7" s="1"/>
  <c r="M25" i="7"/>
  <c r="L47" i="7"/>
  <c r="K47" i="7"/>
  <c r="M47" i="7"/>
  <c r="M13" i="7"/>
  <c r="K13" i="7"/>
  <c r="O13" i="7" s="1"/>
  <c r="L13" i="7"/>
  <c r="L53" i="7"/>
  <c r="K53" i="7"/>
  <c r="M53" i="7"/>
  <c r="M15" i="7"/>
  <c r="L15" i="7"/>
  <c r="K15" i="7"/>
  <c r="O15" i="7" s="1"/>
  <c r="K56" i="7"/>
  <c r="M56" i="7"/>
  <c r="L56" i="7"/>
  <c r="M18" i="7"/>
  <c r="L18" i="7"/>
  <c r="K18" i="7"/>
  <c r="O18" i="7" s="1"/>
  <c r="K40" i="7"/>
  <c r="M40" i="7"/>
  <c r="L40" i="7"/>
  <c r="K24" i="7"/>
  <c r="M24" i="7"/>
  <c r="L24" i="7"/>
  <c r="M52" i="7"/>
  <c r="L52" i="7"/>
  <c r="K52" i="7"/>
  <c r="L36" i="7"/>
  <c r="M36" i="7"/>
  <c r="K36" i="7"/>
  <c r="L58" i="7"/>
  <c r="M58" i="7"/>
  <c r="K58" i="7"/>
  <c r="K20" i="7"/>
  <c r="L20" i="7"/>
  <c r="M20" i="7"/>
  <c r="L51" i="7"/>
  <c r="K51" i="7"/>
  <c r="M51" i="7"/>
  <c r="K62" i="7"/>
  <c r="M62" i="7"/>
  <c r="L62" i="7"/>
  <c r="L35" i="7"/>
  <c r="M35" i="7"/>
  <c r="K35" i="7"/>
  <c r="L46" i="7"/>
  <c r="K46" i="7"/>
  <c r="M46" i="7"/>
  <c r="K19" i="7"/>
  <c r="L19" i="7"/>
  <c r="M19" i="7"/>
  <c r="L63" i="7"/>
  <c r="M63" i="7"/>
  <c r="K63" i="7"/>
  <c r="K57" i="7"/>
  <c r="M57" i="7"/>
  <c r="L57" i="7"/>
  <c r="K49" i="7"/>
  <c r="M49" i="7"/>
  <c r="L49" i="7"/>
  <c r="K33" i="7"/>
  <c r="M33" i="7"/>
  <c r="L33" i="7"/>
  <c r="M61" i="7"/>
  <c r="K61" i="7"/>
  <c r="L61" i="7"/>
  <c r="L23" i="7"/>
  <c r="M23" i="7"/>
  <c r="K23" i="7"/>
  <c r="O23" i="7" s="1"/>
  <c r="L26" i="7"/>
  <c r="M26" i="7"/>
  <c r="K26" i="7"/>
  <c r="L48" i="7"/>
  <c r="K48" i="7"/>
  <c r="M48" i="7"/>
  <c r="M32" i="7"/>
  <c r="L32" i="7"/>
  <c r="K32" i="7"/>
  <c r="L11" i="7"/>
  <c r="K11" i="7"/>
  <c r="M11" i="7"/>
  <c r="M60" i="7"/>
  <c r="K60" i="7"/>
  <c r="L60" i="7"/>
  <c r="M22" i="7"/>
  <c r="L22" i="7"/>
  <c r="K22" i="7"/>
  <c r="O22" i="7" s="1"/>
  <c r="K44" i="7"/>
  <c r="M44" i="7"/>
  <c r="L44" i="7"/>
  <c r="K28" i="7"/>
  <c r="M28" i="7"/>
  <c r="L28" i="7"/>
  <c r="K34" i="7"/>
  <c r="L34" i="7"/>
  <c r="M34" i="7"/>
  <c r="L37" i="7"/>
  <c r="M37" i="7"/>
  <c r="K37" i="7"/>
  <c r="K59" i="7"/>
  <c r="L59" i="7"/>
  <c r="M59" i="7"/>
  <c r="L21" i="7"/>
  <c r="M21" i="7"/>
  <c r="K21" i="7"/>
  <c r="O21" i="7" s="1"/>
  <c r="L43" i="7"/>
  <c r="K43" i="7"/>
  <c r="M43" i="7"/>
  <c r="M14" i="7"/>
  <c r="K14" i="7"/>
  <c r="O14" i="7" s="1"/>
  <c r="L14" i="7"/>
  <c r="M27" i="7"/>
  <c r="K27" i="7"/>
  <c r="L27" i="7"/>
  <c r="M55" i="7"/>
  <c r="K55" i="7"/>
  <c r="L55" i="7"/>
  <c r="L17" i="7"/>
  <c r="M17" i="7"/>
  <c r="K17" i="7"/>
  <c r="K39" i="7"/>
  <c r="L39" i="7"/>
  <c r="M39" i="7"/>
  <c r="K16" i="7"/>
  <c r="L16" i="7"/>
  <c r="M16" i="7"/>
  <c r="L50" i="7"/>
  <c r="M50" i="7"/>
  <c r="K50" i="7"/>
  <c r="K12" i="7"/>
  <c r="L12" i="7"/>
  <c r="M12" i="7"/>
  <c r="K31" i="7"/>
  <c r="M31" i="7"/>
  <c r="L31" i="7"/>
  <c r="L54" i="7"/>
  <c r="M54" i="7"/>
  <c r="K54" i="7"/>
  <c r="O24" i="7" l="1"/>
  <c r="O20" i="7"/>
  <c r="O19" i="7"/>
  <c r="O11" i="7"/>
  <c r="O12" i="7"/>
  <c r="O17" i="7"/>
  <c r="O16" i="7"/>
</calcChain>
</file>

<file path=xl/sharedStrings.xml><?xml version="1.0" encoding="utf-8"?>
<sst xmlns="http://schemas.openxmlformats.org/spreadsheetml/2006/main" count="4159" uniqueCount="700">
  <si>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</si>
  <si>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</si>
  <si>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</si>
  <si>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</si>
  <si>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</si>
  <si>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</si>
  <si>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</si>
  <si>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UNIVERSO_SIMUL</t>
  </si>
  <si>
    <t>CRUZAMENTO</t>
  </si>
  <si>
    <t>Instrument</t>
  </si>
  <si>
    <t>Projeto</t>
  </si>
  <si>
    <t>Âmbito</t>
  </si>
  <si>
    <t>nome_perimetro</t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</si>
  <si>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</si>
  <si>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</si>
  <si>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</si>
  <si>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</si>
  <si>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</si>
  <si>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</si>
  <si>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</si>
  <si>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</si>
  <si>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</si>
  <si>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</si>
  <si>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</si>
  <si>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</si>
  <si>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</si>
  <si>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</si>
  <si>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</si>
  <si>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</si>
  <si>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Nome da Tabela</t>
  </si>
  <si>
    <t>Chave 1</t>
  </si>
  <si>
    <t>Chave 2</t>
  </si>
  <si>
    <t>bu_loantape_work</t>
  </si>
  <si>
    <t>ESTR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</si>
  <si>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</si>
  <si>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</si>
  <si>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</si>
  <si>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</si>
  <si>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</si>
  <si>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</si>
  <si>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</si>
  <si>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</si>
  <si>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</si>
  <si>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</si>
  <si>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</si>
  <si>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1. Erros de Coerência (#)</t>
  </si>
  <si>
    <t>Testes Corridos (#)</t>
  </si>
  <si>
    <t>ID Exec. 1.</t>
  </si>
  <si>
    <t>Comentário</t>
  </si>
  <si>
    <t>Status</t>
  </si>
  <si>
    <t>Validade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</si>
  <si>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</si>
  <si>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</si>
  <si>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</si>
  <si>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</si>
  <si>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</si>
  <si>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</si>
  <si>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</si>
  <si>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</si>
  <si>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Protection</t>
  </si>
  <si>
    <t>Entity</t>
  </si>
  <si>
    <t>0. Instruções</t>
  </si>
  <si>
    <t>Missings</t>
  </si>
  <si>
    <t>Not applicable</t>
  </si>
  <si>
    <t>VALORES CODE LIST</t>
  </si>
  <si>
    <t>Número de Registos ID1.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</si>
  <si>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</si>
  <si>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</si>
  <si>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</si>
  <si>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</si>
  <si>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cr_flg</t>
  </si>
  <si>
    <t>dt_prfrmng_stts_le</t>
  </si>
  <si>
    <t>mn_entty_id</t>
  </si>
  <si>
    <t>dpd_12m_prfrmng_stts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</si>
  <si>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</si>
  <si>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</si>
  <si>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</si>
  <si>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</si>
  <si>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</si>
  <si>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</si>
  <si>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</si>
  <si>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</si>
  <si>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imprmnt_stts_prvs</t>
  </si>
  <si>
    <t>off_blnc_sht_amnt_instrmnt_prvs</t>
  </si>
  <si>
    <t>prfrmng_stts_prvs</t>
  </si>
  <si>
    <t>rfnnc_prps</t>
  </si>
  <si>
    <t>nace_esg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</si>
  <si>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</si>
  <si>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</si>
  <si>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</si>
  <si>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</si>
  <si>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</si>
  <si>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</si>
  <si>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</si>
  <si>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</si>
  <si>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</si>
  <si>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</si>
  <si>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</si>
  <si>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</si>
  <si>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</si>
  <si>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</si>
  <si>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</si>
  <si>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</si>
  <si>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</si>
  <si>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</si>
  <si>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</si>
  <si>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</si>
  <si>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</si>
  <si>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ttl_lblty</t>
  </si>
  <si>
    <t>isin</t>
  </si>
  <si>
    <t>grp_annl_trnvr_le</t>
  </si>
  <si>
    <t>grp_ttl_lblty</t>
  </si>
  <si>
    <t>grp_emssns_scp1</t>
  </si>
  <si>
    <t>grp_emssns_scp2</t>
  </si>
  <si>
    <t>grp_emssns_scp3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</si>
  <si>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</si>
  <si>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</si>
  <si>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</si>
  <si>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</si>
  <si>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</si>
  <si>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</si>
  <si>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</si>
  <si>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</si>
  <si>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</si>
  <si>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</si>
  <si>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</si>
  <si>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</si>
  <si>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</si>
  <si>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</si>
  <si>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</si>
  <si>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</si>
  <si>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</si>
  <si>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</si>
  <si>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</si>
  <si>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</si>
  <si>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</si>
  <si>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</si>
  <si>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</si>
  <si>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</si>
  <si>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</si>
  <si>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</si>
  <si>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</si>
  <si>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</si>
  <si>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</si>
  <si>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</si>
  <si>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</si>
  <si>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</si>
  <si>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</si>
  <si>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</si>
  <si>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</si>
  <si>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</si>
  <si>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grss_intrst_incm</t>
  </si>
  <si>
    <t>grss_cmmssn_incm</t>
  </si>
  <si>
    <t>grss_cmmssn_incm_off_blnc</t>
  </si>
  <si>
    <t>idcmb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</si>
  <si>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</si>
  <si>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</si>
  <si>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</si>
  <si>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</si>
  <si>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</si>
  <si>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</si>
  <si>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</si>
  <si>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</si>
  <si>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</si>
  <si>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</si>
  <si>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</si>
  <si>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</si>
  <si>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</si>
  <si>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flg_fin</t>
  </si>
  <si>
    <t>flg_exec</t>
  </si>
  <si>
    <t>flg_col</t>
  </si>
  <si>
    <t>flg_pro</t>
  </si>
  <si>
    <t>esg_sbsctr</t>
  </si>
  <si>
    <t>sstnbl_indctr</t>
  </si>
  <si>
    <t>sstnbl_ctgry</t>
  </si>
  <si>
    <t>entty_nm</t>
  </si>
  <si>
    <t>ec_grp_id</t>
  </si>
  <si>
    <t>ec_grp_nm</t>
  </si>
  <si>
    <t>grp_ecnmc_actvty</t>
  </si>
  <si>
    <t>txnmy_elgbl_capex_w</t>
  </si>
  <si>
    <t>txnmy_elgbl_trnvr_w</t>
  </si>
  <si>
    <t>txnmy_elgbl_capex_p</t>
  </si>
  <si>
    <t>txnmy_elgbl_trnvr_p</t>
  </si>
  <si>
    <t>txnmy_elgbl_capex_b</t>
  </si>
  <si>
    <t>txnmy_elgbl_trnvr_b</t>
  </si>
  <si>
    <t>txnmy_elgbl_capex_ce</t>
  </si>
  <si>
    <t>txnmy_elgbl_trnvr_ce</t>
  </si>
  <si>
    <t>pure_capex_p</t>
  </si>
  <si>
    <t>pure_trnvr_p</t>
  </si>
  <si>
    <t>pure_capex_b</t>
  </si>
  <si>
    <t>pure_trnvr_b</t>
  </si>
  <si>
    <t>pure_capex_w</t>
  </si>
  <si>
    <t>pure_trnvr_w</t>
  </si>
  <si>
    <t>pure_capex_ce</t>
  </si>
  <si>
    <t>pure_trnvr_ce</t>
  </si>
  <si>
    <t>enblng_capex_w</t>
  </si>
  <si>
    <t>enblng_trnvr_w</t>
  </si>
  <si>
    <t>enblng_capex_ce</t>
  </si>
  <si>
    <t>enblng_trnvr_ce</t>
  </si>
  <si>
    <t>prtctn_allctd_vl</t>
  </si>
  <si>
    <t>Testes MBDT</t>
  </si>
  <si>
    <t>Univ_Oper</t>
  </si>
  <si>
    <t>lt001_univ_oper</t>
  </si>
  <si>
    <t>Individual Local</t>
  </si>
  <si>
    <t>UNIV_OPER</t>
  </si>
  <si>
    <t>zcliente</t>
  </si>
  <si>
    <t>msaldo_final</t>
  </si>
  <si>
    <t>carteira_contabilistica</t>
  </si>
  <si>
    <t>instrumento_financeiro</t>
  </si>
  <si>
    <t>contraparte</t>
  </si>
  <si>
    <t>contraparte_i</t>
  </si>
  <si>
    <t>produto</t>
  </si>
  <si>
    <t>tipo_conta</t>
  </si>
  <si>
    <t>bruto_imparidade</t>
  </si>
  <si>
    <t>composicao_valor</t>
  </si>
  <si>
    <t>colateral</t>
  </si>
  <si>
    <t>flag_poci</t>
  </si>
  <si>
    <t>purpose_code</t>
  </si>
  <si>
    <t>cod_empr_pme</t>
  </si>
  <si>
    <t>stage</t>
  </si>
  <si>
    <t>stage_atual</t>
  </si>
  <si>
    <t>cproduto</t>
  </si>
  <si>
    <t>subproduto</t>
  </si>
  <si>
    <t>cod_ajust</t>
  </si>
  <si>
    <t>tipo_ajuste</t>
  </si>
  <si>
    <t>desc_ajuste</t>
  </si>
  <si>
    <t>ordem_lt801</t>
  </si>
  <si>
    <t>flag_lvrg_finc</t>
  </si>
  <si>
    <t>flag_pme</t>
  </si>
  <si>
    <t>flag_inst_div</t>
  </si>
  <si>
    <t>flag_inst_cap</t>
  </si>
  <si>
    <t>flag_inst_deriv</t>
  </si>
  <si>
    <t>flag_ajust_ncon</t>
  </si>
  <si>
    <t>flag_mis</t>
  </si>
  <si>
    <t>flag_inst_titulos</t>
  </si>
  <si>
    <t>flag_gar_intrg_san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</si>
  <si>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</si>
  <si>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</si>
  <si>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</si>
  <si>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</si>
  <si>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</si>
  <si>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</si>
  <si>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</si>
  <si>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</si>
  <si>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</si>
  <si>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</si>
  <si>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</si>
  <si>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</si>
  <si>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</si>
  <si>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</si>
  <si>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rank_insolv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</si>
  <si>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</si>
  <si>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</si>
  <si>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</si>
  <si>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</si>
  <si>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</si>
  <si>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</si>
  <si>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</si>
  <si>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</si>
  <si>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</si>
  <si>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</si>
  <si>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</si>
  <si>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</si>
  <si>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</si>
  <si>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</si>
  <si>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</si>
  <si>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dt_intrnl_rtng</t>
  </si>
  <si>
    <t>dt_strt_intrst_only</t>
  </si>
  <si>
    <t>expsr_in_scp</t>
  </si>
  <si>
    <t>fld_syndctn</t>
  </si>
  <si>
    <t>flg_lbo</t>
  </si>
  <si>
    <t>intrnl_rtng</t>
  </si>
  <si>
    <t>intrnl_rtng_incptn</t>
  </si>
  <si>
    <t>intrnl_sgmnt</t>
  </si>
  <si>
    <t>intrnl_unt</t>
  </si>
  <si>
    <t>lcre</t>
  </si>
  <si>
    <t>lgl_prcdng_stts</t>
  </si>
  <si>
    <t>lnd_drgtn</t>
  </si>
  <si>
    <t>poci</t>
  </si>
  <si>
    <t>prps</t>
  </si>
  <si>
    <t>pymnt_intrst_only</t>
  </si>
  <si>
    <t>rcrs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</si>
  <si>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</si>
  <si>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</si>
  <si>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</si>
  <si>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</si>
  <si>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</si>
  <si>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</si>
  <si>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</si>
  <si>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</si>
  <si>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</si>
  <si>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</si>
  <si>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</si>
  <si>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</si>
  <si>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</si>
  <si>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</si>
  <si>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</si>
  <si>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</si>
  <si>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</si>
  <si>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ead</t>
  </si>
  <si>
    <t>ifrs9_ccf</t>
  </si>
  <si>
    <t>ifrs9_ead</t>
  </si>
  <si>
    <t>instlmnt_pay</t>
  </si>
  <si>
    <t>off_blnc_sht_amnt_instrmnt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</si>
  <si>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</si>
  <si>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</si>
  <si>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</si>
  <si>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</si>
  <si>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</si>
  <si>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</si>
  <si>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</si>
  <si>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</si>
  <si>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</si>
  <si>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</si>
  <si>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</si>
  <si>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</si>
  <si>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</si>
  <si>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</si>
  <si>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</si>
  <si>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</si>
  <si>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dpd_24m_frbrnc_stts</t>
  </si>
  <si>
    <t>dpd_frbrnc_stts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</si>
  <si>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</si>
  <si>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</si>
  <si>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</si>
  <si>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</si>
  <si>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</si>
  <si>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</si>
  <si>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</si>
  <si>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</si>
  <si>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</si>
  <si>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</si>
  <si>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pd_crr_rd</t>
  </si>
  <si>
    <t>pd_crr_rd_t1</t>
  </si>
  <si>
    <t>pd_ifrs9_12m_incptn</t>
  </si>
  <si>
    <t>pd_ifrs9_12m_rd</t>
  </si>
  <si>
    <t>pd_ifrs9_12m_rd_t1</t>
  </si>
  <si>
    <t>pd_ifrs9_lftm_incptn</t>
  </si>
  <si>
    <t>pd_ifrs9_rmnng_lftm_incptn</t>
  </si>
  <si>
    <t>pd_ifrs9_rmnng_lftm_rd</t>
  </si>
  <si>
    <t>rtng_mthd</t>
  </si>
  <si>
    <t>rtng_scl</t>
  </si>
  <si>
    <t>sicr_assssmnt_mthd</t>
  </si>
  <si>
    <t>annlsd_agrd_rt</t>
  </si>
  <si>
    <t>eir</t>
  </si>
  <si>
    <t>eir_incptn</t>
  </si>
  <si>
    <t>intrst_rt_rst_frqncy</t>
  </si>
  <si>
    <t>add_fld01</t>
  </si>
  <si>
    <t>add_fld02</t>
  </si>
  <si>
    <t>add_fld03</t>
  </si>
  <si>
    <t>add_fld04</t>
  </si>
  <si>
    <t>add_fld05</t>
  </si>
  <si>
    <t>add_fld06</t>
  </si>
  <si>
    <t>add_fld07</t>
  </si>
  <si>
    <t>add_fld08</t>
  </si>
  <si>
    <t>add_fld09</t>
  </si>
  <si>
    <t>add_fld10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</si>
  <si>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</si>
  <si>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</si>
  <si>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</si>
  <si>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</si>
  <si>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</si>
  <si>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</si>
  <si>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</si>
  <si>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</si>
  <si>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</si>
  <si>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</si>
  <si>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</si>
  <si>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</si>
  <si>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</si>
  <si>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</si>
  <si>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</si>
  <si>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</si>
  <si>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</si>
  <si>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</si>
  <si>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</si>
  <si>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</si>
  <si>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</si>
  <si>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</si>
  <si>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</si>
  <si>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</si>
  <si>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</si>
  <si>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</si>
  <si>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</si>
  <si>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</si>
  <si>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</si>
  <si>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</si>
  <si>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</si>
  <si>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</si>
  <si>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</si>
  <si>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</si>
  <si>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</si>
  <si>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</si>
  <si>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</si>
  <si>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</si>
  <si>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</si>
  <si>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</si>
  <si>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</si>
  <si>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</si>
  <si>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</si>
  <si>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</si>
  <si>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</si>
  <si>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</si>
  <si>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rfrnc_rt</t>
  </si>
  <si>
    <t>sprd</t>
  </si>
  <si>
    <t>srcs_encmbrnc</t>
  </si>
  <si>
    <t>type_of_plcmnt</t>
  </si>
  <si>
    <t>vltn_crrncy</t>
  </si>
  <si>
    <t>vltn_typ</t>
  </si>
  <si>
    <t>cre_fnrp18</t>
  </si>
  <si>
    <t>sme_fnrp18</t>
  </si>
  <si>
    <t>rre_fnrp18</t>
  </si>
  <si>
    <t>cnsmptn_fnrp18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</si>
  <si>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</si>
  <si>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</si>
  <si>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</si>
  <si>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</si>
  <si>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</si>
  <si>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</si>
  <si>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</si>
  <si>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avrg_blnc</t>
  </si>
  <si>
    <t>nw_bsnss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</si>
  <si>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</si>
  <si>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</si>
  <si>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</si>
  <si>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</si>
  <si>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</si>
  <si>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</si>
  <si>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</si>
  <si>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</si>
  <si>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</si>
  <si>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</si>
  <si>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</si>
  <si>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</si>
  <si>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</si>
  <si>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</si>
  <si>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</si>
  <si>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</si>
  <si>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</si>
  <si>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</si>
  <si>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</si>
  <si>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</si>
  <si>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</si>
  <si>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</si>
  <si>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</si>
  <si>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</si>
  <si>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cnclld_instrmnt_stts</t>
  </si>
  <si>
    <t>cod_soc_intrgrp</t>
  </si>
  <si>
    <t>expctd_lss_crr</t>
  </si>
  <si>
    <t>lsti</t>
  </si>
  <si>
    <t>dsti</t>
  </si>
  <si>
    <t>lti_instrmnt</t>
  </si>
  <si>
    <t>counterparty_id</t>
  </si>
  <si>
    <t>counterparty_type_id</t>
  </si>
  <si>
    <t>counterparty_country</t>
  </si>
  <si>
    <t>crr_exposure_class</t>
  </si>
  <si>
    <t>interest_rate_cap</t>
  </si>
  <si>
    <t>interest_rate_floor</t>
  </si>
  <si>
    <t>intrst_indxng</t>
  </si>
  <si>
    <t>settlement_date</t>
  </si>
  <si>
    <t>transferred_amount</t>
  </si>
  <si>
    <t>type_securitization</t>
  </si>
  <si>
    <t>joint_liabilities_amount</t>
  </si>
  <si>
    <t>balance_sheet_recogn</t>
  </si>
  <si>
    <t>type</t>
  </si>
  <si>
    <t>nominal_interest_rate_fee</t>
  </si>
  <si>
    <t>unique_trade_id</t>
  </si>
  <si>
    <t>base_product</t>
  </si>
  <si>
    <t>governing_law</t>
  </si>
  <si>
    <t>contract_recogn_write_down</t>
  </si>
  <si>
    <t>contract_recogn_suspension</t>
  </si>
  <si>
    <t>contract_recogn_resolution</t>
  </si>
  <si>
    <t>collateral_portfolio</t>
  </si>
  <si>
    <t>collateral_posted</t>
  </si>
  <si>
    <t>collateral_posted_currency</t>
  </si>
  <si>
    <t>collateral_received</t>
  </si>
  <si>
    <t>collateral_received_currency</t>
  </si>
  <si>
    <t>leg_1_cash_flow</t>
  </si>
  <si>
    <t>leg_2_cash_flow</t>
  </si>
  <si>
    <t>leg_1_reference_rate</t>
  </si>
  <si>
    <t>leg_2_reference_rate</t>
  </si>
  <si>
    <t>leg_1_reference_period</t>
  </si>
  <si>
    <t>leg_2_reference_period</t>
  </si>
  <si>
    <t>premium</t>
  </si>
  <si>
    <t>netting_agreement</t>
  </si>
  <si>
    <t>hierarchy</t>
  </si>
  <si>
    <t>security_rating</t>
  </si>
  <si>
    <t>dividend_yield</t>
  </si>
  <si>
    <t>flg_mnmm_sfgrds</t>
  </si>
  <si>
    <t>typ_off_blnc_prdct</t>
  </si>
  <si>
    <t>dstntn_fnds</t>
  </si>
  <si>
    <t>dt_mdfctn</t>
  </si>
  <si>
    <t>excldd_lf</t>
  </si>
  <si>
    <t>pd_ec_incptn</t>
  </si>
  <si>
    <t>pd_ec_rd</t>
  </si>
  <si>
    <t>rorac</t>
  </si>
  <si>
    <t>rorwa</t>
  </si>
  <si>
    <t>rwa_mtgtn</t>
  </si>
  <si>
    <t>rwa_prmtgtn</t>
  </si>
  <si>
    <t>ttl_lvrg_rt_incptn</t>
  </si>
  <si>
    <t>ttl_lvrg_rt_incptn_hlt</t>
  </si>
  <si>
    <t>typ_cl</t>
  </si>
  <si>
    <t>typ_dl</t>
  </si>
  <si>
    <t>typ_fclty</t>
  </si>
  <si>
    <t>us_prcds</t>
  </si>
  <si>
    <t>orgnl_amnt_eur</t>
  </si>
  <si>
    <t>orgnl_amnt_fx</t>
  </si>
  <si>
    <t>dt_nxt_intrst_pymnt</t>
  </si>
  <si>
    <t>amnt_scrty_eur</t>
  </si>
  <si>
    <t>amnt_scrty_fx</t>
  </si>
  <si>
    <t>csd</t>
  </si>
  <si>
    <t>csd_lei</t>
  </si>
  <si>
    <t>pyng_agnt</t>
  </si>
  <si>
    <t>pyng_agnt_lei</t>
  </si>
  <si>
    <t>typ_own_fnds_indvdl_lvl</t>
  </si>
  <si>
    <t>elgbl_amnt_own_fnds_indvdl_lvl</t>
  </si>
  <si>
    <t>trdng_mthd</t>
  </si>
  <si>
    <t>dt_brth</t>
  </si>
  <si>
    <t>dt_dflt_stts</t>
  </si>
  <si>
    <t>dt_fnncl_sttmts</t>
  </si>
  <si>
    <t>dt_fnncl_sttmts_prvs</t>
  </si>
  <si>
    <t>dt_inttn_lgl_prcdngs_le</t>
  </si>
  <si>
    <t>gcc_prnt_id</t>
  </si>
  <si>
    <t>gcc_prnt_nm</t>
  </si>
  <si>
    <t>extrnl_rtng_nm</t>
  </si>
  <si>
    <t>accntng_frmwrk_sl</t>
  </si>
  <si>
    <t>dcsd</t>
  </si>
  <si>
    <t>dflt_stts</t>
  </si>
  <si>
    <t>dt_extrnl_rtng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</si>
  <si>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</si>
  <si>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</si>
  <si>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</si>
  <si>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</si>
  <si>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</si>
  <si>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</si>
  <si>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</si>
  <si>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</si>
  <si>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flg_rqst_bnkrptcy</t>
  </si>
  <si>
    <t>flg_rqst_dstrssd_rstrctrng</t>
  </si>
  <si>
    <t>flg_rqst_emrgncy_fndng</t>
  </si>
  <si>
    <t>flg_sll_wth_lss</t>
  </si>
  <si>
    <t>incm_sc</t>
  </si>
  <si>
    <t>intrnl_rtng_prvs</t>
  </si>
  <si>
    <t>lgl_prcdng_stts_le</t>
  </si>
  <si>
    <t>ownd_by_spnsr</t>
  </si>
  <si>
    <t>prfrmng_stts_le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</si>
  <si>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</si>
  <si>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</si>
  <si>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</si>
  <si>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</si>
  <si>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</si>
  <si>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</si>
  <si>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</si>
  <si>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</si>
  <si>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</si>
  <si>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</si>
  <si>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</si>
  <si>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</si>
  <si>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</si>
  <si>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</si>
  <si>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</si>
  <si>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</si>
  <si>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</si>
  <si>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</si>
  <si>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</si>
  <si>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</si>
  <si>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</si>
  <si>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</si>
  <si>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</si>
  <si>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</si>
  <si>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</si>
  <si>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</si>
  <si>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</si>
  <si>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</si>
  <si>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</si>
  <si>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</si>
  <si>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</si>
  <si>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flg_nn_accrl</t>
  </si>
  <si>
    <t>tax_id</t>
  </si>
  <si>
    <t>annl_trnvr_le_bdr</t>
  </si>
  <si>
    <t>annl_trnvr_prvs_bdr</t>
  </si>
  <si>
    <t>osi_id</t>
  </si>
  <si>
    <t>prsn_typ</t>
  </si>
  <si>
    <t>fr_csh_flw</t>
  </si>
  <si>
    <t>fr_csh_flw_t1</t>
  </si>
  <si>
    <t>fr_csh_flw_t2</t>
  </si>
  <si>
    <t>fr_csh_flw_t3</t>
  </si>
  <si>
    <t>flg_csrd_applcblty</t>
  </si>
  <si>
    <t>flg_grp_csrd_applcblty</t>
  </si>
  <si>
    <t>pd_ifrs9_12m_lftm_rd</t>
  </si>
  <si>
    <t>probability_default_others</t>
  </si>
  <si>
    <t>counterparty_role</t>
  </si>
  <si>
    <t>head_office_undertaking_id</t>
  </si>
  <si>
    <t>immediate_parent_undertaking_id</t>
  </si>
  <si>
    <t>ultimate_parent_undertaking_id</t>
  </si>
  <si>
    <t>address_street</t>
  </si>
  <si>
    <t>address_city_town_village</t>
  </si>
  <si>
    <t>address_county_adm_div</t>
  </si>
  <si>
    <t>legal_form</t>
  </si>
  <si>
    <t>institutional_sector</t>
  </si>
  <si>
    <t>date_enterprise_size</t>
  </si>
  <si>
    <t>number_employees</t>
  </si>
  <si>
    <t>balance_sheet_total</t>
  </si>
  <si>
    <t>flln_angl_extndd_dfntn</t>
  </si>
  <si>
    <t>flln_angl_nrrw_dfntn</t>
  </si>
  <si>
    <t>grp_rorac</t>
  </si>
  <si>
    <t>grp_rorwa</t>
  </si>
  <si>
    <t>scan</t>
  </si>
  <si>
    <t>ttl_prmssbl_dbt_blnc</t>
  </si>
  <si>
    <t>company_exposure</t>
  </si>
  <si>
    <t>cntrprty_typ</t>
  </si>
  <si>
    <t>cntrprty_rsltn_grp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</si>
  <si>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</si>
  <si>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</si>
  <si>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</si>
  <si>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</si>
  <si>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</si>
  <si>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</si>
  <si>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</si>
  <si>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</si>
  <si>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</si>
  <si>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</si>
  <si>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</si>
  <si>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</si>
  <si>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</si>
  <si>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</si>
  <si>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</si>
  <si>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</si>
  <si>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</si>
  <si>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</si>
  <si>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</si>
  <si>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</si>
  <si>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</si>
  <si>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</si>
  <si>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</si>
  <si>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</si>
  <si>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</si>
  <si>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</si>
  <si>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</si>
  <si>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</si>
  <si>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</si>
  <si>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</si>
  <si>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</si>
  <si>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gross_area</t>
  </si>
  <si>
    <t>land_area</t>
  </si>
  <si>
    <t>lien_position</t>
  </si>
  <si>
    <t>det_type_ship_collateral</t>
  </si>
  <si>
    <t>instrument_id</t>
  </si>
  <si>
    <t>protection_allocated_value</t>
  </si>
  <si>
    <t>thirdparty_claims_protection</t>
  </si>
  <si>
    <t>amnt_cvrd_insrnc</t>
  </si>
  <si>
    <t>bldng_ar</t>
  </si>
  <si>
    <t>dt_mtrty_insrnc</t>
  </si>
  <si>
    <t>dt_rgstrtn</t>
  </si>
  <si>
    <t>epc_emssns_lbl</t>
  </si>
  <si>
    <t>epc_emssns_scr</t>
  </si>
  <si>
    <t>flg_frst_hm</t>
  </si>
  <si>
    <t>insrnc_id</t>
  </si>
  <si>
    <t>prmry_enrgy_dmnd_nn_rnwbl</t>
  </si>
  <si>
    <t>prmry_enrgy_dmnd_rfrnc_vl</t>
  </si>
  <si>
    <t>prmry_enrgy_dmnd_ttl</t>
  </si>
  <si>
    <t>rl_estt_clmt_zn</t>
  </si>
  <si>
    <t>rl_estt_crtfctn</t>
  </si>
  <si>
    <t>typ_emssns_lbl</t>
  </si>
  <si>
    <t>typ_emssns_scr</t>
  </si>
  <si>
    <t>typ_hzrds_insrd</t>
  </si>
  <si>
    <t>typ_vhcl</t>
  </si>
  <si>
    <t>vhcl_emssns_lbl</t>
  </si>
  <si>
    <t>vhcl_emssns_scr</t>
  </si>
  <si>
    <t>flg_elctrc_vhcl</t>
  </si>
  <si>
    <t>flg_scrd</t>
  </si>
  <si>
    <t>jnt_lblty_amnt</t>
  </si>
  <si>
    <t>crelacao_cl_cnt</t>
  </si>
  <si>
    <t>csequencia_rel</t>
  </si>
  <si>
    <t>exporta_rel</t>
  </si>
  <si>
    <t>otstndng_prncpl_amnt</t>
  </si>
  <si>
    <t>prtn_amnt_rprtng_entty</t>
  </si>
  <si>
    <t>thrd_prty_prrty_clms</t>
  </si>
  <si>
    <t>typ_rltn</t>
  </si>
  <si>
    <t>grp_spprt</t>
  </si>
  <si>
    <t>cd_loan_tapes_bce</t>
  </si>
  <si>
    <t>PM</t>
  </si>
  <si>
    <r>
      <t xml:space="preserve">Schema </t>
    </r>
    <r>
      <rPr>
        <b/>
        <sz val="11"/>
        <color theme="1"/>
        <rFont val="Neo sans"/>
      </rPr>
      <t>Loan Tape PM</t>
    </r>
  </si>
  <si>
    <t>concat(cempresa, cbalcao, cnumecta, zdeposit, ccontab_final_ifrs, ccontab_final_pcsb, ccontab_final_cargabal, ccontab_final)</t>
  </si>
  <si>
    <t>Tabela Loan Tape PM</t>
  </si>
  <si>
    <t>UNIVERSO_PM</t>
  </si>
  <si>
    <t>INSTR_ENT</t>
  </si>
  <si>
    <t>INSTR_PROT</t>
  </si>
  <si>
    <t>3. Resultados</t>
  </si>
  <si>
    <t>Filtro Loan Tape</t>
  </si>
  <si>
    <t>Filtro Simulação</t>
  </si>
  <si>
    <t>ambito Loan Tape</t>
  </si>
  <si>
    <t>ambito Simulação</t>
  </si>
  <si>
    <t>Análise dos campos da Loan Tape para o âmbito PM entre cd_loan_tapes_bce e bu_loantape_work.</t>
  </si>
  <si>
    <r>
      <t xml:space="preserve">Para a validação dos </t>
    </r>
    <r>
      <rPr>
        <b/>
        <sz val="11"/>
        <color theme="1"/>
        <rFont val="Neo sans"/>
      </rPr>
      <t>campos da Loan Tape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</si>
  <si>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>COERÊNCIA</t>
  </si>
  <si>
    <t>CD_LOAN_TAPES_BCE.LT001_UNIV_OPER</t>
  </si>
  <si>
    <t>BU_LOANTAPE_WORK.LT001_UNIV_OPER</t>
  </si>
  <si>
    <t>2025-11-30</t>
  </si>
  <si>
    <t>2026-01-20 09:28:09.662537000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</si>
</sst>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90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9" fillId="3" borderId="36" xfId="0" applyFont="1" applyFill="1" applyBorder="1" applyAlignment="1">
      <alignment horizontal="left" vertical="center"/>
    </xf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0" fontId="17" fillId="0" borderId="39" xfId="0" applyFont="1" applyBorder="1"/>
    <xf numFmtId="0" fontId="17" fillId="0" borderId="40" xfId="0" applyFont="1" applyBorder="1"/>
    <xf numFmtId="0" fontId="17" fillId="0" borderId="41" xfId="0" applyFont="1" applyBorder="1"/>
    <xf numFmtId="49" fontId="5" fillId="4" borderId="13" xfId="0" applyNumberFormat="1" applyFont="1" applyFill="1" applyBorder="1"/>
    <xf numFmtId="49" fontId="5" fillId="4" borderId="6" xfId="0" applyNumberFormat="1" applyFont="1" applyFill="1" applyBorder="1"/>
    <xf numFmtId="49" fontId="5" fillId="4" borderId="6" xfId="0" quotePrefix="1" applyNumberFormat="1" applyFont="1" applyFill="1" applyBorder="1"/>
    <xf numFmtId="0" fontId="0" fillId="3" borderId="15" xfId="0" applyFill="1" applyBorder="1"/>
    <xf numFmtId="0" fontId="5" fillId="11" borderId="0" xfId="0" applyFont="1" applyFill="1"/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3" xfId="0" applyFont="1" applyFill="1" applyBorder="1" applyAlignment="1">
      <alignment horizontal="center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  <xf numFmtId="0" fontId="0" fillId="3" borderId="15" xfId="0" applyNumberFormat="1" applyFill="1" applyBorder="1"/>
  </cellXfs>
  <cellStyles count="2">
    <cellStyle name="Good" xfId="1" builtinId="26"/>
    <cellStyle name="Normal" xfId="0" builtinId="0"/>
  </cellStyles>
  <dxfs count="4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FFB7"/>
      <color rgb="FFFFDD71"/>
      <color rgb="FFFFFFDD"/>
      <color rgb="FF644C00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2"/>
  <sheetViews>
    <sheetView showGridLines="0" zoomScale="80" zoomScaleNormal="80" workbookViewId="0"/>
  </sheetViews>
  <sheetFormatPr defaultColWidth="0" defaultRowHeight="14" zeroHeight="1"/>
  <cols>
    <col min="1" max="2" width="3.6328125" style="6" customWidth="1"/>
    <col min="3" max="7" width="27.453125" style="6" customWidth="1"/>
    <col min="8" max="13" width="9.08984375" style="6" customWidth="1"/>
    <col min="14" max="14" width="3.6328125" style="6" customWidth="1"/>
    <col min="15" max="15" width="9.08984375" style="6" hidden="1" customWidth="1"/>
    <col min="16" max="32" width="0" style="6" hidden="1" customWidth="1"/>
    <col min="33" max="16384" width="9.08984375" style="6" hidden="1"/>
  </cols>
  <sheetData>
    <row r="1" spans="1:30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3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/>
    <row r="6" spans="1:30" ht="14.5" thickBot="1">
      <c r="B6" s="26" t="s">
        <v>61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30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30">
      <c r="B8" s="49" t="s">
        <v>10</v>
      </c>
      <c r="C8" s="50"/>
      <c r="D8" s="52" t="s">
        <v>200</v>
      </c>
      <c r="E8" s="50"/>
      <c r="F8" s="50"/>
      <c r="G8" s="50"/>
      <c r="H8" s="50"/>
      <c r="I8" s="50"/>
      <c r="J8" s="50"/>
      <c r="K8" s="50"/>
      <c r="L8" s="50"/>
      <c r="M8" s="51"/>
    </row>
    <row r="9" spans="1:30">
      <c r="B9" s="49" t="s">
        <v>11</v>
      </c>
      <c r="C9" s="50"/>
      <c r="D9" s="52" t="s">
        <v>693</v>
      </c>
      <c r="E9" s="50"/>
      <c r="F9" s="50"/>
      <c r="G9" s="50"/>
      <c r="H9" s="50"/>
      <c r="I9" s="50"/>
      <c r="J9" s="50"/>
      <c r="K9" s="50"/>
      <c r="L9" s="50"/>
      <c r="M9" s="51"/>
    </row>
    <row r="10" spans="1:30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30" ht="14.5">
      <c r="B11" s="47" t="s">
        <v>694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30">
      <c r="B12" s="4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30" ht="13.75" customHeight="1">
      <c r="A13" s="83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8"/>
    </row>
    <row r="14" spans="1:30">
      <c r="A14" s="83"/>
      <c r="B14" s="53" t="s">
        <v>55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40"/>
    </row>
    <row r="15" spans="1:30" ht="13.75" customHeight="1">
      <c r="A15" s="83"/>
      <c r="B15" s="39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40"/>
    </row>
    <row r="16" spans="1:30">
      <c r="A16" s="83"/>
      <c r="B16" s="39" t="s">
        <v>14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40"/>
    </row>
    <row r="17" spans="1:13">
      <c r="A17" s="83"/>
      <c r="B17" s="41" t="s">
        <v>15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40"/>
    </row>
    <row r="18" spans="1:13">
      <c r="A18" s="83"/>
      <c r="B18" s="41" t="s">
        <v>16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40"/>
    </row>
    <row r="19" spans="1:13">
      <c r="A19" s="83"/>
      <c r="B19" s="41" t="s">
        <v>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40"/>
    </row>
    <row r="20" spans="1:13">
      <c r="A20" s="83"/>
      <c r="B20" s="41" t="s">
        <v>18</v>
      </c>
      <c r="C20" s="5"/>
      <c r="D20" s="5"/>
      <c r="E20" s="5"/>
      <c r="F20" s="5"/>
      <c r="G20" s="5"/>
      <c r="H20" s="5"/>
      <c r="I20" s="5"/>
      <c r="J20" s="43" t="s">
        <v>35</v>
      </c>
      <c r="K20" s="5"/>
      <c r="L20" s="5"/>
      <c r="M20" s="40"/>
    </row>
    <row r="21" spans="1:13">
      <c r="A21" s="83"/>
      <c r="B21" s="53" t="s">
        <v>56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40"/>
    </row>
    <row r="22" spans="1:13">
      <c r="A22" s="83"/>
      <c r="B22" s="53" t="s">
        <v>57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40"/>
    </row>
    <row r="23" spans="1:13">
      <c r="A23" s="83"/>
      <c r="B23" s="41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68" t="s">
        <v>35</v>
      </c>
    </row>
    <row r="24" spans="1:13">
      <c r="B24" s="53" t="s">
        <v>58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40"/>
    </row>
    <row r="25" spans="1:13" ht="3" customHeight="1">
      <c r="B25" s="42"/>
      <c r="C25" s="5"/>
      <c r="D25" s="5"/>
      <c r="E25" s="5"/>
      <c r="F25" s="5"/>
      <c r="G25" s="5"/>
      <c r="H25" s="5"/>
      <c r="I25" s="5"/>
      <c r="J25" s="5"/>
      <c r="K25" s="5"/>
      <c r="L25" s="5"/>
      <c r="M25" s="40"/>
    </row>
    <row r="26" spans="1:13">
      <c r="B26" s="42"/>
      <c r="C26" s="54" t="s">
        <v>29</v>
      </c>
      <c r="D26" s="55" t="s">
        <v>684</v>
      </c>
      <c r="E26" s="55" t="s">
        <v>1</v>
      </c>
      <c r="F26" s="55" t="s">
        <v>30</v>
      </c>
      <c r="G26" s="56" t="s">
        <v>31</v>
      </c>
      <c r="H26" s="5"/>
      <c r="I26" s="5"/>
      <c r="J26" s="5"/>
      <c r="K26" s="5"/>
      <c r="L26" s="5"/>
      <c r="M26" s="40"/>
    </row>
    <row r="27" spans="1:13">
      <c r="B27" s="42"/>
      <c r="C27" s="71" t="s">
        <v>201</v>
      </c>
      <c r="D27" s="13" t="s">
        <v>202</v>
      </c>
      <c r="E27" s="13" t="s">
        <v>202</v>
      </c>
      <c r="F27" s="13" t="s">
        <v>683</v>
      </c>
      <c r="G27" s="14" t="s">
        <v>205</v>
      </c>
      <c r="H27" s="5"/>
      <c r="I27" s="5"/>
      <c r="J27" s="5"/>
      <c r="K27" s="5"/>
      <c r="L27" s="5"/>
      <c r="M27" s="40"/>
    </row>
    <row r="28" spans="1:13">
      <c r="B28" s="42"/>
      <c r="C28" s="72" t="s">
        <v>60</v>
      </c>
      <c r="D28" s="9" t="s">
        <v>22</v>
      </c>
      <c r="E28" s="9" t="s">
        <v>22</v>
      </c>
      <c r="F28" s="9" t="s">
        <v>23</v>
      </c>
      <c r="G28" s="10"/>
      <c r="H28" s="5"/>
      <c r="I28" s="5"/>
      <c r="J28" s="5"/>
      <c r="K28" s="5"/>
      <c r="L28" s="5"/>
      <c r="M28" s="40"/>
    </row>
    <row r="29" spans="1:13">
      <c r="B29" s="42"/>
      <c r="C29" s="72" t="s">
        <v>9</v>
      </c>
      <c r="D29" s="9" t="s">
        <v>21</v>
      </c>
      <c r="E29" s="9" t="s">
        <v>21</v>
      </c>
      <c r="F29" s="9" t="s">
        <v>25</v>
      </c>
      <c r="G29" s="10"/>
      <c r="H29" s="5"/>
      <c r="I29" s="5"/>
      <c r="J29" s="5"/>
      <c r="K29" s="5"/>
      <c r="L29" s="5"/>
      <c r="M29" s="40"/>
    </row>
    <row r="30" spans="1:13">
      <c r="B30" s="42"/>
      <c r="C30" s="72" t="s">
        <v>59</v>
      </c>
      <c r="D30" s="9" t="s">
        <v>28</v>
      </c>
      <c r="E30" s="9" t="s">
        <v>28</v>
      </c>
      <c r="F30" s="9" t="s">
        <v>27</v>
      </c>
      <c r="G30" s="10"/>
      <c r="H30" s="5"/>
      <c r="I30" s="5"/>
      <c r="J30" s="5"/>
      <c r="K30" s="5"/>
      <c r="L30" s="5"/>
      <c r="M30" s="40"/>
    </row>
    <row r="31" spans="1:13">
      <c r="B31" s="42"/>
      <c r="C31" s="72" t="s">
        <v>686</v>
      </c>
      <c r="D31" s="9" t="s">
        <v>24</v>
      </c>
      <c r="E31" s="9" t="s">
        <v>24</v>
      </c>
      <c r="F31" s="9" t="s">
        <v>25</v>
      </c>
      <c r="G31" s="10" t="s">
        <v>23</v>
      </c>
      <c r="H31" s="5"/>
      <c r="I31" s="5"/>
      <c r="J31" s="5"/>
      <c r="K31" s="5"/>
      <c r="L31" s="5"/>
      <c r="M31" s="40"/>
    </row>
    <row r="32" spans="1:13">
      <c r="B32" s="42"/>
      <c r="C32" s="72" t="s">
        <v>687</v>
      </c>
      <c r="D32" s="9" t="s">
        <v>26</v>
      </c>
      <c r="E32" s="9" t="s">
        <v>26</v>
      </c>
      <c r="F32" s="9" t="s">
        <v>25</v>
      </c>
      <c r="G32" s="10" t="s">
        <v>27</v>
      </c>
      <c r="H32" s="43" t="s">
        <v>35</v>
      </c>
      <c r="I32" s="5"/>
      <c r="J32" s="5"/>
      <c r="K32" s="5"/>
      <c r="L32" s="5"/>
      <c r="M32" s="40"/>
    </row>
    <row r="33" spans="2:13" ht="3" customHeight="1">
      <c r="B33" s="42"/>
      <c r="C33" s="5"/>
      <c r="D33" s="5"/>
      <c r="E33" s="5"/>
      <c r="F33" s="5"/>
      <c r="G33" s="5"/>
      <c r="H33" s="5"/>
      <c r="I33" s="5"/>
      <c r="J33" s="5"/>
      <c r="K33" s="5"/>
      <c r="L33" s="5"/>
      <c r="M33" s="40"/>
    </row>
    <row r="34" spans="2:13" ht="15" customHeight="1">
      <c r="B34" s="42"/>
      <c r="C34" s="84" t="s">
        <v>69</v>
      </c>
      <c r="D34" s="85"/>
      <c r="E34" s="85"/>
      <c r="F34" s="85"/>
      <c r="G34" s="85"/>
      <c r="H34" s="5"/>
      <c r="I34" s="5"/>
      <c r="J34" s="5"/>
      <c r="K34" s="5"/>
      <c r="L34" s="5"/>
      <c r="M34" s="40"/>
    </row>
    <row r="35" spans="2:13">
      <c r="B35" s="42"/>
      <c r="C35" s="74" t="s">
        <v>682</v>
      </c>
      <c r="D35" s="79" t="s">
        <v>680</v>
      </c>
      <c r="E35" s="13"/>
      <c r="F35" s="13"/>
      <c r="G35" s="14"/>
      <c r="H35" s="5"/>
      <c r="I35" s="5"/>
      <c r="J35" s="5"/>
      <c r="K35" s="5"/>
      <c r="L35" s="5"/>
      <c r="M35" s="40"/>
    </row>
    <row r="36" spans="2:13">
      <c r="B36" s="42"/>
      <c r="C36" s="75" t="s">
        <v>68</v>
      </c>
      <c r="D36" s="80" t="s">
        <v>32</v>
      </c>
      <c r="E36" s="9"/>
      <c r="F36" s="9"/>
      <c r="G36" s="10"/>
      <c r="H36" s="5"/>
      <c r="I36" s="5"/>
      <c r="J36" s="5"/>
      <c r="K36" s="5"/>
      <c r="L36" s="5"/>
      <c r="M36" s="40"/>
    </row>
    <row r="37" spans="2:13">
      <c r="B37" s="42"/>
      <c r="C37" s="72" t="s">
        <v>12</v>
      </c>
      <c r="D37" s="80" t="s">
        <v>203</v>
      </c>
      <c r="E37" s="9"/>
      <c r="F37" s="9"/>
      <c r="G37" s="10"/>
      <c r="H37" s="5"/>
      <c r="I37" s="5"/>
      <c r="J37" s="5"/>
      <c r="K37" s="5"/>
      <c r="L37" s="5"/>
      <c r="M37" s="40"/>
    </row>
    <row r="38" spans="2:13">
      <c r="B38" s="42"/>
      <c r="C38" s="72" t="s">
        <v>19</v>
      </c>
      <c r="D38" s="80" t="s">
        <v>33</v>
      </c>
      <c r="E38" s="9"/>
      <c r="F38" s="9"/>
      <c r="G38" s="10"/>
      <c r="H38" s="5"/>
      <c r="I38" s="5"/>
      <c r="J38" s="5"/>
      <c r="K38" s="5"/>
      <c r="L38" s="5"/>
      <c r="M38" s="40"/>
    </row>
    <row r="39" spans="2:13">
      <c r="B39" s="42"/>
      <c r="C39" s="72" t="s">
        <v>691</v>
      </c>
      <c r="D39" s="80" t="s">
        <v>681</v>
      </c>
      <c r="E39" s="9"/>
      <c r="F39" s="9"/>
      <c r="G39" s="10"/>
      <c r="H39" s="5"/>
      <c r="I39" s="5"/>
      <c r="J39" s="5"/>
      <c r="K39" s="5"/>
      <c r="L39" s="5"/>
      <c r="M39" s="40"/>
    </row>
    <row r="40" spans="2:13">
      <c r="B40" s="42"/>
      <c r="C40" s="72" t="s">
        <v>692</v>
      </c>
      <c r="D40" s="80" t="s">
        <v>681</v>
      </c>
      <c r="E40" s="9"/>
      <c r="F40" s="9"/>
      <c r="G40" s="10"/>
      <c r="H40" s="5"/>
      <c r="I40" s="5"/>
      <c r="J40" s="5"/>
      <c r="K40" s="5"/>
      <c r="L40" s="5"/>
      <c r="M40" s="40"/>
    </row>
    <row r="41" spans="2:13">
      <c r="B41" s="42"/>
      <c r="C41" s="72" t="s">
        <v>20</v>
      </c>
      <c r="D41" s="81" t="s">
        <v>34</v>
      </c>
      <c r="E41" s="9"/>
      <c r="F41" s="9"/>
      <c r="G41" s="10"/>
      <c r="H41" s="5"/>
      <c r="I41" s="5"/>
      <c r="J41" s="5"/>
      <c r="K41" s="5"/>
      <c r="L41" s="5"/>
      <c r="M41" s="40"/>
    </row>
    <row r="42" spans="2:13">
      <c r="B42" s="42"/>
      <c r="C42" s="72" t="s">
        <v>689</v>
      </c>
      <c r="D42" s="9" t="str">
        <f>+"ref_date='${ref_date}'"&amp;" AND "&amp;C37&amp;"='"&amp;D37&amp;"' AND "&amp;C38&amp;"='"&amp;D38&amp;"' AND ambito='"&amp;D40&amp;"'"&amp;" AND "&amp;C41&amp;"='"&amp;D41&amp;"'"</f>
        <v>ref_date='${ref_date}' AND nome_perimetro='Individual Local' AND segmento='ESTR' AND ambito='PM' AND entidade='00100'</v>
      </c>
      <c r="E42" s="9"/>
      <c r="F42" s="9"/>
      <c r="G42" s="10"/>
      <c r="H42" s="43" t="s">
        <v>35</v>
      </c>
      <c r="I42" s="5"/>
      <c r="J42" s="5"/>
      <c r="K42" s="5"/>
      <c r="L42" s="5"/>
      <c r="M42" s="40"/>
    </row>
    <row r="43" spans="2:13" ht="13.75" customHeight="1">
      <c r="B43" s="42"/>
      <c r="C43" s="73" t="s">
        <v>690</v>
      </c>
      <c r="D43" s="11" t="str">
        <f>+"ref_date='${ref_date}'"&amp;" AND "&amp;C37&amp;"='"&amp;D37&amp;"' AND "&amp;C38&amp;"='"&amp;D38&amp;"' AND ambito='"&amp;D39&amp;"'"&amp;" AND "&amp;C41&amp;"='"&amp;D41&amp;"'"</f>
        <v>ref_date='${ref_date}' AND nome_perimetro='Individual Local' AND segmento='ESTR' AND ambito='PM' AND entidade='00100'</v>
      </c>
      <c r="E43" s="11"/>
      <c r="F43" s="11"/>
      <c r="G43" s="12"/>
      <c r="H43" s="43" t="s">
        <v>35</v>
      </c>
      <c r="I43" s="5"/>
      <c r="J43" s="5"/>
      <c r="K43" s="5"/>
      <c r="L43" s="5"/>
      <c r="M43" s="40"/>
    </row>
    <row r="44" spans="2:13" ht="13.75" customHeight="1">
      <c r="B44" s="44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6"/>
    </row>
    <row r="45" spans="2:13" ht="13.75" customHeight="1">
      <c r="B45" s="4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2:13" ht="13.75" customHeigh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2:13" ht="13.75" customHeigh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2:13" ht="13.75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2:13" ht="13.75" customHeigh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2:13" ht="13.75" customHeigh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2:13" ht="13.75" customHeigh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2:13" ht="13.75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2:13" ht="13.7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2:13" ht="13.75" customHeight="1"/>
    <row r="55" spans="2:13"/>
    <row r="56" spans="2:13" ht="13.75" customHeight="1"/>
    <row r="57" spans="2:13"/>
    <row r="58" spans="2:13"/>
    <row r="59" spans="2:13"/>
    <row r="60" spans="2:13"/>
    <row r="61" spans="2:13"/>
    <row r="62" spans="2:13"/>
    <row r="63" spans="2:13"/>
    <row r="64" spans="2:13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8"/>
  <sheetViews>
    <sheetView showGridLines="0" zoomScale="80" zoomScaleNormal="80" workbookViewId="0"/>
  </sheetViews>
  <sheetFormatPr defaultColWidth="0" defaultRowHeight="14" zeroHeight="1"/>
  <cols>
    <col min="1" max="1" width="3.6328125" style="2" customWidth="1"/>
    <col min="2" max="6" width="8.6328125" style="2" hidden="1" customWidth="1"/>
    <col min="7" max="7" width="3.6328125" style="2" hidden="1" customWidth="1"/>
    <col min="8" max="8" width="17.6328125" style="2" customWidth="1"/>
    <col min="9" max="9" width="34.6328125" style="2" bestFit="1" customWidth="1"/>
    <col min="10" max="11" width="16.08984375" style="2" customWidth="1"/>
    <col min="12" max="12" width="13.6328125" style="2" customWidth="1"/>
    <col min="13" max="15" width="16.08984375" style="2" customWidth="1"/>
    <col min="16" max="16" width="3.6328125" style="2" customWidth="1"/>
    <col min="17" max="21" width="9.08984375" style="2" hidden="1" customWidth="1"/>
    <col min="22" max="45" width="0" style="2" hidden="1" customWidth="1"/>
    <col min="46" max="16384" width="9.08984375" style="2" hidden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/>
    <row r="6" spans="1:26" ht="14.5" thickBot="1">
      <c r="H6" s="26" t="s">
        <v>51</v>
      </c>
      <c r="I6" s="27"/>
      <c r="J6" s="27"/>
      <c r="K6" s="27"/>
      <c r="L6" s="27"/>
      <c r="M6" s="27"/>
      <c r="N6" s="27"/>
      <c r="O6" s="27"/>
    </row>
    <row r="7" spans="1:26"/>
    <row r="8" spans="1:26">
      <c r="H8" s="23" t="s">
        <v>37</v>
      </c>
      <c r="I8" s="22">
        <v>45991</v>
      </c>
    </row>
    <row r="9" spans="1:26" s="18" customFormat="1">
      <c r="B9" s="86" t="s">
        <v>66</v>
      </c>
      <c r="C9" s="87"/>
      <c r="D9" s="87"/>
      <c r="E9" s="87"/>
      <c r="F9" s="88"/>
      <c r="G9" s="2"/>
      <c r="L9" s="59"/>
      <c r="M9" s="59"/>
      <c r="N9" s="59"/>
      <c r="O9" s="59"/>
    </row>
    <row r="10" spans="1:26" ht="39" customHeight="1">
      <c r="B10" s="65" t="s">
        <v>5</v>
      </c>
      <c r="C10" s="66" t="s">
        <v>50</v>
      </c>
      <c r="D10" s="66" t="s">
        <v>4</v>
      </c>
      <c r="E10" s="66" t="s">
        <v>62</v>
      </c>
      <c r="F10" s="67" t="s">
        <v>63</v>
      </c>
      <c r="G10" s="35" t="s">
        <v>35</v>
      </c>
      <c r="H10" s="60" t="s">
        <v>43</v>
      </c>
      <c r="I10" s="17" t="s">
        <v>44</v>
      </c>
      <c r="J10" s="17" t="s">
        <v>46</v>
      </c>
      <c r="K10" s="17" t="s">
        <v>65</v>
      </c>
      <c r="L10" s="17" t="s">
        <v>47</v>
      </c>
      <c r="M10" s="17" t="s">
        <v>45</v>
      </c>
      <c r="N10" s="17" t="s">
        <v>48</v>
      </c>
      <c r="O10" s="20" t="s">
        <v>49</v>
      </c>
      <c r="P10"/>
    </row>
    <row r="11" spans="1:26" ht="14.5">
      <c r="A11" s="18" t="str">
        <f t="shared" ref="A11:A63" si="0">+H11&amp;I11&amp;$I$8</f>
        <v>UNIV_OPERmsaldo_final45991</v>
      </c>
      <c r="B11" s="63">
        <f t="array" ref="B11">+MAX(IF('3. Resultados'!A:A='1. Status'!A11&amp;'1. Status'!$B$10,'3. Resultados'!K:K))</f>
        <v>0</v>
      </c>
      <c r="C11" s="57">
        <f t="array" ref="C11">+MAX(IF('3. Resultados'!A:A='1. Status'!A11&amp;'1. Status'!$C$10,'3. Resultados'!K:K))</f>
        <v>0</v>
      </c>
      <c r="D11" s="57">
        <f t="array" ref="D11">+MAX(IF('3. Resultados'!A:A='1. Status'!A11&amp;'1. Status'!$D$10,'3. Resultados'!K:K))</f>
        <v>0</v>
      </c>
      <c r="E11" s="57">
        <f t="array" ref="E11">+MAX(IF('3. Resultados'!A:A='1. Status'!A11&amp;'1. Status'!$E$10,'3. Resultados'!K:K))</f>
        <v>0</v>
      </c>
      <c r="F11" s="64">
        <f t="array" ref="F11">+MAX(IF('3. Resultados'!A:A='1. Status'!A11&amp;'1. Status'!$F$10,'3. Resultados'!K:K))</f>
        <v>0</v>
      </c>
      <c r="G11" s="57"/>
      <c r="H11" s="62" t="s">
        <v>204</v>
      </c>
      <c r="I11" s="19" t="s">
        <v>206</v>
      </c>
      <c r="J11" s="24">
        <f>+COUNTIFS('3. Resultados'!C:C,'1. Status'!H11,'3. Resultados'!G:G,'1. Status'!I11)</f>
        <v>1</v>
      </c>
      <c r="K11" s="70" t="str">
        <f>+IFERROR(VLOOKUP(CONCATENATE(A11,$B$10,B11),'3. Resultados'!B:J,8,FALSE),"-")</f>
        <v>-</v>
      </c>
      <c r="L11" s="69" t="str">
        <f>+IFERROR(VLOOKUP(B11,'3. Resultados'!K:L,2,FALSE),"-")</f>
        <v>-</v>
      </c>
      <c r="M11" s="70" t="str">
        <f>+IFERROR(VLOOKUP(CONCATENATE(A11,$B$10,B11),'3. Resultados'!B:J,9,FALSE),"-")</f>
        <v>-</v>
      </c>
      <c r="N11" s="24"/>
      <c r="O11" s="25" t="str">
        <f>+IF(J11=0,"Por iniciar",IF(OR(K11="-",M11="-"),"Em testes",IF(M11=0,"OK","NOK")))</f>
        <v>Em testes</v>
      </c>
      <c r="P11"/>
    </row>
    <row r="12" spans="1:26" ht="14.5">
      <c r="A12" s="18" t="str">
        <f t="shared" si="0"/>
        <v>UNIV_OPERcarteira_contabilistica45991</v>
      </c>
      <c r="B12" s="63">
        <f t="array" ref="B12">+MAX(IF('3. Resultados'!A:A='1. Status'!A12&amp;'1. Status'!$B$10,'3. Resultados'!K:K))</f>
        <v>0</v>
      </c>
      <c r="C12" s="57">
        <f t="array" ref="C12">+MAX(IF('3. Resultados'!A:A='1. Status'!A12&amp;'1. Status'!$C$10,'3. Resultados'!K:K))</f>
        <v>0</v>
      </c>
      <c r="D12" s="57">
        <f t="array" ref="D12">+MAX(IF('3. Resultados'!A:A='1. Status'!A12&amp;'1. Status'!$D$10,'3. Resultados'!K:K))</f>
        <v>0</v>
      </c>
      <c r="E12" s="57">
        <f t="array" ref="E12">+MAX(IF('3. Resultados'!A:A='1. Status'!A12&amp;'1. Status'!$E$10,'3. Resultados'!K:K))</f>
        <v>0</v>
      </c>
      <c r="F12" s="64">
        <f t="array" ref="F12">+MAX(IF('3. Resultados'!A:A='1. Status'!A12&amp;'1. Status'!$F$10,'3. Resultados'!K:K))</f>
        <v>0</v>
      </c>
      <c r="G12" s="57"/>
      <c r="H12" s="62" t="s">
        <v>204</v>
      </c>
      <c r="I12" s="19" t="s">
        <v>207</v>
      </c>
      <c r="J12" s="24">
        <f>+COUNTIFS('3. Resultados'!C:C,'1. Status'!H12,'3. Resultados'!G:G,'1. Status'!I12)</f>
        <v>1</v>
      </c>
      <c r="K12" s="70" t="str">
        <f>+IFERROR(VLOOKUP(CONCATENATE(A12,$B$10,B12),'3. Resultados'!B:J,8,FALSE),"-")</f>
        <v>-</v>
      </c>
      <c r="L12" s="69" t="str">
        <f>+IFERROR(VLOOKUP(B12,'3. Resultados'!K:L,2,FALSE),"-")</f>
        <v>-</v>
      </c>
      <c r="M12" s="70" t="str">
        <f>+IFERROR(VLOOKUP(CONCATENATE(A12,$B$10,B12),'3. Resultados'!B:J,9,FALSE),"-")</f>
        <v>-</v>
      </c>
      <c r="N12" s="24"/>
      <c r="O12" s="25" t="str">
        <f t="shared" ref="O12:O75" si="1">+IF(J12=0,"Por iniciar",IF(OR(K12="-",M12="-"),"Em testes",IF(M12=0,"OK","NOK")))</f>
        <v>Em testes</v>
      </c>
      <c r="P12"/>
    </row>
    <row r="13" spans="1:26" ht="14.5">
      <c r="A13" s="18" t="str">
        <f t="shared" si="0"/>
        <v>UNIV_OPERinstrumento_financeiro45991</v>
      </c>
      <c r="B13" s="63">
        <f t="array" ref="B13">+MAX(IF('3. Resultados'!A:A='1. Status'!A13&amp;'1. Status'!$B$10,'3. Resultados'!K:K))</f>
        <v>0</v>
      </c>
      <c r="C13" s="57">
        <f t="array" ref="C13">+MAX(IF('3. Resultados'!A:A='1. Status'!A13&amp;'1. Status'!$C$10,'3. Resultados'!K:K))</f>
        <v>0</v>
      </c>
      <c r="D13" s="57">
        <f t="array" ref="D13">+MAX(IF('3. Resultados'!A:A='1. Status'!A13&amp;'1. Status'!$D$10,'3. Resultados'!K:K))</f>
        <v>0</v>
      </c>
      <c r="E13" s="57">
        <f t="array" ref="E13">+MAX(IF('3. Resultados'!A:A='1. Status'!A13&amp;'1. Status'!$E$10,'3. Resultados'!K:K))</f>
        <v>0</v>
      </c>
      <c r="F13" s="64">
        <f t="array" ref="F13">+MAX(IF('3. Resultados'!A:A='1. Status'!A13&amp;'1. Status'!$F$10,'3. Resultados'!K:K))</f>
        <v>0</v>
      </c>
      <c r="G13" s="57"/>
      <c r="H13" s="62" t="s">
        <v>204</v>
      </c>
      <c r="I13" s="19" t="s">
        <v>208</v>
      </c>
      <c r="J13" s="24">
        <f>+COUNTIFS('3. Resultados'!C:C,'1. Status'!H13,'3. Resultados'!G:G,'1. Status'!I13)</f>
        <v>1</v>
      </c>
      <c r="K13" s="70" t="str">
        <f>+IFERROR(VLOOKUP(CONCATENATE(A13,$B$10,B13),'3. Resultados'!B:J,8,FALSE),"-")</f>
        <v>-</v>
      </c>
      <c r="L13" s="69" t="str">
        <f>+IFERROR(VLOOKUP(B13,'3. Resultados'!K:L,2,FALSE),"-")</f>
        <v>-</v>
      </c>
      <c r="M13" s="70" t="str">
        <f>+IFERROR(VLOOKUP(CONCATENATE(A13,$B$10,B13),'3. Resultados'!B:J,9,FALSE),"-")</f>
        <v>-</v>
      </c>
      <c r="N13" s="24"/>
      <c r="O13" s="25" t="str">
        <f t="shared" si="1"/>
        <v>Em testes</v>
      </c>
      <c r="P13"/>
    </row>
    <row r="14" spans="1:26" ht="14.5">
      <c r="A14" s="18" t="str">
        <f t="shared" si="0"/>
        <v>UNIV_OPERcontraparte45991</v>
      </c>
      <c r="B14" s="63">
        <f t="array" ref="B14">+MAX(IF('3. Resultados'!A:A='1. Status'!A14&amp;'1. Status'!$B$10,'3. Resultados'!K:K))</f>
        <v>0</v>
      </c>
      <c r="C14" s="57">
        <f t="array" ref="C14">+MAX(IF('3. Resultados'!A:A='1. Status'!A14&amp;'1. Status'!$C$10,'3. Resultados'!K:K))</f>
        <v>0</v>
      </c>
      <c r="D14" s="57">
        <f t="array" ref="D14">+MAX(IF('3. Resultados'!A:A='1. Status'!A14&amp;'1. Status'!$D$10,'3. Resultados'!K:K))</f>
        <v>0</v>
      </c>
      <c r="E14" s="57">
        <f t="array" ref="E14">+MAX(IF('3. Resultados'!A:A='1. Status'!A14&amp;'1. Status'!$E$10,'3. Resultados'!K:K))</f>
        <v>0</v>
      </c>
      <c r="F14" s="64">
        <f t="array" ref="F14">+MAX(IF('3. Resultados'!A:A='1. Status'!A14&amp;'1. Status'!$F$10,'3. Resultados'!K:K))</f>
        <v>0</v>
      </c>
      <c r="G14" s="57"/>
      <c r="H14" s="62" t="s">
        <v>204</v>
      </c>
      <c r="I14" s="19" t="s">
        <v>209</v>
      </c>
      <c r="J14" s="24">
        <f>+COUNTIFS('3. Resultados'!C:C,'1. Status'!H14,'3. Resultados'!G:G,'1. Status'!I14)</f>
        <v>1</v>
      </c>
      <c r="K14" s="70" t="str">
        <f>+IFERROR(VLOOKUP(CONCATENATE(A14,$B$10,B14),'3. Resultados'!B:J,8,FALSE),"-")</f>
        <v>-</v>
      </c>
      <c r="L14" s="69" t="str">
        <f>+IFERROR(VLOOKUP(B14,'3. Resultados'!K:L,2,FALSE),"-")</f>
        <v>-</v>
      </c>
      <c r="M14" s="70" t="str">
        <f>+IFERROR(VLOOKUP(CONCATENATE(A14,$B$10,B14),'3. Resultados'!B:J,9,FALSE),"-")</f>
        <v>-</v>
      </c>
      <c r="N14" s="24"/>
      <c r="O14" s="25" t="str">
        <f t="shared" si="1"/>
        <v>Em testes</v>
      </c>
      <c r="P14"/>
    </row>
    <row r="15" spans="1:26" ht="14.5">
      <c r="A15" s="18" t="str">
        <f t="shared" si="0"/>
        <v>UNIV_OPERcontraparte_i45991</v>
      </c>
      <c r="B15" s="63">
        <f t="array" ref="B15">+MAX(IF('3. Resultados'!A:A='1. Status'!A15&amp;'1. Status'!$B$10,'3. Resultados'!K:K))</f>
        <v>0</v>
      </c>
      <c r="C15" s="57">
        <f t="array" ref="C15">+MAX(IF('3. Resultados'!A:A='1. Status'!A15&amp;'1. Status'!$C$10,'3. Resultados'!K:K))</f>
        <v>0</v>
      </c>
      <c r="D15" s="57">
        <f t="array" ref="D15">+MAX(IF('3. Resultados'!A:A='1. Status'!A15&amp;'1. Status'!$D$10,'3. Resultados'!K:K))</f>
        <v>0</v>
      </c>
      <c r="E15" s="57">
        <f t="array" ref="E15">+MAX(IF('3. Resultados'!A:A='1. Status'!A15&amp;'1. Status'!$E$10,'3. Resultados'!K:K))</f>
        <v>0</v>
      </c>
      <c r="F15" s="64">
        <f t="array" ref="F15">+MAX(IF('3. Resultados'!A:A='1. Status'!A15&amp;'1. Status'!$F$10,'3. Resultados'!K:K))</f>
        <v>0</v>
      </c>
      <c r="G15" s="57"/>
      <c r="H15" s="62" t="s">
        <v>204</v>
      </c>
      <c r="I15" s="19" t="s">
        <v>210</v>
      </c>
      <c r="J15" s="24">
        <f>+COUNTIFS('3. Resultados'!C:C,'1. Status'!H15,'3. Resultados'!G:G,'1. Status'!I15)</f>
        <v>1</v>
      </c>
      <c r="K15" s="70" t="str">
        <f>+IFERROR(VLOOKUP(CONCATENATE(A15,$B$10,B15),'3. Resultados'!B:J,8,FALSE),"-")</f>
        <v>-</v>
      </c>
      <c r="L15" s="69" t="str">
        <f>+IFERROR(VLOOKUP(B15,'3. Resultados'!K:L,2,FALSE),"-")</f>
        <v>-</v>
      </c>
      <c r="M15" s="70" t="str">
        <f>+IFERROR(VLOOKUP(CONCATENATE(A15,$B$10,B15),'3. Resultados'!B:J,9,FALSE),"-")</f>
        <v>-</v>
      </c>
      <c r="N15" s="24"/>
      <c r="O15" s="25" t="str">
        <f t="shared" si="1"/>
        <v>Em testes</v>
      </c>
      <c r="P15"/>
    </row>
    <row r="16" spans="1:26" ht="14.5">
      <c r="A16" s="18" t="str">
        <f t="shared" si="0"/>
        <v>UNIV_OPERproduto45991</v>
      </c>
      <c r="B16" s="63">
        <f t="array" ref="B16">+MAX(IF('3. Resultados'!A:A='1. Status'!A16&amp;'1. Status'!$B$10,'3. Resultados'!K:K))</f>
        <v>0</v>
      </c>
      <c r="C16" s="57">
        <f t="array" ref="C16">+MAX(IF('3. Resultados'!A:A='1. Status'!A16&amp;'1. Status'!$C$10,'3. Resultados'!K:K))</f>
        <v>0</v>
      </c>
      <c r="D16" s="57">
        <f t="array" ref="D16">+MAX(IF('3. Resultados'!A:A='1. Status'!A16&amp;'1. Status'!$D$10,'3. Resultados'!K:K))</f>
        <v>0</v>
      </c>
      <c r="E16" s="57">
        <f t="array" ref="E16">+MAX(IF('3. Resultados'!A:A='1. Status'!A16&amp;'1. Status'!$E$10,'3. Resultados'!K:K))</f>
        <v>0</v>
      </c>
      <c r="F16" s="64">
        <f t="array" ref="F16">+MAX(IF('3. Resultados'!A:A='1. Status'!A16&amp;'1. Status'!$F$10,'3. Resultados'!K:K))</f>
        <v>0</v>
      </c>
      <c r="G16" s="57"/>
      <c r="H16" s="62" t="s">
        <v>204</v>
      </c>
      <c r="I16" s="19" t="s">
        <v>211</v>
      </c>
      <c r="J16" s="24">
        <f>+COUNTIFS('3. Resultados'!C:C,'1. Status'!H16,'3. Resultados'!G:G,'1. Status'!I16)</f>
        <v>1</v>
      </c>
      <c r="K16" s="70" t="str">
        <f>+IFERROR(VLOOKUP(CONCATENATE(A16,$B$10,B16),'3. Resultados'!B:J,8,FALSE),"-")</f>
        <v>-</v>
      </c>
      <c r="L16" s="69" t="str">
        <f>+IFERROR(VLOOKUP(B16,'3. Resultados'!K:L,2,FALSE),"-")</f>
        <v>-</v>
      </c>
      <c r="M16" s="70" t="str">
        <f>+IFERROR(VLOOKUP(CONCATENATE(A16,$B$10,B16),'3. Resultados'!B:J,9,FALSE),"-")</f>
        <v>-</v>
      </c>
      <c r="N16" s="24"/>
      <c r="O16" s="25" t="str">
        <f t="shared" si="1"/>
        <v>Em testes</v>
      </c>
      <c r="P16"/>
    </row>
    <row r="17" spans="1:16" ht="14.5">
      <c r="A17" s="18" t="str">
        <f t="shared" si="0"/>
        <v>UNIV_OPERtipo_conta45991</v>
      </c>
      <c r="B17" s="63">
        <f t="array" ref="B17">+MAX(IF('3. Resultados'!A:A='1. Status'!A17&amp;'1. Status'!$B$10,'3. Resultados'!K:K))</f>
        <v>0</v>
      </c>
      <c r="C17" s="57">
        <f t="array" ref="C17">+MAX(IF('3. Resultados'!A:A='1. Status'!A17&amp;'1. Status'!$C$10,'3. Resultados'!K:K))</f>
        <v>0</v>
      </c>
      <c r="D17" s="57">
        <f t="array" ref="D17">+MAX(IF('3. Resultados'!A:A='1. Status'!A17&amp;'1. Status'!$D$10,'3. Resultados'!K:K))</f>
        <v>0</v>
      </c>
      <c r="E17" s="57">
        <f t="array" ref="E17">+MAX(IF('3. Resultados'!A:A='1. Status'!A17&amp;'1. Status'!$E$10,'3. Resultados'!K:K))</f>
        <v>0</v>
      </c>
      <c r="F17" s="64">
        <f t="array" ref="F17">+MAX(IF('3. Resultados'!A:A='1. Status'!A17&amp;'1. Status'!$F$10,'3. Resultados'!K:K))</f>
        <v>0</v>
      </c>
      <c r="G17" s="57"/>
      <c r="H17" s="62" t="s">
        <v>204</v>
      </c>
      <c r="I17" s="19" t="s">
        <v>212</v>
      </c>
      <c r="J17" s="24">
        <f>+COUNTIFS('3. Resultados'!C:C,'1. Status'!H17,'3. Resultados'!G:G,'1. Status'!I17)</f>
        <v>1</v>
      </c>
      <c r="K17" s="70" t="str">
        <f>+IFERROR(VLOOKUP(CONCATENATE(A17,$B$10,B17),'3. Resultados'!B:J,8,FALSE),"-")</f>
        <v>-</v>
      </c>
      <c r="L17" s="69" t="str">
        <f>+IFERROR(VLOOKUP(B17,'3. Resultados'!K:L,2,FALSE),"-")</f>
        <v>-</v>
      </c>
      <c r="M17" s="70" t="str">
        <f>+IFERROR(VLOOKUP(CONCATENATE(A17,$B$10,B17),'3. Resultados'!B:J,9,FALSE),"-")</f>
        <v>-</v>
      </c>
      <c r="N17" s="24"/>
      <c r="O17" s="25" t="str">
        <f t="shared" si="1"/>
        <v>Em testes</v>
      </c>
      <c r="P17"/>
    </row>
    <row r="18" spans="1:16" ht="14.5">
      <c r="A18" s="18" t="str">
        <f t="shared" si="0"/>
        <v>UNIV_OPERbruto_imparidade45991</v>
      </c>
      <c r="B18" s="63">
        <f t="array" ref="B18">+MAX(IF('3. Resultados'!A:A='1. Status'!A18&amp;'1. Status'!$B$10,'3. Resultados'!K:K))</f>
        <v>0</v>
      </c>
      <c r="C18" s="57">
        <f t="array" ref="C18">+MAX(IF('3. Resultados'!A:A='1. Status'!A18&amp;'1. Status'!$C$10,'3. Resultados'!K:K))</f>
        <v>0</v>
      </c>
      <c r="D18" s="57">
        <f t="array" ref="D18">+MAX(IF('3. Resultados'!A:A='1. Status'!A18&amp;'1. Status'!$D$10,'3. Resultados'!K:K))</f>
        <v>0</v>
      </c>
      <c r="E18" s="57">
        <f t="array" ref="E18">+MAX(IF('3. Resultados'!A:A='1. Status'!A18&amp;'1. Status'!$E$10,'3. Resultados'!K:K))</f>
        <v>0</v>
      </c>
      <c r="F18" s="64">
        <f t="array" ref="F18">+MAX(IF('3. Resultados'!A:A='1. Status'!A18&amp;'1. Status'!$F$10,'3. Resultados'!K:K))</f>
        <v>0</v>
      </c>
      <c r="G18" s="57"/>
      <c r="H18" s="62" t="s">
        <v>204</v>
      </c>
      <c r="I18" s="19" t="s">
        <v>213</v>
      </c>
      <c r="J18" s="24">
        <f>+COUNTIFS('3. Resultados'!C:C,'1. Status'!H18,'3. Resultados'!G:G,'1. Status'!I18)</f>
        <v>1</v>
      </c>
      <c r="K18" s="70" t="str">
        <f>+IFERROR(VLOOKUP(CONCATENATE(A18,$B$10,B18),'3. Resultados'!B:J,8,FALSE),"-")</f>
        <v>-</v>
      </c>
      <c r="L18" s="69" t="str">
        <f>+IFERROR(VLOOKUP(B18,'3. Resultados'!K:L,2,FALSE),"-")</f>
        <v>-</v>
      </c>
      <c r="M18" s="70" t="str">
        <f>+IFERROR(VLOOKUP(CONCATENATE(A18,$B$10,B18),'3. Resultados'!B:J,9,FALSE),"-")</f>
        <v>-</v>
      </c>
      <c r="N18" s="24"/>
      <c r="O18" s="25" t="str">
        <f t="shared" si="1"/>
        <v>Em testes</v>
      </c>
      <c r="P18"/>
    </row>
    <row r="19" spans="1:16" ht="14.5">
      <c r="A19" s="18" t="str">
        <f t="shared" si="0"/>
        <v>UNIV_OPERcomposicao_valor45991</v>
      </c>
      <c r="B19" s="63">
        <f t="array" ref="B19">+MAX(IF('3. Resultados'!A:A='1. Status'!A19&amp;'1. Status'!$B$10,'3. Resultados'!K:K))</f>
        <v>0</v>
      </c>
      <c r="C19" s="57">
        <f t="array" ref="C19">+MAX(IF('3. Resultados'!A:A='1. Status'!A19&amp;'1. Status'!$C$10,'3. Resultados'!K:K))</f>
        <v>0</v>
      </c>
      <c r="D19" s="57">
        <f t="array" ref="D19">+MAX(IF('3. Resultados'!A:A='1. Status'!A19&amp;'1. Status'!$D$10,'3. Resultados'!K:K))</f>
        <v>0</v>
      </c>
      <c r="E19" s="57">
        <f t="array" ref="E19">+MAX(IF('3. Resultados'!A:A='1. Status'!A19&amp;'1. Status'!$E$10,'3. Resultados'!K:K))</f>
        <v>0</v>
      </c>
      <c r="F19" s="64">
        <f t="array" ref="F19">+MAX(IF('3. Resultados'!A:A='1. Status'!A19&amp;'1. Status'!$F$10,'3. Resultados'!K:K))</f>
        <v>0</v>
      </c>
      <c r="G19" s="57"/>
      <c r="H19" s="62" t="s">
        <v>204</v>
      </c>
      <c r="I19" s="19" t="s">
        <v>214</v>
      </c>
      <c r="J19" s="24">
        <f>+COUNTIFS('3. Resultados'!C:C,'1. Status'!H19,'3. Resultados'!G:G,'1. Status'!I19)</f>
        <v>1</v>
      </c>
      <c r="K19" s="70" t="str">
        <f>+IFERROR(VLOOKUP(CONCATENATE(A19,$B$10,B19),'3. Resultados'!B:J,8,FALSE),"-")</f>
        <v>-</v>
      </c>
      <c r="L19" s="69" t="str">
        <f>+IFERROR(VLOOKUP(B19,'3. Resultados'!K:L,2,FALSE),"-")</f>
        <v>-</v>
      </c>
      <c r="M19" s="70" t="str">
        <f>+IFERROR(VLOOKUP(CONCATENATE(A19,$B$10,B19),'3. Resultados'!B:J,9,FALSE),"-")</f>
        <v>-</v>
      </c>
      <c r="N19" s="24"/>
      <c r="O19" s="25" t="str">
        <f t="shared" si="1"/>
        <v>Em testes</v>
      </c>
      <c r="P19"/>
    </row>
    <row r="20" spans="1:16" ht="14.5">
      <c r="A20" s="18" t="str">
        <f t="shared" si="0"/>
        <v>UNIV_OPERcolateral45991</v>
      </c>
      <c r="B20" s="63">
        <f t="array" ref="B20">+MAX(IF('3. Resultados'!A:A='1. Status'!A20&amp;'1. Status'!$B$10,'3. Resultados'!K:K))</f>
        <v>0</v>
      </c>
      <c r="C20" s="57">
        <f t="array" ref="C20">+MAX(IF('3. Resultados'!A:A='1. Status'!A20&amp;'1. Status'!$C$10,'3. Resultados'!K:K))</f>
        <v>0</v>
      </c>
      <c r="D20" s="57">
        <f t="array" ref="D20">+MAX(IF('3. Resultados'!A:A='1. Status'!A20&amp;'1. Status'!$D$10,'3. Resultados'!K:K))</f>
        <v>0</v>
      </c>
      <c r="E20" s="57">
        <f t="array" ref="E20">+MAX(IF('3. Resultados'!A:A='1. Status'!A20&amp;'1. Status'!$E$10,'3. Resultados'!K:K))</f>
        <v>0</v>
      </c>
      <c r="F20" s="64">
        <f t="array" ref="F20">+MAX(IF('3. Resultados'!A:A='1. Status'!A20&amp;'1. Status'!$F$10,'3. Resultados'!K:K))</f>
        <v>0</v>
      </c>
      <c r="G20" s="57"/>
      <c r="H20" s="62" t="s">
        <v>204</v>
      </c>
      <c r="I20" s="19" t="s">
        <v>215</v>
      </c>
      <c r="J20" s="24">
        <f>+COUNTIFS('3. Resultados'!C:C,'1. Status'!H20,'3. Resultados'!G:G,'1. Status'!I20)</f>
        <v>1</v>
      </c>
      <c r="K20" s="70" t="str">
        <f>+IFERROR(VLOOKUP(CONCATENATE(A20,$B$10,B20),'3. Resultados'!B:J,8,FALSE),"-")</f>
        <v>-</v>
      </c>
      <c r="L20" s="69" t="str">
        <f>+IFERROR(VLOOKUP(B20,'3. Resultados'!K:L,2,FALSE),"-")</f>
        <v>-</v>
      </c>
      <c r="M20" s="70" t="str">
        <f>+IFERROR(VLOOKUP(CONCATENATE(A20,$B$10,B20),'3. Resultados'!B:J,9,FALSE),"-")</f>
        <v>-</v>
      </c>
      <c r="N20" s="24"/>
      <c r="O20" s="25" t="str">
        <f t="shared" si="1"/>
        <v>Em testes</v>
      </c>
      <c r="P20"/>
    </row>
    <row r="21" spans="1:16" ht="14.5">
      <c r="A21" s="18" t="str">
        <f t="shared" si="0"/>
        <v>UNIV_OPERflag_poci45991</v>
      </c>
      <c r="B21" s="63">
        <f t="array" ref="B21">+MAX(IF('3. Resultados'!A:A='1. Status'!A21&amp;'1. Status'!$B$10,'3. Resultados'!K:K))</f>
        <v>0</v>
      </c>
      <c r="C21" s="57">
        <f t="array" ref="C21">+MAX(IF('3. Resultados'!A:A='1. Status'!A21&amp;'1. Status'!$C$10,'3. Resultados'!K:K))</f>
        <v>0</v>
      </c>
      <c r="D21" s="57">
        <f t="array" ref="D21">+MAX(IF('3. Resultados'!A:A='1. Status'!A21&amp;'1. Status'!$D$10,'3. Resultados'!K:K))</f>
        <v>0</v>
      </c>
      <c r="E21" s="57">
        <f t="array" ref="E21">+MAX(IF('3. Resultados'!A:A='1. Status'!A21&amp;'1. Status'!$E$10,'3. Resultados'!K:K))</f>
        <v>0</v>
      </c>
      <c r="F21" s="64">
        <f t="array" ref="F21">+MAX(IF('3. Resultados'!A:A='1. Status'!A21&amp;'1. Status'!$F$10,'3. Resultados'!K:K))</f>
        <v>0</v>
      </c>
      <c r="G21" s="57"/>
      <c r="H21" s="62" t="s">
        <v>204</v>
      </c>
      <c r="I21" s="19" t="s">
        <v>216</v>
      </c>
      <c r="J21" s="24">
        <f>+COUNTIFS('3. Resultados'!C:C,'1. Status'!H21,'3. Resultados'!G:G,'1. Status'!I21)</f>
        <v>1</v>
      </c>
      <c r="K21" s="70" t="str">
        <f>+IFERROR(VLOOKUP(CONCATENATE(A21,$B$10,B21),'3. Resultados'!B:J,8,FALSE),"-")</f>
        <v>-</v>
      </c>
      <c r="L21" s="69" t="str">
        <f>+IFERROR(VLOOKUP(B21,'3. Resultados'!K:L,2,FALSE),"-")</f>
        <v>-</v>
      </c>
      <c r="M21" s="70" t="str">
        <f>+IFERROR(VLOOKUP(CONCATENATE(A21,$B$10,B21),'3. Resultados'!B:J,9,FALSE),"-")</f>
        <v>-</v>
      </c>
      <c r="N21" s="24"/>
      <c r="O21" s="25" t="str">
        <f t="shared" si="1"/>
        <v>Em testes</v>
      </c>
      <c r="P21"/>
    </row>
    <row r="22" spans="1:16" ht="14.5">
      <c r="A22" s="18" t="str">
        <f t="shared" si="0"/>
        <v>UNIV_OPERpurpose_code45991</v>
      </c>
      <c r="B22" s="63">
        <f t="array" ref="B22">+MAX(IF('3. Resultados'!A:A='1. Status'!A22&amp;'1. Status'!$B$10,'3. Resultados'!K:K))</f>
        <v>0</v>
      </c>
      <c r="C22" s="57">
        <f t="array" ref="C22">+MAX(IF('3. Resultados'!A:A='1. Status'!A22&amp;'1. Status'!$C$10,'3. Resultados'!K:K))</f>
        <v>0</v>
      </c>
      <c r="D22" s="57">
        <f t="array" ref="D22">+MAX(IF('3. Resultados'!A:A='1. Status'!A22&amp;'1. Status'!$D$10,'3. Resultados'!K:K))</f>
        <v>0</v>
      </c>
      <c r="E22" s="57">
        <f t="array" ref="E22">+MAX(IF('3. Resultados'!A:A='1. Status'!A22&amp;'1. Status'!$E$10,'3. Resultados'!K:K))</f>
        <v>0</v>
      </c>
      <c r="F22" s="64">
        <f t="array" ref="F22">+MAX(IF('3. Resultados'!A:A='1. Status'!A22&amp;'1. Status'!$F$10,'3. Resultados'!K:K))</f>
        <v>0</v>
      </c>
      <c r="G22" s="57"/>
      <c r="H22" s="62" t="s">
        <v>204</v>
      </c>
      <c r="I22" s="19" t="s">
        <v>217</v>
      </c>
      <c r="J22" s="24">
        <f>+COUNTIFS('3. Resultados'!C:C,'1. Status'!H22,'3. Resultados'!G:G,'1. Status'!I22)</f>
        <v>1</v>
      </c>
      <c r="K22" s="70" t="str">
        <f>+IFERROR(VLOOKUP(CONCATENATE(A22,$B$10,B22),'3. Resultados'!B:J,8,FALSE),"-")</f>
        <v>-</v>
      </c>
      <c r="L22" s="69" t="str">
        <f>+IFERROR(VLOOKUP(B22,'3. Resultados'!K:L,2,FALSE),"-")</f>
        <v>-</v>
      </c>
      <c r="M22" s="70" t="str">
        <f>+IFERROR(VLOOKUP(CONCATENATE(A22,$B$10,B22),'3. Resultados'!B:J,9,FALSE),"-")</f>
        <v>-</v>
      </c>
      <c r="N22" s="24"/>
      <c r="O22" s="25" t="str">
        <f t="shared" si="1"/>
        <v>Em testes</v>
      </c>
      <c r="P22"/>
    </row>
    <row r="23" spans="1:16" ht="14.5">
      <c r="A23" s="18" t="str">
        <f t="shared" si="0"/>
        <v>UNIV_OPERcod_empr_pme45991</v>
      </c>
      <c r="B23" s="63">
        <f t="array" ref="B23">+MAX(IF('3. Resultados'!A:A='1. Status'!A23&amp;'1. Status'!$B$10,'3. Resultados'!K:K))</f>
        <v>0</v>
      </c>
      <c r="C23" s="57">
        <f t="array" ref="C23">+MAX(IF('3. Resultados'!A:A='1. Status'!A23&amp;'1. Status'!$C$10,'3. Resultados'!K:K))</f>
        <v>0</v>
      </c>
      <c r="D23" s="57">
        <f t="array" ref="D23">+MAX(IF('3. Resultados'!A:A='1. Status'!A23&amp;'1. Status'!$D$10,'3. Resultados'!K:K))</f>
        <v>0</v>
      </c>
      <c r="E23" s="57">
        <f t="array" ref="E23">+MAX(IF('3. Resultados'!A:A='1. Status'!A23&amp;'1. Status'!$E$10,'3. Resultados'!K:K))</f>
        <v>0</v>
      </c>
      <c r="F23" s="64">
        <f t="array" ref="F23">+MAX(IF('3. Resultados'!A:A='1. Status'!A23&amp;'1. Status'!$F$10,'3. Resultados'!K:K))</f>
        <v>0</v>
      </c>
      <c r="G23" s="57"/>
      <c r="H23" s="62" t="s">
        <v>204</v>
      </c>
      <c r="I23" s="19" t="s">
        <v>218</v>
      </c>
      <c r="J23" s="24">
        <f>+COUNTIFS('3. Resultados'!C:C,'1. Status'!H23,'3. Resultados'!G:G,'1. Status'!I23)</f>
        <v>1</v>
      </c>
      <c r="K23" s="70" t="str">
        <f>+IFERROR(VLOOKUP(CONCATENATE(A23,$B$10,B23),'3. Resultados'!B:J,8,FALSE),"-")</f>
        <v>-</v>
      </c>
      <c r="L23" s="69" t="str">
        <f>+IFERROR(VLOOKUP(B23,'3. Resultados'!K:L,2,FALSE),"-")</f>
        <v>-</v>
      </c>
      <c r="M23" s="70" t="str">
        <f>+IFERROR(VLOOKUP(CONCATENATE(A23,$B$10,B23),'3. Resultados'!B:J,9,FALSE),"-")</f>
        <v>-</v>
      </c>
      <c r="N23" s="24"/>
      <c r="O23" s="25" t="str">
        <f t="shared" si="1"/>
        <v>Em testes</v>
      </c>
      <c r="P23"/>
    </row>
    <row r="24" spans="1:16" ht="14.5">
      <c r="A24" s="18" t="str">
        <f t="shared" si="0"/>
        <v>UNIV_OPERstage45991</v>
      </c>
      <c r="B24" s="63">
        <f t="array" ref="B24">+MAX(IF('3. Resultados'!A:A='1. Status'!A24&amp;'1. Status'!$B$10,'3. Resultados'!K:K))</f>
        <v>0</v>
      </c>
      <c r="C24" s="57">
        <f t="array" ref="C24">+MAX(IF('3. Resultados'!A:A='1. Status'!A24&amp;'1. Status'!$C$10,'3. Resultados'!K:K))</f>
        <v>0</v>
      </c>
      <c r="D24" s="57">
        <f t="array" ref="D24">+MAX(IF('3. Resultados'!A:A='1. Status'!A24&amp;'1. Status'!$D$10,'3. Resultados'!K:K))</f>
        <v>0</v>
      </c>
      <c r="E24" s="57">
        <f t="array" ref="E24">+MAX(IF('3. Resultados'!A:A='1. Status'!A24&amp;'1. Status'!$E$10,'3. Resultados'!K:K))</f>
        <v>0</v>
      </c>
      <c r="F24" s="64">
        <f t="array" ref="F24">+MAX(IF('3. Resultados'!A:A='1. Status'!A24&amp;'1. Status'!$F$10,'3. Resultados'!K:K))</f>
        <v>0</v>
      </c>
      <c r="G24" s="57"/>
      <c r="H24" s="62" t="s">
        <v>204</v>
      </c>
      <c r="I24" s="19" t="s">
        <v>219</v>
      </c>
      <c r="J24" s="24">
        <f>+COUNTIFS('3. Resultados'!C:C,'1. Status'!H24,'3. Resultados'!G:G,'1. Status'!I24)</f>
        <v>1</v>
      </c>
      <c r="K24" s="70" t="str">
        <f>+IFERROR(VLOOKUP(CONCATENATE(A24,$B$10,B24),'3. Resultados'!B:J,8,FALSE),"-")</f>
        <v>-</v>
      </c>
      <c r="L24" s="69" t="str">
        <f>+IFERROR(VLOOKUP(B24,'3. Resultados'!K:L,2,FALSE),"-")</f>
        <v>-</v>
      </c>
      <c r="M24" s="70" t="str">
        <f>+IFERROR(VLOOKUP(CONCATENATE(A24,$B$10,B24),'3. Resultados'!B:J,9,FALSE),"-")</f>
        <v>-</v>
      </c>
      <c r="N24" s="24"/>
      <c r="O24" s="25" t="str">
        <f t="shared" si="1"/>
        <v>Em testes</v>
      </c>
      <c r="P24"/>
    </row>
    <row r="25" spans="1:16" ht="14.5">
      <c r="A25" s="18" t="str">
        <f t="shared" si="0"/>
        <v>UNIV_OPERstage_atual45991</v>
      </c>
      <c r="B25" s="63">
        <f t="array" ref="B25">+MAX(IF('3. Resultados'!A:A='1. Status'!A25&amp;'1. Status'!$B$10,'3. Resultados'!K:K))</f>
        <v>0</v>
      </c>
      <c r="C25" s="57">
        <f t="array" ref="C25">+MAX(IF('3. Resultados'!A:A='1. Status'!A25&amp;'1. Status'!$C$10,'3. Resultados'!K:K))</f>
        <v>0</v>
      </c>
      <c r="D25" s="57">
        <f t="array" ref="D25">+MAX(IF('3. Resultados'!A:A='1. Status'!A25&amp;'1. Status'!$D$10,'3. Resultados'!K:K))</f>
        <v>0</v>
      </c>
      <c r="E25" s="57">
        <f t="array" ref="E25">+MAX(IF('3. Resultados'!A:A='1. Status'!A25&amp;'1. Status'!$E$10,'3. Resultados'!K:K))</f>
        <v>0</v>
      </c>
      <c r="F25" s="64">
        <f t="array" ref="F25">+MAX(IF('3. Resultados'!A:A='1. Status'!A25&amp;'1. Status'!$F$10,'3. Resultados'!K:K))</f>
        <v>0</v>
      </c>
      <c r="G25" s="57"/>
      <c r="H25" s="62" t="s">
        <v>204</v>
      </c>
      <c r="I25" s="19" t="s">
        <v>220</v>
      </c>
      <c r="J25" s="24">
        <f>+COUNTIFS('3. Resultados'!C:C,'1. Status'!H25,'3. Resultados'!G:G,'1. Status'!I25)</f>
        <v>1</v>
      </c>
      <c r="K25" s="70" t="str">
        <f>+IFERROR(VLOOKUP(CONCATENATE(A25,$B$10,B25),'3. Resultados'!B:J,8,FALSE),"-")</f>
        <v>-</v>
      </c>
      <c r="L25" s="69" t="str">
        <f>+IFERROR(VLOOKUP(B25,'3. Resultados'!K:L,2,FALSE),"-")</f>
        <v>-</v>
      </c>
      <c r="M25" s="70" t="str">
        <f>+IFERROR(VLOOKUP(CONCATENATE(A25,$B$10,B25),'3. Resultados'!B:J,9,FALSE),"-")</f>
        <v>-</v>
      </c>
      <c r="N25" s="24"/>
      <c r="O25" s="25" t="str">
        <f t="shared" si="1"/>
        <v>Em testes</v>
      </c>
      <c r="P25"/>
    </row>
    <row r="26" spans="1:16" ht="14.5">
      <c r="A26" s="18" t="str">
        <f t="shared" si="0"/>
        <v>UNIV_OPERcproduto45991</v>
      </c>
      <c r="B26" s="63">
        <f t="array" ref="B26">+MAX(IF('3. Resultados'!A:A='1. Status'!A26&amp;'1. Status'!$B$10,'3. Resultados'!K:K))</f>
        <v>0</v>
      </c>
      <c r="C26" s="57">
        <f t="array" ref="C26">+MAX(IF('3. Resultados'!A:A='1. Status'!A26&amp;'1. Status'!$C$10,'3. Resultados'!K:K))</f>
        <v>0</v>
      </c>
      <c r="D26" s="57">
        <f t="array" ref="D26">+MAX(IF('3. Resultados'!A:A='1. Status'!A26&amp;'1. Status'!$D$10,'3. Resultados'!K:K))</f>
        <v>0</v>
      </c>
      <c r="E26" s="57">
        <f t="array" ref="E26">+MAX(IF('3. Resultados'!A:A='1. Status'!A26&amp;'1. Status'!$E$10,'3. Resultados'!K:K))</f>
        <v>0</v>
      </c>
      <c r="F26" s="64">
        <f t="array" ref="F26">+MAX(IF('3. Resultados'!A:A='1. Status'!A26&amp;'1. Status'!$F$10,'3. Resultados'!K:K))</f>
        <v>0</v>
      </c>
      <c r="G26" s="57"/>
      <c r="H26" s="62" t="s">
        <v>204</v>
      </c>
      <c r="I26" s="19" t="s">
        <v>221</v>
      </c>
      <c r="J26" s="24">
        <f>+COUNTIFS('3. Resultados'!C:C,'1. Status'!H26,'3. Resultados'!G:G,'1. Status'!I26)</f>
        <v>0</v>
      </c>
      <c r="K26" s="70" t="str">
        <f>+IFERROR(VLOOKUP(CONCATENATE(A26,$B$10,B26),'3. Resultados'!B:J,8,FALSE),"-")</f>
        <v>-</v>
      </c>
      <c r="L26" s="69" t="str">
        <f>+IFERROR(VLOOKUP(B26,'3. Resultados'!K:L,2,FALSE),"-")</f>
        <v>-</v>
      </c>
      <c r="M26" s="70" t="str">
        <f>+IFERROR(VLOOKUP(CONCATENATE(A26,$B$10,B26),'3. Resultados'!B:J,9,FALSE),"-")</f>
        <v>-</v>
      </c>
      <c r="N26" s="24"/>
      <c r="O26" s="25" t="str">
        <f t="shared" si="1"/>
        <v>Por iniciar</v>
      </c>
      <c r="P26"/>
    </row>
    <row r="27" spans="1:16" ht="14.5">
      <c r="A27" s="18" t="str">
        <f t="shared" si="0"/>
        <v>UNIV_OPERsubproduto45991</v>
      </c>
      <c r="B27" s="63">
        <f t="array" ref="B27">+MAX(IF('3. Resultados'!A:A='1. Status'!A27&amp;'1. Status'!$B$10,'3. Resultados'!K:K))</f>
        <v>0</v>
      </c>
      <c r="C27" s="57">
        <f t="array" ref="C27">+MAX(IF('3. Resultados'!A:A='1. Status'!A27&amp;'1. Status'!$C$10,'3. Resultados'!K:K))</f>
        <v>0</v>
      </c>
      <c r="D27" s="57">
        <f t="array" ref="D27">+MAX(IF('3. Resultados'!A:A='1. Status'!A27&amp;'1. Status'!$D$10,'3. Resultados'!K:K))</f>
        <v>0</v>
      </c>
      <c r="E27" s="57">
        <f t="array" ref="E27">+MAX(IF('3. Resultados'!A:A='1. Status'!A27&amp;'1. Status'!$E$10,'3. Resultados'!K:K))</f>
        <v>0</v>
      </c>
      <c r="F27" s="64">
        <f t="array" ref="F27">+MAX(IF('3. Resultados'!A:A='1. Status'!A27&amp;'1. Status'!$F$10,'3. Resultados'!K:K))</f>
        <v>0</v>
      </c>
      <c r="G27" s="57"/>
      <c r="H27" s="62" t="s">
        <v>204</v>
      </c>
      <c r="I27" s="19" t="s">
        <v>222</v>
      </c>
      <c r="J27" s="24">
        <f>+COUNTIFS('3. Resultados'!C:C,'1. Status'!H27,'3. Resultados'!G:G,'1. Status'!I27)</f>
        <v>0</v>
      </c>
      <c r="K27" s="70" t="str">
        <f>+IFERROR(VLOOKUP(CONCATENATE(A27,$B$10,B27),'3. Resultados'!B:J,8,FALSE),"-")</f>
        <v>-</v>
      </c>
      <c r="L27" s="69" t="str">
        <f>+IFERROR(VLOOKUP(B27,'3. Resultados'!K:L,2,FALSE),"-")</f>
        <v>-</v>
      </c>
      <c r="M27" s="70" t="str">
        <f>+IFERROR(VLOOKUP(CONCATENATE(A27,$B$10,B27),'3. Resultados'!B:J,9,FALSE),"-")</f>
        <v>-</v>
      </c>
      <c r="N27" s="24"/>
      <c r="O27" s="25" t="str">
        <f t="shared" si="1"/>
        <v>Por iniciar</v>
      </c>
      <c r="P27"/>
    </row>
    <row r="28" spans="1:16" ht="14.5">
      <c r="A28" s="18" t="str">
        <f t="shared" si="0"/>
        <v>UNIV_OPERcod_ajust45991</v>
      </c>
      <c r="B28" s="63">
        <f t="array" ref="B28">+MAX(IF('3. Resultados'!A:A='1. Status'!A28&amp;'1. Status'!$B$10,'3. Resultados'!K:K))</f>
        <v>0</v>
      </c>
      <c r="C28" s="57">
        <f t="array" ref="C28">+MAX(IF('3. Resultados'!A:A='1. Status'!A28&amp;'1. Status'!$C$10,'3. Resultados'!K:K))</f>
        <v>0</v>
      </c>
      <c r="D28" s="57">
        <f t="array" ref="D28">+MAX(IF('3. Resultados'!A:A='1. Status'!A28&amp;'1. Status'!$D$10,'3. Resultados'!K:K))</f>
        <v>0</v>
      </c>
      <c r="E28" s="57">
        <f t="array" ref="E28">+MAX(IF('3. Resultados'!A:A='1. Status'!A28&amp;'1. Status'!$E$10,'3. Resultados'!K:K))</f>
        <v>0</v>
      </c>
      <c r="F28" s="64">
        <f t="array" ref="F28">+MAX(IF('3. Resultados'!A:A='1. Status'!A28&amp;'1. Status'!$F$10,'3. Resultados'!K:K))</f>
        <v>0</v>
      </c>
      <c r="G28" s="57"/>
      <c r="H28" s="62" t="s">
        <v>204</v>
      </c>
      <c r="I28" s="19" t="s">
        <v>223</v>
      </c>
      <c r="J28" s="24">
        <f>+COUNTIFS('3. Resultados'!C:C,'1. Status'!H28,'3. Resultados'!G:G,'1. Status'!I28)</f>
        <v>0</v>
      </c>
      <c r="K28" s="70" t="str">
        <f>+IFERROR(VLOOKUP(CONCATENATE(A28,$B$10,B28),'3. Resultados'!B:J,8,FALSE),"-")</f>
        <v>-</v>
      </c>
      <c r="L28" s="69" t="str">
        <f>+IFERROR(VLOOKUP(B28,'3. Resultados'!K:L,2,FALSE),"-")</f>
        <v>-</v>
      </c>
      <c r="M28" s="70" t="str">
        <f>+IFERROR(VLOOKUP(CONCATENATE(A28,$B$10,B28),'3. Resultados'!B:J,9,FALSE),"-")</f>
        <v>-</v>
      </c>
      <c r="N28" s="24"/>
      <c r="O28" s="25" t="str">
        <f t="shared" si="1"/>
        <v>Por iniciar</v>
      </c>
      <c r="P28"/>
    </row>
    <row r="29" spans="1:16" ht="14.5">
      <c r="A29" s="18" t="str">
        <f t="shared" si="0"/>
        <v>UNIV_OPERtipo_ajuste45991</v>
      </c>
      <c r="B29" s="63">
        <f t="array" ref="B29">+MAX(IF('3. Resultados'!A:A='1. Status'!A29&amp;'1. Status'!$B$10,'3. Resultados'!K:K))</f>
        <v>0</v>
      </c>
      <c r="C29" s="57">
        <f t="array" ref="C29">+MAX(IF('3. Resultados'!A:A='1. Status'!A29&amp;'1. Status'!$C$10,'3. Resultados'!K:K))</f>
        <v>0</v>
      </c>
      <c r="D29" s="57">
        <f t="array" ref="D29">+MAX(IF('3. Resultados'!A:A='1. Status'!A29&amp;'1. Status'!$D$10,'3. Resultados'!K:K))</f>
        <v>0</v>
      </c>
      <c r="E29" s="57">
        <f t="array" ref="E29">+MAX(IF('3. Resultados'!A:A='1. Status'!A29&amp;'1. Status'!$E$10,'3. Resultados'!K:K))</f>
        <v>0</v>
      </c>
      <c r="F29" s="64">
        <f t="array" ref="F29">+MAX(IF('3. Resultados'!A:A='1. Status'!A29&amp;'1. Status'!$F$10,'3. Resultados'!K:K))</f>
        <v>0</v>
      </c>
      <c r="G29" s="57"/>
      <c r="H29" s="62" t="s">
        <v>204</v>
      </c>
      <c r="I29" s="19" t="s">
        <v>224</v>
      </c>
      <c r="J29" s="24">
        <f>+COUNTIFS('3. Resultados'!C:C,'1. Status'!H29,'3. Resultados'!G:G,'1. Status'!I29)</f>
        <v>0</v>
      </c>
      <c r="K29" s="70" t="str">
        <f>+IFERROR(VLOOKUP(CONCATENATE(A29,$B$10,B29),'3. Resultados'!B:J,8,FALSE),"-")</f>
        <v>-</v>
      </c>
      <c r="L29" s="69" t="str">
        <f>+IFERROR(VLOOKUP(B29,'3. Resultados'!K:L,2,FALSE),"-")</f>
        <v>-</v>
      </c>
      <c r="M29" s="70" t="str">
        <f>+IFERROR(VLOOKUP(CONCATENATE(A29,$B$10,B29),'3. Resultados'!B:J,9,FALSE),"-")</f>
        <v>-</v>
      </c>
      <c r="N29" s="24"/>
      <c r="O29" s="25" t="str">
        <f t="shared" si="1"/>
        <v>Por iniciar</v>
      </c>
      <c r="P29"/>
    </row>
    <row r="30" spans="1:16" ht="14.5">
      <c r="A30" s="18" t="str">
        <f t="shared" si="0"/>
        <v>UNIV_OPERdesc_ajuste45991</v>
      </c>
      <c r="B30" s="63">
        <f t="array" ref="B30">+MAX(IF('3. Resultados'!A:A='1. Status'!A30&amp;'1. Status'!$B$10,'3. Resultados'!K:K))</f>
        <v>0</v>
      </c>
      <c r="C30" s="57">
        <f t="array" ref="C30">+MAX(IF('3. Resultados'!A:A='1. Status'!A30&amp;'1. Status'!$C$10,'3. Resultados'!K:K))</f>
        <v>0</v>
      </c>
      <c r="D30" s="57">
        <f t="array" ref="D30">+MAX(IF('3. Resultados'!A:A='1. Status'!A30&amp;'1. Status'!$D$10,'3. Resultados'!K:K))</f>
        <v>0</v>
      </c>
      <c r="E30" s="57">
        <f t="array" ref="E30">+MAX(IF('3. Resultados'!A:A='1. Status'!A30&amp;'1. Status'!$E$10,'3. Resultados'!K:K))</f>
        <v>0</v>
      </c>
      <c r="F30" s="64">
        <f t="array" ref="F30">+MAX(IF('3. Resultados'!A:A='1. Status'!A30&amp;'1. Status'!$F$10,'3. Resultados'!K:K))</f>
        <v>0</v>
      </c>
      <c r="G30" s="57"/>
      <c r="H30" s="62" t="s">
        <v>204</v>
      </c>
      <c r="I30" s="19" t="s">
        <v>225</v>
      </c>
      <c r="J30" s="24">
        <f>+COUNTIFS('3. Resultados'!C:C,'1. Status'!H30,'3. Resultados'!G:G,'1. Status'!I30)</f>
        <v>0</v>
      </c>
      <c r="K30" s="70" t="str">
        <f>+IFERROR(VLOOKUP(CONCATENATE(A30,$B$10,B30),'3. Resultados'!B:J,8,FALSE),"-")</f>
        <v>-</v>
      </c>
      <c r="L30" s="69" t="str">
        <f>+IFERROR(VLOOKUP(B30,'3. Resultados'!K:L,2,FALSE),"-")</f>
        <v>-</v>
      </c>
      <c r="M30" s="70" t="str">
        <f>+IFERROR(VLOOKUP(CONCATENATE(A30,$B$10,B30),'3. Resultados'!B:J,9,FALSE),"-")</f>
        <v>-</v>
      </c>
      <c r="N30" s="24"/>
      <c r="O30" s="25" t="str">
        <f t="shared" si="1"/>
        <v>Por iniciar</v>
      </c>
      <c r="P30"/>
    </row>
    <row r="31" spans="1:16" ht="14.5">
      <c r="A31" s="18" t="str">
        <f t="shared" si="0"/>
        <v>UNIV_OPERordem_lt80145991</v>
      </c>
      <c r="B31" s="63">
        <f t="array" ref="B31">+MAX(IF('3. Resultados'!A:A='1. Status'!A31&amp;'1. Status'!$B$10,'3. Resultados'!K:K))</f>
        <v>0</v>
      </c>
      <c r="C31" s="57">
        <f t="array" ref="C31">+MAX(IF('3. Resultados'!A:A='1. Status'!A31&amp;'1. Status'!$C$10,'3. Resultados'!K:K))</f>
        <v>0</v>
      </c>
      <c r="D31" s="57">
        <f t="array" ref="D31">+MAX(IF('3. Resultados'!A:A='1. Status'!A31&amp;'1. Status'!$D$10,'3. Resultados'!K:K))</f>
        <v>0</v>
      </c>
      <c r="E31" s="57">
        <f t="array" ref="E31">+MAX(IF('3. Resultados'!A:A='1. Status'!A31&amp;'1. Status'!$E$10,'3. Resultados'!K:K))</f>
        <v>0</v>
      </c>
      <c r="F31" s="64">
        <f t="array" ref="F31">+MAX(IF('3. Resultados'!A:A='1. Status'!A31&amp;'1. Status'!$F$10,'3. Resultados'!K:K))</f>
        <v>0</v>
      </c>
      <c r="G31" s="57"/>
      <c r="H31" s="62" t="s">
        <v>204</v>
      </c>
      <c r="I31" s="19" t="s">
        <v>226</v>
      </c>
      <c r="J31" s="24">
        <f>+COUNTIFS('3. Resultados'!C:C,'1. Status'!H31,'3. Resultados'!G:G,'1. Status'!I31)</f>
        <v>0</v>
      </c>
      <c r="K31" s="70" t="str">
        <f>+IFERROR(VLOOKUP(CONCATENATE(A31,$B$10,B31),'3. Resultados'!B:J,8,FALSE),"-")</f>
        <v>-</v>
      </c>
      <c r="L31" s="69" t="str">
        <f>+IFERROR(VLOOKUP(B31,'3. Resultados'!K:L,2,FALSE),"-")</f>
        <v>-</v>
      </c>
      <c r="M31" s="70" t="str">
        <f>+IFERROR(VLOOKUP(CONCATENATE(A31,$B$10,B31),'3. Resultados'!B:J,9,FALSE),"-")</f>
        <v>-</v>
      </c>
      <c r="N31" s="24"/>
      <c r="O31" s="25" t="str">
        <f t="shared" si="1"/>
        <v>Por iniciar</v>
      </c>
      <c r="P31"/>
    </row>
    <row r="32" spans="1:16" ht="14.5">
      <c r="A32" s="18" t="str">
        <f t="shared" si="0"/>
        <v>UNIV_OPERflag_lvrg_finc45991</v>
      </c>
      <c r="B32" s="63">
        <f t="array" ref="B32">+MAX(IF('3. Resultados'!A:A='1. Status'!A32&amp;'1. Status'!$B$10,'3. Resultados'!K:K))</f>
        <v>0</v>
      </c>
      <c r="C32" s="57">
        <f t="array" ref="C32">+MAX(IF('3. Resultados'!A:A='1. Status'!A32&amp;'1. Status'!$C$10,'3. Resultados'!K:K))</f>
        <v>0</v>
      </c>
      <c r="D32" s="57">
        <f t="array" ref="D32">+MAX(IF('3. Resultados'!A:A='1. Status'!A32&amp;'1. Status'!$D$10,'3. Resultados'!K:K))</f>
        <v>0</v>
      </c>
      <c r="E32" s="57">
        <f t="array" ref="E32">+MAX(IF('3. Resultados'!A:A='1. Status'!A32&amp;'1. Status'!$E$10,'3. Resultados'!K:K))</f>
        <v>0</v>
      </c>
      <c r="F32" s="64">
        <f t="array" ref="F32">+MAX(IF('3. Resultados'!A:A='1. Status'!A32&amp;'1. Status'!$F$10,'3. Resultados'!K:K))</f>
        <v>0</v>
      </c>
      <c r="G32" s="57"/>
      <c r="H32" s="62" t="s">
        <v>204</v>
      </c>
      <c r="I32" s="19" t="s">
        <v>227</v>
      </c>
      <c r="J32" s="24">
        <f>+COUNTIFS('3. Resultados'!C:C,'1. Status'!H32,'3. Resultados'!G:G,'1. Status'!I32)</f>
        <v>0</v>
      </c>
      <c r="K32" s="70" t="str">
        <f>+IFERROR(VLOOKUP(CONCATENATE(A32,$B$10,B32),'3. Resultados'!B:J,8,FALSE),"-")</f>
        <v>-</v>
      </c>
      <c r="L32" s="69" t="str">
        <f>+IFERROR(VLOOKUP(B32,'3. Resultados'!K:L,2,FALSE),"-")</f>
        <v>-</v>
      </c>
      <c r="M32" s="70" t="str">
        <f>+IFERROR(VLOOKUP(CONCATENATE(A32,$B$10,B32),'3. Resultados'!B:J,9,FALSE),"-")</f>
        <v>-</v>
      </c>
      <c r="N32" s="24"/>
      <c r="O32" s="25" t="str">
        <f t="shared" si="1"/>
        <v>Por iniciar</v>
      </c>
      <c r="P32"/>
    </row>
    <row r="33" spans="1:16" ht="14.5">
      <c r="A33" s="18" t="str">
        <f t="shared" si="0"/>
        <v>UNIV_OPERflag_pme45991</v>
      </c>
      <c r="B33" s="63">
        <f t="array" ref="B33">+MAX(IF('3. Resultados'!A:A='1. Status'!A33&amp;'1. Status'!$B$10,'3. Resultados'!K:K))</f>
        <v>0</v>
      </c>
      <c r="C33" s="57">
        <f t="array" ref="C33">+MAX(IF('3. Resultados'!A:A='1. Status'!A33&amp;'1. Status'!$C$10,'3. Resultados'!K:K))</f>
        <v>0</v>
      </c>
      <c r="D33" s="57">
        <f t="array" ref="D33">+MAX(IF('3. Resultados'!A:A='1. Status'!A33&amp;'1. Status'!$D$10,'3. Resultados'!K:K))</f>
        <v>0</v>
      </c>
      <c r="E33" s="57">
        <f t="array" ref="E33">+MAX(IF('3. Resultados'!A:A='1. Status'!A33&amp;'1. Status'!$E$10,'3. Resultados'!K:K))</f>
        <v>0</v>
      </c>
      <c r="F33" s="64">
        <f t="array" ref="F33">+MAX(IF('3. Resultados'!A:A='1. Status'!A33&amp;'1. Status'!$F$10,'3. Resultados'!K:K))</f>
        <v>0</v>
      </c>
      <c r="G33" s="57"/>
      <c r="H33" s="62" t="s">
        <v>204</v>
      </c>
      <c r="I33" s="19" t="s">
        <v>228</v>
      </c>
      <c r="J33" s="24">
        <f>+COUNTIFS('3. Resultados'!C:C,'1. Status'!H33,'3. Resultados'!G:G,'1. Status'!I33)</f>
        <v>0</v>
      </c>
      <c r="K33" s="70" t="str">
        <f>+IFERROR(VLOOKUP(CONCATENATE(A33,$B$10,B33),'3. Resultados'!B:J,8,FALSE),"-")</f>
        <v>-</v>
      </c>
      <c r="L33" s="69" t="str">
        <f>+IFERROR(VLOOKUP(B33,'3. Resultados'!K:L,2,FALSE),"-")</f>
        <v>-</v>
      </c>
      <c r="M33" s="70" t="str">
        <f>+IFERROR(VLOOKUP(CONCATENATE(A33,$B$10,B33),'3. Resultados'!B:J,9,FALSE),"-")</f>
        <v>-</v>
      </c>
      <c r="N33" s="24"/>
      <c r="O33" s="25" t="str">
        <f t="shared" si="1"/>
        <v>Por iniciar</v>
      </c>
      <c r="P33"/>
    </row>
    <row r="34" spans="1:16" ht="14.5">
      <c r="A34" s="18" t="str">
        <f t="shared" si="0"/>
        <v>UNIV_OPERflag_inst_div45991</v>
      </c>
      <c r="B34" s="63">
        <f t="array" ref="B34">+MAX(IF('3. Resultados'!A:A='1. Status'!A34&amp;'1. Status'!$B$10,'3. Resultados'!K:K))</f>
        <v>0</v>
      </c>
      <c r="C34" s="57">
        <f t="array" ref="C34">+MAX(IF('3. Resultados'!A:A='1. Status'!A34&amp;'1. Status'!$C$10,'3. Resultados'!K:K))</f>
        <v>0</v>
      </c>
      <c r="D34" s="57">
        <f t="array" ref="D34">+MAX(IF('3. Resultados'!A:A='1. Status'!A34&amp;'1. Status'!$D$10,'3. Resultados'!K:K))</f>
        <v>0</v>
      </c>
      <c r="E34" s="57">
        <f t="array" ref="E34">+MAX(IF('3. Resultados'!A:A='1. Status'!A34&amp;'1. Status'!$E$10,'3. Resultados'!K:K))</f>
        <v>0</v>
      </c>
      <c r="F34" s="64">
        <f t="array" ref="F34">+MAX(IF('3. Resultados'!A:A='1. Status'!A34&amp;'1. Status'!$F$10,'3. Resultados'!K:K))</f>
        <v>0</v>
      </c>
      <c r="G34" s="57"/>
      <c r="H34" s="62" t="s">
        <v>204</v>
      </c>
      <c r="I34" s="19" t="s">
        <v>229</v>
      </c>
      <c r="J34" s="24">
        <f>+COUNTIFS('3. Resultados'!C:C,'1. Status'!H34,'3. Resultados'!G:G,'1. Status'!I34)</f>
        <v>0</v>
      </c>
      <c r="K34" s="70" t="str">
        <f>+IFERROR(VLOOKUP(CONCATENATE(A34,$B$10,B34),'3. Resultados'!B:J,8,FALSE),"-")</f>
        <v>-</v>
      </c>
      <c r="L34" s="69" t="str">
        <f>+IFERROR(VLOOKUP(B34,'3. Resultados'!K:L,2,FALSE),"-")</f>
        <v>-</v>
      </c>
      <c r="M34" s="70" t="str">
        <f>+IFERROR(VLOOKUP(CONCATENATE(A34,$B$10,B34),'3. Resultados'!B:J,9,FALSE),"-")</f>
        <v>-</v>
      </c>
      <c r="N34" s="24"/>
      <c r="O34" s="25" t="str">
        <f t="shared" si="1"/>
        <v>Por iniciar</v>
      </c>
      <c r="P34"/>
    </row>
    <row r="35" spans="1:16" ht="14.5">
      <c r="A35" s="18" t="str">
        <f t="shared" si="0"/>
        <v>UNIV_OPERflag_inst_cap45991</v>
      </c>
      <c r="B35" s="63">
        <f t="array" ref="B35">+MAX(IF('3. Resultados'!A:A='1. Status'!A35&amp;'1. Status'!$B$10,'3. Resultados'!K:K))</f>
        <v>0</v>
      </c>
      <c r="C35" s="57">
        <f t="array" ref="C35">+MAX(IF('3. Resultados'!A:A='1. Status'!A35&amp;'1. Status'!$C$10,'3. Resultados'!K:K))</f>
        <v>0</v>
      </c>
      <c r="D35" s="57">
        <f t="array" ref="D35">+MAX(IF('3. Resultados'!A:A='1. Status'!A35&amp;'1. Status'!$D$10,'3. Resultados'!K:K))</f>
        <v>0</v>
      </c>
      <c r="E35" s="57">
        <f t="array" ref="E35">+MAX(IF('3. Resultados'!A:A='1. Status'!A35&amp;'1. Status'!$E$10,'3. Resultados'!K:K))</f>
        <v>0</v>
      </c>
      <c r="F35" s="64">
        <f t="array" ref="F35">+MAX(IF('3. Resultados'!A:A='1. Status'!A35&amp;'1. Status'!$F$10,'3. Resultados'!K:K))</f>
        <v>0</v>
      </c>
      <c r="G35" s="57"/>
      <c r="H35" s="62" t="s">
        <v>204</v>
      </c>
      <c r="I35" s="19" t="s">
        <v>230</v>
      </c>
      <c r="J35" s="24">
        <f>+COUNTIFS('3. Resultados'!C:C,'1. Status'!H35,'3. Resultados'!G:G,'1. Status'!I35)</f>
        <v>0</v>
      </c>
      <c r="K35" s="70" t="str">
        <f>+IFERROR(VLOOKUP(CONCATENATE(A35,$B$10,B35),'3. Resultados'!B:J,8,FALSE),"-")</f>
        <v>-</v>
      </c>
      <c r="L35" s="69" t="str">
        <f>+IFERROR(VLOOKUP(B35,'3. Resultados'!K:L,2,FALSE),"-")</f>
        <v>-</v>
      </c>
      <c r="M35" s="70" t="str">
        <f>+IFERROR(VLOOKUP(CONCATENATE(A35,$B$10,B35),'3. Resultados'!B:J,9,FALSE),"-")</f>
        <v>-</v>
      </c>
      <c r="N35" s="24"/>
      <c r="O35" s="25" t="str">
        <f t="shared" si="1"/>
        <v>Por iniciar</v>
      </c>
      <c r="P35"/>
    </row>
    <row r="36" spans="1:16" ht="14.5">
      <c r="A36" s="18" t="str">
        <f t="shared" si="0"/>
        <v>UNIV_OPERflag_inst_deriv45991</v>
      </c>
      <c r="B36" s="63">
        <f t="array" ref="B36">+MAX(IF('3. Resultados'!A:A='1. Status'!A36&amp;'1. Status'!$B$10,'3. Resultados'!K:K))</f>
        <v>0</v>
      </c>
      <c r="C36" s="57">
        <f t="array" ref="C36">+MAX(IF('3. Resultados'!A:A='1. Status'!A36&amp;'1. Status'!$C$10,'3. Resultados'!K:K))</f>
        <v>0</v>
      </c>
      <c r="D36" s="57">
        <f t="array" ref="D36">+MAX(IF('3. Resultados'!A:A='1. Status'!A36&amp;'1. Status'!$D$10,'3. Resultados'!K:K))</f>
        <v>0</v>
      </c>
      <c r="E36" s="57">
        <f t="array" ref="E36">+MAX(IF('3. Resultados'!A:A='1. Status'!A36&amp;'1. Status'!$E$10,'3. Resultados'!K:K))</f>
        <v>0</v>
      </c>
      <c r="F36" s="64">
        <f t="array" ref="F36">+MAX(IF('3. Resultados'!A:A='1. Status'!A36&amp;'1. Status'!$F$10,'3. Resultados'!K:K))</f>
        <v>0</v>
      </c>
      <c r="G36" s="57"/>
      <c r="H36" s="62" t="s">
        <v>204</v>
      </c>
      <c r="I36" s="19" t="s">
        <v>231</v>
      </c>
      <c r="J36" s="24">
        <f>+COUNTIFS('3. Resultados'!C:C,'1. Status'!H36,'3. Resultados'!G:G,'1. Status'!I36)</f>
        <v>0</v>
      </c>
      <c r="K36" s="70" t="str">
        <f>+IFERROR(VLOOKUP(CONCATENATE(A36,$B$10,B36),'3. Resultados'!B:J,8,FALSE),"-")</f>
        <v>-</v>
      </c>
      <c r="L36" s="69" t="str">
        <f>+IFERROR(VLOOKUP(B36,'3. Resultados'!K:L,2,FALSE),"-")</f>
        <v>-</v>
      </c>
      <c r="M36" s="70" t="str">
        <f>+IFERROR(VLOOKUP(CONCATENATE(A36,$B$10,B36),'3. Resultados'!B:J,9,FALSE),"-")</f>
        <v>-</v>
      </c>
      <c r="N36" s="24"/>
      <c r="O36" s="25" t="str">
        <f t="shared" si="1"/>
        <v>Por iniciar</v>
      </c>
      <c r="P36"/>
    </row>
    <row r="37" spans="1:16" ht="14.5">
      <c r="A37" s="18" t="str">
        <f t="shared" si="0"/>
        <v>UNIV_OPERflag_ajust_ncon45991</v>
      </c>
      <c r="B37" s="63">
        <f t="array" ref="B37">+MAX(IF('3. Resultados'!A:A='1. Status'!A37&amp;'1. Status'!$B$10,'3. Resultados'!K:K))</f>
        <v>0</v>
      </c>
      <c r="C37" s="57">
        <f t="array" ref="C37">+MAX(IF('3. Resultados'!A:A='1. Status'!A37&amp;'1. Status'!$C$10,'3. Resultados'!K:K))</f>
        <v>0</v>
      </c>
      <c r="D37" s="57">
        <f t="array" ref="D37">+MAX(IF('3. Resultados'!A:A='1. Status'!A37&amp;'1. Status'!$D$10,'3. Resultados'!K:K))</f>
        <v>0</v>
      </c>
      <c r="E37" s="57">
        <f t="array" ref="E37">+MAX(IF('3. Resultados'!A:A='1. Status'!A37&amp;'1. Status'!$E$10,'3. Resultados'!K:K))</f>
        <v>0</v>
      </c>
      <c r="F37" s="64">
        <f t="array" ref="F37">+MAX(IF('3. Resultados'!A:A='1. Status'!A37&amp;'1. Status'!$F$10,'3. Resultados'!K:K))</f>
        <v>0</v>
      </c>
      <c r="G37" s="57"/>
      <c r="H37" s="62" t="s">
        <v>204</v>
      </c>
      <c r="I37" s="19" t="s">
        <v>232</v>
      </c>
      <c r="J37" s="24">
        <f>+COUNTIFS('3. Resultados'!C:C,'1. Status'!H37,'3. Resultados'!G:G,'1. Status'!I37)</f>
        <v>0</v>
      </c>
      <c r="K37" s="70" t="str">
        <f>+IFERROR(VLOOKUP(CONCATENATE(A37,$B$10,B37),'3. Resultados'!B:J,8,FALSE),"-")</f>
        <v>-</v>
      </c>
      <c r="L37" s="69" t="str">
        <f>+IFERROR(VLOOKUP(B37,'3. Resultados'!K:L,2,FALSE),"-")</f>
        <v>-</v>
      </c>
      <c r="M37" s="70" t="str">
        <f>+IFERROR(VLOOKUP(CONCATENATE(A37,$B$10,B37),'3. Resultados'!B:J,9,FALSE),"-")</f>
        <v>-</v>
      </c>
      <c r="N37" s="24"/>
      <c r="O37" s="25" t="str">
        <f t="shared" si="1"/>
        <v>Por iniciar</v>
      </c>
      <c r="P37"/>
    </row>
    <row r="38" spans="1:16" ht="14.5">
      <c r="A38" s="18" t="str">
        <f t="shared" si="0"/>
        <v>UNIV_OPERflag_mis45991</v>
      </c>
      <c r="B38" s="63">
        <f t="array" ref="B38">+MAX(IF('3. Resultados'!A:A='1. Status'!A38&amp;'1. Status'!$B$10,'3. Resultados'!K:K))</f>
        <v>0</v>
      </c>
      <c r="C38" s="57">
        <f t="array" ref="C38">+MAX(IF('3. Resultados'!A:A='1. Status'!A38&amp;'1. Status'!$C$10,'3. Resultados'!K:K))</f>
        <v>0</v>
      </c>
      <c r="D38" s="57">
        <f t="array" ref="D38">+MAX(IF('3. Resultados'!A:A='1. Status'!A38&amp;'1. Status'!$D$10,'3. Resultados'!K:K))</f>
        <v>0</v>
      </c>
      <c r="E38" s="57">
        <f t="array" ref="E38">+MAX(IF('3. Resultados'!A:A='1. Status'!A38&amp;'1. Status'!$E$10,'3. Resultados'!K:K))</f>
        <v>0</v>
      </c>
      <c r="F38" s="64">
        <f t="array" ref="F38">+MAX(IF('3. Resultados'!A:A='1. Status'!A38&amp;'1. Status'!$F$10,'3. Resultados'!K:K))</f>
        <v>0</v>
      </c>
      <c r="G38" s="57"/>
      <c r="H38" s="62" t="s">
        <v>204</v>
      </c>
      <c r="I38" s="19" t="s">
        <v>233</v>
      </c>
      <c r="J38" s="24">
        <f>+COUNTIFS('3. Resultados'!C:C,'1. Status'!H38,'3. Resultados'!G:G,'1. Status'!I38)</f>
        <v>0</v>
      </c>
      <c r="K38" s="70" t="str">
        <f>+IFERROR(VLOOKUP(CONCATENATE(A38,$B$10,B38),'3. Resultados'!B:J,8,FALSE),"-")</f>
        <v>-</v>
      </c>
      <c r="L38" s="69" t="str">
        <f>+IFERROR(VLOOKUP(B38,'3. Resultados'!K:L,2,FALSE),"-")</f>
        <v>-</v>
      </c>
      <c r="M38" s="70" t="str">
        <f>+IFERROR(VLOOKUP(CONCATENATE(A38,$B$10,B38),'3. Resultados'!B:J,9,FALSE),"-")</f>
        <v>-</v>
      </c>
      <c r="N38" s="24"/>
      <c r="O38" s="25" t="str">
        <f t="shared" si="1"/>
        <v>Por iniciar</v>
      </c>
      <c r="P38"/>
    </row>
    <row r="39" spans="1:16" ht="14.5">
      <c r="A39" s="18" t="str">
        <f t="shared" si="0"/>
        <v>UNIV_OPERflag_inst_titulos45991</v>
      </c>
      <c r="B39" s="63">
        <f t="array" ref="B39">+MAX(IF('3. Resultados'!A:A='1. Status'!A39&amp;'1. Status'!$B$10,'3. Resultados'!K:K))</f>
        <v>0</v>
      </c>
      <c r="C39" s="57">
        <f t="array" ref="C39">+MAX(IF('3. Resultados'!A:A='1. Status'!A39&amp;'1. Status'!$C$10,'3. Resultados'!K:K))</f>
        <v>0</v>
      </c>
      <c r="D39" s="57">
        <f t="array" ref="D39">+MAX(IF('3. Resultados'!A:A='1. Status'!A39&amp;'1. Status'!$D$10,'3. Resultados'!K:K))</f>
        <v>0</v>
      </c>
      <c r="E39" s="57">
        <f t="array" ref="E39">+MAX(IF('3. Resultados'!A:A='1. Status'!A39&amp;'1. Status'!$E$10,'3. Resultados'!K:K))</f>
        <v>0</v>
      </c>
      <c r="F39" s="64">
        <f t="array" ref="F39">+MAX(IF('3. Resultados'!A:A='1. Status'!A39&amp;'1. Status'!$F$10,'3. Resultados'!K:K))</f>
        <v>0</v>
      </c>
      <c r="G39" s="57"/>
      <c r="H39" s="62" t="s">
        <v>204</v>
      </c>
      <c r="I39" s="19" t="s">
        <v>234</v>
      </c>
      <c r="J39" s="24">
        <f>+COUNTIFS('3. Resultados'!C:C,'1. Status'!H39,'3. Resultados'!G:G,'1. Status'!I39)</f>
        <v>0</v>
      </c>
      <c r="K39" s="70" t="str">
        <f>+IFERROR(VLOOKUP(CONCATENATE(A39,$B$10,B39),'3. Resultados'!B:J,8,FALSE),"-")</f>
        <v>-</v>
      </c>
      <c r="L39" s="69" t="str">
        <f>+IFERROR(VLOOKUP(B39,'3. Resultados'!K:L,2,FALSE),"-")</f>
        <v>-</v>
      </c>
      <c r="M39" s="70" t="str">
        <f>+IFERROR(VLOOKUP(CONCATENATE(A39,$B$10,B39),'3. Resultados'!B:J,9,FALSE),"-")</f>
        <v>-</v>
      </c>
      <c r="N39" s="24"/>
      <c r="O39" s="25" t="str">
        <f t="shared" si="1"/>
        <v>Por iniciar</v>
      </c>
      <c r="P39"/>
    </row>
    <row r="40" spans="1:16" ht="14.5">
      <c r="A40" s="18" t="str">
        <f t="shared" si="0"/>
        <v>UNIV_OPERflag_gar_intrg_san45991</v>
      </c>
      <c r="B40" s="63">
        <f t="array" ref="B40">+MAX(IF('3. Resultados'!A:A='1. Status'!A40&amp;'1. Status'!$B$10,'3. Resultados'!K:K))</f>
        <v>0</v>
      </c>
      <c r="C40" s="57">
        <f t="array" ref="C40">+MAX(IF('3. Resultados'!A:A='1. Status'!A40&amp;'1. Status'!$C$10,'3. Resultados'!K:K))</f>
        <v>0</v>
      </c>
      <c r="D40" s="57">
        <f t="array" ref="D40">+MAX(IF('3. Resultados'!A:A='1. Status'!A40&amp;'1. Status'!$D$10,'3. Resultados'!K:K))</f>
        <v>0</v>
      </c>
      <c r="E40" s="57">
        <f t="array" ref="E40">+MAX(IF('3. Resultados'!A:A='1. Status'!A40&amp;'1. Status'!$E$10,'3. Resultados'!K:K))</f>
        <v>0</v>
      </c>
      <c r="F40" s="64">
        <f t="array" ref="F40">+MAX(IF('3. Resultados'!A:A='1. Status'!A40&amp;'1. Status'!$F$10,'3. Resultados'!K:K))</f>
        <v>0</v>
      </c>
      <c r="G40" s="57"/>
      <c r="H40" s="62" t="s">
        <v>204</v>
      </c>
      <c r="I40" s="19" t="s">
        <v>235</v>
      </c>
      <c r="J40" s="24">
        <f>+COUNTIFS('3. Resultados'!C:C,'1. Status'!H40,'3. Resultados'!G:G,'1. Status'!I40)</f>
        <v>0</v>
      </c>
      <c r="K40" s="70" t="str">
        <f>+IFERROR(VLOOKUP(CONCATENATE(A40,$B$10,B40),'3. Resultados'!B:J,8,FALSE),"-")</f>
        <v>-</v>
      </c>
      <c r="L40" s="69" t="str">
        <f>+IFERROR(VLOOKUP(B40,'3. Resultados'!K:L,2,FALSE),"-")</f>
        <v>-</v>
      </c>
      <c r="M40" s="70" t="str">
        <f>+IFERROR(VLOOKUP(CONCATENATE(A40,$B$10,B40),'3. Resultados'!B:J,9,FALSE),"-")</f>
        <v>-</v>
      </c>
      <c r="N40" s="24"/>
      <c r="O40" s="25" t="str">
        <f t="shared" si="1"/>
        <v>Por iniciar</v>
      </c>
      <c r="P40"/>
    </row>
    <row r="41" spans="1:16" ht="14.5">
      <c r="A41" s="18" t="str">
        <f t="shared" si="0"/>
        <v>UNIV_OPERvalor_bruto_on45991</v>
      </c>
      <c r="B41" s="63">
        <f t="array" ref="B41">+MAX(IF('3. Resultados'!A:A='1. Status'!A41&amp;'1. Status'!$B$10,'3. Resultados'!K:K))</f>
        <v>0</v>
      </c>
      <c r="C41" s="57">
        <f t="array" ref="C41">+MAX(IF('3. Resultados'!A:A='1. Status'!A41&amp;'1. Status'!$C$10,'3. Resultados'!K:K))</f>
        <v>0</v>
      </c>
      <c r="D41" s="57">
        <f t="array" ref="D41">+MAX(IF('3. Resultados'!A:A='1. Status'!A41&amp;'1. Status'!$D$10,'3. Resultados'!K:K))</f>
        <v>0</v>
      </c>
      <c r="E41" s="57">
        <f t="array" ref="E41">+MAX(IF('3. Resultados'!A:A='1. Status'!A41&amp;'1. Status'!$E$10,'3. Resultados'!K:K))</f>
        <v>0</v>
      </c>
      <c r="F41" s="64">
        <f t="array" ref="F41">+MAX(IF('3. Resultados'!A:A='1. Status'!A41&amp;'1. Status'!$F$10,'3. Resultados'!K:K))</f>
        <v>0</v>
      </c>
      <c r="G41" s="57"/>
      <c r="H41" s="62" t="s">
        <v>204</v>
      </c>
      <c r="I41" s="19" t="s">
        <v>236</v>
      </c>
      <c r="J41" s="24">
        <f>+COUNTIFS('3. Resultados'!C:C,'1. Status'!H41,'3. Resultados'!G:G,'1. Status'!I41)</f>
        <v>0</v>
      </c>
      <c r="K41" s="70" t="str">
        <f>+IFERROR(VLOOKUP(CONCATENATE(A41,$B$10,B41),'3. Resultados'!B:J,8,FALSE),"-")</f>
        <v>-</v>
      </c>
      <c r="L41" s="69" t="str">
        <f>+IFERROR(VLOOKUP(B41,'3. Resultados'!K:L,2,FALSE),"-")</f>
        <v>-</v>
      </c>
      <c r="M41" s="70" t="str">
        <f>+IFERROR(VLOOKUP(CONCATENATE(A41,$B$10,B41),'3. Resultados'!B:J,9,FALSE),"-")</f>
        <v>-</v>
      </c>
      <c r="N41" s="24"/>
      <c r="O41" s="25" t="str">
        <f t="shared" si="1"/>
        <v>Por iniciar</v>
      </c>
      <c r="P41"/>
    </row>
    <row r="42" spans="1:16" ht="14.5">
      <c r="A42" s="18" t="str">
        <f t="shared" si="0"/>
        <v>UNIV_OPERvalor_bruto_off45991</v>
      </c>
      <c r="B42" s="63">
        <f t="array" ref="B42">+MAX(IF('3. Resultados'!A:A='1. Status'!A42&amp;'1. Status'!$B$10,'3. Resultados'!K:K))</f>
        <v>0</v>
      </c>
      <c r="C42" s="57">
        <f t="array" ref="C42">+MAX(IF('3. Resultados'!A:A='1. Status'!A42&amp;'1. Status'!$C$10,'3. Resultados'!K:K))</f>
        <v>0</v>
      </c>
      <c r="D42" s="57">
        <f t="array" ref="D42">+MAX(IF('3. Resultados'!A:A='1. Status'!A42&amp;'1. Status'!$D$10,'3. Resultados'!K:K))</f>
        <v>0</v>
      </c>
      <c r="E42" s="57">
        <f t="array" ref="E42">+MAX(IF('3. Resultados'!A:A='1. Status'!A42&amp;'1. Status'!$E$10,'3. Resultados'!K:K))</f>
        <v>0</v>
      </c>
      <c r="F42" s="64">
        <f t="array" ref="F42">+MAX(IF('3. Resultados'!A:A='1. Status'!A42&amp;'1. Status'!$F$10,'3. Resultados'!K:K))</f>
        <v>0</v>
      </c>
      <c r="G42" s="57"/>
      <c r="H42" s="62" t="s">
        <v>204</v>
      </c>
      <c r="I42" s="19" t="s">
        <v>237</v>
      </c>
      <c r="J42" s="24">
        <f>+COUNTIFS('3. Resultados'!C:C,'1. Status'!H42,'3. Resultados'!G:G,'1. Status'!I42)</f>
        <v>0</v>
      </c>
      <c r="K42" s="70" t="str">
        <f>+IFERROR(VLOOKUP(CONCATENATE(A42,$B$10,B42),'3. Resultados'!B:J,8,FALSE),"-")</f>
        <v>-</v>
      </c>
      <c r="L42" s="69" t="str">
        <f>+IFERROR(VLOOKUP(B42,'3. Resultados'!K:L,2,FALSE),"-")</f>
        <v>-</v>
      </c>
      <c r="M42" s="70" t="str">
        <f>+IFERROR(VLOOKUP(CONCATENATE(A42,$B$10,B42),'3. Resultados'!B:J,9,FALSE),"-")</f>
        <v>-</v>
      </c>
      <c r="N42" s="24"/>
      <c r="O42" s="25" t="str">
        <f t="shared" si="1"/>
        <v>Por iniciar</v>
      </c>
      <c r="P42"/>
    </row>
    <row r="43" spans="1:16" ht="14.5">
      <c r="A43" s="18" t="str">
        <f t="shared" si="0"/>
        <v>UNIV_OPERprovisao_on45991</v>
      </c>
      <c r="B43" s="63">
        <f t="array" ref="B43">+MAX(IF('3. Resultados'!A:A='1. Status'!A43&amp;'1. Status'!$B$10,'3. Resultados'!K:K))</f>
        <v>0</v>
      </c>
      <c r="C43" s="57">
        <f t="array" ref="C43">+MAX(IF('3. Resultados'!A:A='1. Status'!A43&amp;'1. Status'!$C$10,'3. Resultados'!K:K))</f>
        <v>0</v>
      </c>
      <c r="D43" s="57">
        <f t="array" ref="D43">+MAX(IF('3. Resultados'!A:A='1. Status'!A43&amp;'1. Status'!$D$10,'3. Resultados'!K:K))</f>
        <v>0</v>
      </c>
      <c r="E43" s="57">
        <f t="array" ref="E43">+MAX(IF('3. Resultados'!A:A='1. Status'!A43&amp;'1. Status'!$E$10,'3. Resultados'!K:K))</f>
        <v>0</v>
      </c>
      <c r="F43" s="64">
        <f t="array" ref="F43">+MAX(IF('3. Resultados'!A:A='1. Status'!A43&amp;'1. Status'!$F$10,'3. Resultados'!K:K))</f>
        <v>0</v>
      </c>
      <c r="G43" s="57"/>
      <c r="H43" s="62" t="s">
        <v>204</v>
      </c>
      <c r="I43" s="19" t="s">
        <v>238</v>
      </c>
      <c r="J43" s="24">
        <f>+COUNTIFS('3. Resultados'!C:C,'1. Status'!H43,'3. Resultados'!G:G,'1. Status'!I43)</f>
        <v>0</v>
      </c>
      <c r="K43" s="70" t="str">
        <f>+IFERROR(VLOOKUP(CONCATENATE(A43,$B$10,B43),'3. Resultados'!B:J,8,FALSE),"-")</f>
        <v>-</v>
      </c>
      <c r="L43" s="69" t="str">
        <f>+IFERROR(VLOOKUP(B43,'3. Resultados'!K:L,2,FALSE),"-")</f>
        <v>-</v>
      </c>
      <c r="M43" s="70" t="str">
        <f>+IFERROR(VLOOKUP(CONCATENATE(A43,$B$10,B43),'3. Resultados'!B:J,9,FALSE),"-")</f>
        <v>-</v>
      </c>
      <c r="N43" s="24"/>
      <c r="O43" s="25" t="str">
        <f t="shared" si="1"/>
        <v>Por iniciar</v>
      </c>
      <c r="P43"/>
    </row>
    <row r="44" spans="1:16" ht="14.5">
      <c r="A44" s="18" t="str">
        <f t="shared" si="0"/>
        <v>UNIV_OPERprovisao_off45991</v>
      </c>
      <c r="B44" s="63">
        <f t="array" ref="B44">+MAX(IF('3. Resultados'!A:A='1. Status'!A44&amp;'1. Status'!$B$10,'3. Resultados'!K:K))</f>
        <v>0</v>
      </c>
      <c r="C44" s="57">
        <f t="array" ref="C44">+MAX(IF('3. Resultados'!A:A='1. Status'!A44&amp;'1. Status'!$C$10,'3. Resultados'!K:K))</f>
        <v>0</v>
      </c>
      <c r="D44" s="57">
        <f t="array" ref="D44">+MAX(IF('3. Resultados'!A:A='1. Status'!A44&amp;'1. Status'!$D$10,'3. Resultados'!K:K))</f>
        <v>0</v>
      </c>
      <c r="E44" s="57">
        <f t="array" ref="E44">+MAX(IF('3. Resultados'!A:A='1. Status'!A44&amp;'1. Status'!$E$10,'3. Resultados'!K:K))</f>
        <v>0</v>
      </c>
      <c r="F44" s="64">
        <f t="array" ref="F44">+MAX(IF('3. Resultados'!A:A='1. Status'!A44&amp;'1. Status'!$F$10,'3. Resultados'!K:K))</f>
        <v>0</v>
      </c>
      <c r="G44" s="57"/>
      <c r="H44" s="62" t="s">
        <v>204</v>
      </c>
      <c r="I44" s="19" t="s">
        <v>239</v>
      </c>
      <c r="J44" s="24">
        <f>+COUNTIFS('3. Resultados'!C:C,'1. Status'!H44,'3. Resultados'!G:G,'1. Status'!I44)</f>
        <v>0</v>
      </c>
      <c r="K44" s="70" t="str">
        <f>+IFERROR(VLOOKUP(CONCATENATE(A44,$B$10,B44),'3. Resultados'!B:J,8,FALSE),"-")</f>
        <v>-</v>
      </c>
      <c r="L44" s="69" t="str">
        <f>+IFERROR(VLOOKUP(B44,'3. Resultados'!K:L,2,FALSE),"-")</f>
        <v>-</v>
      </c>
      <c r="M44" s="70" t="str">
        <f>+IFERROR(VLOOKUP(CONCATENATE(A44,$B$10,B44),'3. Resultados'!B:J,9,FALSE),"-")</f>
        <v>-</v>
      </c>
      <c r="N44" s="24"/>
      <c r="O44" s="25" t="str">
        <f t="shared" si="1"/>
        <v>Por iniciar</v>
      </c>
      <c r="P44"/>
    </row>
    <row r="45" spans="1:16" ht="14.5">
      <c r="A45" s="18" t="str">
        <f t="shared" si="0"/>
        <v>UNIV_OPERvalor_bruto_on_prvs45991</v>
      </c>
      <c r="B45" s="63">
        <f t="array" ref="B45">+MAX(IF('3. Resultados'!A:A='1. Status'!A45&amp;'1. Status'!$B$10,'3. Resultados'!K:K))</f>
        <v>0</v>
      </c>
      <c r="C45" s="57">
        <f t="array" ref="C45">+MAX(IF('3. Resultados'!A:A='1. Status'!A45&amp;'1. Status'!$C$10,'3. Resultados'!K:K))</f>
        <v>0</v>
      </c>
      <c r="D45" s="57">
        <f t="array" ref="D45">+MAX(IF('3. Resultados'!A:A='1. Status'!A45&amp;'1. Status'!$D$10,'3. Resultados'!K:K))</f>
        <v>0</v>
      </c>
      <c r="E45" s="57">
        <f t="array" ref="E45">+MAX(IF('3. Resultados'!A:A='1. Status'!A45&amp;'1. Status'!$E$10,'3. Resultados'!K:K))</f>
        <v>0</v>
      </c>
      <c r="F45" s="64">
        <f t="array" ref="F45">+MAX(IF('3. Resultados'!A:A='1. Status'!A45&amp;'1. Status'!$F$10,'3. Resultados'!K:K))</f>
        <v>0</v>
      </c>
      <c r="G45" s="57"/>
      <c r="H45" s="62" t="s">
        <v>204</v>
      </c>
      <c r="I45" s="19" t="s">
        <v>240</v>
      </c>
      <c r="J45" s="24">
        <f>+COUNTIFS('3. Resultados'!C:C,'1. Status'!H45,'3. Resultados'!G:G,'1. Status'!I45)</f>
        <v>0</v>
      </c>
      <c r="K45" s="70" t="str">
        <f>+IFERROR(VLOOKUP(CONCATENATE(A45,$B$10,B45),'3. Resultados'!B:J,8,FALSE),"-")</f>
        <v>-</v>
      </c>
      <c r="L45" s="69" t="str">
        <f>+IFERROR(VLOOKUP(B45,'3. Resultados'!K:L,2,FALSE),"-")</f>
        <v>-</v>
      </c>
      <c r="M45" s="70" t="str">
        <f>+IFERROR(VLOOKUP(CONCATENATE(A45,$B$10,B45),'3. Resultados'!B:J,9,FALSE),"-")</f>
        <v>-</v>
      </c>
      <c r="N45" s="24"/>
      <c r="O45" s="25" t="str">
        <f t="shared" si="1"/>
        <v>Por iniciar</v>
      </c>
      <c r="P45"/>
    </row>
    <row r="46" spans="1:16" ht="14.5">
      <c r="A46" s="18" t="str">
        <f t="shared" si="0"/>
        <v>UNIV_OPERvalor_bruto_off_prvs45991</v>
      </c>
      <c r="B46" s="63">
        <f t="array" ref="B46">+MAX(IF('3. Resultados'!A:A='1. Status'!A46&amp;'1. Status'!$B$10,'3. Resultados'!K:K))</f>
        <v>0</v>
      </c>
      <c r="C46" s="57">
        <f t="array" ref="C46">+MAX(IF('3. Resultados'!A:A='1. Status'!A46&amp;'1. Status'!$C$10,'3. Resultados'!K:K))</f>
        <v>0</v>
      </c>
      <c r="D46" s="57">
        <f t="array" ref="D46">+MAX(IF('3. Resultados'!A:A='1. Status'!A46&amp;'1. Status'!$D$10,'3. Resultados'!K:K))</f>
        <v>0</v>
      </c>
      <c r="E46" s="57">
        <f t="array" ref="E46">+MAX(IF('3. Resultados'!A:A='1. Status'!A46&amp;'1. Status'!$E$10,'3. Resultados'!K:K))</f>
        <v>0</v>
      </c>
      <c r="F46" s="64">
        <f t="array" ref="F46">+MAX(IF('3. Resultados'!A:A='1. Status'!A46&amp;'1. Status'!$F$10,'3. Resultados'!K:K))</f>
        <v>0</v>
      </c>
      <c r="G46" s="57"/>
      <c r="H46" s="62" t="s">
        <v>204</v>
      </c>
      <c r="I46" s="19" t="s">
        <v>241</v>
      </c>
      <c r="J46" s="24">
        <f>+COUNTIFS('3. Resultados'!C:C,'1. Status'!H46,'3. Resultados'!G:G,'1. Status'!I46)</f>
        <v>0</v>
      </c>
      <c r="K46" s="70" t="str">
        <f>+IFERROR(VLOOKUP(CONCATENATE(A46,$B$10,B46),'3. Resultados'!B:J,8,FALSE),"-")</f>
        <v>-</v>
      </c>
      <c r="L46" s="69" t="str">
        <f>+IFERROR(VLOOKUP(B46,'3. Resultados'!K:L,2,FALSE),"-")</f>
        <v>-</v>
      </c>
      <c r="M46" s="70" t="str">
        <f>+IFERROR(VLOOKUP(CONCATENATE(A46,$B$10,B46),'3. Resultados'!B:J,9,FALSE),"-")</f>
        <v>-</v>
      </c>
      <c r="N46" s="24"/>
      <c r="O46" s="25" t="str">
        <f t="shared" si="1"/>
        <v>Por iniciar</v>
      </c>
      <c r="P46"/>
    </row>
    <row r="47" spans="1:16" ht="14.5">
      <c r="A47" s="18" t="str">
        <f t="shared" si="0"/>
        <v>UNIV_OPERprovisao_on_prvs45991</v>
      </c>
      <c r="B47" s="63">
        <f t="array" ref="B47">+MAX(IF('3. Resultados'!A:A='1. Status'!A47&amp;'1. Status'!$B$10,'3. Resultados'!K:K))</f>
        <v>0</v>
      </c>
      <c r="C47" s="57">
        <f t="array" ref="C47">+MAX(IF('3. Resultados'!A:A='1. Status'!A47&amp;'1. Status'!$C$10,'3. Resultados'!K:K))</f>
        <v>0</v>
      </c>
      <c r="D47" s="57">
        <f t="array" ref="D47">+MAX(IF('3. Resultados'!A:A='1. Status'!A47&amp;'1. Status'!$D$10,'3. Resultados'!K:K))</f>
        <v>0</v>
      </c>
      <c r="E47" s="57">
        <f t="array" ref="E47">+MAX(IF('3. Resultados'!A:A='1. Status'!A47&amp;'1. Status'!$E$10,'3. Resultados'!K:K))</f>
        <v>0</v>
      </c>
      <c r="F47" s="64">
        <f t="array" ref="F47">+MAX(IF('3. Resultados'!A:A='1. Status'!A47&amp;'1. Status'!$F$10,'3. Resultados'!K:K))</f>
        <v>0</v>
      </c>
      <c r="G47" s="57"/>
      <c r="H47" s="62" t="s">
        <v>204</v>
      </c>
      <c r="I47" s="19" t="s">
        <v>242</v>
      </c>
      <c r="J47" s="24">
        <f>+COUNTIFS('3. Resultados'!C:C,'1. Status'!H47,'3. Resultados'!G:G,'1. Status'!I47)</f>
        <v>0</v>
      </c>
      <c r="K47" s="70" t="str">
        <f>+IFERROR(VLOOKUP(CONCATENATE(A47,$B$10,B47),'3. Resultados'!B:J,8,FALSE),"-")</f>
        <v>-</v>
      </c>
      <c r="L47" s="69" t="str">
        <f>+IFERROR(VLOOKUP(B47,'3. Resultados'!K:L,2,FALSE),"-")</f>
        <v>-</v>
      </c>
      <c r="M47" s="70" t="str">
        <f>+IFERROR(VLOOKUP(CONCATENATE(A47,$B$10,B47),'3. Resultados'!B:J,9,FALSE),"-")</f>
        <v>-</v>
      </c>
      <c r="N47" s="24"/>
      <c r="O47" s="25" t="str">
        <f t="shared" si="1"/>
        <v>Por iniciar</v>
      </c>
      <c r="P47"/>
    </row>
    <row r="48" spans="1:16" ht="14.5">
      <c r="A48" s="18" t="str">
        <f t="shared" si="0"/>
        <v>UNIV_OPERprovisao_off_prvs45991</v>
      </c>
      <c r="B48" s="63">
        <f t="array" ref="B48">+MAX(IF('3. Resultados'!A:A='1. Status'!A48&amp;'1. Status'!$B$10,'3. Resultados'!K:K))</f>
        <v>0</v>
      </c>
      <c r="C48" s="57">
        <f t="array" ref="C48">+MAX(IF('3. Resultados'!A:A='1. Status'!A48&amp;'1. Status'!$C$10,'3. Resultados'!K:K))</f>
        <v>0</v>
      </c>
      <c r="D48" s="57">
        <f t="array" ref="D48">+MAX(IF('3. Resultados'!A:A='1. Status'!A48&amp;'1. Status'!$D$10,'3. Resultados'!K:K))</f>
        <v>0</v>
      </c>
      <c r="E48" s="57">
        <f t="array" ref="E48">+MAX(IF('3. Resultados'!A:A='1. Status'!A48&amp;'1. Status'!$E$10,'3. Resultados'!K:K))</f>
        <v>0</v>
      </c>
      <c r="F48" s="64">
        <f t="array" ref="F48">+MAX(IF('3. Resultados'!A:A='1. Status'!A48&amp;'1. Status'!$F$10,'3. Resultados'!K:K))</f>
        <v>0</v>
      </c>
      <c r="G48" s="57"/>
      <c r="H48" s="62" t="s">
        <v>204</v>
      </c>
      <c r="I48" s="19" t="s">
        <v>243</v>
      </c>
      <c r="J48" s="24">
        <f>+COUNTIFS('3. Resultados'!C:C,'1. Status'!H48,'3. Resultados'!G:G,'1. Status'!I48)</f>
        <v>0</v>
      </c>
      <c r="K48" s="70" t="str">
        <f>+IFERROR(VLOOKUP(CONCATENATE(A48,$B$10,B48),'3. Resultados'!B:J,8,FALSE),"-")</f>
        <v>-</v>
      </c>
      <c r="L48" s="69" t="str">
        <f>+IFERROR(VLOOKUP(B48,'3. Resultados'!K:L,2,FALSE),"-")</f>
        <v>-</v>
      </c>
      <c r="M48" s="70" t="str">
        <f>+IFERROR(VLOOKUP(CONCATENATE(A48,$B$10,B48),'3. Resultados'!B:J,9,FALSE),"-")</f>
        <v>-</v>
      </c>
      <c r="N48" s="24"/>
      <c r="O48" s="25" t="str">
        <f t="shared" si="1"/>
        <v>Por iniciar</v>
      </c>
      <c r="P48"/>
    </row>
    <row r="49" spans="1:16" ht="14.5">
      <c r="A49" s="18" t="str">
        <f t="shared" si="0"/>
        <v>UNIV_OPERjuros_corridos45991</v>
      </c>
      <c r="B49" s="63">
        <f t="array" ref="B49">+MAX(IF('3. Resultados'!A:A='1. Status'!A49&amp;'1. Status'!$B$10,'3. Resultados'!K:K))</f>
        <v>0</v>
      </c>
      <c r="C49" s="57">
        <f t="array" ref="C49">+MAX(IF('3. Resultados'!A:A='1. Status'!A49&amp;'1. Status'!$C$10,'3. Resultados'!K:K))</f>
        <v>0</v>
      </c>
      <c r="D49" s="57">
        <f t="array" ref="D49">+MAX(IF('3. Resultados'!A:A='1. Status'!A49&amp;'1. Status'!$D$10,'3. Resultados'!K:K))</f>
        <v>0</v>
      </c>
      <c r="E49" s="57">
        <f t="array" ref="E49">+MAX(IF('3. Resultados'!A:A='1. Status'!A49&amp;'1. Status'!$E$10,'3. Resultados'!K:K))</f>
        <v>0</v>
      </c>
      <c r="F49" s="64">
        <f t="array" ref="F49">+MAX(IF('3. Resultados'!A:A='1. Status'!A49&amp;'1. Status'!$F$10,'3. Resultados'!K:K))</f>
        <v>0</v>
      </c>
      <c r="G49" s="57"/>
      <c r="H49" s="62" t="s">
        <v>204</v>
      </c>
      <c r="I49" s="19" t="s">
        <v>244</v>
      </c>
      <c r="J49" s="24">
        <f>+COUNTIFS('3. Resultados'!C:C,'1. Status'!H49,'3. Resultados'!G:G,'1. Status'!I49)</f>
        <v>0</v>
      </c>
      <c r="K49" s="70" t="str">
        <f>+IFERROR(VLOOKUP(CONCATENATE(A49,$B$10,B49),'3. Resultados'!B:J,8,FALSE),"-")</f>
        <v>-</v>
      </c>
      <c r="L49" s="69" t="str">
        <f>+IFERROR(VLOOKUP(B49,'3. Resultados'!K:L,2,FALSE),"-")</f>
        <v>-</v>
      </c>
      <c r="M49" s="70" t="str">
        <f>+IFERROR(VLOOKUP(CONCATENATE(A49,$B$10,B49),'3. Resultados'!B:J,9,FALSE),"-")</f>
        <v>-</v>
      </c>
      <c r="N49" s="24"/>
      <c r="O49" s="25" t="str">
        <f t="shared" si="1"/>
        <v>Por iniciar</v>
      </c>
      <c r="P49"/>
    </row>
    <row r="50" spans="1:16" ht="14.5">
      <c r="A50" s="18" t="str">
        <f t="shared" si="0"/>
        <v>UNIV_OPERjuros_corridos_prvs45991</v>
      </c>
      <c r="B50" s="63">
        <f t="array" ref="B50">+MAX(IF('3. Resultados'!A:A='1. Status'!A50&amp;'1. Status'!$B$10,'3. Resultados'!K:K))</f>
        <v>0</v>
      </c>
      <c r="C50" s="57">
        <f t="array" ref="C50">+MAX(IF('3. Resultados'!A:A='1. Status'!A50&amp;'1. Status'!$C$10,'3. Resultados'!K:K))</f>
        <v>0</v>
      </c>
      <c r="D50" s="57">
        <f t="array" ref="D50">+MAX(IF('3. Resultados'!A:A='1. Status'!A50&amp;'1. Status'!$D$10,'3. Resultados'!K:K))</f>
        <v>0</v>
      </c>
      <c r="E50" s="57">
        <f t="array" ref="E50">+MAX(IF('3. Resultados'!A:A='1. Status'!A50&amp;'1. Status'!$E$10,'3. Resultados'!K:K))</f>
        <v>0</v>
      </c>
      <c r="F50" s="64">
        <f t="array" ref="F50">+MAX(IF('3. Resultados'!A:A='1. Status'!A50&amp;'1. Status'!$F$10,'3. Resultados'!K:K))</f>
        <v>0</v>
      </c>
      <c r="G50" s="57"/>
      <c r="H50" s="62" t="s">
        <v>204</v>
      </c>
      <c r="I50" s="19" t="s">
        <v>245</v>
      </c>
      <c r="J50" s="24">
        <f>+COUNTIFS('3. Resultados'!C:C,'1. Status'!H50,'3. Resultados'!G:G,'1. Status'!I50)</f>
        <v>0</v>
      </c>
      <c r="K50" s="70" t="str">
        <f>+IFERROR(VLOOKUP(CONCATENATE(A50,$B$10,B50),'3. Resultados'!B:J,8,FALSE),"-")</f>
        <v>-</v>
      </c>
      <c r="L50" s="69" t="str">
        <f>+IFERROR(VLOOKUP(B50,'3. Resultados'!K:L,2,FALSE),"-")</f>
        <v>-</v>
      </c>
      <c r="M50" s="70" t="str">
        <f>+IFERROR(VLOOKUP(CONCATENATE(A50,$B$10,B50),'3. Resultados'!B:J,9,FALSE),"-")</f>
        <v>-</v>
      </c>
      <c r="N50" s="24"/>
      <c r="O50" s="25" t="str">
        <f t="shared" si="1"/>
        <v>Por iniciar</v>
      </c>
      <c r="P50"/>
    </row>
    <row r="51" spans="1:16" ht="14.5">
      <c r="A51" s="18" t="str">
        <f t="shared" si="0"/>
        <v>UNIV_OPERsubportfolio_id_inicial45991</v>
      </c>
      <c r="B51" s="63">
        <f t="array" ref="B51">+MAX(IF('3. Resultados'!A:A='1. Status'!A51&amp;'1. Status'!$B$10,'3. Resultados'!K:K))</f>
        <v>0</v>
      </c>
      <c r="C51" s="57">
        <f t="array" ref="C51">+MAX(IF('3. Resultados'!A:A='1. Status'!A51&amp;'1. Status'!$C$10,'3. Resultados'!K:K))</f>
        <v>0</v>
      </c>
      <c r="D51" s="57">
        <f t="array" ref="D51">+MAX(IF('3. Resultados'!A:A='1. Status'!A51&amp;'1. Status'!$D$10,'3. Resultados'!K:K))</f>
        <v>0</v>
      </c>
      <c r="E51" s="57">
        <f t="array" ref="E51">+MAX(IF('3. Resultados'!A:A='1. Status'!A51&amp;'1. Status'!$E$10,'3. Resultados'!K:K))</f>
        <v>0</v>
      </c>
      <c r="F51" s="64">
        <f t="array" ref="F51">+MAX(IF('3. Resultados'!A:A='1. Status'!A51&amp;'1. Status'!$F$10,'3. Resultados'!K:K))</f>
        <v>0</v>
      </c>
      <c r="G51" s="57"/>
      <c r="H51" s="62" t="s">
        <v>204</v>
      </c>
      <c r="I51" s="19" t="s">
        <v>246</v>
      </c>
      <c r="J51" s="24">
        <f>+COUNTIFS('3. Resultados'!C:C,'1. Status'!H51,'3. Resultados'!G:G,'1. Status'!I51)</f>
        <v>0</v>
      </c>
      <c r="K51" s="70" t="str">
        <f>+IFERROR(VLOOKUP(CONCATENATE(A51,$B$10,B51),'3. Resultados'!B:J,8,FALSE),"-")</f>
        <v>-</v>
      </c>
      <c r="L51" s="69" t="str">
        <f>+IFERROR(VLOOKUP(B51,'3. Resultados'!K:L,2,FALSE),"-")</f>
        <v>-</v>
      </c>
      <c r="M51" s="70" t="str">
        <f>+IFERROR(VLOOKUP(CONCATENATE(A51,$B$10,B51),'3. Resultados'!B:J,9,FALSE),"-")</f>
        <v>-</v>
      </c>
      <c r="N51" s="24"/>
      <c r="O51" s="25" t="str">
        <f t="shared" si="1"/>
        <v>Por iniciar</v>
      </c>
      <c r="P51"/>
    </row>
    <row r="52" spans="1:16" ht="14.5">
      <c r="A52" s="18" t="str">
        <f t="shared" si="0"/>
        <v>UNIV_OPERsubportfolio_id_final45991</v>
      </c>
      <c r="B52" s="63">
        <f t="array" ref="B52">+MAX(IF('3. Resultados'!A:A='1. Status'!A52&amp;'1. Status'!$B$10,'3. Resultados'!K:K))</f>
        <v>0</v>
      </c>
      <c r="C52" s="57">
        <f t="array" ref="C52">+MAX(IF('3. Resultados'!A:A='1. Status'!A52&amp;'1. Status'!$C$10,'3. Resultados'!K:K))</f>
        <v>0</v>
      </c>
      <c r="D52" s="57">
        <f t="array" ref="D52">+MAX(IF('3. Resultados'!A:A='1. Status'!A52&amp;'1. Status'!$D$10,'3. Resultados'!K:K))</f>
        <v>0</v>
      </c>
      <c r="E52" s="57">
        <f t="array" ref="E52">+MAX(IF('3. Resultados'!A:A='1. Status'!A52&amp;'1. Status'!$E$10,'3. Resultados'!K:K))</f>
        <v>0</v>
      </c>
      <c r="F52" s="64">
        <f t="array" ref="F52">+MAX(IF('3. Resultados'!A:A='1. Status'!A52&amp;'1. Status'!$F$10,'3. Resultados'!K:K))</f>
        <v>0</v>
      </c>
      <c r="G52" s="57"/>
      <c r="H52" s="62" t="s">
        <v>204</v>
      </c>
      <c r="I52" s="19" t="s">
        <v>247</v>
      </c>
      <c r="J52" s="24">
        <f>+COUNTIFS('3. Resultados'!C:C,'1. Status'!H52,'3. Resultados'!G:G,'1. Status'!I52)</f>
        <v>0</v>
      </c>
      <c r="K52" s="70" t="str">
        <f>+IFERROR(VLOOKUP(CONCATENATE(A52,$B$10,B52),'3. Resultados'!B:J,8,FALSE),"-")</f>
        <v>-</v>
      </c>
      <c r="L52" s="69" t="str">
        <f>+IFERROR(VLOOKUP(B52,'3. Resultados'!K:L,2,FALSE),"-")</f>
        <v>-</v>
      </c>
      <c r="M52" s="70" t="str">
        <f>+IFERROR(VLOOKUP(CONCATENATE(A52,$B$10,B52),'3. Resultados'!B:J,9,FALSE),"-")</f>
        <v>-</v>
      </c>
      <c r="N52" s="24"/>
      <c r="O52" s="25" t="str">
        <f t="shared" si="1"/>
        <v>Por iniciar</v>
      </c>
      <c r="P52"/>
    </row>
    <row r="53" spans="1:16" ht="14.5">
      <c r="A53" s="18" t="str">
        <f t="shared" si="0"/>
        <v>UNIV_OPERidcomb_lt_inicial45991</v>
      </c>
      <c r="B53" s="63">
        <f t="array" ref="B53">+MAX(IF('3. Resultados'!A:A='1. Status'!A53&amp;'1. Status'!$B$10,'3. Resultados'!K:K))</f>
        <v>0</v>
      </c>
      <c r="C53" s="57">
        <f t="array" ref="C53">+MAX(IF('3. Resultados'!A:A='1. Status'!A53&amp;'1. Status'!$C$10,'3. Resultados'!K:K))</f>
        <v>0</v>
      </c>
      <c r="D53" s="57">
        <f t="array" ref="D53">+MAX(IF('3. Resultados'!A:A='1. Status'!A53&amp;'1. Status'!$D$10,'3. Resultados'!K:K))</f>
        <v>0</v>
      </c>
      <c r="E53" s="57">
        <f t="array" ref="E53">+MAX(IF('3. Resultados'!A:A='1. Status'!A53&amp;'1. Status'!$E$10,'3. Resultados'!K:K))</f>
        <v>0</v>
      </c>
      <c r="F53" s="64">
        <f t="array" ref="F53">+MAX(IF('3. Resultados'!A:A='1. Status'!A53&amp;'1. Status'!$F$10,'3. Resultados'!K:K))</f>
        <v>0</v>
      </c>
      <c r="G53" s="57"/>
      <c r="H53" s="62" t="s">
        <v>204</v>
      </c>
      <c r="I53" s="19" t="s">
        <v>248</v>
      </c>
      <c r="J53" s="24">
        <f>+COUNTIFS('3. Resultados'!C:C,'1. Status'!H53,'3. Resultados'!G:G,'1. Status'!I53)</f>
        <v>0</v>
      </c>
      <c r="K53" s="70" t="str">
        <f>+IFERROR(VLOOKUP(CONCATENATE(A53,$B$10,B53),'3. Resultados'!B:J,8,FALSE),"-")</f>
        <v>-</v>
      </c>
      <c r="L53" s="69" t="str">
        <f>+IFERROR(VLOOKUP(B53,'3. Resultados'!K:L,2,FALSE),"-")</f>
        <v>-</v>
      </c>
      <c r="M53" s="70" t="str">
        <f>+IFERROR(VLOOKUP(CONCATENATE(A53,$B$10,B53),'3. Resultados'!B:J,9,FALSE),"-")</f>
        <v>-</v>
      </c>
      <c r="N53" s="24"/>
      <c r="O53" s="25" t="str">
        <f t="shared" si="1"/>
        <v>Por iniciar</v>
      </c>
      <c r="P53"/>
    </row>
    <row r="54" spans="1:16" ht="14.5">
      <c r="A54" s="18" t="str">
        <f t="shared" si="0"/>
        <v>UNIV_OPERidcomb_lt_final45991</v>
      </c>
      <c r="B54" s="63">
        <f t="array" ref="B54">+MAX(IF('3. Resultados'!A:A='1. Status'!A54&amp;'1. Status'!$B$10,'3. Resultados'!K:K))</f>
        <v>0</v>
      </c>
      <c r="C54" s="57">
        <f t="array" ref="C54">+MAX(IF('3. Resultados'!A:A='1. Status'!A54&amp;'1. Status'!$C$10,'3. Resultados'!K:K))</f>
        <v>0</v>
      </c>
      <c r="D54" s="57">
        <f t="array" ref="D54">+MAX(IF('3. Resultados'!A:A='1. Status'!A54&amp;'1. Status'!$D$10,'3. Resultados'!K:K))</f>
        <v>0</v>
      </c>
      <c r="E54" s="57">
        <f t="array" ref="E54">+MAX(IF('3. Resultados'!A:A='1. Status'!A54&amp;'1. Status'!$E$10,'3. Resultados'!K:K))</f>
        <v>0</v>
      </c>
      <c r="F54" s="64">
        <f t="array" ref="F54">+MAX(IF('3. Resultados'!A:A='1. Status'!A54&amp;'1. Status'!$F$10,'3. Resultados'!K:K))</f>
        <v>0</v>
      </c>
      <c r="G54" s="57"/>
      <c r="H54" s="62" t="s">
        <v>204</v>
      </c>
      <c r="I54" s="19" t="s">
        <v>249</v>
      </c>
      <c r="J54" s="24">
        <f>+COUNTIFS('3. Resultados'!C:C,'1. Status'!H54,'3. Resultados'!G:G,'1. Status'!I54)</f>
        <v>0</v>
      </c>
      <c r="K54" s="70" t="str">
        <f>+IFERROR(VLOOKUP(CONCATENATE(A54,$B$10,B54),'3. Resultados'!B:J,8,FALSE),"-")</f>
        <v>-</v>
      </c>
      <c r="L54" s="69" t="str">
        <f>+IFERROR(VLOOKUP(B54,'3. Resultados'!K:L,2,FALSE),"-")</f>
        <v>-</v>
      </c>
      <c r="M54" s="70" t="str">
        <f>+IFERROR(VLOOKUP(CONCATENATE(A54,$B$10,B54),'3. Resultados'!B:J,9,FALSE),"-")</f>
        <v>-</v>
      </c>
      <c r="N54" s="24"/>
      <c r="O54" s="25" t="str">
        <f t="shared" si="1"/>
        <v>Por iniciar</v>
      </c>
      <c r="P54"/>
    </row>
    <row r="55" spans="1:16" ht="14.5">
      <c r="A55" s="18" t="str">
        <f t="shared" si="0"/>
        <v>UNIV_OPERrank_insolv45991</v>
      </c>
      <c r="B55" s="63">
        <f t="array" ref="B55">+MAX(IF('3. Resultados'!A:A='1. Status'!A55&amp;'1. Status'!$B$10,'3. Resultados'!K:K))</f>
        <v>0</v>
      </c>
      <c r="C55" s="57">
        <f t="array" ref="C55">+MAX(IF('3. Resultados'!A:A='1. Status'!A55&amp;'1. Status'!$C$10,'3. Resultados'!K:K))</f>
        <v>0</v>
      </c>
      <c r="D55" s="57">
        <f t="array" ref="D55">+MAX(IF('3. Resultados'!A:A='1. Status'!A55&amp;'1. Status'!$D$10,'3. Resultados'!K:K))</f>
        <v>0</v>
      </c>
      <c r="E55" s="57">
        <f t="array" ref="E55">+MAX(IF('3. Resultados'!A:A='1. Status'!A55&amp;'1. Status'!$E$10,'3. Resultados'!K:K))</f>
        <v>0</v>
      </c>
      <c r="F55" s="64">
        <f t="array" ref="F55">+MAX(IF('3. Resultados'!A:A='1. Status'!A55&amp;'1. Status'!$F$10,'3. Resultados'!K:K))</f>
        <v>0</v>
      </c>
      <c r="G55" s="57"/>
      <c r="H55" s="62" t="s">
        <v>204</v>
      </c>
      <c r="I55" s="19" t="s">
        <v>250</v>
      </c>
      <c r="J55" s="24">
        <f>+COUNTIFS('3. Resultados'!C:C,'1. Status'!H55,'3. Resultados'!G:G,'1. Status'!I55)</f>
        <v>0</v>
      </c>
      <c r="K55" s="70" t="str">
        <f>+IFERROR(VLOOKUP(CONCATENATE(A55,$B$10,B55),'3. Resultados'!B:J,8,FALSE),"-")</f>
        <v>-</v>
      </c>
      <c r="L55" s="69" t="str">
        <f>+IFERROR(VLOOKUP(B55,'3. Resultados'!K:L,2,FALSE),"-")</f>
        <v>-</v>
      </c>
      <c r="M55" s="70" t="str">
        <f>+IFERROR(VLOOKUP(CONCATENATE(A55,$B$10,B55),'3. Resultados'!B:J,9,FALSE),"-")</f>
        <v>-</v>
      </c>
      <c r="N55" s="24"/>
      <c r="O55" s="25" t="str">
        <f t="shared" si="1"/>
        <v>Por iniciar</v>
      </c>
      <c r="P55"/>
    </row>
    <row r="56" spans="1:16" ht="14.5">
      <c r="A56" s="18" t="str">
        <f t="shared" si="0"/>
        <v>Instrumentcntrct_id45991</v>
      </c>
      <c r="B56" s="63">
        <f t="array" ref="B56">+MAX(IF('3. Resultados'!A:A='1. Status'!A56&amp;'1. Status'!$B$10,'3. Resultados'!K:K))</f>
        <v>0</v>
      </c>
      <c r="C56" s="57">
        <f t="array" ref="C56">+MAX(IF('3. Resultados'!A:A='1. Status'!A56&amp;'1. Status'!$C$10,'3. Resultados'!K:K))</f>
        <v>0</v>
      </c>
      <c r="D56" s="57">
        <f t="array" ref="D56">+MAX(IF('3. Resultados'!A:A='1. Status'!A56&amp;'1. Status'!$D$10,'3. Resultados'!K:K))</f>
        <v>0</v>
      </c>
      <c r="E56" s="57">
        <f t="array" ref="E56">+MAX(IF('3. Resultados'!A:A='1. Status'!A56&amp;'1. Status'!$E$10,'3. Resultados'!K:K))</f>
        <v>0</v>
      </c>
      <c r="F56" s="64">
        <f t="array" ref="F56">+MAX(IF('3. Resultados'!A:A='1. Status'!A56&amp;'1. Status'!$F$10,'3. Resultados'!K:K))</f>
        <v>0</v>
      </c>
      <c r="G56" s="57"/>
      <c r="H56" s="62" t="s">
        <v>9</v>
      </c>
      <c r="I56" s="19" t="s">
        <v>251</v>
      </c>
      <c r="J56" s="24">
        <f>+COUNTIFS('3. Resultados'!C:C,'1. Status'!H56,'3. Resultados'!G:G,'1. Status'!I56)</f>
        <v>0</v>
      </c>
      <c r="K56" s="70" t="str">
        <f>+IFERROR(VLOOKUP(CONCATENATE(A56,$B$10,B56),'3. Resultados'!B:J,8,FALSE),"-")</f>
        <v>-</v>
      </c>
      <c r="L56" s="69" t="str">
        <f>+IFERROR(VLOOKUP(B56,'3. Resultados'!K:L,2,FALSE),"-")</f>
        <v>-</v>
      </c>
      <c r="M56" s="70" t="str">
        <f>+IFERROR(VLOOKUP(CONCATENATE(A56,$B$10,B56),'3. Resultados'!B:J,9,FALSE),"-")</f>
        <v>-</v>
      </c>
      <c r="N56" s="24"/>
      <c r="O56" s="25" t="str">
        <f t="shared" si="1"/>
        <v>Por iniciar</v>
      </c>
      <c r="P56"/>
    </row>
    <row r="57" spans="1:16" ht="14.5">
      <c r="A57" s="18" t="str">
        <f t="shared" si="0"/>
        <v>Instrumentcrrncy_dnmntn45991</v>
      </c>
      <c r="B57" s="63">
        <f t="array" ref="B57">+MAX(IF('3. Resultados'!A:A='1. Status'!A57&amp;'1. Status'!$B$10,'3. Resultados'!K:K))</f>
        <v>0</v>
      </c>
      <c r="C57" s="57">
        <f t="array" ref="C57">+MAX(IF('3. Resultados'!A:A='1. Status'!A57&amp;'1. Status'!$C$10,'3. Resultados'!K:K))</f>
        <v>0</v>
      </c>
      <c r="D57" s="57">
        <f t="array" ref="D57">+MAX(IF('3. Resultados'!A:A='1. Status'!A57&amp;'1. Status'!$D$10,'3. Resultados'!K:K))</f>
        <v>0</v>
      </c>
      <c r="E57" s="57">
        <f t="array" ref="E57">+MAX(IF('3. Resultados'!A:A='1. Status'!A57&amp;'1. Status'!$E$10,'3. Resultados'!K:K))</f>
        <v>0</v>
      </c>
      <c r="F57" s="64">
        <f t="array" ref="F57">+MAX(IF('3. Resultados'!A:A='1. Status'!A57&amp;'1. Status'!$F$10,'3. Resultados'!K:K))</f>
        <v>0</v>
      </c>
      <c r="G57" s="57"/>
      <c r="H57" s="62" t="s">
        <v>9</v>
      </c>
      <c r="I57" s="19" t="s">
        <v>252</v>
      </c>
      <c r="J57" s="24">
        <f>+COUNTIFS('3. Resultados'!C:C,'1. Status'!H57,'3. Resultados'!G:G,'1. Status'!I57)</f>
        <v>0</v>
      </c>
      <c r="K57" s="70" t="str">
        <f>+IFERROR(VLOOKUP(CONCATENATE(A57,$B$10,B57),'3. Resultados'!B:J,8,FALSE),"-")</f>
        <v>-</v>
      </c>
      <c r="L57" s="69" t="str">
        <f>+IFERROR(VLOOKUP(B57,'3. Resultados'!K:L,2,FALSE),"-")</f>
        <v>-</v>
      </c>
      <c r="M57" s="70" t="str">
        <f>+IFERROR(VLOOKUP(CONCATENATE(A57,$B$10,B57),'3. Resultados'!B:J,9,FALSE),"-")</f>
        <v>-</v>
      </c>
      <c r="N57" s="24"/>
      <c r="O57" s="25" t="str">
        <f t="shared" si="1"/>
        <v>Por iniciar</v>
      </c>
      <c r="P57"/>
    </row>
    <row r="58" spans="1:16" ht="14.5">
      <c r="A58" s="18" t="str">
        <f t="shared" si="0"/>
        <v>Instrumentdt_incptn45991</v>
      </c>
      <c r="B58" s="63">
        <f t="array" ref="B58">+MAX(IF('3. Resultados'!A:A='1. Status'!A58&amp;'1. Status'!$B$10,'3. Resultados'!K:K))</f>
        <v>0</v>
      </c>
      <c r="C58" s="57">
        <f t="array" ref="C58">+MAX(IF('3. Resultados'!A:A='1. Status'!A58&amp;'1. Status'!$C$10,'3. Resultados'!K:K))</f>
        <v>0</v>
      </c>
      <c r="D58" s="57">
        <f t="array" ref="D58">+MAX(IF('3. Resultados'!A:A='1. Status'!A58&amp;'1. Status'!$D$10,'3. Resultados'!K:K))</f>
        <v>0</v>
      </c>
      <c r="E58" s="57">
        <f t="array" ref="E58">+MAX(IF('3. Resultados'!A:A='1. Status'!A58&amp;'1. Status'!$E$10,'3. Resultados'!K:K))</f>
        <v>0</v>
      </c>
      <c r="F58" s="64">
        <f t="array" ref="F58">+MAX(IF('3. Resultados'!A:A='1. Status'!A58&amp;'1. Status'!$F$10,'3. Resultados'!K:K))</f>
        <v>0</v>
      </c>
      <c r="G58" s="57"/>
      <c r="H58" s="62" t="s">
        <v>9</v>
      </c>
      <c r="I58" s="19" t="s">
        <v>134</v>
      </c>
      <c r="J58" s="24">
        <f>+COUNTIFS('3. Resultados'!C:C,'1. Status'!H58,'3. Resultados'!G:G,'1. Status'!I58)</f>
        <v>0</v>
      </c>
      <c r="K58" s="70" t="str">
        <f>+IFERROR(VLOOKUP(CONCATENATE(A58,$B$10,B58),'3. Resultados'!B:J,8,FALSE),"-")</f>
        <v>-</v>
      </c>
      <c r="L58" s="69" t="str">
        <f>+IFERROR(VLOOKUP(B58,'3. Resultados'!K:L,2,FALSE),"-")</f>
        <v>-</v>
      </c>
      <c r="M58" s="70" t="str">
        <f>+IFERROR(VLOOKUP(CONCATENATE(A58,$B$10,B58),'3. Resultados'!B:J,9,FALSE),"-")</f>
        <v>-</v>
      </c>
      <c r="N58" s="24"/>
      <c r="O58" s="25" t="str">
        <f t="shared" si="1"/>
        <v>Por iniciar</v>
      </c>
      <c r="P58"/>
    </row>
    <row r="59" spans="1:16" ht="14.5">
      <c r="A59" s="18" t="str">
        <f t="shared" si="0"/>
        <v>Instrumentobsrvd_agnt_id45991</v>
      </c>
      <c r="B59" s="63">
        <f t="array" ref="B59">+MAX(IF('3. Resultados'!A:A='1. Status'!A59&amp;'1. Status'!$B$10,'3. Resultados'!K:K))</f>
        <v>0</v>
      </c>
      <c r="C59" s="57">
        <f t="array" ref="C59">+MAX(IF('3. Resultados'!A:A='1. Status'!A59&amp;'1. Status'!$C$10,'3. Resultados'!K:K))</f>
        <v>0</v>
      </c>
      <c r="D59" s="57">
        <f t="array" ref="D59">+MAX(IF('3. Resultados'!A:A='1. Status'!A59&amp;'1. Status'!$D$10,'3. Resultados'!K:K))</f>
        <v>0</v>
      </c>
      <c r="E59" s="57">
        <f t="array" ref="E59">+MAX(IF('3. Resultados'!A:A='1. Status'!A59&amp;'1. Status'!$E$10,'3. Resultados'!K:K))</f>
        <v>0</v>
      </c>
      <c r="F59" s="64">
        <f t="array" ref="F59">+MAX(IF('3. Resultados'!A:A='1. Status'!A59&amp;'1. Status'!$F$10,'3. Resultados'!K:K))</f>
        <v>0</v>
      </c>
      <c r="G59" s="57"/>
      <c r="H59" s="62" t="s">
        <v>9</v>
      </c>
      <c r="I59" s="19" t="s">
        <v>253</v>
      </c>
      <c r="J59" s="24">
        <f>+COUNTIFS('3. Resultados'!C:C,'1. Status'!H59,'3. Resultados'!G:G,'1. Status'!I59)</f>
        <v>0</v>
      </c>
      <c r="K59" s="70" t="str">
        <f>+IFERROR(VLOOKUP(CONCATENATE(A59,$B$10,B59),'3. Resultados'!B:J,8,FALSE),"-")</f>
        <v>-</v>
      </c>
      <c r="L59" s="69" t="str">
        <f>+IFERROR(VLOOKUP(B59,'3. Resultados'!K:L,2,FALSE),"-")</f>
        <v>-</v>
      </c>
      <c r="M59" s="70" t="str">
        <f>+IFERROR(VLOOKUP(CONCATENATE(A59,$B$10,B59),'3. Resultados'!B:J,9,FALSE),"-")</f>
        <v>-</v>
      </c>
      <c r="N59" s="24"/>
      <c r="O59" s="25" t="str">
        <f t="shared" si="1"/>
        <v>Por iniciar</v>
      </c>
      <c r="P59"/>
    </row>
    <row r="60" spans="1:16" ht="14.5">
      <c r="A60" s="18" t="str">
        <f t="shared" si="0"/>
        <v>Instrumentobsrvd_agnt_nm45991</v>
      </c>
      <c r="B60" s="63">
        <f t="array" ref="B60">+MAX(IF('3. Resultados'!A:A='1. Status'!A60&amp;'1. Status'!$B$10,'3. Resultados'!K:K))</f>
        <v>0</v>
      </c>
      <c r="C60" s="57">
        <f t="array" ref="C60">+MAX(IF('3. Resultados'!A:A='1. Status'!A60&amp;'1. Status'!$C$10,'3. Resultados'!K:K))</f>
        <v>0</v>
      </c>
      <c r="D60" s="57">
        <f t="array" ref="D60">+MAX(IF('3. Resultados'!A:A='1. Status'!A60&amp;'1. Status'!$D$10,'3. Resultados'!K:K))</f>
        <v>0</v>
      </c>
      <c r="E60" s="57">
        <f t="array" ref="E60">+MAX(IF('3. Resultados'!A:A='1. Status'!A60&amp;'1. Status'!$E$10,'3. Resultados'!K:K))</f>
        <v>0</v>
      </c>
      <c r="F60" s="64">
        <f t="array" ref="F60">+MAX(IF('3. Resultados'!A:A='1. Status'!A60&amp;'1. Status'!$F$10,'3. Resultados'!K:K))</f>
        <v>0</v>
      </c>
      <c r="G60" s="57"/>
      <c r="H60" s="62" t="s">
        <v>9</v>
      </c>
      <c r="I60" s="19" t="s">
        <v>254</v>
      </c>
      <c r="J60" s="24">
        <f>+COUNTIFS('3. Resultados'!C:C,'1. Status'!H60,'3. Resultados'!G:G,'1. Status'!I60)</f>
        <v>0</v>
      </c>
      <c r="K60" s="70" t="str">
        <f>+IFERROR(VLOOKUP(CONCATENATE(A60,$B$10,B60),'3. Resultados'!B:J,8,FALSE),"-")</f>
        <v>-</v>
      </c>
      <c r="L60" s="69" t="str">
        <f>+IFERROR(VLOOKUP(B60,'3. Resultados'!K:L,2,FALSE),"-")</f>
        <v>-</v>
      </c>
      <c r="M60" s="70" t="str">
        <f>+IFERROR(VLOOKUP(CONCATENATE(A60,$B$10,B60),'3. Resultados'!B:J,9,FALSE),"-")</f>
        <v>-</v>
      </c>
      <c r="N60" s="24"/>
      <c r="O60" s="25" t="str">
        <f t="shared" si="1"/>
        <v>Por iniciar</v>
      </c>
      <c r="P60"/>
    </row>
    <row r="61" spans="1:16" ht="14.5">
      <c r="A61" s="18" t="str">
        <f t="shared" si="0"/>
        <v>Instrumentprdct45991</v>
      </c>
      <c r="B61" s="63">
        <f t="array" ref="B61">+MAX(IF('3. Resultados'!A:A='1. Status'!A61&amp;'1. Status'!$B$10,'3. Resultados'!K:K))</f>
        <v>0</v>
      </c>
      <c r="C61" s="57">
        <f t="array" ref="C61">+MAX(IF('3. Resultados'!A:A='1. Status'!A61&amp;'1. Status'!$C$10,'3. Resultados'!K:K))</f>
        <v>0</v>
      </c>
      <c r="D61" s="57">
        <f t="array" ref="D61">+MAX(IF('3. Resultados'!A:A='1. Status'!A61&amp;'1. Status'!$D$10,'3. Resultados'!K:K))</f>
        <v>0</v>
      </c>
      <c r="E61" s="57">
        <f t="array" ref="E61">+MAX(IF('3. Resultados'!A:A='1. Status'!A61&amp;'1. Status'!$E$10,'3. Resultados'!K:K))</f>
        <v>0</v>
      </c>
      <c r="F61" s="64">
        <f t="array" ref="F61">+MAX(IF('3. Resultados'!A:A='1. Status'!A61&amp;'1. Status'!$F$10,'3. Resultados'!K:K))</f>
        <v>0</v>
      </c>
      <c r="G61" s="57"/>
      <c r="H61" s="62" t="s">
        <v>9</v>
      </c>
      <c r="I61" s="19" t="s">
        <v>255</v>
      </c>
      <c r="J61" s="24">
        <f>+COUNTIFS('3. Resultados'!C:C,'1. Status'!H61,'3. Resultados'!G:G,'1. Status'!I61)</f>
        <v>0</v>
      </c>
      <c r="K61" s="70" t="str">
        <f>+IFERROR(VLOOKUP(CONCATENATE(A61,$B$10,B61),'3. Resultados'!B:J,8,FALSE),"-")</f>
        <v>-</v>
      </c>
      <c r="L61" s="69" t="str">
        <f>+IFERROR(VLOOKUP(B61,'3. Resultados'!K:L,2,FALSE),"-")</f>
        <v>-</v>
      </c>
      <c r="M61" s="70" t="str">
        <f>+IFERROR(VLOOKUP(CONCATENATE(A61,$B$10,B61),'3. Resultados'!B:J,9,FALSE),"-")</f>
        <v>-</v>
      </c>
      <c r="N61" s="24"/>
      <c r="O61" s="25" t="str">
        <f t="shared" si="1"/>
        <v>Por iniciar</v>
      </c>
      <c r="P61"/>
    </row>
    <row r="62" spans="1:16" ht="14.5">
      <c r="A62" s="18" t="str">
        <f t="shared" si="0"/>
        <v>Instrumentbrchd_cvnnts45991</v>
      </c>
      <c r="B62" s="63">
        <f t="array" ref="B62">+MAX(IF('3. Resultados'!A:A='1. Status'!A62&amp;'1. Status'!$B$10,'3. Resultados'!K:K))</f>
        <v>0</v>
      </c>
      <c r="C62" s="57">
        <f t="array" ref="C62">+MAX(IF('3. Resultados'!A:A='1. Status'!A62&amp;'1. Status'!$C$10,'3. Resultados'!K:K))</f>
        <v>0</v>
      </c>
      <c r="D62" s="57">
        <f t="array" ref="D62">+MAX(IF('3. Resultados'!A:A='1. Status'!A62&amp;'1. Status'!$D$10,'3. Resultados'!K:K))</f>
        <v>0</v>
      </c>
      <c r="E62" s="57">
        <f t="array" ref="E62">+MAX(IF('3. Resultados'!A:A='1. Status'!A62&amp;'1. Status'!$E$10,'3. Resultados'!K:K))</f>
        <v>0</v>
      </c>
      <c r="F62" s="64">
        <f t="array" ref="F62">+MAX(IF('3. Resultados'!A:A='1. Status'!A62&amp;'1. Status'!$F$10,'3. Resultados'!K:K))</f>
        <v>0</v>
      </c>
      <c r="G62" s="57"/>
      <c r="H62" s="62" t="s">
        <v>9</v>
      </c>
      <c r="I62" s="19" t="s">
        <v>256</v>
      </c>
      <c r="J62" s="24">
        <f>+COUNTIFS('3. Resultados'!C:C,'1. Status'!H62,'3. Resultados'!G:G,'1. Status'!I62)</f>
        <v>0</v>
      </c>
      <c r="K62" s="70" t="str">
        <f>+IFERROR(VLOOKUP(CONCATENATE(A62,$B$10,B62),'3. Resultados'!B:J,8,FALSE),"-")</f>
        <v>-</v>
      </c>
      <c r="L62" s="69" t="str">
        <f>+IFERROR(VLOOKUP(B62,'3. Resultados'!K:L,2,FALSE),"-")</f>
        <v>-</v>
      </c>
      <c r="M62" s="70" t="str">
        <f>+IFERROR(VLOOKUP(CONCATENATE(A62,$B$10,B62),'3. Resultados'!B:J,9,FALSE),"-")</f>
        <v>-</v>
      </c>
      <c r="N62" s="24"/>
      <c r="O62" s="25" t="str">
        <f t="shared" si="1"/>
        <v>Por iniciar</v>
      </c>
      <c r="P62"/>
    </row>
    <row r="63" spans="1:16" ht="14.5">
      <c r="A63" s="18" t="str">
        <f t="shared" si="0"/>
        <v>Instrumentchnnl_orgntn45991</v>
      </c>
      <c r="B63" s="76">
        <f t="array" ref="B63">+MAX(IF('3. Resultados'!A:A='1. Status'!A63&amp;'1. Status'!$B$10,'3. Resultados'!K:K))</f>
        <v>0</v>
      </c>
      <c r="C63" s="77">
        <f t="array" ref="C63">+MAX(IF('3. Resultados'!A:A='1. Status'!A63&amp;'1. Status'!$C$10,'3. Resultados'!K:K))</f>
        <v>0</v>
      </c>
      <c r="D63" s="77">
        <f t="array" ref="D63">+MAX(IF('3. Resultados'!A:A='1. Status'!A63&amp;'1. Status'!$D$10,'3. Resultados'!K:K))</f>
        <v>0</v>
      </c>
      <c r="E63" s="77">
        <f t="array" ref="E63">+MAX(IF('3. Resultados'!A:A='1. Status'!A63&amp;'1. Status'!$E$10,'3. Resultados'!K:K))</f>
        <v>0</v>
      </c>
      <c r="F63" s="78">
        <f t="array" ref="F63">+MAX(IF('3. Resultados'!A:A='1. Status'!A63&amp;'1. Status'!$F$10,'3. Resultados'!K:K))</f>
        <v>0</v>
      </c>
      <c r="G63" s="57"/>
      <c r="H63" s="62" t="s">
        <v>9</v>
      </c>
      <c r="I63" s="19" t="s">
        <v>257</v>
      </c>
      <c r="J63" s="24">
        <f>+COUNTIFS('3. Resultados'!C:C,'1. Status'!H63,'3. Resultados'!G:G,'1. Status'!I63)</f>
        <v>0</v>
      </c>
      <c r="K63" s="70" t="str">
        <f>+IFERROR(VLOOKUP(CONCATENATE(A63,$B$10,B63),'3. Resultados'!B:J,8,FALSE),"-")</f>
        <v>-</v>
      </c>
      <c r="L63" s="69" t="str">
        <f>+IFERROR(VLOOKUP(B63,'3. Resultados'!K:L,2,FALSE),"-")</f>
        <v>-</v>
      </c>
      <c r="M63" s="70" t="str">
        <f>+IFERROR(VLOOKUP(CONCATENATE(A63,$B$10,B63),'3. Resultados'!B:J,9,FALSE),"-")</f>
        <v>-</v>
      </c>
      <c r="N63" s="24"/>
      <c r="O63" s="25" t="str">
        <f t="shared" si="1"/>
        <v>Por iniciar</v>
      </c>
      <c r="P63"/>
    </row>
    <row r="64" spans="1:16" ht="14.5">
      <c r="A64" s="18"/>
      <c r="B64" s="57"/>
      <c r="C64" s="57"/>
      <c r="D64" s="57"/>
      <c r="E64" s="57"/>
      <c r="F64" s="57"/>
      <c r="G64" s="57"/>
      <c r="H64" s="62" t="s">
        <v>9</v>
      </c>
      <c r="I64" s="19" t="s">
        <v>258</v>
      </c>
      <c r="J64" s="24">
        <f>+COUNTIFS('3. Resultados'!C:C,'1. Status'!H64,'3. Resultados'!G:G,'1. Status'!I64)</f>
        <v>0</v>
      </c>
      <c r="K64" s="70" t="str">
        <f>+IFERROR(VLOOKUP(CONCATENATE(A64,$B$10,B64),'3. Resultados'!B:J,8,FALSE),"-")</f>
        <v>-</v>
      </c>
      <c r="L64" s="69" t="str">
        <f>+IFERROR(VLOOKUP(B64,'3. Resultados'!K:L,2,FALSE),"-")</f>
        <v>-</v>
      </c>
      <c r="M64" s="70" t="str">
        <f>+IFERROR(VLOOKUP(CONCATENATE(A64,$B$10,B64),'3. Resultados'!B:J,9,FALSE),"-")</f>
        <v>-</v>
      </c>
      <c r="N64" s="24"/>
      <c r="O64" s="25" t="str">
        <f t="shared" si="1"/>
        <v>Por iniciar</v>
      </c>
      <c r="P64"/>
    </row>
    <row r="65" spans="1:16" ht="14.5">
      <c r="A65" s="18"/>
      <c r="B65" s="57"/>
      <c r="C65" s="57"/>
      <c r="D65" s="57"/>
      <c r="E65" s="57"/>
      <c r="F65" s="57"/>
      <c r="G65" s="57"/>
      <c r="H65" s="62" t="s">
        <v>9</v>
      </c>
      <c r="I65" s="19" t="s">
        <v>259</v>
      </c>
      <c r="J65" s="24">
        <f>+COUNTIFS('3. Resultados'!C:C,'1. Status'!H65,'3. Resultados'!G:G,'1. Status'!I65)</f>
        <v>0</v>
      </c>
      <c r="K65" s="70" t="str">
        <f>+IFERROR(VLOOKUP(CONCATENATE(A65,$B$10,B65),'3. Resultados'!B:J,8,FALSE),"-")</f>
        <v>-</v>
      </c>
      <c r="L65" s="69" t="str">
        <f>+IFERROR(VLOOKUP(B65,'3. Resultados'!K:L,2,FALSE),"-")</f>
        <v>-</v>
      </c>
      <c r="M65" s="70" t="str">
        <f>+IFERROR(VLOOKUP(CONCATENATE(A65,$B$10,B65),'3. Resultados'!B:J,9,FALSE),"-")</f>
        <v>-</v>
      </c>
      <c r="N65" s="24"/>
      <c r="O65" s="25" t="str">
        <f t="shared" si="1"/>
        <v>Por iniciar</v>
      </c>
      <c r="P65"/>
    </row>
    <row r="66" spans="1:16" ht="14.5">
      <c r="A66" s="18"/>
      <c r="B66" s="57"/>
      <c r="C66" s="57"/>
      <c r="D66" s="57"/>
      <c r="E66" s="57"/>
      <c r="F66" s="57"/>
      <c r="G66" s="57"/>
      <c r="H66" s="62" t="s">
        <v>9</v>
      </c>
      <c r="I66" s="19" t="s">
        <v>260</v>
      </c>
      <c r="J66" s="24">
        <f>+COUNTIFS('3. Resultados'!C:C,'1. Status'!H66,'3. Resultados'!G:G,'1. Status'!I66)</f>
        <v>0</v>
      </c>
      <c r="K66" s="70" t="str">
        <f>+IFERROR(VLOOKUP(CONCATENATE(A66,$B$10,B66),'3. Resultados'!B:J,8,FALSE),"-")</f>
        <v>-</v>
      </c>
      <c r="L66" s="69" t="str">
        <f>+IFERROR(VLOOKUP(B66,'3. Resultados'!K:L,2,FALSE),"-")</f>
        <v>-</v>
      </c>
      <c r="M66" s="70" t="str">
        <f>+IFERROR(VLOOKUP(CONCATENATE(A66,$B$10,B66),'3. Resultados'!B:J,9,FALSE),"-")</f>
        <v>-</v>
      </c>
      <c r="N66" s="24"/>
      <c r="O66" s="25" t="str">
        <f t="shared" si="1"/>
        <v>Por iniciar</v>
      </c>
      <c r="P66"/>
    </row>
    <row r="67" spans="1:16" ht="14.5">
      <c r="A67" s="18"/>
      <c r="B67" s="57"/>
      <c r="C67" s="57"/>
      <c r="D67" s="57"/>
      <c r="E67" s="57"/>
      <c r="F67" s="57"/>
      <c r="G67" s="57"/>
      <c r="H67" s="62" t="s">
        <v>9</v>
      </c>
      <c r="I67" s="19" t="s">
        <v>135</v>
      </c>
      <c r="J67" s="24">
        <f>+COUNTIFS('3. Resultados'!C:C,'1. Status'!H67,'3. Resultados'!G:G,'1. Status'!I67)</f>
        <v>0</v>
      </c>
      <c r="K67" s="70" t="str">
        <f>+IFERROR(VLOOKUP(CONCATENATE(A67,$B$10,B67),'3. Resultados'!B:J,8,FALSE),"-")</f>
        <v>-</v>
      </c>
      <c r="L67" s="69" t="str">
        <f>+IFERROR(VLOOKUP(B67,'3. Resultados'!K:L,2,FALSE),"-")</f>
        <v>-</v>
      </c>
      <c r="M67" s="70" t="str">
        <f>+IFERROR(VLOOKUP(CONCATENATE(A67,$B$10,B67),'3. Resultados'!B:J,9,FALSE),"-")</f>
        <v>-</v>
      </c>
      <c r="N67" s="24"/>
      <c r="O67" s="25" t="str">
        <f t="shared" si="1"/>
        <v>Por iniciar</v>
      </c>
      <c r="P67"/>
    </row>
    <row r="68" spans="1:16" ht="14.5">
      <c r="A68" s="18"/>
      <c r="B68" s="57"/>
      <c r="C68" s="57"/>
      <c r="D68" s="57"/>
      <c r="E68" s="57"/>
      <c r="F68" s="57"/>
      <c r="G68" s="57"/>
      <c r="H68" s="62" t="s">
        <v>9</v>
      </c>
      <c r="I68" s="19" t="s">
        <v>261</v>
      </c>
      <c r="J68" s="24">
        <f>+COUNTIFS('3. Resultados'!C:C,'1. Status'!H68,'3. Resultados'!G:G,'1. Status'!I68)</f>
        <v>0</v>
      </c>
      <c r="K68" s="70" t="str">
        <f>+IFERROR(VLOOKUP(CONCATENATE(A68,$B$10,B68),'3. Resultados'!B:J,8,FALSE),"-")</f>
        <v>-</v>
      </c>
      <c r="L68" s="69" t="str">
        <f>+IFERROR(VLOOKUP(B68,'3. Resultados'!K:L,2,FALSE),"-")</f>
        <v>-</v>
      </c>
      <c r="M68" s="70" t="str">
        <f>+IFERROR(VLOOKUP(CONCATENATE(A68,$B$10,B68),'3. Resultados'!B:J,9,FALSE),"-")</f>
        <v>-</v>
      </c>
      <c r="N68" s="24"/>
      <c r="O68" s="25" t="str">
        <f t="shared" si="1"/>
        <v>Por iniciar</v>
      </c>
      <c r="P68"/>
    </row>
    <row r="69" spans="1:16" ht="14.5">
      <c r="A69" s="18"/>
      <c r="B69" s="57"/>
      <c r="C69" s="57"/>
      <c r="D69" s="57"/>
      <c r="E69" s="57"/>
      <c r="F69" s="57"/>
      <c r="G69" s="57"/>
      <c r="H69" s="62" t="s">
        <v>9</v>
      </c>
      <c r="I69" s="19" t="s">
        <v>262</v>
      </c>
      <c r="J69" s="24">
        <f>+COUNTIFS('3. Resultados'!C:C,'1. Status'!H69,'3. Resultados'!G:G,'1. Status'!I69)</f>
        <v>0</v>
      </c>
      <c r="K69" s="70" t="str">
        <f>+IFERROR(VLOOKUP(CONCATENATE(A69,$B$10,B69),'3. Resultados'!B:J,8,FALSE),"-")</f>
        <v>-</v>
      </c>
      <c r="L69" s="69" t="str">
        <f>+IFERROR(VLOOKUP(B69,'3. Resultados'!K:L,2,FALSE),"-")</f>
        <v>-</v>
      </c>
      <c r="M69" s="70" t="str">
        <f>+IFERROR(VLOOKUP(CONCATENATE(A69,$B$10,B69),'3. Resultados'!B:J,9,FALSE),"-")</f>
        <v>-</v>
      </c>
      <c r="N69" s="24"/>
      <c r="O69" s="25" t="str">
        <f t="shared" si="1"/>
        <v>Por iniciar</v>
      </c>
      <c r="P69"/>
    </row>
    <row r="70" spans="1:16" ht="14.5">
      <c r="A70" s="18"/>
      <c r="B70" s="57"/>
      <c r="C70" s="57"/>
      <c r="D70" s="57"/>
      <c r="E70" s="57"/>
      <c r="F70" s="57"/>
      <c r="G70" s="57"/>
      <c r="H70" s="62" t="s">
        <v>9</v>
      </c>
      <c r="I70" s="19" t="s">
        <v>263</v>
      </c>
      <c r="J70" s="24">
        <f>+COUNTIFS('3. Resultados'!C:C,'1. Status'!H70,'3. Resultados'!G:G,'1. Status'!I70)</f>
        <v>0</v>
      </c>
      <c r="K70" s="70" t="str">
        <f>+IFERROR(VLOOKUP(CONCATENATE(A70,$B$10,B70),'3. Resultados'!B:J,8,FALSE),"-")</f>
        <v>-</v>
      </c>
      <c r="L70" s="69" t="str">
        <f>+IFERROR(VLOOKUP(B70,'3. Resultados'!K:L,2,FALSE),"-")</f>
        <v>-</v>
      </c>
      <c r="M70" s="70" t="str">
        <f>+IFERROR(VLOOKUP(CONCATENATE(A70,$B$10,B70),'3. Resultados'!B:J,9,FALSE),"-")</f>
        <v>-</v>
      </c>
      <c r="N70" s="24"/>
      <c r="O70" s="25" t="str">
        <f t="shared" si="1"/>
        <v>Por iniciar</v>
      </c>
      <c r="P70"/>
    </row>
    <row r="71" spans="1:16" ht="14.5">
      <c r="A71" s="18"/>
      <c r="B71" s="57"/>
      <c r="C71" s="57"/>
      <c r="D71" s="57"/>
      <c r="E71" s="57"/>
      <c r="F71" s="57"/>
      <c r="G71" s="57"/>
      <c r="H71" s="62" t="s">
        <v>9</v>
      </c>
      <c r="I71" s="19" t="s">
        <v>264</v>
      </c>
      <c r="J71" s="24">
        <f>+COUNTIFS('3. Resultados'!C:C,'1. Status'!H71,'3. Resultados'!G:G,'1. Status'!I71)</f>
        <v>0</v>
      </c>
      <c r="K71" s="70" t="str">
        <f>+IFERROR(VLOOKUP(CONCATENATE(A71,$B$10,B71),'3. Resultados'!B:J,8,FALSE),"-")</f>
        <v>-</v>
      </c>
      <c r="L71" s="69" t="str">
        <f>+IFERROR(VLOOKUP(B71,'3. Resultados'!K:L,2,FALSE),"-")</f>
        <v>-</v>
      </c>
      <c r="M71" s="70" t="str">
        <f>+IFERROR(VLOOKUP(CONCATENATE(A71,$B$10,B71),'3. Resultados'!B:J,9,FALSE),"-")</f>
        <v>-</v>
      </c>
      <c r="N71" s="24"/>
      <c r="O71" s="25" t="str">
        <f t="shared" si="1"/>
        <v>Por iniciar</v>
      </c>
      <c r="P71"/>
    </row>
    <row r="72" spans="1:16" ht="14.5">
      <c r="A72" s="18"/>
      <c r="B72" s="57"/>
      <c r="C72" s="57"/>
      <c r="D72" s="57"/>
      <c r="E72" s="57"/>
      <c r="F72" s="57"/>
      <c r="G72" s="57"/>
      <c r="H72" s="62" t="s">
        <v>9</v>
      </c>
      <c r="I72" s="19" t="s">
        <v>265</v>
      </c>
      <c r="J72" s="24">
        <f>+COUNTIFS('3. Resultados'!C:C,'1. Status'!H72,'3. Resultados'!G:G,'1. Status'!I72)</f>
        <v>0</v>
      </c>
      <c r="K72" s="70" t="str">
        <f>+IFERROR(VLOOKUP(CONCATENATE(A72,$B$10,B72),'3. Resultados'!B:J,8,FALSE),"-")</f>
        <v>-</v>
      </c>
      <c r="L72" s="69" t="str">
        <f>+IFERROR(VLOOKUP(B72,'3. Resultados'!K:L,2,FALSE),"-")</f>
        <v>-</v>
      </c>
      <c r="M72" s="70" t="str">
        <f>+IFERROR(VLOOKUP(CONCATENATE(A72,$B$10,B72),'3. Resultados'!B:J,9,FALSE),"-")</f>
        <v>-</v>
      </c>
      <c r="N72" s="24"/>
      <c r="O72" s="25" t="str">
        <f t="shared" si="1"/>
        <v>Por iniciar</v>
      </c>
      <c r="P72"/>
    </row>
    <row r="73" spans="1:16" ht="14.5">
      <c r="A73" s="18"/>
      <c r="B73" s="57"/>
      <c r="C73" s="57"/>
      <c r="D73" s="57"/>
      <c r="E73" s="57"/>
      <c r="F73" s="57"/>
      <c r="G73" s="57"/>
      <c r="H73" s="62" t="s">
        <v>9</v>
      </c>
      <c r="I73" s="19" t="s">
        <v>266</v>
      </c>
      <c r="J73" s="24">
        <f>+COUNTIFS('3. Resultados'!C:C,'1. Status'!H73,'3. Resultados'!G:G,'1. Status'!I73)</f>
        <v>0</v>
      </c>
      <c r="K73" s="70" t="str">
        <f>+IFERROR(VLOOKUP(CONCATENATE(A73,$B$10,B73),'3. Resultados'!B:J,8,FALSE),"-")</f>
        <v>-</v>
      </c>
      <c r="L73" s="69" t="str">
        <f>+IFERROR(VLOOKUP(B73,'3. Resultados'!K:L,2,FALSE),"-")</f>
        <v>-</v>
      </c>
      <c r="M73" s="70" t="str">
        <f>+IFERROR(VLOOKUP(CONCATENATE(A73,$B$10,B73),'3. Resultados'!B:J,9,FALSE),"-")</f>
        <v>-</v>
      </c>
      <c r="N73" s="24"/>
      <c r="O73" s="25" t="str">
        <f t="shared" si="1"/>
        <v>Por iniciar</v>
      </c>
      <c r="P73"/>
    </row>
    <row r="74" spans="1:16" ht="14.5">
      <c r="A74" s="18"/>
      <c r="B74" s="57"/>
      <c r="C74" s="57"/>
      <c r="D74" s="57"/>
      <c r="E74" s="57"/>
      <c r="F74" s="57"/>
      <c r="G74" s="57"/>
      <c r="H74" s="62" t="s">
        <v>9</v>
      </c>
      <c r="I74" s="19" t="s">
        <v>79</v>
      </c>
      <c r="J74" s="24">
        <f>+COUNTIFS('3. Resultados'!C:C,'1. Status'!H74,'3. Resultados'!G:G,'1. Status'!I74)</f>
        <v>0</v>
      </c>
      <c r="K74" s="70" t="str">
        <f>+IFERROR(VLOOKUP(CONCATENATE(A74,$B$10,B74),'3. Resultados'!B:J,8,FALSE),"-")</f>
        <v>-</v>
      </c>
      <c r="L74" s="69" t="str">
        <f>+IFERROR(VLOOKUP(B74,'3. Resultados'!K:L,2,FALSE),"-")</f>
        <v>-</v>
      </c>
      <c r="M74" s="70" t="str">
        <f>+IFERROR(VLOOKUP(CONCATENATE(A74,$B$10,B74),'3. Resultados'!B:J,9,FALSE),"-")</f>
        <v>-</v>
      </c>
      <c r="N74" s="24"/>
      <c r="O74" s="25" t="str">
        <f t="shared" si="1"/>
        <v>Por iniciar</v>
      </c>
      <c r="P74"/>
    </row>
    <row r="75" spans="1:16" ht="14.5">
      <c r="A75" s="18"/>
      <c r="B75" s="57"/>
      <c r="C75" s="57"/>
      <c r="D75" s="57"/>
      <c r="E75" s="57"/>
      <c r="F75" s="57"/>
      <c r="G75" s="57"/>
      <c r="H75" s="62" t="s">
        <v>9</v>
      </c>
      <c r="I75" s="19" t="s">
        <v>80</v>
      </c>
      <c r="J75" s="24">
        <f>+COUNTIFS('3. Resultados'!C:C,'1. Status'!H75,'3. Resultados'!G:G,'1. Status'!I75)</f>
        <v>0</v>
      </c>
      <c r="K75" s="70" t="str">
        <f>+IFERROR(VLOOKUP(CONCATENATE(A75,$B$10,B75),'3. Resultados'!B:J,8,FALSE),"-")</f>
        <v>-</v>
      </c>
      <c r="L75" s="69" t="str">
        <f>+IFERROR(VLOOKUP(B75,'3. Resultados'!K:L,2,FALSE),"-")</f>
        <v>-</v>
      </c>
      <c r="M75" s="70" t="str">
        <f>+IFERROR(VLOOKUP(CONCATENATE(A75,$B$10,B75),'3. Resultados'!B:J,9,FALSE),"-")</f>
        <v>-</v>
      </c>
      <c r="N75" s="24"/>
      <c r="O75" s="25" t="str">
        <f t="shared" si="1"/>
        <v>Por iniciar</v>
      </c>
      <c r="P75"/>
    </row>
    <row r="76" spans="1:16" ht="14.5">
      <c r="A76" s="18"/>
      <c r="B76" s="57"/>
      <c r="C76" s="57"/>
      <c r="D76" s="57"/>
      <c r="E76" s="57"/>
      <c r="F76" s="57"/>
      <c r="G76" s="57"/>
      <c r="H76" s="62" t="s">
        <v>9</v>
      </c>
      <c r="I76" s="19" t="s">
        <v>267</v>
      </c>
      <c r="J76" s="24">
        <f>+COUNTIFS('3. Resultados'!C:C,'1. Status'!H76,'3. Resultados'!G:G,'1. Status'!I76)</f>
        <v>0</v>
      </c>
      <c r="K76" s="70" t="str">
        <f>+IFERROR(VLOOKUP(CONCATENATE(A76,$B$10,B76),'3. Resultados'!B:J,8,FALSE),"-")</f>
        <v>-</v>
      </c>
      <c r="L76" s="69" t="str">
        <f>+IFERROR(VLOOKUP(B76,'3. Resultados'!K:L,2,FALSE),"-")</f>
        <v>-</v>
      </c>
      <c r="M76" s="70" t="str">
        <f>+IFERROR(VLOOKUP(CONCATENATE(A76,$B$10,B76),'3. Resultados'!B:J,9,FALSE),"-")</f>
        <v>-</v>
      </c>
      <c r="N76" s="24"/>
      <c r="O76" s="25" t="str">
        <f t="shared" ref="O76:O139" si="2">+IF(J76=0,"Por iniciar",IF(OR(K76="-",M76="-"),"Em testes",IF(M76=0,"OK","NOK")))</f>
        <v>Por iniciar</v>
      </c>
      <c r="P76"/>
    </row>
    <row r="77" spans="1:16" ht="14.5">
      <c r="A77" s="18"/>
      <c r="B77" s="57"/>
      <c r="C77" s="57"/>
      <c r="D77" s="57"/>
      <c r="E77" s="57"/>
      <c r="F77" s="57"/>
      <c r="G77" s="57"/>
      <c r="H77" s="62" t="s">
        <v>9</v>
      </c>
      <c r="I77" s="19" t="s">
        <v>268</v>
      </c>
      <c r="J77" s="24">
        <f>+COUNTIFS('3. Resultados'!C:C,'1. Status'!H77,'3. Resultados'!G:G,'1. Status'!I77)</f>
        <v>0</v>
      </c>
      <c r="K77" s="70" t="str">
        <f>+IFERROR(VLOOKUP(CONCATENATE(A77,$B$10,B77),'3. Resultados'!B:J,8,FALSE),"-")</f>
        <v>-</v>
      </c>
      <c r="L77" s="69" t="str">
        <f>+IFERROR(VLOOKUP(B77,'3. Resultados'!K:L,2,FALSE),"-")</f>
        <v>-</v>
      </c>
      <c r="M77" s="70" t="str">
        <f>+IFERROR(VLOOKUP(CONCATENATE(A77,$B$10,B77),'3. Resultados'!B:J,9,FALSE),"-")</f>
        <v>-</v>
      </c>
      <c r="N77" s="24"/>
      <c r="O77" s="25" t="str">
        <f t="shared" si="2"/>
        <v>Por iniciar</v>
      </c>
      <c r="P77"/>
    </row>
    <row r="78" spans="1:16" ht="14.5">
      <c r="A78" s="18"/>
      <c r="B78" s="57"/>
      <c r="C78" s="57"/>
      <c r="D78" s="57"/>
      <c r="E78" s="57"/>
      <c r="F78" s="57"/>
      <c r="G78" s="57"/>
      <c r="H78" s="62" t="s">
        <v>9</v>
      </c>
      <c r="I78" s="19" t="s">
        <v>269</v>
      </c>
      <c r="J78" s="24">
        <f>+COUNTIFS('3. Resultados'!C:C,'1. Status'!H78,'3. Resultados'!G:G,'1. Status'!I78)</f>
        <v>0</v>
      </c>
      <c r="K78" s="70" t="str">
        <f>+IFERROR(VLOOKUP(CONCATENATE(A78,$B$10,B78),'3. Resultados'!B:J,8,FALSE),"-")</f>
        <v>-</v>
      </c>
      <c r="L78" s="69" t="str">
        <f>+IFERROR(VLOOKUP(B78,'3. Resultados'!K:L,2,FALSE),"-")</f>
        <v>-</v>
      </c>
      <c r="M78" s="70" t="str">
        <f>+IFERROR(VLOOKUP(CONCATENATE(A78,$B$10,B78),'3. Resultados'!B:J,9,FALSE),"-")</f>
        <v>-</v>
      </c>
      <c r="N78" s="24"/>
      <c r="O78" s="25" t="str">
        <f t="shared" si="2"/>
        <v>Por iniciar</v>
      </c>
      <c r="P78"/>
    </row>
    <row r="79" spans="1:16" ht="14.5">
      <c r="A79" s="18"/>
      <c r="B79" s="57"/>
      <c r="C79" s="57"/>
      <c r="D79" s="57"/>
      <c r="E79" s="57"/>
      <c r="F79" s="57"/>
      <c r="G79" s="57"/>
      <c r="H79" s="62" t="s">
        <v>9</v>
      </c>
      <c r="I79" s="19" t="s">
        <v>270</v>
      </c>
      <c r="J79" s="24">
        <f>+COUNTIFS('3. Resultados'!C:C,'1. Status'!H79,'3. Resultados'!G:G,'1. Status'!I79)</f>
        <v>0</v>
      </c>
      <c r="K79" s="70" t="str">
        <f>+IFERROR(VLOOKUP(CONCATENATE(A79,$B$10,B79),'3. Resultados'!B:J,8,FALSE),"-")</f>
        <v>-</v>
      </c>
      <c r="L79" s="69" t="str">
        <f>+IFERROR(VLOOKUP(B79,'3. Resultados'!K:L,2,FALSE),"-")</f>
        <v>-</v>
      </c>
      <c r="M79" s="70" t="str">
        <f>+IFERROR(VLOOKUP(CONCATENATE(A79,$B$10,B79),'3. Resultados'!B:J,9,FALSE),"-")</f>
        <v>-</v>
      </c>
      <c r="N79" s="24"/>
      <c r="O79" s="25" t="str">
        <f t="shared" si="2"/>
        <v>Por iniciar</v>
      </c>
      <c r="P79"/>
    </row>
    <row r="80" spans="1:16" ht="14.5">
      <c r="A80" s="18"/>
      <c r="B80" s="57"/>
      <c r="C80" s="57"/>
      <c r="D80" s="57"/>
      <c r="E80" s="57"/>
      <c r="F80" s="57"/>
      <c r="G80" s="57"/>
      <c r="H80" s="62" t="s">
        <v>9</v>
      </c>
      <c r="I80" s="19" t="s">
        <v>81</v>
      </c>
      <c r="J80" s="24">
        <f>+COUNTIFS('3. Resultados'!C:C,'1. Status'!H80,'3. Resultados'!G:G,'1. Status'!I80)</f>
        <v>0</v>
      </c>
      <c r="K80" s="70" t="str">
        <f>+IFERROR(VLOOKUP(CONCATENATE(A80,$B$10,B80),'3. Resultados'!B:J,8,FALSE),"-")</f>
        <v>-</v>
      </c>
      <c r="L80" s="69" t="str">
        <f>+IFERROR(VLOOKUP(B80,'3. Resultados'!K:L,2,FALSE),"-")</f>
        <v>-</v>
      </c>
      <c r="M80" s="70" t="str">
        <f>+IFERROR(VLOOKUP(CONCATENATE(A80,$B$10,B80),'3. Resultados'!B:J,9,FALSE),"-")</f>
        <v>-</v>
      </c>
      <c r="N80" s="24"/>
      <c r="O80" s="25" t="str">
        <f t="shared" si="2"/>
        <v>Por iniciar</v>
      </c>
      <c r="P80"/>
    </row>
    <row r="81" spans="1:16" ht="14.5">
      <c r="A81" s="18"/>
      <c r="B81" s="57"/>
      <c r="C81" s="57"/>
      <c r="D81" s="57"/>
      <c r="E81" s="57"/>
      <c r="F81" s="57"/>
      <c r="G81" s="57"/>
      <c r="H81" s="62" t="s">
        <v>9</v>
      </c>
      <c r="I81" s="19" t="s">
        <v>136</v>
      </c>
      <c r="J81" s="24">
        <f>+COUNTIFS('3. Resultados'!C:C,'1. Status'!H81,'3. Resultados'!G:G,'1. Status'!I81)</f>
        <v>0</v>
      </c>
      <c r="K81" s="70" t="str">
        <f>+IFERROR(VLOOKUP(CONCATENATE(A81,$B$10,B81),'3. Resultados'!B:J,8,FALSE),"-")</f>
        <v>-</v>
      </c>
      <c r="L81" s="69" t="str">
        <f>+IFERROR(VLOOKUP(B81,'3. Resultados'!K:L,2,FALSE),"-")</f>
        <v>-</v>
      </c>
      <c r="M81" s="70" t="str">
        <f>+IFERROR(VLOOKUP(CONCATENATE(A81,$B$10,B81),'3. Resultados'!B:J,9,FALSE),"-")</f>
        <v>-</v>
      </c>
      <c r="N81" s="24"/>
      <c r="O81" s="25" t="str">
        <f t="shared" si="2"/>
        <v>Por iniciar</v>
      </c>
      <c r="P81"/>
    </row>
    <row r="82" spans="1:16" ht="14.5">
      <c r="A82" s="18"/>
      <c r="B82" s="57"/>
      <c r="C82" s="57"/>
      <c r="D82" s="57"/>
      <c r="E82" s="57"/>
      <c r="F82" s="57"/>
      <c r="G82" s="57"/>
      <c r="H82" s="62" t="s">
        <v>9</v>
      </c>
      <c r="I82" s="19" t="s">
        <v>82</v>
      </c>
      <c r="J82" s="24">
        <f>+COUNTIFS('3. Resultados'!C:C,'1. Status'!H82,'3. Resultados'!G:G,'1. Status'!I82)</f>
        <v>0</v>
      </c>
      <c r="K82" s="70" t="str">
        <f>+IFERROR(VLOOKUP(CONCATENATE(A82,$B$10,B82),'3. Resultados'!B:J,8,FALSE),"-")</f>
        <v>-</v>
      </c>
      <c r="L82" s="69" t="str">
        <f>+IFERROR(VLOOKUP(B82,'3. Resultados'!K:L,2,FALSE),"-")</f>
        <v>-</v>
      </c>
      <c r="M82" s="70" t="str">
        <f>+IFERROR(VLOOKUP(CONCATENATE(A82,$B$10,B82),'3. Resultados'!B:J,9,FALSE),"-")</f>
        <v>-</v>
      </c>
      <c r="N82" s="24"/>
      <c r="O82" s="25" t="str">
        <f t="shared" si="2"/>
        <v>Por iniciar</v>
      </c>
      <c r="P82"/>
    </row>
    <row r="83" spans="1:16" ht="14.5">
      <c r="A83" s="18"/>
      <c r="B83" s="57"/>
      <c r="C83" s="57"/>
      <c r="D83" s="57"/>
      <c r="E83" s="57"/>
      <c r="F83" s="57"/>
      <c r="G83" s="57"/>
      <c r="H83" s="62" t="s">
        <v>9</v>
      </c>
      <c r="I83" s="19" t="s">
        <v>271</v>
      </c>
      <c r="J83" s="24">
        <f>+COUNTIFS('3. Resultados'!C:C,'1. Status'!H83,'3. Resultados'!G:G,'1. Status'!I83)</f>
        <v>0</v>
      </c>
      <c r="K83" s="70" t="str">
        <f>+IFERROR(VLOOKUP(CONCATENATE(A83,$B$10,B83),'3. Resultados'!B:J,8,FALSE),"-")</f>
        <v>-</v>
      </c>
      <c r="L83" s="69" t="str">
        <f>+IFERROR(VLOOKUP(B83,'3. Resultados'!K:L,2,FALSE),"-")</f>
        <v>-</v>
      </c>
      <c r="M83" s="70" t="str">
        <f>+IFERROR(VLOOKUP(CONCATENATE(A83,$B$10,B83),'3. Resultados'!B:J,9,FALSE),"-")</f>
        <v>-</v>
      </c>
      <c r="N83" s="24"/>
      <c r="O83" s="25" t="str">
        <f t="shared" si="2"/>
        <v>Por iniciar</v>
      </c>
      <c r="P83"/>
    </row>
    <row r="84" spans="1:16" ht="14.5">
      <c r="A84" s="18"/>
      <c r="B84" s="57"/>
      <c r="C84" s="57"/>
      <c r="D84" s="57"/>
      <c r="E84" s="57"/>
      <c r="F84" s="57"/>
      <c r="G84" s="57"/>
      <c r="H84" s="62" t="s">
        <v>9</v>
      </c>
      <c r="I84" s="19" t="s">
        <v>272</v>
      </c>
      <c r="J84" s="24">
        <f>+COUNTIFS('3. Resultados'!C:C,'1. Status'!H84,'3. Resultados'!G:G,'1. Status'!I84)</f>
        <v>0</v>
      </c>
      <c r="K84" s="70" t="str">
        <f>+IFERROR(VLOOKUP(CONCATENATE(A84,$B$10,B84),'3. Resultados'!B:J,8,FALSE),"-")</f>
        <v>-</v>
      </c>
      <c r="L84" s="69" t="str">
        <f>+IFERROR(VLOOKUP(B84,'3. Resultados'!K:L,2,FALSE),"-")</f>
        <v>-</v>
      </c>
      <c r="M84" s="70" t="str">
        <f>+IFERROR(VLOOKUP(CONCATENATE(A84,$B$10,B84),'3. Resultados'!B:J,9,FALSE),"-")</f>
        <v>-</v>
      </c>
      <c r="N84" s="24"/>
      <c r="O84" s="25" t="str">
        <f t="shared" si="2"/>
        <v>Por iniciar</v>
      </c>
      <c r="P84"/>
    </row>
    <row r="85" spans="1:16" ht="14.5">
      <c r="A85" s="18"/>
      <c r="B85" s="57"/>
      <c r="C85" s="57"/>
      <c r="D85" s="57"/>
      <c r="E85" s="57"/>
      <c r="F85" s="57"/>
      <c r="G85" s="57"/>
      <c r="H85" s="62" t="s">
        <v>9</v>
      </c>
      <c r="I85" s="19" t="s">
        <v>273</v>
      </c>
      <c r="J85" s="24">
        <f>+COUNTIFS('3. Resultados'!C:C,'1. Status'!H85,'3. Resultados'!G:G,'1. Status'!I85)</f>
        <v>0</v>
      </c>
      <c r="K85" s="70" t="str">
        <f>+IFERROR(VLOOKUP(CONCATENATE(A85,$B$10,B85),'3. Resultados'!B:J,8,FALSE),"-")</f>
        <v>-</v>
      </c>
      <c r="L85" s="69" t="str">
        <f>+IFERROR(VLOOKUP(B85,'3. Resultados'!K:L,2,FALSE),"-")</f>
        <v>-</v>
      </c>
      <c r="M85" s="70" t="str">
        <f>+IFERROR(VLOOKUP(CONCATENATE(A85,$B$10,B85),'3. Resultados'!B:J,9,FALSE),"-")</f>
        <v>-</v>
      </c>
      <c r="N85" s="24"/>
      <c r="O85" s="25" t="str">
        <f t="shared" si="2"/>
        <v>Por iniciar</v>
      </c>
      <c r="P85"/>
    </row>
    <row r="86" spans="1:16" ht="14.5">
      <c r="A86" s="18"/>
      <c r="B86" s="57"/>
      <c r="C86" s="57"/>
      <c r="D86" s="57"/>
      <c r="E86" s="57"/>
      <c r="F86" s="57"/>
      <c r="G86" s="57"/>
      <c r="H86" s="62" t="s">
        <v>9</v>
      </c>
      <c r="I86" s="19" t="s">
        <v>274</v>
      </c>
      <c r="J86" s="24">
        <f>+COUNTIFS('3. Resultados'!C:C,'1. Status'!H86,'3. Resultados'!G:G,'1. Status'!I86)</f>
        <v>0</v>
      </c>
      <c r="K86" s="70" t="str">
        <f>+IFERROR(VLOOKUP(CONCATENATE(A86,$B$10,B86),'3. Resultados'!B:J,8,FALSE),"-")</f>
        <v>-</v>
      </c>
      <c r="L86" s="69" t="str">
        <f>+IFERROR(VLOOKUP(B86,'3. Resultados'!K:L,2,FALSE),"-")</f>
        <v>-</v>
      </c>
      <c r="M86" s="70" t="str">
        <f>+IFERROR(VLOOKUP(CONCATENATE(A86,$B$10,B86),'3. Resultados'!B:J,9,FALSE),"-")</f>
        <v>-</v>
      </c>
      <c r="N86" s="24"/>
      <c r="O86" s="25" t="str">
        <f t="shared" si="2"/>
        <v>Por iniciar</v>
      </c>
      <c r="P86"/>
    </row>
    <row r="87" spans="1:16" ht="14.5">
      <c r="A87" s="18"/>
      <c r="B87" s="57"/>
      <c r="C87" s="57"/>
      <c r="D87" s="57"/>
      <c r="E87" s="57"/>
      <c r="F87" s="57"/>
      <c r="G87" s="57"/>
      <c r="H87" s="62" t="s">
        <v>9</v>
      </c>
      <c r="I87" s="19" t="s">
        <v>275</v>
      </c>
      <c r="J87" s="24">
        <f>+COUNTIFS('3. Resultados'!C:C,'1. Status'!H87,'3. Resultados'!G:G,'1. Status'!I87)</f>
        <v>0</v>
      </c>
      <c r="K87" s="70" t="str">
        <f>+IFERROR(VLOOKUP(CONCATENATE(A87,$B$10,B87),'3. Resultados'!B:J,8,FALSE),"-")</f>
        <v>-</v>
      </c>
      <c r="L87" s="69" t="str">
        <f>+IFERROR(VLOOKUP(B87,'3. Resultados'!K:L,2,FALSE),"-")</f>
        <v>-</v>
      </c>
      <c r="M87" s="70" t="str">
        <f>+IFERROR(VLOOKUP(CONCATENATE(A87,$B$10,B87),'3. Resultados'!B:J,9,FALSE),"-")</f>
        <v>-</v>
      </c>
      <c r="N87" s="24"/>
      <c r="O87" s="25" t="str">
        <f t="shared" si="2"/>
        <v>Por iniciar</v>
      </c>
      <c r="P87"/>
    </row>
    <row r="88" spans="1:16" ht="14.5">
      <c r="A88" s="18"/>
      <c r="B88" s="57"/>
      <c r="C88" s="57"/>
      <c r="D88" s="57"/>
      <c r="E88" s="57"/>
      <c r="F88" s="57"/>
      <c r="G88" s="57"/>
      <c r="H88" s="62" t="s">
        <v>9</v>
      </c>
      <c r="I88" s="19" t="s">
        <v>276</v>
      </c>
      <c r="J88" s="24">
        <f>+COUNTIFS('3. Resultados'!C:C,'1. Status'!H88,'3. Resultados'!G:G,'1. Status'!I88)</f>
        <v>0</v>
      </c>
      <c r="K88" s="70" t="str">
        <f>+IFERROR(VLOOKUP(CONCATENATE(A88,$B$10,B88),'3. Resultados'!B:J,8,FALSE),"-")</f>
        <v>-</v>
      </c>
      <c r="L88" s="69" t="str">
        <f>+IFERROR(VLOOKUP(B88,'3. Resultados'!K:L,2,FALSE),"-")</f>
        <v>-</v>
      </c>
      <c r="M88" s="70" t="str">
        <f>+IFERROR(VLOOKUP(CONCATENATE(A88,$B$10,B88),'3. Resultados'!B:J,9,FALSE),"-")</f>
        <v>-</v>
      </c>
      <c r="N88" s="24"/>
      <c r="O88" s="25" t="str">
        <f t="shared" si="2"/>
        <v>Por iniciar</v>
      </c>
      <c r="P88"/>
    </row>
    <row r="89" spans="1:16" ht="14.5">
      <c r="A89" s="18"/>
      <c r="B89" s="57"/>
      <c r="C89" s="57"/>
      <c r="D89" s="57"/>
      <c r="E89" s="57"/>
      <c r="F89" s="57"/>
      <c r="G89" s="57"/>
      <c r="H89" s="62" t="s">
        <v>9</v>
      </c>
      <c r="I89" s="19" t="s">
        <v>277</v>
      </c>
      <c r="J89" s="24">
        <f>+COUNTIFS('3. Resultados'!C:C,'1. Status'!H89,'3. Resultados'!G:G,'1. Status'!I89)</f>
        <v>0</v>
      </c>
      <c r="K89" s="70" t="str">
        <f>+IFERROR(VLOOKUP(CONCATENATE(A89,$B$10,B89),'3. Resultados'!B:J,8,FALSE),"-")</f>
        <v>-</v>
      </c>
      <c r="L89" s="69" t="str">
        <f>+IFERROR(VLOOKUP(B89,'3. Resultados'!K:L,2,FALSE),"-")</f>
        <v>-</v>
      </c>
      <c r="M89" s="70" t="str">
        <f>+IFERROR(VLOOKUP(CONCATENATE(A89,$B$10,B89),'3. Resultados'!B:J,9,FALSE),"-")</f>
        <v>-</v>
      </c>
      <c r="N89" s="24"/>
      <c r="O89" s="25" t="str">
        <f t="shared" si="2"/>
        <v>Por iniciar</v>
      </c>
      <c r="P89"/>
    </row>
    <row r="90" spans="1:16" ht="14.5">
      <c r="A90" s="18"/>
      <c r="B90" s="57"/>
      <c r="C90" s="57"/>
      <c r="D90" s="57"/>
      <c r="E90" s="57"/>
      <c r="F90" s="57"/>
      <c r="G90" s="57"/>
      <c r="H90" s="62" t="s">
        <v>9</v>
      </c>
      <c r="I90" s="19" t="s">
        <v>278</v>
      </c>
      <c r="J90" s="24">
        <f>+COUNTIFS('3. Resultados'!C:C,'1. Status'!H90,'3. Resultados'!G:G,'1. Status'!I90)</f>
        <v>0</v>
      </c>
      <c r="K90" s="70" t="str">
        <f>+IFERROR(VLOOKUP(CONCATENATE(A90,$B$10,B90),'3. Resultados'!B:J,8,FALSE),"-")</f>
        <v>-</v>
      </c>
      <c r="L90" s="69" t="str">
        <f>+IFERROR(VLOOKUP(B90,'3. Resultados'!K:L,2,FALSE),"-")</f>
        <v>-</v>
      </c>
      <c r="M90" s="70" t="str">
        <f>+IFERROR(VLOOKUP(CONCATENATE(A90,$B$10,B90),'3. Resultados'!B:J,9,FALSE),"-")</f>
        <v>-</v>
      </c>
      <c r="N90" s="24"/>
      <c r="O90" s="25" t="str">
        <f t="shared" si="2"/>
        <v>Por iniciar</v>
      </c>
      <c r="P90"/>
    </row>
    <row r="91" spans="1:16" ht="14.5">
      <c r="A91" s="18"/>
      <c r="B91" s="57"/>
      <c r="C91" s="57"/>
      <c r="D91" s="57"/>
      <c r="E91" s="57"/>
      <c r="F91" s="57"/>
      <c r="G91" s="57"/>
      <c r="H91" s="62" t="s">
        <v>9</v>
      </c>
      <c r="I91" s="19" t="s">
        <v>137</v>
      </c>
      <c r="J91" s="24">
        <f>+COUNTIFS('3. Resultados'!C:C,'1. Status'!H91,'3. Resultados'!G:G,'1. Status'!I91)</f>
        <v>0</v>
      </c>
      <c r="K91" s="70" t="str">
        <f>+IFERROR(VLOOKUP(CONCATENATE(A91,$B$10,B91),'3. Resultados'!B:J,8,FALSE),"-")</f>
        <v>-</v>
      </c>
      <c r="L91" s="69" t="str">
        <f>+IFERROR(VLOOKUP(B91,'3. Resultados'!K:L,2,FALSE),"-")</f>
        <v>-</v>
      </c>
      <c r="M91" s="70" t="str">
        <f>+IFERROR(VLOOKUP(CONCATENATE(A91,$B$10,B91),'3. Resultados'!B:J,9,FALSE),"-")</f>
        <v>-</v>
      </c>
      <c r="N91" s="24"/>
      <c r="O91" s="25" t="str">
        <f t="shared" si="2"/>
        <v>Por iniciar</v>
      </c>
      <c r="P91"/>
    </row>
    <row r="92" spans="1:16" ht="14.5">
      <c r="A92" s="18"/>
      <c r="B92" s="57"/>
      <c r="C92" s="57"/>
      <c r="D92" s="57"/>
      <c r="E92" s="57"/>
      <c r="F92" s="57"/>
      <c r="G92" s="57"/>
      <c r="H92" s="62" t="s">
        <v>9</v>
      </c>
      <c r="I92" s="19" t="s">
        <v>84</v>
      </c>
      <c r="J92" s="24">
        <f>+COUNTIFS('3. Resultados'!C:C,'1. Status'!H92,'3. Resultados'!G:G,'1. Status'!I92)</f>
        <v>0</v>
      </c>
      <c r="K92" s="70" t="str">
        <f>+IFERROR(VLOOKUP(CONCATENATE(A92,$B$10,B92),'3. Resultados'!B:J,8,FALSE),"-")</f>
        <v>-</v>
      </c>
      <c r="L92" s="69" t="str">
        <f>+IFERROR(VLOOKUP(B92,'3. Resultados'!K:L,2,FALSE),"-")</f>
        <v>-</v>
      </c>
      <c r="M92" s="70" t="str">
        <f>+IFERROR(VLOOKUP(CONCATENATE(A92,$B$10,B92),'3. Resultados'!B:J,9,FALSE),"-")</f>
        <v>-</v>
      </c>
      <c r="N92" s="24"/>
      <c r="O92" s="25" t="str">
        <f t="shared" si="2"/>
        <v>Por iniciar</v>
      </c>
      <c r="P92"/>
    </row>
    <row r="93" spans="1:16" ht="14.5">
      <c r="A93" s="18"/>
      <c r="B93" s="57"/>
      <c r="C93" s="57"/>
      <c r="D93" s="57"/>
      <c r="E93" s="57"/>
      <c r="F93" s="57"/>
      <c r="G93" s="57"/>
      <c r="H93" s="62" t="s">
        <v>9</v>
      </c>
      <c r="I93" s="19" t="s">
        <v>138</v>
      </c>
      <c r="J93" s="24">
        <f>+COUNTIFS('3. Resultados'!C:C,'1. Status'!H93,'3. Resultados'!G:G,'1. Status'!I93)</f>
        <v>0</v>
      </c>
      <c r="K93" s="70" t="str">
        <f>+IFERROR(VLOOKUP(CONCATENATE(A93,$B$10,B93),'3. Resultados'!B:J,8,FALSE),"-")</f>
        <v>-</v>
      </c>
      <c r="L93" s="69" t="str">
        <f>+IFERROR(VLOOKUP(B93,'3. Resultados'!K:L,2,FALSE),"-")</f>
        <v>-</v>
      </c>
      <c r="M93" s="70" t="str">
        <f>+IFERROR(VLOOKUP(CONCATENATE(A93,$B$10,B93),'3. Resultados'!B:J,9,FALSE),"-")</f>
        <v>-</v>
      </c>
      <c r="N93" s="24"/>
      <c r="O93" s="25" t="str">
        <f t="shared" si="2"/>
        <v>Por iniciar</v>
      </c>
      <c r="P93"/>
    </row>
    <row r="94" spans="1:16" ht="14.5">
      <c r="A94" s="18"/>
      <c r="B94" s="57"/>
      <c r="C94" s="57"/>
      <c r="D94" s="57"/>
      <c r="E94" s="57"/>
      <c r="F94" s="57"/>
      <c r="G94" s="57"/>
      <c r="H94" s="62" t="s">
        <v>9</v>
      </c>
      <c r="I94" s="19" t="s">
        <v>279</v>
      </c>
      <c r="J94" s="24">
        <f>+COUNTIFS('3. Resultados'!C:C,'1. Status'!H94,'3. Resultados'!G:G,'1. Status'!I94)</f>
        <v>0</v>
      </c>
      <c r="K94" s="70" t="str">
        <f>+IFERROR(VLOOKUP(CONCATENATE(A94,$B$10,B94),'3. Resultados'!B:J,8,FALSE),"-")</f>
        <v>-</v>
      </c>
      <c r="L94" s="69" t="str">
        <f>+IFERROR(VLOOKUP(B94,'3. Resultados'!K:L,2,FALSE),"-")</f>
        <v>-</v>
      </c>
      <c r="M94" s="70" t="str">
        <f>+IFERROR(VLOOKUP(CONCATENATE(A94,$B$10,B94),'3. Resultados'!B:J,9,FALSE),"-")</f>
        <v>-</v>
      </c>
      <c r="N94" s="24"/>
      <c r="O94" s="25" t="str">
        <f t="shared" si="2"/>
        <v>Por iniciar</v>
      </c>
      <c r="P94"/>
    </row>
    <row r="95" spans="1:16" ht="14.5">
      <c r="A95" s="18"/>
      <c r="B95" s="57"/>
      <c r="C95" s="57"/>
      <c r="D95" s="57"/>
      <c r="E95" s="57"/>
      <c r="F95" s="57"/>
      <c r="G95" s="57"/>
      <c r="H95" s="62" t="s">
        <v>9</v>
      </c>
      <c r="I95" s="19" t="s">
        <v>280</v>
      </c>
      <c r="J95" s="24">
        <f>+COUNTIFS('3. Resultados'!C:C,'1. Status'!H95,'3. Resultados'!G:G,'1. Status'!I95)</f>
        <v>0</v>
      </c>
      <c r="K95" s="70" t="str">
        <f>+IFERROR(VLOOKUP(CONCATENATE(A95,$B$10,B95),'3. Resultados'!B:J,8,FALSE),"-")</f>
        <v>-</v>
      </c>
      <c r="L95" s="69" t="str">
        <f>+IFERROR(VLOOKUP(B95,'3. Resultados'!K:L,2,FALSE),"-")</f>
        <v>-</v>
      </c>
      <c r="M95" s="70" t="str">
        <f>+IFERROR(VLOOKUP(CONCATENATE(A95,$B$10,B95),'3. Resultados'!B:J,9,FALSE),"-")</f>
        <v>-</v>
      </c>
      <c r="N95" s="24"/>
      <c r="O95" s="25" t="str">
        <f t="shared" si="2"/>
        <v>Por iniciar</v>
      </c>
      <c r="P95"/>
    </row>
    <row r="96" spans="1:16" ht="14.5">
      <c r="A96" s="18"/>
      <c r="B96" s="57"/>
      <c r="C96" s="57"/>
      <c r="D96" s="57"/>
      <c r="E96" s="57"/>
      <c r="F96" s="57"/>
      <c r="G96" s="57"/>
      <c r="H96" s="62" t="s">
        <v>9</v>
      </c>
      <c r="I96" s="19" t="s">
        <v>281</v>
      </c>
      <c r="J96" s="24">
        <f>+COUNTIFS('3. Resultados'!C:C,'1. Status'!H96,'3. Resultados'!G:G,'1. Status'!I96)</f>
        <v>0</v>
      </c>
      <c r="K96" s="70" t="str">
        <f>+IFERROR(VLOOKUP(CONCATENATE(A96,$B$10,B96),'3. Resultados'!B:J,8,FALSE),"-")</f>
        <v>-</v>
      </c>
      <c r="L96" s="69" t="str">
        <f>+IFERROR(VLOOKUP(B96,'3. Resultados'!K:L,2,FALSE),"-")</f>
        <v>-</v>
      </c>
      <c r="M96" s="70" t="str">
        <f>+IFERROR(VLOOKUP(CONCATENATE(A96,$B$10,B96),'3. Resultados'!B:J,9,FALSE),"-")</f>
        <v>-</v>
      </c>
      <c r="N96" s="24"/>
      <c r="O96" s="25" t="str">
        <f t="shared" si="2"/>
        <v>Por iniciar</v>
      </c>
      <c r="P96"/>
    </row>
    <row r="97" spans="1:16" ht="14.5">
      <c r="A97" s="18"/>
      <c r="B97" s="57"/>
      <c r="C97" s="57"/>
      <c r="D97" s="57"/>
      <c r="E97" s="57"/>
      <c r="F97" s="57"/>
      <c r="G97" s="57"/>
      <c r="H97" s="62" t="s">
        <v>9</v>
      </c>
      <c r="I97" s="19" t="s">
        <v>85</v>
      </c>
      <c r="J97" s="24">
        <f>+COUNTIFS('3. Resultados'!C:C,'1. Status'!H97,'3. Resultados'!G:G,'1. Status'!I97)</f>
        <v>0</v>
      </c>
      <c r="K97" s="70" t="str">
        <f>+IFERROR(VLOOKUP(CONCATENATE(A97,$B$10,B97),'3. Resultados'!B:J,8,FALSE),"-")</f>
        <v>-</v>
      </c>
      <c r="L97" s="69" t="str">
        <f>+IFERROR(VLOOKUP(B97,'3. Resultados'!K:L,2,FALSE),"-")</f>
        <v>-</v>
      </c>
      <c r="M97" s="70" t="str">
        <f>+IFERROR(VLOOKUP(CONCATENATE(A97,$B$10,B97),'3. Resultados'!B:J,9,FALSE),"-")</f>
        <v>-</v>
      </c>
      <c r="N97" s="24"/>
      <c r="O97" s="25" t="str">
        <f t="shared" si="2"/>
        <v>Por iniciar</v>
      </c>
      <c r="P97"/>
    </row>
    <row r="98" spans="1:16" ht="14.5">
      <c r="A98" s="18"/>
      <c r="B98" s="57"/>
      <c r="C98" s="57"/>
      <c r="D98" s="57"/>
      <c r="E98" s="57"/>
      <c r="F98" s="57"/>
      <c r="G98" s="57"/>
      <c r="H98" s="62" t="s">
        <v>9</v>
      </c>
      <c r="I98" s="19" t="s">
        <v>282</v>
      </c>
      <c r="J98" s="24">
        <f>+COUNTIFS('3. Resultados'!C:C,'1. Status'!H98,'3. Resultados'!G:G,'1. Status'!I98)</f>
        <v>0</v>
      </c>
      <c r="K98" s="70" t="str">
        <f>+IFERROR(VLOOKUP(CONCATENATE(A98,$B$10,B98),'3. Resultados'!B:J,8,FALSE),"-")</f>
        <v>-</v>
      </c>
      <c r="L98" s="69" t="str">
        <f>+IFERROR(VLOOKUP(B98,'3. Resultados'!K:L,2,FALSE),"-")</f>
        <v>-</v>
      </c>
      <c r="M98" s="70" t="str">
        <f>+IFERROR(VLOOKUP(CONCATENATE(A98,$B$10,B98),'3. Resultados'!B:J,9,FALSE),"-")</f>
        <v>-</v>
      </c>
      <c r="N98" s="24"/>
      <c r="O98" s="25" t="str">
        <f t="shared" si="2"/>
        <v>Por iniciar</v>
      </c>
      <c r="P98"/>
    </row>
    <row r="99" spans="1:16" ht="14.5">
      <c r="A99" s="18"/>
      <c r="B99" s="57"/>
      <c r="C99" s="57"/>
      <c r="D99" s="57"/>
      <c r="E99" s="57"/>
      <c r="F99" s="57"/>
      <c r="G99" s="57"/>
      <c r="H99" s="62" t="s">
        <v>9</v>
      </c>
      <c r="I99" s="19" t="s">
        <v>283</v>
      </c>
      <c r="J99" s="24">
        <f>+COUNTIFS('3. Resultados'!C:C,'1. Status'!H99,'3. Resultados'!G:G,'1. Status'!I99)</f>
        <v>0</v>
      </c>
      <c r="K99" s="70" t="str">
        <f>+IFERROR(VLOOKUP(CONCATENATE(A99,$B$10,B99),'3. Resultados'!B:J,8,FALSE),"-")</f>
        <v>-</v>
      </c>
      <c r="L99" s="69" t="str">
        <f>+IFERROR(VLOOKUP(B99,'3. Resultados'!K:L,2,FALSE),"-")</f>
        <v>-</v>
      </c>
      <c r="M99" s="70" t="str">
        <f>+IFERROR(VLOOKUP(CONCATENATE(A99,$B$10,B99),'3. Resultados'!B:J,9,FALSE),"-")</f>
        <v>-</v>
      </c>
      <c r="N99" s="24"/>
      <c r="O99" s="25" t="str">
        <f t="shared" si="2"/>
        <v>Por iniciar</v>
      </c>
      <c r="P99"/>
    </row>
    <row r="100" spans="1:16" ht="14.5">
      <c r="A100" s="18"/>
      <c r="B100" s="57"/>
      <c r="C100" s="57"/>
      <c r="D100" s="57"/>
      <c r="E100" s="57"/>
      <c r="F100" s="57"/>
      <c r="G100" s="57"/>
      <c r="H100" s="62" t="s">
        <v>9</v>
      </c>
      <c r="I100" s="19" t="s">
        <v>284</v>
      </c>
      <c r="J100" s="24">
        <f>+COUNTIFS('3. Resultados'!C:C,'1. Status'!H100,'3. Resultados'!G:G,'1. Status'!I100)</f>
        <v>0</v>
      </c>
      <c r="K100" s="70" t="str">
        <f>+IFERROR(VLOOKUP(CONCATENATE(A100,$B$10,B100),'3. Resultados'!B:J,8,FALSE),"-")</f>
        <v>-</v>
      </c>
      <c r="L100" s="69" t="str">
        <f>+IFERROR(VLOOKUP(B100,'3. Resultados'!K:L,2,FALSE),"-")</f>
        <v>-</v>
      </c>
      <c r="M100" s="70" t="str">
        <f>+IFERROR(VLOOKUP(CONCATENATE(A100,$B$10,B100),'3. Resultados'!B:J,9,FALSE),"-")</f>
        <v>-</v>
      </c>
      <c r="N100" s="24"/>
      <c r="O100" s="25" t="str">
        <f t="shared" si="2"/>
        <v>Por iniciar</v>
      </c>
      <c r="P100"/>
    </row>
    <row r="101" spans="1:16" ht="14.5">
      <c r="A101" s="18"/>
      <c r="B101" s="57"/>
      <c r="C101" s="57"/>
      <c r="D101" s="57"/>
      <c r="E101" s="57"/>
      <c r="F101" s="57"/>
      <c r="G101" s="57"/>
      <c r="H101" s="62" t="s">
        <v>9</v>
      </c>
      <c r="I101" s="19" t="s">
        <v>285</v>
      </c>
      <c r="J101" s="24">
        <f>+COUNTIFS('3. Resultados'!C:C,'1. Status'!H101,'3. Resultados'!G:G,'1. Status'!I101)</f>
        <v>0</v>
      </c>
      <c r="K101" s="70" t="str">
        <f>+IFERROR(VLOOKUP(CONCATENATE(A101,$B$10,B101),'3. Resultados'!B:J,8,FALSE),"-")</f>
        <v>-</v>
      </c>
      <c r="L101" s="69" t="str">
        <f>+IFERROR(VLOOKUP(B101,'3. Resultados'!K:L,2,FALSE),"-")</f>
        <v>-</v>
      </c>
      <c r="M101" s="70" t="str">
        <f>+IFERROR(VLOOKUP(CONCATENATE(A101,$B$10,B101),'3. Resultados'!B:J,9,FALSE),"-")</f>
        <v>-</v>
      </c>
      <c r="N101" s="24"/>
      <c r="O101" s="25" t="str">
        <f t="shared" si="2"/>
        <v>Por iniciar</v>
      </c>
      <c r="P101"/>
    </row>
    <row r="102" spans="1:16" ht="14.5">
      <c r="A102" s="18"/>
      <c r="B102" s="57"/>
      <c r="C102" s="57"/>
      <c r="D102" s="57"/>
      <c r="E102" s="57"/>
      <c r="F102" s="57"/>
      <c r="G102" s="57"/>
      <c r="H102" s="62" t="s">
        <v>9</v>
      </c>
      <c r="I102" s="19" t="s">
        <v>139</v>
      </c>
      <c r="J102" s="24">
        <f>+COUNTIFS('3. Resultados'!C:C,'1. Status'!H102,'3. Resultados'!G:G,'1. Status'!I102)</f>
        <v>0</v>
      </c>
      <c r="K102" s="70" t="str">
        <f>+IFERROR(VLOOKUP(CONCATENATE(A102,$B$10,B102),'3. Resultados'!B:J,8,FALSE),"-")</f>
        <v>-</v>
      </c>
      <c r="L102" s="69" t="str">
        <f>+IFERROR(VLOOKUP(B102,'3. Resultados'!K:L,2,FALSE),"-")</f>
        <v>-</v>
      </c>
      <c r="M102" s="70" t="str">
        <f>+IFERROR(VLOOKUP(CONCATENATE(A102,$B$10,B102),'3. Resultados'!B:J,9,FALSE),"-")</f>
        <v>-</v>
      </c>
      <c r="N102" s="24"/>
      <c r="O102" s="25" t="str">
        <f t="shared" si="2"/>
        <v>Por iniciar</v>
      </c>
      <c r="P102"/>
    </row>
    <row r="103" spans="1:16" ht="14.5">
      <c r="A103" s="18"/>
      <c r="B103" s="57"/>
      <c r="C103" s="57"/>
      <c r="D103" s="57"/>
      <c r="E103" s="57"/>
      <c r="F103" s="57"/>
      <c r="G103" s="57"/>
      <c r="H103" s="62" t="s">
        <v>9</v>
      </c>
      <c r="I103" s="19" t="s">
        <v>286</v>
      </c>
      <c r="J103" s="24">
        <f>+COUNTIFS('3. Resultados'!C:C,'1. Status'!H103,'3. Resultados'!G:G,'1. Status'!I103)</f>
        <v>0</v>
      </c>
      <c r="K103" s="70" t="str">
        <f>+IFERROR(VLOOKUP(CONCATENATE(A103,$B$10,B103),'3. Resultados'!B:J,8,FALSE),"-")</f>
        <v>-</v>
      </c>
      <c r="L103" s="69" t="str">
        <f>+IFERROR(VLOOKUP(B103,'3. Resultados'!K:L,2,FALSE),"-")</f>
        <v>-</v>
      </c>
      <c r="M103" s="70" t="str">
        <f>+IFERROR(VLOOKUP(CONCATENATE(A103,$B$10,B103),'3. Resultados'!B:J,9,FALSE),"-")</f>
        <v>-</v>
      </c>
      <c r="N103" s="24"/>
      <c r="O103" s="25" t="str">
        <f t="shared" si="2"/>
        <v>Por iniciar</v>
      </c>
      <c r="P103"/>
    </row>
    <row r="104" spans="1:16" ht="14.5">
      <c r="A104" s="18"/>
      <c r="B104" s="57"/>
      <c r="C104" s="57"/>
      <c r="D104" s="57"/>
      <c r="E104" s="57"/>
      <c r="F104" s="57"/>
      <c r="G104" s="57"/>
      <c r="H104" s="62" t="s">
        <v>9</v>
      </c>
      <c r="I104" s="19" t="s">
        <v>287</v>
      </c>
      <c r="J104" s="24">
        <f>+COUNTIFS('3. Resultados'!C:C,'1. Status'!H104,'3. Resultados'!G:G,'1. Status'!I104)</f>
        <v>0</v>
      </c>
      <c r="K104" s="70" t="str">
        <f>+IFERROR(VLOOKUP(CONCATENATE(A104,$B$10,B104),'3. Resultados'!B:J,8,FALSE),"-")</f>
        <v>-</v>
      </c>
      <c r="L104" s="69" t="str">
        <f>+IFERROR(VLOOKUP(B104,'3. Resultados'!K:L,2,FALSE),"-")</f>
        <v>-</v>
      </c>
      <c r="M104" s="70" t="str">
        <f>+IFERROR(VLOOKUP(CONCATENATE(A104,$B$10,B104),'3. Resultados'!B:J,9,FALSE),"-")</f>
        <v>-</v>
      </c>
      <c r="N104" s="24"/>
      <c r="O104" s="25" t="str">
        <f t="shared" si="2"/>
        <v>Por iniciar</v>
      </c>
      <c r="P104"/>
    </row>
    <row r="105" spans="1:16" ht="14.5">
      <c r="A105" s="18"/>
      <c r="B105" s="57"/>
      <c r="C105" s="57"/>
      <c r="D105" s="57"/>
      <c r="E105" s="57"/>
      <c r="F105" s="57"/>
      <c r="G105" s="57"/>
      <c r="H105" s="62" t="s">
        <v>9</v>
      </c>
      <c r="I105" s="19" t="s">
        <v>288</v>
      </c>
      <c r="J105" s="24">
        <f>+COUNTIFS('3. Resultados'!C:C,'1. Status'!H105,'3. Resultados'!G:G,'1. Status'!I105)</f>
        <v>0</v>
      </c>
      <c r="K105" s="70" t="str">
        <f>+IFERROR(VLOOKUP(CONCATENATE(A105,$B$10,B105),'3. Resultados'!B:J,8,FALSE),"-")</f>
        <v>-</v>
      </c>
      <c r="L105" s="69" t="str">
        <f>+IFERROR(VLOOKUP(B105,'3. Resultados'!K:L,2,FALSE),"-")</f>
        <v>-</v>
      </c>
      <c r="M105" s="70" t="str">
        <f>+IFERROR(VLOOKUP(CONCATENATE(A105,$B$10,B105),'3. Resultados'!B:J,9,FALSE),"-")</f>
        <v>-</v>
      </c>
      <c r="N105" s="24"/>
      <c r="O105" s="25" t="str">
        <f t="shared" si="2"/>
        <v>Por iniciar</v>
      </c>
      <c r="P105"/>
    </row>
    <row r="106" spans="1:16" ht="14.5">
      <c r="A106" s="18"/>
      <c r="B106" s="57"/>
      <c r="C106" s="57"/>
      <c r="D106" s="57"/>
      <c r="E106" s="57"/>
      <c r="F106" s="57"/>
      <c r="G106" s="57"/>
      <c r="H106" s="62" t="s">
        <v>9</v>
      </c>
      <c r="I106" s="19" t="s">
        <v>289</v>
      </c>
      <c r="J106" s="24">
        <f>+COUNTIFS('3. Resultados'!C:C,'1. Status'!H106,'3. Resultados'!G:G,'1. Status'!I106)</f>
        <v>0</v>
      </c>
      <c r="K106" s="70" t="str">
        <f>+IFERROR(VLOOKUP(CONCATENATE(A106,$B$10,B106),'3. Resultados'!B:J,8,FALSE),"-")</f>
        <v>-</v>
      </c>
      <c r="L106" s="69" t="str">
        <f>+IFERROR(VLOOKUP(B106,'3. Resultados'!K:L,2,FALSE),"-")</f>
        <v>-</v>
      </c>
      <c r="M106" s="70" t="str">
        <f>+IFERROR(VLOOKUP(CONCATENATE(A106,$B$10,B106),'3. Resultados'!B:J,9,FALSE),"-")</f>
        <v>-</v>
      </c>
      <c r="N106" s="24"/>
      <c r="O106" s="25" t="str">
        <f t="shared" si="2"/>
        <v>Por iniciar</v>
      </c>
      <c r="P106"/>
    </row>
    <row r="107" spans="1:16" ht="14.5">
      <c r="A107" s="18"/>
      <c r="B107" s="57"/>
      <c r="C107" s="57"/>
      <c r="D107" s="57"/>
      <c r="E107" s="57"/>
      <c r="F107" s="57"/>
      <c r="G107" s="57"/>
      <c r="H107" s="62" t="s">
        <v>9</v>
      </c>
      <c r="I107" s="19" t="s">
        <v>140</v>
      </c>
      <c r="J107" s="24">
        <f>+COUNTIFS('3. Resultados'!C:C,'1. Status'!H107,'3. Resultados'!G:G,'1. Status'!I107)</f>
        <v>0</v>
      </c>
      <c r="K107" s="70" t="str">
        <f>+IFERROR(VLOOKUP(CONCATENATE(A107,$B$10,B107),'3. Resultados'!B:J,8,FALSE),"-")</f>
        <v>-</v>
      </c>
      <c r="L107" s="69" t="str">
        <f>+IFERROR(VLOOKUP(B107,'3. Resultados'!K:L,2,FALSE),"-")</f>
        <v>-</v>
      </c>
      <c r="M107" s="70" t="str">
        <f>+IFERROR(VLOOKUP(CONCATENATE(A107,$B$10,B107),'3. Resultados'!B:J,9,FALSE),"-")</f>
        <v>-</v>
      </c>
      <c r="N107" s="24"/>
      <c r="O107" s="25" t="str">
        <f t="shared" si="2"/>
        <v>Por iniciar</v>
      </c>
      <c r="P107"/>
    </row>
    <row r="108" spans="1:16" ht="14.5">
      <c r="A108" s="18"/>
      <c r="B108" s="57"/>
      <c r="C108" s="57"/>
      <c r="D108" s="57"/>
      <c r="E108" s="57"/>
      <c r="F108" s="57"/>
      <c r="G108" s="57"/>
      <c r="H108" s="62" t="s">
        <v>9</v>
      </c>
      <c r="I108" s="19" t="s">
        <v>141</v>
      </c>
      <c r="J108" s="24">
        <f>+COUNTIFS('3. Resultados'!C:C,'1. Status'!H108,'3. Resultados'!G:G,'1. Status'!I108)</f>
        <v>0</v>
      </c>
      <c r="K108" s="70" t="str">
        <f>+IFERROR(VLOOKUP(CONCATENATE(A108,$B$10,B108),'3. Resultados'!B:J,8,FALSE),"-")</f>
        <v>-</v>
      </c>
      <c r="L108" s="69" t="str">
        <f>+IFERROR(VLOOKUP(B108,'3. Resultados'!K:L,2,FALSE),"-")</f>
        <v>-</v>
      </c>
      <c r="M108" s="70" t="str">
        <f>+IFERROR(VLOOKUP(CONCATENATE(A108,$B$10,B108),'3. Resultados'!B:J,9,FALSE),"-")</f>
        <v>-</v>
      </c>
      <c r="N108" s="24"/>
      <c r="O108" s="25" t="str">
        <f t="shared" si="2"/>
        <v>Por iniciar</v>
      </c>
      <c r="P108"/>
    </row>
    <row r="109" spans="1:16" ht="14.5">
      <c r="A109" s="18"/>
      <c r="B109" s="57"/>
      <c r="C109" s="57"/>
      <c r="D109" s="57"/>
      <c r="E109" s="57"/>
      <c r="F109" s="57"/>
      <c r="G109" s="57"/>
      <c r="H109" s="62" t="s">
        <v>9</v>
      </c>
      <c r="I109" s="19" t="s">
        <v>142</v>
      </c>
      <c r="J109" s="24">
        <f>+COUNTIFS('3. Resultados'!C:C,'1. Status'!H109,'3. Resultados'!G:G,'1. Status'!I109)</f>
        <v>0</v>
      </c>
      <c r="K109" s="70" t="str">
        <f>+IFERROR(VLOOKUP(CONCATENATE(A109,$B$10,B109),'3. Resultados'!B:J,8,FALSE),"-")</f>
        <v>-</v>
      </c>
      <c r="L109" s="69" t="str">
        <f>+IFERROR(VLOOKUP(B109,'3. Resultados'!K:L,2,FALSE),"-")</f>
        <v>-</v>
      </c>
      <c r="M109" s="70" t="str">
        <f>+IFERROR(VLOOKUP(CONCATENATE(A109,$B$10,B109),'3. Resultados'!B:J,9,FALSE),"-")</f>
        <v>-</v>
      </c>
      <c r="N109" s="24"/>
      <c r="O109" s="25" t="str">
        <f t="shared" si="2"/>
        <v>Por iniciar</v>
      </c>
      <c r="P109"/>
    </row>
    <row r="110" spans="1:16" ht="14.5">
      <c r="A110" s="18"/>
      <c r="B110" s="57"/>
      <c r="C110" s="57"/>
      <c r="D110" s="57"/>
      <c r="E110" s="57"/>
      <c r="F110" s="57"/>
      <c r="G110" s="57"/>
      <c r="H110" s="62" t="s">
        <v>9</v>
      </c>
      <c r="I110" s="19" t="s">
        <v>290</v>
      </c>
      <c r="J110" s="24">
        <f>+COUNTIFS('3. Resultados'!C:C,'1. Status'!H110,'3. Resultados'!G:G,'1. Status'!I110)</f>
        <v>0</v>
      </c>
      <c r="K110" s="70" t="str">
        <f>+IFERROR(VLOOKUP(CONCATENATE(A110,$B$10,B110),'3. Resultados'!B:J,8,FALSE),"-")</f>
        <v>-</v>
      </c>
      <c r="L110" s="69" t="str">
        <f>+IFERROR(VLOOKUP(B110,'3. Resultados'!K:L,2,FALSE),"-")</f>
        <v>-</v>
      </c>
      <c r="M110" s="70" t="str">
        <f>+IFERROR(VLOOKUP(CONCATENATE(A110,$B$10,B110),'3. Resultados'!B:J,9,FALSE),"-")</f>
        <v>-</v>
      </c>
      <c r="N110" s="24"/>
      <c r="O110" s="25" t="str">
        <f t="shared" si="2"/>
        <v>Por iniciar</v>
      </c>
      <c r="P110"/>
    </row>
    <row r="111" spans="1:16" ht="14.5">
      <c r="A111" s="18"/>
      <c r="B111" s="57"/>
      <c r="C111" s="57"/>
      <c r="D111" s="57"/>
      <c r="E111" s="57"/>
      <c r="F111" s="57"/>
      <c r="G111" s="57"/>
      <c r="H111" s="62" t="s">
        <v>9</v>
      </c>
      <c r="I111" s="19" t="s">
        <v>291</v>
      </c>
      <c r="J111" s="24">
        <f>+COUNTIFS('3. Resultados'!C:C,'1. Status'!H111,'3. Resultados'!G:G,'1. Status'!I111)</f>
        <v>0</v>
      </c>
      <c r="K111" s="70" t="str">
        <f>+IFERROR(VLOOKUP(CONCATENATE(A111,$B$10,B111),'3. Resultados'!B:J,8,FALSE),"-")</f>
        <v>-</v>
      </c>
      <c r="L111" s="69" t="str">
        <f>+IFERROR(VLOOKUP(B111,'3. Resultados'!K:L,2,FALSE),"-")</f>
        <v>-</v>
      </c>
      <c r="M111" s="70" t="str">
        <f>+IFERROR(VLOOKUP(CONCATENATE(A111,$B$10,B111),'3. Resultados'!B:J,9,FALSE),"-")</f>
        <v>-</v>
      </c>
      <c r="N111" s="24"/>
      <c r="O111" s="25" t="str">
        <f t="shared" si="2"/>
        <v>Por iniciar</v>
      </c>
      <c r="P111"/>
    </row>
    <row r="112" spans="1:16" ht="14.5">
      <c r="A112" s="18"/>
      <c r="B112" s="57"/>
      <c r="C112" s="57"/>
      <c r="D112" s="57"/>
      <c r="E112" s="57"/>
      <c r="F112" s="57"/>
      <c r="G112" s="57"/>
      <c r="H112" s="62" t="s">
        <v>9</v>
      </c>
      <c r="I112" s="19" t="s">
        <v>292</v>
      </c>
      <c r="J112" s="24">
        <f>+COUNTIFS('3. Resultados'!C:C,'1. Status'!H112,'3. Resultados'!G:G,'1. Status'!I112)</f>
        <v>0</v>
      </c>
      <c r="K112" s="70" t="str">
        <f>+IFERROR(VLOOKUP(CONCATENATE(A112,$B$10,B112),'3. Resultados'!B:J,8,FALSE),"-")</f>
        <v>-</v>
      </c>
      <c r="L112" s="69" t="str">
        <f>+IFERROR(VLOOKUP(B112,'3. Resultados'!K:L,2,FALSE),"-")</f>
        <v>-</v>
      </c>
      <c r="M112" s="70" t="str">
        <f>+IFERROR(VLOOKUP(CONCATENATE(A112,$B$10,B112),'3. Resultados'!B:J,9,FALSE),"-")</f>
        <v>-</v>
      </c>
      <c r="N112" s="24"/>
      <c r="O112" s="25" t="str">
        <f t="shared" si="2"/>
        <v>Por iniciar</v>
      </c>
      <c r="P112"/>
    </row>
    <row r="113" spans="1:16" ht="14.5">
      <c r="A113" s="18"/>
      <c r="B113" s="57"/>
      <c r="C113" s="57"/>
      <c r="D113" s="57"/>
      <c r="E113" s="57"/>
      <c r="F113" s="57"/>
      <c r="G113" s="57"/>
      <c r="H113" s="62" t="s">
        <v>9</v>
      </c>
      <c r="I113" s="19" t="s">
        <v>293</v>
      </c>
      <c r="J113" s="24">
        <f>+COUNTIFS('3. Resultados'!C:C,'1. Status'!H113,'3. Resultados'!G:G,'1. Status'!I113)</f>
        <v>0</v>
      </c>
      <c r="K113" s="70" t="str">
        <f>+IFERROR(VLOOKUP(CONCATENATE(A113,$B$10,B113),'3. Resultados'!B:J,8,FALSE),"-")</f>
        <v>-</v>
      </c>
      <c r="L113" s="69" t="str">
        <f>+IFERROR(VLOOKUP(B113,'3. Resultados'!K:L,2,FALSE),"-")</f>
        <v>-</v>
      </c>
      <c r="M113" s="70" t="str">
        <f>+IFERROR(VLOOKUP(CONCATENATE(A113,$B$10,B113),'3. Resultados'!B:J,9,FALSE),"-")</f>
        <v>-</v>
      </c>
      <c r="N113" s="24"/>
      <c r="O113" s="25" t="str">
        <f t="shared" si="2"/>
        <v>Por iniciar</v>
      </c>
      <c r="P113"/>
    </row>
    <row r="114" spans="1:16" ht="14.5">
      <c r="A114" s="18"/>
      <c r="B114" s="57"/>
      <c r="C114" s="57"/>
      <c r="D114" s="57"/>
      <c r="E114" s="57"/>
      <c r="F114" s="57"/>
      <c r="G114" s="57"/>
      <c r="H114" s="62" t="s">
        <v>9</v>
      </c>
      <c r="I114" s="19" t="s">
        <v>294</v>
      </c>
      <c r="J114" s="24">
        <f>+COUNTIFS('3. Resultados'!C:C,'1. Status'!H114,'3. Resultados'!G:G,'1. Status'!I114)</f>
        <v>0</v>
      </c>
      <c r="K114" s="70" t="str">
        <f>+IFERROR(VLOOKUP(CONCATENATE(A114,$B$10,B114),'3. Resultados'!B:J,8,FALSE),"-")</f>
        <v>-</v>
      </c>
      <c r="L114" s="69" t="str">
        <f>+IFERROR(VLOOKUP(B114,'3. Resultados'!K:L,2,FALSE),"-")</f>
        <v>-</v>
      </c>
      <c r="M114" s="70" t="str">
        <f>+IFERROR(VLOOKUP(CONCATENATE(A114,$B$10,B114),'3. Resultados'!B:J,9,FALSE),"-")</f>
        <v>-</v>
      </c>
      <c r="N114" s="24"/>
      <c r="O114" s="25" t="str">
        <f t="shared" si="2"/>
        <v>Por iniciar</v>
      </c>
      <c r="P114"/>
    </row>
    <row r="115" spans="1:16" ht="14.5">
      <c r="A115" s="18"/>
      <c r="B115" s="57"/>
      <c r="C115" s="57"/>
      <c r="D115" s="57"/>
      <c r="E115" s="57"/>
      <c r="F115" s="57"/>
      <c r="G115" s="57"/>
      <c r="H115" s="62" t="s">
        <v>9</v>
      </c>
      <c r="I115" s="19" t="s">
        <v>295</v>
      </c>
      <c r="J115" s="24">
        <f>+COUNTIFS('3. Resultados'!C:C,'1. Status'!H115,'3. Resultados'!G:G,'1. Status'!I115)</f>
        <v>0</v>
      </c>
      <c r="K115" s="70" t="str">
        <f>+IFERROR(VLOOKUP(CONCATENATE(A115,$B$10,B115),'3. Resultados'!B:J,8,FALSE),"-")</f>
        <v>-</v>
      </c>
      <c r="L115" s="69" t="str">
        <f>+IFERROR(VLOOKUP(B115,'3. Resultados'!K:L,2,FALSE),"-")</f>
        <v>-</v>
      </c>
      <c r="M115" s="70" t="str">
        <f>+IFERROR(VLOOKUP(CONCATENATE(A115,$B$10,B115),'3. Resultados'!B:J,9,FALSE),"-")</f>
        <v>-</v>
      </c>
      <c r="N115" s="24"/>
      <c r="O115" s="25" t="str">
        <f t="shared" si="2"/>
        <v>Por iniciar</v>
      </c>
      <c r="P115"/>
    </row>
    <row r="116" spans="1:16" ht="14.5">
      <c r="A116" s="18"/>
      <c r="B116" s="57"/>
      <c r="C116" s="57"/>
      <c r="D116" s="57"/>
      <c r="E116" s="57"/>
      <c r="F116" s="57"/>
      <c r="G116" s="57"/>
      <c r="H116" s="62" t="s">
        <v>9</v>
      </c>
      <c r="I116" s="19" t="s">
        <v>296</v>
      </c>
      <c r="J116" s="24">
        <f>+COUNTIFS('3. Resultados'!C:C,'1. Status'!H116,'3. Resultados'!G:G,'1. Status'!I116)</f>
        <v>0</v>
      </c>
      <c r="K116" s="70" t="str">
        <f>+IFERROR(VLOOKUP(CONCATENATE(A116,$B$10,B116),'3. Resultados'!B:J,8,FALSE),"-")</f>
        <v>-</v>
      </c>
      <c r="L116" s="69" t="str">
        <f>+IFERROR(VLOOKUP(B116,'3. Resultados'!K:L,2,FALSE),"-")</f>
        <v>-</v>
      </c>
      <c r="M116" s="70" t="str">
        <f>+IFERROR(VLOOKUP(CONCATENATE(A116,$B$10,B116),'3. Resultados'!B:J,9,FALSE),"-")</f>
        <v>-</v>
      </c>
      <c r="N116" s="24"/>
      <c r="O116" s="25" t="str">
        <f t="shared" si="2"/>
        <v>Por iniciar</v>
      </c>
      <c r="P116"/>
    </row>
    <row r="117" spans="1:16" ht="14.5">
      <c r="A117" s="18"/>
      <c r="B117" s="57"/>
      <c r="C117" s="57"/>
      <c r="D117" s="57"/>
      <c r="E117" s="57"/>
      <c r="F117" s="57"/>
      <c r="G117" s="57"/>
      <c r="H117" s="62" t="s">
        <v>9</v>
      </c>
      <c r="I117" s="19" t="s">
        <v>143</v>
      </c>
      <c r="J117" s="24">
        <f>+COUNTIFS('3. Resultados'!C:C,'1. Status'!H117,'3. Resultados'!G:G,'1. Status'!I117)</f>
        <v>0</v>
      </c>
      <c r="K117" s="70" t="str">
        <f>+IFERROR(VLOOKUP(CONCATENATE(A117,$B$10,B117),'3. Resultados'!B:J,8,FALSE),"-")</f>
        <v>-</v>
      </c>
      <c r="L117" s="69" t="str">
        <f>+IFERROR(VLOOKUP(B117,'3. Resultados'!K:L,2,FALSE),"-")</f>
        <v>-</v>
      </c>
      <c r="M117" s="70" t="str">
        <f>+IFERROR(VLOOKUP(CONCATENATE(A117,$B$10,B117),'3. Resultados'!B:J,9,FALSE),"-")</f>
        <v>-</v>
      </c>
      <c r="N117" s="24"/>
      <c r="O117" s="25" t="str">
        <f t="shared" si="2"/>
        <v>Por iniciar</v>
      </c>
      <c r="P117"/>
    </row>
    <row r="118" spans="1:16" ht="14.5">
      <c r="A118" s="18"/>
      <c r="B118" s="57"/>
      <c r="C118" s="57"/>
      <c r="D118" s="57"/>
      <c r="E118" s="57"/>
      <c r="F118" s="57"/>
      <c r="G118" s="57"/>
      <c r="H118" s="62" t="s">
        <v>9</v>
      </c>
      <c r="I118" s="19" t="s">
        <v>297</v>
      </c>
      <c r="J118" s="24">
        <f>+COUNTIFS('3. Resultados'!C:C,'1. Status'!H118,'3. Resultados'!G:G,'1. Status'!I118)</f>
        <v>0</v>
      </c>
      <c r="K118" s="70" t="str">
        <f>+IFERROR(VLOOKUP(CONCATENATE(A118,$B$10,B118),'3. Resultados'!B:J,8,FALSE),"-")</f>
        <v>-</v>
      </c>
      <c r="L118" s="69" t="str">
        <f>+IFERROR(VLOOKUP(B118,'3. Resultados'!K:L,2,FALSE),"-")</f>
        <v>-</v>
      </c>
      <c r="M118" s="70" t="str">
        <f>+IFERROR(VLOOKUP(CONCATENATE(A118,$B$10,B118),'3. Resultados'!B:J,9,FALSE),"-")</f>
        <v>-</v>
      </c>
      <c r="N118" s="24"/>
      <c r="O118" s="25" t="str">
        <f t="shared" si="2"/>
        <v>Por iniciar</v>
      </c>
      <c r="P118"/>
    </row>
    <row r="119" spans="1:16" ht="14.5">
      <c r="A119" s="18"/>
      <c r="B119" s="57"/>
      <c r="C119" s="57"/>
      <c r="D119" s="57"/>
      <c r="E119" s="57"/>
      <c r="F119" s="57"/>
      <c r="G119" s="57"/>
      <c r="H119" s="62" t="s">
        <v>9</v>
      </c>
      <c r="I119" s="19" t="s">
        <v>298</v>
      </c>
      <c r="J119" s="24">
        <f>+COUNTIFS('3. Resultados'!C:C,'1. Status'!H119,'3. Resultados'!G:G,'1. Status'!I119)</f>
        <v>0</v>
      </c>
      <c r="K119" s="70" t="str">
        <f>+IFERROR(VLOOKUP(CONCATENATE(A119,$B$10,B119),'3. Resultados'!B:J,8,FALSE),"-")</f>
        <v>-</v>
      </c>
      <c r="L119" s="69" t="str">
        <f>+IFERROR(VLOOKUP(B119,'3. Resultados'!K:L,2,FALSE),"-")</f>
        <v>-</v>
      </c>
      <c r="M119" s="70" t="str">
        <f>+IFERROR(VLOOKUP(CONCATENATE(A119,$B$10,B119),'3. Resultados'!B:J,9,FALSE),"-")</f>
        <v>-</v>
      </c>
      <c r="N119" s="24"/>
      <c r="O119" s="25" t="str">
        <f t="shared" si="2"/>
        <v>Por iniciar</v>
      </c>
      <c r="P119"/>
    </row>
    <row r="120" spans="1:16" ht="14.5">
      <c r="A120" s="18"/>
      <c r="B120" s="57"/>
      <c r="C120" s="57"/>
      <c r="D120" s="57"/>
      <c r="E120" s="57"/>
      <c r="F120" s="57"/>
      <c r="G120" s="57"/>
      <c r="H120" s="62" t="s">
        <v>9</v>
      </c>
      <c r="I120" s="19" t="s">
        <v>76</v>
      </c>
      <c r="J120" s="24">
        <f>+COUNTIFS('3. Resultados'!C:C,'1. Status'!H120,'3. Resultados'!G:G,'1. Status'!I120)</f>
        <v>0</v>
      </c>
      <c r="K120" s="70" t="str">
        <f>+IFERROR(VLOOKUP(CONCATENATE(A120,$B$10,B120),'3. Resultados'!B:J,8,FALSE),"-")</f>
        <v>-</v>
      </c>
      <c r="L120" s="69" t="str">
        <f>+IFERROR(VLOOKUP(B120,'3. Resultados'!K:L,2,FALSE),"-")</f>
        <v>-</v>
      </c>
      <c r="M120" s="70" t="str">
        <f>+IFERROR(VLOOKUP(CONCATENATE(A120,$B$10,B120),'3. Resultados'!B:J,9,FALSE),"-")</f>
        <v>-</v>
      </c>
      <c r="N120" s="24"/>
      <c r="O120" s="25" t="str">
        <f t="shared" si="2"/>
        <v>Por iniciar</v>
      </c>
      <c r="P120"/>
    </row>
    <row r="121" spans="1:16" ht="14.5">
      <c r="A121" s="18"/>
      <c r="B121" s="57"/>
      <c r="C121" s="57"/>
      <c r="D121" s="57"/>
      <c r="E121" s="57"/>
      <c r="F121" s="57"/>
      <c r="G121" s="57"/>
      <c r="H121" s="62" t="s">
        <v>9</v>
      </c>
      <c r="I121" s="19" t="s">
        <v>299</v>
      </c>
      <c r="J121" s="24">
        <f>+COUNTIFS('3. Resultados'!C:C,'1. Status'!H121,'3. Resultados'!G:G,'1. Status'!I121)</f>
        <v>0</v>
      </c>
      <c r="K121" s="70" t="str">
        <f>+IFERROR(VLOOKUP(CONCATENATE(A121,$B$10,B121),'3. Resultados'!B:J,8,FALSE),"-")</f>
        <v>-</v>
      </c>
      <c r="L121" s="69" t="str">
        <f>+IFERROR(VLOOKUP(B121,'3. Resultados'!K:L,2,FALSE),"-")</f>
        <v>-</v>
      </c>
      <c r="M121" s="70" t="str">
        <f>+IFERROR(VLOOKUP(CONCATENATE(A121,$B$10,B121),'3. Resultados'!B:J,9,FALSE),"-")</f>
        <v>-</v>
      </c>
      <c r="N121" s="24"/>
      <c r="O121" s="25" t="str">
        <f t="shared" si="2"/>
        <v>Por iniciar</v>
      </c>
      <c r="P121"/>
    </row>
    <row r="122" spans="1:16" ht="14.5">
      <c r="A122" s="18"/>
      <c r="B122" s="57"/>
      <c r="C122" s="57"/>
      <c r="D122" s="57"/>
      <c r="E122" s="57"/>
      <c r="F122" s="57"/>
      <c r="G122" s="57"/>
      <c r="H122" s="62" t="s">
        <v>9</v>
      </c>
      <c r="I122" s="19" t="s">
        <v>300</v>
      </c>
      <c r="J122" s="24">
        <f>+COUNTIFS('3. Resultados'!C:C,'1. Status'!H122,'3. Resultados'!G:G,'1. Status'!I122)</f>
        <v>0</v>
      </c>
      <c r="K122" s="70" t="str">
        <f>+IFERROR(VLOOKUP(CONCATENATE(A122,$B$10,B122),'3. Resultados'!B:J,8,FALSE),"-")</f>
        <v>-</v>
      </c>
      <c r="L122" s="69" t="str">
        <f>+IFERROR(VLOOKUP(B122,'3. Resultados'!K:L,2,FALSE),"-")</f>
        <v>-</v>
      </c>
      <c r="M122" s="70" t="str">
        <f>+IFERROR(VLOOKUP(CONCATENATE(A122,$B$10,B122),'3. Resultados'!B:J,9,FALSE),"-")</f>
        <v>-</v>
      </c>
      <c r="N122" s="24"/>
      <c r="O122" s="25" t="str">
        <f t="shared" si="2"/>
        <v>Por iniciar</v>
      </c>
      <c r="P122"/>
    </row>
    <row r="123" spans="1:16" ht="14.5">
      <c r="A123" s="18"/>
      <c r="B123" s="57"/>
      <c r="C123" s="57"/>
      <c r="D123" s="57"/>
      <c r="E123" s="57"/>
      <c r="F123" s="57"/>
      <c r="G123" s="57"/>
      <c r="H123" s="62" t="s">
        <v>9</v>
      </c>
      <c r="I123" s="19" t="s">
        <v>301</v>
      </c>
      <c r="J123" s="24">
        <f>+COUNTIFS('3. Resultados'!C:C,'1. Status'!H123,'3. Resultados'!G:G,'1. Status'!I123)</f>
        <v>0</v>
      </c>
      <c r="K123" s="70" t="str">
        <f>+IFERROR(VLOOKUP(CONCATENATE(A123,$B$10,B123),'3. Resultados'!B:J,8,FALSE),"-")</f>
        <v>-</v>
      </c>
      <c r="L123" s="69" t="str">
        <f>+IFERROR(VLOOKUP(B123,'3. Resultados'!K:L,2,FALSE),"-")</f>
        <v>-</v>
      </c>
      <c r="M123" s="70" t="str">
        <f>+IFERROR(VLOOKUP(CONCATENATE(A123,$B$10,B123),'3. Resultados'!B:J,9,FALSE),"-")</f>
        <v>-</v>
      </c>
      <c r="N123" s="24"/>
      <c r="O123" s="25" t="str">
        <f t="shared" si="2"/>
        <v>Por iniciar</v>
      </c>
      <c r="P123"/>
    </row>
    <row r="124" spans="1:16" ht="14.5">
      <c r="A124" s="18"/>
      <c r="B124" s="57"/>
      <c r="C124" s="57"/>
      <c r="D124" s="57"/>
      <c r="E124" s="57"/>
      <c r="F124" s="57"/>
      <c r="G124" s="57"/>
      <c r="H124" s="62" t="s">
        <v>9</v>
      </c>
      <c r="I124" s="19" t="s">
        <v>302</v>
      </c>
      <c r="J124" s="24">
        <f>+COUNTIFS('3. Resultados'!C:C,'1. Status'!H124,'3. Resultados'!G:G,'1. Status'!I124)</f>
        <v>0</v>
      </c>
      <c r="K124" s="70" t="str">
        <f>+IFERROR(VLOOKUP(CONCATENATE(A124,$B$10,B124),'3. Resultados'!B:J,8,FALSE),"-")</f>
        <v>-</v>
      </c>
      <c r="L124" s="69" t="str">
        <f>+IFERROR(VLOOKUP(B124,'3. Resultados'!K:L,2,FALSE),"-")</f>
        <v>-</v>
      </c>
      <c r="M124" s="70" t="str">
        <f>+IFERROR(VLOOKUP(CONCATENATE(A124,$B$10,B124),'3. Resultados'!B:J,9,FALSE),"-")</f>
        <v>-</v>
      </c>
      <c r="N124" s="24"/>
      <c r="O124" s="25" t="str">
        <f t="shared" si="2"/>
        <v>Por iniciar</v>
      </c>
      <c r="P124"/>
    </row>
    <row r="125" spans="1:16" ht="14.5">
      <c r="A125" s="18"/>
      <c r="B125" s="57"/>
      <c r="C125" s="57"/>
      <c r="D125" s="57"/>
      <c r="E125" s="57"/>
      <c r="F125" s="57"/>
      <c r="G125" s="57"/>
      <c r="H125" s="62" t="s">
        <v>9</v>
      </c>
      <c r="I125" s="19" t="s">
        <v>303</v>
      </c>
      <c r="J125" s="24">
        <f>+COUNTIFS('3. Resultados'!C:C,'1. Status'!H125,'3. Resultados'!G:G,'1. Status'!I125)</f>
        <v>0</v>
      </c>
      <c r="K125" s="70" t="str">
        <f>+IFERROR(VLOOKUP(CONCATENATE(A125,$B$10,B125),'3. Resultados'!B:J,8,FALSE),"-")</f>
        <v>-</v>
      </c>
      <c r="L125" s="69" t="str">
        <f>+IFERROR(VLOOKUP(B125,'3. Resultados'!K:L,2,FALSE),"-")</f>
        <v>-</v>
      </c>
      <c r="M125" s="70" t="str">
        <f>+IFERROR(VLOOKUP(CONCATENATE(A125,$B$10,B125),'3. Resultados'!B:J,9,FALSE),"-")</f>
        <v>-</v>
      </c>
      <c r="N125" s="24"/>
      <c r="O125" s="25" t="str">
        <f t="shared" si="2"/>
        <v>Por iniciar</v>
      </c>
      <c r="P125"/>
    </row>
    <row r="126" spans="1:16" ht="14.5">
      <c r="A126" s="18"/>
      <c r="B126" s="57"/>
      <c r="C126" s="57"/>
      <c r="D126" s="57"/>
      <c r="E126" s="57"/>
      <c r="F126" s="57"/>
      <c r="G126" s="57"/>
      <c r="H126" s="62" t="s">
        <v>9</v>
      </c>
      <c r="I126" s="19" t="s">
        <v>83</v>
      </c>
      <c r="J126" s="24">
        <f>+COUNTIFS('3. Resultados'!C:C,'1. Status'!H126,'3. Resultados'!G:G,'1. Status'!I126)</f>
        <v>0</v>
      </c>
      <c r="K126" s="70" t="str">
        <f>+IFERROR(VLOOKUP(CONCATENATE(A126,$B$10,B126),'3. Resultados'!B:J,8,FALSE),"-")</f>
        <v>-</v>
      </c>
      <c r="L126" s="69" t="str">
        <f>+IFERROR(VLOOKUP(B126,'3. Resultados'!K:L,2,FALSE),"-")</f>
        <v>-</v>
      </c>
      <c r="M126" s="70" t="str">
        <f>+IFERROR(VLOOKUP(CONCATENATE(A126,$B$10,B126),'3. Resultados'!B:J,9,FALSE),"-")</f>
        <v>-</v>
      </c>
      <c r="N126" s="24"/>
      <c r="O126" s="25" t="str">
        <f t="shared" si="2"/>
        <v>Por iniciar</v>
      </c>
      <c r="P126"/>
    </row>
    <row r="127" spans="1:16" ht="14.5">
      <c r="A127" s="18"/>
      <c r="B127" s="57"/>
      <c r="C127" s="57"/>
      <c r="D127" s="57"/>
      <c r="E127" s="57"/>
      <c r="F127" s="57"/>
      <c r="G127" s="57"/>
      <c r="H127" s="62" t="s">
        <v>9</v>
      </c>
      <c r="I127" s="19" t="s">
        <v>304</v>
      </c>
      <c r="J127" s="24">
        <f>+COUNTIFS('3. Resultados'!C:C,'1. Status'!H127,'3. Resultados'!G:G,'1. Status'!I127)</f>
        <v>0</v>
      </c>
      <c r="K127" s="70" t="str">
        <f>+IFERROR(VLOOKUP(CONCATENATE(A127,$B$10,B127),'3. Resultados'!B:J,8,FALSE),"-")</f>
        <v>-</v>
      </c>
      <c r="L127" s="69" t="str">
        <f>+IFERROR(VLOOKUP(B127,'3. Resultados'!K:L,2,FALSE),"-")</f>
        <v>-</v>
      </c>
      <c r="M127" s="70" t="str">
        <f>+IFERROR(VLOOKUP(CONCATENATE(A127,$B$10,B127),'3. Resultados'!B:J,9,FALSE),"-")</f>
        <v>-</v>
      </c>
      <c r="N127" s="24"/>
      <c r="O127" s="25" t="str">
        <f t="shared" si="2"/>
        <v>Por iniciar</v>
      </c>
      <c r="P127"/>
    </row>
    <row r="128" spans="1:16" ht="14.5">
      <c r="A128" s="18"/>
      <c r="B128" s="57"/>
      <c r="C128" s="57"/>
      <c r="D128" s="57"/>
      <c r="E128" s="57"/>
      <c r="F128" s="57"/>
      <c r="G128" s="57"/>
      <c r="H128" s="62" t="s">
        <v>9</v>
      </c>
      <c r="I128" s="19" t="s">
        <v>305</v>
      </c>
      <c r="J128" s="24">
        <f>+COUNTIFS('3. Resultados'!C:C,'1. Status'!H128,'3. Resultados'!G:G,'1. Status'!I128)</f>
        <v>0</v>
      </c>
      <c r="K128" s="70" t="str">
        <f>+IFERROR(VLOOKUP(CONCATENATE(A128,$B$10,B128),'3. Resultados'!B:J,8,FALSE),"-")</f>
        <v>-</v>
      </c>
      <c r="L128" s="69" t="str">
        <f>+IFERROR(VLOOKUP(B128,'3. Resultados'!K:L,2,FALSE),"-")</f>
        <v>-</v>
      </c>
      <c r="M128" s="70" t="str">
        <f>+IFERROR(VLOOKUP(CONCATENATE(A128,$B$10,B128),'3. Resultados'!B:J,9,FALSE),"-")</f>
        <v>-</v>
      </c>
      <c r="N128" s="24"/>
      <c r="O128" s="25" t="str">
        <f t="shared" si="2"/>
        <v>Por iniciar</v>
      </c>
      <c r="P128"/>
    </row>
    <row r="129" spans="1:16" ht="14.5">
      <c r="A129" s="18"/>
      <c r="B129" s="57"/>
      <c r="C129" s="57"/>
      <c r="D129" s="57"/>
      <c r="E129" s="57"/>
      <c r="F129" s="57"/>
      <c r="G129" s="57"/>
      <c r="H129" s="62" t="s">
        <v>9</v>
      </c>
      <c r="I129" s="19" t="s">
        <v>306</v>
      </c>
      <c r="J129" s="24">
        <f>+COUNTIFS('3. Resultados'!C:C,'1. Status'!H129,'3. Resultados'!G:G,'1. Status'!I129)</f>
        <v>0</v>
      </c>
      <c r="K129" s="70" t="str">
        <f>+IFERROR(VLOOKUP(CONCATENATE(A129,$B$10,B129),'3. Resultados'!B:J,8,FALSE),"-")</f>
        <v>-</v>
      </c>
      <c r="L129" s="69" t="str">
        <f>+IFERROR(VLOOKUP(B129,'3. Resultados'!K:L,2,FALSE),"-")</f>
        <v>-</v>
      </c>
      <c r="M129" s="70" t="str">
        <f>+IFERROR(VLOOKUP(CONCATENATE(A129,$B$10,B129),'3. Resultados'!B:J,9,FALSE),"-")</f>
        <v>-</v>
      </c>
      <c r="N129" s="24"/>
      <c r="O129" s="25" t="str">
        <f t="shared" si="2"/>
        <v>Por iniciar</v>
      </c>
      <c r="P129"/>
    </row>
    <row r="130" spans="1:16" ht="14.5">
      <c r="A130" s="18"/>
      <c r="B130" s="57"/>
      <c r="C130" s="57"/>
      <c r="D130" s="57"/>
      <c r="E130" s="57"/>
      <c r="F130" s="57"/>
      <c r="G130" s="57"/>
      <c r="H130" s="62" t="s">
        <v>9</v>
      </c>
      <c r="I130" s="19" t="s">
        <v>307</v>
      </c>
      <c r="J130" s="24">
        <f>+COUNTIFS('3. Resultados'!C:C,'1. Status'!H130,'3. Resultados'!G:G,'1. Status'!I130)</f>
        <v>0</v>
      </c>
      <c r="K130" s="70" t="str">
        <f>+IFERROR(VLOOKUP(CONCATENATE(A130,$B$10,B130),'3. Resultados'!B:J,8,FALSE),"-")</f>
        <v>-</v>
      </c>
      <c r="L130" s="69" t="str">
        <f>+IFERROR(VLOOKUP(B130,'3. Resultados'!K:L,2,FALSE),"-")</f>
        <v>-</v>
      </c>
      <c r="M130" s="70" t="str">
        <f>+IFERROR(VLOOKUP(CONCATENATE(A130,$B$10,B130),'3. Resultados'!B:J,9,FALSE),"-")</f>
        <v>-</v>
      </c>
      <c r="N130" s="24"/>
      <c r="O130" s="25" t="str">
        <f t="shared" si="2"/>
        <v>Por iniciar</v>
      </c>
      <c r="P130"/>
    </row>
    <row r="131" spans="1:16" ht="14.5">
      <c r="A131" s="18"/>
      <c r="B131" s="57"/>
      <c r="C131" s="57"/>
      <c r="D131" s="57"/>
      <c r="E131" s="57"/>
      <c r="F131" s="57"/>
      <c r="G131" s="57"/>
      <c r="H131" s="62" t="s">
        <v>9</v>
      </c>
      <c r="I131" s="19" t="s">
        <v>308</v>
      </c>
      <c r="J131" s="24">
        <f>+COUNTIFS('3. Resultados'!C:C,'1. Status'!H131,'3. Resultados'!G:G,'1. Status'!I131)</f>
        <v>0</v>
      </c>
      <c r="K131" s="70" t="str">
        <f>+IFERROR(VLOOKUP(CONCATENATE(A131,$B$10,B131),'3. Resultados'!B:J,8,FALSE),"-")</f>
        <v>-</v>
      </c>
      <c r="L131" s="69" t="str">
        <f>+IFERROR(VLOOKUP(B131,'3. Resultados'!K:L,2,FALSE),"-")</f>
        <v>-</v>
      </c>
      <c r="M131" s="70" t="str">
        <f>+IFERROR(VLOOKUP(CONCATENATE(A131,$B$10,B131),'3. Resultados'!B:J,9,FALSE),"-")</f>
        <v>-</v>
      </c>
      <c r="N131" s="24"/>
      <c r="O131" s="25" t="str">
        <f t="shared" si="2"/>
        <v>Por iniciar</v>
      </c>
      <c r="P131"/>
    </row>
    <row r="132" spans="1:16" ht="14.5">
      <c r="A132" s="18"/>
      <c r="B132" s="57"/>
      <c r="C132" s="57"/>
      <c r="D132" s="57"/>
      <c r="E132" s="57"/>
      <c r="F132" s="57"/>
      <c r="G132" s="57"/>
      <c r="H132" s="62" t="s">
        <v>9</v>
      </c>
      <c r="I132" s="19" t="s">
        <v>309</v>
      </c>
      <c r="J132" s="24">
        <f>+COUNTIFS('3. Resultados'!C:C,'1. Status'!H132,'3. Resultados'!G:G,'1. Status'!I132)</f>
        <v>0</v>
      </c>
      <c r="K132" s="70" t="str">
        <f>+IFERROR(VLOOKUP(CONCATENATE(A132,$B$10,B132),'3. Resultados'!B:J,8,FALSE),"-")</f>
        <v>-</v>
      </c>
      <c r="L132" s="69" t="str">
        <f>+IFERROR(VLOOKUP(B132,'3. Resultados'!K:L,2,FALSE),"-")</f>
        <v>-</v>
      </c>
      <c r="M132" s="70" t="str">
        <f>+IFERROR(VLOOKUP(CONCATENATE(A132,$B$10,B132),'3. Resultados'!B:J,9,FALSE),"-")</f>
        <v>-</v>
      </c>
      <c r="N132" s="24"/>
      <c r="O132" s="25" t="str">
        <f t="shared" si="2"/>
        <v>Por iniciar</v>
      </c>
      <c r="P132"/>
    </row>
    <row r="133" spans="1:16" ht="14.5">
      <c r="A133" s="18"/>
      <c r="B133" s="57"/>
      <c r="C133" s="57"/>
      <c r="D133" s="57"/>
      <c r="E133" s="57"/>
      <c r="F133" s="57"/>
      <c r="G133" s="57"/>
      <c r="H133" s="62" t="s">
        <v>9</v>
      </c>
      <c r="I133" s="19" t="s">
        <v>310</v>
      </c>
      <c r="J133" s="24">
        <f>+COUNTIFS('3. Resultados'!C:C,'1. Status'!H133,'3. Resultados'!G:G,'1. Status'!I133)</f>
        <v>0</v>
      </c>
      <c r="K133" s="70" t="str">
        <f>+IFERROR(VLOOKUP(CONCATENATE(A133,$B$10,B133),'3. Resultados'!B:J,8,FALSE),"-")</f>
        <v>-</v>
      </c>
      <c r="L133" s="69" t="str">
        <f>+IFERROR(VLOOKUP(B133,'3. Resultados'!K:L,2,FALSE),"-")</f>
        <v>-</v>
      </c>
      <c r="M133" s="70" t="str">
        <f>+IFERROR(VLOOKUP(CONCATENATE(A133,$B$10,B133),'3. Resultados'!B:J,9,FALSE),"-")</f>
        <v>-</v>
      </c>
      <c r="N133" s="24"/>
      <c r="O133" s="25" t="str">
        <f t="shared" si="2"/>
        <v>Por iniciar</v>
      </c>
      <c r="P133"/>
    </row>
    <row r="134" spans="1:16" ht="14.5">
      <c r="A134" s="18"/>
      <c r="B134" s="57"/>
      <c r="C134" s="57"/>
      <c r="D134" s="57"/>
      <c r="E134" s="57"/>
      <c r="F134" s="57"/>
      <c r="G134" s="57"/>
      <c r="H134" s="62" t="s">
        <v>9</v>
      </c>
      <c r="I134" s="19" t="s">
        <v>311</v>
      </c>
      <c r="J134" s="24">
        <f>+COUNTIFS('3. Resultados'!C:C,'1. Status'!H134,'3. Resultados'!G:G,'1. Status'!I134)</f>
        <v>0</v>
      </c>
      <c r="K134" s="70" t="str">
        <f>+IFERROR(VLOOKUP(CONCATENATE(A134,$B$10,B134),'3. Resultados'!B:J,8,FALSE),"-")</f>
        <v>-</v>
      </c>
      <c r="L134" s="69" t="str">
        <f>+IFERROR(VLOOKUP(B134,'3. Resultados'!K:L,2,FALSE),"-")</f>
        <v>-</v>
      </c>
      <c r="M134" s="70" t="str">
        <f>+IFERROR(VLOOKUP(CONCATENATE(A134,$B$10,B134),'3. Resultados'!B:J,9,FALSE),"-")</f>
        <v>-</v>
      </c>
      <c r="N134" s="24"/>
      <c r="O134" s="25" t="str">
        <f t="shared" si="2"/>
        <v>Por iniciar</v>
      </c>
      <c r="P134"/>
    </row>
    <row r="135" spans="1:16" ht="14.5">
      <c r="A135" s="18"/>
      <c r="B135" s="57"/>
      <c r="C135" s="57"/>
      <c r="D135" s="57"/>
      <c r="E135" s="57"/>
      <c r="F135" s="57"/>
      <c r="G135" s="57"/>
      <c r="H135" s="62" t="s">
        <v>9</v>
      </c>
      <c r="I135" s="19" t="s">
        <v>144</v>
      </c>
      <c r="J135" s="24">
        <f>+COUNTIFS('3. Resultados'!C:C,'1. Status'!H135,'3. Resultados'!G:G,'1. Status'!I135)</f>
        <v>0</v>
      </c>
      <c r="K135" s="70" t="str">
        <f>+IFERROR(VLOOKUP(CONCATENATE(A135,$B$10,B135),'3. Resultados'!B:J,8,FALSE),"-")</f>
        <v>-</v>
      </c>
      <c r="L135" s="69" t="str">
        <f>+IFERROR(VLOOKUP(B135,'3. Resultados'!K:L,2,FALSE),"-")</f>
        <v>-</v>
      </c>
      <c r="M135" s="70" t="str">
        <f>+IFERROR(VLOOKUP(CONCATENATE(A135,$B$10,B135),'3. Resultados'!B:J,9,FALSE),"-")</f>
        <v>-</v>
      </c>
      <c r="N135" s="24"/>
      <c r="O135" s="25" t="str">
        <f t="shared" si="2"/>
        <v>Por iniciar</v>
      </c>
      <c r="P135"/>
    </row>
    <row r="136" spans="1:16" ht="14.5">
      <c r="A136" s="18"/>
      <c r="B136" s="57"/>
      <c r="C136" s="57"/>
      <c r="D136" s="57"/>
      <c r="E136" s="57"/>
      <c r="F136" s="57"/>
      <c r="G136" s="57"/>
      <c r="H136" s="62" t="s">
        <v>9</v>
      </c>
      <c r="I136" s="19" t="s">
        <v>312</v>
      </c>
      <c r="J136" s="24">
        <f>+COUNTIFS('3. Resultados'!C:C,'1. Status'!H136,'3. Resultados'!G:G,'1. Status'!I136)</f>
        <v>0</v>
      </c>
      <c r="K136" s="70" t="str">
        <f>+IFERROR(VLOOKUP(CONCATENATE(A136,$B$10,B136),'3. Resultados'!B:J,8,FALSE),"-")</f>
        <v>-</v>
      </c>
      <c r="L136" s="69" t="str">
        <f>+IFERROR(VLOOKUP(B136,'3. Resultados'!K:L,2,FALSE),"-")</f>
        <v>-</v>
      </c>
      <c r="M136" s="70" t="str">
        <f>+IFERROR(VLOOKUP(CONCATENATE(A136,$B$10,B136),'3. Resultados'!B:J,9,FALSE),"-")</f>
        <v>-</v>
      </c>
      <c r="N136" s="24"/>
      <c r="O136" s="25" t="str">
        <f t="shared" si="2"/>
        <v>Por iniciar</v>
      </c>
      <c r="P136"/>
    </row>
    <row r="137" spans="1:16" ht="14.5">
      <c r="A137" s="18"/>
      <c r="B137" s="57"/>
      <c r="C137" s="57"/>
      <c r="D137" s="57"/>
      <c r="E137" s="57"/>
      <c r="F137" s="57"/>
      <c r="G137" s="57"/>
      <c r="H137" s="62" t="s">
        <v>9</v>
      </c>
      <c r="I137" s="19" t="s">
        <v>313</v>
      </c>
      <c r="J137" s="24">
        <f>+COUNTIFS('3. Resultados'!C:C,'1. Status'!H137,'3. Resultados'!G:G,'1. Status'!I137)</f>
        <v>0</v>
      </c>
      <c r="K137" s="70" t="str">
        <f>+IFERROR(VLOOKUP(CONCATENATE(A137,$B$10,B137),'3. Resultados'!B:J,8,FALSE),"-")</f>
        <v>-</v>
      </c>
      <c r="L137" s="69" t="str">
        <f>+IFERROR(VLOOKUP(B137,'3. Resultados'!K:L,2,FALSE),"-")</f>
        <v>-</v>
      </c>
      <c r="M137" s="70" t="str">
        <f>+IFERROR(VLOOKUP(CONCATENATE(A137,$B$10,B137),'3. Resultados'!B:J,9,FALSE),"-")</f>
        <v>-</v>
      </c>
      <c r="N137" s="24"/>
      <c r="O137" s="25" t="str">
        <f t="shared" si="2"/>
        <v>Por iniciar</v>
      </c>
      <c r="P137"/>
    </row>
    <row r="138" spans="1:16" ht="14.5">
      <c r="A138" s="18"/>
      <c r="B138" s="57"/>
      <c r="C138" s="57"/>
      <c r="D138" s="57"/>
      <c r="E138" s="57"/>
      <c r="F138" s="57"/>
      <c r="G138" s="57"/>
      <c r="H138" s="62" t="s">
        <v>9</v>
      </c>
      <c r="I138" s="19" t="s">
        <v>314</v>
      </c>
      <c r="J138" s="24">
        <f>+COUNTIFS('3. Resultados'!C:C,'1. Status'!H138,'3. Resultados'!G:G,'1. Status'!I138)</f>
        <v>0</v>
      </c>
      <c r="K138" s="70" t="str">
        <f>+IFERROR(VLOOKUP(CONCATENATE(A138,$B$10,B138),'3. Resultados'!B:J,8,FALSE),"-")</f>
        <v>-</v>
      </c>
      <c r="L138" s="69" t="str">
        <f>+IFERROR(VLOOKUP(B138,'3. Resultados'!K:L,2,FALSE),"-")</f>
        <v>-</v>
      </c>
      <c r="M138" s="70" t="str">
        <f>+IFERROR(VLOOKUP(CONCATENATE(A138,$B$10,B138),'3. Resultados'!B:J,9,FALSE),"-")</f>
        <v>-</v>
      </c>
      <c r="N138" s="24"/>
      <c r="O138" s="25" t="str">
        <f t="shared" si="2"/>
        <v>Por iniciar</v>
      </c>
      <c r="P138"/>
    </row>
    <row r="139" spans="1:16" ht="14.5">
      <c r="A139" s="18"/>
      <c r="B139" s="57"/>
      <c r="C139" s="57"/>
      <c r="D139" s="57"/>
      <c r="E139" s="57"/>
      <c r="F139" s="57"/>
      <c r="G139" s="57"/>
      <c r="H139" s="62" t="s">
        <v>9</v>
      </c>
      <c r="I139" s="19" t="s">
        <v>315</v>
      </c>
      <c r="J139" s="24">
        <f>+COUNTIFS('3. Resultados'!C:C,'1. Status'!H139,'3. Resultados'!G:G,'1. Status'!I139)</f>
        <v>0</v>
      </c>
      <c r="K139" s="70" t="str">
        <f>+IFERROR(VLOOKUP(CONCATENATE(A139,$B$10,B139),'3. Resultados'!B:J,8,FALSE),"-")</f>
        <v>-</v>
      </c>
      <c r="L139" s="69" t="str">
        <f>+IFERROR(VLOOKUP(B139,'3. Resultados'!K:L,2,FALSE),"-")</f>
        <v>-</v>
      </c>
      <c r="M139" s="70" t="str">
        <f>+IFERROR(VLOOKUP(CONCATENATE(A139,$B$10,B139),'3. Resultados'!B:J,9,FALSE),"-")</f>
        <v>-</v>
      </c>
      <c r="N139" s="24"/>
      <c r="O139" s="25" t="str">
        <f t="shared" si="2"/>
        <v>Por iniciar</v>
      </c>
      <c r="P139"/>
    </row>
    <row r="140" spans="1:16" ht="14.5">
      <c r="A140" s="18"/>
      <c r="B140" s="57"/>
      <c r="C140" s="57"/>
      <c r="D140" s="57"/>
      <c r="E140" s="57"/>
      <c r="F140" s="57"/>
      <c r="G140" s="57"/>
      <c r="H140" s="62" t="s">
        <v>9</v>
      </c>
      <c r="I140" s="19" t="s">
        <v>316</v>
      </c>
      <c r="J140" s="24">
        <f>+COUNTIFS('3. Resultados'!C:C,'1. Status'!H140,'3. Resultados'!G:G,'1. Status'!I140)</f>
        <v>0</v>
      </c>
      <c r="K140" s="70" t="str">
        <f>+IFERROR(VLOOKUP(CONCATENATE(A140,$B$10,B140),'3. Resultados'!B:J,8,FALSE),"-")</f>
        <v>-</v>
      </c>
      <c r="L140" s="69" t="str">
        <f>+IFERROR(VLOOKUP(B140,'3. Resultados'!K:L,2,FALSE),"-")</f>
        <v>-</v>
      </c>
      <c r="M140" s="70" t="str">
        <f>+IFERROR(VLOOKUP(CONCATENATE(A140,$B$10,B140),'3. Resultados'!B:J,9,FALSE),"-")</f>
        <v>-</v>
      </c>
      <c r="N140" s="24"/>
      <c r="O140" s="25" t="str">
        <f t="shared" ref="O140:O203" si="3">+IF(J140=0,"Por iniciar",IF(OR(K140="-",M140="-"),"Em testes",IF(M140=0,"OK","NOK")))</f>
        <v>Por iniciar</v>
      </c>
      <c r="P140"/>
    </row>
    <row r="141" spans="1:16" ht="14.5">
      <c r="A141" s="18"/>
      <c r="B141" s="57"/>
      <c r="C141" s="57"/>
      <c r="D141" s="57"/>
      <c r="E141" s="57"/>
      <c r="F141" s="57"/>
      <c r="G141" s="57"/>
      <c r="H141" s="62" t="s">
        <v>9</v>
      </c>
      <c r="I141" s="19" t="s">
        <v>317</v>
      </c>
      <c r="J141" s="24">
        <f>+COUNTIFS('3. Resultados'!C:C,'1. Status'!H141,'3. Resultados'!G:G,'1. Status'!I141)</f>
        <v>0</v>
      </c>
      <c r="K141" s="70" t="str">
        <f>+IFERROR(VLOOKUP(CONCATENATE(A141,$B$10,B141),'3. Resultados'!B:J,8,FALSE),"-")</f>
        <v>-</v>
      </c>
      <c r="L141" s="69" t="str">
        <f>+IFERROR(VLOOKUP(B141,'3. Resultados'!K:L,2,FALSE),"-")</f>
        <v>-</v>
      </c>
      <c r="M141" s="70" t="str">
        <f>+IFERROR(VLOOKUP(CONCATENATE(A141,$B$10,B141),'3. Resultados'!B:J,9,FALSE),"-")</f>
        <v>-</v>
      </c>
      <c r="N141" s="24"/>
      <c r="O141" s="25" t="str">
        <f t="shared" si="3"/>
        <v>Por iniciar</v>
      </c>
      <c r="P141"/>
    </row>
    <row r="142" spans="1:16" ht="14.5">
      <c r="A142" s="18"/>
      <c r="B142" s="57"/>
      <c r="C142" s="57"/>
      <c r="D142" s="57"/>
      <c r="E142" s="57"/>
      <c r="F142" s="57"/>
      <c r="G142" s="57"/>
      <c r="H142" s="62" t="s">
        <v>9</v>
      </c>
      <c r="I142" s="19" t="s">
        <v>318</v>
      </c>
      <c r="J142" s="24">
        <f>+COUNTIFS('3. Resultados'!C:C,'1. Status'!H142,'3. Resultados'!G:G,'1. Status'!I142)</f>
        <v>0</v>
      </c>
      <c r="K142" s="70" t="str">
        <f>+IFERROR(VLOOKUP(CONCATENATE(A142,$B$10,B142),'3. Resultados'!B:J,8,FALSE),"-")</f>
        <v>-</v>
      </c>
      <c r="L142" s="69" t="str">
        <f>+IFERROR(VLOOKUP(B142,'3. Resultados'!K:L,2,FALSE),"-")</f>
        <v>-</v>
      </c>
      <c r="M142" s="70" t="str">
        <f>+IFERROR(VLOOKUP(CONCATENATE(A142,$B$10,B142),'3. Resultados'!B:J,9,FALSE),"-")</f>
        <v>-</v>
      </c>
      <c r="N142" s="24"/>
      <c r="O142" s="25" t="str">
        <f t="shared" si="3"/>
        <v>Por iniciar</v>
      </c>
      <c r="P142"/>
    </row>
    <row r="143" spans="1:16" ht="14.5">
      <c r="A143" s="18"/>
      <c r="B143" s="57"/>
      <c r="C143" s="57"/>
      <c r="D143" s="57"/>
      <c r="E143" s="57"/>
      <c r="F143" s="57"/>
      <c r="G143" s="57"/>
      <c r="H143" s="62" t="s">
        <v>9</v>
      </c>
      <c r="I143" s="19" t="s">
        <v>319</v>
      </c>
      <c r="J143" s="24">
        <f>+COUNTIFS('3. Resultados'!C:C,'1. Status'!H143,'3. Resultados'!G:G,'1. Status'!I143)</f>
        <v>0</v>
      </c>
      <c r="K143" s="70" t="str">
        <f>+IFERROR(VLOOKUP(CONCATENATE(A143,$B$10,B143),'3. Resultados'!B:J,8,FALSE),"-")</f>
        <v>-</v>
      </c>
      <c r="L143" s="69" t="str">
        <f>+IFERROR(VLOOKUP(B143,'3. Resultados'!K:L,2,FALSE),"-")</f>
        <v>-</v>
      </c>
      <c r="M143" s="70" t="str">
        <f>+IFERROR(VLOOKUP(CONCATENATE(A143,$B$10,B143),'3. Resultados'!B:J,9,FALSE),"-")</f>
        <v>-</v>
      </c>
      <c r="N143" s="24"/>
      <c r="O143" s="25" t="str">
        <f t="shared" si="3"/>
        <v>Por iniciar</v>
      </c>
      <c r="P143"/>
    </row>
    <row r="144" spans="1:16" ht="14.5">
      <c r="A144" s="18"/>
      <c r="B144" s="57"/>
      <c r="C144" s="57"/>
      <c r="D144" s="57"/>
      <c r="E144" s="57"/>
      <c r="F144" s="57"/>
      <c r="G144" s="57"/>
      <c r="H144" s="62" t="s">
        <v>9</v>
      </c>
      <c r="I144" s="19" t="s">
        <v>73</v>
      </c>
      <c r="J144" s="24">
        <f>+COUNTIFS('3. Resultados'!C:C,'1. Status'!H144,'3. Resultados'!G:G,'1. Status'!I144)</f>
        <v>0</v>
      </c>
      <c r="K144" s="70" t="str">
        <f>+IFERROR(VLOOKUP(CONCATENATE(A144,$B$10,B144),'3. Resultados'!B:J,8,FALSE),"-")</f>
        <v>-</v>
      </c>
      <c r="L144" s="69" t="str">
        <f>+IFERROR(VLOOKUP(B144,'3. Resultados'!K:L,2,FALSE),"-")</f>
        <v>-</v>
      </c>
      <c r="M144" s="70" t="str">
        <f>+IFERROR(VLOOKUP(CONCATENATE(A144,$B$10,B144),'3. Resultados'!B:J,9,FALSE),"-")</f>
        <v>-</v>
      </c>
      <c r="N144" s="24"/>
      <c r="O144" s="25" t="str">
        <f t="shared" si="3"/>
        <v>Por iniciar</v>
      </c>
      <c r="P144"/>
    </row>
    <row r="145" spans="1:16" ht="14.5">
      <c r="A145" s="18"/>
      <c r="B145" s="57"/>
      <c r="C145" s="57"/>
      <c r="D145" s="57"/>
      <c r="E145" s="57"/>
      <c r="F145" s="57"/>
      <c r="G145" s="57"/>
      <c r="H145" s="62" t="s">
        <v>9</v>
      </c>
      <c r="I145" s="19" t="s">
        <v>320</v>
      </c>
      <c r="J145" s="24">
        <f>+COUNTIFS('3. Resultados'!C:C,'1. Status'!H145,'3. Resultados'!G:G,'1. Status'!I145)</f>
        <v>0</v>
      </c>
      <c r="K145" s="70" t="str">
        <f>+IFERROR(VLOOKUP(CONCATENATE(A145,$B$10,B145),'3. Resultados'!B:J,8,FALSE),"-")</f>
        <v>-</v>
      </c>
      <c r="L145" s="69" t="str">
        <f>+IFERROR(VLOOKUP(B145,'3. Resultados'!K:L,2,FALSE),"-")</f>
        <v>-</v>
      </c>
      <c r="M145" s="70" t="str">
        <f>+IFERROR(VLOOKUP(CONCATENATE(A145,$B$10,B145),'3. Resultados'!B:J,9,FALSE),"-")</f>
        <v>-</v>
      </c>
      <c r="N145" s="24"/>
      <c r="O145" s="25" t="str">
        <f t="shared" si="3"/>
        <v>Por iniciar</v>
      </c>
      <c r="P145"/>
    </row>
    <row r="146" spans="1:16" ht="14.5">
      <c r="A146" s="18"/>
      <c r="B146" s="57"/>
      <c r="C146" s="57"/>
      <c r="D146" s="57"/>
      <c r="E146" s="57"/>
      <c r="F146" s="57"/>
      <c r="G146" s="57"/>
      <c r="H146" s="62" t="s">
        <v>9</v>
      </c>
      <c r="I146" s="19" t="s">
        <v>74</v>
      </c>
      <c r="J146" s="24">
        <f>+COUNTIFS('3. Resultados'!C:C,'1. Status'!H146,'3. Resultados'!G:G,'1. Status'!I146)</f>
        <v>0</v>
      </c>
      <c r="K146" s="70" t="str">
        <f>+IFERROR(VLOOKUP(CONCATENATE(A146,$B$10,B146),'3. Resultados'!B:J,8,FALSE),"-")</f>
        <v>-</v>
      </c>
      <c r="L146" s="69" t="str">
        <f>+IFERROR(VLOOKUP(B146,'3. Resultados'!K:L,2,FALSE),"-")</f>
        <v>-</v>
      </c>
      <c r="M146" s="70" t="str">
        <f>+IFERROR(VLOOKUP(CONCATENATE(A146,$B$10,B146),'3. Resultados'!B:J,9,FALSE),"-")</f>
        <v>-</v>
      </c>
      <c r="N146" s="24"/>
      <c r="O146" s="25" t="str">
        <f t="shared" si="3"/>
        <v>Por iniciar</v>
      </c>
      <c r="P146"/>
    </row>
    <row r="147" spans="1:16" ht="14.5">
      <c r="A147" s="18"/>
      <c r="B147" s="57"/>
      <c r="C147" s="57"/>
      <c r="D147" s="57"/>
      <c r="E147" s="57"/>
      <c r="F147" s="57"/>
      <c r="G147" s="57"/>
      <c r="H147" s="62" t="s">
        <v>9</v>
      </c>
      <c r="I147" s="19" t="s">
        <v>321</v>
      </c>
      <c r="J147" s="24">
        <f>+COUNTIFS('3. Resultados'!C:C,'1. Status'!H147,'3. Resultados'!G:G,'1. Status'!I147)</f>
        <v>0</v>
      </c>
      <c r="K147" s="70" t="str">
        <f>+IFERROR(VLOOKUP(CONCATENATE(A147,$B$10,B147),'3. Resultados'!B:J,8,FALSE),"-")</f>
        <v>-</v>
      </c>
      <c r="L147" s="69" t="str">
        <f>+IFERROR(VLOOKUP(B147,'3. Resultados'!K:L,2,FALSE),"-")</f>
        <v>-</v>
      </c>
      <c r="M147" s="70" t="str">
        <f>+IFERROR(VLOOKUP(CONCATENATE(A147,$B$10,B147),'3. Resultados'!B:J,9,FALSE),"-")</f>
        <v>-</v>
      </c>
      <c r="N147" s="24"/>
      <c r="O147" s="25" t="str">
        <f t="shared" si="3"/>
        <v>Por iniciar</v>
      </c>
      <c r="P147"/>
    </row>
    <row r="148" spans="1:16" ht="14.5">
      <c r="A148" s="18"/>
      <c r="B148" s="57"/>
      <c r="C148" s="57"/>
      <c r="D148" s="57"/>
      <c r="E148" s="57"/>
      <c r="F148" s="57"/>
      <c r="G148" s="57"/>
      <c r="H148" s="62" t="s">
        <v>9</v>
      </c>
      <c r="I148" s="19" t="s">
        <v>75</v>
      </c>
      <c r="J148" s="24">
        <f>+COUNTIFS('3. Resultados'!C:C,'1. Status'!H148,'3. Resultados'!G:G,'1. Status'!I148)</f>
        <v>0</v>
      </c>
      <c r="K148" s="70" t="str">
        <f>+IFERROR(VLOOKUP(CONCATENATE(A148,$B$10,B148),'3. Resultados'!B:J,8,FALSE),"-")</f>
        <v>-</v>
      </c>
      <c r="L148" s="69" t="str">
        <f>+IFERROR(VLOOKUP(B148,'3. Resultados'!K:L,2,FALSE),"-")</f>
        <v>-</v>
      </c>
      <c r="M148" s="70" t="str">
        <f>+IFERROR(VLOOKUP(CONCATENATE(A148,$B$10,B148),'3. Resultados'!B:J,9,FALSE),"-")</f>
        <v>-</v>
      </c>
      <c r="N148" s="24"/>
      <c r="O148" s="25" t="str">
        <f t="shared" si="3"/>
        <v>Por iniciar</v>
      </c>
      <c r="P148"/>
    </row>
    <row r="149" spans="1:16" ht="14.5">
      <c r="A149" s="18"/>
      <c r="B149" s="57"/>
      <c r="C149" s="57"/>
      <c r="D149" s="57"/>
      <c r="E149" s="57"/>
      <c r="F149" s="57"/>
      <c r="G149" s="57"/>
      <c r="H149" s="62" t="s">
        <v>9</v>
      </c>
      <c r="I149" s="19" t="s">
        <v>77</v>
      </c>
      <c r="J149" s="24">
        <f>+COUNTIFS('3. Resultados'!C:C,'1. Status'!H149,'3. Resultados'!G:G,'1. Status'!I149)</f>
        <v>0</v>
      </c>
      <c r="K149" s="70" t="str">
        <f>+IFERROR(VLOOKUP(CONCATENATE(A149,$B$10,B149),'3. Resultados'!B:J,8,FALSE),"-")</f>
        <v>-</v>
      </c>
      <c r="L149" s="69" t="str">
        <f>+IFERROR(VLOOKUP(B149,'3. Resultados'!K:L,2,FALSE),"-")</f>
        <v>-</v>
      </c>
      <c r="M149" s="70" t="str">
        <f>+IFERROR(VLOOKUP(CONCATENATE(A149,$B$10,B149),'3. Resultados'!B:J,9,FALSE),"-")</f>
        <v>-</v>
      </c>
      <c r="N149" s="24"/>
      <c r="O149" s="25" t="str">
        <f t="shared" si="3"/>
        <v>Por iniciar</v>
      </c>
      <c r="P149"/>
    </row>
    <row r="150" spans="1:16" ht="14.5">
      <c r="A150" s="18"/>
      <c r="B150" s="57"/>
      <c r="C150" s="57"/>
      <c r="D150" s="57"/>
      <c r="E150" s="57"/>
      <c r="F150" s="57"/>
      <c r="G150" s="57"/>
      <c r="H150" s="62" t="s">
        <v>9</v>
      </c>
      <c r="I150" s="19" t="s">
        <v>78</v>
      </c>
      <c r="J150" s="24">
        <f>+COUNTIFS('3. Resultados'!C:C,'1. Status'!H150,'3. Resultados'!G:G,'1. Status'!I150)</f>
        <v>0</v>
      </c>
      <c r="K150" s="70" t="str">
        <f>+IFERROR(VLOOKUP(CONCATENATE(A150,$B$10,B150),'3. Resultados'!B:J,8,FALSE),"-")</f>
        <v>-</v>
      </c>
      <c r="L150" s="69" t="str">
        <f>+IFERROR(VLOOKUP(B150,'3. Resultados'!K:L,2,FALSE),"-")</f>
        <v>-</v>
      </c>
      <c r="M150" s="70" t="str">
        <f>+IFERROR(VLOOKUP(CONCATENATE(A150,$B$10,B150),'3. Resultados'!B:J,9,FALSE),"-")</f>
        <v>-</v>
      </c>
      <c r="N150" s="24"/>
      <c r="O150" s="25" t="str">
        <f t="shared" si="3"/>
        <v>Por iniciar</v>
      </c>
      <c r="P150"/>
    </row>
    <row r="151" spans="1:16" ht="14.5">
      <c r="A151" s="18"/>
      <c r="B151" s="57"/>
      <c r="C151" s="57"/>
      <c r="D151" s="57"/>
      <c r="E151" s="57"/>
      <c r="F151" s="57"/>
      <c r="G151" s="57"/>
      <c r="H151" s="62" t="s">
        <v>9</v>
      </c>
      <c r="I151" s="19" t="s">
        <v>322</v>
      </c>
      <c r="J151" s="24">
        <f>+COUNTIFS('3. Resultados'!C:C,'1. Status'!H151,'3. Resultados'!G:G,'1. Status'!I151)</f>
        <v>0</v>
      </c>
      <c r="K151" s="70" t="str">
        <f>+IFERROR(VLOOKUP(CONCATENATE(A151,$B$10,B151),'3. Resultados'!B:J,8,FALSE),"-")</f>
        <v>-</v>
      </c>
      <c r="L151" s="69" t="str">
        <f>+IFERROR(VLOOKUP(B151,'3. Resultados'!K:L,2,FALSE),"-")</f>
        <v>-</v>
      </c>
      <c r="M151" s="70" t="str">
        <f>+IFERROR(VLOOKUP(CONCATENATE(A151,$B$10,B151),'3. Resultados'!B:J,9,FALSE),"-")</f>
        <v>-</v>
      </c>
      <c r="N151" s="24"/>
      <c r="O151" s="25" t="str">
        <f t="shared" si="3"/>
        <v>Por iniciar</v>
      </c>
      <c r="P151"/>
    </row>
    <row r="152" spans="1:16" ht="14.5">
      <c r="A152" s="18"/>
      <c r="B152" s="57"/>
      <c r="C152" s="57"/>
      <c r="D152" s="57"/>
      <c r="E152" s="57"/>
      <c r="F152" s="57"/>
      <c r="G152" s="57"/>
      <c r="H152" s="62" t="s">
        <v>9</v>
      </c>
      <c r="I152" s="19" t="s">
        <v>323</v>
      </c>
      <c r="J152" s="24">
        <f>+COUNTIFS('3. Resultados'!C:C,'1. Status'!H152,'3. Resultados'!G:G,'1. Status'!I152)</f>
        <v>0</v>
      </c>
      <c r="K152" s="70" t="str">
        <f>+IFERROR(VLOOKUP(CONCATENATE(A152,$B$10,B152),'3. Resultados'!B:J,8,FALSE),"-")</f>
        <v>-</v>
      </c>
      <c r="L152" s="69" t="str">
        <f>+IFERROR(VLOOKUP(B152,'3. Resultados'!K:L,2,FALSE),"-")</f>
        <v>-</v>
      </c>
      <c r="M152" s="70" t="str">
        <f>+IFERROR(VLOOKUP(CONCATENATE(A152,$B$10,B152),'3. Resultados'!B:J,9,FALSE),"-")</f>
        <v>-</v>
      </c>
      <c r="N152" s="24"/>
      <c r="O152" s="25" t="str">
        <f t="shared" si="3"/>
        <v>Por iniciar</v>
      </c>
      <c r="P152"/>
    </row>
    <row r="153" spans="1:16" ht="14.5">
      <c r="A153" s="18"/>
      <c r="B153" s="57"/>
      <c r="C153" s="57"/>
      <c r="D153" s="57"/>
      <c r="E153" s="57"/>
      <c r="F153" s="57"/>
      <c r="G153" s="57"/>
      <c r="H153" s="62" t="s">
        <v>9</v>
      </c>
      <c r="I153" s="19" t="s">
        <v>324</v>
      </c>
      <c r="J153" s="24">
        <f>+COUNTIFS('3. Resultados'!C:C,'1. Status'!H153,'3. Resultados'!G:G,'1. Status'!I153)</f>
        <v>0</v>
      </c>
      <c r="K153" s="70" t="str">
        <f>+IFERROR(VLOOKUP(CONCATENATE(A153,$B$10,B153),'3. Resultados'!B:J,8,FALSE),"-")</f>
        <v>-</v>
      </c>
      <c r="L153" s="69" t="str">
        <f>+IFERROR(VLOOKUP(B153,'3. Resultados'!K:L,2,FALSE),"-")</f>
        <v>-</v>
      </c>
      <c r="M153" s="70" t="str">
        <f>+IFERROR(VLOOKUP(CONCATENATE(A153,$B$10,B153),'3. Resultados'!B:J,9,FALSE),"-")</f>
        <v>-</v>
      </c>
      <c r="N153" s="24"/>
      <c r="O153" s="25" t="str">
        <f t="shared" si="3"/>
        <v>Por iniciar</v>
      </c>
      <c r="P153"/>
    </row>
    <row r="154" spans="1:16" ht="14.5">
      <c r="A154" s="18"/>
      <c r="B154" s="57"/>
      <c r="C154" s="57"/>
      <c r="D154" s="57"/>
      <c r="E154" s="57"/>
      <c r="F154" s="57"/>
      <c r="G154" s="57"/>
      <c r="H154" s="62" t="s">
        <v>9</v>
      </c>
      <c r="I154" s="19" t="s">
        <v>325</v>
      </c>
      <c r="J154" s="24">
        <f>+COUNTIFS('3. Resultados'!C:C,'1. Status'!H154,'3. Resultados'!G:G,'1. Status'!I154)</f>
        <v>0</v>
      </c>
      <c r="K154" s="70" t="str">
        <f>+IFERROR(VLOOKUP(CONCATENATE(A154,$B$10,B154),'3. Resultados'!B:J,8,FALSE),"-")</f>
        <v>-</v>
      </c>
      <c r="L154" s="69" t="str">
        <f>+IFERROR(VLOOKUP(B154,'3. Resultados'!K:L,2,FALSE),"-")</f>
        <v>-</v>
      </c>
      <c r="M154" s="70" t="str">
        <f>+IFERROR(VLOOKUP(CONCATENATE(A154,$B$10,B154),'3. Resultados'!B:J,9,FALSE),"-")</f>
        <v>-</v>
      </c>
      <c r="N154" s="24"/>
      <c r="O154" s="25" t="str">
        <f t="shared" si="3"/>
        <v>Por iniciar</v>
      </c>
      <c r="P154"/>
    </row>
    <row r="155" spans="1:16" ht="14.5">
      <c r="A155" s="18"/>
      <c r="B155" s="57"/>
      <c r="C155" s="57"/>
      <c r="D155" s="57"/>
      <c r="E155" s="57"/>
      <c r="F155" s="57"/>
      <c r="G155" s="57"/>
      <c r="H155" s="62" t="s">
        <v>9</v>
      </c>
      <c r="I155" s="19" t="s">
        <v>326</v>
      </c>
      <c r="J155" s="24">
        <f>+COUNTIFS('3. Resultados'!C:C,'1. Status'!H155,'3. Resultados'!G:G,'1. Status'!I155)</f>
        <v>0</v>
      </c>
      <c r="K155" s="70" t="str">
        <f>+IFERROR(VLOOKUP(CONCATENATE(A155,$B$10,B155),'3. Resultados'!B:J,8,FALSE),"-")</f>
        <v>-</v>
      </c>
      <c r="L155" s="69" t="str">
        <f>+IFERROR(VLOOKUP(B155,'3. Resultados'!K:L,2,FALSE),"-")</f>
        <v>-</v>
      </c>
      <c r="M155" s="70" t="str">
        <f>+IFERROR(VLOOKUP(CONCATENATE(A155,$B$10,B155),'3. Resultados'!B:J,9,FALSE),"-")</f>
        <v>-</v>
      </c>
      <c r="N155" s="24"/>
      <c r="O155" s="25" t="str">
        <f t="shared" si="3"/>
        <v>Por iniciar</v>
      </c>
      <c r="P155"/>
    </row>
    <row r="156" spans="1:16" ht="14.5">
      <c r="A156" s="18"/>
      <c r="B156" s="57"/>
      <c r="C156" s="57"/>
      <c r="D156" s="57"/>
      <c r="E156" s="57"/>
      <c r="F156" s="57"/>
      <c r="G156" s="57"/>
      <c r="H156" s="62" t="s">
        <v>9</v>
      </c>
      <c r="I156" s="19" t="s">
        <v>327</v>
      </c>
      <c r="J156" s="24">
        <f>+COUNTIFS('3. Resultados'!C:C,'1. Status'!H156,'3. Resultados'!G:G,'1. Status'!I156)</f>
        <v>0</v>
      </c>
      <c r="K156" s="70" t="str">
        <f>+IFERROR(VLOOKUP(CONCATENATE(A156,$B$10,B156),'3. Resultados'!B:J,8,FALSE),"-")</f>
        <v>-</v>
      </c>
      <c r="L156" s="69" t="str">
        <f>+IFERROR(VLOOKUP(B156,'3. Resultados'!K:L,2,FALSE),"-")</f>
        <v>-</v>
      </c>
      <c r="M156" s="70" t="str">
        <f>+IFERROR(VLOOKUP(CONCATENATE(A156,$B$10,B156),'3. Resultados'!B:J,9,FALSE),"-")</f>
        <v>-</v>
      </c>
      <c r="N156" s="24"/>
      <c r="O156" s="25" t="str">
        <f t="shared" si="3"/>
        <v>Por iniciar</v>
      </c>
      <c r="P156"/>
    </row>
    <row r="157" spans="1:16" ht="14.5">
      <c r="A157" s="18"/>
      <c r="B157" s="57"/>
      <c r="C157" s="57"/>
      <c r="D157" s="57"/>
      <c r="E157" s="57"/>
      <c r="F157" s="57"/>
      <c r="G157" s="57"/>
      <c r="H157" s="62" t="s">
        <v>9</v>
      </c>
      <c r="I157" s="19" t="s">
        <v>328</v>
      </c>
      <c r="J157" s="24">
        <f>+COUNTIFS('3. Resultados'!C:C,'1. Status'!H157,'3. Resultados'!G:G,'1. Status'!I157)</f>
        <v>0</v>
      </c>
      <c r="K157" s="70" t="str">
        <f>+IFERROR(VLOOKUP(CONCATENATE(A157,$B$10,B157),'3. Resultados'!B:J,8,FALSE),"-")</f>
        <v>-</v>
      </c>
      <c r="L157" s="69" t="str">
        <f>+IFERROR(VLOOKUP(B157,'3. Resultados'!K:L,2,FALSE),"-")</f>
        <v>-</v>
      </c>
      <c r="M157" s="70" t="str">
        <f>+IFERROR(VLOOKUP(CONCATENATE(A157,$B$10,B157),'3. Resultados'!B:J,9,FALSE),"-")</f>
        <v>-</v>
      </c>
      <c r="N157" s="24"/>
      <c r="O157" s="25" t="str">
        <f t="shared" si="3"/>
        <v>Por iniciar</v>
      </c>
      <c r="P157"/>
    </row>
    <row r="158" spans="1:16" ht="14.5">
      <c r="A158" s="18"/>
      <c r="B158" s="57"/>
      <c r="C158" s="57"/>
      <c r="D158" s="57"/>
      <c r="E158" s="57"/>
      <c r="F158" s="57"/>
      <c r="G158" s="57"/>
      <c r="H158" s="62" t="s">
        <v>9</v>
      </c>
      <c r="I158" s="19" t="s">
        <v>329</v>
      </c>
      <c r="J158" s="24">
        <f>+COUNTIFS('3. Resultados'!C:C,'1. Status'!H158,'3. Resultados'!G:G,'1. Status'!I158)</f>
        <v>0</v>
      </c>
      <c r="K158" s="70" t="str">
        <f>+IFERROR(VLOOKUP(CONCATENATE(A158,$B$10,B158),'3. Resultados'!B:J,8,FALSE),"-")</f>
        <v>-</v>
      </c>
      <c r="L158" s="69" t="str">
        <f>+IFERROR(VLOOKUP(B158,'3. Resultados'!K:L,2,FALSE),"-")</f>
        <v>-</v>
      </c>
      <c r="M158" s="70" t="str">
        <f>+IFERROR(VLOOKUP(CONCATENATE(A158,$B$10,B158),'3. Resultados'!B:J,9,FALSE),"-")</f>
        <v>-</v>
      </c>
      <c r="N158" s="24"/>
      <c r="O158" s="25" t="str">
        <f t="shared" si="3"/>
        <v>Por iniciar</v>
      </c>
      <c r="P158"/>
    </row>
    <row r="159" spans="1:16" ht="14.5">
      <c r="A159" s="18"/>
      <c r="B159" s="57"/>
      <c r="C159" s="57"/>
      <c r="D159" s="57"/>
      <c r="E159" s="57"/>
      <c r="F159" s="57"/>
      <c r="G159" s="57"/>
      <c r="H159" s="62" t="s">
        <v>9</v>
      </c>
      <c r="I159" s="19" t="s">
        <v>330</v>
      </c>
      <c r="J159" s="24">
        <f>+COUNTIFS('3. Resultados'!C:C,'1. Status'!H159,'3. Resultados'!G:G,'1. Status'!I159)</f>
        <v>0</v>
      </c>
      <c r="K159" s="70" t="str">
        <f>+IFERROR(VLOOKUP(CONCATENATE(A159,$B$10,B159),'3. Resultados'!B:J,8,FALSE),"-")</f>
        <v>-</v>
      </c>
      <c r="L159" s="69" t="str">
        <f>+IFERROR(VLOOKUP(B159,'3. Resultados'!K:L,2,FALSE),"-")</f>
        <v>-</v>
      </c>
      <c r="M159" s="70" t="str">
        <f>+IFERROR(VLOOKUP(CONCATENATE(A159,$B$10,B159),'3. Resultados'!B:J,9,FALSE),"-")</f>
        <v>-</v>
      </c>
      <c r="N159" s="24"/>
      <c r="O159" s="25" t="str">
        <f t="shared" si="3"/>
        <v>Por iniciar</v>
      </c>
      <c r="P159"/>
    </row>
    <row r="160" spans="1:16" ht="14.5">
      <c r="A160" s="18"/>
      <c r="B160" s="57"/>
      <c r="C160" s="57"/>
      <c r="D160" s="57"/>
      <c r="E160" s="57"/>
      <c r="F160" s="57"/>
      <c r="G160" s="57"/>
      <c r="H160" s="62" t="s">
        <v>9</v>
      </c>
      <c r="I160" s="19" t="s">
        <v>331</v>
      </c>
      <c r="J160" s="24">
        <f>+COUNTIFS('3. Resultados'!C:C,'1. Status'!H160,'3. Resultados'!G:G,'1. Status'!I160)</f>
        <v>0</v>
      </c>
      <c r="K160" s="70" t="str">
        <f>+IFERROR(VLOOKUP(CONCATENATE(A160,$B$10,B160),'3. Resultados'!B:J,8,FALSE),"-")</f>
        <v>-</v>
      </c>
      <c r="L160" s="69" t="str">
        <f>+IFERROR(VLOOKUP(B160,'3. Resultados'!K:L,2,FALSE),"-")</f>
        <v>-</v>
      </c>
      <c r="M160" s="70" t="str">
        <f>+IFERROR(VLOOKUP(CONCATENATE(A160,$B$10,B160),'3. Resultados'!B:J,9,FALSE),"-")</f>
        <v>-</v>
      </c>
      <c r="N160" s="24"/>
      <c r="O160" s="25" t="str">
        <f t="shared" si="3"/>
        <v>Por iniciar</v>
      </c>
      <c r="P160"/>
    </row>
    <row r="161" spans="1:16" ht="14.5">
      <c r="A161" s="18"/>
      <c r="B161" s="57"/>
      <c r="C161" s="57"/>
      <c r="D161" s="57"/>
      <c r="E161" s="57"/>
      <c r="F161" s="57"/>
      <c r="G161" s="57"/>
      <c r="H161" s="62" t="s">
        <v>9</v>
      </c>
      <c r="I161" s="19" t="s">
        <v>332</v>
      </c>
      <c r="J161" s="24">
        <f>+COUNTIFS('3. Resultados'!C:C,'1. Status'!H161,'3. Resultados'!G:G,'1. Status'!I161)</f>
        <v>0</v>
      </c>
      <c r="K161" s="70" t="str">
        <f>+IFERROR(VLOOKUP(CONCATENATE(A161,$B$10,B161),'3. Resultados'!B:J,8,FALSE),"-")</f>
        <v>-</v>
      </c>
      <c r="L161" s="69" t="str">
        <f>+IFERROR(VLOOKUP(B161,'3. Resultados'!K:L,2,FALSE),"-")</f>
        <v>-</v>
      </c>
      <c r="M161" s="70" t="str">
        <f>+IFERROR(VLOOKUP(CONCATENATE(A161,$B$10,B161),'3. Resultados'!B:J,9,FALSE),"-")</f>
        <v>-</v>
      </c>
      <c r="N161" s="24"/>
      <c r="O161" s="25" t="str">
        <f t="shared" si="3"/>
        <v>Por iniciar</v>
      </c>
      <c r="P161"/>
    </row>
    <row r="162" spans="1:16" ht="14.5">
      <c r="A162" s="18"/>
      <c r="B162" s="57"/>
      <c r="C162" s="57"/>
      <c r="D162" s="57"/>
      <c r="E162" s="57"/>
      <c r="F162" s="57"/>
      <c r="G162" s="57"/>
      <c r="H162" s="62" t="s">
        <v>9</v>
      </c>
      <c r="I162" s="19" t="s">
        <v>333</v>
      </c>
      <c r="J162" s="24">
        <f>+COUNTIFS('3. Resultados'!C:C,'1. Status'!H162,'3. Resultados'!G:G,'1. Status'!I162)</f>
        <v>0</v>
      </c>
      <c r="K162" s="70" t="str">
        <f>+IFERROR(VLOOKUP(CONCATENATE(A162,$B$10,B162),'3. Resultados'!B:J,8,FALSE),"-")</f>
        <v>-</v>
      </c>
      <c r="L162" s="69" t="str">
        <f>+IFERROR(VLOOKUP(B162,'3. Resultados'!K:L,2,FALSE),"-")</f>
        <v>-</v>
      </c>
      <c r="M162" s="70" t="str">
        <f>+IFERROR(VLOOKUP(CONCATENATE(A162,$B$10,B162),'3. Resultados'!B:J,9,FALSE),"-")</f>
        <v>-</v>
      </c>
      <c r="N162" s="24"/>
      <c r="O162" s="25" t="str">
        <f t="shared" si="3"/>
        <v>Por iniciar</v>
      </c>
      <c r="P162"/>
    </row>
    <row r="163" spans="1:16" ht="14.5">
      <c r="A163" s="18"/>
      <c r="B163" s="57"/>
      <c r="C163" s="57"/>
      <c r="D163" s="57"/>
      <c r="E163" s="57"/>
      <c r="F163" s="57"/>
      <c r="G163" s="57"/>
      <c r="H163" s="62" t="s">
        <v>9</v>
      </c>
      <c r="I163" s="19" t="s">
        <v>334</v>
      </c>
      <c r="J163" s="24">
        <f>+COUNTIFS('3. Resultados'!C:C,'1. Status'!H163,'3. Resultados'!G:G,'1. Status'!I163)</f>
        <v>0</v>
      </c>
      <c r="K163" s="70" t="str">
        <f>+IFERROR(VLOOKUP(CONCATENATE(A163,$B$10,B163),'3. Resultados'!B:J,8,FALSE),"-")</f>
        <v>-</v>
      </c>
      <c r="L163" s="69" t="str">
        <f>+IFERROR(VLOOKUP(B163,'3. Resultados'!K:L,2,FALSE),"-")</f>
        <v>-</v>
      </c>
      <c r="M163" s="70" t="str">
        <f>+IFERROR(VLOOKUP(CONCATENATE(A163,$B$10,B163),'3. Resultados'!B:J,9,FALSE),"-")</f>
        <v>-</v>
      </c>
      <c r="N163" s="24"/>
      <c r="O163" s="25" t="str">
        <f t="shared" si="3"/>
        <v>Por iniciar</v>
      </c>
      <c r="P163"/>
    </row>
    <row r="164" spans="1:16" ht="14.5">
      <c r="A164" s="18"/>
      <c r="B164" s="57"/>
      <c r="C164" s="57"/>
      <c r="D164" s="57"/>
      <c r="E164" s="57"/>
      <c r="F164" s="57"/>
      <c r="G164" s="57"/>
      <c r="H164" s="62" t="s">
        <v>9</v>
      </c>
      <c r="I164" s="19" t="s">
        <v>335</v>
      </c>
      <c r="J164" s="24">
        <f>+COUNTIFS('3. Resultados'!C:C,'1. Status'!H164,'3. Resultados'!G:G,'1. Status'!I164)</f>
        <v>0</v>
      </c>
      <c r="K164" s="70" t="str">
        <f>+IFERROR(VLOOKUP(CONCATENATE(A164,$B$10,B164),'3. Resultados'!B:J,8,FALSE),"-")</f>
        <v>-</v>
      </c>
      <c r="L164" s="69" t="str">
        <f>+IFERROR(VLOOKUP(B164,'3. Resultados'!K:L,2,FALSE),"-")</f>
        <v>-</v>
      </c>
      <c r="M164" s="70" t="str">
        <f>+IFERROR(VLOOKUP(CONCATENATE(A164,$B$10,B164),'3. Resultados'!B:J,9,FALSE),"-")</f>
        <v>-</v>
      </c>
      <c r="N164" s="24"/>
      <c r="O164" s="25" t="str">
        <f t="shared" si="3"/>
        <v>Por iniciar</v>
      </c>
      <c r="P164"/>
    </row>
    <row r="165" spans="1:16" ht="14.5">
      <c r="A165" s="18"/>
      <c r="B165" s="57"/>
      <c r="C165" s="57"/>
      <c r="D165" s="57"/>
      <c r="E165" s="57"/>
      <c r="F165" s="57"/>
      <c r="G165" s="57"/>
      <c r="H165" s="62" t="s">
        <v>9</v>
      </c>
      <c r="I165" s="19" t="s">
        <v>336</v>
      </c>
      <c r="J165" s="24">
        <f>+COUNTIFS('3. Resultados'!C:C,'1. Status'!H165,'3. Resultados'!G:G,'1. Status'!I165)</f>
        <v>0</v>
      </c>
      <c r="K165" s="70" t="str">
        <f>+IFERROR(VLOOKUP(CONCATENATE(A165,$B$10,B165),'3. Resultados'!B:J,8,FALSE),"-")</f>
        <v>-</v>
      </c>
      <c r="L165" s="69" t="str">
        <f>+IFERROR(VLOOKUP(B165,'3. Resultados'!K:L,2,FALSE),"-")</f>
        <v>-</v>
      </c>
      <c r="M165" s="70" t="str">
        <f>+IFERROR(VLOOKUP(CONCATENATE(A165,$B$10,B165),'3. Resultados'!B:J,9,FALSE),"-")</f>
        <v>-</v>
      </c>
      <c r="N165" s="24"/>
      <c r="O165" s="25" t="str">
        <f t="shared" si="3"/>
        <v>Por iniciar</v>
      </c>
      <c r="P165"/>
    </row>
    <row r="166" spans="1:16" ht="14.5">
      <c r="A166" s="18"/>
      <c r="B166" s="57"/>
      <c r="C166" s="57"/>
      <c r="D166" s="57"/>
      <c r="E166" s="57"/>
      <c r="F166" s="57"/>
      <c r="G166" s="57"/>
      <c r="H166" s="62" t="s">
        <v>9</v>
      </c>
      <c r="I166" s="19" t="s">
        <v>337</v>
      </c>
      <c r="J166" s="24">
        <f>+COUNTIFS('3. Resultados'!C:C,'1. Status'!H166,'3. Resultados'!G:G,'1. Status'!I166)</f>
        <v>0</v>
      </c>
      <c r="K166" s="70" t="str">
        <f>+IFERROR(VLOOKUP(CONCATENATE(A166,$B$10,B166),'3. Resultados'!B:J,8,FALSE),"-")</f>
        <v>-</v>
      </c>
      <c r="L166" s="69" t="str">
        <f>+IFERROR(VLOOKUP(B166,'3. Resultados'!K:L,2,FALSE),"-")</f>
        <v>-</v>
      </c>
      <c r="M166" s="70" t="str">
        <f>+IFERROR(VLOOKUP(CONCATENATE(A166,$B$10,B166),'3. Resultados'!B:J,9,FALSE),"-")</f>
        <v>-</v>
      </c>
      <c r="N166" s="24"/>
      <c r="O166" s="25" t="str">
        <f t="shared" si="3"/>
        <v>Por iniciar</v>
      </c>
      <c r="P166"/>
    </row>
    <row r="167" spans="1:16" ht="14.5">
      <c r="A167" s="18"/>
      <c r="B167" s="57"/>
      <c r="C167" s="57"/>
      <c r="D167" s="57"/>
      <c r="E167" s="57"/>
      <c r="F167" s="57"/>
      <c r="G167" s="57"/>
      <c r="H167" s="62" t="s">
        <v>9</v>
      </c>
      <c r="I167" s="19" t="s">
        <v>338</v>
      </c>
      <c r="J167" s="24">
        <f>+COUNTIFS('3. Resultados'!C:C,'1. Status'!H167,'3. Resultados'!G:G,'1. Status'!I167)</f>
        <v>0</v>
      </c>
      <c r="K167" s="70" t="str">
        <f>+IFERROR(VLOOKUP(CONCATENATE(A167,$B$10,B167),'3. Resultados'!B:J,8,FALSE),"-")</f>
        <v>-</v>
      </c>
      <c r="L167" s="69" t="str">
        <f>+IFERROR(VLOOKUP(B167,'3. Resultados'!K:L,2,FALSE),"-")</f>
        <v>-</v>
      </c>
      <c r="M167" s="70" t="str">
        <f>+IFERROR(VLOOKUP(CONCATENATE(A167,$B$10,B167),'3. Resultados'!B:J,9,FALSE),"-")</f>
        <v>-</v>
      </c>
      <c r="N167" s="24"/>
      <c r="O167" s="25" t="str">
        <f t="shared" si="3"/>
        <v>Por iniciar</v>
      </c>
      <c r="P167"/>
    </row>
    <row r="168" spans="1:16" ht="14.5">
      <c r="A168" s="18"/>
      <c r="B168" s="57"/>
      <c r="C168" s="57"/>
      <c r="D168" s="57"/>
      <c r="E168" s="57"/>
      <c r="F168" s="57"/>
      <c r="G168" s="57"/>
      <c r="H168" s="62" t="s">
        <v>9</v>
      </c>
      <c r="I168" s="19" t="s">
        <v>339</v>
      </c>
      <c r="J168" s="24">
        <f>+COUNTIFS('3. Resultados'!C:C,'1. Status'!H168,'3. Resultados'!G:G,'1. Status'!I168)</f>
        <v>0</v>
      </c>
      <c r="K168" s="70" t="str">
        <f>+IFERROR(VLOOKUP(CONCATENATE(A168,$B$10,B168),'3. Resultados'!B:J,8,FALSE),"-")</f>
        <v>-</v>
      </c>
      <c r="L168" s="69" t="str">
        <f>+IFERROR(VLOOKUP(B168,'3. Resultados'!K:L,2,FALSE),"-")</f>
        <v>-</v>
      </c>
      <c r="M168" s="70" t="str">
        <f>+IFERROR(VLOOKUP(CONCATENATE(A168,$B$10,B168),'3. Resultados'!B:J,9,FALSE),"-")</f>
        <v>-</v>
      </c>
      <c r="N168" s="24"/>
      <c r="O168" s="25" t="str">
        <f t="shared" si="3"/>
        <v>Por iniciar</v>
      </c>
      <c r="P168"/>
    </row>
    <row r="169" spans="1:16" ht="14.5">
      <c r="A169" s="18"/>
      <c r="B169" s="57"/>
      <c r="C169" s="57"/>
      <c r="D169" s="57"/>
      <c r="E169" s="57"/>
      <c r="F169" s="57"/>
      <c r="G169" s="57"/>
      <c r="H169" s="62" t="s">
        <v>9</v>
      </c>
      <c r="I169" s="19" t="s">
        <v>340</v>
      </c>
      <c r="J169" s="24">
        <f>+COUNTIFS('3. Resultados'!C:C,'1. Status'!H169,'3. Resultados'!G:G,'1. Status'!I169)</f>
        <v>0</v>
      </c>
      <c r="K169" s="70" t="str">
        <f>+IFERROR(VLOOKUP(CONCATENATE(A169,$B$10,B169),'3. Resultados'!B:J,8,FALSE),"-")</f>
        <v>-</v>
      </c>
      <c r="L169" s="69" t="str">
        <f>+IFERROR(VLOOKUP(B169,'3. Resultados'!K:L,2,FALSE),"-")</f>
        <v>-</v>
      </c>
      <c r="M169" s="70" t="str">
        <f>+IFERROR(VLOOKUP(CONCATENATE(A169,$B$10,B169),'3. Resultados'!B:J,9,FALSE),"-")</f>
        <v>-</v>
      </c>
      <c r="N169" s="24"/>
      <c r="O169" s="25" t="str">
        <f t="shared" si="3"/>
        <v>Por iniciar</v>
      </c>
      <c r="P169"/>
    </row>
    <row r="170" spans="1:16" ht="14.5">
      <c r="A170" s="18"/>
      <c r="B170" s="57"/>
      <c r="C170" s="57"/>
      <c r="D170" s="57"/>
      <c r="E170" s="57"/>
      <c r="F170" s="57"/>
      <c r="G170" s="57"/>
      <c r="H170" s="62" t="s">
        <v>9</v>
      </c>
      <c r="I170" s="19" t="s">
        <v>341</v>
      </c>
      <c r="J170" s="24">
        <f>+COUNTIFS('3. Resultados'!C:C,'1. Status'!H170,'3. Resultados'!G:G,'1. Status'!I170)</f>
        <v>0</v>
      </c>
      <c r="K170" s="70" t="str">
        <f>+IFERROR(VLOOKUP(CONCATENATE(A170,$B$10,B170),'3. Resultados'!B:J,8,FALSE),"-")</f>
        <v>-</v>
      </c>
      <c r="L170" s="69" t="str">
        <f>+IFERROR(VLOOKUP(B170,'3. Resultados'!K:L,2,FALSE),"-")</f>
        <v>-</v>
      </c>
      <c r="M170" s="70" t="str">
        <f>+IFERROR(VLOOKUP(CONCATENATE(A170,$B$10,B170),'3. Resultados'!B:J,9,FALSE),"-")</f>
        <v>-</v>
      </c>
      <c r="N170" s="24"/>
      <c r="O170" s="25" t="str">
        <f t="shared" si="3"/>
        <v>Por iniciar</v>
      </c>
      <c r="P170"/>
    </row>
    <row r="171" spans="1:16" ht="14.5">
      <c r="A171" s="18"/>
      <c r="B171" s="57"/>
      <c r="C171" s="57"/>
      <c r="D171" s="57"/>
      <c r="E171" s="57"/>
      <c r="F171" s="57"/>
      <c r="G171" s="57"/>
      <c r="H171" s="62" t="s">
        <v>9</v>
      </c>
      <c r="I171" s="19" t="s">
        <v>342</v>
      </c>
      <c r="J171" s="24">
        <f>+COUNTIFS('3. Resultados'!C:C,'1. Status'!H171,'3. Resultados'!G:G,'1. Status'!I171)</f>
        <v>0</v>
      </c>
      <c r="K171" s="70" t="str">
        <f>+IFERROR(VLOOKUP(CONCATENATE(A171,$B$10,B171),'3. Resultados'!B:J,8,FALSE),"-")</f>
        <v>-</v>
      </c>
      <c r="L171" s="69" t="str">
        <f>+IFERROR(VLOOKUP(B171,'3. Resultados'!K:L,2,FALSE),"-")</f>
        <v>-</v>
      </c>
      <c r="M171" s="70" t="str">
        <f>+IFERROR(VLOOKUP(CONCATENATE(A171,$B$10,B171),'3. Resultados'!B:J,9,FALSE),"-")</f>
        <v>-</v>
      </c>
      <c r="N171" s="24"/>
      <c r="O171" s="25" t="str">
        <f t="shared" si="3"/>
        <v>Por iniciar</v>
      </c>
      <c r="P171"/>
    </row>
    <row r="172" spans="1:16" ht="14.5">
      <c r="A172" s="18"/>
      <c r="B172" s="57"/>
      <c r="C172" s="57"/>
      <c r="D172" s="57"/>
      <c r="E172" s="57"/>
      <c r="F172" s="57"/>
      <c r="G172" s="57"/>
      <c r="H172" s="62" t="s">
        <v>9</v>
      </c>
      <c r="I172" s="19" t="s">
        <v>343</v>
      </c>
      <c r="J172" s="24">
        <f>+COUNTIFS('3. Resultados'!C:C,'1. Status'!H172,'3. Resultados'!G:G,'1. Status'!I172)</f>
        <v>0</v>
      </c>
      <c r="K172" s="70" t="str">
        <f>+IFERROR(VLOOKUP(CONCATENATE(A172,$B$10,B172),'3. Resultados'!B:J,8,FALSE),"-")</f>
        <v>-</v>
      </c>
      <c r="L172" s="69" t="str">
        <f>+IFERROR(VLOOKUP(B172,'3. Resultados'!K:L,2,FALSE),"-")</f>
        <v>-</v>
      </c>
      <c r="M172" s="70" t="str">
        <f>+IFERROR(VLOOKUP(CONCATENATE(A172,$B$10,B172),'3. Resultados'!B:J,9,FALSE),"-")</f>
        <v>-</v>
      </c>
      <c r="N172" s="24"/>
      <c r="O172" s="25" t="str">
        <f t="shared" si="3"/>
        <v>Por iniciar</v>
      </c>
      <c r="P172"/>
    </row>
    <row r="173" spans="1:16" ht="14.5">
      <c r="A173" s="18"/>
      <c r="B173" s="57"/>
      <c r="C173" s="57"/>
      <c r="D173" s="57"/>
      <c r="E173" s="57"/>
      <c r="F173" s="57"/>
      <c r="G173" s="57"/>
      <c r="H173" s="62" t="s">
        <v>9</v>
      </c>
      <c r="I173" s="19" t="s">
        <v>344</v>
      </c>
      <c r="J173" s="24">
        <f>+COUNTIFS('3. Resultados'!C:C,'1. Status'!H173,'3. Resultados'!G:G,'1. Status'!I173)</f>
        <v>0</v>
      </c>
      <c r="K173" s="70" t="str">
        <f>+IFERROR(VLOOKUP(CONCATENATE(A173,$B$10,B173),'3. Resultados'!B:J,8,FALSE),"-")</f>
        <v>-</v>
      </c>
      <c r="L173" s="69" t="str">
        <f>+IFERROR(VLOOKUP(B173,'3. Resultados'!K:L,2,FALSE),"-")</f>
        <v>-</v>
      </c>
      <c r="M173" s="70" t="str">
        <f>+IFERROR(VLOOKUP(CONCATENATE(A173,$B$10,B173),'3. Resultados'!B:J,9,FALSE),"-")</f>
        <v>-</v>
      </c>
      <c r="N173" s="24"/>
      <c r="O173" s="25" t="str">
        <f t="shared" si="3"/>
        <v>Por iniciar</v>
      </c>
      <c r="P173"/>
    </row>
    <row r="174" spans="1:16" ht="14.5">
      <c r="A174" s="18"/>
      <c r="B174" s="57"/>
      <c r="C174" s="57"/>
      <c r="D174" s="57"/>
      <c r="E174" s="57"/>
      <c r="F174" s="57"/>
      <c r="G174" s="57"/>
      <c r="H174" s="62" t="s">
        <v>9</v>
      </c>
      <c r="I174" s="19" t="s">
        <v>345</v>
      </c>
      <c r="J174" s="24">
        <f>+COUNTIFS('3. Resultados'!C:C,'1. Status'!H174,'3. Resultados'!G:G,'1. Status'!I174)</f>
        <v>0</v>
      </c>
      <c r="K174" s="70" t="str">
        <f>+IFERROR(VLOOKUP(CONCATENATE(A174,$B$10,B174),'3. Resultados'!B:J,8,FALSE),"-")</f>
        <v>-</v>
      </c>
      <c r="L174" s="69" t="str">
        <f>+IFERROR(VLOOKUP(B174,'3. Resultados'!K:L,2,FALSE),"-")</f>
        <v>-</v>
      </c>
      <c r="M174" s="70" t="str">
        <f>+IFERROR(VLOOKUP(CONCATENATE(A174,$B$10,B174),'3. Resultados'!B:J,9,FALSE),"-")</f>
        <v>-</v>
      </c>
      <c r="N174" s="24"/>
      <c r="O174" s="25" t="str">
        <f t="shared" si="3"/>
        <v>Por iniciar</v>
      </c>
      <c r="P174"/>
    </row>
    <row r="175" spans="1:16" ht="14.5">
      <c r="A175" s="18"/>
      <c r="B175" s="57"/>
      <c r="C175" s="57"/>
      <c r="D175" s="57"/>
      <c r="E175" s="57"/>
      <c r="F175" s="57"/>
      <c r="G175" s="57"/>
      <c r="H175" s="62" t="s">
        <v>9</v>
      </c>
      <c r="I175" s="19" t="s">
        <v>346</v>
      </c>
      <c r="J175" s="24">
        <f>+COUNTIFS('3. Resultados'!C:C,'1. Status'!H175,'3. Resultados'!G:G,'1. Status'!I175)</f>
        <v>0</v>
      </c>
      <c r="K175" s="70" t="str">
        <f>+IFERROR(VLOOKUP(CONCATENATE(A175,$B$10,B175),'3. Resultados'!B:J,8,FALSE),"-")</f>
        <v>-</v>
      </c>
      <c r="L175" s="69" t="str">
        <f>+IFERROR(VLOOKUP(B175,'3. Resultados'!K:L,2,FALSE),"-")</f>
        <v>-</v>
      </c>
      <c r="M175" s="70" t="str">
        <f>+IFERROR(VLOOKUP(CONCATENATE(A175,$B$10,B175),'3. Resultados'!B:J,9,FALSE),"-")</f>
        <v>-</v>
      </c>
      <c r="N175" s="24"/>
      <c r="O175" s="25" t="str">
        <f t="shared" si="3"/>
        <v>Por iniciar</v>
      </c>
      <c r="P175"/>
    </row>
    <row r="176" spans="1:16" ht="14.5">
      <c r="A176" s="18"/>
      <c r="B176" s="57"/>
      <c r="C176" s="57"/>
      <c r="D176" s="57"/>
      <c r="E176" s="57"/>
      <c r="F176" s="57"/>
      <c r="G176" s="57"/>
      <c r="H176" s="62" t="s">
        <v>9</v>
      </c>
      <c r="I176" s="19" t="s">
        <v>347</v>
      </c>
      <c r="J176" s="24">
        <f>+COUNTIFS('3. Resultados'!C:C,'1. Status'!H176,'3. Resultados'!G:G,'1. Status'!I176)</f>
        <v>0</v>
      </c>
      <c r="K176" s="70" t="str">
        <f>+IFERROR(VLOOKUP(CONCATENATE(A176,$B$10,B176),'3. Resultados'!B:J,8,FALSE),"-")</f>
        <v>-</v>
      </c>
      <c r="L176" s="69" t="str">
        <f>+IFERROR(VLOOKUP(B176,'3. Resultados'!K:L,2,FALSE),"-")</f>
        <v>-</v>
      </c>
      <c r="M176" s="70" t="str">
        <f>+IFERROR(VLOOKUP(CONCATENATE(A176,$B$10,B176),'3. Resultados'!B:J,9,FALSE),"-")</f>
        <v>-</v>
      </c>
      <c r="N176" s="24"/>
      <c r="O176" s="25" t="str">
        <f t="shared" si="3"/>
        <v>Por iniciar</v>
      </c>
      <c r="P176"/>
    </row>
    <row r="177" spans="1:16" ht="14.5">
      <c r="A177" s="18"/>
      <c r="B177" s="57"/>
      <c r="C177" s="57"/>
      <c r="D177" s="57"/>
      <c r="E177" s="57"/>
      <c r="F177" s="57"/>
      <c r="G177" s="57"/>
      <c r="H177" s="62" t="s">
        <v>9</v>
      </c>
      <c r="I177" s="19" t="s">
        <v>348</v>
      </c>
      <c r="J177" s="24">
        <f>+COUNTIFS('3. Resultados'!C:C,'1. Status'!H177,'3. Resultados'!G:G,'1. Status'!I177)</f>
        <v>0</v>
      </c>
      <c r="K177" s="70" t="str">
        <f>+IFERROR(VLOOKUP(CONCATENATE(A177,$B$10,B177),'3. Resultados'!B:J,8,FALSE),"-")</f>
        <v>-</v>
      </c>
      <c r="L177" s="69" t="str">
        <f>+IFERROR(VLOOKUP(B177,'3. Resultados'!K:L,2,FALSE),"-")</f>
        <v>-</v>
      </c>
      <c r="M177" s="70" t="str">
        <f>+IFERROR(VLOOKUP(CONCATENATE(A177,$B$10,B177),'3. Resultados'!B:J,9,FALSE),"-")</f>
        <v>-</v>
      </c>
      <c r="N177" s="24"/>
      <c r="O177" s="25" t="str">
        <f t="shared" si="3"/>
        <v>Por iniciar</v>
      </c>
      <c r="P177"/>
    </row>
    <row r="178" spans="1:16" ht="14.5">
      <c r="A178" s="18"/>
      <c r="B178" s="57"/>
      <c r="C178" s="57"/>
      <c r="D178" s="57"/>
      <c r="E178" s="57"/>
      <c r="F178" s="57"/>
      <c r="G178" s="57"/>
      <c r="H178" s="62" t="s">
        <v>9</v>
      </c>
      <c r="I178" s="19" t="s">
        <v>349</v>
      </c>
      <c r="J178" s="24">
        <f>+COUNTIFS('3. Resultados'!C:C,'1. Status'!H178,'3. Resultados'!G:G,'1. Status'!I178)</f>
        <v>0</v>
      </c>
      <c r="K178" s="70" t="str">
        <f>+IFERROR(VLOOKUP(CONCATENATE(A178,$B$10,B178),'3. Resultados'!B:J,8,FALSE),"-")</f>
        <v>-</v>
      </c>
      <c r="L178" s="69" t="str">
        <f>+IFERROR(VLOOKUP(B178,'3. Resultados'!K:L,2,FALSE),"-")</f>
        <v>-</v>
      </c>
      <c r="M178" s="70" t="str">
        <f>+IFERROR(VLOOKUP(CONCATENATE(A178,$B$10,B178),'3. Resultados'!B:J,9,FALSE),"-")</f>
        <v>-</v>
      </c>
      <c r="N178" s="24"/>
      <c r="O178" s="25" t="str">
        <f t="shared" si="3"/>
        <v>Por iniciar</v>
      </c>
      <c r="P178"/>
    </row>
    <row r="179" spans="1:16" ht="14.5">
      <c r="A179" s="18"/>
      <c r="B179" s="57"/>
      <c r="C179" s="57"/>
      <c r="D179" s="57"/>
      <c r="E179" s="57"/>
      <c r="F179" s="57"/>
      <c r="G179" s="57"/>
      <c r="H179" s="62" t="s">
        <v>9</v>
      </c>
      <c r="I179" s="19" t="s">
        <v>350</v>
      </c>
      <c r="J179" s="24">
        <f>+COUNTIFS('3. Resultados'!C:C,'1. Status'!H179,'3. Resultados'!G:G,'1. Status'!I179)</f>
        <v>0</v>
      </c>
      <c r="K179" s="70" t="str">
        <f>+IFERROR(VLOOKUP(CONCATENATE(A179,$B$10,B179),'3. Resultados'!B:J,8,FALSE),"-")</f>
        <v>-</v>
      </c>
      <c r="L179" s="69" t="str">
        <f>+IFERROR(VLOOKUP(B179,'3. Resultados'!K:L,2,FALSE),"-")</f>
        <v>-</v>
      </c>
      <c r="M179" s="70" t="str">
        <f>+IFERROR(VLOOKUP(CONCATENATE(A179,$B$10,B179),'3. Resultados'!B:J,9,FALSE),"-")</f>
        <v>-</v>
      </c>
      <c r="N179" s="24"/>
      <c r="O179" s="25" t="str">
        <f t="shared" si="3"/>
        <v>Por iniciar</v>
      </c>
      <c r="P179"/>
    </row>
    <row r="180" spans="1:16" ht="14.5">
      <c r="A180" s="18"/>
      <c r="B180" s="57"/>
      <c r="C180" s="57"/>
      <c r="D180" s="57"/>
      <c r="E180" s="57"/>
      <c r="F180" s="57"/>
      <c r="G180" s="57"/>
      <c r="H180" s="62" t="s">
        <v>9</v>
      </c>
      <c r="I180" s="19" t="s">
        <v>351</v>
      </c>
      <c r="J180" s="24">
        <f>+COUNTIFS('3. Resultados'!C:C,'1. Status'!H180,'3. Resultados'!G:G,'1. Status'!I180)</f>
        <v>0</v>
      </c>
      <c r="K180" s="70" t="str">
        <f>+IFERROR(VLOOKUP(CONCATENATE(A180,$B$10,B180),'3. Resultados'!B:J,8,FALSE),"-")</f>
        <v>-</v>
      </c>
      <c r="L180" s="69" t="str">
        <f>+IFERROR(VLOOKUP(B180,'3. Resultados'!K:L,2,FALSE),"-")</f>
        <v>-</v>
      </c>
      <c r="M180" s="70" t="str">
        <f>+IFERROR(VLOOKUP(CONCATENATE(A180,$B$10,B180),'3. Resultados'!B:J,9,FALSE),"-")</f>
        <v>-</v>
      </c>
      <c r="N180" s="24"/>
      <c r="O180" s="25" t="str">
        <f t="shared" si="3"/>
        <v>Por iniciar</v>
      </c>
      <c r="P180"/>
    </row>
    <row r="181" spans="1:16" ht="14.5">
      <c r="A181" s="18"/>
      <c r="B181" s="57"/>
      <c r="C181" s="57"/>
      <c r="D181" s="57"/>
      <c r="E181" s="57"/>
      <c r="F181" s="57"/>
      <c r="G181" s="57"/>
      <c r="H181" s="62" t="s">
        <v>9</v>
      </c>
      <c r="I181" s="19" t="s">
        <v>352</v>
      </c>
      <c r="J181" s="24">
        <f>+COUNTIFS('3. Resultados'!C:C,'1. Status'!H181,'3. Resultados'!G:G,'1. Status'!I181)</f>
        <v>0</v>
      </c>
      <c r="K181" s="70" t="str">
        <f>+IFERROR(VLOOKUP(CONCATENATE(A181,$B$10,B181),'3. Resultados'!B:J,8,FALSE),"-")</f>
        <v>-</v>
      </c>
      <c r="L181" s="69" t="str">
        <f>+IFERROR(VLOOKUP(B181,'3. Resultados'!K:L,2,FALSE),"-")</f>
        <v>-</v>
      </c>
      <c r="M181" s="70" t="str">
        <f>+IFERROR(VLOOKUP(CONCATENATE(A181,$B$10,B181),'3. Resultados'!B:J,9,FALSE),"-")</f>
        <v>-</v>
      </c>
      <c r="N181" s="24"/>
      <c r="O181" s="25" t="str">
        <f t="shared" si="3"/>
        <v>Por iniciar</v>
      </c>
      <c r="P181"/>
    </row>
    <row r="182" spans="1:16" ht="14.5">
      <c r="A182" s="18"/>
      <c r="B182" s="57"/>
      <c r="C182" s="57"/>
      <c r="D182" s="57"/>
      <c r="E182" s="57"/>
      <c r="F182" s="57"/>
      <c r="G182" s="57"/>
      <c r="H182" s="62" t="s">
        <v>9</v>
      </c>
      <c r="I182" s="19" t="s">
        <v>353</v>
      </c>
      <c r="J182" s="24">
        <f>+COUNTIFS('3. Resultados'!C:C,'1. Status'!H182,'3. Resultados'!G:G,'1. Status'!I182)</f>
        <v>0</v>
      </c>
      <c r="K182" s="70" t="str">
        <f>+IFERROR(VLOOKUP(CONCATENATE(A182,$B$10,B182),'3. Resultados'!B:J,8,FALSE),"-")</f>
        <v>-</v>
      </c>
      <c r="L182" s="69" t="str">
        <f>+IFERROR(VLOOKUP(B182,'3. Resultados'!K:L,2,FALSE),"-")</f>
        <v>-</v>
      </c>
      <c r="M182" s="70" t="str">
        <f>+IFERROR(VLOOKUP(CONCATENATE(A182,$B$10,B182),'3. Resultados'!B:J,9,FALSE),"-")</f>
        <v>-</v>
      </c>
      <c r="N182" s="24"/>
      <c r="O182" s="25" t="str">
        <f t="shared" si="3"/>
        <v>Por iniciar</v>
      </c>
      <c r="P182"/>
    </row>
    <row r="183" spans="1:16" ht="14.5">
      <c r="A183" s="18"/>
      <c r="B183" s="57"/>
      <c r="C183" s="57"/>
      <c r="D183" s="57"/>
      <c r="E183" s="57"/>
      <c r="F183" s="57"/>
      <c r="G183" s="57"/>
      <c r="H183" s="62" t="s">
        <v>9</v>
      </c>
      <c r="I183" s="19" t="s">
        <v>354</v>
      </c>
      <c r="J183" s="24">
        <f>+COUNTIFS('3. Resultados'!C:C,'1. Status'!H183,'3. Resultados'!G:G,'1. Status'!I183)</f>
        <v>0</v>
      </c>
      <c r="K183" s="70" t="str">
        <f>+IFERROR(VLOOKUP(CONCATENATE(A183,$B$10,B183),'3. Resultados'!B:J,8,FALSE),"-")</f>
        <v>-</v>
      </c>
      <c r="L183" s="69" t="str">
        <f>+IFERROR(VLOOKUP(B183,'3. Resultados'!K:L,2,FALSE),"-")</f>
        <v>-</v>
      </c>
      <c r="M183" s="70" t="str">
        <f>+IFERROR(VLOOKUP(CONCATENATE(A183,$B$10,B183),'3. Resultados'!B:J,9,FALSE),"-")</f>
        <v>-</v>
      </c>
      <c r="N183" s="24"/>
      <c r="O183" s="25" t="str">
        <f t="shared" si="3"/>
        <v>Por iniciar</v>
      </c>
      <c r="P183"/>
    </row>
    <row r="184" spans="1:16" ht="14.5">
      <c r="A184" s="18"/>
      <c r="B184" s="57"/>
      <c r="C184" s="57"/>
      <c r="D184" s="57"/>
      <c r="E184" s="57"/>
      <c r="F184" s="57"/>
      <c r="G184" s="57"/>
      <c r="H184" s="62" t="s">
        <v>9</v>
      </c>
      <c r="I184" s="19" t="s">
        <v>355</v>
      </c>
      <c r="J184" s="24">
        <f>+COUNTIFS('3. Resultados'!C:C,'1. Status'!H184,'3. Resultados'!G:G,'1. Status'!I184)</f>
        <v>0</v>
      </c>
      <c r="K184" s="70" t="str">
        <f>+IFERROR(VLOOKUP(CONCATENATE(A184,$B$10,B184),'3. Resultados'!B:J,8,FALSE),"-")</f>
        <v>-</v>
      </c>
      <c r="L184" s="69" t="str">
        <f>+IFERROR(VLOOKUP(B184,'3. Resultados'!K:L,2,FALSE),"-")</f>
        <v>-</v>
      </c>
      <c r="M184" s="70" t="str">
        <f>+IFERROR(VLOOKUP(CONCATENATE(A184,$B$10,B184),'3. Resultados'!B:J,9,FALSE),"-")</f>
        <v>-</v>
      </c>
      <c r="N184" s="24"/>
      <c r="O184" s="25" t="str">
        <f t="shared" si="3"/>
        <v>Por iniciar</v>
      </c>
      <c r="P184"/>
    </row>
    <row r="185" spans="1:16" ht="14.5">
      <c r="A185" s="18"/>
      <c r="B185" s="57"/>
      <c r="C185" s="57"/>
      <c r="D185" s="57"/>
      <c r="E185" s="57"/>
      <c r="F185" s="57"/>
      <c r="G185" s="57"/>
      <c r="H185" s="62" t="s">
        <v>9</v>
      </c>
      <c r="I185" s="19" t="s">
        <v>356</v>
      </c>
      <c r="J185" s="24">
        <f>+COUNTIFS('3. Resultados'!C:C,'1. Status'!H185,'3. Resultados'!G:G,'1. Status'!I185)</f>
        <v>0</v>
      </c>
      <c r="K185" s="70" t="str">
        <f>+IFERROR(VLOOKUP(CONCATENATE(A185,$B$10,B185),'3. Resultados'!B:J,8,FALSE),"-")</f>
        <v>-</v>
      </c>
      <c r="L185" s="69" t="str">
        <f>+IFERROR(VLOOKUP(B185,'3. Resultados'!K:L,2,FALSE),"-")</f>
        <v>-</v>
      </c>
      <c r="M185" s="70" t="str">
        <f>+IFERROR(VLOOKUP(CONCATENATE(A185,$B$10,B185),'3. Resultados'!B:J,9,FALSE),"-")</f>
        <v>-</v>
      </c>
      <c r="N185" s="24"/>
      <c r="O185" s="25" t="str">
        <f t="shared" si="3"/>
        <v>Por iniciar</v>
      </c>
      <c r="P185"/>
    </row>
    <row r="186" spans="1:16" ht="14.5">
      <c r="A186" s="18"/>
      <c r="B186" s="57"/>
      <c r="C186" s="57"/>
      <c r="D186" s="57"/>
      <c r="E186" s="57"/>
      <c r="F186" s="57"/>
      <c r="G186" s="57"/>
      <c r="H186" s="62" t="s">
        <v>9</v>
      </c>
      <c r="I186" s="19" t="s">
        <v>357</v>
      </c>
      <c r="J186" s="24">
        <f>+COUNTIFS('3. Resultados'!C:C,'1. Status'!H186,'3. Resultados'!G:G,'1. Status'!I186)</f>
        <v>0</v>
      </c>
      <c r="K186" s="70" t="str">
        <f>+IFERROR(VLOOKUP(CONCATENATE(A186,$B$10,B186),'3. Resultados'!B:J,8,FALSE),"-")</f>
        <v>-</v>
      </c>
      <c r="L186" s="69" t="str">
        <f>+IFERROR(VLOOKUP(B186,'3. Resultados'!K:L,2,FALSE),"-")</f>
        <v>-</v>
      </c>
      <c r="M186" s="70" t="str">
        <f>+IFERROR(VLOOKUP(CONCATENATE(A186,$B$10,B186),'3. Resultados'!B:J,9,FALSE),"-")</f>
        <v>-</v>
      </c>
      <c r="N186" s="24"/>
      <c r="O186" s="25" t="str">
        <f t="shared" si="3"/>
        <v>Por iniciar</v>
      </c>
      <c r="P186"/>
    </row>
    <row r="187" spans="1:16" ht="14.5">
      <c r="A187" s="18"/>
      <c r="B187" s="57"/>
      <c r="C187" s="57"/>
      <c r="D187" s="57"/>
      <c r="E187" s="57"/>
      <c r="F187" s="57"/>
      <c r="G187" s="57"/>
      <c r="H187" s="62" t="s">
        <v>9</v>
      </c>
      <c r="I187" s="19" t="s">
        <v>358</v>
      </c>
      <c r="J187" s="24">
        <f>+COUNTIFS('3. Resultados'!C:C,'1. Status'!H187,'3. Resultados'!G:G,'1. Status'!I187)</f>
        <v>0</v>
      </c>
      <c r="K187" s="70" t="str">
        <f>+IFERROR(VLOOKUP(CONCATENATE(A187,$B$10,B187),'3. Resultados'!B:J,8,FALSE),"-")</f>
        <v>-</v>
      </c>
      <c r="L187" s="69" t="str">
        <f>+IFERROR(VLOOKUP(B187,'3. Resultados'!K:L,2,FALSE),"-")</f>
        <v>-</v>
      </c>
      <c r="M187" s="70" t="str">
        <f>+IFERROR(VLOOKUP(CONCATENATE(A187,$B$10,B187),'3. Resultados'!B:J,9,FALSE),"-")</f>
        <v>-</v>
      </c>
      <c r="N187" s="24"/>
      <c r="O187" s="25" t="str">
        <f t="shared" si="3"/>
        <v>Por iniciar</v>
      </c>
      <c r="P187"/>
    </row>
    <row r="188" spans="1:16" ht="14.5">
      <c r="A188" s="18"/>
      <c r="B188" s="57"/>
      <c r="C188" s="57"/>
      <c r="D188" s="57"/>
      <c r="E188" s="57"/>
      <c r="F188" s="57"/>
      <c r="G188" s="57"/>
      <c r="H188" s="62" t="s">
        <v>9</v>
      </c>
      <c r="I188" s="19" t="s">
        <v>359</v>
      </c>
      <c r="J188" s="24">
        <f>+COUNTIFS('3. Resultados'!C:C,'1. Status'!H188,'3. Resultados'!G:G,'1. Status'!I188)</f>
        <v>0</v>
      </c>
      <c r="K188" s="70" t="str">
        <f>+IFERROR(VLOOKUP(CONCATENATE(A188,$B$10,B188),'3. Resultados'!B:J,8,FALSE),"-")</f>
        <v>-</v>
      </c>
      <c r="L188" s="69" t="str">
        <f>+IFERROR(VLOOKUP(B188,'3. Resultados'!K:L,2,FALSE),"-")</f>
        <v>-</v>
      </c>
      <c r="M188" s="70" t="str">
        <f>+IFERROR(VLOOKUP(CONCATENATE(A188,$B$10,B188),'3. Resultados'!B:J,9,FALSE),"-")</f>
        <v>-</v>
      </c>
      <c r="N188" s="24"/>
      <c r="O188" s="25" t="str">
        <f t="shared" si="3"/>
        <v>Por iniciar</v>
      </c>
      <c r="P188"/>
    </row>
    <row r="189" spans="1:16" ht="14.5">
      <c r="A189" s="18"/>
      <c r="B189" s="57"/>
      <c r="C189" s="57"/>
      <c r="D189" s="57"/>
      <c r="E189" s="57"/>
      <c r="F189" s="57"/>
      <c r="G189" s="57"/>
      <c r="H189" s="62" t="s">
        <v>9</v>
      </c>
      <c r="I189" s="19" t="s">
        <v>360</v>
      </c>
      <c r="J189" s="24">
        <f>+COUNTIFS('3. Resultados'!C:C,'1. Status'!H189,'3. Resultados'!G:G,'1. Status'!I189)</f>
        <v>0</v>
      </c>
      <c r="K189" s="70" t="str">
        <f>+IFERROR(VLOOKUP(CONCATENATE(A189,$B$10,B189),'3. Resultados'!B:J,8,FALSE),"-")</f>
        <v>-</v>
      </c>
      <c r="L189" s="69" t="str">
        <f>+IFERROR(VLOOKUP(B189,'3. Resultados'!K:L,2,FALSE),"-")</f>
        <v>-</v>
      </c>
      <c r="M189" s="70" t="str">
        <f>+IFERROR(VLOOKUP(CONCATENATE(A189,$B$10,B189),'3. Resultados'!B:J,9,FALSE),"-")</f>
        <v>-</v>
      </c>
      <c r="N189" s="24"/>
      <c r="O189" s="25" t="str">
        <f t="shared" si="3"/>
        <v>Por iniciar</v>
      </c>
      <c r="P189"/>
    </row>
    <row r="190" spans="1:16" ht="14.5">
      <c r="A190" s="18"/>
      <c r="B190" s="57"/>
      <c r="C190" s="57"/>
      <c r="D190" s="57"/>
      <c r="E190" s="57"/>
      <c r="F190" s="57"/>
      <c r="G190" s="57"/>
      <c r="H190" s="62" t="s">
        <v>9</v>
      </c>
      <c r="I190" s="19" t="s">
        <v>361</v>
      </c>
      <c r="J190" s="24">
        <f>+COUNTIFS('3. Resultados'!C:C,'1. Status'!H190,'3. Resultados'!G:G,'1. Status'!I190)</f>
        <v>0</v>
      </c>
      <c r="K190" s="70" t="str">
        <f>+IFERROR(VLOOKUP(CONCATENATE(A190,$B$10,B190),'3. Resultados'!B:J,8,FALSE),"-")</f>
        <v>-</v>
      </c>
      <c r="L190" s="69" t="str">
        <f>+IFERROR(VLOOKUP(B190,'3. Resultados'!K:L,2,FALSE),"-")</f>
        <v>-</v>
      </c>
      <c r="M190" s="70" t="str">
        <f>+IFERROR(VLOOKUP(CONCATENATE(A190,$B$10,B190),'3. Resultados'!B:J,9,FALSE),"-")</f>
        <v>-</v>
      </c>
      <c r="N190" s="24"/>
      <c r="O190" s="25" t="str">
        <f t="shared" si="3"/>
        <v>Por iniciar</v>
      </c>
      <c r="P190"/>
    </row>
    <row r="191" spans="1:16" ht="14.5">
      <c r="A191" s="18"/>
      <c r="B191" s="57"/>
      <c r="C191" s="57"/>
      <c r="D191" s="57"/>
      <c r="E191" s="57"/>
      <c r="F191" s="57"/>
      <c r="G191" s="57"/>
      <c r="H191" s="62" t="s">
        <v>9</v>
      </c>
      <c r="I191" s="19" t="s">
        <v>362</v>
      </c>
      <c r="J191" s="24">
        <f>+COUNTIFS('3. Resultados'!C:C,'1. Status'!H191,'3. Resultados'!G:G,'1. Status'!I191)</f>
        <v>0</v>
      </c>
      <c r="K191" s="70" t="str">
        <f>+IFERROR(VLOOKUP(CONCATENATE(A191,$B$10,B191),'3. Resultados'!B:J,8,FALSE),"-")</f>
        <v>-</v>
      </c>
      <c r="L191" s="69" t="str">
        <f>+IFERROR(VLOOKUP(B191,'3. Resultados'!K:L,2,FALSE),"-")</f>
        <v>-</v>
      </c>
      <c r="M191" s="70" t="str">
        <f>+IFERROR(VLOOKUP(CONCATENATE(A191,$B$10,B191),'3. Resultados'!B:J,9,FALSE),"-")</f>
        <v>-</v>
      </c>
      <c r="N191" s="24"/>
      <c r="O191" s="25" t="str">
        <f t="shared" si="3"/>
        <v>Por iniciar</v>
      </c>
      <c r="P191"/>
    </row>
    <row r="192" spans="1:16" ht="14.5">
      <c r="A192" s="18"/>
      <c r="B192" s="57"/>
      <c r="C192" s="57"/>
      <c r="D192" s="57"/>
      <c r="E192" s="57"/>
      <c r="F192" s="57"/>
      <c r="G192" s="57"/>
      <c r="H192" s="62" t="s">
        <v>9</v>
      </c>
      <c r="I192" s="19" t="s">
        <v>363</v>
      </c>
      <c r="J192" s="24">
        <f>+COUNTIFS('3. Resultados'!C:C,'1. Status'!H192,'3. Resultados'!G:G,'1. Status'!I192)</f>
        <v>0</v>
      </c>
      <c r="K192" s="70" t="str">
        <f>+IFERROR(VLOOKUP(CONCATENATE(A192,$B$10,B192),'3. Resultados'!B:J,8,FALSE),"-")</f>
        <v>-</v>
      </c>
      <c r="L192" s="69" t="str">
        <f>+IFERROR(VLOOKUP(B192,'3. Resultados'!K:L,2,FALSE),"-")</f>
        <v>-</v>
      </c>
      <c r="M192" s="70" t="str">
        <f>+IFERROR(VLOOKUP(CONCATENATE(A192,$B$10,B192),'3. Resultados'!B:J,9,FALSE),"-")</f>
        <v>-</v>
      </c>
      <c r="N192" s="24"/>
      <c r="O192" s="25" t="str">
        <f t="shared" si="3"/>
        <v>Por iniciar</v>
      </c>
      <c r="P192"/>
    </row>
    <row r="193" spans="1:16" ht="14.5">
      <c r="A193" s="18"/>
      <c r="B193" s="57"/>
      <c r="C193" s="57"/>
      <c r="D193" s="57"/>
      <c r="E193" s="57"/>
      <c r="F193" s="57"/>
      <c r="G193" s="57"/>
      <c r="H193" s="62" t="s">
        <v>9</v>
      </c>
      <c r="I193" s="19" t="s">
        <v>364</v>
      </c>
      <c r="J193" s="24">
        <f>+COUNTIFS('3. Resultados'!C:C,'1. Status'!H193,'3. Resultados'!G:G,'1. Status'!I193)</f>
        <v>0</v>
      </c>
      <c r="K193" s="70" t="str">
        <f>+IFERROR(VLOOKUP(CONCATENATE(A193,$B$10,B193),'3. Resultados'!B:J,8,FALSE),"-")</f>
        <v>-</v>
      </c>
      <c r="L193" s="69" t="str">
        <f>+IFERROR(VLOOKUP(B193,'3. Resultados'!K:L,2,FALSE),"-")</f>
        <v>-</v>
      </c>
      <c r="M193" s="70" t="str">
        <f>+IFERROR(VLOOKUP(CONCATENATE(A193,$B$10,B193),'3. Resultados'!B:J,9,FALSE),"-")</f>
        <v>-</v>
      </c>
      <c r="N193" s="24"/>
      <c r="O193" s="25" t="str">
        <f t="shared" si="3"/>
        <v>Por iniciar</v>
      </c>
      <c r="P193"/>
    </row>
    <row r="194" spans="1:16" ht="14.5">
      <c r="A194" s="18"/>
      <c r="B194" s="57"/>
      <c r="C194" s="57"/>
      <c r="D194" s="57"/>
      <c r="E194" s="57"/>
      <c r="F194" s="57"/>
      <c r="G194" s="57"/>
      <c r="H194" s="62" t="s">
        <v>9</v>
      </c>
      <c r="I194" s="19" t="s">
        <v>365</v>
      </c>
      <c r="J194" s="24">
        <f>+COUNTIFS('3. Resultados'!C:C,'1. Status'!H194,'3. Resultados'!G:G,'1. Status'!I194)</f>
        <v>0</v>
      </c>
      <c r="K194" s="70" t="str">
        <f>+IFERROR(VLOOKUP(CONCATENATE(A194,$B$10,B194),'3. Resultados'!B:J,8,FALSE),"-")</f>
        <v>-</v>
      </c>
      <c r="L194" s="69" t="str">
        <f>+IFERROR(VLOOKUP(B194,'3. Resultados'!K:L,2,FALSE),"-")</f>
        <v>-</v>
      </c>
      <c r="M194" s="70" t="str">
        <f>+IFERROR(VLOOKUP(CONCATENATE(A194,$B$10,B194),'3. Resultados'!B:J,9,FALSE),"-")</f>
        <v>-</v>
      </c>
      <c r="N194" s="24"/>
      <c r="O194" s="25" t="str">
        <f t="shared" si="3"/>
        <v>Por iniciar</v>
      </c>
      <c r="P194"/>
    </row>
    <row r="195" spans="1:16" ht="14.5">
      <c r="A195" s="18"/>
      <c r="B195" s="57"/>
      <c r="C195" s="57"/>
      <c r="D195" s="57"/>
      <c r="E195" s="57"/>
      <c r="F195" s="57"/>
      <c r="G195" s="57"/>
      <c r="H195" s="62" t="s">
        <v>9</v>
      </c>
      <c r="I195" s="19" t="s">
        <v>366</v>
      </c>
      <c r="J195" s="24">
        <f>+COUNTIFS('3. Resultados'!C:C,'1. Status'!H195,'3. Resultados'!G:G,'1. Status'!I195)</f>
        <v>0</v>
      </c>
      <c r="K195" s="70" t="str">
        <f>+IFERROR(VLOOKUP(CONCATENATE(A195,$B$10,B195),'3. Resultados'!B:J,8,FALSE),"-")</f>
        <v>-</v>
      </c>
      <c r="L195" s="69" t="str">
        <f>+IFERROR(VLOOKUP(B195,'3. Resultados'!K:L,2,FALSE),"-")</f>
        <v>-</v>
      </c>
      <c r="M195" s="70" t="str">
        <f>+IFERROR(VLOOKUP(CONCATENATE(A195,$B$10,B195),'3. Resultados'!B:J,9,FALSE),"-")</f>
        <v>-</v>
      </c>
      <c r="N195" s="24"/>
      <c r="O195" s="25" t="str">
        <f t="shared" si="3"/>
        <v>Por iniciar</v>
      </c>
      <c r="P195"/>
    </row>
    <row r="196" spans="1:16" ht="14.5">
      <c r="A196" s="18"/>
      <c r="B196" s="57"/>
      <c r="C196" s="57"/>
      <c r="D196" s="57"/>
      <c r="E196" s="57"/>
      <c r="F196" s="57"/>
      <c r="G196" s="57"/>
      <c r="H196" s="62" t="s">
        <v>9</v>
      </c>
      <c r="I196" s="19" t="s">
        <v>367</v>
      </c>
      <c r="J196" s="24">
        <f>+COUNTIFS('3. Resultados'!C:C,'1. Status'!H196,'3. Resultados'!G:G,'1. Status'!I196)</f>
        <v>0</v>
      </c>
      <c r="K196" s="70" t="str">
        <f>+IFERROR(VLOOKUP(CONCATENATE(A196,$B$10,B196),'3. Resultados'!B:J,8,FALSE),"-")</f>
        <v>-</v>
      </c>
      <c r="L196" s="69" t="str">
        <f>+IFERROR(VLOOKUP(B196,'3. Resultados'!K:L,2,FALSE),"-")</f>
        <v>-</v>
      </c>
      <c r="M196" s="70" t="str">
        <f>+IFERROR(VLOOKUP(CONCATENATE(A196,$B$10,B196),'3. Resultados'!B:J,9,FALSE),"-")</f>
        <v>-</v>
      </c>
      <c r="N196" s="24"/>
      <c r="O196" s="25" t="str">
        <f t="shared" si="3"/>
        <v>Por iniciar</v>
      </c>
      <c r="P196"/>
    </row>
    <row r="197" spans="1:16" ht="14.5">
      <c r="A197" s="18"/>
      <c r="B197" s="57"/>
      <c r="C197" s="57"/>
      <c r="D197" s="57"/>
      <c r="E197" s="57"/>
      <c r="F197" s="57"/>
      <c r="G197" s="57"/>
      <c r="H197" s="62" t="s">
        <v>9</v>
      </c>
      <c r="I197" s="19" t="s">
        <v>368</v>
      </c>
      <c r="J197" s="24">
        <f>+COUNTIFS('3. Resultados'!C:C,'1. Status'!H197,'3. Resultados'!G:G,'1. Status'!I197)</f>
        <v>0</v>
      </c>
      <c r="K197" s="70" t="str">
        <f>+IFERROR(VLOOKUP(CONCATENATE(A197,$B$10,B197),'3. Resultados'!B:J,8,FALSE),"-")</f>
        <v>-</v>
      </c>
      <c r="L197" s="69" t="str">
        <f>+IFERROR(VLOOKUP(B197,'3. Resultados'!K:L,2,FALSE),"-")</f>
        <v>-</v>
      </c>
      <c r="M197" s="70" t="str">
        <f>+IFERROR(VLOOKUP(CONCATENATE(A197,$B$10,B197),'3. Resultados'!B:J,9,FALSE),"-")</f>
        <v>-</v>
      </c>
      <c r="N197" s="24"/>
      <c r="O197" s="25" t="str">
        <f t="shared" si="3"/>
        <v>Por iniciar</v>
      </c>
      <c r="P197"/>
    </row>
    <row r="198" spans="1:16" ht="14.5">
      <c r="A198" s="18"/>
      <c r="B198" s="57"/>
      <c r="C198" s="57"/>
      <c r="D198" s="57"/>
      <c r="E198" s="57"/>
      <c r="F198" s="57"/>
      <c r="G198" s="57"/>
      <c r="H198" s="62" t="s">
        <v>9</v>
      </c>
      <c r="I198" s="19" t="s">
        <v>369</v>
      </c>
      <c r="J198" s="24">
        <f>+COUNTIFS('3. Resultados'!C:C,'1. Status'!H198,'3. Resultados'!G:G,'1. Status'!I198)</f>
        <v>0</v>
      </c>
      <c r="K198" s="70" t="str">
        <f>+IFERROR(VLOOKUP(CONCATENATE(A198,$B$10,B198),'3. Resultados'!B:J,8,FALSE),"-")</f>
        <v>-</v>
      </c>
      <c r="L198" s="69" t="str">
        <f>+IFERROR(VLOOKUP(B198,'3. Resultados'!K:L,2,FALSE),"-")</f>
        <v>-</v>
      </c>
      <c r="M198" s="70" t="str">
        <f>+IFERROR(VLOOKUP(CONCATENATE(A198,$B$10,B198),'3. Resultados'!B:J,9,FALSE),"-")</f>
        <v>-</v>
      </c>
      <c r="N198" s="24"/>
      <c r="O198" s="25" t="str">
        <f t="shared" si="3"/>
        <v>Por iniciar</v>
      </c>
      <c r="P198"/>
    </row>
    <row r="199" spans="1:16" ht="14.5">
      <c r="A199" s="18"/>
      <c r="B199" s="57"/>
      <c r="C199" s="57"/>
      <c r="D199" s="57"/>
      <c r="E199" s="57"/>
      <c r="F199" s="57"/>
      <c r="G199" s="57"/>
      <c r="H199" s="62" t="s">
        <v>9</v>
      </c>
      <c r="I199" s="19" t="s">
        <v>370</v>
      </c>
      <c r="J199" s="24">
        <f>+COUNTIFS('3. Resultados'!C:C,'1. Status'!H199,'3. Resultados'!G:G,'1. Status'!I199)</f>
        <v>0</v>
      </c>
      <c r="K199" s="70" t="str">
        <f>+IFERROR(VLOOKUP(CONCATENATE(A199,$B$10,B199),'3. Resultados'!B:J,8,FALSE),"-")</f>
        <v>-</v>
      </c>
      <c r="L199" s="69" t="str">
        <f>+IFERROR(VLOOKUP(B199,'3. Resultados'!K:L,2,FALSE),"-")</f>
        <v>-</v>
      </c>
      <c r="M199" s="70" t="str">
        <f>+IFERROR(VLOOKUP(CONCATENATE(A199,$B$10,B199),'3. Resultados'!B:J,9,FALSE),"-")</f>
        <v>-</v>
      </c>
      <c r="N199" s="24"/>
      <c r="O199" s="25" t="str">
        <f t="shared" si="3"/>
        <v>Por iniciar</v>
      </c>
      <c r="P199"/>
    </row>
    <row r="200" spans="1:16" ht="14.5">
      <c r="A200" s="18"/>
      <c r="B200" s="57"/>
      <c r="C200" s="57"/>
      <c r="D200" s="57"/>
      <c r="E200" s="57"/>
      <c r="F200" s="57"/>
      <c r="G200" s="57"/>
      <c r="H200" s="62" t="s">
        <v>9</v>
      </c>
      <c r="I200" s="19" t="s">
        <v>371</v>
      </c>
      <c r="J200" s="24">
        <f>+COUNTIFS('3. Resultados'!C:C,'1. Status'!H200,'3. Resultados'!G:G,'1. Status'!I200)</f>
        <v>0</v>
      </c>
      <c r="K200" s="70" t="str">
        <f>+IFERROR(VLOOKUP(CONCATENATE(A200,$B$10,B200),'3. Resultados'!B:J,8,FALSE),"-")</f>
        <v>-</v>
      </c>
      <c r="L200" s="69" t="str">
        <f>+IFERROR(VLOOKUP(B200,'3. Resultados'!K:L,2,FALSE),"-")</f>
        <v>-</v>
      </c>
      <c r="M200" s="70" t="str">
        <f>+IFERROR(VLOOKUP(CONCATENATE(A200,$B$10,B200),'3. Resultados'!B:J,9,FALSE),"-")</f>
        <v>-</v>
      </c>
      <c r="N200" s="24"/>
      <c r="O200" s="25" t="str">
        <f t="shared" si="3"/>
        <v>Por iniciar</v>
      </c>
      <c r="P200"/>
    </row>
    <row r="201" spans="1:16" ht="14.5">
      <c r="A201" s="18"/>
      <c r="B201" s="57"/>
      <c r="C201" s="57"/>
      <c r="D201" s="57"/>
      <c r="E201" s="57"/>
      <c r="F201" s="57"/>
      <c r="G201" s="57"/>
      <c r="H201" s="62" t="s">
        <v>9</v>
      </c>
      <c r="I201" s="19" t="s">
        <v>372</v>
      </c>
      <c r="J201" s="24">
        <f>+COUNTIFS('3. Resultados'!C:C,'1. Status'!H201,'3. Resultados'!G:G,'1. Status'!I201)</f>
        <v>0</v>
      </c>
      <c r="K201" s="70" t="str">
        <f>+IFERROR(VLOOKUP(CONCATENATE(A201,$B$10,B201),'3. Resultados'!B:J,8,FALSE),"-")</f>
        <v>-</v>
      </c>
      <c r="L201" s="69" t="str">
        <f>+IFERROR(VLOOKUP(B201,'3. Resultados'!K:L,2,FALSE),"-")</f>
        <v>-</v>
      </c>
      <c r="M201" s="70" t="str">
        <f>+IFERROR(VLOOKUP(CONCATENATE(A201,$B$10,B201),'3. Resultados'!B:J,9,FALSE),"-")</f>
        <v>-</v>
      </c>
      <c r="N201" s="24"/>
      <c r="O201" s="25" t="str">
        <f t="shared" si="3"/>
        <v>Por iniciar</v>
      </c>
      <c r="P201"/>
    </row>
    <row r="202" spans="1:16" ht="14.5">
      <c r="A202" s="18"/>
      <c r="B202" s="57"/>
      <c r="C202" s="57"/>
      <c r="D202" s="57"/>
      <c r="E202" s="57"/>
      <c r="F202" s="57"/>
      <c r="G202" s="57"/>
      <c r="H202" s="62" t="s">
        <v>9</v>
      </c>
      <c r="I202" s="19" t="s">
        <v>373</v>
      </c>
      <c r="J202" s="24">
        <f>+COUNTIFS('3. Resultados'!C:C,'1. Status'!H202,'3. Resultados'!G:G,'1. Status'!I202)</f>
        <v>0</v>
      </c>
      <c r="K202" s="70" t="str">
        <f>+IFERROR(VLOOKUP(CONCATENATE(A202,$B$10,B202),'3. Resultados'!B:J,8,FALSE),"-")</f>
        <v>-</v>
      </c>
      <c r="L202" s="69" t="str">
        <f>+IFERROR(VLOOKUP(B202,'3. Resultados'!K:L,2,FALSE),"-")</f>
        <v>-</v>
      </c>
      <c r="M202" s="70" t="str">
        <f>+IFERROR(VLOOKUP(CONCATENATE(A202,$B$10,B202),'3. Resultados'!B:J,9,FALSE),"-")</f>
        <v>-</v>
      </c>
      <c r="N202" s="24"/>
      <c r="O202" s="25" t="str">
        <f t="shared" si="3"/>
        <v>Por iniciar</v>
      </c>
      <c r="P202"/>
    </row>
    <row r="203" spans="1:16" ht="14.5">
      <c r="A203" s="18"/>
      <c r="B203" s="57"/>
      <c r="C203" s="57"/>
      <c r="D203" s="57"/>
      <c r="E203" s="57"/>
      <c r="F203" s="57"/>
      <c r="G203" s="57"/>
      <c r="H203" s="62" t="s">
        <v>9</v>
      </c>
      <c r="I203" s="19" t="s">
        <v>374</v>
      </c>
      <c r="J203" s="24">
        <f>+COUNTIFS('3. Resultados'!C:C,'1. Status'!H203,'3. Resultados'!G:G,'1. Status'!I203)</f>
        <v>0</v>
      </c>
      <c r="K203" s="70" t="str">
        <f>+IFERROR(VLOOKUP(CONCATENATE(A203,$B$10,B203),'3. Resultados'!B:J,8,FALSE),"-")</f>
        <v>-</v>
      </c>
      <c r="L203" s="69" t="str">
        <f>+IFERROR(VLOOKUP(B203,'3. Resultados'!K:L,2,FALSE),"-")</f>
        <v>-</v>
      </c>
      <c r="M203" s="70" t="str">
        <f>+IFERROR(VLOOKUP(CONCATENATE(A203,$B$10,B203),'3. Resultados'!B:J,9,FALSE),"-")</f>
        <v>-</v>
      </c>
      <c r="N203" s="24"/>
      <c r="O203" s="25" t="str">
        <f t="shared" si="3"/>
        <v>Por iniciar</v>
      </c>
      <c r="P203"/>
    </row>
    <row r="204" spans="1:16" ht="14.5">
      <c r="A204" s="18"/>
      <c r="B204" s="57"/>
      <c r="C204" s="57"/>
      <c r="D204" s="57"/>
      <c r="E204" s="57"/>
      <c r="F204" s="57"/>
      <c r="G204" s="57"/>
      <c r="H204" s="62" t="s">
        <v>9</v>
      </c>
      <c r="I204" s="19" t="s">
        <v>375</v>
      </c>
      <c r="J204" s="24">
        <f>+COUNTIFS('3. Resultados'!C:C,'1. Status'!H204,'3. Resultados'!G:G,'1. Status'!I204)</f>
        <v>0</v>
      </c>
      <c r="K204" s="70" t="str">
        <f>+IFERROR(VLOOKUP(CONCATENATE(A204,$B$10,B204),'3. Resultados'!B:J,8,FALSE),"-")</f>
        <v>-</v>
      </c>
      <c r="L204" s="69" t="str">
        <f>+IFERROR(VLOOKUP(B204,'3. Resultados'!K:L,2,FALSE),"-")</f>
        <v>-</v>
      </c>
      <c r="M204" s="70" t="str">
        <f>+IFERROR(VLOOKUP(CONCATENATE(A204,$B$10,B204),'3. Resultados'!B:J,9,FALSE),"-")</f>
        <v>-</v>
      </c>
      <c r="N204" s="24"/>
      <c r="O204" s="25" t="str">
        <f t="shared" ref="O204:O267" si="4">+IF(J204=0,"Por iniciar",IF(OR(K204="-",M204="-"),"Em testes",IF(M204=0,"OK","NOK")))</f>
        <v>Por iniciar</v>
      </c>
      <c r="P204"/>
    </row>
    <row r="205" spans="1:16" ht="14.5">
      <c r="A205" s="18"/>
      <c r="B205" s="57"/>
      <c r="C205" s="57"/>
      <c r="D205" s="57"/>
      <c r="E205" s="57"/>
      <c r="F205" s="57"/>
      <c r="G205" s="57"/>
      <c r="H205" s="62" t="s">
        <v>9</v>
      </c>
      <c r="I205" s="19" t="s">
        <v>376</v>
      </c>
      <c r="J205" s="24">
        <f>+COUNTIFS('3. Resultados'!C:C,'1. Status'!H205,'3. Resultados'!G:G,'1. Status'!I205)</f>
        <v>0</v>
      </c>
      <c r="K205" s="70" t="str">
        <f>+IFERROR(VLOOKUP(CONCATENATE(A205,$B$10,B205),'3. Resultados'!B:J,8,FALSE),"-")</f>
        <v>-</v>
      </c>
      <c r="L205" s="69" t="str">
        <f>+IFERROR(VLOOKUP(B205,'3. Resultados'!K:L,2,FALSE),"-")</f>
        <v>-</v>
      </c>
      <c r="M205" s="70" t="str">
        <f>+IFERROR(VLOOKUP(CONCATENATE(A205,$B$10,B205),'3. Resultados'!B:J,9,FALSE),"-")</f>
        <v>-</v>
      </c>
      <c r="N205" s="24"/>
      <c r="O205" s="25" t="str">
        <f t="shared" si="4"/>
        <v>Por iniciar</v>
      </c>
      <c r="P205"/>
    </row>
    <row r="206" spans="1:16" ht="14.5">
      <c r="A206" s="18"/>
      <c r="B206" s="57"/>
      <c r="C206" s="57"/>
      <c r="D206" s="57"/>
      <c r="E206" s="57"/>
      <c r="F206" s="57"/>
      <c r="G206" s="57"/>
      <c r="H206" s="62" t="s">
        <v>9</v>
      </c>
      <c r="I206" s="19" t="s">
        <v>377</v>
      </c>
      <c r="J206" s="24">
        <f>+COUNTIFS('3. Resultados'!C:C,'1. Status'!H206,'3. Resultados'!G:G,'1. Status'!I206)</f>
        <v>0</v>
      </c>
      <c r="K206" s="70" t="str">
        <f>+IFERROR(VLOOKUP(CONCATENATE(A206,$B$10,B206),'3. Resultados'!B:J,8,FALSE),"-")</f>
        <v>-</v>
      </c>
      <c r="L206" s="69" t="str">
        <f>+IFERROR(VLOOKUP(B206,'3. Resultados'!K:L,2,FALSE),"-")</f>
        <v>-</v>
      </c>
      <c r="M206" s="70" t="str">
        <f>+IFERROR(VLOOKUP(CONCATENATE(A206,$B$10,B206),'3. Resultados'!B:J,9,FALSE),"-")</f>
        <v>-</v>
      </c>
      <c r="N206" s="24"/>
      <c r="O206" s="25" t="str">
        <f t="shared" si="4"/>
        <v>Por iniciar</v>
      </c>
      <c r="P206"/>
    </row>
    <row r="207" spans="1:16" ht="14.5">
      <c r="A207" s="18"/>
      <c r="B207" s="57"/>
      <c r="C207" s="57"/>
      <c r="D207" s="57"/>
      <c r="E207" s="57"/>
      <c r="F207" s="57"/>
      <c r="G207" s="57"/>
      <c r="H207" s="62" t="s">
        <v>9</v>
      </c>
      <c r="I207" s="19" t="s">
        <v>378</v>
      </c>
      <c r="J207" s="24">
        <f>+COUNTIFS('3. Resultados'!C:C,'1. Status'!H207,'3. Resultados'!G:G,'1. Status'!I207)</f>
        <v>0</v>
      </c>
      <c r="K207" s="70" t="str">
        <f>+IFERROR(VLOOKUP(CONCATENATE(A207,$B$10,B207),'3. Resultados'!B:J,8,FALSE),"-")</f>
        <v>-</v>
      </c>
      <c r="L207" s="69" t="str">
        <f>+IFERROR(VLOOKUP(B207,'3. Resultados'!K:L,2,FALSE),"-")</f>
        <v>-</v>
      </c>
      <c r="M207" s="70" t="str">
        <f>+IFERROR(VLOOKUP(CONCATENATE(A207,$B$10,B207),'3. Resultados'!B:J,9,FALSE),"-")</f>
        <v>-</v>
      </c>
      <c r="N207" s="24"/>
      <c r="O207" s="25" t="str">
        <f t="shared" si="4"/>
        <v>Por iniciar</v>
      </c>
      <c r="P207"/>
    </row>
    <row r="208" spans="1:16" ht="14.5">
      <c r="A208" s="18"/>
      <c r="B208" s="57"/>
      <c r="C208" s="57"/>
      <c r="D208" s="57"/>
      <c r="E208" s="57"/>
      <c r="F208" s="57"/>
      <c r="G208" s="57"/>
      <c r="H208" s="62" t="s">
        <v>9</v>
      </c>
      <c r="I208" s="19" t="s">
        <v>379</v>
      </c>
      <c r="J208" s="24">
        <f>+COUNTIFS('3. Resultados'!C:C,'1. Status'!H208,'3. Resultados'!G:G,'1. Status'!I208)</f>
        <v>0</v>
      </c>
      <c r="K208" s="70" t="str">
        <f>+IFERROR(VLOOKUP(CONCATENATE(A208,$B$10,B208),'3. Resultados'!B:J,8,FALSE),"-")</f>
        <v>-</v>
      </c>
      <c r="L208" s="69" t="str">
        <f>+IFERROR(VLOOKUP(B208,'3. Resultados'!K:L,2,FALSE),"-")</f>
        <v>-</v>
      </c>
      <c r="M208" s="70" t="str">
        <f>+IFERROR(VLOOKUP(CONCATENATE(A208,$B$10,B208),'3. Resultados'!B:J,9,FALSE),"-")</f>
        <v>-</v>
      </c>
      <c r="N208" s="24"/>
      <c r="O208" s="25" t="str">
        <f t="shared" si="4"/>
        <v>Por iniciar</v>
      </c>
      <c r="P208"/>
    </row>
    <row r="209" spans="1:16" ht="14.5">
      <c r="A209" s="18"/>
      <c r="B209" s="57"/>
      <c r="C209" s="57"/>
      <c r="D209" s="57"/>
      <c r="E209" s="57"/>
      <c r="F209" s="57"/>
      <c r="G209" s="57"/>
      <c r="H209" s="62" t="s">
        <v>9</v>
      </c>
      <c r="I209" s="19" t="s">
        <v>380</v>
      </c>
      <c r="J209" s="24">
        <f>+COUNTIFS('3. Resultados'!C:C,'1. Status'!H209,'3. Resultados'!G:G,'1. Status'!I209)</f>
        <v>0</v>
      </c>
      <c r="K209" s="70" t="str">
        <f>+IFERROR(VLOOKUP(CONCATENATE(A209,$B$10,B209),'3. Resultados'!B:J,8,FALSE),"-")</f>
        <v>-</v>
      </c>
      <c r="L209" s="69" t="str">
        <f>+IFERROR(VLOOKUP(B209,'3. Resultados'!K:L,2,FALSE),"-")</f>
        <v>-</v>
      </c>
      <c r="M209" s="70" t="str">
        <f>+IFERROR(VLOOKUP(CONCATENATE(A209,$B$10,B209),'3. Resultados'!B:J,9,FALSE),"-")</f>
        <v>-</v>
      </c>
      <c r="N209" s="24"/>
      <c r="O209" s="25" t="str">
        <f t="shared" si="4"/>
        <v>Por iniciar</v>
      </c>
      <c r="P209"/>
    </row>
    <row r="210" spans="1:16" ht="14.5">
      <c r="A210" s="18"/>
      <c r="B210" s="57"/>
      <c r="C210" s="57"/>
      <c r="D210" s="57"/>
      <c r="E210" s="57"/>
      <c r="F210" s="57"/>
      <c r="G210" s="57"/>
      <c r="H210" s="62" t="s">
        <v>9</v>
      </c>
      <c r="I210" s="19" t="s">
        <v>381</v>
      </c>
      <c r="J210" s="24">
        <f>+COUNTIFS('3. Resultados'!C:C,'1. Status'!H210,'3. Resultados'!G:G,'1. Status'!I210)</f>
        <v>0</v>
      </c>
      <c r="K210" s="70" t="str">
        <f>+IFERROR(VLOOKUP(CONCATENATE(A210,$B$10,B210),'3. Resultados'!B:J,8,FALSE),"-")</f>
        <v>-</v>
      </c>
      <c r="L210" s="69" t="str">
        <f>+IFERROR(VLOOKUP(B210,'3. Resultados'!K:L,2,FALSE),"-")</f>
        <v>-</v>
      </c>
      <c r="M210" s="70" t="str">
        <f>+IFERROR(VLOOKUP(CONCATENATE(A210,$B$10,B210),'3. Resultados'!B:J,9,FALSE),"-")</f>
        <v>-</v>
      </c>
      <c r="N210" s="24"/>
      <c r="O210" s="25" t="str">
        <f t="shared" si="4"/>
        <v>Por iniciar</v>
      </c>
      <c r="P210"/>
    </row>
    <row r="211" spans="1:16" ht="14.5">
      <c r="A211" s="18"/>
      <c r="B211" s="57"/>
      <c r="C211" s="57"/>
      <c r="D211" s="57"/>
      <c r="E211" s="57"/>
      <c r="F211" s="57"/>
      <c r="G211" s="57"/>
      <c r="H211" s="62" t="s">
        <v>9</v>
      </c>
      <c r="I211" s="19" t="s">
        <v>382</v>
      </c>
      <c r="J211" s="24">
        <f>+COUNTIFS('3. Resultados'!C:C,'1. Status'!H211,'3. Resultados'!G:G,'1. Status'!I211)</f>
        <v>0</v>
      </c>
      <c r="K211" s="70" t="str">
        <f>+IFERROR(VLOOKUP(CONCATENATE(A211,$B$10,B211),'3. Resultados'!B:J,8,FALSE),"-")</f>
        <v>-</v>
      </c>
      <c r="L211" s="69" t="str">
        <f>+IFERROR(VLOOKUP(B211,'3. Resultados'!K:L,2,FALSE),"-")</f>
        <v>-</v>
      </c>
      <c r="M211" s="70" t="str">
        <f>+IFERROR(VLOOKUP(CONCATENATE(A211,$B$10,B211),'3. Resultados'!B:J,9,FALSE),"-")</f>
        <v>-</v>
      </c>
      <c r="N211" s="24"/>
      <c r="O211" s="25" t="str">
        <f t="shared" si="4"/>
        <v>Por iniciar</v>
      </c>
      <c r="P211"/>
    </row>
    <row r="212" spans="1:16" ht="14.5">
      <c r="A212" s="18"/>
      <c r="B212" s="57"/>
      <c r="C212" s="57"/>
      <c r="D212" s="57"/>
      <c r="E212" s="57"/>
      <c r="F212" s="57"/>
      <c r="G212" s="57"/>
      <c r="H212" s="62" t="s">
        <v>9</v>
      </c>
      <c r="I212" s="19" t="s">
        <v>383</v>
      </c>
      <c r="J212" s="24">
        <f>+COUNTIFS('3. Resultados'!C:C,'1. Status'!H212,'3. Resultados'!G:G,'1. Status'!I212)</f>
        <v>0</v>
      </c>
      <c r="K212" s="70" t="str">
        <f>+IFERROR(VLOOKUP(CONCATENATE(A212,$B$10,B212),'3. Resultados'!B:J,8,FALSE),"-")</f>
        <v>-</v>
      </c>
      <c r="L212" s="69" t="str">
        <f>+IFERROR(VLOOKUP(B212,'3. Resultados'!K:L,2,FALSE),"-")</f>
        <v>-</v>
      </c>
      <c r="M212" s="70" t="str">
        <f>+IFERROR(VLOOKUP(CONCATENATE(A212,$B$10,B212),'3. Resultados'!B:J,9,FALSE),"-")</f>
        <v>-</v>
      </c>
      <c r="N212" s="24"/>
      <c r="O212" s="25" t="str">
        <f t="shared" si="4"/>
        <v>Por iniciar</v>
      </c>
      <c r="P212"/>
    </row>
    <row r="213" spans="1:16" ht="14.5">
      <c r="A213" s="18"/>
      <c r="B213" s="57"/>
      <c r="C213" s="57"/>
      <c r="D213" s="57"/>
      <c r="E213" s="57"/>
      <c r="F213" s="57"/>
      <c r="G213" s="57"/>
      <c r="H213" s="62" t="s">
        <v>9</v>
      </c>
      <c r="I213" s="19" t="s">
        <v>384</v>
      </c>
      <c r="J213" s="24">
        <f>+COUNTIFS('3. Resultados'!C:C,'1. Status'!H213,'3. Resultados'!G:G,'1. Status'!I213)</f>
        <v>0</v>
      </c>
      <c r="K213" s="70" t="str">
        <f>+IFERROR(VLOOKUP(CONCATENATE(A213,$B$10,B213),'3. Resultados'!B:J,8,FALSE),"-")</f>
        <v>-</v>
      </c>
      <c r="L213" s="69" t="str">
        <f>+IFERROR(VLOOKUP(B213,'3. Resultados'!K:L,2,FALSE),"-")</f>
        <v>-</v>
      </c>
      <c r="M213" s="70" t="str">
        <f>+IFERROR(VLOOKUP(CONCATENATE(A213,$B$10,B213),'3. Resultados'!B:J,9,FALSE),"-")</f>
        <v>-</v>
      </c>
      <c r="N213" s="24"/>
      <c r="O213" s="25" t="str">
        <f t="shared" si="4"/>
        <v>Por iniciar</v>
      </c>
      <c r="P213"/>
    </row>
    <row r="214" spans="1:16" ht="14.5">
      <c r="A214" s="18"/>
      <c r="B214" s="57"/>
      <c r="C214" s="57"/>
      <c r="D214" s="57"/>
      <c r="E214" s="57"/>
      <c r="F214" s="57"/>
      <c r="G214" s="57"/>
      <c r="H214" s="62" t="s">
        <v>9</v>
      </c>
      <c r="I214" s="19" t="s">
        <v>385</v>
      </c>
      <c r="J214" s="24">
        <f>+COUNTIFS('3. Resultados'!C:C,'1. Status'!H214,'3. Resultados'!G:G,'1. Status'!I214)</f>
        <v>0</v>
      </c>
      <c r="K214" s="70" t="str">
        <f>+IFERROR(VLOOKUP(CONCATENATE(A214,$B$10,B214),'3. Resultados'!B:J,8,FALSE),"-")</f>
        <v>-</v>
      </c>
      <c r="L214" s="69" t="str">
        <f>+IFERROR(VLOOKUP(B214,'3. Resultados'!K:L,2,FALSE),"-")</f>
        <v>-</v>
      </c>
      <c r="M214" s="70" t="str">
        <f>+IFERROR(VLOOKUP(CONCATENATE(A214,$B$10,B214),'3. Resultados'!B:J,9,FALSE),"-")</f>
        <v>-</v>
      </c>
      <c r="N214" s="24"/>
      <c r="O214" s="25" t="str">
        <f t="shared" si="4"/>
        <v>Por iniciar</v>
      </c>
      <c r="P214"/>
    </row>
    <row r="215" spans="1:16" ht="14.5">
      <c r="A215" s="18"/>
      <c r="B215" s="57"/>
      <c r="C215" s="57"/>
      <c r="D215" s="57"/>
      <c r="E215" s="57"/>
      <c r="F215" s="57"/>
      <c r="G215" s="57"/>
      <c r="H215" s="62" t="s">
        <v>9</v>
      </c>
      <c r="I215" s="19" t="s">
        <v>386</v>
      </c>
      <c r="J215" s="24">
        <f>+COUNTIFS('3. Resultados'!C:C,'1. Status'!H215,'3. Resultados'!G:G,'1. Status'!I215)</f>
        <v>0</v>
      </c>
      <c r="K215" s="70" t="str">
        <f>+IFERROR(VLOOKUP(CONCATENATE(A215,$B$10,B215),'3. Resultados'!B:J,8,FALSE),"-")</f>
        <v>-</v>
      </c>
      <c r="L215" s="69" t="str">
        <f>+IFERROR(VLOOKUP(B215,'3. Resultados'!K:L,2,FALSE),"-")</f>
        <v>-</v>
      </c>
      <c r="M215" s="70" t="str">
        <f>+IFERROR(VLOOKUP(CONCATENATE(A215,$B$10,B215),'3. Resultados'!B:J,9,FALSE),"-")</f>
        <v>-</v>
      </c>
      <c r="N215" s="24"/>
      <c r="O215" s="25" t="str">
        <f t="shared" si="4"/>
        <v>Por iniciar</v>
      </c>
      <c r="P215"/>
    </row>
    <row r="216" spans="1:16" ht="14.5">
      <c r="A216" s="18"/>
      <c r="B216" s="57"/>
      <c r="C216" s="57"/>
      <c r="D216" s="57"/>
      <c r="E216" s="57"/>
      <c r="F216" s="57"/>
      <c r="G216" s="57"/>
      <c r="H216" s="62" t="s">
        <v>9</v>
      </c>
      <c r="I216" s="19" t="s">
        <v>387</v>
      </c>
      <c r="J216" s="24">
        <f>+COUNTIFS('3. Resultados'!C:C,'1. Status'!H216,'3. Resultados'!G:G,'1. Status'!I216)</f>
        <v>0</v>
      </c>
      <c r="K216" s="70" t="str">
        <f>+IFERROR(VLOOKUP(CONCATENATE(A216,$B$10,B216),'3. Resultados'!B:J,8,FALSE),"-")</f>
        <v>-</v>
      </c>
      <c r="L216" s="69" t="str">
        <f>+IFERROR(VLOOKUP(B216,'3. Resultados'!K:L,2,FALSE),"-")</f>
        <v>-</v>
      </c>
      <c r="M216" s="70" t="str">
        <f>+IFERROR(VLOOKUP(CONCATENATE(A216,$B$10,B216),'3. Resultados'!B:J,9,FALSE),"-")</f>
        <v>-</v>
      </c>
      <c r="N216" s="24"/>
      <c r="O216" s="25" t="str">
        <f t="shared" si="4"/>
        <v>Por iniciar</v>
      </c>
      <c r="P216"/>
    </row>
    <row r="217" spans="1:16" ht="14.5">
      <c r="A217" s="18"/>
      <c r="B217" s="57"/>
      <c r="C217" s="57"/>
      <c r="D217" s="57"/>
      <c r="E217" s="57"/>
      <c r="F217" s="57"/>
      <c r="G217" s="57"/>
      <c r="H217" s="62" t="s">
        <v>9</v>
      </c>
      <c r="I217" s="19" t="s">
        <v>388</v>
      </c>
      <c r="J217" s="24">
        <f>+COUNTIFS('3. Resultados'!C:C,'1. Status'!H217,'3. Resultados'!G:G,'1. Status'!I217)</f>
        <v>0</v>
      </c>
      <c r="K217" s="70" t="str">
        <f>+IFERROR(VLOOKUP(CONCATENATE(A217,$B$10,B217),'3. Resultados'!B:J,8,FALSE),"-")</f>
        <v>-</v>
      </c>
      <c r="L217" s="69" t="str">
        <f>+IFERROR(VLOOKUP(B217,'3. Resultados'!K:L,2,FALSE),"-")</f>
        <v>-</v>
      </c>
      <c r="M217" s="70" t="str">
        <f>+IFERROR(VLOOKUP(CONCATENATE(A217,$B$10,B217),'3. Resultados'!B:J,9,FALSE),"-")</f>
        <v>-</v>
      </c>
      <c r="N217" s="24"/>
      <c r="O217" s="25" t="str">
        <f t="shared" si="4"/>
        <v>Por iniciar</v>
      </c>
      <c r="P217"/>
    </row>
    <row r="218" spans="1:16" ht="14.5">
      <c r="A218" s="18"/>
      <c r="B218" s="57"/>
      <c r="C218" s="57"/>
      <c r="D218" s="57"/>
      <c r="E218" s="57"/>
      <c r="F218" s="57"/>
      <c r="G218" s="57"/>
      <c r="H218" s="62" t="s">
        <v>9</v>
      </c>
      <c r="I218" s="19" t="s">
        <v>389</v>
      </c>
      <c r="J218" s="24">
        <f>+COUNTIFS('3. Resultados'!C:C,'1. Status'!H218,'3. Resultados'!G:G,'1. Status'!I218)</f>
        <v>0</v>
      </c>
      <c r="K218" s="70" t="str">
        <f>+IFERROR(VLOOKUP(CONCATENATE(A218,$B$10,B218),'3. Resultados'!B:J,8,FALSE),"-")</f>
        <v>-</v>
      </c>
      <c r="L218" s="69" t="str">
        <f>+IFERROR(VLOOKUP(B218,'3. Resultados'!K:L,2,FALSE),"-")</f>
        <v>-</v>
      </c>
      <c r="M218" s="70" t="str">
        <f>+IFERROR(VLOOKUP(CONCATENATE(A218,$B$10,B218),'3. Resultados'!B:J,9,FALSE),"-")</f>
        <v>-</v>
      </c>
      <c r="N218" s="24"/>
      <c r="O218" s="25" t="str">
        <f t="shared" si="4"/>
        <v>Por iniciar</v>
      </c>
      <c r="P218"/>
    </row>
    <row r="219" spans="1:16" ht="14.5">
      <c r="A219" s="18"/>
      <c r="B219" s="57"/>
      <c r="C219" s="57"/>
      <c r="D219" s="57"/>
      <c r="E219" s="57"/>
      <c r="F219" s="57"/>
      <c r="G219" s="57"/>
      <c r="H219" s="62" t="s">
        <v>9</v>
      </c>
      <c r="I219" s="19" t="s">
        <v>390</v>
      </c>
      <c r="J219" s="24">
        <f>+COUNTIFS('3. Resultados'!C:C,'1. Status'!H219,'3. Resultados'!G:G,'1. Status'!I219)</f>
        <v>0</v>
      </c>
      <c r="K219" s="70" t="str">
        <f>+IFERROR(VLOOKUP(CONCATENATE(A219,$B$10,B219),'3. Resultados'!B:J,8,FALSE),"-")</f>
        <v>-</v>
      </c>
      <c r="L219" s="69" t="str">
        <f>+IFERROR(VLOOKUP(B219,'3. Resultados'!K:L,2,FALSE),"-")</f>
        <v>-</v>
      </c>
      <c r="M219" s="70" t="str">
        <f>+IFERROR(VLOOKUP(CONCATENATE(A219,$B$10,B219),'3. Resultados'!B:J,9,FALSE),"-")</f>
        <v>-</v>
      </c>
      <c r="N219" s="24"/>
      <c r="O219" s="25" t="str">
        <f t="shared" si="4"/>
        <v>Por iniciar</v>
      </c>
      <c r="P219"/>
    </row>
    <row r="220" spans="1:16" ht="14.5">
      <c r="A220" s="18"/>
      <c r="B220" s="57"/>
      <c r="C220" s="57"/>
      <c r="D220" s="57"/>
      <c r="E220" s="57"/>
      <c r="F220" s="57"/>
      <c r="G220" s="57"/>
      <c r="H220" s="62" t="s">
        <v>9</v>
      </c>
      <c r="I220" s="19" t="s">
        <v>391</v>
      </c>
      <c r="J220" s="24">
        <f>+COUNTIFS('3. Resultados'!C:C,'1. Status'!H220,'3. Resultados'!G:G,'1. Status'!I220)</f>
        <v>0</v>
      </c>
      <c r="K220" s="70" t="str">
        <f>+IFERROR(VLOOKUP(CONCATENATE(A220,$B$10,B220),'3. Resultados'!B:J,8,FALSE),"-")</f>
        <v>-</v>
      </c>
      <c r="L220" s="69" t="str">
        <f>+IFERROR(VLOOKUP(B220,'3. Resultados'!K:L,2,FALSE),"-")</f>
        <v>-</v>
      </c>
      <c r="M220" s="70" t="str">
        <f>+IFERROR(VLOOKUP(CONCATENATE(A220,$B$10,B220),'3. Resultados'!B:J,9,FALSE),"-")</f>
        <v>-</v>
      </c>
      <c r="N220" s="24"/>
      <c r="O220" s="25" t="str">
        <f t="shared" si="4"/>
        <v>Por iniciar</v>
      </c>
      <c r="P220"/>
    </row>
    <row r="221" spans="1:16" ht="14.5">
      <c r="A221" s="18"/>
      <c r="B221" s="57"/>
      <c r="C221" s="57"/>
      <c r="D221" s="57"/>
      <c r="E221" s="57"/>
      <c r="F221" s="57"/>
      <c r="G221" s="57"/>
      <c r="H221" s="62" t="s">
        <v>9</v>
      </c>
      <c r="I221" s="19" t="s">
        <v>392</v>
      </c>
      <c r="J221" s="24">
        <f>+COUNTIFS('3. Resultados'!C:C,'1. Status'!H221,'3. Resultados'!G:G,'1. Status'!I221)</f>
        <v>0</v>
      </c>
      <c r="K221" s="70" t="str">
        <f>+IFERROR(VLOOKUP(CONCATENATE(A221,$B$10,B221),'3. Resultados'!B:J,8,FALSE),"-")</f>
        <v>-</v>
      </c>
      <c r="L221" s="69" t="str">
        <f>+IFERROR(VLOOKUP(B221,'3. Resultados'!K:L,2,FALSE),"-")</f>
        <v>-</v>
      </c>
      <c r="M221" s="70" t="str">
        <f>+IFERROR(VLOOKUP(CONCATENATE(A221,$B$10,B221),'3. Resultados'!B:J,9,FALSE),"-")</f>
        <v>-</v>
      </c>
      <c r="N221" s="24"/>
      <c r="O221" s="25" t="str">
        <f t="shared" si="4"/>
        <v>Por iniciar</v>
      </c>
      <c r="P221"/>
    </row>
    <row r="222" spans="1:16" ht="14.5">
      <c r="A222" s="18"/>
      <c r="B222" s="57"/>
      <c r="C222" s="57"/>
      <c r="D222" s="57"/>
      <c r="E222" s="57"/>
      <c r="F222" s="57"/>
      <c r="G222" s="57"/>
      <c r="H222" s="62" t="s">
        <v>9</v>
      </c>
      <c r="I222" s="19" t="s">
        <v>109</v>
      </c>
      <c r="J222" s="24">
        <f>+COUNTIFS('3. Resultados'!C:C,'1. Status'!H222,'3. Resultados'!G:G,'1. Status'!I222)</f>
        <v>0</v>
      </c>
      <c r="K222" s="70" t="str">
        <f>+IFERROR(VLOOKUP(CONCATENATE(A222,$B$10,B222),'3. Resultados'!B:J,8,FALSE),"-")</f>
        <v>-</v>
      </c>
      <c r="L222" s="69" t="str">
        <f>+IFERROR(VLOOKUP(B222,'3. Resultados'!K:L,2,FALSE),"-")</f>
        <v>-</v>
      </c>
      <c r="M222" s="70" t="str">
        <f>+IFERROR(VLOOKUP(CONCATENATE(A222,$B$10,B222),'3. Resultados'!B:J,9,FALSE),"-")</f>
        <v>-</v>
      </c>
      <c r="N222" s="24"/>
      <c r="O222" s="25" t="str">
        <f t="shared" si="4"/>
        <v>Por iniciar</v>
      </c>
      <c r="P222"/>
    </row>
    <row r="223" spans="1:16" ht="14.5">
      <c r="A223" s="18"/>
      <c r="B223" s="57"/>
      <c r="C223" s="57"/>
      <c r="D223" s="57"/>
      <c r="E223" s="57"/>
      <c r="F223" s="57"/>
      <c r="G223" s="57"/>
      <c r="H223" s="62" t="s">
        <v>9</v>
      </c>
      <c r="I223" s="19" t="s">
        <v>145</v>
      </c>
      <c r="J223" s="24">
        <f>+COUNTIFS('3. Resultados'!C:C,'1. Status'!H223,'3. Resultados'!G:G,'1. Status'!I223)</f>
        <v>0</v>
      </c>
      <c r="K223" s="70" t="str">
        <f>+IFERROR(VLOOKUP(CONCATENATE(A223,$B$10,B223),'3. Resultados'!B:J,8,FALSE),"-")</f>
        <v>-</v>
      </c>
      <c r="L223" s="69" t="str">
        <f>+IFERROR(VLOOKUP(B223,'3. Resultados'!K:L,2,FALSE),"-")</f>
        <v>-</v>
      </c>
      <c r="M223" s="70" t="str">
        <f>+IFERROR(VLOOKUP(CONCATENATE(A223,$B$10,B223),'3. Resultados'!B:J,9,FALSE),"-")</f>
        <v>-</v>
      </c>
      <c r="N223" s="24"/>
      <c r="O223" s="25" t="str">
        <f t="shared" si="4"/>
        <v>Por iniciar</v>
      </c>
      <c r="P223"/>
    </row>
    <row r="224" spans="1:16" ht="14.5">
      <c r="A224" s="18"/>
      <c r="B224" s="57"/>
      <c r="C224" s="57"/>
      <c r="D224" s="57"/>
      <c r="E224" s="57"/>
      <c r="F224" s="57"/>
      <c r="G224" s="57"/>
      <c r="H224" s="62" t="s">
        <v>9</v>
      </c>
      <c r="I224" s="19" t="s">
        <v>393</v>
      </c>
      <c r="J224" s="24">
        <f>+COUNTIFS('3. Resultados'!C:C,'1. Status'!H224,'3. Resultados'!G:G,'1. Status'!I224)</f>
        <v>0</v>
      </c>
      <c r="K224" s="70" t="str">
        <f>+IFERROR(VLOOKUP(CONCATENATE(A224,$B$10,B224),'3. Resultados'!B:J,8,FALSE),"-")</f>
        <v>-</v>
      </c>
      <c r="L224" s="69" t="str">
        <f>+IFERROR(VLOOKUP(B224,'3. Resultados'!K:L,2,FALSE),"-")</f>
        <v>-</v>
      </c>
      <c r="M224" s="70" t="str">
        <f>+IFERROR(VLOOKUP(CONCATENATE(A224,$B$10,B224),'3. Resultados'!B:J,9,FALSE),"-")</f>
        <v>-</v>
      </c>
      <c r="N224" s="24"/>
      <c r="O224" s="25" t="str">
        <f t="shared" si="4"/>
        <v>Por iniciar</v>
      </c>
      <c r="P224"/>
    </row>
    <row r="225" spans="1:16" ht="14.5">
      <c r="A225" s="18"/>
      <c r="B225" s="57"/>
      <c r="C225" s="57"/>
      <c r="D225" s="57"/>
      <c r="E225" s="57"/>
      <c r="F225" s="57"/>
      <c r="G225" s="57"/>
      <c r="H225" s="62" t="s">
        <v>9</v>
      </c>
      <c r="I225" s="19" t="s">
        <v>394</v>
      </c>
      <c r="J225" s="24">
        <f>+COUNTIFS('3. Resultados'!C:C,'1. Status'!H225,'3. Resultados'!G:G,'1. Status'!I225)</f>
        <v>0</v>
      </c>
      <c r="K225" s="70" t="str">
        <f>+IFERROR(VLOOKUP(CONCATENATE(A225,$B$10,B225),'3. Resultados'!B:J,8,FALSE),"-")</f>
        <v>-</v>
      </c>
      <c r="L225" s="69" t="str">
        <f>+IFERROR(VLOOKUP(B225,'3. Resultados'!K:L,2,FALSE),"-")</f>
        <v>-</v>
      </c>
      <c r="M225" s="70" t="str">
        <f>+IFERROR(VLOOKUP(CONCATENATE(A225,$B$10,B225),'3. Resultados'!B:J,9,FALSE),"-")</f>
        <v>-</v>
      </c>
      <c r="N225" s="24"/>
      <c r="O225" s="25" t="str">
        <f t="shared" si="4"/>
        <v>Por iniciar</v>
      </c>
      <c r="P225"/>
    </row>
    <row r="226" spans="1:16" ht="14.5">
      <c r="A226" s="18"/>
      <c r="B226" s="57"/>
      <c r="C226" s="57"/>
      <c r="D226" s="57"/>
      <c r="E226" s="57"/>
      <c r="F226" s="57"/>
      <c r="G226" s="57"/>
      <c r="H226" s="62" t="s">
        <v>9</v>
      </c>
      <c r="I226" s="19" t="s">
        <v>395</v>
      </c>
      <c r="J226" s="24">
        <f>+COUNTIFS('3. Resultados'!C:C,'1. Status'!H226,'3. Resultados'!G:G,'1. Status'!I226)</f>
        <v>0</v>
      </c>
      <c r="K226" s="70" t="str">
        <f>+IFERROR(VLOOKUP(CONCATENATE(A226,$B$10,B226),'3. Resultados'!B:J,8,FALSE),"-")</f>
        <v>-</v>
      </c>
      <c r="L226" s="69" t="str">
        <f>+IFERROR(VLOOKUP(B226,'3. Resultados'!K:L,2,FALSE),"-")</f>
        <v>-</v>
      </c>
      <c r="M226" s="70" t="str">
        <f>+IFERROR(VLOOKUP(CONCATENATE(A226,$B$10,B226),'3. Resultados'!B:J,9,FALSE),"-")</f>
        <v>-</v>
      </c>
      <c r="N226" s="24"/>
      <c r="O226" s="25" t="str">
        <f t="shared" si="4"/>
        <v>Por iniciar</v>
      </c>
      <c r="P226"/>
    </row>
    <row r="227" spans="1:16" ht="14.5">
      <c r="A227" s="18"/>
      <c r="B227" s="57"/>
      <c r="C227" s="57"/>
      <c r="D227" s="57"/>
      <c r="E227" s="57"/>
      <c r="F227" s="57"/>
      <c r="G227" s="57"/>
      <c r="H227" s="62" t="s">
        <v>9</v>
      </c>
      <c r="I227" s="19" t="s">
        <v>146</v>
      </c>
      <c r="J227" s="24">
        <f>+COUNTIFS('3. Resultados'!C:C,'1. Status'!H227,'3. Resultados'!G:G,'1. Status'!I227)</f>
        <v>0</v>
      </c>
      <c r="K227" s="70" t="str">
        <f>+IFERROR(VLOOKUP(CONCATENATE(A227,$B$10,B227),'3. Resultados'!B:J,8,FALSE),"-")</f>
        <v>-</v>
      </c>
      <c r="L227" s="69" t="str">
        <f>+IFERROR(VLOOKUP(B227,'3. Resultados'!K:L,2,FALSE),"-")</f>
        <v>-</v>
      </c>
      <c r="M227" s="70" t="str">
        <f>+IFERROR(VLOOKUP(CONCATENATE(A227,$B$10,B227),'3. Resultados'!B:J,9,FALSE),"-")</f>
        <v>-</v>
      </c>
      <c r="N227" s="24"/>
      <c r="O227" s="25" t="str">
        <f t="shared" si="4"/>
        <v>Por iniciar</v>
      </c>
      <c r="P227"/>
    </row>
    <row r="228" spans="1:16" ht="14.5">
      <c r="A228" s="18"/>
      <c r="B228" s="57"/>
      <c r="C228" s="57"/>
      <c r="D228" s="57"/>
      <c r="E228" s="57"/>
      <c r="F228" s="57"/>
      <c r="G228" s="57"/>
      <c r="H228" s="62" t="s">
        <v>9</v>
      </c>
      <c r="I228" s="19" t="s">
        <v>396</v>
      </c>
      <c r="J228" s="24">
        <f>+COUNTIFS('3. Resultados'!C:C,'1. Status'!H228,'3. Resultados'!G:G,'1. Status'!I228)</f>
        <v>0</v>
      </c>
      <c r="K228" s="70" t="str">
        <f>+IFERROR(VLOOKUP(CONCATENATE(A228,$B$10,B228),'3. Resultados'!B:J,8,FALSE),"-")</f>
        <v>-</v>
      </c>
      <c r="L228" s="69" t="str">
        <f>+IFERROR(VLOOKUP(B228,'3. Resultados'!K:L,2,FALSE),"-")</f>
        <v>-</v>
      </c>
      <c r="M228" s="70" t="str">
        <f>+IFERROR(VLOOKUP(CONCATENATE(A228,$B$10,B228),'3. Resultados'!B:J,9,FALSE),"-")</f>
        <v>-</v>
      </c>
      <c r="N228" s="24"/>
      <c r="O228" s="25" t="str">
        <f t="shared" si="4"/>
        <v>Por iniciar</v>
      </c>
      <c r="P228"/>
    </row>
    <row r="229" spans="1:16" ht="14.5">
      <c r="A229" s="18"/>
      <c r="B229" s="57"/>
      <c r="C229" s="57"/>
      <c r="D229" s="57"/>
      <c r="E229" s="57"/>
      <c r="F229" s="57"/>
      <c r="G229" s="57"/>
      <c r="H229" s="62" t="s">
        <v>9</v>
      </c>
      <c r="I229" s="19" t="s">
        <v>397</v>
      </c>
      <c r="J229" s="24">
        <f>+COUNTIFS('3. Resultados'!C:C,'1. Status'!H229,'3. Resultados'!G:G,'1. Status'!I229)</f>
        <v>0</v>
      </c>
      <c r="K229" s="70" t="str">
        <f>+IFERROR(VLOOKUP(CONCATENATE(A229,$B$10,B229),'3. Resultados'!B:J,8,FALSE),"-")</f>
        <v>-</v>
      </c>
      <c r="L229" s="69" t="str">
        <f>+IFERROR(VLOOKUP(B229,'3. Resultados'!K:L,2,FALSE),"-")</f>
        <v>-</v>
      </c>
      <c r="M229" s="70" t="str">
        <f>+IFERROR(VLOOKUP(CONCATENATE(A229,$B$10,B229),'3. Resultados'!B:J,9,FALSE),"-")</f>
        <v>-</v>
      </c>
      <c r="N229" s="24"/>
      <c r="O229" s="25" t="str">
        <f t="shared" si="4"/>
        <v>Por iniciar</v>
      </c>
      <c r="P229"/>
    </row>
    <row r="230" spans="1:16" ht="14.5">
      <c r="A230" s="18"/>
      <c r="B230" s="57"/>
      <c r="C230" s="57"/>
      <c r="D230" s="57"/>
      <c r="E230" s="57"/>
      <c r="F230" s="57"/>
      <c r="G230" s="57"/>
      <c r="H230" s="62" t="s">
        <v>9</v>
      </c>
      <c r="I230" s="19" t="s">
        <v>398</v>
      </c>
      <c r="J230" s="24">
        <f>+COUNTIFS('3. Resultados'!C:C,'1. Status'!H230,'3. Resultados'!G:G,'1. Status'!I230)</f>
        <v>0</v>
      </c>
      <c r="K230" s="70" t="str">
        <f>+IFERROR(VLOOKUP(CONCATENATE(A230,$B$10,B230),'3. Resultados'!B:J,8,FALSE),"-")</f>
        <v>-</v>
      </c>
      <c r="L230" s="69" t="str">
        <f>+IFERROR(VLOOKUP(B230,'3. Resultados'!K:L,2,FALSE),"-")</f>
        <v>-</v>
      </c>
      <c r="M230" s="70" t="str">
        <f>+IFERROR(VLOOKUP(CONCATENATE(A230,$B$10,B230),'3. Resultados'!B:J,9,FALSE),"-")</f>
        <v>-</v>
      </c>
      <c r="N230" s="24"/>
      <c r="O230" s="25" t="str">
        <f t="shared" si="4"/>
        <v>Por iniciar</v>
      </c>
      <c r="P230"/>
    </row>
    <row r="231" spans="1:16" ht="14.5">
      <c r="A231" s="18"/>
      <c r="B231" s="57"/>
      <c r="C231" s="57"/>
      <c r="D231" s="57"/>
      <c r="E231" s="57"/>
      <c r="F231" s="57"/>
      <c r="G231" s="57"/>
      <c r="H231" s="62" t="s">
        <v>9</v>
      </c>
      <c r="I231" s="19" t="s">
        <v>399</v>
      </c>
      <c r="J231" s="24">
        <f>+COUNTIFS('3. Resultados'!C:C,'1. Status'!H231,'3. Resultados'!G:G,'1. Status'!I231)</f>
        <v>0</v>
      </c>
      <c r="K231" s="70" t="str">
        <f>+IFERROR(VLOOKUP(CONCATENATE(A231,$B$10,B231),'3. Resultados'!B:J,8,FALSE),"-")</f>
        <v>-</v>
      </c>
      <c r="L231" s="69" t="str">
        <f>+IFERROR(VLOOKUP(B231,'3. Resultados'!K:L,2,FALSE),"-")</f>
        <v>-</v>
      </c>
      <c r="M231" s="70" t="str">
        <f>+IFERROR(VLOOKUP(CONCATENATE(A231,$B$10,B231),'3. Resultados'!B:J,9,FALSE),"-")</f>
        <v>-</v>
      </c>
      <c r="N231" s="24"/>
      <c r="O231" s="25" t="str">
        <f t="shared" si="4"/>
        <v>Por iniciar</v>
      </c>
      <c r="P231"/>
    </row>
    <row r="232" spans="1:16" ht="14.5">
      <c r="A232" s="18"/>
      <c r="B232" s="57"/>
      <c r="C232" s="57"/>
      <c r="D232" s="57"/>
      <c r="E232" s="57"/>
      <c r="F232" s="57"/>
      <c r="G232" s="57"/>
      <c r="H232" s="62" t="s">
        <v>9</v>
      </c>
      <c r="I232" s="19" t="s">
        <v>400</v>
      </c>
      <c r="J232" s="24">
        <f>+COUNTIFS('3. Resultados'!C:C,'1. Status'!H232,'3. Resultados'!G:G,'1. Status'!I232)</f>
        <v>0</v>
      </c>
      <c r="K232" s="70" t="str">
        <f>+IFERROR(VLOOKUP(CONCATENATE(A232,$B$10,B232),'3. Resultados'!B:J,8,FALSE),"-")</f>
        <v>-</v>
      </c>
      <c r="L232" s="69" t="str">
        <f>+IFERROR(VLOOKUP(B232,'3. Resultados'!K:L,2,FALSE),"-")</f>
        <v>-</v>
      </c>
      <c r="M232" s="70" t="str">
        <f>+IFERROR(VLOOKUP(CONCATENATE(A232,$B$10,B232),'3. Resultados'!B:J,9,FALSE),"-")</f>
        <v>-</v>
      </c>
      <c r="N232" s="24"/>
      <c r="O232" s="25" t="str">
        <f t="shared" si="4"/>
        <v>Por iniciar</v>
      </c>
      <c r="P232"/>
    </row>
    <row r="233" spans="1:16" ht="14.5">
      <c r="A233" s="18"/>
      <c r="B233" s="57"/>
      <c r="C233" s="57"/>
      <c r="D233" s="57"/>
      <c r="E233" s="57"/>
      <c r="F233" s="57"/>
      <c r="G233" s="57"/>
      <c r="H233" s="62" t="s">
        <v>9</v>
      </c>
      <c r="I233" s="19" t="s">
        <v>401</v>
      </c>
      <c r="J233" s="24">
        <f>+COUNTIFS('3. Resultados'!C:C,'1. Status'!H233,'3. Resultados'!G:G,'1. Status'!I233)</f>
        <v>0</v>
      </c>
      <c r="K233" s="70" t="str">
        <f>+IFERROR(VLOOKUP(CONCATENATE(A233,$B$10,B233),'3. Resultados'!B:J,8,FALSE),"-")</f>
        <v>-</v>
      </c>
      <c r="L233" s="69" t="str">
        <f>+IFERROR(VLOOKUP(B233,'3. Resultados'!K:L,2,FALSE),"-")</f>
        <v>-</v>
      </c>
      <c r="M233" s="70" t="str">
        <f>+IFERROR(VLOOKUP(CONCATENATE(A233,$B$10,B233),'3. Resultados'!B:J,9,FALSE),"-")</f>
        <v>-</v>
      </c>
      <c r="N233" s="24"/>
      <c r="O233" s="25" t="str">
        <f t="shared" si="4"/>
        <v>Por iniciar</v>
      </c>
      <c r="P233"/>
    </row>
    <row r="234" spans="1:16" ht="14.5">
      <c r="A234" s="18"/>
      <c r="B234" s="57"/>
      <c r="C234" s="57"/>
      <c r="D234" s="57"/>
      <c r="E234" s="57"/>
      <c r="F234" s="57"/>
      <c r="G234" s="57"/>
      <c r="H234" s="62" t="s">
        <v>9</v>
      </c>
      <c r="I234" s="19" t="s">
        <v>147</v>
      </c>
      <c r="J234" s="24">
        <f>+COUNTIFS('3. Resultados'!C:C,'1. Status'!H234,'3. Resultados'!G:G,'1. Status'!I234)</f>
        <v>0</v>
      </c>
      <c r="K234" s="70" t="str">
        <f>+IFERROR(VLOOKUP(CONCATENATE(A234,$B$10,B234),'3. Resultados'!B:J,8,FALSE),"-")</f>
        <v>-</v>
      </c>
      <c r="L234" s="69" t="str">
        <f>+IFERROR(VLOOKUP(B234,'3. Resultados'!K:L,2,FALSE),"-")</f>
        <v>-</v>
      </c>
      <c r="M234" s="70" t="str">
        <f>+IFERROR(VLOOKUP(CONCATENATE(A234,$B$10,B234),'3. Resultados'!B:J,9,FALSE),"-")</f>
        <v>-</v>
      </c>
      <c r="N234" s="24"/>
      <c r="O234" s="25" t="str">
        <f t="shared" si="4"/>
        <v>Por iniciar</v>
      </c>
      <c r="P234"/>
    </row>
    <row r="235" spans="1:16" ht="14.5">
      <c r="A235" s="18"/>
      <c r="B235" s="57"/>
      <c r="C235" s="57"/>
      <c r="D235" s="57"/>
      <c r="E235" s="57"/>
      <c r="F235" s="57"/>
      <c r="G235" s="57"/>
      <c r="H235" s="62" t="s">
        <v>9</v>
      </c>
      <c r="I235" s="19" t="s">
        <v>402</v>
      </c>
      <c r="J235" s="24">
        <f>+COUNTIFS('3. Resultados'!C:C,'1. Status'!H235,'3. Resultados'!G:G,'1. Status'!I235)</f>
        <v>0</v>
      </c>
      <c r="K235" s="70" t="str">
        <f>+IFERROR(VLOOKUP(CONCATENATE(A235,$B$10,B235),'3. Resultados'!B:J,8,FALSE),"-")</f>
        <v>-</v>
      </c>
      <c r="L235" s="69" t="str">
        <f>+IFERROR(VLOOKUP(B235,'3. Resultados'!K:L,2,FALSE),"-")</f>
        <v>-</v>
      </c>
      <c r="M235" s="70" t="str">
        <f>+IFERROR(VLOOKUP(CONCATENATE(A235,$B$10,B235),'3. Resultados'!B:J,9,FALSE),"-")</f>
        <v>-</v>
      </c>
      <c r="N235" s="24"/>
      <c r="O235" s="25" t="str">
        <f t="shared" si="4"/>
        <v>Por iniciar</v>
      </c>
      <c r="P235"/>
    </row>
    <row r="236" spans="1:16" ht="14.5">
      <c r="A236" s="18"/>
      <c r="B236" s="57"/>
      <c r="C236" s="57"/>
      <c r="D236" s="57"/>
      <c r="E236" s="57"/>
      <c r="F236" s="57"/>
      <c r="G236" s="57"/>
      <c r="H236" s="62" t="s">
        <v>9</v>
      </c>
      <c r="I236" s="19" t="s">
        <v>403</v>
      </c>
      <c r="J236" s="24">
        <f>+COUNTIFS('3. Resultados'!C:C,'1. Status'!H236,'3. Resultados'!G:G,'1. Status'!I236)</f>
        <v>0</v>
      </c>
      <c r="K236" s="70" t="str">
        <f>+IFERROR(VLOOKUP(CONCATENATE(A236,$B$10,B236),'3. Resultados'!B:J,8,FALSE),"-")</f>
        <v>-</v>
      </c>
      <c r="L236" s="69" t="str">
        <f>+IFERROR(VLOOKUP(B236,'3. Resultados'!K:L,2,FALSE),"-")</f>
        <v>-</v>
      </c>
      <c r="M236" s="70" t="str">
        <f>+IFERROR(VLOOKUP(CONCATENATE(A236,$B$10,B236),'3. Resultados'!B:J,9,FALSE),"-")</f>
        <v>-</v>
      </c>
      <c r="N236" s="24"/>
      <c r="O236" s="25" t="str">
        <f t="shared" si="4"/>
        <v>Por iniciar</v>
      </c>
      <c r="P236"/>
    </row>
    <row r="237" spans="1:16" ht="14.5">
      <c r="A237" s="18"/>
      <c r="B237" s="57"/>
      <c r="C237" s="57"/>
      <c r="D237" s="57"/>
      <c r="E237" s="57"/>
      <c r="F237" s="57"/>
      <c r="G237" s="57"/>
      <c r="H237" s="62" t="s">
        <v>9</v>
      </c>
      <c r="I237" s="19" t="s">
        <v>404</v>
      </c>
      <c r="J237" s="24">
        <f>+COUNTIFS('3. Resultados'!C:C,'1. Status'!H237,'3. Resultados'!G:G,'1. Status'!I237)</f>
        <v>0</v>
      </c>
      <c r="K237" s="70" t="str">
        <f>+IFERROR(VLOOKUP(CONCATENATE(A237,$B$10,B237),'3. Resultados'!B:J,8,FALSE),"-")</f>
        <v>-</v>
      </c>
      <c r="L237" s="69" t="str">
        <f>+IFERROR(VLOOKUP(B237,'3. Resultados'!K:L,2,FALSE),"-")</f>
        <v>-</v>
      </c>
      <c r="M237" s="70" t="str">
        <f>+IFERROR(VLOOKUP(CONCATENATE(A237,$B$10,B237),'3. Resultados'!B:J,9,FALSE),"-")</f>
        <v>-</v>
      </c>
      <c r="N237" s="24"/>
      <c r="O237" s="25" t="str">
        <f t="shared" si="4"/>
        <v>Por iniciar</v>
      </c>
      <c r="P237"/>
    </row>
    <row r="238" spans="1:16" ht="14.5">
      <c r="A238" s="18"/>
      <c r="B238" s="57"/>
      <c r="C238" s="57"/>
      <c r="D238" s="57"/>
      <c r="E238" s="57"/>
      <c r="F238" s="57"/>
      <c r="G238" s="57"/>
      <c r="H238" s="62" t="s">
        <v>9</v>
      </c>
      <c r="I238" s="19" t="s">
        <v>405</v>
      </c>
      <c r="J238" s="24">
        <f>+COUNTIFS('3. Resultados'!C:C,'1. Status'!H238,'3. Resultados'!G:G,'1. Status'!I238)</f>
        <v>0</v>
      </c>
      <c r="K238" s="70" t="str">
        <f>+IFERROR(VLOOKUP(CONCATENATE(A238,$B$10,B238),'3. Resultados'!B:J,8,FALSE),"-")</f>
        <v>-</v>
      </c>
      <c r="L238" s="69" t="str">
        <f>+IFERROR(VLOOKUP(B238,'3. Resultados'!K:L,2,FALSE),"-")</f>
        <v>-</v>
      </c>
      <c r="M238" s="70" t="str">
        <f>+IFERROR(VLOOKUP(CONCATENATE(A238,$B$10,B238),'3. Resultados'!B:J,9,FALSE),"-")</f>
        <v>-</v>
      </c>
      <c r="N238" s="24"/>
      <c r="O238" s="25" t="str">
        <f t="shared" si="4"/>
        <v>Por iniciar</v>
      </c>
      <c r="P238"/>
    </row>
    <row r="239" spans="1:16" ht="14.5">
      <c r="A239" s="18"/>
      <c r="B239" s="57"/>
      <c r="C239" s="57"/>
      <c r="D239" s="57"/>
      <c r="E239" s="57"/>
      <c r="F239" s="57"/>
      <c r="G239" s="57"/>
      <c r="H239" s="62" t="s">
        <v>9</v>
      </c>
      <c r="I239" s="19" t="s">
        <v>406</v>
      </c>
      <c r="J239" s="24">
        <f>+COUNTIFS('3. Resultados'!C:C,'1. Status'!H239,'3. Resultados'!G:G,'1. Status'!I239)</f>
        <v>0</v>
      </c>
      <c r="K239" s="70" t="str">
        <f>+IFERROR(VLOOKUP(CONCATENATE(A239,$B$10,B239),'3. Resultados'!B:J,8,FALSE),"-")</f>
        <v>-</v>
      </c>
      <c r="L239" s="69" t="str">
        <f>+IFERROR(VLOOKUP(B239,'3. Resultados'!K:L,2,FALSE),"-")</f>
        <v>-</v>
      </c>
      <c r="M239" s="70" t="str">
        <f>+IFERROR(VLOOKUP(CONCATENATE(A239,$B$10,B239),'3. Resultados'!B:J,9,FALSE),"-")</f>
        <v>-</v>
      </c>
      <c r="N239" s="24"/>
      <c r="O239" s="25" t="str">
        <f t="shared" si="4"/>
        <v>Por iniciar</v>
      </c>
      <c r="P239"/>
    </row>
    <row r="240" spans="1:16" ht="14.5">
      <c r="A240" s="18"/>
      <c r="B240" s="57"/>
      <c r="C240" s="57"/>
      <c r="D240" s="57"/>
      <c r="E240" s="57"/>
      <c r="F240" s="57"/>
      <c r="G240" s="57"/>
      <c r="H240" s="62" t="s">
        <v>9</v>
      </c>
      <c r="I240" s="19" t="s">
        <v>407</v>
      </c>
      <c r="J240" s="24">
        <f>+COUNTIFS('3. Resultados'!C:C,'1. Status'!H240,'3. Resultados'!G:G,'1. Status'!I240)</f>
        <v>0</v>
      </c>
      <c r="K240" s="70" t="str">
        <f>+IFERROR(VLOOKUP(CONCATENATE(A240,$B$10,B240),'3. Resultados'!B:J,8,FALSE),"-")</f>
        <v>-</v>
      </c>
      <c r="L240" s="69" t="str">
        <f>+IFERROR(VLOOKUP(B240,'3. Resultados'!K:L,2,FALSE),"-")</f>
        <v>-</v>
      </c>
      <c r="M240" s="70" t="str">
        <f>+IFERROR(VLOOKUP(CONCATENATE(A240,$B$10,B240),'3. Resultados'!B:J,9,FALSE),"-")</f>
        <v>-</v>
      </c>
      <c r="N240" s="24"/>
      <c r="O240" s="25" t="str">
        <f t="shared" si="4"/>
        <v>Por iniciar</v>
      </c>
      <c r="P240"/>
    </row>
    <row r="241" spans="1:16" ht="14.5">
      <c r="A241" s="18"/>
      <c r="B241" s="57"/>
      <c r="C241" s="57"/>
      <c r="D241" s="57"/>
      <c r="E241" s="57"/>
      <c r="F241" s="57"/>
      <c r="G241" s="57"/>
      <c r="H241" s="62" t="s">
        <v>9</v>
      </c>
      <c r="I241" s="19" t="s">
        <v>408</v>
      </c>
      <c r="J241" s="24">
        <f>+COUNTIFS('3. Resultados'!C:C,'1. Status'!H241,'3. Resultados'!G:G,'1. Status'!I241)</f>
        <v>0</v>
      </c>
      <c r="K241" s="70" t="str">
        <f>+IFERROR(VLOOKUP(CONCATENATE(A241,$B$10,B241),'3. Resultados'!B:J,8,FALSE),"-")</f>
        <v>-</v>
      </c>
      <c r="L241" s="69" t="str">
        <f>+IFERROR(VLOOKUP(B241,'3. Resultados'!K:L,2,FALSE),"-")</f>
        <v>-</v>
      </c>
      <c r="M241" s="70" t="str">
        <f>+IFERROR(VLOOKUP(CONCATENATE(A241,$B$10,B241),'3. Resultados'!B:J,9,FALSE),"-")</f>
        <v>-</v>
      </c>
      <c r="N241" s="24"/>
      <c r="O241" s="25" t="str">
        <f t="shared" si="4"/>
        <v>Por iniciar</v>
      </c>
      <c r="P241"/>
    </row>
    <row r="242" spans="1:16" ht="14.5">
      <c r="A242" s="18"/>
      <c r="B242" s="57"/>
      <c r="C242" s="57"/>
      <c r="D242" s="57"/>
      <c r="E242" s="57"/>
      <c r="F242" s="57"/>
      <c r="G242" s="57"/>
      <c r="H242" s="62" t="s">
        <v>9</v>
      </c>
      <c r="I242" s="19" t="s">
        <v>149</v>
      </c>
      <c r="J242" s="24">
        <f>+COUNTIFS('3. Resultados'!C:C,'1. Status'!H242,'3. Resultados'!G:G,'1. Status'!I242)</f>
        <v>0</v>
      </c>
      <c r="K242" s="70" t="str">
        <f>+IFERROR(VLOOKUP(CONCATENATE(A242,$B$10,B242),'3. Resultados'!B:J,8,FALSE),"-")</f>
        <v>-</v>
      </c>
      <c r="L242" s="69" t="str">
        <f>+IFERROR(VLOOKUP(B242,'3. Resultados'!K:L,2,FALSE),"-")</f>
        <v>-</v>
      </c>
      <c r="M242" s="70" t="str">
        <f>+IFERROR(VLOOKUP(CONCATENATE(A242,$B$10,B242),'3. Resultados'!B:J,9,FALSE),"-")</f>
        <v>-</v>
      </c>
      <c r="N242" s="24"/>
      <c r="O242" s="25" t="str">
        <f t="shared" si="4"/>
        <v>Por iniciar</v>
      </c>
      <c r="P242"/>
    </row>
    <row r="243" spans="1:16" ht="14.5">
      <c r="A243" s="18"/>
      <c r="B243" s="57"/>
      <c r="C243" s="57"/>
      <c r="D243" s="57"/>
      <c r="E243" s="57"/>
      <c r="F243" s="57"/>
      <c r="G243" s="57"/>
      <c r="H243" s="62" t="s">
        <v>9</v>
      </c>
      <c r="I243" s="19" t="s">
        <v>148</v>
      </c>
      <c r="J243" s="24">
        <f>+COUNTIFS('3. Resultados'!C:C,'1. Status'!H243,'3. Resultados'!G:G,'1. Status'!I243)</f>
        <v>0</v>
      </c>
      <c r="K243" s="70" t="str">
        <f>+IFERROR(VLOOKUP(CONCATENATE(A243,$B$10,B243),'3. Resultados'!B:J,8,FALSE),"-")</f>
        <v>-</v>
      </c>
      <c r="L243" s="69" t="str">
        <f>+IFERROR(VLOOKUP(B243,'3. Resultados'!K:L,2,FALSE),"-")</f>
        <v>-</v>
      </c>
      <c r="M243" s="70" t="str">
        <f>+IFERROR(VLOOKUP(CONCATENATE(A243,$B$10,B243),'3. Resultados'!B:J,9,FALSE),"-")</f>
        <v>-</v>
      </c>
      <c r="N243" s="24"/>
      <c r="O243" s="25" t="str">
        <f t="shared" si="4"/>
        <v>Por iniciar</v>
      </c>
      <c r="P243"/>
    </row>
    <row r="244" spans="1:16" ht="14.5">
      <c r="A244" s="18"/>
      <c r="B244" s="57"/>
      <c r="C244" s="57"/>
      <c r="D244" s="57"/>
      <c r="E244" s="57"/>
      <c r="F244" s="57"/>
      <c r="G244" s="57"/>
      <c r="H244" s="62" t="s">
        <v>9</v>
      </c>
      <c r="I244" s="19" t="s">
        <v>409</v>
      </c>
      <c r="J244" s="24">
        <f>+COUNTIFS('3. Resultados'!C:C,'1. Status'!H244,'3. Resultados'!G:G,'1. Status'!I244)</f>
        <v>0</v>
      </c>
      <c r="K244" s="70" t="str">
        <f>+IFERROR(VLOOKUP(CONCATENATE(A244,$B$10,B244),'3. Resultados'!B:J,8,FALSE),"-")</f>
        <v>-</v>
      </c>
      <c r="L244" s="69" t="str">
        <f>+IFERROR(VLOOKUP(B244,'3. Resultados'!K:L,2,FALSE),"-")</f>
        <v>-</v>
      </c>
      <c r="M244" s="70" t="str">
        <f>+IFERROR(VLOOKUP(CONCATENATE(A244,$B$10,B244),'3. Resultados'!B:J,9,FALSE),"-")</f>
        <v>-</v>
      </c>
      <c r="N244" s="24"/>
      <c r="O244" s="25" t="str">
        <f t="shared" si="4"/>
        <v>Por iniciar</v>
      </c>
      <c r="P244"/>
    </row>
    <row r="245" spans="1:16" ht="14.5">
      <c r="A245" s="18"/>
      <c r="B245" s="57"/>
      <c r="C245" s="57"/>
      <c r="D245" s="57"/>
      <c r="E245" s="57"/>
      <c r="F245" s="57"/>
      <c r="G245" s="57"/>
      <c r="H245" s="62" t="s">
        <v>9</v>
      </c>
      <c r="I245" s="19" t="s">
        <v>410</v>
      </c>
      <c r="J245" s="24">
        <f>+COUNTIFS('3. Resultados'!C:C,'1. Status'!H245,'3. Resultados'!G:G,'1. Status'!I245)</f>
        <v>0</v>
      </c>
      <c r="K245" s="70" t="str">
        <f>+IFERROR(VLOOKUP(CONCATENATE(A245,$B$10,B245),'3. Resultados'!B:J,8,FALSE),"-")</f>
        <v>-</v>
      </c>
      <c r="L245" s="69" t="str">
        <f>+IFERROR(VLOOKUP(B245,'3. Resultados'!K:L,2,FALSE),"-")</f>
        <v>-</v>
      </c>
      <c r="M245" s="70" t="str">
        <f>+IFERROR(VLOOKUP(CONCATENATE(A245,$B$10,B245),'3. Resultados'!B:J,9,FALSE),"-")</f>
        <v>-</v>
      </c>
      <c r="N245" s="24"/>
      <c r="O245" s="25" t="str">
        <f t="shared" si="4"/>
        <v>Por iniciar</v>
      </c>
      <c r="P245"/>
    </row>
    <row r="246" spans="1:16" ht="14.5">
      <c r="A246" s="18"/>
      <c r="B246" s="57"/>
      <c r="C246" s="57"/>
      <c r="D246" s="57"/>
      <c r="E246" s="57"/>
      <c r="F246" s="57"/>
      <c r="G246" s="57"/>
      <c r="H246" s="62" t="s">
        <v>9</v>
      </c>
      <c r="I246" s="19" t="s">
        <v>411</v>
      </c>
      <c r="J246" s="24">
        <f>+COUNTIFS('3. Resultados'!C:C,'1. Status'!H246,'3. Resultados'!G:G,'1. Status'!I246)</f>
        <v>0</v>
      </c>
      <c r="K246" s="70" t="str">
        <f>+IFERROR(VLOOKUP(CONCATENATE(A246,$B$10,B246),'3. Resultados'!B:J,8,FALSE),"-")</f>
        <v>-</v>
      </c>
      <c r="L246" s="69" t="str">
        <f>+IFERROR(VLOOKUP(B246,'3. Resultados'!K:L,2,FALSE),"-")</f>
        <v>-</v>
      </c>
      <c r="M246" s="70" t="str">
        <f>+IFERROR(VLOOKUP(CONCATENATE(A246,$B$10,B246),'3. Resultados'!B:J,9,FALSE),"-")</f>
        <v>-</v>
      </c>
      <c r="N246" s="24"/>
      <c r="O246" s="25" t="str">
        <f t="shared" si="4"/>
        <v>Por iniciar</v>
      </c>
      <c r="P246"/>
    </row>
    <row r="247" spans="1:16" ht="14.5">
      <c r="A247" s="18"/>
      <c r="B247" s="57"/>
      <c r="C247" s="57"/>
      <c r="D247" s="57"/>
      <c r="E247" s="57"/>
      <c r="F247" s="57"/>
      <c r="G247" s="57"/>
      <c r="H247" s="62" t="s">
        <v>9</v>
      </c>
      <c r="I247" s="19" t="s">
        <v>412</v>
      </c>
      <c r="J247" s="24">
        <f>+COUNTIFS('3. Resultados'!C:C,'1. Status'!H247,'3. Resultados'!G:G,'1. Status'!I247)</f>
        <v>0</v>
      </c>
      <c r="K247" s="70" t="str">
        <f>+IFERROR(VLOOKUP(CONCATENATE(A247,$B$10,B247),'3. Resultados'!B:J,8,FALSE),"-")</f>
        <v>-</v>
      </c>
      <c r="L247" s="69" t="str">
        <f>+IFERROR(VLOOKUP(B247,'3. Resultados'!K:L,2,FALSE),"-")</f>
        <v>-</v>
      </c>
      <c r="M247" s="70" t="str">
        <f>+IFERROR(VLOOKUP(CONCATENATE(A247,$B$10,B247),'3. Resultados'!B:J,9,FALSE),"-")</f>
        <v>-</v>
      </c>
      <c r="N247" s="24"/>
      <c r="O247" s="25" t="str">
        <f t="shared" si="4"/>
        <v>Por iniciar</v>
      </c>
      <c r="P247"/>
    </row>
    <row r="248" spans="1:16" ht="14.5">
      <c r="A248" s="18"/>
      <c r="B248" s="57"/>
      <c r="C248" s="57"/>
      <c r="D248" s="57"/>
      <c r="E248" s="57"/>
      <c r="F248" s="57"/>
      <c r="G248" s="57"/>
      <c r="H248" s="62" t="s">
        <v>9</v>
      </c>
      <c r="I248" s="19" t="s">
        <v>413</v>
      </c>
      <c r="J248" s="24">
        <f>+COUNTIFS('3. Resultados'!C:C,'1. Status'!H248,'3. Resultados'!G:G,'1. Status'!I248)</f>
        <v>0</v>
      </c>
      <c r="K248" s="70" t="str">
        <f>+IFERROR(VLOOKUP(CONCATENATE(A248,$B$10,B248),'3. Resultados'!B:J,8,FALSE),"-")</f>
        <v>-</v>
      </c>
      <c r="L248" s="69" t="str">
        <f>+IFERROR(VLOOKUP(B248,'3. Resultados'!K:L,2,FALSE),"-")</f>
        <v>-</v>
      </c>
      <c r="M248" s="70" t="str">
        <f>+IFERROR(VLOOKUP(CONCATENATE(A248,$B$10,B248),'3. Resultados'!B:J,9,FALSE),"-")</f>
        <v>-</v>
      </c>
      <c r="N248" s="24"/>
      <c r="O248" s="25" t="str">
        <f t="shared" si="4"/>
        <v>Por iniciar</v>
      </c>
      <c r="P248"/>
    </row>
    <row r="249" spans="1:16" ht="14.5">
      <c r="A249" s="18"/>
      <c r="B249" s="57"/>
      <c r="C249" s="57"/>
      <c r="D249" s="57"/>
      <c r="E249" s="57"/>
      <c r="F249" s="57"/>
      <c r="G249" s="57"/>
      <c r="H249" s="62" t="s">
        <v>9</v>
      </c>
      <c r="I249" s="19" t="s">
        <v>414</v>
      </c>
      <c r="J249" s="24">
        <f>+COUNTIFS('3. Resultados'!C:C,'1. Status'!H249,'3. Resultados'!G:G,'1. Status'!I249)</f>
        <v>0</v>
      </c>
      <c r="K249" s="70" t="str">
        <f>+IFERROR(VLOOKUP(CONCATENATE(A249,$B$10,B249),'3. Resultados'!B:J,8,FALSE),"-")</f>
        <v>-</v>
      </c>
      <c r="L249" s="69" t="str">
        <f>+IFERROR(VLOOKUP(B249,'3. Resultados'!K:L,2,FALSE),"-")</f>
        <v>-</v>
      </c>
      <c r="M249" s="70" t="str">
        <f>+IFERROR(VLOOKUP(CONCATENATE(A249,$B$10,B249),'3. Resultados'!B:J,9,FALSE),"-")</f>
        <v>-</v>
      </c>
      <c r="N249" s="24"/>
      <c r="O249" s="25" t="str">
        <f t="shared" si="4"/>
        <v>Por iniciar</v>
      </c>
      <c r="P249"/>
    </row>
    <row r="250" spans="1:16" ht="14.5">
      <c r="A250" s="18"/>
      <c r="B250" s="57"/>
      <c r="C250" s="57"/>
      <c r="D250" s="57"/>
      <c r="E250" s="57"/>
      <c r="F250" s="57"/>
      <c r="G250" s="57"/>
      <c r="H250" s="62" t="s">
        <v>9</v>
      </c>
      <c r="I250" s="19" t="s">
        <v>415</v>
      </c>
      <c r="J250" s="24">
        <f>+COUNTIFS('3. Resultados'!C:C,'1. Status'!H250,'3. Resultados'!G:G,'1. Status'!I250)</f>
        <v>0</v>
      </c>
      <c r="K250" s="70" t="str">
        <f>+IFERROR(VLOOKUP(CONCATENATE(A250,$B$10,B250),'3. Resultados'!B:J,8,FALSE),"-")</f>
        <v>-</v>
      </c>
      <c r="L250" s="69" t="str">
        <f>+IFERROR(VLOOKUP(B250,'3. Resultados'!K:L,2,FALSE),"-")</f>
        <v>-</v>
      </c>
      <c r="M250" s="70" t="str">
        <f>+IFERROR(VLOOKUP(CONCATENATE(A250,$B$10,B250),'3. Resultados'!B:J,9,FALSE),"-")</f>
        <v>-</v>
      </c>
      <c r="N250" s="24"/>
      <c r="O250" s="25" t="str">
        <f t="shared" si="4"/>
        <v>Por iniciar</v>
      </c>
      <c r="P250"/>
    </row>
    <row r="251" spans="1:16" ht="14.5">
      <c r="A251" s="18"/>
      <c r="B251" s="57"/>
      <c r="C251" s="57"/>
      <c r="D251" s="57"/>
      <c r="E251" s="57"/>
      <c r="F251" s="57"/>
      <c r="G251" s="57"/>
      <c r="H251" s="62" t="s">
        <v>9</v>
      </c>
      <c r="I251" s="19" t="s">
        <v>416</v>
      </c>
      <c r="J251" s="24">
        <f>+COUNTIFS('3. Resultados'!C:C,'1. Status'!H251,'3. Resultados'!G:G,'1. Status'!I251)</f>
        <v>0</v>
      </c>
      <c r="K251" s="70" t="str">
        <f>+IFERROR(VLOOKUP(CONCATENATE(A251,$B$10,B251),'3. Resultados'!B:J,8,FALSE),"-")</f>
        <v>-</v>
      </c>
      <c r="L251" s="69" t="str">
        <f>+IFERROR(VLOOKUP(B251,'3. Resultados'!K:L,2,FALSE),"-")</f>
        <v>-</v>
      </c>
      <c r="M251" s="70" t="str">
        <f>+IFERROR(VLOOKUP(CONCATENATE(A251,$B$10,B251),'3. Resultados'!B:J,9,FALSE),"-")</f>
        <v>-</v>
      </c>
      <c r="N251" s="24"/>
      <c r="O251" s="25" t="str">
        <f t="shared" si="4"/>
        <v>Por iniciar</v>
      </c>
      <c r="P251"/>
    </row>
    <row r="252" spans="1:16" ht="14.5">
      <c r="A252" s="18"/>
      <c r="B252" s="57"/>
      <c r="C252" s="57"/>
      <c r="D252" s="57"/>
      <c r="E252" s="57"/>
      <c r="F252" s="57"/>
      <c r="G252" s="57"/>
      <c r="H252" s="62" t="s">
        <v>9</v>
      </c>
      <c r="I252" s="19" t="s">
        <v>417</v>
      </c>
      <c r="J252" s="24">
        <f>+COUNTIFS('3. Resultados'!C:C,'1. Status'!H252,'3. Resultados'!G:G,'1. Status'!I252)</f>
        <v>0</v>
      </c>
      <c r="K252" s="70" t="str">
        <f>+IFERROR(VLOOKUP(CONCATENATE(A252,$B$10,B252),'3. Resultados'!B:J,8,FALSE),"-")</f>
        <v>-</v>
      </c>
      <c r="L252" s="69" t="str">
        <f>+IFERROR(VLOOKUP(B252,'3. Resultados'!K:L,2,FALSE),"-")</f>
        <v>-</v>
      </c>
      <c r="M252" s="70" t="str">
        <f>+IFERROR(VLOOKUP(CONCATENATE(A252,$B$10,B252),'3. Resultados'!B:J,9,FALSE),"-")</f>
        <v>-</v>
      </c>
      <c r="N252" s="24"/>
      <c r="O252" s="25" t="str">
        <f t="shared" si="4"/>
        <v>Por iniciar</v>
      </c>
      <c r="P252"/>
    </row>
    <row r="253" spans="1:16" ht="14.5">
      <c r="A253" s="18"/>
      <c r="B253" s="57"/>
      <c r="C253" s="57"/>
      <c r="D253" s="57"/>
      <c r="E253" s="57"/>
      <c r="F253" s="57"/>
      <c r="G253" s="57"/>
      <c r="H253" s="62" t="s">
        <v>9</v>
      </c>
      <c r="I253" s="19" t="s">
        <v>418</v>
      </c>
      <c r="J253" s="24">
        <f>+COUNTIFS('3. Resultados'!C:C,'1. Status'!H253,'3. Resultados'!G:G,'1. Status'!I253)</f>
        <v>0</v>
      </c>
      <c r="K253" s="70" t="str">
        <f>+IFERROR(VLOOKUP(CONCATENATE(A253,$B$10,B253),'3. Resultados'!B:J,8,FALSE),"-")</f>
        <v>-</v>
      </c>
      <c r="L253" s="69" t="str">
        <f>+IFERROR(VLOOKUP(B253,'3. Resultados'!K:L,2,FALSE),"-")</f>
        <v>-</v>
      </c>
      <c r="M253" s="70" t="str">
        <f>+IFERROR(VLOOKUP(CONCATENATE(A253,$B$10,B253),'3. Resultados'!B:J,9,FALSE),"-")</f>
        <v>-</v>
      </c>
      <c r="N253" s="24"/>
      <c r="O253" s="25" t="str">
        <f t="shared" si="4"/>
        <v>Por iniciar</v>
      </c>
      <c r="P253"/>
    </row>
    <row r="254" spans="1:16" ht="14.5">
      <c r="A254" s="18"/>
      <c r="B254" s="57"/>
      <c r="C254" s="57"/>
      <c r="D254" s="57"/>
      <c r="E254" s="57"/>
      <c r="F254" s="57"/>
      <c r="G254" s="57"/>
      <c r="H254" s="62" t="s">
        <v>9</v>
      </c>
      <c r="I254" s="19" t="s">
        <v>419</v>
      </c>
      <c r="J254" s="24">
        <f>+COUNTIFS('3. Resultados'!C:C,'1. Status'!H254,'3. Resultados'!G:G,'1. Status'!I254)</f>
        <v>0</v>
      </c>
      <c r="K254" s="70" t="str">
        <f>+IFERROR(VLOOKUP(CONCATENATE(A254,$B$10,B254),'3. Resultados'!B:J,8,FALSE),"-")</f>
        <v>-</v>
      </c>
      <c r="L254" s="69" t="str">
        <f>+IFERROR(VLOOKUP(B254,'3. Resultados'!K:L,2,FALSE),"-")</f>
        <v>-</v>
      </c>
      <c r="M254" s="70" t="str">
        <f>+IFERROR(VLOOKUP(CONCATENATE(A254,$B$10,B254),'3. Resultados'!B:J,9,FALSE),"-")</f>
        <v>-</v>
      </c>
      <c r="N254" s="24"/>
      <c r="O254" s="25" t="str">
        <f t="shared" si="4"/>
        <v>Por iniciar</v>
      </c>
      <c r="P254"/>
    </row>
    <row r="255" spans="1:16" ht="14.5">
      <c r="A255" s="18"/>
      <c r="B255" s="57"/>
      <c r="C255" s="57"/>
      <c r="D255" s="57"/>
      <c r="E255" s="57"/>
      <c r="F255" s="57"/>
      <c r="G255" s="57"/>
      <c r="H255" s="62" t="s">
        <v>9</v>
      </c>
      <c r="I255" s="19" t="s">
        <v>173</v>
      </c>
      <c r="J255" s="24">
        <f>+COUNTIFS('3. Resultados'!C:C,'1. Status'!H255,'3. Resultados'!G:G,'1. Status'!I255)</f>
        <v>0</v>
      </c>
      <c r="K255" s="70" t="str">
        <f>+IFERROR(VLOOKUP(CONCATENATE(A255,$B$10,B255),'3. Resultados'!B:J,8,FALSE),"-")</f>
        <v>-</v>
      </c>
      <c r="L255" s="69" t="str">
        <f>+IFERROR(VLOOKUP(B255,'3. Resultados'!K:L,2,FALSE),"-")</f>
        <v>-</v>
      </c>
      <c r="M255" s="70" t="str">
        <f>+IFERROR(VLOOKUP(CONCATENATE(A255,$B$10,B255),'3. Resultados'!B:J,9,FALSE),"-")</f>
        <v>-</v>
      </c>
      <c r="N255" s="24"/>
      <c r="O255" s="25" t="str">
        <f t="shared" si="4"/>
        <v>Por iniciar</v>
      </c>
      <c r="P255"/>
    </row>
    <row r="256" spans="1:16" ht="14.5">
      <c r="A256" s="18"/>
      <c r="B256" s="57"/>
      <c r="C256" s="57"/>
      <c r="D256" s="57"/>
      <c r="E256" s="57"/>
      <c r="F256" s="57"/>
      <c r="G256" s="57"/>
      <c r="H256" s="62" t="s">
        <v>9</v>
      </c>
      <c r="I256" s="19" t="s">
        <v>174</v>
      </c>
      <c r="J256" s="24">
        <f>+COUNTIFS('3. Resultados'!C:C,'1. Status'!H256,'3. Resultados'!G:G,'1. Status'!I256)</f>
        <v>0</v>
      </c>
      <c r="K256" s="70" t="str">
        <f>+IFERROR(VLOOKUP(CONCATENATE(A256,$B$10,B256),'3. Resultados'!B:J,8,FALSE),"-")</f>
        <v>-</v>
      </c>
      <c r="L256" s="69" t="str">
        <f>+IFERROR(VLOOKUP(B256,'3. Resultados'!K:L,2,FALSE),"-")</f>
        <v>-</v>
      </c>
      <c r="M256" s="70" t="str">
        <f>+IFERROR(VLOOKUP(CONCATENATE(A256,$B$10,B256),'3. Resultados'!B:J,9,FALSE),"-")</f>
        <v>-</v>
      </c>
      <c r="N256" s="24"/>
      <c r="O256" s="25" t="str">
        <f t="shared" si="4"/>
        <v>Por iniciar</v>
      </c>
      <c r="P256"/>
    </row>
    <row r="257" spans="1:16" ht="14.5">
      <c r="A257" s="18"/>
      <c r="B257" s="57"/>
      <c r="C257" s="57"/>
      <c r="D257" s="57"/>
      <c r="E257" s="57"/>
      <c r="F257" s="57"/>
      <c r="G257" s="57"/>
      <c r="H257" s="62" t="s">
        <v>9</v>
      </c>
      <c r="I257" s="19" t="s">
        <v>420</v>
      </c>
      <c r="J257" s="24">
        <f>+COUNTIFS('3. Resultados'!C:C,'1. Status'!H257,'3. Resultados'!G:G,'1. Status'!I257)</f>
        <v>0</v>
      </c>
      <c r="K257" s="70" t="str">
        <f>+IFERROR(VLOOKUP(CONCATENATE(A257,$B$10,B257),'3. Resultados'!B:J,8,FALSE),"-")</f>
        <v>-</v>
      </c>
      <c r="L257" s="69" t="str">
        <f>+IFERROR(VLOOKUP(B257,'3. Resultados'!K:L,2,FALSE),"-")</f>
        <v>-</v>
      </c>
      <c r="M257" s="70" t="str">
        <f>+IFERROR(VLOOKUP(CONCATENATE(A257,$B$10,B257),'3. Resultados'!B:J,9,FALSE),"-")</f>
        <v>-</v>
      </c>
      <c r="N257" s="24"/>
      <c r="O257" s="25" t="str">
        <f t="shared" si="4"/>
        <v>Por iniciar</v>
      </c>
      <c r="P257"/>
    </row>
    <row r="258" spans="1:16" ht="14.5">
      <c r="A258" s="18"/>
      <c r="B258" s="57"/>
      <c r="C258" s="57"/>
      <c r="D258" s="57"/>
      <c r="E258" s="57"/>
      <c r="F258" s="57"/>
      <c r="G258" s="57"/>
      <c r="H258" s="62" t="s">
        <v>9</v>
      </c>
      <c r="I258" s="19" t="s">
        <v>421</v>
      </c>
      <c r="J258" s="24">
        <f>+COUNTIFS('3. Resultados'!C:C,'1. Status'!H258,'3. Resultados'!G:G,'1. Status'!I258)</f>
        <v>0</v>
      </c>
      <c r="K258" s="70" t="str">
        <f>+IFERROR(VLOOKUP(CONCATENATE(A258,$B$10,B258),'3. Resultados'!B:J,8,FALSE),"-")</f>
        <v>-</v>
      </c>
      <c r="L258" s="69" t="str">
        <f>+IFERROR(VLOOKUP(B258,'3. Resultados'!K:L,2,FALSE),"-")</f>
        <v>-</v>
      </c>
      <c r="M258" s="70" t="str">
        <f>+IFERROR(VLOOKUP(CONCATENATE(A258,$B$10,B258),'3. Resultados'!B:J,9,FALSE),"-")</f>
        <v>-</v>
      </c>
      <c r="N258" s="24"/>
      <c r="O258" s="25" t="str">
        <f t="shared" si="4"/>
        <v>Por iniciar</v>
      </c>
      <c r="P258"/>
    </row>
    <row r="259" spans="1:16" ht="14.5">
      <c r="A259" s="18"/>
      <c r="B259" s="57"/>
      <c r="C259" s="57"/>
      <c r="D259" s="57"/>
      <c r="E259" s="57"/>
      <c r="F259" s="57"/>
      <c r="G259" s="57"/>
      <c r="H259" s="62" t="s">
        <v>9</v>
      </c>
      <c r="I259" s="19" t="s">
        <v>151</v>
      </c>
      <c r="J259" s="24">
        <f>+COUNTIFS('3. Resultados'!C:C,'1. Status'!H259,'3. Resultados'!G:G,'1. Status'!I259)</f>
        <v>0</v>
      </c>
      <c r="K259" s="70" t="str">
        <f>+IFERROR(VLOOKUP(CONCATENATE(A259,$B$10,B259),'3. Resultados'!B:J,8,FALSE),"-")</f>
        <v>-</v>
      </c>
      <c r="L259" s="69" t="str">
        <f>+IFERROR(VLOOKUP(B259,'3. Resultados'!K:L,2,FALSE),"-")</f>
        <v>-</v>
      </c>
      <c r="M259" s="70" t="str">
        <f>+IFERROR(VLOOKUP(CONCATENATE(A259,$B$10,B259),'3. Resultados'!B:J,9,FALSE),"-")</f>
        <v>-</v>
      </c>
      <c r="N259" s="24"/>
      <c r="O259" s="25" t="str">
        <f t="shared" si="4"/>
        <v>Por iniciar</v>
      </c>
      <c r="P259"/>
    </row>
    <row r="260" spans="1:16" ht="14.5">
      <c r="A260" s="18"/>
      <c r="B260" s="57"/>
      <c r="C260" s="57"/>
      <c r="D260" s="57"/>
      <c r="E260" s="57"/>
      <c r="F260" s="57"/>
      <c r="G260" s="57"/>
      <c r="H260" s="62" t="s">
        <v>9</v>
      </c>
      <c r="I260" s="19" t="s">
        <v>152</v>
      </c>
      <c r="J260" s="24">
        <f>+COUNTIFS('3. Resultados'!C:C,'1. Status'!H260,'3. Resultados'!G:G,'1. Status'!I260)</f>
        <v>0</v>
      </c>
      <c r="K260" s="70" t="str">
        <f>+IFERROR(VLOOKUP(CONCATENATE(A260,$B$10,B260),'3. Resultados'!B:J,8,FALSE),"-")</f>
        <v>-</v>
      </c>
      <c r="L260" s="69" t="str">
        <f>+IFERROR(VLOOKUP(B260,'3. Resultados'!K:L,2,FALSE),"-")</f>
        <v>-</v>
      </c>
      <c r="M260" s="70" t="str">
        <f>+IFERROR(VLOOKUP(CONCATENATE(A260,$B$10,B260),'3. Resultados'!B:J,9,FALSE),"-")</f>
        <v>-</v>
      </c>
      <c r="N260" s="24"/>
      <c r="O260" s="25" t="str">
        <f t="shared" si="4"/>
        <v>Por iniciar</v>
      </c>
      <c r="P260"/>
    </row>
    <row r="261" spans="1:16" ht="14.5">
      <c r="A261" s="18"/>
      <c r="B261" s="57"/>
      <c r="C261" s="57"/>
      <c r="D261" s="57"/>
      <c r="E261" s="57"/>
      <c r="F261" s="57"/>
      <c r="G261" s="57"/>
      <c r="H261" s="62" t="s">
        <v>9</v>
      </c>
      <c r="I261" s="19" t="s">
        <v>422</v>
      </c>
      <c r="J261" s="24">
        <f>+COUNTIFS('3. Resultados'!C:C,'1. Status'!H261,'3. Resultados'!G:G,'1. Status'!I261)</f>
        <v>0</v>
      </c>
      <c r="K261" s="70" t="str">
        <f>+IFERROR(VLOOKUP(CONCATENATE(A261,$B$10,B261),'3. Resultados'!B:J,8,FALSE),"-")</f>
        <v>-</v>
      </c>
      <c r="L261" s="69" t="str">
        <f>+IFERROR(VLOOKUP(B261,'3. Resultados'!K:L,2,FALSE),"-")</f>
        <v>-</v>
      </c>
      <c r="M261" s="70" t="str">
        <f>+IFERROR(VLOOKUP(CONCATENATE(A261,$B$10,B261),'3. Resultados'!B:J,9,FALSE),"-")</f>
        <v>-</v>
      </c>
      <c r="N261" s="24"/>
      <c r="O261" s="25" t="str">
        <f t="shared" si="4"/>
        <v>Por iniciar</v>
      </c>
      <c r="P261"/>
    </row>
    <row r="262" spans="1:16" ht="14.5">
      <c r="A262" s="18"/>
      <c r="B262" s="57"/>
      <c r="C262" s="57"/>
      <c r="D262" s="57"/>
      <c r="E262" s="57"/>
      <c r="F262" s="57"/>
      <c r="G262" s="57"/>
      <c r="H262" s="62" t="s">
        <v>9</v>
      </c>
      <c r="I262" s="19" t="s">
        <v>423</v>
      </c>
      <c r="J262" s="24">
        <f>+COUNTIFS('3. Resultados'!C:C,'1. Status'!H262,'3. Resultados'!G:G,'1. Status'!I262)</f>
        <v>0</v>
      </c>
      <c r="K262" s="70" t="str">
        <f>+IFERROR(VLOOKUP(CONCATENATE(A262,$B$10,B262),'3. Resultados'!B:J,8,FALSE),"-")</f>
        <v>-</v>
      </c>
      <c r="L262" s="69" t="str">
        <f>+IFERROR(VLOOKUP(B262,'3. Resultados'!K:L,2,FALSE),"-")</f>
        <v>-</v>
      </c>
      <c r="M262" s="70" t="str">
        <f>+IFERROR(VLOOKUP(CONCATENATE(A262,$B$10,B262),'3. Resultados'!B:J,9,FALSE),"-")</f>
        <v>-</v>
      </c>
      <c r="N262" s="24"/>
      <c r="O262" s="25" t="str">
        <f t="shared" si="4"/>
        <v>Por iniciar</v>
      </c>
      <c r="P262"/>
    </row>
    <row r="263" spans="1:16" ht="14.5">
      <c r="A263" s="18"/>
      <c r="B263" s="57"/>
      <c r="C263" s="57"/>
      <c r="D263" s="57"/>
      <c r="E263" s="57"/>
      <c r="F263" s="57"/>
      <c r="G263" s="57"/>
      <c r="H263" s="62" t="s">
        <v>9</v>
      </c>
      <c r="I263" s="19" t="s">
        <v>424</v>
      </c>
      <c r="J263" s="24">
        <f>+COUNTIFS('3. Resultados'!C:C,'1. Status'!H263,'3. Resultados'!G:G,'1. Status'!I263)</f>
        <v>0</v>
      </c>
      <c r="K263" s="70" t="str">
        <f>+IFERROR(VLOOKUP(CONCATENATE(A263,$B$10,B263),'3. Resultados'!B:J,8,FALSE),"-")</f>
        <v>-</v>
      </c>
      <c r="L263" s="69" t="str">
        <f>+IFERROR(VLOOKUP(B263,'3. Resultados'!K:L,2,FALSE),"-")</f>
        <v>-</v>
      </c>
      <c r="M263" s="70" t="str">
        <f>+IFERROR(VLOOKUP(CONCATENATE(A263,$B$10,B263),'3. Resultados'!B:J,9,FALSE),"-")</f>
        <v>-</v>
      </c>
      <c r="N263" s="24"/>
      <c r="O263" s="25" t="str">
        <f t="shared" si="4"/>
        <v>Por iniciar</v>
      </c>
      <c r="P263"/>
    </row>
    <row r="264" spans="1:16" ht="14.5">
      <c r="A264" s="18"/>
      <c r="B264" s="57"/>
      <c r="C264" s="57"/>
      <c r="D264" s="57"/>
      <c r="E264" s="57"/>
      <c r="F264" s="57"/>
      <c r="G264" s="57"/>
      <c r="H264" s="62" t="s">
        <v>9</v>
      </c>
      <c r="I264" s="19" t="s">
        <v>425</v>
      </c>
      <c r="J264" s="24">
        <f>+COUNTIFS('3. Resultados'!C:C,'1. Status'!H264,'3. Resultados'!G:G,'1. Status'!I264)</f>
        <v>0</v>
      </c>
      <c r="K264" s="70" t="str">
        <f>+IFERROR(VLOOKUP(CONCATENATE(A264,$B$10,B264),'3. Resultados'!B:J,8,FALSE),"-")</f>
        <v>-</v>
      </c>
      <c r="L264" s="69" t="str">
        <f>+IFERROR(VLOOKUP(B264,'3. Resultados'!K:L,2,FALSE),"-")</f>
        <v>-</v>
      </c>
      <c r="M264" s="70" t="str">
        <f>+IFERROR(VLOOKUP(CONCATENATE(A264,$B$10,B264),'3. Resultados'!B:J,9,FALSE),"-")</f>
        <v>-</v>
      </c>
      <c r="N264" s="24"/>
      <c r="O264" s="25" t="str">
        <f t="shared" si="4"/>
        <v>Por iniciar</v>
      </c>
      <c r="P264"/>
    </row>
    <row r="265" spans="1:16" ht="14.5">
      <c r="A265" s="18"/>
      <c r="B265" s="57"/>
      <c r="C265" s="57"/>
      <c r="D265" s="57"/>
      <c r="E265" s="57"/>
      <c r="F265" s="57"/>
      <c r="G265" s="57"/>
      <c r="H265" s="62" t="s">
        <v>9</v>
      </c>
      <c r="I265" s="19" t="s">
        <v>426</v>
      </c>
      <c r="J265" s="24">
        <f>+COUNTIFS('3. Resultados'!C:C,'1. Status'!H265,'3. Resultados'!G:G,'1. Status'!I265)</f>
        <v>0</v>
      </c>
      <c r="K265" s="70" t="str">
        <f>+IFERROR(VLOOKUP(CONCATENATE(A265,$B$10,B265),'3. Resultados'!B:J,8,FALSE),"-")</f>
        <v>-</v>
      </c>
      <c r="L265" s="69" t="str">
        <f>+IFERROR(VLOOKUP(B265,'3. Resultados'!K:L,2,FALSE),"-")</f>
        <v>-</v>
      </c>
      <c r="M265" s="70" t="str">
        <f>+IFERROR(VLOOKUP(CONCATENATE(A265,$B$10,B265),'3. Resultados'!B:J,9,FALSE),"-")</f>
        <v>-</v>
      </c>
      <c r="N265" s="24"/>
      <c r="O265" s="25" t="str">
        <f t="shared" si="4"/>
        <v>Por iniciar</v>
      </c>
      <c r="P265"/>
    </row>
    <row r="266" spans="1:16" ht="14.5">
      <c r="A266" s="18"/>
      <c r="B266" s="57"/>
      <c r="C266" s="57"/>
      <c r="D266" s="57"/>
      <c r="E266" s="57"/>
      <c r="F266" s="57"/>
      <c r="G266" s="57"/>
      <c r="H266" s="62" t="s">
        <v>9</v>
      </c>
      <c r="I266" s="19" t="s">
        <v>427</v>
      </c>
      <c r="J266" s="24">
        <f>+COUNTIFS('3. Resultados'!C:C,'1. Status'!H266,'3. Resultados'!G:G,'1. Status'!I266)</f>
        <v>0</v>
      </c>
      <c r="K266" s="70" t="str">
        <f>+IFERROR(VLOOKUP(CONCATENATE(A266,$B$10,B266),'3. Resultados'!B:J,8,FALSE),"-")</f>
        <v>-</v>
      </c>
      <c r="L266" s="69" t="str">
        <f>+IFERROR(VLOOKUP(B266,'3. Resultados'!K:L,2,FALSE),"-")</f>
        <v>-</v>
      </c>
      <c r="M266" s="70" t="str">
        <f>+IFERROR(VLOOKUP(CONCATENATE(A266,$B$10,B266),'3. Resultados'!B:J,9,FALSE),"-")</f>
        <v>-</v>
      </c>
      <c r="N266" s="24"/>
      <c r="O266" s="25" t="str">
        <f t="shared" si="4"/>
        <v>Por iniciar</v>
      </c>
      <c r="P266"/>
    </row>
    <row r="267" spans="1:16" ht="14.5">
      <c r="A267" s="18"/>
      <c r="B267" s="57"/>
      <c r="C267" s="57"/>
      <c r="D267" s="57"/>
      <c r="E267" s="57"/>
      <c r="F267" s="57"/>
      <c r="G267" s="57"/>
      <c r="H267" s="62" t="s">
        <v>9</v>
      </c>
      <c r="I267" s="19" t="s">
        <v>428</v>
      </c>
      <c r="J267" s="24">
        <f>+COUNTIFS('3. Resultados'!C:C,'1. Status'!H267,'3. Resultados'!G:G,'1. Status'!I267)</f>
        <v>0</v>
      </c>
      <c r="K267" s="70" t="str">
        <f>+IFERROR(VLOOKUP(CONCATENATE(A267,$B$10,B267),'3. Resultados'!B:J,8,FALSE),"-")</f>
        <v>-</v>
      </c>
      <c r="L267" s="69" t="str">
        <f>+IFERROR(VLOOKUP(B267,'3. Resultados'!K:L,2,FALSE),"-")</f>
        <v>-</v>
      </c>
      <c r="M267" s="70" t="str">
        <f>+IFERROR(VLOOKUP(CONCATENATE(A267,$B$10,B267),'3. Resultados'!B:J,9,FALSE),"-")</f>
        <v>-</v>
      </c>
      <c r="N267" s="24"/>
      <c r="O267" s="25" t="str">
        <f t="shared" si="4"/>
        <v>Por iniciar</v>
      </c>
      <c r="P267"/>
    </row>
    <row r="268" spans="1:16" ht="14.5">
      <c r="A268" s="18"/>
      <c r="B268" s="57"/>
      <c r="C268" s="57"/>
      <c r="D268" s="57"/>
      <c r="E268" s="57"/>
      <c r="F268" s="57"/>
      <c r="G268" s="57"/>
      <c r="H268" s="62" t="s">
        <v>9</v>
      </c>
      <c r="I268" s="19" t="s">
        <v>429</v>
      </c>
      <c r="J268" s="24">
        <f>+COUNTIFS('3. Resultados'!C:C,'1. Status'!H268,'3. Resultados'!G:G,'1. Status'!I268)</f>
        <v>0</v>
      </c>
      <c r="K268" s="70" t="str">
        <f>+IFERROR(VLOOKUP(CONCATENATE(A268,$B$10,B268),'3. Resultados'!B:J,8,FALSE),"-")</f>
        <v>-</v>
      </c>
      <c r="L268" s="69" t="str">
        <f>+IFERROR(VLOOKUP(B268,'3. Resultados'!K:L,2,FALSE),"-")</f>
        <v>-</v>
      </c>
      <c r="M268" s="70" t="str">
        <f>+IFERROR(VLOOKUP(CONCATENATE(A268,$B$10,B268),'3. Resultados'!B:J,9,FALSE),"-")</f>
        <v>-</v>
      </c>
      <c r="N268" s="24"/>
      <c r="O268" s="25" t="str">
        <f t="shared" ref="O268:O331" si="5">+IF(J268=0,"Por iniciar",IF(OR(K268="-",M268="-"),"Em testes",IF(M268=0,"OK","NOK")))</f>
        <v>Por iniciar</v>
      </c>
      <c r="P268"/>
    </row>
    <row r="269" spans="1:16" ht="14.5">
      <c r="A269" s="18"/>
      <c r="B269" s="57"/>
      <c r="C269" s="57"/>
      <c r="D269" s="57"/>
      <c r="E269" s="57"/>
      <c r="F269" s="57"/>
      <c r="G269" s="57"/>
      <c r="H269" s="62" t="s">
        <v>9</v>
      </c>
      <c r="I269" s="19" t="s">
        <v>430</v>
      </c>
      <c r="J269" s="24">
        <f>+COUNTIFS('3. Resultados'!C:C,'1. Status'!H269,'3. Resultados'!G:G,'1. Status'!I269)</f>
        <v>0</v>
      </c>
      <c r="K269" s="70" t="str">
        <f>+IFERROR(VLOOKUP(CONCATENATE(A269,$B$10,B269),'3. Resultados'!B:J,8,FALSE),"-")</f>
        <v>-</v>
      </c>
      <c r="L269" s="69" t="str">
        <f>+IFERROR(VLOOKUP(B269,'3. Resultados'!K:L,2,FALSE),"-")</f>
        <v>-</v>
      </c>
      <c r="M269" s="70" t="str">
        <f>+IFERROR(VLOOKUP(CONCATENATE(A269,$B$10,B269),'3. Resultados'!B:J,9,FALSE),"-")</f>
        <v>-</v>
      </c>
      <c r="N269" s="24"/>
      <c r="O269" s="25" t="str">
        <f t="shared" si="5"/>
        <v>Por iniciar</v>
      </c>
      <c r="P269"/>
    </row>
    <row r="270" spans="1:16" ht="14.5">
      <c r="A270" s="18"/>
      <c r="B270" s="57"/>
      <c r="C270" s="57"/>
      <c r="D270" s="57"/>
      <c r="E270" s="57"/>
      <c r="F270" s="57"/>
      <c r="G270" s="57"/>
      <c r="H270" s="62" t="s">
        <v>9</v>
      </c>
      <c r="I270" s="19" t="s">
        <v>431</v>
      </c>
      <c r="J270" s="24">
        <f>+COUNTIFS('3. Resultados'!C:C,'1. Status'!H270,'3. Resultados'!G:G,'1. Status'!I270)</f>
        <v>0</v>
      </c>
      <c r="K270" s="70" t="str">
        <f>+IFERROR(VLOOKUP(CONCATENATE(A270,$B$10,B270),'3. Resultados'!B:J,8,FALSE),"-")</f>
        <v>-</v>
      </c>
      <c r="L270" s="69" t="str">
        <f>+IFERROR(VLOOKUP(B270,'3. Resultados'!K:L,2,FALSE),"-")</f>
        <v>-</v>
      </c>
      <c r="M270" s="70" t="str">
        <f>+IFERROR(VLOOKUP(CONCATENATE(A270,$B$10,B270),'3. Resultados'!B:J,9,FALSE),"-")</f>
        <v>-</v>
      </c>
      <c r="N270" s="24"/>
      <c r="O270" s="25" t="str">
        <f t="shared" si="5"/>
        <v>Por iniciar</v>
      </c>
      <c r="P270"/>
    </row>
    <row r="271" spans="1:16" ht="14.5">
      <c r="A271" s="18"/>
      <c r="B271" s="57"/>
      <c r="C271" s="57"/>
      <c r="D271" s="57"/>
      <c r="E271" s="57"/>
      <c r="F271" s="57"/>
      <c r="G271" s="57"/>
      <c r="H271" s="62" t="s">
        <v>9</v>
      </c>
      <c r="I271" s="19" t="s">
        <v>432</v>
      </c>
      <c r="J271" s="24">
        <f>+COUNTIFS('3. Resultados'!C:C,'1. Status'!H271,'3. Resultados'!G:G,'1. Status'!I271)</f>
        <v>0</v>
      </c>
      <c r="K271" s="70" t="str">
        <f>+IFERROR(VLOOKUP(CONCATENATE(A271,$B$10,B271),'3. Resultados'!B:J,8,FALSE),"-")</f>
        <v>-</v>
      </c>
      <c r="L271" s="69" t="str">
        <f>+IFERROR(VLOOKUP(B271,'3. Resultados'!K:L,2,FALSE),"-")</f>
        <v>-</v>
      </c>
      <c r="M271" s="70" t="str">
        <f>+IFERROR(VLOOKUP(CONCATENATE(A271,$B$10,B271),'3. Resultados'!B:J,9,FALSE),"-")</f>
        <v>-</v>
      </c>
      <c r="N271" s="24"/>
      <c r="O271" s="25" t="str">
        <f t="shared" si="5"/>
        <v>Por iniciar</v>
      </c>
      <c r="P271"/>
    </row>
    <row r="272" spans="1:16" ht="14.5">
      <c r="A272" s="18"/>
      <c r="B272" s="57"/>
      <c r="C272" s="57"/>
      <c r="D272" s="57"/>
      <c r="E272" s="57"/>
      <c r="F272" s="57"/>
      <c r="G272" s="57"/>
      <c r="H272" s="62" t="s">
        <v>9</v>
      </c>
      <c r="I272" s="19" t="s">
        <v>433</v>
      </c>
      <c r="J272" s="24">
        <f>+COUNTIFS('3. Resultados'!C:C,'1. Status'!H272,'3. Resultados'!G:G,'1. Status'!I272)</f>
        <v>0</v>
      </c>
      <c r="K272" s="70" t="str">
        <f>+IFERROR(VLOOKUP(CONCATENATE(A272,$B$10,B272),'3. Resultados'!B:J,8,FALSE),"-")</f>
        <v>-</v>
      </c>
      <c r="L272" s="69" t="str">
        <f>+IFERROR(VLOOKUP(B272,'3. Resultados'!K:L,2,FALSE),"-")</f>
        <v>-</v>
      </c>
      <c r="M272" s="70" t="str">
        <f>+IFERROR(VLOOKUP(CONCATENATE(A272,$B$10,B272),'3. Resultados'!B:J,9,FALSE),"-")</f>
        <v>-</v>
      </c>
      <c r="N272" s="24"/>
      <c r="O272" s="25" t="str">
        <f t="shared" si="5"/>
        <v>Por iniciar</v>
      </c>
      <c r="P272"/>
    </row>
    <row r="273" spans="1:16" ht="14.5">
      <c r="A273" s="18"/>
      <c r="B273" s="57"/>
      <c r="C273" s="57"/>
      <c r="D273" s="57"/>
      <c r="E273" s="57"/>
      <c r="F273" s="57"/>
      <c r="G273" s="57"/>
      <c r="H273" s="62" t="s">
        <v>9</v>
      </c>
      <c r="I273" s="19" t="s">
        <v>153</v>
      </c>
      <c r="J273" s="24">
        <f>+COUNTIFS('3. Resultados'!C:C,'1. Status'!H273,'3. Resultados'!G:G,'1. Status'!I273)</f>
        <v>0</v>
      </c>
      <c r="K273" s="70" t="str">
        <f>+IFERROR(VLOOKUP(CONCATENATE(A273,$B$10,B273),'3. Resultados'!B:J,8,FALSE),"-")</f>
        <v>-</v>
      </c>
      <c r="L273" s="69" t="str">
        <f>+IFERROR(VLOOKUP(B273,'3. Resultados'!K:L,2,FALSE),"-")</f>
        <v>-</v>
      </c>
      <c r="M273" s="70" t="str">
        <f>+IFERROR(VLOOKUP(CONCATENATE(A273,$B$10,B273),'3. Resultados'!B:J,9,FALSE),"-")</f>
        <v>-</v>
      </c>
      <c r="N273" s="24"/>
      <c r="O273" s="25" t="str">
        <f t="shared" si="5"/>
        <v>Por iniciar</v>
      </c>
      <c r="P273"/>
    </row>
    <row r="274" spans="1:16" ht="14.5">
      <c r="A274" s="18"/>
      <c r="B274" s="57"/>
      <c r="C274" s="57"/>
      <c r="D274" s="57"/>
      <c r="E274" s="57"/>
      <c r="F274" s="57"/>
      <c r="G274" s="57"/>
      <c r="H274" s="62" t="s">
        <v>9</v>
      </c>
      <c r="I274" s="19" t="s">
        <v>434</v>
      </c>
      <c r="J274" s="24">
        <f>+COUNTIFS('3. Resultados'!C:C,'1. Status'!H274,'3. Resultados'!G:G,'1. Status'!I274)</f>
        <v>0</v>
      </c>
      <c r="K274" s="70" t="str">
        <f>+IFERROR(VLOOKUP(CONCATENATE(A274,$B$10,B274),'3. Resultados'!B:J,8,FALSE),"-")</f>
        <v>-</v>
      </c>
      <c r="L274" s="69" t="str">
        <f>+IFERROR(VLOOKUP(B274,'3. Resultados'!K:L,2,FALSE),"-")</f>
        <v>-</v>
      </c>
      <c r="M274" s="70" t="str">
        <f>+IFERROR(VLOOKUP(CONCATENATE(A274,$B$10,B274),'3. Resultados'!B:J,9,FALSE),"-")</f>
        <v>-</v>
      </c>
      <c r="N274" s="24"/>
      <c r="O274" s="25" t="str">
        <f t="shared" si="5"/>
        <v>Por iniciar</v>
      </c>
      <c r="P274"/>
    </row>
    <row r="275" spans="1:16" ht="14.5">
      <c r="A275" s="18"/>
      <c r="B275" s="57"/>
      <c r="C275" s="57"/>
      <c r="D275" s="57"/>
      <c r="E275" s="57"/>
      <c r="F275" s="57"/>
      <c r="G275" s="57"/>
      <c r="H275" s="62" t="s">
        <v>9</v>
      </c>
      <c r="I275" s="19" t="s">
        <v>435</v>
      </c>
      <c r="J275" s="24">
        <f>+COUNTIFS('3. Resultados'!C:C,'1. Status'!H275,'3. Resultados'!G:G,'1. Status'!I275)</f>
        <v>0</v>
      </c>
      <c r="K275" s="70" t="str">
        <f>+IFERROR(VLOOKUP(CONCATENATE(A275,$B$10,B275),'3. Resultados'!B:J,8,FALSE),"-")</f>
        <v>-</v>
      </c>
      <c r="L275" s="69" t="str">
        <f>+IFERROR(VLOOKUP(B275,'3. Resultados'!K:L,2,FALSE),"-")</f>
        <v>-</v>
      </c>
      <c r="M275" s="70" t="str">
        <f>+IFERROR(VLOOKUP(CONCATENATE(A275,$B$10,B275),'3. Resultados'!B:J,9,FALSE),"-")</f>
        <v>-</v>
      </c>
      <c r="N275" s="24"/>
      <c r="O275" s="25" t="str">
        <f t="shared" si="5"/>
        <v>Por iniciar</v>
      </c>
      <c r="P275"/>
    </row>
    <row r="276" spans="1:16" ht="14.5">
      <c r="A276" s="18"/>
      <c r="B276" s="57"/>
      <c r="C276" s="57"/>
      <c r="D276" s="57"/>
      <c r="E276" s="57"/>
      <c r="F276" s="57"/>
      <c r="G276" s="57"/>
      <c r="H276" s="62" t="s">
        <v>9</v>
      </c>
      <c r="I276" s="19" t="s">
        <v>436</v>
      </c>
      <c r="J276" s="24">
        <f>+COUNTIFS('3. Resultados'!C:C,'1. Status'!H276,'3. Resultados'!G:G,'1. Status'!I276)</f>
        <v>0</v>
      </c>
      <c r="K276" s="70" t="str">
        <f>+IFERROR(VLOOKUP(CONCATENATE(A276,$B$10,B276),'3. Resultados'!B:J,8,FALSE),"-")</f>
        <v>-</v>
      </c>
      <c r="L276" s="69" t="str">
        <f>+IFERROR(VLOOKUP(B276,'3. Resultados'!K:L,2,FALSE),"-")</f>
        <v>-</v>
      </c>
      <c r="M276" s="70" t="str">
        <f>+IFERROR(VLOOKUP(CONCATENATE(A276,$B$10,B276),'3. Resultados'!B:J,9,FALSE),"-")</f>
        <v>-</v>
      </c>
      <c r="N276" s="24"/>
      <c r="O276" s="25" t="str">
        <f t="shared" si="5"/>
        <v>Por iniciar</v>
      </c>
      <c r="P276"/>
    </row>
    <row r="277" spans="1:16" ht="14.5">
      <c r="A277" s="18"/>
      <c r="B277" s="57"/>
      <c r="C277" s="57"/>
      <c r="D277" s="57"/>
      <c r="E277" s="57"/>
      <c r="F277" s="57"/>
      <c r="G277" s="57"/>
      <c r="H277" s="62" t="s">
        <v>9</v>
      </c>
      <c r="I277" s="19" t="s">
        <v>437</v>
      </c>
      <c r="J277" s="24">
        <f>+COUNTIFS('3. Resultados'!C:C,'1. Status'!H277,'3. Resultados'!G:G,'1. Status'!I277)</f>
        <v>0</v>
      </c>
      <c r="K277" s="70" t="str">
        <f>+IFERROR(VLOOKUP(CONCATENATE(A277,$B$10,B277),'3. Resultados'!B:J,8,FALSE),"-")</f>
        <v>-</v>
      </c>
      <c r="L277" s="69" t="str">
        <f>+IFERROR(VLOOKUP(B277,'3. Resultados'!K:L,2,FALSE),"-")</f>
        <v>-</v>
      </c>
      <c r="M277" s="70" t="str">
        <f>+IFERROR(VLOOKUP(CONCATENATE(A277,$B$10,B277),'3. Resultados'!B:J,9,FALSE),"-")</f>
        <v>-</v>
      </c>
      <c r="N277" s="24"/>
      <c r="O277" s="25" t="str">
        <f t="shared" si="5"/>
        <v>Por iniciar</v>
      </c>
      <c r="P277"/>
    </row>
    <row r="278" spans="1:16" ht="14.5">
      <c r="A278" s="18"/>
      <c r="B278" s="57"/>
      <c r="C278" s="57"/>
      <c r="D278" s="57"/>
      <c r="E278" s="57"/>
      <c r="F278" s="57"/>
      <c r="G278" s="57"/>
      <c r="H278" s="62" t="s">
        <v>9</v>
      </c>
      <c r="I278" s="19" t="s">
        <v>438</v>
      </c>
      <c r="J278" s="24">
        <f>+COUNTIFS('3. Resultados'!C:C,'1. Status'!H278,'3. Resultados'!G:G,'1. Status'!I278)</f>
        <v>0</v>
      </c>
      <c r="K278" s="70" t="str">
        <f>+IFERROR(VLOOKUP(CONCATENATE(A278,$B$10,B278),'3. Resultados'!B:J,8,FALSE),"-")</f>
        <v>-</v>
      </c>
      <c r="L278" s="69" t="str">
        <f>+IFERROR(VLOOKUP(B278,'3. Resultados'!K:L,2,FALSE),"-")</f>
        <v>-</v>
      </c>
      <c r="M278" s="70" t="str">
        <f>+IFERROR(VLOOKUP(CONCATENATE(A278,$B$10,B278),'3. Resultados'!B:J,9,FALSE),"-")</f>
        <v>-</v>
      </c>
      <c r="N278" s="24"/>
      <c r="O278" s="25" t="str">
        <f t="shared" si="5"/>
        <v>Por iniciar</v>
      </c>
      <c r="P278"/>
    </row>
    <row r="279" spans="1:16" ht="14.5">
      <c r="A279" s="18"/>
      <c r="B279" s="57"/>
      <c r="C279" s="57"/>
      <c r="D279" s="57"/>
      <c r="E279" s="57"/>
      <c r="F279" s="57"/>
      <c r="G279" s="57"/>
      <c r="H279" s="62" t="s">
        <v>9</v>
      </c>
      <c r="I279" s="19" t="s">
        <v>439</v>
      </c>
      <c r="J279" s="24">
        <f>+COUNTIFS('3. Resultados'!C:C,'1. Status'!H279,'3. Resultados'!G:G,'1. Status'!I279)</f>
        <v>0</v>
      </c>
      <c r="K279" s="70" t="str">
        <f>+IFERROR(VLOOKUP(CONCATENATE(A279,$B$10,B279),'3. Resultados'!B:J,8,FALSE),"-")</f>
        <v>-</v>
      </c>
      <c r="L279" s="69" t="str">
        <f>+IFERROR(VLOOKUP(B279,'3. Resultados'!K:L,2,FALSE),"-")</f>
        <v>-</v>
      </c>
      <c r="M279" s="70" t="str">
        <f>+IFERROR(VLOOKUP(CONCATENATE(A279,$B$10,B279),'3. Resultados'!B:J,9,FALSE),"-")</f>
        <v>-</v>
      </c>
      <c r="N279" s="24"/>
      <c r="O279" s="25" t="str">
        <f t="shared" si="5"/>
        <v>Por iniciar</v>
      </c>
      <c r="P279"/>
    </row>
    <row r="280" spans="1:16" ht="14.5">
      <c r="A280" s="18"/>
      <c r="B280" s="57"/>
      <c r="C280" s="57"/>
      <c r="D280" s="57"/>
      <c r="E280" s="57"/>
      <c r="F280" s="57"/>
      <c r="G280" s="57"/>
      <c r="H280" s="62" t="s">
        <v>9</v>
      </c>
      <c r="I280" s="19" t="s">
        <v>440</v>
      </c>
      <c r="J280" s="24">
        <f>+COUNTIFS('3. Resultados'!C:C,'1. Status'!H280,'3. Resultados'!G:G,'1. Status'!I280)</f>
        <v>0</v>
      </c>
      <c r="K280" s="70" t="str">
        <f>+IFERROR(VLOOKUP(CONCATENATE(A280,$B$10,B280),'3. Resultados'!B:J,8,FALSE),"-")</f>
        <v>-</v>
      </c>
      <c r="L280" s="69" t="str">
        <f>+IFERROR(VLOOKUP(B280,'3. Resultados'!K:L,2,FALSE),"-")</f>
        <v>-</v>
      </c>
      <c r="M280" s="70" t="str">
        <f>+IFERROR(VLOOKUP(CONCATENATE(A280,$B$10,B280),'3. Resultados'!B:J,9,FALSE),"-")</f>
        <v>-</v>
      </c>
      <c r="N280" s="24"/>
      <c r="O280" s="25" t="str">
        <f t="shared" si="5"/>
        <v>Por iniciar</v>
      </c>
      <c r="P280"/>
    </row>
    <row r="281" spans="1:16" ht="14.5">
      <c r="A281" s="18"/>
      <c r="B281" s="57"/>
      <c r="C281" s="57"/>
      <c r="D281" s="57"/>
      <c r="E281" s="57"/>
      <c r="F281" s="57"/>
      <c r="G281" s="57"/>
      <c r="H281" s="62" t="s">
        <v>9</v>
      </c>
      <c r="I281" s="19" t="s">
        <v>441</v>
      </c>
      <c r="J281" s="24">
        <f>+COUNTIFS('3. Resultados'!C:C,'1. Status'!H281,'3. Resultados'!G:G,'1. Status'!I281)</f>
        <v>0</v>
      </c>
      <c r="K281" s="70" t="str">
        <f>+IFERROR(VLOOKUP(CONCATENATE(A281,$B$10,B281),'3. Resultados'!B:J,8,FALSE),"-")</f>
        <v>-</v>
      </c>
      <c r="L281" s="69" t="str">
        <f>+IFERROR(VLOOKUP(B281,'3. Resultados'!K:L,2,FALSE),"-")</f>
        <v>-</v>
      </c>
      <c r="M281" s="70" t="str">
        <f>+IFERROR(VLOOKUP(CONCATENATE(A281,$B$10,B281),'3. Resultados'!B:J,9,FALSE),"-")</f>
        <v>-</v>
      </c>
      <c r="N281" s="24"/>
      <c r="O281" s="25" t="str">
        <f t="shared" si="5"/>
        <v>Por iniciar</v>
      </c>
      <c r="P281"/>
    </row>
    <row r="282" spans="1:16" ht="14.5">
      <c r="A282" s="18"/>
      <c r="B282" s="57"/>
      <c r="C282" s="57"/>
      <c r="D282" s="57"/>
      <c r="E282" s="57"/>
      <c r="F282" s="57"/>
      <c r="G282" s="57"/>
      <c r="H282" s="62" t="s">
        <v>9</v>
      </c>
      <c r="I282" s="19" t="s">
        <v>442</v>
      </c>
      <c r="J282" s="24">
        <f>+COUNTIFS('3. Resultados'!C:C,'1. Status'!H282,'3. Resultados'!G:G,'1. Status'!I282)</f>
        <v>0</v>
      </c>
      <c r="K282" s="70" t="str">
        <f>+IFERROR(VLOOKUP(CONCATENATE(A282,$B$10,B282),'3. Resultados'!B:J,8,FALSE),"-")</f>
        <v>-</v>
      </c>
      <c r="L282" s="69" t="str">
        <f>+IFERROR(VLOOKUP(B282,'3. Resultados'!K:L,2,FALSE),"-")</f>
        <v>-</v>
      </c>
      <c r="M282" s="70" t="str">
        <f>+IFERROR(VLOOKUP(CONCATENATE(A282,$B$10,B282),'3. Resultados'!B:J,9,FALSE),"-")</f>
        <v>-</v>
      </c>
      <c r="N282" s="24"/>
      <c r="O282" s="25" t="str">
        <f t="shared" si="5"/>
        <v>Por iniciar</v>
      </c>
      <c r="P282"/>
    </row>
    <row r="283" spans="1:16" ht="14.5">
      <c r="A283" s="18"/>
      <c r="B283" s="57"/>
      <c r="C283" s="57"/>
      <c r="D283" s="57"/>
      <c r="E283" s="57"/>
      <c r="F283" s="57"/>
      <c r="G283" s="57"/>
      <c r="H283" s="62" t="s">
        <v>9</v>
      </c>
      <c r="I283" s="19" t="s">
        <v>443</v>
      </c>
      <c r="J283" s="24">
        <f>+COUNTIFS('3. Resultados'!C:C,'1. Status'!H283,'3. Resultados'!G:G,'1. Status'!I283)</f>
        <v>0</v>
      </c>
      <c r="K283" s="70" t="str">
        <f>+IFERROR(VLOOKUP(CONCATENATE(A283,$B$10,B283),'3. Resultados'!B:J,8,FALSE),"-")</f>
        <v>-</v>
      </c>
      <c r="L283" s="69" t="str">
        <f>+IFERROR(VLOOKUP(B283,'3. Resultados'!K:L,2,FALSE),"-")</f>
        <v>-</v>
      </c>
      <c r="M283" s="70" t="str">
        <f>+IFERROR(VLOOKUP(CONCATENATE(A283,$B$10,B283),'3. Resultados'!B:J,9,FALSE),"-")</f>
        <v>-</v>
      </c>
      <c r="N283" s="24"/>
      <c r="O283" s="25" t="str">
        <f t="shared" si="5"/>
        <v>Por iniciar</v>
      </c>
      <c r="P283"/>
    </row>
    <row r="284" spans="1:16" ht="14.5">
      <c r="A284" s="18"/>
      <c r="B284" s="57"/>
      <c r="C284" s="57"/>
      <c r="D284" s="57"/>
      <c r="E284" s="57"/>
      <c r="F284" s="57"/>
      <c r="G284" s="57"/>
      <c r="H284" s="62" t="s">
        <v>9</v>
      </c>
      <c r="I284" s="19" t="s">
        <v>444</v>
      </c>
      <c r="J284" s="24">
        <f>+COUNTIFS('3. Resultados'!C:C,'1. Status'!H284,'3. Resultados'!G:G,'1. Status'!I284)</f>
        <v>0</v>
      </c>
      <c r="K284" s="70" t="str">
        <f>+IFERROR(VLOOKUP(CONCATENATE(A284,$B$10,B284),'3. Resultados'!B:J,8,FALSE),"-")</f>
        <v>-</v>
      </c>
      <c r="L284" s="69" t="str">
        <f>+IFERROR(VLOOKUP(B284,'3. Resultados'!K:L,2,FALSE),"-")</f>
        <v>-</v>
      </c>
      <c r="M284" s="70" t="str">
        <f>+IFERROR(VLOOKUP(CONCATENATE(A284,$B$10,B284),'3. Resultados'!B:J,9,FALSE),"-")</f>
        <v>-</v>
      </c>
      <c r="N284" s="24"/>
      <c r="O284" s="25" t="str">
        <f t="shared" si="5"/>
        <v>Por iniciar</v>
      </c>
      <c r="P284"/>
    </row>
    <row r="285" spans="1:16" ht="14.5">
      <c r="A285" s="18"/>
      <c r="B285" s="57"/>
      <c r="C285" s="57"/>
      <c r="D285" s="57"/>
      <c r="E285" s="57"/>
      <c r="F285" s="57"/>
      <c r="G285" s="57"/>
      <c r="H285" s="62" t="s">
        <v>9</v>
      </c>
      <c r="I285" s="19" t="s">
        <v>445</v>
      </c>
      <c r="J285" s="24">
        <f>+COUNTIFS('3. Resultados'!C:C,'1. Status'!H285,'3. Resultados'!G:G,'1. Status'!I285)</f>
        <v>0</v>
      </c>
      <c r="K285" s="70" t="str">
        <f>+IFERROR(VLOOKUP(CONCATENATE(A285,$B$10,B285),'3. Resultados'!B:J,8,FALSE),"-")</f>
        <v>-</v>
      </c>
      <c r="L285" s="69" t="str">
        <f>+IFERROR(VLOOKUP(B285,'3. Resultados'!K:L,2,FALSE),"-")</f>
        <v>-</v>
      </c>
      <c r="M285" s="70" t="str">
        <f>+IFERROR(VLOOKUP(CONCATENATE(A285,$B$10,B285),'3. Resultados'!B:J,9,FALSE),"-")</f>
        <v>-</v>
      </c>
      <c r="N285" s="24"/>
      <c r="O285" s="25" t="str">
        <f t="shared" si="5"/>
        <v>Por iniciar</v>
      </c>
      <c r="P285"/>
    </row>
    <row r="286" spans="1:16" ht="14.5">
      <c r="A286" s="18"/>
      <c r="B286" s="57"/>
      <c r="C286" s="57"/>
      <c r="D286" s="57"/>
      <c r="E286" s="57"/>
      <c r="F286" s="57"/>
      <c r="G286" s="57"/>
      <c r="H286" s="62" t="s">
        <v>9</v>
      </c>
      <c r="I286" s="19" t="s">
        <v>150</v>
      </c>
      <c r="J286" s="24">
        <f>+COUNTIFS('3. Resultados'!C:C,'1. Status'!H286,'3. Resultados'!G:G,'1. Status'!I286)</f>
        <v>0</v>
      </c>
      <c r="K286" s="70" t="str">
        <f>+IFERROR(VLOOKUP(CONCATENATE(A286,$B$10,B286),'3. Resultados'!B:J,8,FALSE),"-")</f>
        <v>-</v>
      </c>
      <c r="L286" s="69" t="str">
        <f>+IFERROR(VLOOKUP(B286,'3. Resultados'!K:L,2,FALSE),"-")</f>
        <v>-</v>
      </c>
      <c r="M286" s="70" t="str">
        <f>+IFERROR(VLOOKUP(CONCATENATE(A286,$B$10,B286),'3. Resultados'!B:J,9,FALSE),"-")</f>
        <v>-</v>
      </c>
      <c r="N286" s="24"/>
      <c r="O286" s="25" t="str">
        <f t="shared" si="5"/>
        <v>Por iniciar</v>
      </c>
      <c r="P286"/>
    </row>
    <row r="287" spans="1:16" ht="14.5">
      <c r="A287" s="18"/>
      <c r="B287" s="57"/>
      <c r="C287" s="57"/>
      <c r="D287" s="57"/>
      <c r="E287" s="57"/>
      <c r="F287" s="57"/>
      <c r="G287" s="57"/>
      <c r="H287" s="62" t="s">
        <v>9</v>
      </c>
      <c r="I287" s="19" t="s">
        <v>446</v>
      </c>
      <c r="J287" s="24">
        <f>+COUNTIFS('3. Resultados'!C:C,'1. Status'!H287,'3. Resultados'!G:G,'1. Status'!I287)</f>
        <v>0</v>
      </c>
      <c r="K287" s="70" t="str">
        <f>+IFERROR(VLOOKUP(CONCATENATE(A287,$B$10,B287),'3. Resultados'!B:J,8,FALSE),"-")</f>
        <v>-</v>
      </c>
      <c r="L287" s="69" t="str">
        <f>+IFERROR(VLOOKUP(B287,'3. Resultados'!K:L,2,FALSE),"-")</f>
        <v>-</v>
      </c>
      <c r="M287" s="70" t="str">
        <f>+IFERROR(VLOOKUP(CONCATENATE(A287,$B$10,B287),'3. Resultados'!B:J,9,FALSE),"-")</f>
        <v>-</v>
      </c>
      <c r="N287" s="24"/>
      <c r="O287" s="25" t="str">
        <f t="shared" si="5"/>
        <v>Por iniciar</v>
      </c>
      <c r="P287"/>
    </row>
    <row r="288" spans="1:16" ht="14.5">
      <c r="A288" s="18"/>
      <c r="B288" s="57"/>
      <c r="C288" s="57"/>
      <c r="D288" s="57"/>
      <c r="E288" s="57"/>
      <c r="F288" s="57"/>
      <c r="G288" s="57"/>
      <c r="H288" s="62" t="s">
        <v>9</v>
      </c>
      <c r="I288" s="19" t="s">
        <v>154</v>
      </c>
      <c r="J288" s="24">
        <f>+COUNTIFS('3. Resultados'!C:C,'1. Status'!H288,'3. Resultados'!G:G,'1. Status'!I288)</f>
        <v>0</v>
      </c>
      <c r="K288" s="70" t="str">
        <f>+IFERROR(VLOOKUP(CONCATENATE(A288,$B$10,B288),'3. Resultados'!B:J,8,FALSE),"-")</f>
        <v>-</v>
      </c>
      <c r="L288" s="69" t="str">
        <f>+IFERROR(VLOOKUP(B288,'3. Resultados'!K:L,2,FALSE),"-")</f>
        <v>-</v>
      </c>
      <c r="M288" s="70" t="str">
        <f>+IFERROR(VLOOKUP(CONCATENATE(A288,$B$10,B288),'3. Resultados'!B:J,9,FALSE),"-")</f>
        <v>-</v>
      </c>
      <c r="N288" s="24"/>
      <c r="O288" s="25" t="str">
        <f t="shared" si="5"/>
        <v>Por iniciar</v>
      </c>
      <c r="P288"/>
    </row>
    <row r="289" spans="1:16" ht="14.5">
      <c r="A289" s="18"/>
      <c r="B289" s="57"/>
      <c r="C289" s="57"/>
      <c r="D289" s="57"/>
      <c r="E289" s="57"/>
      <c r="F289" s="57"/>
      <c r="G289" s="57"/>
      <c r="H289" s="62" t="s">
        <v>9</v>
      </c>
      <c r="I289" s="19" t="s">
        <v>447</v>
      </c>
      <c r="J289" s="24">
        <f>+COUNTIFS('3. Resultados'!C:C,'1. Status'!H289,'3. Resultados'!G:G,'1. Status'!I289)</f>
        <v>0</v>
      </c>
      <c r="K289" s="70" t="str">
        <f>+IFERROR(VLOOKUP(CONCATENATE(A289,$B$10,B289),'3. Resultados'!B:J,8,FALSE),"-")</f>
        <v>-</v>
      </c>
      <c r="L289" s="69" t="str">
        <f>+IFERROR(VLOOKUP(B289,'3. Resultados'!K:L,2,FALSE),"-")</f>
        <v>-</v>
      </c>
      <c r="M289" s="70" t="str">
        <f>+IFERROR(VLOOKUP(CONCATENATE(A289,$B$10,B289),'3. Resultados'!B:J,9,FALSE),"-")</f>
        <v>-</v>
      </c>
      <c r="N289" s="24"/>
      <c r="O289" s="25" t="str">
        <f t="shared" si="5"/>
        <v>Por iniciar</v>
      </c>
      <c r="P289"/>
    </row>
    <row r="290" spans="1:16" ht="14.5">
      <c r="A290" s="18"/>
      <c r="B290" s="57"/>
      <c r="C290" s="57"/>
      <c r="D290" s="57"/>
      <c r="E290" s="57"/>
      <c r="F290" s="57"/>
      <c r="G290" s="57"/>
      <c r="H290" s="62" t="s">
        <v>9</v>
      </c>
      <c r="I290" s="19" t="s">
        <v>448</v>
      </c>
      <c r="J290" s="24">
        <f>+COUNTIFS('3. Resultados'!C:C,'1. Status'!H290,'3. Resultados'!G:G,'1. Status'!I290)</f>
        <v>0</v>
      </c>
      <c r="K290" s="70" t="str">
        <f>+IFERROR(VLOOKUP(CONCATENATE(A290,$B$10,B290),'3. Resultados'!B:J,8,FALSE),"-")</f>
        <v>-</v>
      </c>
      <c r="L290" s="69" t="str">
        <f>+IFERROR(VLOOKUP(B290,'3. Resultados'!K:L,2,FALSE),"-")</f>
        <v>-</v>
      </c>
      <c r="M290" s="70" t="str">
        <f>+IFERROR(VLOOKUP(CONCATENATE(A290,$B$10,B290),'3. Resultados'!B:J,9,FALSE),"-")</f>
        <v>-</v>
      </c>
      <c r="N290" s="24"/>
      <c r="O290" s="25" t="str">
        <f t="shared" si="5"/>
        <v>Por iniciar</v>
      </c>
      <c r="P290"/>
    </row>
    <row r="291" spans="1:16" ht="14.5">
      <c r="A291" s="18"/>
      <c r="B291" s="57"/>
      <c r="C291" s="57"/>
      <c r="D291" s="57"/>
      <c r="E291" s="57"/>
      <c r="F291" s="57"/>
      <c r="G291" s="57"/>
      <c r="H291" s="62" t="s">
        <v>9</v>
      </c>
      <c r="I291" s="19" t="s">
        <v>449</v>
      </c>
      <c r="J291" s="24">
        <f>+COUNTIFS('3. Resultados'!C:C,'1. Status'!H291,'3. Resultados'!G:G,'1. Status'!I291)</f>
        <v>0</v>
      </c>
      <c r="K291" s="70" t="str">
        <f>+IFERROR(VLOOKUP(CONCATENATE(A291,$B$10,B291),'3. Resultados'!B:J,8,FALSE),"-")</f>
        <v>-</v>
      </c>
      <c r="L291" s="69" t="str">
        <f>+IFERROR(VLOOKUP(B291,'3. Resultados'!K:L,2,FALSE),"-")</f>
        <v>-</v>
      </c>
      <c r="M291" s="70" t="str">
        <f>+IFERROR(VLOOKUP(CONCATENATE(A291,$B$10,B291),'3. Resultados'!B:J,9,FALSE),"-")</f>
        <v>-</v>
      </c>
      <c r="N291" s="24"/>
      <c r="O291" s="25" t="str">
        <f t="shared" si="5"/>
        <v>Por iniciar</v>
      </c>
      <c r="P291"/>
    </row>
    <row r="292" spans="1:16" ht="14.5">
      <c r="A292" s="18"/>
      <c r="B292" s="57"/>
      <c r="C292" s="57"/>
      <c r="D292" s="57"/>
      <c r="E292" s="57"/>
      <c r="F292" s="57"/>
      <c r="G292" s="57"/>
      <c r="H292" s="62" t="s">
        <v>9</v>
      </c>
      <c r="I292" s="19" t="s">
        <v>450</v>
      </c>
      <c r="J292" s="24">
        <f>+COUNTIFS('3. Resultados'!C:C,'1. Status'!H292,'3. Resultados'!G:G,'1. Status'!I292)</f>
        <v>0</v>
      </c>
      <c r="K292" s="70" t="str">
        <f>+IFERROR(VLOOKUP(CONCATENATE(A292,$B$10,B292),'3. Resultados'!B:J,8,FALSE),"-")</f>
        <v>-</v>
      </c>
      <c r="L292" s="69" t="str">
        <f>+IFERROR(VLOOKUP(B292,'3. Resultados'!K:L,2,FALSE),"-")</f>
        <v>-</v>
      </c>
      <c r="M292" s="70" t="str">
        <f>+IFERROR(VLOOKUP(CONCATENATE(A292,$B$10,B292),'3. Resultados'!B:J,9,FALSE),"-")</f>
        <v>-</v>
      </c>
      <c r="N292" s="24"/>
      <c r="O292" s="25" t="str">
        <f t="shared" si="5"/>
        <v>Por iniciar</v>
      </c>
      <c r="P292"/>
    </row>
    <row r="293" spans="1:16" ht="14.5">
      <c r="A293" s="18"/>
      <c r="B293" s="57"/>
      <c r="C293" s="57"/>
      <c r="D293" s="57"/>
      <c r="E293" s="57"/>
      <c r="F293" s="57"/>
      <c r="G293" s="57"/>
      <c r="H293" s="62" t="s">
        <v>9</v>
      </c>
      <c r="I293" s="19" t="s">
        <v>451</v>
      </c>
      <c r="J293" s="24">
        <f>+COUNTIFS('3. Resultados'!C:C,'1. Status'!H293,'3. Resultados'!G:G,'1. Status'!I293)</f>
        <v>0</v>
      </c>
      <c r="K293" s="70" t="str">
        <f>+IFERROR(VLOOKUP(CONCATENATE(A293,$B$10,B293),'3. Resultados'!B:J,8,FALSE),"-")</f>
        <v>-</v>
      </c>
      <c r="L293" s="69" t="str">
        <f>+IFERROR(VLOOKUP(B293,'3. Resultados'!K:L,2,FALSE),"-")</f>
        <v>-</v>
      </c>
      <c r="M293" s="70" t="str">
        <f>+IFERROR(VLOOKUP(CONCATENATE(A293,$B$10,B293),'3. Resultados'!B:J,9,FALSE),"-")</f>
        <v>-</v>
      </c>
      <c r="N293" s="24"/>
      <c r="O293" s="25" t="str">
        <f t="shared" si="5"/>
        <v>Por iniciar</v>
      </c>
      <c r="P293"/>
    </row>
    <row r="294" spans="1:16" ht="14.5">
      <c r="A294" s="18"/>
      <c r="B294" s="57"/>
      <c r="C294" s="57"/>
      <c r="D294" s="57"/>
      <c r="E294" s="57"/>
      <c r="F294" s="57"/>
      <c r="G294" s="57"/>
      <c r="H294" s="62" t="s">
        <v>9</v>
      </c>
      <c r="I294" s="19" t="s">
        <v>125</v>
      </c>
      <c r="J294" s="24">
        <f>+COUNTIFS('3. Resultados'!C:C,'1. Status'!H294,'3. Resultados'!G:G,'1. Status'!I294)</f>
        <v>0</v>
      </c>
      <c r="K294" s="70" t="str">
        <f>+IFERROR(VLOOKUP(CONCATENATE(A294,$B$10,B294),'3. Resultados'!B:J,8,FALSE),"-")</f>
        <v>-</v>
      </c>
      <c r="L294" s="69" t="str">
        <f>+IFERROR(VLOOKUP(B294,'3. Resultados'!K:L,2,FALSE),"-")</f>
        <v>-</v>
      </c>
      <c r="M294" s="70" t="str">
        <f>+IFERROR(VLOOKUP(CONCATENATE(A294,$B$10,B294),'3. Resultados'!B:J,9,FALSE),"-")</f>
        <v>-</v>
      </c>
      <c r="N294" s="24"/>
      <c r="O294" s="25" t="str">
        <f t="shared" si="5"/>
        <v>Por iniciar</v>
      </c>
      <c r="P294"/>
    </row>
    <row r="295" spans="1:16" ht="14.5">
      <c r="A295" s="18"/>
      <c r="B295" s="57"/>
      <c r="C295" s="57"/>
      <c r="D295" s="57"/>
      <c r="E295" s="57"/>
      <c r="F295" s="57"/>
      <c r="G295" s="57"/>
      <c r="H295" s="62" t="s">
        <v>9</v>
      </c>
      <c r="I295" s="19" t="s">
        <v>126</v>
      </c>
      <c r="J295" s="24">
        <f>+COUNTIFS('3. Resultados'!C:C,'1. Status'!H295,'3. Resultados'!G:G,'1. Status'!I295)</f>
        <v>0</v>
      </c>
      <c r="K295" s="70" t="str">
        <f>+IFERROR(VLOOKUP(CONCATENATE(A295,$B$10,B295),'3. Resultados'!B:J,8,FALSE),"-")</f>
        <v>-</v>
      </c>
      <c r="L295" s="69" t="str">
        <f>+IFERROR(VLOOKUP(B295,'3. Resultados'!K:L,2,FALSE),"-")</f>
        <v>-</v>
      </c>
      <c r="M295" s="70" t="str">
        <f>+IFERROR(VLOOKUP(CONCATENATE(A295,$B$10,B295),'3. Resultados'!B:J,9,FALSE),"-")</f>
        <v>-</v>
      </c>
      <c r="N295" s="24"/>
      <c r="O295" s="25" t="str">
        <f t="shared" si="5"/>
        <v>Por iniciar</v>
      </c>
      <c r="P295"/>
    </row>
    <row r="296" spans="1:16" ht="14.5">
      <c r="A296" s="18"/>
      <c r="B296" s="57"/>
      <c r="C296" s="57"/>
      <c r="D296" s="57"/>
      <c r="E296" s="57"/>
      <c r="F296" s="57"/>
      <c r="G296" s="57"/>
      <c r="H296" s="62" t="s">
        <v>9</v>
      </c>
      <c r="I296" s="19" t="s">
        <v>127</v>
      </c>
      <c r="J296" s="24">
        <f>+COUNTIFS('3. Resultados'!C:C,'1. Status'!H296,'3. Resultados'!G:G,'1. Status'!I296)</f>
        <v>0</v>
      </c>
      <c r="K296" s="70" t="str">
        <f>+IFERROR(VLOOKUP(CONCATENATE(A296,$B$10,B296),'3. Resultados'!B:J,8,FALSE),"-")</f>
        <v>-</v>
      </c>
      <c r="L296" s="69" t="str">
        <f>+IFERROR(VLOOKUP(B296,'3. Resultados'!K:L,2,FALSE),"-")</f>
        <v>-</v>
      </c>
      <c r="M296" s="70" t="str">
        <f>+IFERROR(VLOOKUP(CONCATENATE(A296,$B$10,B296),'3. Resultados'!B:J,9,FALSE),"-")</f>
        <v>-</v>
      </c>
      <c r="N296" s="24"/>
      <c r="O296" s="25" t="str">
        <f t="shared" si="5"/>
        <v>Por iniciar</v>
      </c>
      <c r="P296"/>
    </row>
    <row r="297" spans="1:16" ht="14.5">
      <c r="A297" s="18"/>
      <c r="B297" s="57"/>
      <c r="C297" s="57"/>
      <c r="D297" s="57"/>
      <c r="E297" s="57"/>
      <c r="F297" s="57"/>
      <c r="G297" s="57"/>
      <c r="H297" s="62" t="s">
        <v>9</v>
      </c>
      <c r="I297" s="19" t="s">
        <v>128</v>
      </c>
      <c r="J297" s="24">
        <f>+COUNTIFS('3. Resultados'!C:C,'1. Status'!H297,'3. Resultados'!G:G,'1. Status'!I297)</f>
        <v>0</v>
      </c>
      <c r="K297" s="70" t="str">
        <f>+IFERROR(VLOOKUP(CONCATENATE(A297,$B$10,B297),'3. Resultados'!B:J,8,FALSE),"-")</f>
        <v>-</v>
      </c>
      <c r="L297" s="69" t="str">
        <f>+IFERROR(VLOOKUP(B297,'3. Resultados'!K:L,2,FALSE),"-")</f>
        <v>-</v>
      </c>
      <c r="M297" s="70" t="str">
        <f>+IFERROR(VLOOKUP(CONCATENATE(A297,$B$10,B297),'3. Resultados'!B:J,9,FALSE),"-")</f>
        <v>-</v>
      </c>
      <c r="N297" s="24"/>
      <c r="O297" s="25" t="str">
        <f t="shared" si="5"/>
        <v>Por iniciar</v>
      </c>
      <c r="P297"/>
    </row>
    <row r="298" spans="1:16" ht="14.5">
      <c r="A298" s="18"/>
      <c r="B298" s="57"/>
      <c r="C298" s="57"/>
      <c r="D298" s="57"/>
      <c r="E298" s="57"/>
      <c r="F298" s="57"/>
      <c r="G298" s="57"/>
      <c r="H298" s="62" t="s">
        <v>9</v>
      </c>
      <c r="I298" s="19" t="s">
        <v>129</v>
      </c>
      <c r="J298" s="24">
        <f>+COUNTIFS('3. Resultados'!C:C,'1. Status'!H298,'3. Resultados'!G:G,'1. Status'!I298)</f>
        <v>0</v>
      </c>
      <c r="K298" s="70" t="str">
        <f>+IFERROR(VLOOKUP(CONCATENATE(A298,$B$10,B298),'3. Resultados'!B:J,8,FALSE),"-")</f>
        <v>-</v>
      </c>
      <c r="L298" s="69" t="str">
        <f>+IFERROR(VLOOKUP(B298,'3. Resultados'!K:L,2,FALSE),"-")</f>
        <v>-</v>
      </c>
      <c r="M298" s="70" t="str">
        <f>+IFERROR(VLOOKUP(CONCATENATE(A298,$B$10,B298),'3. Resultados'!B:J,9,FALSE),"-")</f>
        <v>-</v>
      </c>
      <c r="N298" s="24"/>
      <c r="O298" s="25" t="str">
        <f t="shared" si="5"/>
        <v>Por iniciar</v>
      </c>
      <c r="P298"/>
    </row>
    <row r="299" spans="1:16" ht="14.5">
      <c r="A299" s="18"/>
      <c r="B299" s="57"/>
      <c r="C299" s="57"/>
      <c r="D299" s="57"/>
      <c r="E299" s="57"/>
      <c r="F299" s="57"/>
      <c r="G299" s="57"/>
      <c r="H299" s="62" t="s">
        <v>9</v>
      </c>
      <c r="I299" s="19" t="s">
        <v>130</v>
      </c>
      <c r="J299" s="24">
        <f>+COUNTIFS('3. Resultados'!C:C,'1. Status'!H299,'3. Resultados'!G:G,'1. Status'!I299)</f>
        <v>0</v>
      </c>
      <c r="K299" s="70" t="str">
        <f>+IFERROR(VLOOKUP(CONCATENATE(A299,$B$10,B299),'3. Resultados'!B:J,8,FALSE),"-")</f>
        <v>-</v>
      </c>
      <c r="L299" s="69" t="str">
        <f>+IFERROR(VLOOKUP(B299,'3. Resultados'!K:L,2,FALSE),"-")</f>
        <v>-</v>
      </c>
      <c r="M299" s="70" t="str">
        <f>+IFERROR(VLOOKUP(CONCATENATE(A299,$B$10,B299),'3. Resultados'!B:J,9,FALSE),"-")</f>
        <v>-</v>
      </c>
      <c r="N299" s="24"/>
      <c r="O299" s="25" t="str">
        <f t="shared" si="5"/>
        <v>Por iniciar</v>
      </c>
      <c r="P299"/>
    </row>
    <row r="300" spans="1:16" ht="14.5">
      <c r="A300" s="18"/>
      <c r="B300" s="57"/>
      <c r="C300" s="57"/>
      <c r="D300" s="57"/>
      <c r="E300" s="57"/>
      <c r="F300" s="57"/>
      <c r="G300" s="57"/>
      <c r="H300" s="62" t="s">
        <v>9</v>
      </c>
      <c r="I300" s="19" t="s">
        <v>131</v>
      </c>
      <c r="J300" s="24">
        <f>+COUNTIFS('3. Resultados'!C:C,'1. Status'!H300,'3. Resultados'!G:G,'1. Status'!I300)</f>
        <v>0</v>
      </c>
      <c r="K300" s="70" t="str">
        <f>+IFERROR(VLOOKUP(CONCATENATE(A300,$B$10,B300),'3. Resultados'!B:J,8,FALSE),"-")</f>
        <v>-</v>
      </c>
      <c r="L300" s="69" t="str">
        <f>+IFERROR(VLOOKUP(B300,'3. Resultados'!K:L,2,FALSE),"-")</f>
        <v>-</v>
      </c>
      <c r="M300" s="70" t="str">
        <f>+IFERROR(VLOOKUP(CONCATENATE(A300,$B$10,B300),'3. Resultados'!B:J,9,FALSE),"-")</f>
        <v>-</v>
      </c>
      <c r="N300" s="24"/>
      <c r="O300" s="25" t="str">
        <f t="shared" si="5"/>
        <v>Por iniciar</v>
      </c>
      <c r="P300"/>
    </row>
    <row r="301" spans="1:16" ht="14.5">
      <c r="A301" s="18"/>
      <c r="B301" s="57"/>
      <c r="C301" s="57"/>
      <c r="D301" s="57"/>
      <c r="E301" s="57"/>
      <c r="F301" s="57"/>
      <c r="G301" s="57"/>
      <c r="H301" s="62" t="s">
        <v>9</v>
      </c>
      <c r="I301" s="19" t="s">
        <v>132</v>
      </c>
      <c r="J301" s="24">
        <f>+COUNTIFS('3. Resultados'!C:C,'1. Status'!H301,'3. Resultados'!G:G,'1. Status'!I301)</f>
        <v>0</v>
      </c>
      <c r="K301" s="70" t="str">
        <f>+IFERROR(VLOOKUP(CONCATENATE(A301,$B$10,B301),'3. Resultados'!B:J,8,FALSE),"-")</f>
        <v>-</v>
      </c>
      <c r="L301" s="69" t="str">
        <f>+IFERROR(VLOOKUP(B301,'3. Resultados'!K:L,2,FALSE),"-")</f>
        <v>-</v>
      </c>
      <c r="M301" s="70" t="str">
        <f>+IFERROR(VLOOKUP(CONCATENATE(A301,$B$10,B301),'3. Resultados'!B:J,9,FALSE),"-")</f>
        <v>-</v>
      </c>
      <c r="N301" s="24"/>
      <c r="O301" s="25" t="str">
        <f t="shared" si="5"/>
        <v>Por iniciar</v>
      </c>
      <c r="P301"/>
    </row>
    <row r="302" spans="1:16" ht="14.5">
      <c r="A302" s="18"/>
      <c r="B302" s="57"/>
      <c r="C302" s="57"/>
      <c r="D302" s="57"/>
      <c r="E302" s="57"/>
      <c r="F302" s="57"/>
      <c r="G302" s="57"/>
      <c r="H302" s="62" t="s">
        <v>9</v>
      </c>
      <c r="I302" s="19" t="s">
        <v>133</v>
      </c>
      <c r="J302" s="24">
        <f>+COUNTIFS('3. Resultados'!C:C,'1. Status'!H302,'3. Resultados'!G:G,'1. Status'!I302)</f>
        <v>0</v>
      </c>
      <c r="K302" s="70" t="str">
        <f>+IFERROR(VLOOKUP(CONCATENATE(A302,$B$10,B302),'3. Resultados'!B:J,8,FALSE),"-")</f>
        <v>-</v>
      </c>
      <c r="L302" s="69" t="str">
        <f>+IFERROR(VLOOKUP(B302,'3. Resultados'!K:L,2,FALSE),"-")</f>
        <v>-</v>
      </c>
      <c r="M302" s="70" t="str">
        <f>+IFERROR(VLOOKUP(CONCATENATE(A302,$B$10,B302),'3. Resultados'!B:J,9,FALSE),"-")</f>
        <v>-</v>
      </c>
      <c r="N302" s="24"/>
      <c r="O302" s="25" t="str">
        <f t="shared" si="5"/>
        <v>Por iniciar</v>
      </c>
      <c r="P302"/>
    </row>
    <row r="303" spans="1:16" ht="14.5">
      <c r="A303" s="18"/>
      <c r="B303" s="57"/>
      <c r="C303" s="57"/>
      <c r="D303" s="57"/>
      <c r="E303" s="57"/>
      <c r="F303" s="57"/>
      <c r="G303" s="57"/>
      <c r="H303" s="62" t="s">
        <v>9</v>
      </c>
      <c r="I303" s="19" t="s">
        <v>452</v>
      </c>
      <c r="J303" s="24">
        <f>+COUNTIFS('3. Resultados'!C:C,'1. Status'!H303,'3. Resultados'!G:G,'1. Status'!I303)</f>
        <v>0</v>
      </c>
      <c r="K303" s="70" t="str">
        <f>+IFERROR(VLOOKUP(CONCATENATE(A303,$B$10,B303),'3. Resultados'!B:J,8,FALSE),"-")</f>
        <v>-</v>
      </c>
      <c r="L303" s="69" t="str">
        <f>+IFERROR(VLOOKUP(B303,'3. Resultados'!K:L,2,FALSE),"-")</f>
        <v>-</v>
      </c>
      <c r="M303" s="70" t="str">
        <f>+IFERROR(VLOOKUP(CONCATENATE(A303,$B$10,B303),'3. Resultados'!B:J,9,FALSE),"-")</f>
        <v>-</v>
      </c>
      <c r="N303" s="24"/>
      <c r="O303" s="25" t="str">
        <f t="shared" si="5"/>
        <v>Por iniciar</v>
      </c>
      <c r="P303"/>
    </row>
    <row r="304" spans="1:16" ht="14.5">
      <c r="A304" s="18"/>
      <c r="B304" s="57"/>
      <c r="C304" s="57"/>
      <c r="D304" s="57"/>
      <c r="E304" s="57"/>
      <c r="F304" s="57"/>
      <c r="G304" s="57"/>
      <c r="H304" s="62" t="s">
        <v>9</v>
      </c>
      <c r="I304" s="19" t="s">
        <v>453</v>
      </c>
      <c r="J304" s="24">
        <f>+COUNTIFS('3. Resultados'!C:C,'1. Status'!H304,'3. Resultados'!G:G,'1. Status'!I304)</f>
        <v>0</v>
      </c>
      <c r="K304" s="70" t="str">
        <f>+IFERROR(VLOOKUP(CONCATENATE(A304,$B$10,B304),'3. Resultados'!B:J,8,FALSE),"-")</f>
        <v>-</v>
      </c>
      <c r="L304" s="69" t="str">
        <f>+IFERROR(VLOOKUP(B304,'3. Resultados'!K:L,2,FALSE),"-")</f>
        <v>-</v>
      </c>
      <c r="M304" s="70" t="str">
        <f>+IFERROR(VLOOKUP(CONCATENATE(A304,$B$10,B304),'3. Resultados'!B:J,9,FALSE),"-")</f>
        <v>-</v>
      </c>
      <c r="N304" s="24"/>
      <c r="O304" s="25" t="str">
        <f t="shared" si="5"/>
        <v>Por iniciar</v>
      </c>
      <c r="P304"/>
    </row>
    <row r="305" spans="1:16" ht="14.5">
      <c r="A305" s="18"/>
      <c r="B305" s="57"/>
      <c r="C305" s="57"/>
      <c r="D305" s="57"/>
      <c r="E305" s="57"/>
      <c r="F305" s="57"/>
      <c r="G305" s="57"/>
      <c r="H305" s="62" t="s">
        <v>9</v>
      </c>
      <c r="I305" s="19" t="s">
        <v>454</v>
      </c>
      <c r="J305" s="24">
        <f>+COUNTIFS('3. Resultados'!C:C,'1. Status'!H305,'3. Resultados'!G:G,'1. Status'!I305)</f>
        <v>0</v>
      </c>
      <c r="K305" s="70" t="str">
        <f>+IFERROR(VLOOKUP(CONCATENATE(A305,$B$10,B305),'3. Resultados'!B:J,8,FALSE),"-")</f>
        <v>-</v>
      </c>
      <c r="L305" s="69" t="str">
        <f>+IFERROR(VLOOKUP(B305,'3. Resultados'!K:L,2,FALSE),"-")</f>
        <v>-</v>
      </c>
      <c r="M305" s="70" t="str">
        <f>+IFERROR(VLOOKUP(CONCATENATE(A305,$B$10,B305),'3. Resultados'!B:J,9,FALSE),"-")</f>
        <v>-</v>
      </c>
      <c r="N305" s="24"/>
      <c r="O305" s="25" t="str">
        <f t="shared" si="5"/>
        <v>Por iniciar</v>
      </c>
      <c r="P305"/>
    </row>
    <row r="306" spans="1:16" ht="14.5">
      <c r="A306" s="18"/>
      <c r="B306" s="57"/>
      <c r="C306" s="57"/>
      <c r="D306" s="57"/>
      <c r="E306" s="57"/>
      <c r="F306" s="57"/>
      <c r="G306" s="57"/>
      <c r="H306" s="62" t="s">
        <v>9</v>
      </c>
      <c r="I306" s="19" t="s">
        <v>455</v>
      </c>
      <c r="J306" s="24">
        <f>+COUNTIFS('3. Resultados'!C:C,'1. Status'!H306,'3. Resultados'!G:G,'1. Status'!I306)</f>
        <v>0</v>
      </c>
      <c r="K306" s="70" t="str">
        <f>+IFERROR(VLOOKUP(CONCATENATE(A306,$B$10,B306),'3. Resultados'!B:J,8,FALSE),"-")</f>
        <v>-</v>
      </c>
      <c r="L306" s="69" t="str">
        <f>+IFERROR(VLOOKUP(B306,'3. Resultados'!K:L,2,FALSE),"-")</f>
        <v>-</v>
      </c>
      <c r="M306" s="70" t="str">
        <f>+IFERROR(VLOOKUP(CONCATENATE(A306,$B$10,B306),'3. Resultados'!B:J,9,FALSE),"-")</f>
        <v>-</v>
      </c>
      <c r="N306" s="24"/>
      <c r="O306" s="25" t="str">
        <f t="shared" si="5"/>
        <v>Por iniciar</v>
      </c>
      <c r="P306"/>
    </row>
    <row r="307" spans="1:16" ht="14.5">
      <c r="A307" s="18"/>
      <c r="B307" s="57"/>
      <c r="C307" s="57"/>
      <c r="D307" s="57"/>
      <c r="E307" s="57"/>
      <c r="F307" s="57"/>
      <c r="G307" s="57"/>
      <c r="H307" s="62" t="s">
        <v>9</v>
      </c>
      <c r="I307" s="19" t="s">
        <v>456</v>
      </c>
      <c r="J307" s="24">
        <f>+COUNTIFS('3. Resultados'!C:C,'1. Status'!H307,'3. Resultados'!G:G,'1. Status'!I307)</f>
        <v>0</v>
      </c>
      <c r="K307" s="70" t="str">
        <f>+IFERROR(VLOOKUP(CONCATENATE(A307,$B$10,B307),'3. Resultados'!B:J,8,FALSE),"-")</f>
        <v>-</v>
      </c>
      <c r="L307" s="69" t="str">
        <f>+IFERROR(VLOOKUP(B307,'3. Resultados'!K:L,2,FALSE),"-")</f>
        <v>-</v>
      </c>
      <c r="M307" s="70" t="str">
        <f>+IFERROR(VLOOKUP(CONCATENATE(A307,$B$10,B307),'3. Resultados'!B:J,9,FALSE),"-")</f>
        <v>-</v>
      </c>
      <c r="N307" s="24"/>
      <c r="O307" s="25" t="str">
        <f t="shared" si="5"/>
        <v>Por iniciar</v>
      </c>
      <c r="P307"/>
    </row>
    <row r="308" spans="1:16" ht="14.5">
      <c r="A308" s="18"/>
      <c r="B308" s="57"/>
      <c r="C308" s="57"/>
      <c r="D308" s="57"/>
      <c r="E308" s="57"/>
      <c r="F308" s="57"/>
      <c r="G308" s="57"/>
      <c r="H308" s="62" t="s">
        <v>9</v>
      </c>
      <c r="I308" s="19" t="s">
        <v>457</v>
      </c>
      <c r="J308" s="24">
        <f>+COUNTIFS('3. Resultados'!C:C,'1. Status'!H308,'3. Resultados'!G:G,'1. Status'!I308)</f>
        <v>0</v>
      </c>
      <c r="K308" s="70" t="str">
        <f>+IFERROR(VLOOKUP(CONCATENATE(A308,$B$10,B308),'3. Resultados'!B:J,8,FALSE),"-")</f>
        <v>-</v>
      </c>
      <c r="L308" s="69" t="str">
        <f>+IFERROR(VLOOKUP(B308,'3. Resultados'!K:L,2,FALSE),"-")</f>
        <v>-</v>
      </c>
      <c r="M308" s="70" t="str">
        <f>+IFERROR(VLOOKUP(CONCATENATE(A308,$B$10,B308),'3. Resultados'!B:J,9,FALSE),"-")</f>
        <v>-</v>
      </c>
      <c r="N308" s="24"/>
      <c r="O308" s="25" t="str">
        <f t="shared" si="5"/>
        <v>Por iniciar</v>
      </c>
      <c r="P308"/>
    </row>
    <row r="309" spans="1:16" ht="14.5">
      <c r="A309" s="18"/>
      <c r="B309" s="57"/>
      <c r="C309" s="57"/>
      <c r="D309" s="57"/>
      <c r="E309" s="57"/>
      <c r="F309" s="57"/>
      <c r="G309" s="57"/>
      <c r="H309" s="62" t="s">
        <v>9</v>
      </c>
      <c r="I309" s="19" t="s">
        <v>458</v>
      </c>
      <c r="J309" s="24">
        <f>+COUNTIFS('3. Resultados'!C:C,'1. Status'!H309,'3. Resultados'!G:G,'1. Status'!I309)</f>
        <v>0</v>
      </c>
      <c r="K309" s="70" t="str">
        <f>+IFERROR(VLOOKUP(CONCATENATE(A309,$B$10,B309),'3. Resultados'!B:J,8,FALSE),"-")</f>
        <v>-</v>
      </c>
      <c r="L309" s="69" t="str">
        <f>+IFERROR(VLOOKUP(B309,'3. Resultados'!K:L,2,FALSE),"-")</f>
        <v>-</v>
      </c>
      <c r="M309" s="70" t="str">
        <f>+IFERROR(VLOOKUP(CONCATENATE(A309,$B$10,B309),'3. Resultados'!B:J,9,FALSE),"-")</f>
        <v>-</v>
      </c>
      <c r="N309" s="24"/>
      <c r="O309" s="25" t="str">
        <f t="shared" si="5"/>
        <v>Por iniciar</v>
      </c>
      <c r="P309"/>
    </row>
    <row r="310" spans="1:16" ht="14.5">
      <c r="A310" s="18"/>
      <c r="B310" s="57"/>
      <c r="C310" s="57"/>
      <c r="D310" s="57"/>
      <c r="E310" s="57"/>
      <c r="F310" s="57"/>
      <c r="G310" s="57"/>
      <c r="H310" s="62" t="s">
        <v>9</v>
      </c>
      <c r="I310" s="19" t="s">
        <v>459</v>
      </c>
      <c r="J310" s="24">
        <f>+COUNTIFS('3. Resultados'!C:C,'1. Status'!H310,'3. Resultados'!G:G,'1. Status'!I310)</f>
        <v>0</v>
      </c>
      <c r="K310" s="70" t="str">
        <f>+IFERROR(VLOOKUP(CONCATENATE(A310,$B$10,B310),'3. Resultados'!B:J,8,FALSE),"-")</f>
        <v>-</v>
      </c>
      <c r="L310" s="69" t="str">
        <f>+IFERROR(VLOOKUP(B310,'3. Resultados'!K:L,2,FALSE),"-")</f>
        <v>-</v>
      </c>
      <c r="M310" s="70" t="str">
        <f>+IFERROR(VLOOKUP(CONCATENATE(A310,$B$10,B310),'3. Resultados'!B:J,9,FALSE),"-")</f>
        <v>-</v>
      </c>
      <c r="N310" s="24"/>
      <c r="O310" s="25" t="str">
        <f t="shared" si="5"/>
        <v>Por iniciar</v>
      </c>
      <c r="P310"/>
    </row>
    <row r="311" spans="1:16" ht="14.5">
      <c r="A311" s="18"/>
      <c r="B311" s="57"/>
      <c r="C311" s="57"/>
      <c r="D311" s="57"/>
      <c r="E311" s="57"/>
      <c r="F311" s="57"/>
      <c r="G311" s="57"/>
      <c r="H311" s="62" t="s">
        <v>9</v>
      </c>
      <c r="I311" s="19" t="s">
        <v>460</v>
      </c>
      <c r="J311" s="24">
        <f>+COUNTIFS('3. Resultados'!C:C,'1. Status'!H311,'3. Resultados'!G:G,'1. Status'!I311)</f>
        <v>0</v>
      </c>
      <c r="K311" s="70" t="str">
        <f>+IFERROR(VLOOKUP(CONCATENATE(A311,$B$10,B311),'3. Resultados'!B:J,8,FALSE),"-")</f>
        <v>-</v>
      </c>
      <c r="L311" s="69" t="str">
        <f>+IFERROR(VLOOKUP(B311,'3. Resultados'!K:L,2,FALSE),"-")</f>
        <v>-</v>
      </c>
      <c r="M311" s="70" t="str">
        <f>+IFERROR(VLOOKUP(CONCATENATE(A311,$B$10,B311),'3. Resultados'!B:J,9,FALSE),"-")</f>
        <v>-</v>
      </c>
      <c r="N311" s="24"/>
      <c r="O311" s="25" t="str">
        <f t="shared" si="5"/>
        <v>Por iniciar</v>
      </c>
      <c r="P311"/>
    </row>
    <row r="312" spans="1:16" ht="14.5">
      <c r="A312" s="18"/>
      <c r="B312" s="57"/>
      <c r="C312" s="57"/>
      <c r="D312" s="57"/>
      <c r="E312" s="57"/>
      <c r="F312" s="57"/>
      <c r="G312" s="57"/>
      <c r="H312" s="62" t="s">
        <v>9</v>
      </c>
      <c r="I312" s="19" t="s">
        <v>461</v>
      </c>
      <c r="J312" s="24">
        <f>+COUNTIFS('3. Resultados'!C:C,'1. Status'!H312,'3. Resultados'!G:G,'1. Status'!I312)</f>
        <v>0</v>
      </c>
      <c r="K312" s="70" t="str">
        <f>+IFERROR(VLOOKUP(CONCATENATE(A312,$B$10,B312),'3. Resultados'!B:J,8,FALSE),"-")</f>
        <v>-</v>
      </c>
      <c r="L312" s="69" t="str">
        <f>+IFERROR(VLOOKUP(B312,'3. Resultados'!K:L,2,FALSE),"-")</f>
        <v>-</v>
      </c>
      <c r="M312" s="70" t="str">
        <f>+IFERROR(VLOOKUP(CONCATENATE(A312,$B$10,B312),'3. Resultados'!B:J,9,FALSE),"-")</f>
        <v>-</v>
      </c>
      <c r="N312" s="24"/>
      <c r="O312" s="25" t="str">
        <f t="shared" si="5"/>
        <v>Por iniciar</v>
      </c>
      <c r="P312"/>
    </row>
    <row r="313" spans="1:16" ht="14.5">
      <c r="A313" s="18"/>
      <c r="B313" s="57"/>
      <c r="C313" s="57"/>
      <c r="D313" s="57"/>
      <c r="E313" s="57"/>
      <c r="F313" s="57"/>
      <c r="G313" s="57"/>
      <c r="H313" s="62" t="s">
        <v>9</v>
      </c>
      <c r="I313" s="19" t="s">
        <v>462</v>
      </c>
      <c r="J313" s="24">
        <f>+COUNTIFS('3. Resultados'!C:C,'1. Status'!H313,'3. Resultados'!G:G,'1. Status'!I313)</f>
        <v>0</v>
      </c>
      <c r="K313" s="70" t="str">
        <f>+IFERROR(VLOOKUP(CONCATENATE(A313,$B$10,B313),'3. Resultados'!B:J,8,FALSE),"-")</f>
        <v>-</v>
      </c>
      <c r="L313" s="69" t="str">
        <f>+IFERROR(VLOOKUP(B313,'3. Resultados'!K:L,2,FALSE),"-")</f>
        <v>-</v>
      </c>
      <c r="M313" s="70" t="str">
        <f>+IFERROR(VLOOKUP(CONCATENATE(A313,$B$10,B313),'3. Resultados'!B:J,9,FALSE),"-")</f>
        <v>-</v>
      </c>
      <c r="N313" s="24"/>
      <c r="O313" s="25" t="str">
        <f t="shared" si="5"/>
        <v>Por iniciar</v>
      </c>
      <c r="P313"/>
    </row>
    <row r="314" spans="1:16" ht="14.5">
      <c r="A314" s="18"/>
      <c r="B314" s="57"/>
      <c r="C314" s="57"/>
      <c r="D314" s="57"/>
      <c r="E314" s="57"/>
      <c r="F314" s="57"/>
      <c r="G314" s="57"/>
      <c r="H314" s="62" t="s">
        <v>9</v>
      </c>
      <c r="I314" s="19" t="s">
        <v>463</v>
      </c>
      <c r="J314" s="24">
        <f>+COUNTIFS('3. Resultados'!C:C,'1. Status'!H314,'3. Resultados'!G:G,'1. Status'!I314)</f>
        <v>0</v>
      </c>
      <c r="K314" s="70" t="str">
        <f>+IFERROR(VLOOKUP(CONCATENATE(A314,$B$10,B314),'3. Resultados'!B:J,8,FALSE),"-")</f>
        <v>-</v>
      </c>
      <c r="L314" s="69" t="str">
        <f>+IFERROR(VLOOKUP(B314,'3. Resultados'!K:L,2,FALSE),"-")</f>
        <v>-</v>
      </c>
      <c r="M314" s="70" t="str">
        <f>+IFERROR(VLOOKUP(CONCATENATE(A314,$B$10,B314),'3. Resultados'!B:J,9,FALSE),"-")</f>
        <v>-</v>
      </c>
      <c r="N314" s="24"/>
      <c r="O314" s="25" t="str">
        <f t="shared" si="5"/>
        <v>Por iniciar</v>
      </c>
      <c r="P314"/>
    </row>
    <row r="315" spans="1:16" ht="14.5">
      <c r="A315" s="18"/>
      <c r="B315" s="57"/>
      <c r="C315" s="57"/>
      <c r="D315" s="57"/>
      <c r="E315" s="57"/>
      <c r="F315" s="57"/>
      <c r="G315" s="57"/>
      <c r="H315" s="62" t="s">
        <v>9</v>
      </c>
      <c r="I315" s="19" t="s">
        <v>464</v>
      </c>
      <c r="J315" s="24">
        <f>+COUNTIFS('3. Resultados'!C:C,'1. Status'!H315,'3. Resultados'!G:G,'1. Status'!I315)</f>
        <v>0</v>
      </c>
      <c r="K315" s="70" t="str">
        <f>+IFERROR(VLOOKUP(CONCATENATE(A315,$B$10,B315),'3. Resultados'!B:J,8,FALSE),"-")</f>
        <v>-</v>
      </c>
      <c r="L315" s="69" t="str">
        <f>+IFERROR(VLOOKUP(B315,'3. Resultados'!K:L,2,FALSE),"-")</f>
        <v>-</v>
      </c>
      <c r="M315" s="70" t="str">
        <f>+IFERROR(VLOOKUP(CONCATENATE(A315,$B$10,B315),'3. Resultados'!B:J,9,FALSE),"-")</f>
        <v>-</v>
      </c>
      <c r="N315" s="24"/>
      <c r="O315" s="25" t="str">
        <f t="shared" si="5"/>
        <v>Por iniciar</v>
      </c>
      <c r="P315"/>
    </row>
    <row r="316" spans="1:16" ht="14.5">
      <c r="A316" s="18"/>
      <c r="B316" s="57"/>
      <c r="C316" s="57"/>
      <c r="D316" s="57"/>
      <c r="E316" s="57"/>
      <c r="F316" s="57"/>
      <c r="G316" s="57"/>
      <c r="H316" s="62" t="s">
        <v>9</v>
      </c>
      <c r="I316" s="19" t="s">
        <v>465</v>
      </c>
      <c r="J316" s="24">
        <f>+COUNTIFS('3. Resultados'!C:C,'1. Status'!H316,'3. Resultados'!G:G,'1. Status'!I316)</f>
        <v>0</v>
      </c>
      <c r="K316" s="70" t="str">
        <f>+IFERROR(VLOOKUP(CONCATENATE(A316,$B$10,B316),'3. Resultados'!B:J,8,FALSE),"-")</f>
        <v>-</v>
      </c>
      <c r="L316" s="69" t="str">
        <f>+IFERROR(VLOOKUP(B316,'3. Resultados'!K:L,2,FALSE),"-")</f>
        <v>-</v>
      </c>
      <c r="M316" s="70" t="str">
        <f>+IFERROR(VLOOKUP(CONCATENATE(A316,$B$10,B316),'3. Resultados'!B:J,9,FALSE),"-")</f>
        <v>-</v>
      </c>
      <c r="N316" s="24"/>
      <c r="O316" s="25" t="str">
        <f t="shared" si="5"/>
        <v>Por iniciar</v>
      </c>
      <c r="P316"/>
    </row>
    <row r="317" spans="1:16" ht="14.5">
      <c r="A317" s="18"/>
      <c r="B317" s="57"/>
      <c r="C317" s="57"/>
      <c r="D317" s="57"/>
      <c r="E317" s="57"/>
      <c r="F317" s="57"/>
      <c r="G317" s="57"/>
      <c r="H317" s="62" t="s">
        <v>9</v>
      </c>
      <c r="I317" s="19" t="s">
        <v>466</v>
      </c>
      <c r="J317" s="24">
        <f>+COUNTIFS('3. Resultados'!C:C,'1. Status'!H317,'3. Resultados'!G:G,'1. Status'!I317)</f>
        <v>0</v>
      </c>
      <c r="K317" s="70" t="str">
        <f>+IFERROR(VLOOKUP(CONCATENATE(A317,$B$10,B317),'3. Resultados'!B:J,8,FALSE),"-")</f>
        <v>-</v>
      </c>
      <c r="L317" s="69" t="str">
        <f>+IFERROR(VLOOKUP(B317,'3. Resultados'!K:L,2,FALSE),"-")</f>
        <v>-</v>
      </c>
      <c r="M317" s="70" t="str">
        <f>+IFERROR(VLOOKUP(CONCATENATE(A317,$B$10,B317),'3. Resultados'!B:J,9,FALSE),"-")</f>
        <v>-</v>
      </c>
      <c r="N317" s="24"/>
      <c r="O317" s="25" t="str">
        <f t="shared" si="5"/>
        <v>Por iniciar</v>
      </c>
      <c r="P317"/>
    </row>
    <row r="318" spans="1:16" ht="14.5">
      <c r="A318" s="18"/>
      <c r="B318" s="57"/>
      <c r="C318" s="57"/>
      <c r="D318" s="57"/>
      <c r="E318" s="57"/>
      <c r="F318" s="57"/>
      <c r="G318" s="57"/>
      <c r="H318" s="62" t="s">
        <v>9</v>
      </c>
      <c r="I318" s="19" t="s">
        <v>467</v>
      </c>
      <c r="J318" s="24">
        <f>+COUNTIFS('3. Resultados'!C:C,'1. Status'!H318,'3. Resultados'!G:G,'1. Status'!I318)</f>
        <v>0</v>
      </c>
      <c r="K318" s="70" t="str">
        <f>+IFERROR(VLOOKUP(CONCATENATE(A318,$B$10,B318),'3. Resultados'!B:J,8,FALSE),"-")</f>
        <v>-</v>
      </c>
      <c r="L318" s="69" t="str">
        <f>+IFERROR(VLOOKUP(B318,'3. Resultados'!K:L,2,FALSE),"-")</f>
        <v>-</v>
      </c>
      <c r="M318" s="70" t="str">
        <f>+IFERROR(VLOOKUP(CONCATENATE(A318,$B$10,B318),'3. Resultados'!B:J,9,FALSE),"-")</f>
        <v>-</v>
      </c>
      <c r="N318" s="24"/>
      <c r="O318" s="25" t="str">
        <f t="shared" si="5"/>
        <v>Por iniciar</v>
      </c>
      <c r="P318"/>
    </row>
    <row r="319" spans="1:16" ht="14.5">
      <c r="A319" s="18"/>
      <c r="B319" s="57"/>
      <c r="C319" s="57"/>
      <c r="D319" s="57"/>
      <c r="E319" s="57"/>
      <c r="F319" s="57"/>
      <c r="G319" s="57"/>
      <c r="H319" s="62" t="s">
        <v>9</v>
      </c>
      <c r="I319" s="19" t="s">
        <v>468</v>
      </c>
      <c r="J319" s="24">
        <f>+COUNTIFS('3. Resultados'!C:C,'1. Status'!H319,'3. Resultados'!G:G,'1. Status'!I319)</f>
        <v>0</v>
      </c>
      <c r="K319" s="70" t="str">
        <f>+IFERROR(VLOOKUP(CONCATENATE(A319,$B$10,B319),'3. Resultados'!B:J,8,FALSE),"-")</f>
        <v>-</v>
      </c>
      <c r="L319" s="69" t="str">
        <f>+IFERROR(VLOOKUP(B319,'3. Resultados'!K:L,2,FALSE),"-")</f>
        <v>-</v>
      </c>
      <c r="M319" s="70" t="str">
        <f>+IFERROR(VLOOKUP(CONCATENATE(A319,$B$10,B319),'3. Resultados'!B:J,9,FALSE),"-")</f>
        <v>-</v>
      </c>
      <c r="N319" s="24"/>
      <c r="O319" s="25" t="str">
        <f t="shared" si="5"/>
        <v>Por iniciar</v>
      </c>
      <c r="P319"/>
    </row>
    <row r="320" spans="1:16" ht="14.5">
      <c r="A320" s="18"/>
      <c r="B320" s="57"/>
      <c r="C320" s="57"/>
      <c r="D320" s="57"/>
      <c r="E320" s="57"/>
      <c r="F320" s="57"/>
      <c r="G320" s="57"/>
      <c r="H320" s="62" t="s">
        <v>9</v>
      </c>
      <c r="I320" s="19" t="s">
        <v>469</v>
      </c>
      <c r="J320" s="24">
        <f>+COUNTIFS('3. Resultados'!C:C,'1. Status'!H320,'3. Resultados'!G:G,'1. Status'!I320)</f>
        <v>0</v>
      </c>
      <c r="K320" s="70" t="str">
        <f>+IFERROR(VLOOKUP(CONCATENATE(A320,$B$10,B320),'3. Resultados'!B:J,8,FALSE),"-")</f>
        <v>-</v>
      </c>
      <c r="L320" s="69" t="str">
        <f>+IFERROR(VLOOKUP(B320,'3. Resultados'!K:L,2,FALSE),"-")</f>
        <v>-</v>
      </c>
      <c r="M320" s="70" t="str">
        <f>+IFERROR(VLOOKUP(CONCATENATE(A320,$B$10,B320),'3. Resultados'!B:J,9,FALSE),"-")</f>
        <v>-</v>
      </c>
      <c r="N320" s="24"/>
      <c r="O320" s="25" t="str">
        <f t="shared" si="5"/>
        <v>Por iniciar</v>
      </c>
      <c r="P320"/>
    </row>
    <row r="321" spans="1:16" ht="14.5">
      <c r="A321" s="18"/>
      <c r="B321" s="57"/>
      <c r="C321" s="57"/>
      <c r="D321" s="57"/>
      <c r="E321" s="57"/>
      <c r="F321" s="57"/>
      <c r="G321" s="57"/>
      <c r="H321" s="62" t="s">
        <v>9</v>
      </c>
      <c r="I321" s="19" t="s">
        <v>470</v>
      </c>
      <c r="J321" s="24">
        <f>+COUNTIFS('3. Resultados'!C:C,'1. Status'!H321,'3. Resultados'!G:G,'1. Status'!I321)</f>
        <v>0</v>
      </c>
      <c r="K321" s="70" t="str">
        <f>+IFERROR(VLOOKUP(CONCATENATE(A321,$B$10,B321),'3. Resultados'!B:J,8,FALSE),"-")</f>
        <v>-</v>
      </c>
      <c r="L321" s="69" t="str">
        <f>+IFERROR(VLOOKUP(B321,'3. Resultados'!K:L,2,FALSE),"-")</f>
        <v>-</v>
      </c>
      <c r="M321" s="70" t="str">
        <f>+IFERROR(VLOOKUP(CONCATENATE(A321,$B$10,B321),'3. Resultados'!B:J,9,FALSE),"-")</f>
        <v>-</v>
      </c>
      <c r="N321" s="24"/>
      <c r="O321" s="25" t="str">
        <f t="shared" si="5"/>
        <v>Por iniciar</v>
      </c>
      <c r="P321"/>
    </row>
    <row r="322" spans="1:16" ht="14.5">
      <c r="A322" s="18"/>
      <c r="B322" s="57"/>
      <c r="C322" s="57"/>
      <c r="D322" s="57"/>
      <c r="E322" s="57"/>
      <c r="F322" s="57"/>
      <c r="G322" s="57"/>
      <c r="H322" s="62" t="s">
        <v>9</v>
      </c>
      <c r="I322" s="19" t="s">
        <v>471</v>
      </c>
      <c r="J322" s="24">
        <f>+COUNTIFS('3. Resultados'!C:C,'1. Status'!H322,'3. Resultados'!G:G,'1. Status'!I322)</f>
        <v>0</v>
      </c>
      <c r="K322" s="70" t="str">
        <f>+IFERROR(VLOOKUP(CONCATENATE(A322,$B$10,B322),'3. Resultados'!B:J,8,FALSE),"-")</f>
        <v>-</v>
      </c>
      <c r="L322" s="69" t="str">
        <f>+IFERROR(VLOOKUP(B322,'3. Resultados'!K:L,2,FALSE),"-")</f>
        <v>-</v>
      </c>
      <c r="M322" s="70" t="str">
        <f>+IFERROR(VLOOKUP(CONCATENATE(A322,$B$10,B322),'3. Resultados'!B:J,9,FALSE),"-")</f>
        <v>-</v>
      </c>
      <c r="N322" s="24"/>
      <c r="O322" s="25" t="str">
        <f t="shared" si="5"/>
        <v>Por iniciar</v>
      </c>
      <c r="P322"/>
    </row>
    <row r="323" spans="1:16" ht="14.5">
      <c r="A323" s="18"/>
      <c r="B323" s="57"/>
      <c r="C323" s="57"/>
      <c r="D323" s="57"/>
      <c r="E323" s="57"/>
      <c r="F323" s="57"/>
      <c r="G323" s="57"/>
      <c r="H323" s="62" t="s">
        <v>9</v>
      </c>
      <c r="I323" s="19" t="s">
        <v>472</v>
      </c>
      <c r="J323" s="24">
        <f>+COUNTIFS('3. Resultados'!C:C,'1. Status'!H323,'3. Resultados'!G:G,'1. Status'!I323)</f>
        <v>0</v>
      </c>
      <c r="K323" s="70" t="str">
        <f>+IFERROR(VLOOKUP(CONCATENATE(A323,$B$10,B323),'3. Resultados'!B:J,8,FALSE),"-")</f>
        <v>-</v>
      </c>
      <c r="L323" s="69" t="str">
        <f>+IFERROR(VLOOKUP(B323,'3. Resultados'!K:L,2,FALSE),"-")</f>
        <v>-</v>
      </c>
      <c r="M323" s="70" t="str">
        <f>+IFERROR(VLOOKUP(CONCATENATE(A323,$B$10,B323),'3. Resultados'!B:J,9,FALSE),"-")</f>
        <v>-</v>
      </c>
      <c r="N323" s="24"/>
      <c r="O323" s="25" t="str">
        <f t="shared" si="5"/>
        <v>Por iniciar</v>
      </c>
      <c r="P323"/>
    </row>
    <row r="324" spans="1:16" ht="14.5">
      <c r="A324" s="18"/>
      <c r="B324" s="57"/>
      <c r="C324" s="57"/>
      <c r="D324" s="57"/>
      <c r="E324" s="57"/>
      <c r="F324" s="57"/>
      <c r="G324" s="57"/>
      <c r="H324" s="62" t="s">
        <v>9</v>
      </c>
      <c r="I324" s="19" t="s">
        <v>473</v>
      </c>
      <c r="J324" s="24">
        <f>+COUNTIFS('3. Resultados'!C:C,'1. Status'!H324,'3. Resultados'!G:G,'1. Status'!I324)</f>
        <v>0</v>
      </c>
      <c r="K324" s="70" t="str">
        <f>+IFERROR(VLOOKUP(CONCATENATE(A324,$B$10,B324),'3. Resultados'!B:J,8,FALSE),"-")</f>
        <v>-</v>
      </c>
      <c r="L324" s="69" t="str">
        <f>+IFERROR(VLOOKUP(B324,'3. Resultados'!K:L,2,FALSE),"-")</f>
        <v>-</v>
      </c>
      <c r="M324" s="70" t="str">
        <f>+IFERROR(VLOOKUP(CONCATENATE(A324,$B$10,B324),'3. Resultados'!B:J,9,FALSE),"-")</f>
        <v>-</v>
      </c>
      <c r="N324" s="24"/>
      <c r="O324" s="25" t="str">
        <f t="shared" si="5"/>
        <v>Por iniciar</v>
      </c>
      <c r="P324"/>
    </row>
    <row r="325" spans="1:16" ht="14.5">
      <c r="A325" s="18"/>
      <c r="B325" s="57"/>
      <c r="C325" s="57"/>
      <c r="D325" s="57"/>
      <c r="E325" s="57"/>
      <c r="F325" s="57"/>
      <c r="G325" s="57"/>
      <c r="H325" s="62" t="s">
        <v>9</v>
      </c>
      <c r="I325" s="19" t="s">
        <v>474</v>
      </c>
      <c r="J325" s="24">
        <f>+COUNTIFS('3. Resultados'!C:C,'1. Status'!H325,'3. Resultados'!G:G,'1. Status'!I325)</f>
        <v>0</v>
      </c>
      <c r="K325" s="70" t="str">
        <f>+IFERROR(VLOOKUP(CONCATENATE(A325,$B$10,B325),'3. Resultados'!B:J,8,FALSE),"-")</f>
        <v>-</v>
      </c>
      <c r="L325" s="69" t="str">
        <f>+IFERROR(VLOOKUP(B325,'3. Resultados'!K:L,2,FALSE),"-")</f>
        <v>-</v>
      </c>
      <c r="M325" s="70" t="str">
        <f>+IFERROR(VLOOKUP(CONCATENATE(A325,$B$10,B325),'3. Resultados'!B:J,9,FALSE),"-")</f>
        <v>-</v>
      </c>
      <c r="N325" s="24"/>
      <c r="O325" s="25" t="str">
        <f t="shared" si="5"/>
        <v>Por iniciar</v>
      </c>
      <c r="P325"/>
    </row>
    <row r="326" spans="1:16" ht="14.5">
      <c r="A326" s="18"/>
      <c r="B326" s="57"/>
      <c r="C326" s="57"/>
      <c r="D326" s="57"/>
      <c r="E326" s="57"/>
      <c r="F326" s="57"/>
      <c r="G326" s="57"/>
      <c r="H326" s="62" t="s">
        <v>9</v>
      </c>
      <c r="I326" s="19" t="s">
        <v>475</v>
      </c>
      <c r="J326" s="24">
        <f>+COUNTIFS('3. Resultados'!C:C,'1. Status'!H326,'3. Resultados'!G:G,'1. Status'!I326)</f>
        <v>0</v>
      </c>
      <c r="K326" s="70" t="str">
        <f>+IFERROR(VLOOKUP(CONCATENATE(A326,$B$10,B326),'3. Resultados'!B:J,8,FALSE),"-")</f>
        <v>-</v>
      </c>
      <c r="L326" s="69" t="str">
        <f>+IFERROR(VLOOKUP(B326,'3. Resultados'!K:L,2,FALSE),"-")</f>
        <v>-</v>
      </c>
      <c r="M326" s="70" t="str">
        <f>+IFERROR(VLOOKUP(CONCATENATE(A326,$B$10,B326),'3. Resultados'!B:J,9,FALSE),"-")</f>
        <v>-</v>
      </c>
      <c r="N326" s="24"/>
      <c r="O326" s="25" t="str">
        <f t="shared" si="5"/>
        <v>Por iniciar</v>
      </c>
      <c r="P326"/>
    </row>
    <row r="327" spans="1:16" ht="14.5">
      <c r="A327" s="18"/>
      <c r="B327" s="57"/>
      <c r="C327" s="57"/>
      <c r="D327" s="57"/>
      <c r="E327" s="57"/>
      <c r="F327" s="57"/>
      <c r="G327" s="57"/>
      <c r="H327" s="62" t="s">
        <v>9</v>
      </c>
      <c r="I327" s="19" t="s">
        <v>476</v>
      </c>
      <c r="J327" s="24">
        <f>+COUNTIFS('3. Resultados'!C:C,'1. Status'!H327,'3. Resultados'!G:G,'1. Status'!I327)</f>
        <v>0</v>
      </c>
      <c r="K327" s="70" t="str">
        <f>+IFERROR(VLOOKUP(CONCATENATE(A327,$B$10,B327),'3. Resultados'!B:J,8,FALSE),"-")</f>
        <v>-</v>
      </c>
      <c r="L327" s="69" t="str">
        <f>+IFERROR(VLOOKUP(B327,'3. Resultados'!K:L,2,FALSE),"-")</f>
        <v>-</v>
      </c>
      <c r="M327" s="70" t="str">
        <f>+IFERROR(VLOOKUP(CONCATENATE(A327,$B$10,B327),'3. Resultados'!B:J,9,FALSE),"-")</f>
        <v>-</v>
      </c>
      <c r="N327" s="24"/>
      <c r="O327" s="25" t="str">
        <f t="shared" si="5"/>
        <v>Por iniciar</v>
      </c>
      <c r="P327"/>
    </row>
    <row r="328" spans="1:16" ht="14.5">
      <c r="A328" s="18"/>
      <c r="B328" s="57"/>
      <c r="C328" s="57"/>
      <c r="D328" s="57"/>
      <c r="E328" s="57"/>
      <c r="F328" s="57"/>
      <c r="G328" s="57"/>
      <c r="H328" s="62" t="s">
        <v>9</v>
      </c>
      <c r="I328" s="19" t="s">
        <v>477</v>
      </c>
      <c r="J328" s="24">
        <f>+COUNTIFS('3. Resultados'!C:C,'1. Status'!H328,'3. Resultados'!G:G,'1. Status'!I328)</f>
        <v>0</v>
      </c>
      <c r="K328" s="70" t="str">
        <f>+IFERROR(VLOOKUP(CONCATENATE(A328,$B$10,B328),'3. Resultados'!B:J,8,FALSE),"-")</f>
        <v>-</v>
      </c>
      <c r="L328" s="69" t="str">
        <f>+IFERROR(VLOOKUP(B328,'3. Resultados'!K:L,2,FALSE),"-")</f>
        <v>-</v>
      </c>
      <c r="M328" s="70" t="str">
        <f>+IFERROR(VLOOKUP(CONCATENATE(A328,$B$10,B328),'3. Resultados'!B:J,9,FALSE),"-")</f>
        <v>-</v>
      </c>
      <c r="N328" s="24"/>
      <c r="O328" s="25" t="str">
        <f t="shared" si="5"/>
        <v>Por iniciar</v>
      </c>
      <c r="P328"/>
    </row>
    <row r="329" spans="1:16" ht="14.5">
      <c r="A329" s="18"/>
      <c r="B329" s="57"/>
      <c r="C329" s="57"/>
      <c r="D329" s="57"/>
      <c r="E329" s="57"/>
      <c r="F329" s="57"/>
      <c r="G329" s="57"/>
      <c r="H329" s="62" t="s">
        <v>9</v>
      </c>
      <c r="I329" s="19" t="s">
        <v>478</v>
      </c>
      <c r="J329" s="24">
        <f>+COUNTIFS('3. Resultados'!C:C,'1. Status'!H329,'3. Resultados'!G:G,'1. Status'!I329)</f>
        <v>0</v>
      </c>
      <c r="K329" s="70" t="str">
        <f>+IFERROR(VLOOKUP(CONCATENATE(A329,$B$10,B329),'3. Resultados'!B:J,8,FALSE),"-")</f>
        <v>-</v>
      </c>
      <c r="L329" s="69" t="str">
        <f>+IFERROR(VLOOKUP(B329,'3. Resultados'!K:L,2,FALSE),"-")</f>
        <v>-</v>
      </c>
      <c r="M329" s="70" t="str">
        <f>+IFERROR(VLOOKUP(CONCATENATE(A329,$B$10,B329),'3. Resultados'!B:J,9,FALSE),"-")</f>
        <v>-</v>
      </c>
      <c r="N329" s="24"/>
      <c r="O329" s="25" t="str">
        <f t="shared" si="5"/>
        <v>Por iniciar</v>
      </c>
      <c r="P329"/>
    </row>
    <row r="330" spans="1:16" ht="14.5">
      <c r="A330" s="18"/>
      <c r="B330" s="57"/>
      <c r="C330" s="57"/>
      <c r="D330" s="57"/>
      <c r="E330" s="57"/>
      <c r="F330" s="57"/>
      <c r="G330" s="57"/>
      <c r="H330" s="62" t="s">
        <v>9</v>
      </c>
      <c r="I330" s="19" t="s">
        <v>479</v>
      </c>
      <c r="J330" s="24">
        <f>+COUNTIFS('3. Resultados'!C:C,'1. Status'!H330,'3. Resultados'!G:G,'1. Status'!I330)</f>
        <v>0</v>
      </c>
      <c r="K330" s="70" t="str">
        <f>+IFERROR(VLOOKUP(CONCATENATE(A330,$B$10,B330),'3. Resultados'!B:J,8,FALSE),"-")</f>
        <v>-</v>
      </c>
      <c r="L330" s="69" t="str">
        <f>+IFERROR(VLOOKUP(B330,'3. Resultados'!K:L,2,FALSE),"-")</f>
        <v>-</v>
      </c>
      <c r="M330" s="70" t="str">
        <f>+IFERROR(VLOOKUP(CONCATENATE(A330,$B$10,B330),'3. Resultados'!B:J,9,FALSE),"-")</f>
        <v>-</v>
      </c>
      <c r="N330" s="24"/>
      <c r="O330" s="25" t="str">
        <f t="shared" si="5"/>
        <v>Por iniciar</v>
      </c>
      <c r="P330"/>
    </row>
    <row r="331" spans="1:16" ht="14.5">
      <c r="A331" s="18"/>
      <c r="B331" s="57"/>
      <c r="C331" s="57"/>
      <c r="D331" s="57"/>
      <c r="E331" s="57"/>
      <c r="F331" s="57"/>
      <c r="G331" s="57"/>
      <c r="H331" s="62" t="s">
        <v>9</v>
      </c>
      <c r="I331" s="19" t="s">
        <v>480</v>
      </c>
      <c r="J331" s="24">
        <f>+COUNTIFS('3. Resultados'!C:C,'1. Status'!H331,'3. Resultados'!G:G,'1. Status'!I331)</f>
        <v>0</v>
      </c>
      <c r="K331" s="70" t="str">
        <f>+IFERROR(VLOOKUP(CONCATENATE(A331,$B$10,B331),'3. Resultados'!B:J,8,FALSE),"-")</f>
        <v>-</v>
      </c>
      <c r="L331" s="69" t="str">
        <f>+IFERROR(VLOOKUP(B331,'3. Resultados'!K:L,2,FALSE),"-")</f>
        <v>-</v>
      </c>
      <c r="M331" s="70" t="str">
        <f>+IFERROR(VLOOKUP(CONCATENATE(A331,$B$10,B331),'3. Resultados'!B:J,9,FALSE),"-")</f>
        <v>-</v>
      </c>
      <c r="N331" s="24"/>
      <c r="O331" s="25" t="str">
        <f t="shared" si="5"/>
        <v>Por iniciar</v>
      </c>
      <c r="P331"/>
    </row>
    <row r="332" spans="1:16" ht="14.5">
      <c r="A332" s="18"/>
      <c r="B332" s="57"/>
      <c r="C332" s="57"/>
      <c r="D332" s="57"/>
      <c r="E332" s="57"/>
      <c r="F332" s="57"/>
      <c r="G332" s="57"/>
      <c r="H332" s="62" t="s">
        <v>9</v>
      </c>
      <c r="I332" s="19" t="s">
        <v>481</v>
      </c>
      <c r="J332" s="24">
        <f>+COUNTIFS('3. Resultados'!C:C,'1. Status'!H332,'3. Resultados'!G:G,'1. Status'!I332)</f>
        <v>0</v>
      </c>
      <c r="K332" s="70" t="str">
        <f>+IFERROR(VLOOKUP(CONCATENATE(A332,$B$10,B332),'3. Resultados'!B:J,8,FALSE),"-")</f>
        <v>-</v>
      </c>
      <c r="L332" s="69" t="str">
        <f>+IFERROR(VLOOKUP(B332,'3. Resultados'!K:L,2,FALSE),"-")</f>
        <v>-</v>
      </c>
      <c r="M332" s="70" t="str">
        <f>+IFERROR(VLOOKUP(CONCATENATE(A332,$B$10,B332),'3. Resultados'!B:J,9,FALSE),"-")</f>
        <v>-</v>
      </c>
      <c r="N332" s="24"/>
      <c r="O332" s="25" t="str">
        <f t="shared" ref="O332:O395" si="6">+IF(J332=0,"Por iniciar",IF(OR(K332="-",M332="-"),"Em testes",IF(M332=0,"OK","NOK")))</f>
        <v>Por iniciar</v>
      </c>
      <c r="P332"/>
    </row>
    <row r="333" spans="1:16" ht="14.5">
      <c r="A333" s="18"/>
      <c r="B333" s="57"/>
      <c r="C333" s="57"/>
      <c r="D333" s="57"/>
      <c r="E333" s="57"/>
      <c r="F333" s="57"/>
      <c r="G333" s="57"/>
      <c r="H333" s="62" t="s">
        <v>9</v>
      </c>
      <c r="I333" s="19" t="s">
        <v>482</v>
      </c>
      <c r="J333" s="24">
        <f>+COUNTIFS('3. Resultados'!C:C,'1. Status'!H333,'3. Resultados'!G:G,'1. Status'!I333)</f>
        <v>0</v>
      </c>
      <c r="K333" s="70" t="str">
        <f>+IFERROR(VLOOKUP(CONCATENATE(A333,$B$10,B333),'3. Resultados'!B:J,8,FALSE),"-")</f>
        <v>-</v>
      </c>
      <c r="L333" s="69" t="str">
        <f>+IFERROR(VLOOKUP(B333,'3. Resultados'!K:L,2,FALSE),"-")</f>
        <v>-</v>
      </c>
      <c r="M333" s="70" t="str">
        <f>+IFERROR(VLOOKUP(CONCATENATE(A333,$B$10,B333),'3. Resultados'!B:J,9,FALSE),"-")</f>
        <v>-</v>
      </c>
      <c r="N333" s="24"/>
      <c r="O333" s="25" t="str">
        <f t="shared" si="6"/>
        <v>Por iniciar</v>
      </c>
      <c r="P333"/>
    </row>
    <row r="334" spans="1:16" ht="14.5">
      <c r="A334" s="18"/>
      <c r="B334" s="57"/>
      <c r="C334" s="57"/>
      <c r="D334" s="57"/>
      <c r="E334" s="57"/>
      <c r="F334" s="57"/>
      <c r="G334" s="57"/>
      <c r="H334" s="62" t="s">
        <v>9</v>
      </c>
      <c r="I334" s="19" t="s">
        <v>483</v>
      </c>
      <c r="J334" s="24">
        <f>+COUNTIFS('3. Resultados'!C:C,'1. Status'!H334,'3. Resultados'!G:G,'1. Status'!I334)</f>
        <v>0</v>
      </c>
      <c r="K334" s="70" t="str">
        <f>+IFERROR(VLOOKUP(CONCATENATE(A334,$B$10,B334),'3. Resultados'!B:J,8,FALSE),"-")</f>
        <v>-</v>
      </c>
      <c r="L334" s="69" t="str">
        <f>+IFERROR(VLOOKUP(B334,'3. Resultados'!K:L,2,FALSE),"-")</f>
        <v>-</v>
      </c>
      <c r="M334" s="70" t="str">
        <f>+IFERROR(VLOOKUP(CONCATENATE(A334,$B$10,B334),'3. Resultados'!B:J,9,FALSE),"-")</f>
        <v>-</v>
      </c>
      <c r="N334" s="24"/>
      <c r="O334" s="25" t="str">
        <f t="shared" si="6"/>
        <v>Por iniciar</v>
      </c>
      <c r="P334"/>
    </row>
    <row r="335" spans="1:16" ht="14.5">
      <c r="A335" s="18"/>
      <c r="B335" s="57"/>
      <c r="C335" s="57"/>
      <c r="D335" s="57"/>
      <c r="E335" s="57"/>
      <c r="F335" s="57"/>
      <c r="G335" s="57"/>
      <c r="H335" s="62" t="s">
        <v>9</v>
      </c>
      <c r="I335" s="19" t="s">
        <v>484</v>
      </c>
      <c r="J335" s="24">
        <f>+COUNTIFS('3. Resultados'!C:C,'1. Status'!H335,'3. Resultados'!G:G,'1. Status'!I335)</f>
        <v>0</v>
      </c>
      <c r="K335" s="70" t="str">
        <f>+IFERROR(VLOOKUP(CONCATENATE(A335,$B$10,B335),'3. Resultados'!B:J,8,FALSE),"-")</f>
        <v>-</v>
      </c>
      <c r="L335" s="69" t="str">
        <f>+IFERROR(VLOOKUP(B335,'3. Resultados'!K:L,2,FALSE),"-")</f>
        <v>-</v>
      </c>
      <c r="M335" s="70" t="str">
        <f>+IFERROR(VLOOKUP(CONCATENATE(A335,$B$10,B335),'3. Resultados'!B:J,9,FALSE),"-")</f>
        <v>-</v>
      </c>
      <c r="N335" s="24"/>
      <c r="O335" s="25" t="str">
        <f t="shared" si="6"/>
        <v>Por iniciar</v>
      </c>
      <c r="P335"/>
    </row>
    <row r="336" spans="1:16" ht="14.5">
      <c r="A336" s="18"/>
      <c r="B336" s="57"/>
      <c r="C336" s="57"/>
      <c r="D336" s="57"/>
      <c r="E336" s="57"/>
      <c r="F336" s="57"/>
      <c r="G336" s="57"/>
      <c r="H336" s="62" t="s">
        <v>9</v>
      </c>
      <c r="I336" s="19" t="s">
        <v>485</v>
      </c>
      <c r="J336" s="24">
        <f>+COUNTIFS('3. Resultados'!C:C,'1. Status'!H336,'3. Resultados'!G:G,'1. Status'!I336)</f>
        <v>0</v>
      </c>
      <c r="K336" s="70" t="str">
        <f>+IFERROR(VLOOKUP(CONCATENATE(A336,$B$10,B336),'3. Resultados'!B:J,8,FALSE),"-")</f>
        <v>-</v>
      </c>
      <c r="L336" s="69" t="str">
        <f>+IFERROR(VLOOKUP(B336,'3. Resultados'!K:L,2,FALSE),"-")</f>
        <v>-</v>
      </c>
      <c r="M336" s="70" t="str">
        <f>+IFERROR(VLOOKUP(CONCATENATE(A336,$B$10,B336),'3. Resultados'!B:J,9,FALSE),"-")</f>
        <v>-</v>
      </c>
      <c r="N336" s="24"/>
      <c r="O336" s="25" t="str">
        <f t="shared" si="6"/>
        <v>Por iniciar</v>
      </c>
      <c r="P336"/>
    </row>
    <row r="337" spans="1:16" ht="14.5">
      <c r="A337" s="18"/>
      <c r="B337" s="57"/>
      <c r="C337" s="57"/>
      <c r="D337" s="57"/>
      <c r="E337" s="57"/>
      <c r="F337" s="57"/>
      <c r="G337" s="57"/>
      <c r="H337" s="62" t="s">
        <v>9</v>
      </c>
      <c r="I337" s="19" t="s">
        <v>486</v>
      </c>
      <c r="J337" s="24">
        <f>+COUNTIFS('3. Resultados'!C:C,'1. Status'!H337,'3. Resultados'!G:G,'1. Status'!I337)</f>
        <v>0</v>
      </c>
      <c r="K337" s="70" t="str">
        <f>+IFERROR(VLOOKUP(CONCATENATE(A337,$B$10,B337),'3. Resultados'!B:J,8,FALSE),"-")</f>
        <v>-</v>
      </c>
      <c r="L337" s="69" t="str">
        <f>+IFERROR(VLOOKUP(B337,'3. Resultados'!K:L,2,FALSE),"-")</f>
        <v>-</v>
      </c>
      <c r="M337" s="70" t="str">
        <f>+IFERROR(VLOOKUP(CONCATENATE(A337,$B$10,B337),'3. Resultados'!B:J,9,FALSE),"-")</f>
        <v>-</v>
      </c>
      <c r="N337" s="24"/>
      <c r="O337" s="25" t="str">
        <f t="shared" si="6"/>
        <v>Por iniciar</v>
      </c>
      <c r="P337"/>
    </row>
    <row r="338" spans="1:16" ht="14.5">
      <c r="A338" s="18"/>
      <c r="B338" s="57"/>
      <c r="C338" s="57"/>
      <c r="D338" s="57"/>
      <c r="E338" s="57"/>
      <c r="F338" s="57"/>
      <c r="G338" s="57"/>
      <c r="H338" s="62" t="s">
        <v>9</v>
      </c>
      <c r="I338" s="19" t="s">
        <v>487</v>
      </c>
      <c r="J338" s="24">
        <f>+COUNTIFS('3. Resultados'!C:C,'1. Status'!H338,'3. Resultados'!G:G,'1. Status'!I338)</f>
        <v>0</v>
      </c>
      <c r="K338" s="70" t="str">
        <f>+IFERROR(VLOOKUP(CONCATENATE(A338,$B$10,B338),'3. Resultados'!B:J,8,FALSE),"-")</f>
        <v>-</v>
      </c>
      <c r="L338" s="69" t="str">
        <f>+IFERROR(VLOOKUP(B338,'3. Resultados'!K:L,2,FALSE),"-")</f>
        <v>-</v>
      </c>
      <c r="M338" s="70" t="str">
        <f>+IFERROR(VLOOKUP(CONCATENATE(A338,$B$10,B338),'3. Resultados'!B:J,9,FALSE),"-")</f>
        <v>-</v>
      </c>
      <c r="N338" s="24"/>
      <c r="O338" s="25" t="str">
        <f t="shared" si="6"/>
        <v>Por iniciar</v>
      </c>
      <c r="P338"/>
    </row>
    <row r="339" spans="1:16" ht="14.5">
      <c r="A339" s="18"/>
      <c r="B339" s="57"/>
      <c r="C339" s="57"/>
      <c r="D339" s="57"/>
      <c r="E339" s="57"/>
      <c r="F339" s="57"/>
      <c r="G339" s="57"/>
      <c r="H339" s="62" t="s">
        <v>9</v>
      </c>
      <c r="I339" s="19" t="s">
        <v>488</v>
      </c>
      <c r="J339" s="24">
        <f>+COUNTIFS('3. Resultados'!C:C,'1. Status'!H339,'3. Resultados'!G:G,'1. Status'!I339)</f>
        <v>0</v>
      </c>
      <c r="K339" s="70" t="str">
        <f>+IFERROR(VLOOKUP(CONCATENATE(A339,$B$10,B339),'3. Resultados'!B:J,8,FALSE),"-")</f>
        <v>-</v>
      </c>
      <c r="L339" s="69" t="str">
        <f>+IFERROR(VLOOKUP(B339,'3. Resultados'!K:L,2,FALSE),"-")</f>
        <v>-</v>
      </c>
      <c r="M339" s="70" t="str">
        <f>+IFERROR(VLOOKUP(CONCATENATE(A339,$B$10,B339),'3. Resultados'!B:J,9,FALSE),"-")</f>
        <v>-</v>
      </c>
      <c r="N339" s="24"/>
      <c r="O339" s="25" t="str">
        <f t="shared" si="6"/>
        <v>Por iniciar</v>
      </c>
      <c r="P339"/>
    </row>
    <row r="340" spans="1:16" ht="14.5">
      <c r="A340" s="18"/>
      <c r="B340" s="57"/>
      <c r="C340" s="57"/>
      <c r="D340" s="57"/>
      <c r="E340" s="57"/>
      <c r="F340" s="57"/>
      <c r="G340" s="57"/>
      <c r="H340" s="62" t="s">
        <v>9</v>
      </c>
      <c r="I340" s="19" t="s">
        <v>489</v>
      </c>
      <c r="J340" s="24">
        <f>+COUNTIFS('3. Resultados'!C:C,'1. Status'!H340,'3. Resultados'!G:G,'1. Status'!I340)</f>
        <v>0</v>
      </c>
      <c r="K340" s="70" t="str">
        <f>+IFERROR(VLOOKUP(CONCATENATE(A340,$B$10,B340),'3. Resultados'!B:J,8,FALSE),"-")</f>
        <v>-</v>
      </c>
      <c r="L340" s="69" t="str">
        <f>+IFERROR(VLOOKUP(B340,'3. Resultados'!K:L,2,FALSE),"-")</f>
        <v>-</v>
      </c>
      <c r="M340" s="70" t="str">
        <f>+IFERROR(VLOOKUP(CONCATENATE(A340,$B$10,B340),'3. Resultados'!B:J,9,FALSE),"-")</f>
        <v>-</v>
      </c>
      <c r="N340" s="24"/>
      <c r="O340" s="25" t="str">
        <f t="shared" si="6"/>
        <v>Por iniciar</v>
      </c>
      <c r="P340"/>
    </row>
    <row r="341" spans="1:16" ht="14.5">
      <c r="A341" s="18"/>
      <c r="B341" s="57"/>
      <c r="C341" s="57"/>
      <c r="D341" s="57"/>
      <c r="E341" s="57"/>
      <c r="F341" s="57"/>
      <c r="G341" s="57"/>
      <c r="H341" s="62" t="s">
        <v>9</v>
      </c>
      <c r="I341" s="19" t="s">
        <v>490</v>
      </c>
      <c r="J341" s="24">
        <f>+COUNTIFS('3. Resultados'!C:C,'1. Status'!H341,'3. Resultados'!G:G,'1. Status'!I341)</f>
        <v>0</v>
      </c>
      <c r="K341" s="70" t="str">
        <f>+IFERROR(VLOOKUP(CONCATENATE(A341,$B$10,B341),'3. Resultados'!B:J,8,FALSE),"-")</f>
        <v>-</v>
      </c>
      <c r="L341" s="69" t="str">
        <f>+IFERROR(VLOOKUP(B341,'3. Resultados'!K:L,2,FALSE),"-")</f>
        <v>-</v>
      </c>
      <c r="M341" s="70" t="str">
        <f>+IFERROR(VLOOKUP(CONCATENATE(A341,$B$10,B341),'3. Resultados'!B:J,9,FALSE),"-")</f>
        <v>-</v>
      </c>
      <c r="N341" s="24"/>
      <c r="O341" s="25" t="str">
        <f t="shared" si="6"/>
        <v>Por iniciar</v>
      </c>
      <c r="P341"/>
    </row>
    <row r="342" spans="1:16" ht="14.5">
      <c r="A342" s="18"/>
      <c r="B342" s="57"/>
      <c r="C342" s="57"/>
      <c r="D342" s="57"/>
      <c r="E342" s="57"/>
      <c r="F342" s="57"/>
      <c r="G342" s="57"/>
      <c r="H342" s="62" t="s">
        <v>9</v>
      </c>
      <c r="I342" s="19" t="s">
        <v>491</v>
      </c>
      <c r="J342" s="24">
        <f>+COUNTIFS('3. Resultados'!C:C,'1. Status'!H342,'3. Resultados'!G:G,'1. Status'!I342)</f>
        <v>0</v>
      </c>
      <c r="K342" s="70" t="str">
        <f>+IFERROR(VLOOKUP(CONCATENATE(A342,$B$10,B342),'3. Resultados'!B:J,8,FALSE),"-")</f>
        <v>-</v>
      </c>
      <c r="L342" s="69" t="str">
        <f>+IFERROR(VLOOKUP(B342,'3. Resultados'!K:L,2,FALSE),"-")</f>
        <v>-</v>
      </c>
      <c r="M342" s="70" t="str">
        <f>+IFERROR(VLOOKUP(CONCATENATE(A342,$B$10,B342),'3. Resultados'!B:J,9,FALSE),"-")</f>
        <v>-</v>
      </c>
      <c r="N342" s="24"/>
      <c r="O342" s="25" t="str">
        <f t="shared" si="6"/>
        <v>Por iniciar</v>
      </c>
      <c r="P342"/>
    </row>
    <row r="343" spans="1:16" ht="14.5">
      <c r="A343" s="18"/>
      <c r="B343" s="57"/>
      <c r="C343" s="57"/>
      <c r="D343" s="57"/>
      <c r="E343" s="57"/>
      <c r="F343" s="57"/>
      <c r="G343" s="57"/>
      <c r="H343" s="62" t="s">
        <v>9</v>
      </c>
      <c r="I343" s="19" t="s">
        <v>492</v>
      </c>
      <c r="J343" s="24">
        <f>+COUNTIFS('3. Resultados'!C:C,'1. Status'!H343,'3. Resultados'!G:G,'1. Status'!I343)</f>
        <v>0</v>
      </c>
      <c r="K343" s="70" t="str">
        <f>+IFERROR(VLOOKUP(CONCATENATE(A343,$B$10,B343),'3. Resultados'!B:J,8,FALSE),"-")</f>
        <v>-</v>
      </c>
      <c r="L343" s="69" t="str">
        <f>+IFERROR(VLOOKUP(B343,'3. Resultados'!K:L,2,FALSE),"-")</f>
        <v>-</v>
      </c>
      <c r="M343" s="70" t="str">
        <f>+IFERROR(VLOOKUP(CONCATENATE(A343,$B$10,B343),'3. Resultados'!B:J,9,FALSE),"-")</f>
        <v>-</v>
      </c>
      <c r="N343" s="24"/>
      <c r="O343" s="25" t="str">
        <f t="shared" si="6"/>
        <v>Por iniciar</v>
      </c>
      <c r="P343"/>
    </row>
    <row r="344" spans="1:16" ht="14.5">
      <c r="A344" s="18"/>
      <c r="B344" s="57"/>
      <c r="C344" s="57"/>
      <c r="D344" s="57"/>
      <c r="E344" s="57"/>
      <c r="F344" s="57"/>
      <c r="G344" s="57"/>
      <c r="H344" s="62" t="s">
        <v>9</v>
      </c>
      <c r="I344" s="19" t="s">
        <v>493</v>
      </c>
      <c r="J344" s="24">
        <f>+COUNTIFS('3. Resultados'!C:C,'1. Status'!H344,'3. Resultados'!G:G,'1. Status'!I344)</f>
        <v>0</v>
      </c>
      <c r="K344" s="70" t="str">
        <f>+IFERROR(VLOOKUP(CONCATENATE(A344,$B$10,B344),'3. Resultados'!B:J,8,FALSE),"-")</f>
        <v>-</v>
      </c>
      <c r="L344" s="69" t="str">
        <f>+IFERROR(VLOOKUP(B344,'3. Resultados'!K:L,2,FALSE),"-")</f>
        <v>-</v>
      </c>
      <c r="M344" s="70" t="str">
        <f>+IFERROR(VLOOKUP(CONCATENATE(A344,$B$10,B344),'3. Resultados'!B:J,9,FALSE),"-")</f>
        <v>-</v>
      </c>
      <c r="N344" s="24"/>
      <c r="O344" s="25" t="str">
        <f t="shared" si="6"/>
        <v>Por iniciar</v>
      </c>
      <c r="P344"/>
    </row>
    <row r="345" spans="1:16" ht="14.5">
      <c r="A345" s="18"/>
      <c r="B345" s="57"/>
      <c r="C345" s="57"/>
      <c r="D345" s="57"/>
      <c r="E345" s="57"/>
      <c r="F345" s="57"/>
      <c r="G345" s="57"/>
      <c r="H345" s="62" t="s">
        <v>9</v>
      </c>
      <c r="I345" s="19" t="s">
        <v>494</v>
      </c>
      <c r="J345" s="24">
        <f>+COUNTIFS('3. Resultados'!C:C,'1. Status'!H345,'3. Resultados'!G:G,'1. Status'!I345)</f>
        <v>0</v>
      </c>
      <c r="K345" s="70" t="str">
        <f>+IFERROR(VLOOKUP(CONCATENATE(A345,$B$10,B345),'3. Resultados'!B:J,8,FALSE),"-")</f>
        <v>-</v>
      </c>
      <c r="L345" s="69" t="str">
        <f>+IFERROR(VLOOKUP(B345,'3. Resultados'!K:L,2,FALSE),"-")</f>
        <v>-</v>
      </c>
      <c r="M345" s="70" t="str">
        <f>+IFERROR(VLOOKUP(CONCATENATE(A345,$B$10,B345),'3. Resultados'!B:J,9,FALSE),"-")</f>
        <v>-</v>
      </c>
      <c r="N345" s="24"/>
      <c r="O345" s="25" t="str">
        <f t="shared" si="6"/>
        <v>Por iniciar</v>
      </c>
      <c r="P345"/>
    </row>
    <row r="346" spans="1:16" ht="14.5">
      <c r="A346" s="18"/>
      <c r="B346" s="57"/>
      <c r="C346" s="57"/>
      <c r="D346" s="57"/>
      <c r="E346" s="57"/>
      <c r="F346" s="57"/>
      <c r="G346" s="57"/>
      <c r="H346" s="62" t="s">
        <v>9</v>
      </c>
      <c r="I346" s="19" t="s">
        <v>495</v>
      </c>
      <c r="J346" s="24">
        <f>+COUNTIFS('3. Resultados'!C:C,'1. Status'!H346,'3. Resultados'!G:G,'1. Status'!I346)</f>
        <v>0</v>
      </c>
      <c r="K346" s="70" t="str">
        <f>+IFERROR(VLOOKUP(CONCATENATE(A346,$B$10,B346),'3. Resultados'!B:J,8,FALSE),"-")</f>
        <v>-</v>
      </c>
      <c r="L346" s="69" t="str">
        <f>+IFERROR(VLOOKUP(B346,'3. Resultados'!K:L,2,FALSE),"-")</f>
        <v>-</v>
      </c>
      <c r="M346" s="70" t="str">
        <f>+IFERROR(VLOOKUP(CONCATENATE(A346,$B$10,B346),'3. Resultados'!B:J,9,FALSE),"-")</f>
        <v>-</v>
      </c>
      <c r="N346" s="24"/>
      <c r="O346" s="25" t="str">
        <f t="shared" si="6"/>
        <v>Por iniciar</v>
      </c>
      <c r="P346"/>
    </row>
    <row r="347" spans="1:16" ht="14.5">
      <c r="A347" s="18"/>
      <c r="B347" s="57"/>
      <c r="C347" s="57"/>
      <c r="D347" s="57"/>
      <c r="E347" s="57"/>
      <c r="F347" s="57"/>
      <c r="G347" s="57"/>
      <c r="H347" s="62" t="s">
        <v>9</v>
      </c>
      <c r="I347" s="19" t="s">
        <v>496</v>
      </c>
      <c r="J347" s="24">
        <f>+COUNTIFS('3. Resultados'!C:C,'1. Status'!H347,'3. Resultados'!G:G,'1. Status'!I347)</f>
        <v>0</v>
      </c>
      <c r="K347" s="70" t="str">
        <f>+IFERROR(VLOOKUP(CONCATENATE(A347,$B$10,B347),'3. Resultados'!B:J,8,FALSE),"-")</f>
        <v>-</v>
      </c>
      <c r="L347" s="69" t="str">
        <f>+IFERROR(VLOOKUP(B347,'3. Resultados'!K:L,2,FALSE),"-")</f>
        <v>-</v>
      </c>
      <c r="M347" s="70" t="str">
        <f>+IFERROR(VLOOKUP(CONCATENATE(A347,$B$10,B347),'3. Resultados'!B:J,9,FALSE),"-")</f>
        <v>-</v>
      </c>
      <c r="N347" s="24"/>
      <c r="O347" s="25" t="str">
        <f t="shared" si="6"/>
        <v>Por iniciar</v>
      </c>
      <c r="P347"/>
    </row>
    <row r="348" spans="1:16" ht="14.5">
      <c r="A348" s="18"/>
      <c r="B348" s="57"/>
      <c r="C348" s="57"/>
      <c r="D348" s="57"/>
      <c r="E348" s="57"/>
      <c r="F348" s="57"/>
      <c r="G348" s="57"/>
      <c r="H348" s="62" t="s">
        <v>9</v>
      </c>
      <c r="I348" s="19" t="s">
        <v>497</v>
      </c>
      <c r="J348" s="24">
        <f>+COUNTIFS('3. Resultados'!C:C,'1. Status'!H348,'3. Resultados'!G:G,'1. Status'!I348)</f>
        <v>0</v>
      </c>
      <c r="K348" s="70" t="str">
        <f>+IFERROR(VLOOKUP(CONCATENATE(A348,$B$10,B348),'3. Resultados'!B:J,8,FALSE),"-")</f>
        <v>-</v>
      </c>
      <c r="L348" s="69" t="str">
        <f>+IFERROR(VLOOKUP(B348,'3. Resultados'!K:L,2,FALSE),"-")</f>
        <v>-</v>
      </c>
      <c r="M348" s="70" t="str">
        <f>+IFERROR(VLOOKUP(CONCATENATE(A348,$B$10,B348),'3. Resultados'!B:J,9,FALSE),"-")</f>
        <v>-</v>
      </c>
      <c r="N348" s="24"/>
      <c r="O348" s="25" t="str">
        <f t="shared" si="6"/>
        <v>Por iniciar</v>
      </c>
      <c r="P348"/>
    </row>
    <row r="349" spans="1:16" ht="14.5">
      <c r="A349" s="18"/>
      <c r="B349" s="57"/>
      <c r="C349" s="57"/>
      <c r="D349" s="57"/>
      <c r="E349" s="57"/>
      <c r="F349" s="57"/>
      <c r="G349" s="57"/>
      <c r="H349" s="62" t="s">
        <v>9</v>
      </c>
      <c r="I349" s="19" t="s">
        <v>498</v>
      </c>
      <c r="J349" s="24">
        <f>+COUNTIFS('3. Resultados'!C:C,'1. Status'!H349,'3. Resultados'!G:G,'1. Status'!I349)</f>
        <v>0</v>
      </c>
      <c r="K349" s="70" t="str">
        <f>+IFERROR(VLOOKUP(CONCATENATE(A349,$B$10,B349),'3. Resultados'!B:J,8,FALSE),"-")</f>
        <v>-</v>
      </c>
      <c r="L349" s="69" t="str">
        <f>+IFERROR(VLOOKUP(B349,'3. Resultados'!K:L,2,FALSE),"-")</f>
        <v>-</v>
      </c>
      <c r="M349" s="70" t="str">
        <f>+IFERROR(VLOOKUP(CONCATENATE(A349,$B$10,B349),'3. Resultados'!B:J,9,FALSE),"-")</f>
        <v>-</v>
      </c>
      <c r="N349" s="24"/>
      <c r="O349" s="25" t="str">
        <f t="shared" si="6"/>
        <v>Por iniciar</v>
      </c>
      <c r="P349"/>
    </row>
    <row r="350" spans="1:16" ht="14.5">
      <c r="A350" s="18"/>
      <c r="B350" s="57"/>
      <c r="C350" s="57"/>
      <c r="D350" s="57"/>
      <c r="E350" s="57"/>
      <c r="F350" s="57"/>
      <c r="G350" s="57"/>
      <c r="H350" s="62" t="s">
        <v>9</v>
      </c>
      <c r="I350" s="19" t="s">
        <v>499</v>
      </c>
      <c r="J350" s="24">
        <f>+COUNTIFS('3. Resultados'!C:C,'1. Status'!H350,'3. Resultados'!G:G,'1. Status'!I350)</f>
        <v>0</v>
      </c>
      <c r="K350" s="70" t="str">
        <f>+IFERROR(VLOOKUP(CONCATENATE(A350,$B$10,B350),'3. Resultados'!B:J,8,FALSE),"-")</f>
        <v>-</v>
      </c>
      <c r="L350" s="69" t="str">
        <f>+IFERROR(VLOOKUP(B350,'3. Resultados'!K:L,2,FALSE),"-")</f>
        <v>-</v>
      </c>
      <c r="M350" s="70" t="str">
        <f>+IFERROR(VLOOKUP(CONCATENATE(A350,$B$10,B350),'3. Resultados'!B:J,9,FALSE),"-")</f>
        <v>-</v>
      </c>
      <c r="N350" s="24"/>
      <c r="O350" s="25" t="str">
        <f t="shared" si="6"/>
        <v>Por iniciar</v>
      </c>
      <c r="P350"/>
    </row>
    <row r="351" spans="1:16" ht="14.5">
      <c r="A351" s="18"/>
      <c r="B351" s="57"/>
      <c r="C351" s="57"/>
      <c r="D351" s="57"/>
      <c r="E351" s="57"/>
      <c r="F351" s="57"/>
      <c r="G351" s="57"/>
      <c r="H351" s="62" t="s">
        <v>9</v>
      </c>
      <c r="I351" s="19" t="s">
        <v>500</v>
      </c>
      <c r="J351" s="24">
        <f>+COUNTIFS('3. Resultados'!C:C,'1. Status'!H351,'3. Resultados'!G:G,'1. Status'!I351)</f>
        <v>0</v>
      </c>
      <c r="K351" s="70" t="str">
        <f>+IFERROR(VLOOKUP(CONCATENATE(A351,$B$10,B351),'3. Resultados'!B:J,8,FALSE),"-")</f>
        <v>-</v>
      </c>
      <c r="L351" s="69" t="str">
        <f>+IFERROR(VLOOKUP(B351,'3. Resultados'!K:L,2,FALSE),"-")</f>
        <v>-</v>
      </c>
      <c r="M351" s="70" t="str">
        <f>+IFERROR(VLOOKUP(CONCATENATE(A351,$B$10,B351),'3. Resultados'!B:J,9,FALSE),"-")</f>
        <v>-</v>
      </c>
      <c r="N351" s="24"/>
      <c r="O351" s="25" t="str">
        <f t="shared" si="6"/>
        <v>Por iniciar</v>
      </c>
      <c r="P351"/>
    </row>
    <row r="352" spans="1:16" ht="14.5">
      <c r="A352" s="18"/>
      <c r="B352" s="57"/>
      <c r="C352" s="57"/>
      <c r="D352" s="57"/>
      <c r="E352" s="57"/>
      <c r="F352" s="57"/>
      <c r="G352" s="57"/>
      <c r="H352" s="62" t="s">
        <v>9</v>
      </c>
      <c r="I352" s="19" t="s">
        <v>501</v>
      </c>
      <c r="J352" s="24">
        <f>+COUNTIFS('3. Resultados'!C:C,'1. Status'!H352,'3. Resultados'!G:G,'1. Status'!I352)</f>
        <v>0</v>
      </c>
      <c r="K352" s="70" t="str">
        <f>+IFERROR(VLOOKUP(CONCATENATE(A352,$B$10,B352),'3. Resultados'!B:J,8,FALSE),"-")</f>
        <v>-</v>
      </c>
      <c r="L352" s="69" t="str">
        <f>+IFERROR(VLOOKUP(B352,'3. Resultados'!K:L,2,FALSE),"-")</f>
        <v>-</v>
      </c>
      <c r="M352" s="70" t="str">
        <f>+IFERROR(VLOOKUP(CONCATENATE(A352,$B$10,B352),'3. Resultados'!B:J,9,FALSE),"-")</f>
        <v>-</v>
      </c>
      <c r="N352" s="24"/>
      <c r="O352" s="25" t="str">
        <f t="shared" si="6"/>
        <v>Por iniciar</v>
      </c>
      <c r="P352"/>
    </row>
    <row r="353" spans="1:16" ht="14.5">
      <c r="A353" s="18"/>
      <c r="B353" s="57"/>
      <c r="C353" s="57"/>
      <c r="D353" s="57"/>
      <c r="E353" s="57"/>
      <c r="F353" s="57"/>
      <c r="G353" s="57"/>
      <c r="H353" s="62" t="s">
        <v>9</v>
      </c>
      <c r="I353" s="19" t="s">
        <v>502</v>
      </c>
      <c r="J353" s="24">
        <f>+COUNTIFS('3. Resultados'!C:C,'1. Status'!H353,'3. Resultados'!G:G,'1. Status'!I353)</f>
        <v>0</v>
      </c>
      <c r="K353" s="70" t="str">
        <f>+IFERROR(VLOOKUP(CONCATENATE(A353,$B$10,B353),'3. Resultados'!B:J,8,FALSE),"-")</f>
        <v>-</v>
      </c>
      <c r="L353" s="69" t="str">
        <f>+IFERROR(VLOOKUP(B353,'3. Resultados'!K:L,2,FALSE),"-")</f>
        <v>-</v>
      </c>
      <c r="M353" s="70" t="str">
        <f>+IFERROR(VLOOKUP(CONCATENATE(A353,$B$10,B353),'3. Resultados'!B:J,9,FALSE),"-")</f>
        <v>-</v>
      </c>
      <c r="N353" s="24"/>
      <c r="O353" s="25" t="str">
        <f t="shared" si="6"/>
        <v>Por iniciar</v>
      </c>
      <c r="P353"/>
    </row>
    <row r="354" spans="1:16" ht="14.5">
      <c r="A354" s="18"/>
      <c r="B354" s="57"/>
      <c r="C354" s="57"/>
      <c r="D354" s="57"/>
      <c r="E354" s="57"/>
      <c r="F354" s="57"/>
      <c r="G354" s="57"/>
      <c r="H354" s="62" t="s">
        <v>9</v>
      </c>
      <c r="I354" s="19" t="s">
        <v>503</v>
      </c>
      <c r="J354" s="24">
        <f>+COUNTIFS('3. Resultados'!C:C,'1. Status'!H354,'3. Resultados'!G:G,'1. Status'!I354)</f>
        <v>0</v>
      </c>
      <c r="K354" s="70" t="str">
        <f>+IFERROR(VLOOKUP(CONCATENATE(A354,$B$10,B354),'3. Resultados'!B:J,8,FALSE),"-")</f>
        <v>-</v>
      </c>
      <c r="L354" s="69" t="str">
        <f>+IFERROR(VLOOKUP(B354,'3. Resultados'!K:L,2,FALSE),"-")</f>
        <v>-</v>
      </c>
      <c r="M354" s="70" t="str">
        <f>+IFERROR(VLOOKUP(CONCATENATE(A354,$B$10,B354),'3. Resultados'!B:J,9,FALSE),"-")</f>
        <v>-</v>
      </c>
      <c r="N354" s="24"/>
      <c r="O354" s="25" t="str">
        <f t="shared" si="6"/>
        <v>Por iniciar</v>
      </c>
      <c r="P354"/>
    </row>
    <row r="355" spans="1:16" ht="14.5">
      <c r="A355" s="18"/>
      <c r="B355" s="57"/>
      <c r="C355" s="57"/>
      <c r="D355" s="57"/>
      <c r="E355" s="57"/>
      <c r="F355" s="57"/>
      <c r="G355" s="57"/>
      <c r="H355" s="62" t="s">
        <v>9</v>
      </c>
      <c r="I355" s="19" t="s">
        <v>504</v>
      </c>
      <c r="J355" s="24">
        <f>+COUNTIFS('3. Resultados'!C:C,'1. Status'!H355,'3. Resultados'!G:G,'1. Status'!I355)</f>
        <v>0</v>
      </c>
      <c r="K355" s="70" t="str">
        <f>+IFERROR(VLOOKUP(CONCATENATE(A355,$B$10,B355),'3. Resultados'!B:J,8,FALSE),"-")</f>
        <v>-</v>
      </c>
      <c r="L355" s="69" t="str">
        <f>+IFERROR(VLOOKUP(B355,'3. Resultados'!K:L,2,FALSE),"-")</f>
        <v>-</v>
      </c>
      <c r="M355" s="70" t="str">
        <f>+IFERROR(VLOOKUP(CONCATENATE(A355,$B$10,B355),'3. Resultados'!B:J,9,FALSE),"-")</f>
        <v>-</v>
      </c>
      <c r="N355" s="24"/>
      <c r="O355" s="25" t="str">
        <f t="shared" si="6"/>
        <v>Por iniciar</v>
      </c>
      <c r="P355"/>
    </row>
    <row r="356" spans="1:16" ht="14.5">
      <c r="A356" s="18"/>
      <c r="B356" s="57"/>
      <c r="C356" s="57"/>
      <c r="D356" s="57"/>
      <c r="E356" s="57"/>
      <c r="F356" s="57"/>
      <c r="G356" s="57"/>
      <c r="H356" s="62" t="s">
        <v>9</v>
      </c>
      <c r="I356" s="19" t="s">
        <v>505</v>
      </c>
      <c r="J356" s="24">
        <f>+COUNTIFS('3. Resultados'!C:C,'1. Status'!H356,'3. Resultados'!G:G,'1. Status'!I356)</f>
        <v>0</v>
      </c>
      <c r="K356" s="70" t="str">
        <f>+IFERROR(VLOOKUP(CONCATENATE(A356,$B$10,B356),'3. Resultados'!B:J,8,FALSE),"-")</f>
        <v>-</v>
      </c>
      <c r="L356" s="69" t="str">
        <f>+IFERROR(VLOOKUP(B356,'3. Resultados'!K:L,2,FALSE),"-")</f>
        <v>-</v>
      </c>
      <c r="M356" s="70" t="str">
        <f>+IFERROR(VLOOKUP(CONCATENATE(A356,$B$10,B356),'3. Resultados'!B:J,9,FALSE),"-")</f>
        <v>-</v>
      </c>
      <c r="N356" s="24"/>
      <c r="O356" s="25" t="str">
        <f t="shared" si="6"/>
        <v>Por iniciar</v>
      </c>
      <c r="P356"/>
    </row>
    <row r="357" spans="1:16" ht="14.5">
      <c r="A357" s="18"/>
      <c r="B357" s="57"/>
      <c r="C357" s="57"/>
      <c r="D357" s="57"/>
      <c r="E357" s="57"/>
      <c r="F357" s="57"/>
      <c r="G357" s="57"/>
      <c r="H357" s="62" t="s">
        <v>9</v>
      </c>
      <c r="I357" s="19" t="s">
        <v>506</v>
      </c>
      <c r="J357" s="24">
        <f>+COUNTIFS('3. Resultados'!C:C,'1. Status'!H357,'3. Resultados'!G:G,'1. Status'!I357)</f>
        <v>0</v>
      </c>
      <c r="K357" s="70" t="str">
        <f>+IFERROR(VLOOKUP(CONCATENATE(A357,$B$10,B357),'3. Resultados'!B:J,8,FALSE),"-")</f>
        <v>-</v>
      </c>
      <c r="L357" s="69" t="str">
        <f>+IFERROR(VLOOKUP(B357,'3. Resultados'!K:L,2,FALSE),"-")</f>
        <v>-</v>
      </c>
      <c r="M357" s="70" t="str">
        <f>+IFERROR(VLOOKUP(CONCATENATE(A357,$B$10,B357),'3. Resultados'!B:J,9,FALSE),"-")</f>
        <v>-</v>
      </c>
      <c r="N357" s="24"/>
      <c r="O357" s="25" t="str">
        <f t="shared" si="6"/>
        <v>Por iniciar</v>
      </c>
      <c r="P357"/>
    </row>
    <row r="358" spans="1:16" ht="14.5">
      <c r="A358" s="18"/>
      <c r="B358" s="57"/>
      <c r="C358" s="57"/>
      <c r="D358" s="57"/>
      <c r="E358" s="57"/>
      <c r="F358" s="57"/>
      <c r="G358" s="57"/>
      <c r="H358" s="62" t="s">
        <v>9</v>
      </c>
      <c r="I358" s="19" t="s">
        <v>250</v>
      </c>
      <c r="J358" s="24">
        <f>+COUNTIFS('3. Resultados'!C:C,'1. Status'!H358,'3. Resultados'!G:G,'1. Status'!I358)</f>
        <v>0</v>
      </c>
      <c r="K358" s="70" t="str">
        <f>+IFERROR(VLOOKUP(CONCATENATE(A358,$B$10,B358),'3. Resultados'!B:J,8,FALSE),"-")</f>
        <v>-</v>
      </c>
      <c r="L358" s="69" t="str">
        <f>+IFERROR(VLOOKUP(B358,'3. Resultados'!K:L,2,FALSE),"-")</f>
        <v>-</v>
      </c>
      <c r="M358" s="70" t="str">
        <f>+IFERROR(VLOOKUP(CONCATENATE(A358,$B$10,B358),'3. Resultados'!B:J,9,FALSE),"-")</f>
        <v>-</v>
      </c>
      <c r="N358" s="24"/>
      <c r="O358" s="25" t="str">
        <f t="shared" si="6"/>
        <v>Por iniciar</v>
      </c>
      <c r="P358"/>
    </row>
    <row r="359" spans="1:16" ht="14.5">
      <c r="A359" s="18"/>
      <c r="B359" s="57"/>
      <c r="C359" s="57"/>
      <c r="D359" s="57"/>
      <c r="E359" s="57"/>
      <c r="F359" s="57"/>
      <c r="G359" s="57"/>
      <c r="H359" s="62" t="s">
        <v>9</v>
      </c>
      <c r="I359" s="19" t="s">
        <v>507</v>
      </c>
      <c r="J359" s="24">
        <f>+COUNTIFS('3. Resultados'!C:C,'1. Status'!H359,'3. Resultados'!G:G,'1. Status'!I359)</f>
        <v>0</v>
      </c>
      <c r="K359" s="70" t="str">
        <f>+IFERROR(VLOOKUP(CONCATENATE(A359,$B$10,B359),'3. Resultados'!B:J,8,FALSE),"-")</f>
        <v>-</v>
      </c>
      <c r="L359" s="69" t="str">
        <f>+IFERROR(VLOOKUP(B359,'3. Resultados'!K:L,2,FALSE),"-")</f>
        <v>-</v>
      </c>
      <c r="M359" s="70" t="str">
        <f>+IFERROR(VLOOKUP(CONCATENATE(A359,$B$10,B359),'3. Resultados'!B:J,9,FALSE),"-")</f>
        <v>-</v>
      </c>
      <c r="N359" s="24"/>
      <c r="O359" s="25" t="str">
        <f t="shared" si="6"/>
        <v>Por iniciar</v>
      </c>
      <c r="P359"/>
    </row>
    <row r="360" spans="1:16" ht="14.5">
      <c r="A360" s="18"/>
      <c r="B360" s="57"/>
      <c r="C360" s="57"/>
      <c r="D360" s="57"/>
      <c r="E360" s="57"/>
      <c r="F360" s="57"/>
      <c r="G360" s="57"/>
      <c r="H360" s="62" t="s">
        <v>9</v>
      </c>
      <c r="I360" s="19" t="s">
        <v>508</v>
      </c>
      <c r="J360" s="24">
        <f>+COUNTIFS('3. Resultados'!C:C,'1. Status'!H360,'3. Resultados'!G:G,'1. Status'!I360)</f>
        <v>0</v>
      </c>
      <c r="K360" s="70" t="str">
        <f>+IFERROR(VLOOKUP(CONCATENATE(A360,$B$10,B360),'3. Resultados'!B:J,8,FALSE),"-")</f>
        <v>-</v>
      </c>
      <c r="L360" s="69" t="str">
        <f>+IFERROR(VLOOKUP(B360,'3. Resultados'!K:L,2,FALSE),"-")</f>
        <v>-</v>
      </c>
      <c r="M360" s="70" t="str">
        <f>+IFERROR(VLOOKUP(CONCATENATE(A360,$B$10,B360),'3. Resultados'!B:J,9,FALSE),"-")</f>
        <v>-</v>
      </c>
      <c r="N360" s="24"/>
      <c r="O360" s="25" t="str">
        <f t="shared" si="6"/>
        <v>Por iniciar</v>
      </c>
      <c r="P360"/>
    </row>
    <row r="361" spans="1:16" ht="14.5">
      <c r="A361" s="18"/>
      <c r="B361" s="57"/>
      <c r="C361" s="57"/>
      <c r="D361" s="57"/>
      <c r="E361" s="57"/>
      <c r="F361" s="57"/>
      <c r="G361" s="57"/>
      <c r="H361" s="62" t="s">
        <v>9</v>
      </c>
      <c r="I361" s="19" t="s">
        <v>509</v>
      </c>
      <c r="J361" s="24">
        <f>+COUNTIFS('3. Resultados'!C:C,'1. Status'!H361,'3. Resultados'!G:G,'1. Status'!I361)</f>
        <v>0</v>
      </c>
      <c r="K361" s="70" t="str">
        <f>+IFERROR(VLOOKUP(CONCATENATE(A361,$B$10,B361),'3. Resultados'!B:J,8,FALSE),"-")</f>
        <v>-</v>
      </c>
      <c r="L361" s="69" t="str">
        <f>+IFERROR(VLOOKUP(B361,'3. Resultados'!K:L,2,FALSE),"-")</f>
        <v>-</v>
      </c>
      <c r="M361" s="70" t="str">
        <f>+IFERROR(VLOOKUP(CONCATENATE(A361,$B$10,B361),'3. Resultados'!B:J,9,FALSE),"-")</f>
        <v>-</v>
      </c>
      <c r="N361" s="24"/>
      <c r="O361" s="25" t="str">
        <f t="shared" si="6"/>
        <v>Por iniciar</v>
      </c>
      <c r="P361"/>
    </row>
    <row r="362" spans="1:16" ht="14.5">
      <c r="A362" s="18"/>
      <c r="B362" s="57"/>
      <c r="C362" s="57"/>
      <c r="D362" s="57"/>
      <c r="E362" s="57"/>
      <c r="F362" s="57"/>
      <c r="G362" s="57"/>
      <c r="H362" s="62" t="s">
        <v>9</v>
      </c>
      <c r="I362" s="19" t="s">
        <v>510</v>
      </c>
      <c r="J362" s="24">
        <f>+COUNTIFS('3. Resultados'!C:C,'1. Status'!H362,'3. Resultados'!G:G,'1. Status'!I362)</f>
        <v>0</v>
      </c>
      <c r="K362" s="70" t="str">
        <f>+IFERROR(VLOOKUP(CONCATENATE(A362,$B$10,B362),'3. Resultados'!B:J,8,FALSE),"-")</f>
        <v>-</v>
      </c>
      <c r="L362" s="69" t="str">
        <f>+IFERROR(VLOOKUP(B362,'3. Resultados'!K:L,2,FALSE),"-")</f>
        <v>-</v>
      </c>
      <c r="M362" s="70" t="str">
        <f>+IFERROR(VLOOKUP(CONCATENATE(A362,$B$10,B362),'3. Resultados'!B:J,9,FALSE),"-")</f>
        <v>-</v>
      </c>
      <c r="N362" s="24"/>
      <c r="O362" s="25" t="str">
        <f t="shared" si="6"/>
        <v>Por iniciar</v>
      </c>
      <c r="P362"/>
    </row>
    <row r="363" spans="1:16" ht="14.5">
      <c r="A363" s="18"/>
      <c r="B363" s="57"/>
      <c r="C363" s="57"/>
      <c r="D363" s="57"/>
      <c r="E363" s="57"/>
      <c r="F363" s="57"/>
      <c r="G363" s="57"/>
      <c r="H363" s="62" t="s">
        <v>9</v>
      </c>
      <c r="I363" s="19" t="s">
        <v>511</v>
      </c>
      <c r="J363" s="24">
        <f>+COUNTIFS('3. Resultados'!C:C,'1. Status'!H363,'3. Resultados'!G:G,'1. Status'!I363)</f>
        <v>0</v>
      </c>
      <c r="K363" s="70" t="str">
        <f>+IFERROR(VLOOKUP(CONCATENATE(A363,$B$10,B363),'3. Resultados'!B:J,8,FALSE),"-")</f>
        <v>-</v>
      </c>
      <c r="L363" s="69" t="str">
        <f>+IFERROR(VLOOKUP(B363,'3. Resultados'!K:L,2,FALSE),"-")</f>
        <v>-</v>
      </c>
      <c r="M363" s="70" t="str">
        <f>+IFERROR(VLOOKUP(CONCATENATE(A363,$B$10,B363),'3. Resultados'!B:J,9,FALSE),"-")</f>
        <v>-</v>
      </c>
      <c r="N363" s="24"/>
      <c r="O363" s="25" t="str">
        <f t="shared" si="6"/>
        <v>Por iniciar</v>
      </c>
      <c r="P363"/>
    </row>
    <row r="364" spans="1:16" ht="14.5">
      <c r="A364" s="18"/>
      <c r="B364" s="57"/>
      <c r="C364" s="57"/>
      <c r="D364" s="57"/>
      <c r="E364" s="57"/>
      <c r="F364" s="57"/>
      <c r="G364" s="57"/>
      <c r="H364" s="62" t="s">
        <v>9</v>
      </c>
      <c r="I364" s="19" t="s">
        <v>512</v>
      </c>
      <c r="J364" s="24">
        <f>+COUNTIFS('3. Resultados'!C:C,'1. Status'!H364,'3. Resultados'!G:G,'1. Status'!I364)</f>
        <v>0</v>
      </c>
      <c r="K364" s="70" t="str">
        <f>+IFERROR(VLOOKUP(CONCATENATE(A364,$B$10,B364),'3. Resultados'!B:J,8,FALSE),"-")</f>
        <v>-</v>
      </c>
      <c r="L364" s="69" t="str">
        <f>+IFERROR(VLOOKUP(B364,'3. Resultados'!K:L,2,FALSE),"-")</f>
        <v>-</v>
      </c>
      <c r="M364" s="70" t="str">
        <f>+IFERROR(VLOOKUP(CONCATENATE(A364,$B$10,B364),'3. Resultados'!B:J,9,FALSE),"-")</f>
        <v>-</v>
      </c>
      <c r="N364" s="24"/>
      <c r="O364" s="25" t="str">
        <f t="shared" si="6"/>
        <v>Por iniciar</v>
      </c>
      <c r="P364"/>
    </row>
    <row r="365" spans="1:16" ht="14.5">
      <c r="A365" s="18"/>
      <c r="B365" s="57"/>
      <c r="C365" s="57"/>
      <c r="D365" s="57"/>
      <c r="E365" s="57"/>
      <c r="F365" s="57"/>
      <c r="G365" s="57"/>
      <c r="H365" s="62" t="s">
        <v>9</v>
      </c>
      <c r="I365" s="19" t="s">
        <v>513</v>
      </c>
      <c r="J365" s="24">
        <f>+COUNTIFS('3. Resultados'!C:C,'1. Status'!H365,'3. Resultados'!G:G,'1. Status'!I365)</f>
        <v>0</v>
      </c>
      <c r="K365" s="70" t="str">
        <f>+IFERROR(VLOOKUP(CONCATENATE(A365,$B$10,B365),'3. Resultados'!B:J,8,FALSE),"-")</f>
        <v>-</v>
      </c>
      <c r="L365" s="69" t="str">
        <f>+IFERROR(VLOOKUP(B365,'3. Resultados'!K:L,2,FALSE),"-")</f>
        <v>-</v>
      </c>
      <c r="M365" s="70" t="str">
        <f>+IFERROR(VLOOKUP(CONCATENATE(A365,$B$10,B365),'3. Resultados'!B:J,9,FALSE),"-")</f>
        <v>-</v>
      </c>
      <c r="N365" s="24"/>
      <c r="O365" s="25" t="str">
        <f t="shared" si="6"/>
        <v>Por iniciar</v>
      </c>
      <c r="P365"/>
    </row>
    <row r="366" spans="1:16" ht="14.5">
      <c r="A366" s="18"/>
      <c r="B366" s="57"/>
      <c r="C366" s="57"/>
      <c r="D366" s="57"/>
      <c r="E366" s="57"/>
      <c r="F366" s="57"/>
      <c r="G366" s="57"/>
      <c r="H366" s="62" t="s">
        <v>9</v>
      </c>
      <c r="I366" s="19" t="s">
        <v>514</v>
      </c>
      <c r="J366" s="24">
        <f>+COUNTIFS('3. Resultados'!C:C,'1. Status'!H366,'3. Resultados'!G:G,'1. Status'!I366)</f>
        <v>0</v>
      </c>
      <c r="K366" s="70" t="str">
        <f>+IFERROR(VLOOKUP(CONCATENATE(A366,$B$10,B366),'3. Resultados'!B:J,8,FALSE),"-")</f>
        <v>-</v>
      </c>
      <c r="L366" s="69" t="str">
        <f>+IFERROR(VLOOKUP(B366,'3. Resultados'!K:L,2,FALSE),"-")</f>
        <v>-</v>
      </c>
      <c r="M366" s="70" t="str">
        <f>+IFERROR(VLOOKUP(CONCATENATE(A366,$B$10,B366),'3. Resultados'!B:J,9,FALSE),"-")</f>
        <v>-</v>
      </c>
      <c r="N366" s="24"/>
      <c r="O366" s="25" t="str">
        <f t="shared" si="6"/>
        <v>Por iniciar</v>
      </c>
      <c r="P366"/>
    </row>
    <row r="367" spans="1:16" ht="14.5">
      <c r="A367" s="18"/>
      <c r="B367" s="57"/>
      <c r="C367" s="57"/>
      <c r="D367" s="57"/>
      <c r="E367" s="57"/>
      <c r="F367" s="57"/>
      <c r="G367" s="57"/>
      <c r="H367" s="62" t="s">
        <v>9</v>
      </c>
      <c r="I367" s="19" t="s">
        <v>515</v>
      </c>
      <c r="J367" s="24">
        <f>+COUNTIFS('3. Resultados'!C:C,'1. Status'!H367,'3. Resultados'!G:G,'1. Status'!I367)</f>
        <v>0</v>
      </c>
      <c r="K367" s="70" t="str">
        <f>+IFERROR(VLOOKUP(CONCATENATE(A367,$B$10,B367),'3. Resultados'!B:J,8,FALSE),"-")</f>
        <v>-</v>
      </c>
      <c r="L367" s="69" t="str">
        <f>+IFERROR(VLOOKUP(B367,'3. Resultados'!K:L,2,FALSE),"-")</f>
        <v>-</v>
      </c>
      <c r="M367" s="70" t="str">
        <f>+IFERROR(VLOOKUP(CONCATENATE(A367,$B$10,B367),'3. Resultados'!B:J,9,FALSE),"-")</f>
        <v>-</v>
      </c>
      <c r="N367" s="24"/>
      <c r="O367" s="25" t="str">
        <f t="shared" si="6"/>
        <v>Por iniciar</v>
      </c>
      <c r="P367"/>
    </row>
    <row r="368" spans="1:16" ht="14.5">
      <c r="A368" s="18"/>
      <c r="B368" s="57"/>
      <c r="C368" s="57"/>
      <c r="D368" s="57"/>
      <c r="E368" s="57"/>
      <c r="F368" s="57"/>
      <c r="G368" s="57"/>
      <c r="H368" s="62" t="s">
        <v>9</v>
      </c>
      <c r="I368" s="19" t="s">
        <v>516</v>
      </c>
      <c r="J368" s="24">
        <f>+COUNTIFS('3. Resultados'!C:C,'1. Status'!H368,'3. Resultados'!G:G,'1. Status'!I368)</f>
        <v>0</v>
      </c>
      <c r="K368" s="70" t="str">
        <f>+IFERROR(VLOOKUP(CONCATENATE(A368,$B$10,B368),'3. Resultados'!B:J,8,FALSE),"-")</f>
        <v>-</v>
      </c>
      <c r="L368" s="69" t="str">
        <f>+IFERROR(VLOOKUP(B368,'3. Resultados'!K:L,2,FALSE),"-")</f>
        <v>-</v>
      </c>
      <c r="M368" s="70" t="str">
        <f>+IFERROR(VLOOKUP(CONCATENATE(A368,$B$10,B368),'3. Resultados'!B:J,9,FALSE),"-")</f>
        <v>-</v>
      </c>
      <c r="N368" s="24"/>
      <c r="O368" s="25" t="str">
        <f t="shared" si="6"/>
        <v>Por iniciar</v>
      </c>
      <c r="P368"/>
    </row>
    <row r="369" spans="1:16" ht="14.5">
      <c r="A369" s="18"/>
      <c r="B369" s="57"/>
      <c r="C369" s="57"/>
      <c r="D369" s="57"/>
      <c r="E369" s="57"/>
      <c r="F369" s="57"/>
      <c r="G369" s="57"/>
      <c r="H369" s="62" t="s">
        <v>60</v>
      </c>
      <c r="I369" s="19" t="s">
        <v>155</v>
      </c>
      <c r="J369" s="24">
        <f>+COUNTIFS('3. Resultados'!C:C,'1. Status'!H369,'3. Resultados'!G:G,'1. Status'!I369)</f>
        <v>0</v>
      </c>
      <c r="K369" s="70" t="str">
        <f>+IFERROR(VLOOKUP(CONCATENATE(A369,$B$10,B369),'3. Resultados'!B:J,8,FALSE),"-")</f>
        <v>-</v>
      </c>
      <c r="L369" s="69" t="str">
        <f>+IFERROR(VLOOKUP(B369,'3. Resultados'!K:L,2,FALSE),"-")</f>
        <v>-</v>
      </c>
      <c r="M369" s="70" t="str">
        <f>+IFERROR(VLOOKUP(CONCATENATE(A369,$B$10,B369),'3. Resultados'!B:J,9,FALSE),"-")</f>
        <v>-</v>
      </c>
      <c r="N369" s="24"/>
      <c r="O369" s="25" t="str">
        <f t="shared" si="6"/>
        <v>Por iniciar</v>
      </c>
      <c r="P369"/>
    </row>
    <row r="370" spans="1:16" ht="14.5">
      <c r="A370" s="18"/>
      <c r="B370" s="57"/>
      <c r="C370" s="57"/>
      <c r="D370" s="57"/>
      <c r="E370" s="57"/>
      <c r="F370" s="57"/>
      <c r="G370" s="57"/>
      <c r="H370" s="62" t="s">
        <v>60</v>
      </c>
      <c r="I370" s="19" t="s">
        <v>517</v>
      </c>
      <c r="J370" s="24">
        <f>+COUNTIFS('3. Resultados'!C:C,'1. Status'!H370,'3. Resultados'!G:G,'1. Status'!I370)</f>
        <v>0</v>
      </c>
      <c r="K370" s="70" t="str">
        <f>+IFERROR(VLOOKUP(CONCATENATE(A370,$B$10,B370),'3. Resultados'!B:J,8,FALSE),"-")</f>
        <v>-</v>
      </c>
      <c r="L370" s="69" t="str">
        <f>+IFERROR(VLOOKUP(B370,'3. Resultados'!K:L,2,FALSE),"-")</f>
        <v>-</v>
      </c>
      <c r="M370" s="70" t="str">
        <f>+IFERROR(VLOOKUP(CONCATENATE(A370,$B$10,B370),'3. Resultados'!B:J,9,FALSE),"-")</f>
        <v>-</v>
      </c>
      <c r="N370" s="24"/>
      <c r="O370" s="25" t="str">
        <f t="shared" si="6"/>
        <v>Por iniciar</v>
      </c>
      <c r="P370"/>
    </row>
    <row r="371" spans="1:16" ht="14.5">
      <c r="A371" s="18"/>
      <c r="B371" s="57"/>
      <c r="C371" s="57"/>
      <c r="D371" s="57"/>
      <c r="E371" s="57"/>
      <c r="F371" s="57"/>
      <c r="G371" s="57"/>
      <c r="H371" s="62" t="s">
        <v>60</v>
      </c>
      <c r="I371" s="19" t="s">
        <v>518</v>
      </c>
      <c r="J371" s="24">
        <f>+COUNTIFS('3. Resultados'!C:C,'1. Status'!H371,'3. Resultados'!G:G,'1. Status'!I371)</f>
        <v>0</v>
      </c>
      <c r="K371" s="70" t="str">
        <f>+IFERROR(VLOOKUP(CONCATENATE(A371,$B$10,B371),'3. Resultados'!B:J,8,FALSE),"-")</f>
        <v>-</v>
      </c>
      <c r="L371" s="69" t="str">
        <f>+IFERROR(VLOOKUP(B371,'3. Resultados'!K:L,2,FALSE),"-")</f>
        <v>-</v>
      </c>
      <c r="M371" s="70" t="str">
        <f>+IFERROR(VLOOKUP(CONCATENATE(A371,$B$10,B371),'3. Resultados'!B:J,9,FALSE),"-")</f>
        <v>-</v>
      </c>
      <c r="N371" s="24"/>
      <c r="O371" s="25" t="str">
        <f t="shared" si="6"/>
        <v>Por iniciar</v>
      </c>
      <c r="P371"/>
    </row>
    <row r="372" spans="1:16" ht="14.5">
      <c r="A372" s="18"/>
      <c r="B372" s="57"/>
      <c r="C372" s="57"/>
      <c r="D372" s="57"/>
      <c r="E372" s="57"/>
      <c r="F372" s="57"/>
      <c r="G372" s="57"/>
      <c r="H372" s="62" t="s">
        <v>60</v>
      </c>
      <c r="I372" s="19" t="s">
        <v>519</v>
      </c>
      <c r="J372" s="24">
        <f>+COUNTIFS('3. Resultados'!C:C,'1. Status'!H372,'3. Resultados'!G:G,'1. Status'!I372)</f>
        <v>0</v>
      </c>
      <c r="K372" s="70" t="str">
        <f>+IFERROR(VLOOKUP(CONCATENATE(A372,$B$10,B372),'3. Resultados'!B:J,8,FALSE),"-")</f>
        <v>-</v>
      </c>
      <c r="L372" s="69" t="str">
        <f>+IFERROR(VLOOKUP(B372,'3. Resultados'!K:L,2,FALSE),"-")</f>
        <v>-</v>
      </c>
      <c r="M372" s="70" t="str">
        <f>+IFERROR(VLOOKUP(CONCATENATE(A372,$B$10,B372),'3. Resultados'!B:J,9,FALSE),"-")</f>
        <v>-</v>
      </c>
      <c r="N372" s="24"/>
      <c r="O372" s="25" t="str">
        <f t="shared" si="6"/>
        <v>Por iniciar</v>
      </c>
      <c r="P372"/>
    </row>
    <row r="373" spans="1:16" ht="14.5">
      <c r="A373" s="18"/>
      <c r="B373" s="57"/>
      <c r="C373" s="57"/>
      <c r="D373" s="57"/>
      <c r="E373" s="57"/>
      <c r="F373" s="57"/>
      <c r="G373" s="57"/>
      <c r="H373" s="62" t="s">
        <v>60</v>
      </c>
      <c r="I373" s="19" t="s">
        <v>520</v>
      </c>
      <c r="J373" s="24">
        <f>+COUNTIFS('3. Resultados'!C:C,'1. Status'!H373,'3. Resultados'!G:G,'1. Status'!I373)</f>
        <v>0</v>
      </c>
      <c r="K373" s="70" t="str">
        <f>+IFERROR(VLOOKUP(CONCATENATE(A373,$B$10,B373),'3. Resultados'!B:J,8,FALSE),"-")</f>
        <v>-</v>
      </c>
      <c r="L373" s="69" t="str">
        <f>+IFERROR(VLOOKUP(B373,'3. Resultados'!K:L,2,FALSE),"-")</f>
        <v>-</v>
      </c>
      <c r="M373" s="70" t="str">
        <f>+IFERROR(VLOOKUP(CONCATENATE(A373,$B$10,B373),'3. Resultados'!B:J,9,FALSE),"-")</f>
        <v>-</v>
      </c>
      <c r="N373" s="24"/>
      <c r="O373" s="25" t="str">
        <f t="shared" si="6"/>
        <v>Por iniciar</v>
      </c>
      <c r="P373"/>
    </row>
    <row r="374" spans="1:16" ht="14.5">
      <c r="A374" s="18"/>
      <c r="B374" s="57"/>
      <c r="C374" s="57"/>
      <c r="D374" s="57"/>
      <c r="E374" s="57"/>
      <c r="F374" s="57"/>
      <c r="G374" s="57"/>
      <c r="H374" s="62" t="s">
        <v>60</v>
      </c>
      <c r="I374" s="19" t="s">
        <v>521</v>
      </c>
      <c r="J374" s="24">
        <f>+COUNTIFS('3. Resultados'!C:C,'1. Status'!H374,'3. Resultados'!G:G,'1. Status'!I374)</f>
        <v>0</v>
      </c>
      <c r="K374" s="70" t="str">
        <f>+IFERROR(VLOOKUP(CONCATENATE(A374,$B$10,B374),'3. Resultados'!B:J,8,FALSE),"-")</f>
        <v>-</v>
      </c>
      <c r="L374" s="69" t="str">
        <f>+IFERROR(VLOOKUP(B374,'3. Resultados'!K:L,2,FALSE),"-")</f>
        <v>-</v>
      </c>
      <c r="M374" s="70" t="str">
        <f>+IFERROR(VLOOKUP(CONCATENATE(A374,$B$10,B374),'3. Resultados'!B:J,9,FALSE),"-")</f>
        <v>-</v>
      </c>
      <c r="N374" s="24"/>
      <c r="O374" s="25" t="str">
        <f t="shared" si="6"/>
        <v>Por iniciar</v>
      </c>
      <c r="P374"/>
    </row>
    <row r="375" spans="1:16" ht="14.5">
      <c r="A375" s="18"/>
      <c r="B375" s="57"/>
      <c r="C375" s="57"/>
      <c r="D375" s="57"/>
      <c r="E375" s="57"/>
      <c r="F375" s="57"/>
      <c r="G375" s="57"/>
      <c r="H375" s="62" t="s">
        <v>60</v>
      </c>
      <c r="I375" s="19" t="s">
        <v>71</v>
      </c>
      <c r="J375" s="24">
        <f>+COUNTIFS('3. Resultados'!C:C,'1. Status'!H375,'3. Resultados'!G:G,'1. Status'!I375)</f>
        <v>0</v>
      </c>
      <c r="K375" s="70" t="str">
        <f>+IFERROR(VLOOKUP(CONCATENATE(A375,$B$10,B375),'3. Resultados'!B:J,8,FALSE),"-")</f>
        <v>-</v>
      </c>
      <c r="L375" s="69" t="str">
        <f>+IFERROR(VLOOKUP(B375,'3. Resultados'!K:L,2,FALSE),"-")</f>
        <v>-</v>
      </c>
      <c r="M375" s="70" t="str">
        <f>+IFERROR(VLOOKUP(CONCATENATE(A375,$B$10,B375),'3. Resultados'!B:J,9,FALSE),"-")</f>
        <v>-</v>
      </c>
      <c r="N375" s="24"/>
      <c r="O375" s="25" t="str">
        <f t="shared" si="6"/>
        <v>Por iniciar</v>
      </c>
      <c r="P375"/>
    </row>
    <row r="376" spans="1:16" ht="14.5">
      <c r="A376" s="18"/>
      <c r="B376" s="57"/>
      <c r="C376" s="57"/>
      <c r="D376" s="57"/>
      <c r="E376" s="57"/>
      <c r="F376" s="57"/>
      <c r="G376" s="57"/>
      <c r="H376" s="62" t="s">
        <v>60</v>
      </c>
      <c r="I376" s="19" t="s">
        <v>522</v>
      </c>
      <c r="J376" s="24">
        <f>+COUNTIFS('3. Resultados'!C:C,'1. Status'!H376,'3. Resultados'!G:G,'1. Status'!I376)</f>
        <v>0</v>
      </c>
      <c r="K376" s="70" t="str">
        <f>+IFERROR(VLOOKUP(CONCATENATE(A376,$B$10,B376),'3. Resultados'!B:J,8,FALSE),"-")</f>
        <v>-</v>
      </c>
      <c r="L376" s="69" t="str">
        <f>+IFERROR(VLOOKUP(B376,'3. Resultados'!K:L,2,FALSE),"-")</f>
        <v>-</v>
      </c>
      <c r="M376" s="70" t="str">
        <f>+IFERROR(VLOOKUP(CONCATENATE(A376,$B$10,B376),'3. Resultados'!B:J,9,FALSE),"-")</f>
        <v>-</v>
      </c>
      <c r="N376" s="24"/>
      <c r="O376" s="25" t="str">
        <f t="shared" si="6"/>
        <v>Por iniciar</v>
      </c>
      <c r="P376"/>
    </row>
    <row r="377" spans="1:16" ht="14.5">
      <c r="A377" s="18"/>
      <c r="B377" s="57"/>
      <c r="C377" s="57"/>
      <c r="D377" s="57"/>
      <c r="E377" s="57"/>
      <c r="F377" s="57"/>
      <c r="G377" s="57"/>
      <c r="H377" s="62" t="s">
        <v>60</v>
      </c>
      <c r="I377" s="19" t="s">
        <v>523</v>
      </c>
      <c r="J377" s="24">
        <f>+COUNTIFS('3. Resultados'!C:C,'1. Status'!H377,'3. Resultados'!G:G,'1. Status'!I377)</f>
        <v>0</v>
      </c>
      <c r="K377" s="70" t="str">
        <f>+IFERROR(VLOOKUP(CONCATENATE(A377,$B$10,B377),'3. Resultados'!B:J,8,FALSE),"-")</f>
        <v>-</v>
      </c>
      <c r="L377" s="69" t="str">
        <f>+IFERROR(VLOOKUP(B377,'3. Resultados'!K:L,2,FALSE),"-")</f>
        <v>-</v>
      </c>
      <c r="M377" s="70" t="str">
        <f>+IFERROR(VLOOKUP(CONCATENATE(A377,$B$10,B377),'3. Resultados'!B:J,9,FALSE),"-")</f>
        <v>-</v>
      </c>
      <c r="N377" s="24"/>
      <c r="O377" s="25" t="str">
        <f t="shared" si="6"/>
        <v>Por iniciar</v>
      </c>
      <c r="P377"/>
    </row>
    <row r="378" spans="1:16" ht="14.5">
      <c r="A378" s="18"/>
      <c r="B378" s="57"/>
      <c r="C378" s="57"/>
      <c r="D378" s="57"/>
      <c r="E378" s="57"/>
      <c r="F378" s="57"/>
      <c r="G378" s="57"/>
      <c r="H378" s="62" t="s">
        <v>60</v>
      </c>
      <c r="I378" s="19" t="s">
        <v>273</v>
      </c>
      <c r="J378" s="24">
        <f>+COUNTIFS('3. Resultados'!C:C,'1. Status'!H378,'3. Resultados'!G:G,'1. Status'!I378)</f>
        <v>0</v>
      </c>
      <c r="K378" s="70" t="str">
        <f>+IFERROR(VLOOKUP(CONCATENATE(A378,$B$10,B378),'3. Resultados'!B:J,8,FALSE),"-")</f>
        <v>-</v>
      </c>
      <c r="L378" s="69" t="str">
        <f>+IFERROR(VLOOKUP(B378,'3. Resultados'!K:L,2,FALSE),"-")</f>
        <v>-</v>
      </c>
      <c r="M378" s="70" t="str">
        <f>+IFERROR(VLOOKUP(CONCATENATE(A378,$B$10,B378),'3. Resultados'!B:J,9,FALSE),"-")</f>
        <v>-</v>
      </c>
      <c r="N378" s="24"/>
      <c r="O378" s="25" t="str">
        <f t="shared" si="6"/>
        <v>Por iniciar</v>
      </c>
      <c r="P378"/>
    </row>
    <row r="379" spans="1:16" ht="14.5">
      <c r="A379" s="18"/>
      <c r="B379" s="57"/>
      <c r="C379" s="57"/>
      <c r="D379" s="57"/>
      <c r="E379" s="57"/>
      <c r="F379" s="57"/>
      <c r="G379" s="57"/>
      <c r="H379" s="62" t="s">
        <v>60</v>
      </c>
      <c r="I379" s="19" t="s">
        <v>274</v>
      </c>
      <c r="J379" s="24">
        <f>+COUNTIFS('3. Resultados'!C:C,'1. Status'!H379,'3. Resultados'!G:G,'1. Status'!I379)</f>
        <v>0</v>
      </c>
      <c r="K379" s="70" t="str">
        <f>+IFERROR(VLOOKUP(CONCATENATE(A379,$B$10,B379),'3. Resultados'!B:J,8,FALSE),"-")</f>
        <v>-</v>
      </c>
      <c r="L379" s="69" t="str">
        <f>+IFERROR(VLOOKUP(B379,'3. Resultados'!K:L,2,FALSE),"-")</f>
        <v>-</v>
      </c>
      <c r="M379" s="70" t="str">
        <f>+IFERROR(VLOOKUP(CONCATENATE(A379,$B$10,B379),'3. Resultados'!B:J,9,FALSE),"-")</f>
        <v>-</v>
      </c>
      <c r="N379" s="24"/>
      <c r="O379" s="25" t="str">
        <f t="shared" si="6"/>
        <v>Por iniciar</v>
      </c>
      <c r="P379"/>
    </row>
    <row r="380" spans="1:16" ht="14.5">
      <c r="A380" s="18"/>
      <c r="B380" s="57"/>
      <c r="C380" s="57"/>
      <c r="D380" s="57"/>
      <c r="E380" s="57"/>
      <c r="F380" s="57"/>
      <c r="G380" s="57"/>
      <c r="H380" s="62" t="s">
        <v>60</v>
      </c>
      <c r="I380" s="19" t="s">
        <v>156</v>
      </c>
      <c r="J380" s="24">
        <f>+COUNTIFS('3. Resultados'!C:C,'1. Status'!H380,'3. Resultados'!G:G,'1. Status'!I380)</f>
        <v>0</v>
      </c>
      <c r="K380" s="70" t="str">
        <f>+IFERROR(VLOOKUP(CONCATENATE(A380,$B$10,B380),'3. Resultados'!B:J,8,FALSE),"-")</f>
        <v>-</v>
      </c>
      <c r="L380" s="69" t="str">
        <f>+IFERROR(VLOOKUP(B380,'3. Resultados'!K:L,2,FALSE),"-")</f>
        <v>-</v>
      </c>
      <c r="M380" s="70" t="str">
        <f>+IFERROR(VLOOKUP(CONCATENATE(A380,$B$10,B380),'3. Resultados'!B:J,9,FALSE),"-")</f>
        <v>-</v>
      </c>
      <c r="N380" s="24"/>
      <c r="O380" s="25" t="str">
        <f t="shared" si="6"/>
        <v>Por iniciar</v>
      </c>
      <c r="P380"/>
    </row>
    <row r="381" spans="1:16" ht="14.5">
      <c r="A381" s="18"/>
      <c r="B381" s="57"/>
      <c r="C381" s="57"/>
      <c r="D381" s="57"/>
      <c r="E381" s="57"/>
      <c r="F381" s="57"/>
      <c r="G381" s="57"/>
      <c r="H381" s="62" t="s">
        <v>60</v>
      </c>
      <c r="I381" s="19" t="s">
        <v>175</v>
      </c>
      <c r="J381" s="24">
        <f>+COUNTIFS('3. Resultados'!C:C,'1. Status'!H381,'3. Resultados'!G:G,'1. Status'!I381)</f>
        <v>0</v>
      </c>
      <c r="K381" s="70" t="str">
        <f>+IFERROR(VLOOKUP(CONCATENATE(A381,$B$10,B381),'3. Resultados'!B:J,8,FALSE),"-")</f>
        <v>-</v>
      </c>
      <c r="L381" s="69" t="str">
        <f>+IFERROR(VLOOKUP(B381,'3. Resultados'!K:L,2,FALSE),"-")</f>
        <v>-</v>
      </c>
      <c r="M381" s="70" t="str">
        <f>+IFERROR(VLOOKUP(CONCATENATE(A381,$B$10,B381),'3. Resultados'!B:J,9,FALSE),"-")</f>
        <v>-</v>
      </c>
      <c r="N381" s="24"/>
      <c r="O381" s="25" t="str">
        <f t="shared" si="6"/>
        <v>Por iniciar</v>
      </c>
      <c r="P381"/>
    </row>
    <row r="382" spans="1:16" ht="14.5">
      <c r="A382" s="18"/>
      <c r="B382" s="57"/>
      <c r="C382" s="57"/>
      <c r="D382" s="57"/>
      <c r="E382" s="57"/>
      <c r="F382" s="57"/>
      <c r="G382" s="57"/>
      <c r="H382" s="62" t="s">
        <v>60</v>
      </c>
      <c r="I382" s="19" t="s">
        <v>524</v>
      </c>
      <c r="J382" s="24">
        <f>+COUNTIFS('3. Resultados'!C:C,'1. Status'!H382,'3. Resultados'!G:G,'1. Status'!I382)</f>
        <v>0</v>
      </c>
      <c r="K382" s="70" t="str">
        <f>+IFERROR(VLOOKUP(CONCATENATE(A382,$B$10,B382),'3. Resultados'!B:J,8,FALSE),"-")</f>
        <v>-</v>
      </c>
      <c r="L382" s="69" t="str">
        <f>+IFERROR(VLOOKUP(B382,'3. Resultados'!K:L,2,FALSE),"-")</f>
        <v>-</v>
      </c>
      <c r="M382" s="70" t="str">
        <f>+IFERROR(VLOOKUP(CONCATENATE(A382,$B$10,B382),'3. Resultados'!B:J,9,FALSE),"-")</f>
        <v>-</v>
      </c>
      <c r="N382" s="24"/>
      <c r="O382" s="25" t="str">
        <f t="shared" si="6"/>
        <v>Por iniciar</v>
      </c>
      <c r="P382"/>
    </row>
    <row r="383" spans="1:16" ht="14.5">
      <c r="A383" s="18"/>
      <c r="B383" s="57"/>
      <c r="C383" s="57"/>
      <c r="D383" s="57"/>
      <c r="E383" s="57"/>
      <c r="F383" s="57"/>
      <c r="G383" s="57"/>
      <c r="H383" s="62" t="s">
        <v>60</v>
      </c>
      <c r="I383" s="19" t="s">
        <v>525</v>
      </c>
      <c r="J383" s="24">
        <f>+COUNTIFS('3. Resultados'!C:C,'1. Status'!H383,'3. Resultados'!G:G,'1. Status'!I383)</f>
        <v>0</v>
      </c>
      <c r="K383" s="70" t="str">
        <f>+IFERROR(VLOOKUP(CONCATENATE(A383,$B$10,B383),'3. Resultados'!B:J,8,FALSE),"-")</f>
        <v>-</v>
      </c>
      <c r="L383" s="69" t="str">
        <f>+IFERROR(VLOOKUP(B383,'3. Resultados'!K:L,2,FALSE),"-")</f>
        <v>-</v>
      </c>
      <c r="M383" s="70" t="str">
        <f>+IFERROR(VLOOKUP(CONCATENATE(A383,$B$10,B383),'3. Resultados'!B:J,9,FALSE),"-")</f>
        <v>-</v>
      </c>
      <c r="N383" s="24"/>
      <c r="O383" s="25" t="str">
        <f t="shared" si="6"/>
        <v>Por iniciar</v>
      </c>
      <c r="P383"/>
    </row>
    <row r="384" spans="1:16" ht="14.5">
      <c r="A384" s="18"/>
      <c r="B384" s="57"/>
      <c r="C384" s="57"/>
      <c r="D384" s="57"/>
      <c r="E384" s="57"/>
      <c r="F384" s="57"/>
      <c r="G384" s="57"/>
      <c r="H384" s="62" t="s">
        <v>60</v>
      </c>
      <c r="I384" s="19" t="s">
        <v>70</v>
      </c>
      <c r="J384" s="24">
        <f>+COUNTIFS('3. Resultados'!C:C,'1. Status'!H384,'3. Resultados'!G:G,'1. Status'!I384)</f>
        <v>0</v>
      </c>
      <c r="K384" s="70" t="str">
        <f>+IFERROR(VLOOKUP(CONCATENATE(A384,$B$10,B384),'3. Resultados'!B:J,8,FALSE),"-")</f>
        <v>-</v>
      </c>
      <c r="L384" s="69" t="str">
        <f>+IFERROR(VLOOKUP(B384,'3. Resultados'!K:L,2,FALSE),"-")</f>
        <v>-</v>
      </c>
      <c r="M384" s="70" t="str">
        <f>+IFERROR(VLOOKUP(CONCATENATE(A384,$B$10,B384),'3. Resultados'!B:J,9,FALSE),"-")</f>
        <v>-</v>
      </c>
      <c r="N384" s="24"/>
      <c r="O384" s="25" t="str">
        <f t="shared" si="6"/>
        <v>Por iniciar</v>
      </c>
      <c r="P384"/>
    </row>
    <row r="385" spans="1:16" ht="14.5">
      <c r="A385" s="18"/>
      <c r="B385" s="57"/>
      <c r="C385" s="57"/>
      <c r="D385" s="57"/>
      <c r="E385" s="57"/>
      <c r="F385" s="57"/>
      <c r="G385" s="57"/>
      <c r="H385" s="62" t="s">
        <v>60</v>
      </c>
      <c r="I385" s="19" t="s">
        <v>526</v>
      </c>
      <c r="J385" s="24">
        <f>+COUNTIFS('3. Resultados'!C:C,'1. Status'!H385,'3. Resultados'!G:G,'1. Status'!I385)</f>
        <v>0</v>
      </c>
      <c r="K385" s="70" t="str">
        <f>+IFERROR(VLOOKUP(CONCATENATE(A385,$B$10,B385),'3. Resultados'!B:J,8,FALSE),"-")</f>
        <v>-</v>
      </c>
      <c r="L385" s="69" t="str">
        <f>+IFERROR(VLOOKUP(B385,'3. Resultados'!K:L,2,FALSE),"-")</f>
        <v>-</v>
      </c>
      <c r="M385" s="70" t="str">
        <f>+IFERROR(VLOOKUP(CONCATENATE(A385,$B$10,B385),'3. Resultados'!B:J,9,FALSE),"-")</f>
        <v>-</v>
      </c>
      <c r="N385" s="24"/>
      <c r="O385" s="25" t="str">
        <f t="shared" si="6"/>
        <v>Por iniciar</v>
      </c>
      <c r="P385"/>
    </row>
    <row r="386" spans="1:16" ht="14.5">
      <c r="A386" s="18"/>
      <c r="B386" s="57"/>
      <c r="C386" s="57"/>
      <c r="D386" s="57"/>
      <c r="E386" s="57"/>
      <c r="F386" s="57"/>
      <c r="G386" s="57"/>
      <c r="H386" s="62" t="s">
        <v>60</v>
      </c>
      <c r="I386" s="19" t="s">
        <v>527</v>
      </c>
      <c r="J386" s="24">
        <f>+COUNTIFS('3. Resultados'!C:C,'1. Status'!H386,'3. Resultados'!G:G,'1. Status'!I386)</f>
        <v>0</v>
      </c>
      <c r="K386" s="70" t="str">
        <f>+IFERROR(VLOOKUP(CONCATENATE(A386,$B$10,B386),'3. Resultados'!B:J,8,FALSE),"-")</f>
        <v>-</v>
      </c>
      <c r="L386" s="69" t="str">
        <f>+IFERROR(VLOOKUP(B386,'3. Resultados'!K:L,2,FALSE),"-")</f>
        <v>-</v>
      </c>
      <c r="M386" s="70" t="str">
        <f>+IFERROR(VLOOKUP(CONCATENATE(A386,$B$10,B386),'3. Resultados'!B:J,9,FALSE),"-")</f>
        <v>-</v>
      </c>
      <c r="N386" s="24"/>
      <c r="O386" s="25" t="str">
        <f t="shared" si="6"/>
        <v>Por iniciar</v>
      </c>
      <c r="P386"/>
    </row>
    <row r="387" spans="1:16" ht="14.5">
      <c r="A387" s="18"/>
      <c r="B387" s="57"/>
      <c r="C387" s="57"/>
      <c r="D387" s="57"/>
      <c r="E387" s="57"/>
      <c r="F387" s="57"/>
      <c r="G387" s="57"/>
      <c r="H387" s="62" t="s">
        <v>60</v>
      </c>
      <c r="I387" s="19" t="s">
        <v>528</v>
      </c>
      <c r="J387" s="24">
        <f>+COUNTIFS('3. Resultados'!C:C,'1. Status'!H387,'3. Resultados'!G:G,'1. Status'!I387)</f>
        <v>0</v>
      </c>
      <c r="K387" s="70" t="str">
        <f>+IFERROR(VLOOKUP(CONCATENATE(A387,$B$10,B387),'3. Resultados'!B:J,8,FALSE),"-")</f>
        <v>-</v>
      </c>
      <c r="L387" s="69" t="str">
        <f>+IFERROR(VLOOKUP(B387,'3. Resultados'!K:L,2,FALSE),"-")</f>
        <v>-</v>
      </c>
      <c r="M387" s="70" t="str">
        <f>+IFERROR(VLOOKUP(CONCATENATE(A387,$B$10,B387),'3. Resultados'!B:J,9,FALSE),"-")</f>
        <v>-</v>
      </c>
      <c r="N387" s="24"/>
      <c r="O387" s="25" t="str">
        <f t="shared" si="6"/>
        <v>Por iniciar</v>
      </c>
      <c r="P387"/>
    </row>
    <row r="388" spans="1:16" ht="14.5">
      <c r="A388" s="18"/>
      <c r="B388" s="57"/>
      <c r="C388" s="57"/>
      <c r="D388" s="57"/>
      <c r="E388" s="57"/>
      <c r="F388" s="57"/>
      <c r="G388" s="57"/>
      <c r="H388" s="62" t="s">
        <v>60</v>
      </c>
      <c r="I388" s="19" t="s">
        <v>266</v>
      </c>
      <c r="J388" s="24">
        <f>+COUNTIFS('3. Resultados'!C:C,'1. Status'!H388,'3. Resultados'!G:G,'1. Status'!I388)</f>
        <v>0</v>
      </c>
      <c r="K388" s="70" t="str">
        <f>+IFERROR(VLOOKUP(CONCATENATE(A388,$B$10,B388),'3. Resultados'!B:J,8,FALSE),"-")</f>
        <v>-</v>
      </c>
      <c r="L388" s="69" t="str">
        <f>+IFERROR(VLOOKUP(B388,'3. Resultados'!K:L,2,FALSE),"-")</f>
        <v>-</v>
      </c>
      <c r="M388" s="70" t="str">
        <f>+IFERROR(VLOOKUP(CONCATENATE(A388,$B$10,B388),'3. Resultados'!B:J,9,FALSE),"-")</f>
        <v>-</v>
      </c>
      <c r="N388" s="24"/>
      <c r="O388" s="25" t="str">
        <f t="shared" si="6"/>
        <v>Por iniciar</v>
      </c>
      <c r="P388"/>
    </row>
    <row r="389" spans="1:16" ht="14.5">
      <c r="A389" s="18"/>
      <c r="B389" s="57"/>
      <c r="C389" s="57"/>
      <c r="D389" s="57"/>
      <c r="E389" s="57"/>
      <c r="F389" s="57"/>
      <c r="G389" s="57"/>
      <c r="H389" s="62" t="s">
        <v>60</v>
      </c>
      <c r="I389" s="19" t="s">
        <v>157</v>
      </c>
      <c r="J389" s="24">
        <f>+COUNTIFS('3. Resultados'!C:C,'1. Status'!H389,'3. Resultados'!G:G,'1. Status'!I389)</f>
        <v>0</v>
      </c>
      <c r="K389" s="70" t="str">
        <f>+IFERROR(VLOOKUP(CONCATENATE(A389,$B$10,B389),'3. Resultados'!B:J,8,FALSE),"-")</f>
        <v>-</v>
      </c>
      <c r="L389" s="69" t="str">
        <f>+IFERROR(VLOOKUP(B389,'3. Resultados'!K:L,2,FALSE),"-")</f>
        <v>-</v>
      </c>
      <c r="M389" s="70" t="str">
        <f>+IFERROR(VLOOKUP(CONCATENATE(A389,$B$10,B389),'3. Resultados'!B:J,9,FALSE),"-")</f>
        <v>-</v>
      </c>
      <c r="N389" s="24"/>
      <c r="O389" s="25" t="str">
        <f t="shared" si="6"/>
        <v>Por iniciar</v>
      </c>
      <c r="P389"/>
    </row>
    <row r="390" spans="1:16" ht="14.5">
      <c r="A390" s="18"/>
      <c r="B390" s="57"/>
      <c r="C390" s="57"/>
      <c r="D390" s="57"/>
      <c r="E390" s="57"/>
      <c r="F390" s="57"/>
      <c r="G390" s="57"/>
      <c r="H390" s="62" t="s">
        <v>60</v>
      </c>
      <c r="I390" s="19" t="s">
        <v>529</v>
      </c>
      <c r="J390" s="24">
        <f>+COUNTIFS('3. Resultados'!C:C,'1. Status'!H390,'3. Resultados'!G:G,'1. Status'!I390)</f>
        <v>0</v>
      </c>
      <c r="K390" s="70" t="str">
        <f>+IFERROR(VLOOKUP(CONCATENATE(A390,$B$10,B390),'3. Resultados'!B:J,8,FALSE),"-")</f>
        <v>-</v>
      </c>
      <c r="L390" s="69" t="str">
        <f>+IFERROR(VLOOKUP(B390,'3. Resultados'!K:L,2,FALSE),"-")</f>
        <v>-</v>
      </c>
      <c r="M390" s="70" t="str">
        <f>+IFERROR(VLOOKUP(CONCATENATE(A390,$B$10,B390),'3. Resultados'!B:J,9,FALSE),"-")</f>
        <v>-</v>
      </c>
      <c r="N390" s="24"/>
      <c r="O390" s="25" t="str">
        <f t="shared" si="6"/>
        <v>Por iniciar</v>
      </c>
      <c r="P390"/>
    </row>
    <row r="391" spans="1:16" ht="14.5">
      <c r="A391" s="18"/>
      <c r="B391" s="57"/>
      <c r="C391" s="57"/>
      <c r="D391" s="57"/>
      <c r="E391" s="57"/>
      <c r="F391" s="57"/>
      <c r="G391" s="57"/>
      <c r="H391" s="62" t="s">
        <v>60</v>
      </c>
      <c r="I391" s="19" t="s">
        <v>530</v>
      </c>
      <c r="J391" s="24">
        <f>+COUNTIFS('3. Resultados'!C:C,'1. Status'!H391,'3. Resultados'!G:G,'1. Status'!I391)</f>
        <v>0</v>
      </c>
      <c r="K391" s="70" t="str">
        <f>+IFERROR(VLOOKUP(CONCATENATE(A391,$B$10,B391),'3. Resultados'!B:J,8,FALSE),"-")</f>
        <v>-</v>
      </c>
      <c r="L391" s="69" t="str">
        <f>+IFERROR(VLOOKUP(B391,'3. Resultados'!K:L,2,FALSE),"-")</f>
        <v>-</v>
      </c>
      <c r="M391" s="70" t="str">
        <f>+IFERROR(VLOOKUP(CONCATENATE(A391,$B$10,B391),'3. Resultados'!B:J,9,FALSE),"-")</f>
        <v>-</v>
      </c>
      <c r="N391" s="24"/>
      <c r="O391" s="25" t="str">
        <f t="shared" si="6"/>
        <v>Por iniciar</v>
      </c>
      <c r="P391"/>
    </row>
    <row r="392" spans="1:16" ht="14.5">
      <c r="A392" s="18"/>
      <c r="B392" s="57"/>
      <c r="C392" s="57"/>
      <c r="D392" s="57"/>
      <c r="E392" s="57"/>
      <c r="F392" s="57"/>
      <c r="G392" s="57"/>
      <c r="H392" s="62" t="s">
        <v>60</v>
      </c>
      <c r="I392" s="19" t="s">
        <v>531</v>
      </c>
      <c r="J392" s="24">
        <f>+COUNTIFS('3. Resultados'!C:C,'1. Status'!H392,'3. Resultados'!G:G,'1. Status'!I392)</f>
        <v>0</v>
      </c>
      <c r="K392" s="70" t="str">
        <f>+IFERROR(VLOOKUP(CONCATENATE(A392,$B$10,B392),'3. Resultados'!B:J,8,FALSE),"-")</f>
        <v>-</v>
      </c>
      <c r="L392" s="69" t="str">
        <f>+IFERROR(VLOOKUP(B392,'3. Resultados'!K:L,2,FALSE),"-")</f>
        <v>-</v>
      </c>
      <c r="M392" s="70" t="str">
        <f>+IFERROR(VLOOKUP(CONCATENATE(A392,$B$10,B392),'3. Resultados'!B:J,9,FALSE),"-")</f>
        <v>-</v>
      </c>
      <c r="N392" s="24"/>
      <c r="O392" s="25" t="str">
        <f t="shared" si="6"/>
        <v>Por iniciar</v>
      </c>
      <c r="P392"/>
    </row>
    <row r="393" spans="1:16" ht="14.5">
      <c r="A393" s="18"/>
      <c r="B393" s="57"/>
      <c r="C393" s="57"/>
      <c r="D393" s="57"/>
      <c r="E393" s="57"/>
      <c r="F393" s="57"/>
      <c r="G393" s="57"/>
      <c r="H393" s="62" t="s">
        <v>60</v>
      </c>
      <c r="I393" s="19" t="s">
        <v>532</v>
      </c>
      <c r="J393" s="24">
        <f>+COUNTIFS('3. Resultados'!C:C,'1. Status'!H393,'3. Resultados'!G:G,'1. Status'!I393)</f>
        <v>0</v>
      </c>
      <c r="K393" s="70" t="str">
        <f>+IFERROR(VLOOKUP(CONCATENATE(A393,$B$10,B393),'3. Resultados'!B:J,8,FALSE),"-")</f>
        <v>-</v>
      </c>
      <c r="L393" s="69" t="str">
        <f>+IFERROR(VLOOKUP(B393,'3. Resultados'!K:L,2,FALSE),"-")</f>
        <v>-</v>
      </c>
      <c r="M393" s="70" t="str">
        <f>+IFERROR(VLOOKUP(CONCATENATE(A393,$B$10,B393),'3. Resultados'!B:J,9,FALSE),"-")</f>
        <v>-</v>
      </c>
      <c r="N393" s="24"/>
      <c r="O393" s="25" t="str">
        <f t="shared" si="6"/>
        <v>Por iniciar</v>
      </c>
      <c r="P393"/>
    </row>
    <row r="394" spans="1:16" ht="14.5">
      <c r="A394" s="18"/>
      <c r="B394" s="57"/>
      <c r="C394" s="57"/>
      <c r="D394" s="57"/>
      <c r="E394" s="57"/>
      <c r="F394" s="57"/>
      <c r="G394" s="57"/>
      <c r="H394" s="62" t="s">
        <v>60</v>
      </c>
      <c r="I394" s="19" t="s">
        <v>533</v>
      </c>
      <c r="J394" s="24">
        <f>+COUNTIFS('3. Resultados'!C:C,'1. Status'!H394,'3. Resultados'!G:G,'1. Status'!I394)</f>
        <v>0</v>
      </c>
      <c r="K394" s="70" t="str">
        <f>+IFERROR(VLOOKUP(CONCATENATE(A394,$B$10,B394),'3. Resultados'!B:J,8,FALSE),"-")</f>
        <v>-</v>
      </c>
      <c r="L394" s="69" t="str">
        <f>+IFERROR(VLOOKUP(B394,'3. Resultados'!K:L,2,FALSE),"-")</f>
        <v>-</v>
      </c>
      <c r="M394" s="70" t="str">
        <f>+IFERROR(VLOOKUP(CONCATENATE(A394,$B$10,B394),'3. Resultados'!B:J,9,FALSE),"-")</f>
        <v>-</v>
      </c>
      <c r="N394" s="24"/>
      <c r="O394" s="25" t="str">
        <f t="shared" si="6"/>
        <v>Por iniciar</v>
      </c>
      <c r="P394"/>
    </row>
    <row r="395" spans="1:16" ht="14.5">
      <c r="A395" s="18"/>
      <c r="B395" s="57"/>
      <c r="C395" s="57"/>
      <c r="D395" s="57"/>
      <c r="E395" s="57"/>
      <c r="F395" s="57"/>
      <c r="G395" s="57"/>
      <c r="H395" s="62" t="s">
        <v>60</v>
      </c>
      <c r="I395" s="19" t="s">
        <v>534</v>
      </c>
      <c r="J395" s="24">
        <f>+COUNTIFS('3. Resultados'!C:C,'1. Status'!H395,'3. Resultados'!G:G,'1. Status'!I395)</f>
        <v>0</v>
      </c>
      <c r="K395" s="70" t="str">
        <f>+IFERROR(VLOOKUP(CONCATENATE(A395,$B$10,B395),'3. Resultados'!B:J,8,FALSE),"-")</f>
        <v>-</v>
      </c>
      <c r="L395" s="69" t="str">
        <f>+IFERROR(VLOOKUP(B395,'3. Resultados'!K:L,2,FALSE),"-")</f>
        <v>-</v>
      </c>
      <c r="M395" s="70" t="str">
        <f>+IFERROR(VLOOKUP(CONCATENATE(A395,$B$10,B395),'3. Resultados'!B:J,9,FALSE),"-")</f>
        <v>-</v>
      </c>
      <c r="N395" s="24"/>
      <c r="O395" s="25" t="str">
        <f t="shared" si="6"/>
        <v>Por iniciar</v>
      </c>
      <c r="P395"/>
    </row>
    <row r="396" spans="1:16" ht="14.5">
      <c r="A396" s="18"/>
      <c r="B396" s="57"/>
      <c r="C396" s="57"/>
      <c r="D396" s="57"/>
      <c r="E396" s="57"/>
      <c r="F396" s="57"/>
      <c r="G396" s="57"/>
      <c r="H396" s="62" t="s">
        <v>60</v>
      </c>
      <c r="I396" s="19" t="s">
        <v>535</v>
      </c>
      <c r="J396" s="24">
        <f>+COUNTIFS('3. Resultados'!C:C,'1. Status'!H396,'3. Resultados'!G:G,'1. Status'!I396)</f>
        <v>0</v>
      </c>
      <c r="K396" s="70" t="str">
        <f>+IFERROR(VLOOKUP(CONCATENATE(A396,$B$10,B396),'3. Resultados'!B:J,8,FALSE),"-")</f>
        <v>-</v>
      </c>
      <c r="L396" s="69" t="str">
        <f>+IFERROR(VLOOKUP(B396,'3. Resultados'!K:L,2,FALSE),"-")</f>
        <v>-</v>
      </c>
      <c r="M396" s="70" t="str">
        <f>+IFERROR(VLOOKUP(CONCATENATE(A396,$B$10,B396),'3. Resultados'!B:J,9,FALSE),"-")</f>
        <v>-</v>
      </c>
      <c r="N396" s="24"/>
      <c r="O396" s="25" t="str">
        <f t="shared" ref="O396:O459" si="7">+IF(J396=0,"Por iniciar",IF(OR(K396="-",M396="-"),"Em testes",IF(M396=0,"OK","NOK")))</f>
        <v>Por iniciar</v>
      </c>
      <c r="P396"/>
    </row>
    <row r="397" spans="1:16" ht="14.5">
      <c r="A397" s="18"/>
      <c r="B397" s="57"/>
      <c r="C397" s="57"/>
      <c r="D397" s="57"/>
      <c r="E397" s="57"/>
      <c r="F397" s="57"/>
      <c r="G397" s="57"/>
      <c r="H397" s="62" t="s">
        <v>60</v>
      </c>
      <c r="I397" s="19" t="s">
        <v>536</v>
      </c>
      <c r="J397" s="24">
        <f>+COUNTIFS('3. Resultados'!C:C,'1. Status'!H397,'3. Resultados'!G:G,'1. Status'!I397)</f>
        <v>0</v>
      </c>
      <c r="K397" s="70" t="str">
        <f>+IFERROR(VLOOKUP(CONCATENATE(A397,$B$10,B397),'3. Resultados'!B:J,8,FALSE),"-")</f>
        <v>-</v>
      </c>
      <c r="L397" s="69" t="str">
        <f>+IFERROR(VLOOKUP(B397,'3. Resultados'!K:L,2,FALSE),"-")</f>
        <v>-</v>
      </c>
      <c r="M397" s="70" t="str">
        <f>+IFERROR(VLOOKUP(CONCATENATE(A397,$B$10,B397),'3. Resultados'!B:J,9,FALSE),"-")</f>
        <v>-</v>
      </c>
      <c r="N397" s="24"/>
      <c r="O397" s="25" t="str">
        <f t="shared" si="7"/>
        <v>Por iniciar</v>
      </c>
      <c r="P397"/>
    </row>
    <row r="398" spans="1:16" ht="14.5">
      <c r="A398" s="18"/>
      <c r="B398" s="57"/>
      <c r="C398" s="57"/>
      <c r="D398" s="57"/>
      <c r="E398" s="57"/>
      <c r="F398" s="57"/>
      <c r="G398" s="57"/>
      <c r="H398" s="62" t="s">
        <v>60</v>
      </c>
      <c r="I398" s="19" t="s">
        <v>537</v>
      </c>
      <c r="J398" s="24">
        <f>+COUNTIFS('3. Resultados'!C:C,'1. Status'!H398,'3. Resultados'!G:G,'1. Status'!I398)</f>
        <v>0</v>
      </c>
      <c r="K398" s="70" t="str">
        <f>+IFERROR(VLOOKUP(CONCATENATE(A398,$B$10,B398),'3. Resultados'!B:J,8,FALSE),"-")</f>
        <v>-</v>
      </c>
      <c r="L398" s="69" t="str">
        <f>+IFERROR(VLOOKUP(B398,'3. Resultados'!K:L,2,FALSE),"-")</f>
        <v>-</v>
      </c>
      <c r="M398" s="70" t="str">
        <f>+IFERROR(VLOOKUP(CONCATENATE(A398,$B$10,B398),'3. Resultados'!B:J,9,FALSE),"-")</f>
        <v>-</v>
      </c>
      <c r="N398" s="24"/>
      <c r="O398" s="25" t="str">
        <f t="shared" si="7"/>
        <v>Por iniciar</v>
      </c>
      <c r="P398"/>
    </row>
    <row r="399" spans="1:16" ht="14.5">
      <c r="A399" s="18"/>
      <c r="B399" s="57"/>
      <c r="C399" s="57"/>
      <c r="D399" s="57"/>
      <c r="E399" s="57"/>
      <c r="F399" s="57"/>
      <c r="G399" s="57"/>
      <c r="H399" s="62" t="s">
        <v>60</v>
      </c>
      <c r="I399" s="19" t="s">
        <v>538</v>
      </c>
      <c r="J399" s="24">
        <f>+COUNTIFS('3. Resultados'!C:C,'1. Status'!H399,'3. Resultados'!G:G,'1. Status'!I399)</f>
        <v>0</v>
      </c>
      <c r="K399" s="70" t="str">
        <f>+IFERROR(VLOOKUP(CONCATENATE(A399,$B$10,B399),'3. Resultados'!B:J,8,FALSE),"-")</f>
        <v>-</v>
      </c>
      <c r="L399" s="69" t="str">
        <f>+IFERROR(VLOOKUP(B399,'3. Resultados'!K:L,2,FALSE),"-")</f>
        <v>-</v>
      </c>
      <c r="M399" s="70" t="str">
        <f>+IFERROR(VLOOKUP(CONCATENATE(A399,$B$10,B399),'3. Resultados'!B:J,9,FALSE),"-")</f>
        <v>-</v>
      </c>
      <c r="N399" s="24"/>
      <c r="O399" s="25" t="str">
        <f t="shared" si="7"/>
        <v>Por iniciar</v>
      </c>
      <c r="P399"/>
    </row>
    <row r="400" spans="1:16" ht="14.5">
      <c r="A400" s="18"/>
      <c r="B400" s="57"/>
      <c r="C400" s="57"/>
      <c r="D400" s="57"/>
      <c r="E400" s="57"/>
      <c r="F400" s="57"/>
      <c r="G400" s="57"/>
      <c r="H400" s="62" t="s">
        <v>60</v>
      </c>
      <c r="I400" s="19" t="s">
        <v>539</v>
      </c>
      <c r="J400" s="24">
        <f>+COUNTIFS('3. Resultados'!C:C,'1. Status'!H400,'3. Resultados'!G:G,'1. Status'!I400)</f>
        <v>0</v>
      </c>
      <c r="K400" s="70" t="str">
        <f>+IFERROR(VLOOKUP(CONCATENATE(A400,$B$10,B400),'3. Resultados'!B:J,8,FALSE),"-")</f>
        <v>-</v>
      </c>
      <c r="L400" s="69" t="str">
        <f>+IFERROR(VLOOKUP(B400,'3. Resultados'!K:L,2,FALSE),"-")</f>
        <v>-</v>
      </c>
      <c r="M400" s="70" t="str">
        <f>+IFERROR(VLOOKUP(CONCATENATE(A400,$B$10,B400),'3. Resultados'!B:J,9,FALSE),"-")</f>
        <v>-</v>
      </c>
      <c r="N400" s="24"/>
      <c r="O400" s="25" t="str">
        <f t="shared" si="7"/>
        <v>Por iniciar</v>
      </c>
      <c r="P400"/>
    </row>
    <row r="401" spans="1:16" ht="14.5">
      <c r="A401" s="18"/>
      <c r="B401" s="57"/>
      <c r="C401" s="57"/>
      <c r="D401" s="57"/>
      <c r="E401" s="57"/>
      <c r="F401" s="57"/>
      <c r="G401" s="57"/>
      <c r="H401" s="62" t="s">
        <v>60</v>
      </c>
      <c r="I401" s="19" t="s">
        <v>540</v>
      </c>
      <c r="J401" s="24">
        <f>+COUNTIFS('3. Resultados'!C:C,'1. Status'!H401,'3. Resultados'!G:G,'1. Status'!I401)</f>
        <v>0</v>
      </c>
      <c r="K401" s="70" t="str">
        <f>+IFERROR(VLOOKUP(CONCATENATE(A401,$B$10,B401),'3. Resultados'!B:J,8,FALSE),"-")</f>
        <v>-</v>
      </c>
      <c r="L401" s="69" t="str">
        <f>+IFERROR(VLOOKUP(B401,'3. Resultados'!K:L,2,FALSE),"-")</f>
        <v>-</v>
      </c>
      <c r="M401" s="70" t="str">
        <f>+IFERROR(VLOOKUP(CONCATENATE(A401,$B$10,B401),'3. Resultados'!B:J,9,FALSE),"-")</f>
        <v>-</v>
      </c>
      <c r="N401" s="24"/>
      <c r="O401" s="25" t="str">
        <f t="shared" si="7"/>
        <v>Por iniciar</v>
      </c>
      <c r="P401"/>
    </row>
    <row r="402" spans="1:16" ht="14.5">
      <c r="A402" s="18"/>
      <c r="B402" s="57"/>
      <c r="C402" s="57"/>
      <c r="D402" s="57"/>
      <c r="E402" s="57"/>
      <c r="F402" s="57"/>
      <c r="G402" s="57"/>
      <c r="H402" s="62" t="s">
        <v>60</v>
      </c>
      <c r="I402" s="19" t="s">
        <v>541</v>
      </c>
      <c r="J402" s="24">
        <f>+COUNTIFS('3. Resultados'!C:C,'1. Status'!H402,'3. Resultados'!G:G,'1. Status'!I402)</f>
        <v>0</v>
      </c>
      <c r="K402" s="70" t="str">
        <f>+IFERROR(VLOOKUP(CONCATENATE(A402,$B$10,B402),'3. Resultados'!B:J,8,FALSE),"-")</f>
        <v>-</v>
      </c>
      <c r="L402" s="69" t="str">
        <f>+IFERROR(VLOOKUP(B402,'3. Resultados'!K:L,2,FALSE),"-")</f>
        <v>-</v>
      </c>
      <c r="M402" s="70" t="str">
        <f>+IFERROR(VLOOKUP(CONCATENATE(A402,$B$10,B402),'3. Resultados'!B:J,9,FALSE),"-")</f>
        <v>-</v>
      </c>
      <c r="N402" s="24"/>
      <c r="O402" s="25" t="str">
        <f t="shared" si="7"/>
        <v>Por iniciar</v>
      </c>
      <c r="P402"/>
    </row>
    <row r="403" spans="1:16" ht="14.5">
      <c r="A403" s="18"/>
      <c r="B403" s="57"/>
      <c r="C403" s="57"/>
      <c r="D403" s="57"/>
      <c r="E403" s="57"/>
      <c r="F403" s="57"/>
      <c r="G403" s="57"/>
      <c r="H403" s="62" t="s">
        <v>60</v>
      </c>
      <c r="I403" s="19" t="s">
        <v>271</v>
      </c>
      <c r="J403" s="24">
        <f>+COUNTIFS('3. Resultados'!C:C,'1. Status'!H403,'3. Resultados'!G:G,'1. Status'!I403)</f>
        <v>0</v>
      </c>
      <c r="K403" s="70" t="str">
        <f>+IFERROR(VLOOKUP(CONCATENATE(A403,$B$10,B403),'3. Resultados'!B:J,8,FALSE),"-")</f>
        <v>-</v>
      </c>
      <c r="L403" s="69" t="str">
        <f>+IFERROR(VLOOKUP(B403,'3. Resultados'!K:L,2,FALSE),"-")</f>
        <v>-</v>
      </c>
      <c r="M403" s="70" t="str">
        <f>+IFERROR(VLOOKUP(CONCATENATE(A403,$B$10,B403),'3. Resultados'!B:J,9,FALSE),"-")</f>
        <v>-</v>
      </c>
      <c r="N403" s="24"/>
      <c r="O403" s="25" t="str">
        <f t="shared" si="7"/>
        <v>Por iniciar</v>
      </c>
      <c r="P403"/>
    </row>
    <row r="404" spans="1:16" ht="14.5">
      <c r="A404" s="18"/>
      <c r="B404" s="57"/>
      <c r="C404" s="57"/>
      <c r="D404" s="57"/>
      <c r="E404" s="57"/>
      <c r="F404" s="57"/>
      <c r="G404" s="57"/>
      <c r="H404" s="62" t="s">
        <v>60</v>
      </c>
      <c r="I404" s="19" t="s">
        <v>542</v>
      </c>
      <c r="J404" s="24">
        <f>+COUNTIFS('3. Resultados'!C:C,'1. Status'!H404,'3. Resultados'!G:G,'1. Status'!I404)</f>
        <v>0</v>
      </c>
      <c r="K404" s="70" t="str">
        <f>+IFERROR(VLOOKUP(CONCATENATE(A404,$B$10,B404),'3. Resultados'!B:J,8,FALSE),"-")</f>
        <v>-</v>
      </c>
      <c r="L404" s="69" t="str">
        <f>+IFERROR(VLOOKUP(B404,'3. Resultados'!K:L,2,FALSE),"-")</f>
        <v>-</v>
      </c>
      <c r="M404" s="70" t="str">
        <f>+IFERROR(VLOOKUP(CONCATENATE(A404,$B$10,B404),'3. Resultados'!B:J,9,FALSE),"-")</f>
        <v>-</v>
      </c>
      <c r="N404" s="24"/>
      <c r="O404" s="25" t="str">
        <f t="shared" si="7"/>
        <v>Por iniciar</v>
      </c>
      <c r="P404"/>
    </row>
    <row r="405" spans="1:16" ht="14.5">
      <c r="A405" s="18"/>
      <c r="B405" s="57"/>
      <c r="C405" s="57"/>
      <c r="D405" s="57"/>
      <c r="E405" s="57"/>
      <c r="F405" s="57"/>
      <c r="G405" s="57"/>
      <c r="H405" s="62" t="s">
        <v>60</v>
      </c>
      <c r="I405" s="19" t="s">
        <v>543</v>
      </c>
      <c r="J405" s="24">
        <f>+COUNTIFS('3. Resultados'!C:C,'1. Status'!H405,'3. Resultados'!G:G,'1. Status'!I405)</f>
        <v>0</v>
      </c>
      <c r="K405" s="70" t="str">
        <f>+IFERROR(VLOOKUP(CONCATENATE(A405,$B$10,B405),'3. Resultados'!B:J,8,FALSE),"-")</f>
        <v>-</v>
      </c>
      <c r="L405" s="69" t="str">
        <f>+IFERROR(VLOOKUP(B405,'3. Resultados'!K:L,2,FALSE),"-")</f>
        <v>-</v>
      </c>
      <c r="M405" s="70" t="str">
        <f>+IFERROR(VLOOKUP(CONCATENATE(A405,$B$10,B405),'3. Resultados'!B:J,9,FALSE),"-")</f>
        <v>-</v>
      </c>
      <c r="N405" s="24"/>
      <c r="O405" s="25" t="str">
        <f t="shared" si="7"/>
        <v>Por iniciar</v>
      </c>
      <c r="P405"/>
    </row>
    <row r="406" spans="1:16" ht="14.5">
      <c r="A406" s="18"/>
      <c r="B406" s="57"/>
      <c r="C406" s="57"/>
      <c r="D406" s="57"/>
      <c r="E406" s="57"/>
      <c r="F406" s="57"/>
      <c r="G406" s="57"/>
      <c r="H406" s="62" t="s">
        <v>60</v>
      </c>
      <c r="I406" s="19" t="s">
        <v>544</v>
      </c>
      <c r="J406" s="24">
        <f>+COUNTIFS('3. Resultados'!C:C,'1. Status'!H406,'3. Resultados'!G:G,'1. Status'!I406)</f>
        <v>0</v>
      </c>
      <c r="K406" s="70" t="str">
        <f>+IFERROR(VLOOKUP(CONCATENATE(A406,$B$10,B406),'3. Resultados'!B:J,8,FALSE),"-")</f>
        <v>-</v>
      </c>
      <c r="L406" s="69" t="str">
        <f>+IFERROR(VLOOKUP(B406,'3. Resultados'!K:L,2,FALSE),"-")</f>
        <v>-</v>
      </c>
      <c r="M406" s="70" t="str">
        <f>+IFERROR(VLOOKUP(CONCATENATE(A406,$B$10,B406),'3. Resultados'!B:J,9,FALSE),"-")</f>
        <v>-</v>
      </c>
      <c r="N406" s="24"/>
      <c r="O406" s="25" t="str">
        <f t="shared" si="7"/>
        <v>Por iniciar</v>
      </c>
      <c r="P406"/>
    </row>
    <row r="407" spans="1:16" ht="14.5">
      <c r="A407" s="18"/>
      <c r="B407" s="57"/>
      <c r="C407" s="57"/>
      <c r="D407" s="57"/>
      <c r="E407" s="57"/>
      <c r="F407" s="57"/>
      <c r="G407" s="57"/>
      <c r="H407" s="62" t="s">
        <v>60</v>
      </c>
      <c r="I407" s="19" t="s">
        <v>545</v>
      </c>
      <c r="J407" s="24">
        <f>+COUNTIFS('3. Resultados'!C:C,'1. Status'!H407,'3. Resultados'!G:G,'1. Status'!I407)</f>
        <v>0</v>
      </c>
      <c r="K407" s="70" t="str">
        <f>+IFERROR(VLOOKUP(CONCATENATE(A407,$B$10,B407),'3. Resultados'!B:J,8,FALSE),"-")</f>
        <v>-</v>
      </c>
      <c r="L407" s="69" t="str">
        <f>+IFERROR(VLOOKUP(B407,'3. Resultados'!K:L,2,FALSE),"-")</f>
        <v>-</v>
      </c>
      <c r="M407" s="70" t="str">
        <f>+IFERROR(VLOOKUP(CONCATENATE(A407,$B$10,B407),'3. Resultados'!B:J,9,FALSE),"-")</f>
        <v>-</v>
      </c>
      <c r="N407" s="24"/>
      <c r="O407" s="25" t="str">
        <f t="shared" si="7"/>
        <v>Por iniciar</v>
      </c>
      <c r="P407"/>
    </row>
    <row r="408" spans="1:16" ht="14.5">
      <c r="A408" s="18"/>
      <c r="B408" s="57"/>
      <c r="C408" s="57"/>
      <c r="D408" s="57"/>
      <c r="E408" s="57"/>
      <c r="F408" s="57"/>
      <c r="G408" s="57"/>
      <c r="H408" s="62" t="s">
        <v>60</v>
      </c>
      <c r="I408" s="19" t="s">
        <v>340</v>
      </c>
      <c r="J408" s="24">
        <f>+COUNTIFS('3. Resultados'!C:C,'1. Status'!H408,'3. Resultados'!G:G,'1. Status'!I408)</f>
        <v>0</v>
      </c>
      <c r="K408" s="70" t="str">
        <f>+IFERROR(VLOOKUP(CONCATENATE(A408,$B$10,B408),'3. Resultados'!B:J,8,FALSE),"-")</f>
        <v>-</v>
      </c>
      <c r="L408" s="69" t="str">
        <f>+IFERROR(VLOOKUP(B408,'3. Resultados'!K:L,2,FALSE),"-")</f>
        <v>-</v>
      </c>
      <c r="M408" s="70" t="str">
        <f>+IFERROR(VLOOKUP(CONCATENATE(A408,$B$10,B408),'3. Resultados'!B:J,9,FALSE),"-")</f>
        <v>-</v>
      </c>
      <c r="N408" s="24"/>
      <c r="O408" s="25" t="str">
        <f t="shared" si="7"/>
        <v>Por iniciar</v>
      </c>
      <c r="P408"/>
    </row>
    <row r="409" spans="1:16" ht="14.5">
      <c r="A409" s="18"/>
      <c r="B409" s="57"/>
      <c r="C409" s="57"/>
      <c r="D409" s="57"/>
      <c r="E409" s="57"/>
      <c r="F409" s="57"/>
      <c r="G409" s="57"/>
      <c r="H409" s="62" t="s">
        <v>60</v>
      </c>
      <c r="I409" s="19" t="s">
        <v>341</v>
      </c>
      <c r="J409" s="24">
        <f>+COUNTIFS('3. Resultados'!C:C,'1. Status'!H409,'3. Resultados'!G:G,'1. Status'!I409)</f>
        <v>0</v>
      </c>
      <c r="K409" s="70" t="str">
        <f>+IFERROR(VLOOKUP(CONCATENATE(A409,$B$10,B409),'3. Resultados'!B:J,8,FALSE),"-")</f>
        <v>-</v>
      </c>
      <c r="L409" s="69" t="str">
        <f>+IFERROR(VLOOKUP(B409,'3. Resultados'!K:L,2,FALSE),"-")</f>
        <v>-</v>
      </c>
      <c r="M409" s="70" t="str">
        <f>+IFERROR(VLOOKUP(CONCATENATE(A409,$B$10,B409),'3. Resultados'!B:J,9,FALSE),"-")</f>
        <v>-</v>
      </c>
      <c r="N409" s="24"/>
      <c r="O409" s="25" t="str">
        <f t="shared" si="7"/>
        <v>Por iniciar</v>
      </c>
      <c r="P409"/>
    </row>
    <row r="410" spans="1:16" ht="14.5">
      <c r="A410" s="18"/>
      <c r="B410" s="57"/>
      <c r="C410" s="57"/>
      <c r="D410" s="57"/>
      <c r="E410" s="57"/>
      <c r="F410" s="57"/>
      <c r="G410" s="57"/>
      <c r="H410" s="62" t="s">
        <v>60</v>
      </c>
      <c r="I410" s="19" t="s">
        <v>546</v>
      </c>
      <c r="J410" s="24">
        <f>+COUNTIFS('3. Resultados'!C:C,'1. Status'!H410,'3. Resultados'!G:G,'1. Status'!I410)</f>
        <v>0</v>
      </c>
      <c r="K410" s="70" t="str">
        <f>+IFERROR(VLOOKUP(CONCATENATE(A410,$B$10,B410),'3. Resultados'!B:J,8,FALSE),"-")</f>
        <v>-</v>
      </c>
      <c r="L410" s="69" t="str">
        <f>+IFERROR(VLOOKUP(B410,'3. Resultados'!K:L,2,FALSE),"-")</f>
        <v>-</v>
      </c>
      <c r="M410" s="70" t="str">
        <f>+IFERROR(VLOOKUP(CONCATENATE(A410,$B$10,B410),'3. Resultados'!B:J,9,FALSE),"-")</f>
        <v>-</v>
      </c>
      <c r="N410" s="24"/>
      <c r="O410" s="25" t="str">
        <f t="shared" si="7"/>
        <v>Por iniciar</v>
      </c>
      <c r="P410"/>
    </row>
    <row r="411" spans="1:16" ht="14.5">
      <c r="A411" s="18"/>
      <c r="B411" s="57"/>
      <c r="C411" s="57"/>
      <c r="D411" s="57"/>
      <c r="E411" s="57"/>
      <c r="F411" s="57"/>
      <c r="G411" s="57"/>
      <c r="H411" s="62" t="s">
        <v>60</v>
      </c>
      <c r="I411" s="19" t="s">
        <v>547</v>
      </c>
      <c r="J411" s="24">
        <f>+COUNTIFS('3. Resultados'!C:C,'1. Status'!H411,'3. Resultados'!G:G,'1. Status'!I411)</f>
        <v>0</v>
      </c>
      <c r="K411" s="70" t="str">
        <f>+IFERROR(VLOOKUP(CONCATENATE(A411,$B$10,B411),'3. Resultados'!B:J,8,FALSE),"-")</f>
        <v>-</v>
      </c>
      <c r="L411" s="69" t="str">
        <f>+IFERROR(VLOOKUP(B411,'3. Resultados'!K:L,2,FALSE),"-")</f>
        <v>-</v>
      </c>
      <c r="M411" s="70" t="str">
        <f>+IFERROR(VLOOKUP(CONCATENATE(A411,$B$10,B411),'3. Resultados'!B:J,9,FALSE),"-")</f>
        <v>-</v>
      </c>
      <c r="N411" s="24"/>
      <c r="O411" s="25" t="str">
        <f t="shared" si="7"/>
        <v>Por iniciar</v>
      </c>
      <c r="P411"/>
    </row>
    <row r="412" spans="1:16" ht="14.5">
      <c r="A412" s="18"/>
      <c r="B412" s="57"/>
      <c r="C412" s="57"/>
      <c r="D412" s="57"/>
      <c r="E412" s="57"/>
      <c r="F412" s="57"/>
      <c r="G412" s="57"/>
      <c r="H412" s="62" t="s">
        <v>60</v>
      </c>
      <c r="I412" s="19" t="s">
        <v>548</v>
      </c>
      <c r="J412" s="24">
        <f>+COUNTIFS('3. Resultados'!C:C,'1. Status'!H412,'3. Resultados'!G:G,'1. Status'!I412)</f>
        <v>0</v>
      </c>
      <c r="K412" s="70" t="str">
        <f>+IFERROR(VLOOKUP(CONCATENATE(A412,$B$10,B412),'3. Resultados'!B:J,8,FALSE),"-")</f>
        <v>-</v>
      </c>
      <c r="L412" s="69" t="str">
        <f>+IFERROR(VLOOKUP(B412,'3. Resultados'!K:L,2,FALSE),"-")</f>
        <v>-</v>
      </c>
      <c r="M412" s="70" t="str">
        <f>+IFERROR(VLOOKUP(CONCATENATE(A412,$B$10,B412),'3. Resultados'!B:J,9,FALSE),"-")</f>
        <v>-</v>
      </c>
      <c r="N412" s="24"/>
      <c r="O412" s="25" t="str">
        <f t="shared" si="7"/>
        <v>Por iniciar</v>
      </c>
      <c r="P412"/>
    </row>
    <row r="413" spans="1:16" ht="14.5">
      <c r="A413" s="18"/>
      <c r="B413" s="57"/>
      <c r="C413" s="57"/>
      <c r="D413" s="57"/>
      <c r="E413" s="57"/>
      <c r="F413" s="57"/>
      <c r="G413" s="57"/>
      <c r="H413" s="62" t="s">
        <v>60</v>
      </c>
      <c r="I413" s="19" t="s">
        <v>158</v>
      </c>
      <c r="J413" s="24">
        <f>+COUNTIFS('3. Resultados'!C:C,'1. Status'!H413,'3. Resultados'!G:G,'1. Status'!I413)</f>
        <v>0</v>
      </c>
      <c r="K413" s="70" t="str">
        <f>+IFERROR(VLOOKUP(CONCATENATE(A413,$B$10,B413),'3. Resultados'!B:J,8,FALSE),"-")</f>
        <v>-</v>
      </c>
      <c r="L413" s="69" t="str">
        <f>+IFERROR(VLOOKUP(B413,'3. Resultados'!K:L,2,FALSE),"-")</f>
        <v>-</v>
      </c>
      <c r="M413" s="70" t="str">
        <f>+IFERROR(VLOOKUP(CONCATENATE(A413,$B$10,B413),'3. Resultados'!B:J,9,FALSE),"-")</f>
        <v>-</v>
      </c>
      <c r="N413" s="24"/>
      <c r="O413" s="25" t="str">
        <f t="shared" si="7"/>
        <v>Por iniciar</v>
      </c>
      <c r="P413"/>
    </row>
    <row r="414" spans="1:16" ht="14.5">
      <c r="A414" s="18"/>
      <c r="B414" s="57"/>
      <c r="C414" s="57"/>
      <c r="D414" s="57"/>
      <c r="E414" s="57"/>
      <c r="F414" s="57"/>
      <c r="G414" s="57"/>
      <c r="H414" s="62" t="s">
        <v>60</v>
      </c>
      <c r="I414" s="19" t="s">
        <v>549</v>
      </c>
      <c r="J414" s="24">
        <f>+COUNTIFS('3. Resultados'!C:C,'1. Status'!H414,'3. Resultados'!G:G,'1. Status'!I414)</f>
        <v>0</v>
      </c>
      <c r="K414" s="70" t="str">
        <f>+IFERROR(VLOOKUP(CONCATENATE(A414,$B$10,B414),'3. Resultados'!B:J,8,FALSE),"-")</f>
        <v>-</v>
      </c>
      <c r="L414" s="69" t="str">
        <f>+IFERROR(VLOOKUP(B414,'3. Resultados'!K:L,2,FALSE),"-")</f>
        <v>-</v>
      </c>
      <c r="M414" s="70" t="str">
        <f>+IFERROR(VLOOKUP(CONCATENATE(A414,$B$10,B414),'3. Resultados'!B:J,9,FALSE),"-")</f>
        <v>-</v>
      </c>
      <c r="N414" s="24"/>
      <c r="O414" s="25" t="str">
        <f t="shared" si="7"/>
        <v>Por iniciar</v>
      </c>
      <c r="P414"/>
    </row>
    <row r="415" spans="1:16" ht="14.5">
      <c r="A415" s="18"/>
      <c r="B415" s="57"/>
      <c r="C415" s="57"/>
      <c r="D415" s="57"/>
      <c r="E415" s="57"/>
      <c r="F415" s="57"/>
      <c r="G415" s="57"/>
      <c r="H415" s="62" t="s">
        <v>60</v>
      </c>
      <c r="I415" s="19" t="s">
        <v>159</v>
      </c>
      <c r="J415" s="24">
        <f>+COUNTIFS('3. Resultados'!C:C,'1. Status'!H415,'3. Resultados'!G:G,'1. Status'!I415)</f>
        <v>0</v>
      </c>
      <c r="K415" s="70" t="str">
        <f>+IFERROR(VLOOKUP(CONCATENATE(A415,$B$10,B415),'3. Resultados'!B:J,8,FALSE),"-")</f>
        <v>-</v>
      </c>
      <c r="L415" s="69" t="str">
        <f>+IFERROR(VLOOKUP(B415,'3. Resultados'!K:L,2,FALSE),"-")</f>
        <v>-</v>
      </c>
      <c r="M415" s="70" t="str">
        <f>+IFERROR(VLOOKUP(CONCATENATE(A415,$B$10,B415),'3. Resultados'!B:J,9,FALSE),"-")</f>
        <v>-</v>
      </c>
      <c r="N415" s="24"/>
      <c r="O415" s="25" t="str">
        <f t="shared" si="7"/>
        <v>Por iniciar</v>
      </c>
      <c r="P415"/>
    </row>
    <row r="416" spans="1:16" ht="14.5">
      <c r="A416" s="18"/>
      <c r="B416" s="57"/>
      <c r="C416" s="57"/>
      <c r="D416" s="57"/>
      <c r="E416" s="57"/>
      <c r="F416" s="57"/>
      <c r="G416" s="57"/>
      <c r="H416" s="62" t="s">
        <v>60</v>
      </c>
      <c r="I416" s="19" t="s">
        <v>550</v>
      </c>
      <c r="J416" s="24">
        <f>+COUNTIFS('3. Resultados'!C:C,'1. Status'!H416,'3. Resultados'!G:G,'1. Status'!I416)</f>
        <v>0</v>
      </c>
      <c r="K416" s="70" t="str">
        <f>+IFERROR(VLOOKUP(CONCATENATE(A416,$B$10,B416),'3. Resultados'!B:J,8,FALSE),"-")</f>
        <v>-</v>
      </c>
      <c r="L416" s="69" t="str">
        <f>+IFERROR(VLOOKUP(B416,'3. Resultados'!K:L,2,FALSE),"-")</f>
        <v>-</v>
      </c>
      <c r="M416" s="70" t="str">
        <f>+IFERROR(VLOOKUP(CONCATENATE(A416,$B$10,B416),'3. Resultados'!B:J,9,FALSE),"-")</f>
        <v>-</v>
      </c>
      <c r="N416" s="24"/>
      <c r="O416" s="25" t="str">
        <f t="shared" si="7"/>
        <v>Por iniciar</v>
      </c>
      <c r="P416"/>
    </row>
    <row r="417" spans="1:16" ht="14.5">
      <c r="A417" s="18"/>
      <c r="B417" s="57"/>
      <c r="C417" s="57"/>
      <c r="D417" s="57"/>
      <c r="E417" s="57"/>
      <c r="F417" s="57"/>
      <c r="G417" s="57"/>
      <c r="H417" s="62" t="s">
        <v>60</v>
      </c>
      <c r="I417" s="19" t="s">
        <v>551</v>
      </c>
      <c r="J417" s="24">
        <f>+COUNTIFS('3. Resultados'!C:C,'1. Status'!H417,'3. Resultados'!G:G,'1. Status'!I417)</f>
        <v>0</v>
      </c>
      <c r="K417" s="70" t="str">
        <f>+IFERROR(VLOOKUP(CONCATENATE(A417,$B$10,B417),'3. Resultados'!B:J,8,FALSE),"-")</f>
        <v>-</v>
      </c>
      <c r="L417" s="69" t="str">
        <f>+IFERROR(VLOOKUP(B417,'3. Resultados'!K:L,2,FALSE),"-")</f>
        <v>-</v>
      </c>
      <c r="M417" s="70" t="str">
        <f>+IFERROR(VLOOKUP(CONCATENATE(A417,$B$10,B417),'3. Resultados'!B:J,9,FALSE),"-")</f>
        <v>-</v>
      </c>
      <c r="N417" s="24"/>
      <c r="O417" s="25" t="str">
        <f t="shared" si="7"/>
        <v>Por iniciar</v>
      </c>
      <c r="P417"/>
    </row>
    <row r="418" spans="1:16" ht="14.5">
      <c r="A418" s="18"/>
      <c r="B418" s="57"/>
      <c r="C418" s="57"/>
      <c r="D418" s="57"/>
      <c r="E418" s="57"/>
      <c r="F418" s="57"/>
      <c r="G418" s="57"/>
      <c r="H418" s="62" t="s">
        <v>60</v>
      </c>
      <c r="I418" s="19" t="s">
        <v>552</v>
      </c>
      <c r="J418" s="24">
        <f>+COUNTIFS('3. Resultados'!C:C,'1. Status'!H418,'3. Resultados'!G:G,'1. Status'!I418)</f>
        <v>0</v>
      </c>
      <c r="K418" s="70" t="str">
        <f>+IFERROR(VLOOKUP(CONCATENATE(A418,$B$10,B418),'3. Resultados'!B:J,8,FALSE),"-")</f>
        <v>-</v>
      </c>
      <c r="L418" s="69" t="str">
        <f>+IFERROR(VLOOKUP(B418,'3. Resultados'!K:L,2,FALSE),"-")</f>
        <v>-</v>
      </c>
      <c r="M418" s="70" t="str">
        <f>+IFERROR(VLOOKUP(CONCATENATE(A418,$B$10,B418),'3. Resultados'!B:J,9,FALSE),"-")</f>
        <v>-</v>
      </c>
      <c r="N418" s="24"/>
      <c r="O418" s="25" t="str">
        <f t="shared" si="7"/>
        <v>Por iniciar</v>
      </c>
      <c r="P418"/>
    </row>
    <row r="419" spans="1:16" ht="14.5">
      <c r="A419" s="18"/>
      <c r="B419" s="57"/>
      <c r="C419" s="57"/>
      <c r="D419" s="57"/>
      <c r="E419" s="57"/>
      <c r="F419" s="57"/>
      <c r="G419" s="57"/>
      <c r="H419" s="62" t="s">
        <v>60</v>
      </c>
      <c r="I419" s="19" t="s">
        <v>553</v>
      </c>
      <c r="J419" s="24">
        <f>+COUNTIFS('3. Resultados'!C:C,'1. Status'!H419,'3. Resultados'!G:G,'1. Status'!I419)</f>
        <v>0</v>
      </c>
      <c r="K419" s="70" t="str">
        <f>+IFERROR(VLOOKUP(CONCATENATE(A419,$B$10,B419),'3. Resultados'!B:J,8,FALSE),"-")</f>
        <v>-</v>
      </c>
      <c r="L419" s="69" t="str">
        <f>+IFERROR(VLOOKUP(B419,'3. Resultados'!K:L,2,FALSE),"-")</f>
        <v>-</v>
      </c>
      <c r="M419" s="70" t="str">
        <f>+IFERROR(VLOOKUP(CONCATENATE(A419,$B$10,B419),'3. Resultados'!B:J,9,FALSE),"-")</f>
        <v>-</v>
      </c>
      <c r="N419" s="24"/>
      <c r="O419" s="25" t="str">
        <f t="shared" si="7"/>
        <v>Por iniciar</v>
      </c>
      <c r="P419"/>
    </row>
    <row r="420" spans="1:16" ht="14.5">
      <c r="A420" s="18"/>
      <c r="B420" s="57"/>
      <c r="C420" s="57"/>
      <c r="D420" s="57"/>
      <c r="E420" s="57"/>
      <c r="F420" s="57"/>
      <c r="G420" s="57"/>
      <c r="H420" s="62" t="s">
        <v>60</v>
      </c>
      <c r="I420" s="19" t="s">
        <v>554</v>
      </c>
      <c r="J420" s="24">
        <f>+COUNTIFS('3. Resultados'!C:C,'1. Status'!H420,'3. Resultados'!G:G,'1. Status'!I420)</f>
        <v>0</v>
      </c>
      <c r="K420" s="70" t="str">
        <f>+IFERROR(VLOOKUP(CONCATENATE(A420,$B$10,B420),'3. Resultados'!B:J,8,FALSE),"-")</f>
        <v>-</v>
      </c>
      <c r="L420" s="69" t="str">
        <f>+IFERROR(VLOOKUP(B420,'3. Resultados'!K:L,2,FALSE),"-")</f>
        <v>-</v>
      </c>
      <c r="M420" s="70" t="str">
        <f>+IFERROR(VLOOKUP(CONCATENATE(A420,$B$10,B420),'3. Resultados'!B:J,9,FALSE),"-")</f>
        <v>-</v>
      </c>
      <c r="N420" s="24"/>
      <c r="O420" s="25" t="str">
        <f t="shared" si="7"/>
        <v>Por iniciar</v>
      </c>
      <c r="P420"/>
    </row>
    <row r="421" spans="1:16" ht="14.5">
      <c r="A421" s="18"/>
      <c r="B421" s="57"/>
      <c r="C421" s="57"/>
      <c r="D421" s="57"/>
      <c r="E421" s="57"/>
      <c r="F421" s="57"/>
      <c r="G421" s="57"/>
      <c r="H421" s="62" t="s">
        <v>60</v>
      </c>
      <c r="I421" s="19" t="s">
        <v>555</v>
      </c>
      <c r="J421" s="24">
        <f>+COUNTIFS('3. Resultados'!C:C,'1. Status'!H421,'3. Resultados'!G:G,'1. Status'!I421)</f>
        <v>0</v>
      </c>
      <c r="K421" s="70" t="str">
        <f>+IFERROR(VLOOKUP(CONCATENATE(A421,$B$10,B421),'3. Resultados'!B:J,8,FALSE),"-")</f>
        <v>-</v>
      </c>
      <c r="L421" s="69" t="str">
        <f>+IFERROR(VLOOKUP(B421,'3. Resultados'!K:L,2,FALSE),"-")</f>
        <v>-</v>
      </c>
      <c r="M421" s="70" t="str">
        <f>+IFERROR(VLOOKUP(CONCATENATE(A421,$B$10,B421),'3. Resultados'!B:J,9,FALSE),"-")</f>
        <v>-</v>
      </c>
      <c r="N421" s="24"/>
      <c r="O421" s="25" t="str">
        <f t="shared" si="7"/>
        <v>Por iniciar</v>
      </c>
      <c r="P421"/>
    </row>
    <row r="422" spans="1:16" ht="14.5">
      <c r="A422" s="18"/>
      <c r="B422" s="57"/>
      <c r="C422" s="57"/>
      <c r="D422" s="57"/>
      <c r="E422" s="57"/>
      <c r="F422" s="57"/>
      <c r="G422" s="57"/>
      <c r="H422" s="62" t="s">
        <v>60</v>
      </c>
      <c r="I422" s="19" t="s">
        <v>556</v>
      </c>
      <c r="J422" s="24">
        <f>+COUNTIFS('3. Resultados'!C:C,'1. Status'!H422,'3. Resultados'!G:G,'1. Status'!I422)</f>
        <v>0</v>
      </c>
      <c r="K422" s="70" t="str">
        <f>+IFERROR(VLOOKUP(CONCATENATE(A422,$B$10,B422),'3. Resultados'!B:J,8,FALSE),"-")</f>
        <v>-</v>
      </c>
      <c r="L422" s="69" t="str">
        <f>+IFERROR(VLOOKUP(B422,'3. Resultados'!K:L,2,FALSE),"-")</f>
        <v>-</v>
      </c>
      <c r="M422" s="70" t="str">
        <f>+IFERROR(VLOOKUP(CONCATENATE(A422,$B$10,B422),'3. Resultados'!B:J,9,FALSE),"-")</f>
        <v>-</v>
      </c>
      <c r="N422" s="24"/>
      <c r="O422" s="25" t="str">
        <f t="shared" si="7"/>
        <v>Por iniciar</v>
      </c>
      <c r="P422"/>
    </row>
    <row r="423" spans="1:16" ht="14.5">
      <c r="A423" s="18"/>
      <c r="B423" s="57"/>
      <c r="C423" s="57"/>
      <c r="D423" s="57"/>
      <c r="E423" s="57"/>
      <c r="F423" s="57"/>
      <c r="G423" s="57"/>
      <c r="H423" s="62" t="s">
        <v>60</v>
      </c>
      <c r="I423" s="19" t="s">
        <v>557</v>
      </c>
      <c r="J423" s="24">
        <f>+COUNTIFS('3. Resultados'!C:C,'1. Status'!H423,'3. Resultados'!G:G,'1. Status'!I423)</f>
        <v>0</v>
      </c>
      <c r="K423" s="70" t="str">
        <f>+IFERROR(VLOOKUP(CONCATENATE(A423,$B$10,B423),'3. Resultados'!B:J,8,FALSE),"-")</f>
        <v>-</v>
      </c>
      <c r="L423" s="69" t="str">
        <f>+IFERROR(VLOOKUP(B423,'3. Resultados'!K:L,2,FALSE),"-")</f>
        <v>-</v>
      </c>
      <c r="M423" s="70" t="str">
        <f>+IFERROR(VLOOKUP(CONCATENATE(A423,$B$10,B423),'3. Resultados'!B:J,9,FALSE),"-")</f>
        <v>-</v>
      </c>
      <c r="N423" s="24"/>
      <c r="O423" s="25" t="str">
        <f t="shared" si="7"/>
        <v>Por iniciar</v>
      </c>
      <c r="P423"/>
    </row>
    <row r="424" spans="1:16" ht="14.5">
      <c r="A424" s="18"/>
      <c r="B424" s="57"/>
      <c r="C424" s="57"/>
      <c r="D424" s="57"/>
      <c r="E424" s="57"/>
      <c r="F424" s="57"/>
      <c r="G424" s="57"/>
      <c r="H424" s="62" t="s">
        <v>60</v>
      </c>
      <c r="I424" s="19" t="s">
        <v>160</v>
      </c>
      <c r="J424" s="24">
        <f>+COUNTIFS('3. Resultados'!C:C,'1. Status'!H424,'3. Resultados'!G:G,'1. Status'!I424)</f>
        <v>0</v>
      </c>
      <c r="K424" s="70" t="str">
        <f>+IFERROR(VLOOKUP(CONCATENATE(A424,$B$10,B424),'3. Resultados'!B:J,8,FALSE),"-")</f>
        <v>-</v>
      </c>
      <c r="L424" s="69" t="str">
        <f>+IFERROR(VLOOKUP(B424,'3. Resultados'!K:L,2,FALSE),"-")</f>
        <v>-</v>
      </c>
      <c r="M424" s="70" t="str">
        <f>+IFERROR(VLOOKUP(CONCATENATE(A424,$B$10,B424),'3. Resultados'!B:J,9,FALSE),"-")</f>
        <v>-</v>
      </c>
      <c r="N424" s="24"/>
      <c r="O424" s="25" t="str">
        <f t="shared" si="7"/>
        <v>Por iniciar</v>
      </c>
      <c r="P424"/>
    </row>
    <row r="425" spans="1:16" ht="14.5">
      <c r="A425" s="18"/>
      <c r="B425" s="57"/>
      <c r="C425" s="57"/>
      <c r="D425" s="57"/>
      <c r="E425" s="57"/>
      <c r="F425" s="57"/>
      <c r="G425" s="57"/>
      <c r="H425" s="62" t="s">
        <v>60</v>
      </c>
      <c r="I425" s="19" t="s">
        <v>558</v>
      </c>
      <c r="J425" s="24">
        <f>+COUNTIFS('3. Resultados'!C:C,'1. Status'!H425,'3. Resultados'!G:G,'1. Status'!I425)</f>
        <v>0</v>
      </c>
      <c r="K425" s="70" t="str">
        <f>+IFERROR(VLOOKUP(CONCATENATE(A425,$B$10,B425),'3. Resultados'!B:J,8,FALSE),"-")</f>
        <v>-</v>
      </c>
      <c r="L425" s="69" t="str">
        <f>+IFERROR(VLOOKUP(B425,'3. Resultados'!K:L,2,FALSE),"-")</f>
        <v>-</v>
      </c>
      <c r="M425" s="70" t="str">
        <f>+IFERROR(VLOOKUP(CONCATENATE(A425,$B$10,B425),'3. Resultados'!B:J,9,FALSE),"-")</f>
        <v>-</v>
      </c>
      <c r="N425" s="24"/>
      <c r="O425" s="25" t="str">
        <f t="shared" si="7"/>
        <v>Por iniciar</v>
      </c>
      <c r="P425"/>
    </row>
    <row r="426" spans="1:16" ht="14.5">
      <c r="A426" s="18"/>
      <c r="B426" s="57"/>
      <c r="C426" s="57"/>
      <c r="D426" s="57"/>
      <c r="E426" s="57"/>
      <c r="F426" s="57"/>
      <c r="G426" s="57"/>
      <c r="H426" s="62" t="s">
        <v>60</v>
      </c>
      <c r="I426" s="19" t="s">
        <v>161</v>
      </c>
      <c r="J426" s="24">
        <f>+COUNTIFS('3. Resultados'!C:C,'1. Status'!H426,'3. Resultados'!G:G,'1. Status'!I426)</f>
        <v>0</v>
      </c>
      <c r="K426" s="70" t="str">
        <f>+IFERROR(VLOOKUP(CONCATENATE(A426,$B$10,B426),'3. Resultados'!B:J,8,FALSE),"-")</f>
        <v>-</v>
      </c>
      <c r="L426" s="69" t="str">
        <f>+IFERROR(VLOOKUP(B426,'3. Resultados'!K:L,2,FALSE),"-")</f>
        <v>-</v>
      </c>
      <c r="M426" s="70" t="str">
        <f>+IFERROR(VLOOKUP(CONCATENATE(A426,$B$10,B426),'3. Resultados'!B:J,9,FALSE),"-")</f>
        <v>-</v>
      </c>
      <c r="N426" s="24"/>
      <c r="O426" s="25" t="str">
        <f t="shared" si="7"/>
        <v>Por iniciar</v>
      </c>
      <c r="P426"/>
    </row>
    <row r="427" spans="1:16" ht="14.5">
      <c r="A427" s="18"/>
      <c r="B427" s="57"/>
      <c r="C427" s="57"/>
      <c r="D427" s="57"/>
      <c r="E427" s="57"/>
      <c r="F427" s="57"/>
      <c r="G427" s="57"/>
      <c r="H427" s="62" t="s">
        <v>60</v>
      </c>
      <c r="I427" s="19" t="s">
        <v>559</v>
      </c>
      <c r="J427" s="24">
        <f>+COUNTIFS('3. Resultados'!C:C,'1. Status'!H427,'3. Resultados'!G:G,'1. Status'!I427)</f>
        <v>0</v>
      </c>
      <c r="K427" s="70" t="str">
        <f>+IFERROR(VLOOKUP(CONCATENATE(A427,$B$10,B427),'3. Resultados'!B:J,8,FALSE),"-")</f>
        <v>-</v>
      </c>
      <c r="L427" s="69" t="str">
        <f>+IFERROR(VLOOKUP(B427,'3. Resultados'!K:L,2,FALSE),"-")</f>
        <v>-</v>
      </c>
      <c r="M427" s="70" t="str">
        <f>+IFERROR(VLOOKUP(CONCATENATE(A427,$B$10,B427),'3. Resultados'!B:J,9,FALSE),"-")</f>
        <v>-</v>
      </c>
      <c r="N427" s="24"/>
      <c r="O427" s="25" t="str">
        <f t="shared" si="7"/>
        <v>Por iniciar</v>
      </c>
      <c r="P427"/>
    </row>
    <row r="428" spans="1:16" ht="14.5">
      <c r="A428" s="18"/>
      <c r="B428" s="57"/>
      <c r="C428" s="57"/>
      <c r="D428" s="57"/>
      <c r="E428" s="57"/>
      <c r="F428" s="57"/>
      <c r="G428" s="57"/>
      <c r="H428" s="62" t="s">
        <v>60</v>
      </c>
      <c r="I428" s="19" t="s">
        <v>560</v>
      </c>
      <c r="J428" s="24">
        <f>+COUNTIFS('3. Resultados'!C:C,'1. Status'!H428,'3. Resultados'!G:G,'1. Status'!I428)</f>
        <v>0</v>
      </c>
      <c r="K428" s="70" t="str">
        <f>+IFERROR(VLOOKUP(CONCATENATE(A428,$B$10,B428),'3. Resultados'!B:J,8,FALSE),"-")</f>
        <v>-</v>
      </c>
      <c r="L428" s="69" t="str">
        <f>+IFERROR(VLOOKUP(B428,'3. Resultados'!K:L,2,FALSE),"-")</f>
        <v>-</v>
      </c>
      <c r="M428" s="70" t="str">
        <f>+IFERROR(VLOOKUP(CONCATENATE(A428,$B$10,B428),'3. Resultados'!B:J,9,FALSE),"-")</f>
        <v>-</v>
      </c>
      <c r="N428" s="24"/>
      <c r="O428" s="25" t="str">
        <f t="shared" si="7"/>
        <v>Por iniciar</v>
      </c>
      <c r="P428"/>
    </row>
    <row r="429" spans="1:16" ht="14.5">
      <c r="A429" s="18"/>
      <c r="B429" s="57"/>
      <c r="C429" s="57"/>
      <c r="D429" s="57"/>
      <c r="E429" s="57"/>
      <c r="F429" s="57"/>
      <c r="G429" s="57"/>
      <c r="H429" s="62" t="s">
        <v>60</v>
      </c>
      <c r="I429" s="19" t="s">
        <v>561</v>
      </c>
      <c r="J429" s="24">
        <f>+COUNTIFS('3. Resultados'!C:C,'1. Status'!H429,'3. Resultados'!G:G,'1. Status'!I429)</f>
        <v>0</v>
      </c>
      <c r="K429" s="70" t="str">
        <f>+IFERROR(VLOOKUP(CONCATENATE(A429,$B$10,B429),'3. Resultados'!B:J,8,FALSE),"-")</f>
        <v>-</v>
      </c>
      <c r="L429" s="69" t="str">
        <f>+IFERROR(VLOOKUP(B429,'3. Resultados'!K:L,2,FALSE),"-")</f>
        <v>-</v>
      </c>
      <c r="M429" s="70" t="str">
        <f>+IFERROR(VLOOKUP(CONCATENATE(A429,$B$10,B429),'3. Resultados'!B:J,9,FALSE),"-")</f>
        <v>-</v>
      </c>
      <c r="N429" s="24"/>
      <c r="O429" s="25" t="str">
        <f t="shared" si="7"/>
        <v>Por iniciar</v>
      </c>
      <c r="P429"/>
    </row>
    <row r="430" spans="1:16" ht="14.5">
      <c r="A430" s="18"/>
      <c r="B430" s="57"/>
      <c r="C430" s="57"/>
      <c r="D430" s="57"/>
      <c r="E430" s="57"/>
      <c r="F430" s="57"/>
      <c r="G430" s="57"/>
      <c r="H430" s="62" t="s">
        <v>60</v>
      </c>
      <c r="I430" s="19" t="s">
        <v>562</v>
      </c>
      <c r="J430" s="24">
        <f>+COUNTIFS('3. Resultados'!C:C,'1. Status'!H430,'3. Resultados'!G:G,'1. Status'!I430)</f>
        <v>0</v>
      </c>
      <c r="K430" s="70" t="str">
        <f>+IFERROR(VLOOKUP(CONCATENATE(A430,$B$10,B430),'3. Resultados'!B:J,8,FALSE),"-")</f>
        <v>-</v>
      </c>
      <c r="L430" s="69" t="str">
        <f>+IFERROR(VLOOKUP(B430,'3. Resultados'!K:L,2,FALSE),"-")</f>
        <v>-</v>
      </c>
      <c r="M430" s="70" t="str">
        <f>+IFERROR(VLOOKUP(CONCATENATE(A430,$B$10,B430),'3. Resultados'!B:J,9,FALSE),"-")</f>
        <v>-</v>
      </c>
      <c r="N430" s="24"/>
      <c r="O430" s="25" t="str">
        <f t="shared" si="7"/>
        <v>Por iniciar</v>
      </c>
      <c r="P430"/>
    </row>
    <row r="431" spans="1:16" ht="14.5">
      <c r="A431" s="18"/>
      <c r="B431" s="57"/>
      <c r="C431" s="57"/>
      <c r="D431" s="57"/>
      <c r="E431" s="57"/>
      <c r="F431" s="57"/>
      <c r="G431" s="57"/>
      <c r="H431" s="62" t="s">
        <v>60</v>
      </c>
      <c r="I431" s="19" t="s">
        <v>563</v>
      </c>
      <c r="J431" s="24">
        <f>+COUNTIFS('3. Resultados'!C:C,'1. Status'!H431,'3. Resultados'!G:G,'1. Status'!I431)</f>
        <v>0</v>
      </c>
      <c r="K431" s="70" t="str">
        <f>+IFERROR(VLOOKUP(CONCATENATE(A431,$B$10,B431),'3. Resultados'!B:J,8,FALSE),"-")</f>
        <v>-</v>
      </c>
      <c r="L431" s="69" t="str">
        <f>+IFERROR(VLOOKUP(B431,'3. Resultados'!K:L,2,FALSE),"-")</f>
        <v>-</v>
      </c>
      <c r="M431" s="70" t="str">
        <f>+IFERROR(VLOOKUP(CONCATENATE(A431,$B$10,B431),'3. Resultados'!B:J,9,FALSE),"-")</f>
        <v>-</v>
      </c>
      <c r="N431" s="24"/>
      <c r="O431" s="25" t="str">
        <f t="shared" si="7"/>
        <v>Por iniciar</v>
      </c>
      <c r="P431"/>
    </row>
    <row r="432" spans="1:16" ht="14.5">
      <c r="A432" s="18"/>
      <c r="B432" s="57"/>
      <c r="C432" s="57"/>
      <c r="D432" s="57"/>
      <c r="E432" s="57"/>
      <c r="F432" s="57"/>
      <c r="G432" s="57"/>
      <c r="H432" s="62" t="s">
        <v>60</v>
      </c>
      <c r="I432" s="19" t="s">
        <v>564</v>
      </c>
      <c r="J432" s="24">
        <f>+COUNTIFS('3. Resultados'!C:C,'1. Status'!H432,'3. Resultados'!G:G,'1. Status'!I432)</f>
        <v>0</v>
      </c>
      <c r="K432" s="70" t="str">
        <f>+IFERROR(VLOOKUP(CONCATENATE(A432,$B$10,B432),'3. Resultados'!B:J,8,FALSE),"-")</f>
        <v>-</v>
      </c>
      <c r="L432" s="69" t="str">
        <f>+IFERROR(VLOOKUP(B432,'3. Resultados'!K:L,2,FALSE),"-")</f>
        <v>-</v>
      </c>
      <c r="M432" s="70" t="str">
        <f>+IFERROR(VLOOKUP(CONCATENATE(A432,$B$10,B432),'3. Resultados'!B:J,9,FALSE),"-")</f>
        <v>-</v>
      </c>
      <c r="N432" s="24"/>
      <c r="O432" s="25" t="str">
        <f t="shared" si="7"/>
        <v>Por iniciar</v>
      </c>
      <c r="P432"/>
    </row>
    <row r="433" spans="1:16" ht="14.5">
      <c r="A433" s="18"/>
      <c r="B433" s="57"/>
      <c r="C433" s="57"/>
      <c r="D433" s="57"/>
      <c r="E433" s="57"/>
      <c r="F433" s="57"/>
      <c r="G433" s="57"/>
      <c r="H433" s="62" t="s">
        <v>60</v>
      </c>
      <c r="I433" s="19" t="s">
        <v>565</v>
      </c>
      <c r="J433" s="24">
        <f>+COUNTIFS('3. Resultados'!C:C,'1. Status'!H433,'3. Resultados'!G:G,'1. Status'!I433)</f>
        <v>0</v>
      </c>
      <c r="K433" s="70" t="str">
        <f>+IFERROR(VLOOKUP(CONCATENATE(A433,$B$10,B433),'3. Resultados'!B:J,8,FALSE),"-")</f>
        <v>-</v>
      </c>
      <c r="L433" s="69" t="str">
        <f>+IFERROR(VLOOKUP(B433,'3. Resultados'!K:L,2,FALSE),"-")</f>
        <v>-</v>
      </c>
      <c r="M433" s="70" t="str">
        <f>+IFERROR(VLOOKUP(CONCATENATE(A433,$B$10,B433),'3. Resultados'!B:J,9,FALSE),"-")</f>
        <v>-</v>
      </c>
      <c r="N433" s="24"/>
      <c r="O433" s="25" t="str">
        <f t="shared" si="7"/>
        <v>Por iniciar</v>
      </c>
      <c r="P433"/>
    </row>
    <row r="434" spans="1:16" ht="14.5">
      <c r="A434" s="18"/>
      <c r="B434" s="57"/>
      <c r="C434" s="57"/>
      <c r="D434" s="57"/>
      <c r="E434" s="57"/>
      <c r="F434" s="57"/>
      <c r="G434" s="57"/>
      <c r="H434" s="62" t="s">
        <v>60</v>
      </c>
      <c r="I434" s="19" t="s">
        <v>566</v>
      </c>
      <c r="J434" s="24">
        <f>+COUNTIFS('3. Resultados'!C:C,'1. Status'!H434,'3. Resultados'!G:G,'1. Status'!I434)</f>
        <v>0</v>
      </c>
      <c r="K434" s="70" t="str">
        <f>+IFERROR(VLOOKUP(CONCATENATE(A434,$B$10,B434),'3. Resultados'!B:J,8,FALSE),"-")</f>
        <v>-</v>
      </c>
      <c r="L434" s="69" t="str">
        <f>+IFERROR(VLOOKUP(B434,'3. Resultados'!K:L,2,FALSE),"-")</f>
        <v>-</v>
      </c>
      <c r="M434" s="70" t="str">
        <f>+IFERROR(VLOOKUP(CONCATENATE(A434,$B$10,B434),'3. Resultados'!B:J,9,FALSE),"-")</f>
        <v>-</v>
      </c>
      <c r="N434" s="24"/>
      <c r="O434" s="25" t="str">
        <f t="shared" si="7"/>
        <v>Por iniciar</v>
      </c>
      <c r="P434"/>
    </row>
    <row r="435" spans="1:16" ht="14.5">
      <c r="A435" s="18"/>
      <c r="B435" s="57"/>
      <c r="C435" s="57"/>
      <c r="D435" s="57"/>
      <c r="E435" s="57"/>
      <c r="F435" s="57"/>
      <c r="G435" s="57"/>
      <c r="H435" s="62" t="s">
        <v>60</v>
      </c>
      <c r="I435" s="19" t="s">
        <v>567</v>
      </c>
      <c r="J435" s="24">
        <f>+COUNTIFS('3. Resultados'!C:C,'1. Status'!H435,'3. Resultados'!G:G,'1. Status'!I435)</f>
        <v>0</v>
      </c>
      <c r="K435" s="70" t="str">
        <f>+IFERROR(VLOOKUP(CONCATENATE(A435,$B$10,B435),'3. Resultados'!B:J,8,FALSE),"-")</f>
        <v>-</v>
      </c>
      <c r="L435" s="69" t="str">
        <f>+IFERROR(VLOOKUP(B435,'3. Resultados'!K:L,2,FALSE),"-")</f>
        <v>-</v>
      </c>
      <c r="M435" s="70" t="str">
        <f>+IFERROR(VLOOKUP(CONCATENATE(A435,$B$10,B435),'3. Resultados'!B:J,9,FALSE),"-")</f>
        <v>-</v>
      </c>
      <c r="N435" s="24"/>
      <c r="O435" s="25" t="str">
        <f t="shared" si="7"/>
        <v>Por iniciar</v>
      </c>
      <c r="P435"/>
    </row>
    <row r="436" spans="1:16" ht="14.5">
      <c r="A436" s="18"/>
      <c r="B436" s="57"/>
      <c r="C436" s="57"/>
      <c r="D436" s="57"/>
      <c r="E436" s="57"/>
      <c r="F436" s="57"/>
      <c r="G436" s="57"/>
      <c r="H436" s="62" t="s">
        <v>60</v>
      </c>
      <c r="I436" s="19" t="s">
        <v>568</v>
      </c>
      <c r="J436" s="24">
        <f>+COUNTIFS('3. Resultados'!C:C,'1. Status'!H436,'3. Resultados'!G:G,'1. Status'!I436)</f>
        <v>0</v>
      </c>
      <c r="K436" s="70" t="str">
        <f>+IFERROR(VLOOKUP(CONCATENATE(A436,$B$10,B436),'3. Resultados'!B:J,8,FALSE),"-")</f>
        <v>-</v>
      </c>
      <c r="L436" s="69" t="str">
        <f>+IFERROR(VLOOKUP(B436,'3. Resultados'!K:L,2,FALSE),"-")</f>
        <v>-</v>
      </c>
      <c r="M436" s="70" t="str">
        <f>+IFERROR(VLOOKUP(CONCATENATE(A436,$B$10,B436),'3. Resultados'!B:J,9,FALSE),"-")</f>
        <v>-</v>
      </c>
      <c r="N436" s="24"/>
      <c r="O436" s="25" t="str">
        <f t="shared" si="7"/>
        <v>Por iniciar</v>
      </c>
      <c r="P436"/>
    </row>
    <row r="437" spans="1:16" ht="14.5">
      <c r="A437" s="18"/>
      <c r="B437" s="57"/>
      <c r="C437" s="57"/>
      <c r="D437" s="57"/>
      <c r="E437" s="57"/>
      <c r="F437" s="57"/>
      <c r="G437" s="57"/>
      <c r="H437" s="62" t="s">
        <v>60</v>
      </c>
      <c r="I437" s="19" t="s">
        <v>162</v>
      </c>
      <c r="J437" s="24">
        <f>+COUNTIFS('3. Resultados'!C:C,'1. Status'!H437,'3. Resultados'!G:G,'1. Status'!I437)</f>
        <v>0</v>
      </c>
      <c r="K437" s="70" t="str">
        <f>+IFERROR(VLOOKUP(CONCATENATE(A437,$B$10,B437),'3. Resultados'!B:J,8,FALSE),"-")</f>
        <v>-</v>
      </c>
      <c r="L437" s="69" t="str">
        <f>+IFERROR(VLOOKUP(B437,'3. Resultados'!K:L,2,FALSE),"-")</f>
        <v>-</v>
      </c>
      <c r="M437" s="70" t="str">
        <f>+IFERROR(VLOOKUP(CONCATENATE(A437,$B$10,B437),'3. Resultados'!B:J,9,FALSE),"-")</f>
        <v>-</v>
      </c>
      <c r="N437" s="24"/>
      <c r="O437" s="25" t="str">
        <f t="shared" si="7"/>
        <v>Por iniciar</v>
      </c>
      <c r="P437"/>
    </row>
    <row r="438" spans="1:16" ht="14.5">
      <c r="A438" s="18"/>
      <c r="B438" s="57"/>
      <c r="C438" s="57"/>
      <c r="D438" s="57"/>
      <c r="E438" s="57"/>
      <c r="F438" s="57"/>
      <c r="G438" s="57"/>
      <c r="H438" s="62" t="s">
        <v>60</v>
      </c>
      <c r="I438" s="19" t="s">
        <v>569</v>
      </c>
      <c r="J438" s="24">
        <f>+COUNTIFS('3. Resultados'!C:C,'1. Status'!H438,'3. Resultados'!G:G,'1. Status'!I438)</f>
        <v>0</v>
      </c>
      <c r="K438" s="70" t="str">
        <f>+IFERROR(VLOOKUP(CONCATENATE(A438,$B$10,B438),'3. Resultados'!B:J,8,FALSE),"-")</f>
        <v>-</v>
      </c>
      <c r="L438" s="69" t="str">
        <f>+IFERROR(VLOOKUP(B438,'3. Resultados'!K:L,2,FALSE),"-")</f>
        <v>-</v>
      </c>
      <c r="M438" s="70" t="str">
        <f>+IFERROR(VLOOKUP(CONCATENATE(A438,$B$10,B438),'3. Resultados'!B:J,9,FALSE),"-")</f>
        <v>-</v>
      </c>
      <c r="N438" s="24"/>
      <c r="O438" s="25" t="str">
        <f t="shared" si="7"/>
        <v>Por iniciar</v>
      </c>
      <c r="P438"/>
    </row>
    <row r="439" spans="1:16" ht="14.5">
      <c r="A439" s="18"/>
      <c r="B439" s="57"/>
      <c r="C439" s="57"/>
      <c r="D439" s="57"/>
      <c r="E439" s="57"/>
      <c r="F439" s="57"/>
      <c r="G439" s="57"/>
      <c r="H439" s="62" t="s">
        <v>60</v>
      </c>
      <c r="I439" s="19" t="s">
        <v>570</v>
      </c>
      <c r="J439" s="24">
        <f>+COUNTIFS('3. Resultados'!C:C,'1. Status'!H439,'3. Resultados'!G:G,'1. Status'!I439)</f>
        <v>0</v>
      </c>
      <c r="K439" s="70" t="str">
        <f>+IFERROR(VLOOKUP(CONCATENATE(A439,$B$10,B439),'3. Resultados'!B:J,8,FALSE),"-")</f>
        <v>-</v>
      </c>
      <c r="L439" s="69" t="str">
        <f>+IFERROR(VLOOKUP(B439,'3. Resultados'!K:L,2,FALSE),"-")</f>
        <v>-</v>
      </c>
      <c r="M439" s="70" t="str">
        <f>+IFERROR(VLOOKUP(CONCATENATE(A439,$B$10,B439),'3. Resultados'!B:J,9,FALSE),"-")</f>
        <v>-</v>
      </c>
      <c r="N439" s="24"/>
      <c r="O439" s="25" t="str">
        <f t="shared" si="7"/>
        <v>Por iniciar</v>
      </c>
      <c r="P439"/>
    </row>
    <row r="440" spans="1:16" ht="14.5">
      <c r="A440" s="18"/>
      <c r="B440" s="57"/>
      <c r="C440" s="57"/>
      <c r="D440" s="57"/>
      <c r="E440" s="57"/>
      <c r="F440" s="57"/>
      <c r="G440" s="57"/>
      <c r="H440" s="62" t="s">
        <v>60</v>
      </c>
      <c r="I440" s="19" t="s">
        <v>571</v>
      </c>
      <c r="J440" s="24">
        <f>+COUNTIFS('3. Resultados'!C:C,'1. Status'!H440,'3. Resultados'!G:G,'1. Status'!I440)</f>
        <v>0</v>
      </c>
      <c r="K440" s="70" t="str">
        <f>+IFERROR(VLOOKUP(CONCATENATE(A440,$B$10,B440),'3. Resultados'!B:J,8,FALSE),"-")</f>
        <v>-</v>
      </c>
      <c r="L440" s="69" t="str">
        <f>+IFERROR(VLOOKUP(B440,'3. Resultados'!K:L,2,FALSE),"-")</f>
        <v>-</v>
      </c>
      <c r="M440" s="70" t="str">
        <f>+IFERROR(VLOOKUP(CONCATENATE(A440,$B$10,B440),'3. Resultados'!B:J,9,FALSE),"-")</f>
        <v>-</v>
      </c>
      <c r="N440" s="24"/>
      <c r="O440" s="25" t="str">
        <f t="shared" si="7"/>
        <v>Por iniciar</v>
      </c>
      <c r="P440"/>
    </row>
    <row r="441" spans="1:16" ht="14.5">
      <c r="A441" s="18"/>
      <c r="B441" s="57"/>
      <c r="C441" s="57"/>
      <c r="D441" s="57"/>
      <c r="E441" s="57"/>
      <c r="F441" s="57"/>
      <c r="G441" s="57"/>
      <c r="H441" s="62" t="s">
        <v>60</v>
      </c>
      <c r="I441" s="19" t="s">
        <v>572</v>
      </c>
      <c r="J441" s="24">
        <f>+COUNTIFS('3. Resultados'!C:C,'1. Status'!H441,'3. Resultados'!G:G,'1. Status'!I441)</f>
        <v>0</v>
      </c>
      <c r="K441" s="70" t="str">
        <f>+IFERROR(VLOOKUP(CONCATENATE(A441,$B$10,B441),'3. Resultados'!B:J,8,FALSE),"-")</f>
        <v>-</v>
      </c>
      <c r="L441" s="69" t="str">
        <f>+IFERROR(VLOOKUP(B441,'3. Resultados'!K:L,2,FALSE),"-")</f>
        <v>-</v>
      </c>
      <c r="M441" s="70" t="str">
        <f>+IFERROR(VLOOKUP(CONCATENATE(A441,$B$10,B441),'3. Resultados'!B:J,9,FALSE),"-")</f>
        <v>-</v>
      </c>
      <c r="N441" s="24"/>
      <c r="O441" s="25" t="str">
        <f t="shared" si="7"/>
        <v>Por iniciar</v>
      </c>
      <c r="P441"/>
    </row>
    <row r="442" spans="1:16" ht="14.5">
      <c r="A442" s="18"/>
      <c r="B442" s="57"/>
      <c r="C442" s="57"/>
      <c r="D442" s="57"/>
      <c r="E442" s="57"/>
      <c r="F442" s="57"/>
      <c r="G442" s="57"/>
      <c r="H442" s="62" t="s">
        <v>60</v>
      </c>
      <c r="I442" s="19" t="s">
        <v>573</v>
      </c>
      <c r="J442" s="24">
        <f>+COUNTIFS('3. Resultados'!C:C,'1. Status'!H442,'3. Resultados'!G:G,'1. Status'!I442)</f>
        <v>0</v>
      </c>
      <c r="K442" s="70" t="str">
        <f>+IFERROR(VLOOKUP(CONCATENATE(A442,$B$10,B442),'3. Resultados'!B:J,8,FALSE),"-")</f>
        <v>-</v>
      </c>
      <c r="L442" s="69" t="str">
        <f>+IFERROR(VLOOKUP(B442,'3. Resultados'!K:L,2,FALSE),"-")</f>
        <v>-</v>
      </c>
      <c r="M442" s="70" t="str">
        <f>+IFERROR(VLOOKUP(CONCATENATE(A442,$B$10,B442),'3. Resultados'!B:J,9,FALSE),"-")</f>
        <v>-</v>
      </c>
      <c r="N442" s="24"/>
      <c r="O442" s="25" t="str">
        <f t="shared" si="7"/>
        <v>Por iniciar</v>
      </c>
      <c r="P442"/>
    </row>
    <row r="443" spans="1:16" ht="14.5">
      <c r="A443" s="18"/>
      <c r="B443" s="57"/>
      <c r="C443" s="57"/>
      <c r="D443" s="57"/>
      <c r="E443" s="57"/>
      <c r="F443" s="57"/>
      <c r="G443" s="57"/>
      <c r="H443" s="62" t="s">
        <v>60</v>
      </c>
      <c r="I443" s="19" t="s">
        <v>574</v>
      </c>
      <c r="J443" s="24">
        <f>+COUNTIFS('3. Resultados'!C:C,'1. Status'!H443,'3. Resultados'!G:G,'1. Status'!I443)</f>
        <v>0</v>
      </c>
      <c r="K443" s="70" t="str">
        <f>+IFERROR(VLOOKUP(CONCATENATE(A443,$B$10,B443),'3. Resultados'!B:J,8,FALSE),"-")</f>
        <v>-</v>
      </c>
      <c r="L443" s="69" t="str">
        <f>+IFERROR(VLOOKUP(B443,'3. Resultados'!K:L,2,FALSE),"-")</f>
        <v>-</v>
      </c>
      <c r="M443" s="70" t="str">
        <f>+IFERROR(VLOOKUP(CONCATENATE(A443,$B$10,B443),'3. Resultados'!B:J,9,FALSE),"-")</f>
        <v>-</v>
      </c>
      <c r="N443" s="24"/>
      <c r="O443" s="25" t="str">
        <f t="shared" si="7"/>
        <v>Por iniciar</v>
      </c>
      <c r="P443"/>
    </row>
    <row r="444" spans="1:16" ht="14.5">
      <c r="A444" s="18"/>
      <c r="B444" s="57"/>
      <c r="C444" s="57"/>
      <c r="D444" s="57"/>
      <c r="E444" s="57"/>
      <c r="F444" s="57"/>
      <c r="G444" s="57"/>
      <c r="H444" s="62" t="s">
        <v>60</v>
      </c>
      <c r="I444" s="19" t="s">
        <v>575</v>
      </c>
      <c r="J444" s="24">
        <f>+COUNTIFS('3. Resultados'!C:C,'1. Status'!H444,'3. Resultados'!G:G,'1. Status'!I444)</f>
        <v>0</v>
      </c>
      <c r="K444" s="70" t="str">
        <f>+IFERROR(VLOOKUP(CONCATENATE(A444,$B$10,B444),'3. Resultados'!B:J,8,FALSE),"-")</f>
        <v>-</v>
      </c>
      <c r="L444" s="69" t="str">
        <f>+IFERROR(VLOOKUP(B444,'3. Resultados'!K:L,2,FALSE),"-")</f>
        <v>-</v>
      </c>
      <c r="M444" s="70" t="str">
        <f>+IFERROR(VLOOKUP(CONCATENATE(A444,$B$10,B444),'3. Resultados'!B:J,9,FALSE),"-")</f>
        <v>-</v>
      </c>
      <c r="N444" s="24"/>
      <c r="O444" s="25" t="str">
        <f t="shared" si="7"/>
        <v>Por iniciar</v>
      </c>
      <c r="P444"/>
    </row>
    <row r="445" spans="1:16" ht="14.5">
      <c r="A445" s="18"/>
      <c r="B445" s="57"/>
      <c r="C445" s="57"/>
      <c r="D445" s="57"/>
      <c r="E445" s="57"/>
      <c r="F445" s="57"/>
      <c r="G445" s="57"/>
      <c r="H445" s="62" t="s">
        <v>60</v>
      </c>
      <c r="I445" s="19" t="s">
        <v>576</v>
      </c>
      <c r="J445" s="24">
        <f>+COUNTIFS('3. Resultados'!C:C,'1. Status'!H445,'3. Resultados'!G:G,'1. Status'!I445)</f>
        <v>0</v>
      </c>
      <c r="K445" s="70" t="str">
        <f>+IFERROR(VLOOKUP(CONCATENATE(A445,$B$10,B445),'3. Resultados'!B:J,8,FALSE),"-")</f>
        <v>-</v>
      </c>
      <c r="L445" s="69" t="str">
        <f>+IFERROR(VLOOKUP(B445,'3. Resultados'!K:L,2,FALSE),"-")</f>
        <v>-</v>
      </c>
      <c r="M445" s="70" t="str">
        <f>+IFERROR(VLOOKUP(CONCATENATE(A445,$B$10,B445),'3. Resultados'!B:J,9,FALSE),"-")</f>
        <v>-</v>
      </c>
      <c r="N445" s="24"/>
      <c r="O445" s="25" t="str">
        <f t="shared" si="7"/>
        <v>Por iniciar</v>
      </c>
      <c r="P445"/>
    </row>
    <row r="446" spans="1:16" ht="14.5">
      <c r="A446" s="18"/>
      <c r="B446" s="57"/>
      <c r="C446" s="57"/>
      <c r="D446" s="57"/>
      <c r="E446" s="57"/>
      <c r="F446" s="57"/>
      <c r="G446" s="57"/>
      <c r="H446" s="62" t="s">
        <v>60</v>
      </c>
      <c r="I446" s="19" t="s">
        <v>332</v>
      </c>
      <c r="J446" s="24">
        <f>+COUNTIFS('3. Resultados'!C:C,'1. Status'!H446,'3. Resultados'!G:G,'1. Status'!I446)</f>
        <v>0</v>
      </c>
      <c r="K446" s="70" t="str">
        <f>+IFERROR(VLOOKUP(CONCATENATE(A446,$B$10,B446),'3. Resultados'!B:J,8,FALSE),"-")</f>
        <v>-</v>
      </c>
      <c r="L446" s="69" t="str">
        <f>+IFERROR(VLOOKUP(B446,'3. Resultados'!K:L,2,FALSE),"-")</f>
        <v>-</v>
      </c>
      <c r="M446" s="70" t="str">
        <f>+IFERROR(VLOOKUP(CONCATENATE(A446,$B$10,B446),'3. Resultados'!B:J,9,FALSE),"-")</f>
        <v>-</v>
      </c>
      <c r="N446" s="24"/>
      <c r="O446" s="25" t="str">
        <f t="shared" si="7"/>
        <v>Por iniciar</v>
      </c>
      <c r="P446"/>
    </row>
    <row r="447" spans="1:16" ht="14.5">
      <c r="A447" s="18"/>
      <c r="B447" s="57"/>
      <c r="C447" s="57"/>
      <c r="D447" s="57"/>
      <c r="E447" s="57"/>
      <c r="F447" s="57"/>
      <c r="G447" s="57"/>
      <c r="H447" s="62" t="s">
        <v>60</v>
      </c>
      <c r="I447" s="19" t="s">
        <v>335</v>
      </c>
      <c r="J447" s="24">
        <f>+COUNTIFS('3. Resultados'!C:C,'1. Status'!H447,'3. Resultados'!G:G,'1. Status'!I447)</f>
        <v>0</v>
      </c>
      <c r="K447" s="70" t="str">
        <f>+IFERROR(VLOOKUP(CONCATENATE(A447,$B$10,B447),'3. Resultados'!B:J,8,FALSE),"-")</f>
        <v>-</v>
      </c>
      <c r="L447" s="69" t="str">
        <f>+IFERROR(VLOOKUP(B447,'3. Resultados'!K:L,2,FALSE),"-")</f>
        <v>-</v>
      </c>
      <c r="M447" s="70" t="str">
        <f>+IFERROR(VLOOKUP(CONCATENATE(A447,$B$10,B447),'3. Resultados'!B:J,9,FALSE),"-")</f>
        <v>-</v>
      </c>
      <c r="N447" s="24"/>
      <c r="O447" s="25" t="str">
        <f t="shared" si="7"/>
        <v>Por iniciar</v>
      </c>
      <c r="P447"/>
    </row>
    <row r="448" spans="1:16" ht="14.5">
      <c r="A448" s="18"/>
      <c r="B448" s="57"/>
      <c r="C448" s="57"/>
      <c r="D448" s="57"/>
      <c r="E448" s="57"/>
      <c r="F448" s="57"/>
      <c r="G448" s="57"/>
      <c r="H448" s="62" t="s">
        <v>60</v>
      </c>
      <c r="I448" s="19" t="s">
        <v>336</v>
      </c>
      <c r="J448" s="24">
        <f>+COUNTIFS('3. Resultados'!C:C,'1. Status'!H448,'3. Resultados'!G:G,'1. Status'!I448)</f>
        <v>0</v>
      </c>
      <c r="K448" s="70" t="str">
        <f>+IFERROR(VLOOKUP(CONCATENATE(A448,$B$10,B448),'3. Resultados'!B:J,8,FALSE),"-")</f>
        <v>-</v>
      </c>
      <c r="L448" s="69" t="str">
        <f>+IFERROR(VLOOKUP(B448,'3. Resultados'!K:L,2,FALSE),"-")</f>
        <v>-</v>
      </c>
      <c r="M448" s="70" t="str">
        <f>+IFERROR(VLOOKUP(CONCATENATE(A448,$B$10,B448),'3. Resultados'!B:J,9,FALSE),"-")</f>
        <v>-</v>
      </c>
      <c r="N448" s="24"/>
      <c r="O448" s="25" t="str">
        <f t="shared" si="7"/>
        <v>Por iniciar</v>
      </c>
      <c r="P448"/>
    </row>
    <row r="449" spans="1:16" ht="14.5">
      <c r="A449" s="18"/>
      <c r="B449" s="57"/>
      <c r="C449" s="57"/>
      <c r="D449" s="57"/>
      <c r="E449" s="57"/>
      <c r="F449" s="57"/>
      <c r="G449" s="57"/>
      <c r="H449" s="62" t="s">
        <v>60</v>
      </c>
      <c r="I449" s="19" t="s">
        <v>347</v>
      </c>
      <c r="J449" s="24">
        <f>+COUNTIFS('3. Resultados'!C:C,'1. Status'!H449,'3. Resultados'!G:G,'1. Status'!I449)</f>
        <v>0</v>
      </c>
      <c r="K449" s="70" t="str">
        <f>+IFERROR(VLOOKUP(CONCATENATE(A449,$B$10,B449),'3. Resultados'!B:J,8,FALSE),"-")</f>
        <v>-</v>
      </c>
      <c r="L449" s="69" t="str">
        <f>+IFERROR(VLOOKUP(B449,'3. Resultados'!K:L,2,FALSE),"-")</f>
        <v>-</v>
      </c>
      <c r="M449" s="70" t="str">
        <f>+IFERROR(VLOOKUP(CONCATENATE(A449,$B$10,B449),'3. Resultados'!B:J,9,FALSE),"-")</f>
        <v>-</v>
      </c>
      <c r="N449" s="24"/>
      <c r="O449" s="25" t="str">
        <f t="shared" si="7"/>
        <v>Por iniciar</v>
      </c>
      <c r="P449"/>
    </row>
    <row r="450" spans="1:16" ht="14.5">
      <c r="A450" s="18"/>
      <c r="B450" s="57"/>
      <c r="C450" s="57"/>
      <c r="D450" s="57"/>
      <c r="E450" s="57"/>
      <c r="F450" s="57"/>
      <c r="G450" s="57"/>
      <c r="H450" s="62" t="s">
        <v>60</v>
      </c>
      <c r="I450" s="19" t="s">
        <v>348</v>
      </c>
      <c r="J450" s="24">
        <f>+COUNTIFS('3. Resultados'!C:C,'1. Status'!H450,'3. Resultados'!G:G,'1. Status'!I450)</f>
        <v>0</v>
      </c>
      <c r="K450" s="70" t="str">
        <f>+IFERROR(VLOOKUP(CONCATENATE(A450,$B$10,B450),'3. Resultados'!B:J,8,FALSE),"-")</f>
        <v>-</v>
      </c>
      <c r="L450" s="69" t="str">
        <f>+IFERROR(VLOOKUP(B450,'3. Resultados'!K:L,2,FALSE),"-")</f>
        <v>-</v>
      </c>
      <c r="M450" s="70" t="str">
        <f>+IFERROR(VLOOKUP(CONCATENATE(A450,$B$10,B450),'3. Resultados'!B:J,9,FALSE),"-")</f>
        <v>-</v>
      </c>
      <c r="N450" s="24"/>
      <c r="O450" s="25" t="str">
        <f t="shared" si="7"/>
        <v>Por iniciar</v>
      </c>
      <c r="P450"/>
    </row>
    <row r="451" spans="1:16" ht="14.5">
      <c r="A451" s="18"/>
      <c r="B451" s="57"/>
      <c r="C451" s="57"/>
      <c r="D451" s="57"/>
      <c r="E451" s="57"/>
      <c r="F451" s="57"/>
      <c r="G451" s="57"/>
      <c r="H451" s="62" t="s">
        <v>60</v>
      </c>
      <c r="I451" s="19" t="s">
        <v>349</v>
      </c>
      <c r="J451" s="24">
        <f>+COUNTIFS('3. Resultados'!C:C,'1. Status'!H451,'3. Resultados'!G:G,'1. Status'!I451)</f>
        <v>0</v>
      </c>
      <c r="K451" s="70" t="str">
        <f>+IFERROR(VLOOKUP(CONCATENATE(A451,$B$10,B451),'3. Resultados'!B:J,8,FALSE),"-")</f>
        <v>-</v>
      </c>
      <c r="L451" s="69" t="str">
        <f>+IFERROR(VLOOKUP(B451,'3. Resultados'!K:L,2,FALSE),"-")</f>
        <v>-</v>
      </c>
      <c r="M451" s="70" t="str">
        <f>+IFERROR(VLOOKUP(CONCATENATE(A451,$B$10,B451),'3. Resultados'!B:J,9,FALSE),"-")</f>
        <v>-</v>
      </c>
      <c r="N451" s="24"/>
      <c r="O451" s="25" t="str">
        <f t="shared" si="7"/>
        <v>Por iniciar</v>
      </c>
      <c r="P451"/>
    </row>
    <row r="452" spans="1:16" ht="14.5">
      <c r="A452" s="18"/>
      <c r="B452" s="57"/>
      <c r="C452" s="57"/>
      <c r="D452" s="57"/>
      <c r="E452" s="57"/>
      <c r="F452" s="57"/>
      <c r="G452" s="57"/>
      <c r="H452" s="62" t="s">
        <v>60</v>
      </c>
      <c r="I452" s="19" t="s">
        <v>350</v>
      </c>
      <c r="J452" s="24">
        <f>+COUNTIFS('3. Resultados'!C:C,'1. Status'!H452,'3. Resultados'!G:G,'1. Status'!I452)</f>
        <v>0</v>
      </c>
      <c r="K452" s="70" t="str">
        <f>+IFERROR(VLOOKUP(CONCATENATE(A452,$B$10,B452),'3. Resultados'!B:J,8,FALSE),"-")</f>
        <v>-</v>
      </c>
      <c r="L452" s="69" t="str">
        <f>+IFERROR(VLOOKUP(B452,'3. Resultados'!K:L,2,FALSE),"-")</f>
        <v>-</v>
      </c>
      <c r="M452" s="70" t="str">
        <f>+IFERROR(VLOOKUP(CONCATENATE(A452,$B$10,B452),'3. Resultados'!B:J,9,FALSE),"-")</f>
        <v>-</v>
      </c>
      <c r="N452" s="24"/>
      <c r="O452" s="25" t="str">
        <f t="shared" si="7"/>
        <v>Por iniciar</v>
      </c>
      <c r="P452"/>
    </row>
    <row r="453" spans="1:16" ht="14.5">
      <c r="A453" s="18"/>
      <c r="B453" s="57"/>
      <c r="C453" s="57"/>
      <c r="D453" s="57"/>
      <c r="E453" s="57"/>
      <c r="F453" s="57"/>
      <c r="G453" s="57"/>
      <c r="H453" s="62" t="s">
        <v>60</v>
      </c>
      <c r="I453" s="19" t="s">
        <v>351</v>
      </c>
      <c r="J453" s="24">
        <f>+COUNTIFS('3. Resultados'!C:C,'1. Status'!H453,'3. Resultados'!G:G,'1. Status'!I453)</f>
        <v>0</v>
      </c>
      <c r="K453" s="70" t="str">
        <f>+IFERROR(VLOOKUP(CONCATENATE(A453,$B$10,B453),'3. Resultados'!B:J,8,FALSE),"-")</f>
        <v>-</v>
      </c>
      <c r="L453" s="69" t="str">
        <f>+IFERROR(VLOOKUP(B453,'3. Resultados'!K:L,2,FALSE),"-")</f>
        <v>-</v>
      </c>
      <c r="M453" s="70" t="str">
        <f>+IFERROR(VLOOKUP(CONCATENATE(A453,$B$10,B453),'3. Resultados'!B:J,9,FALSE),"-")</f>
        <v>-</v>
      </c>
      <c r="N453" s="24"/>
      <c r="O453" s="25" t="str">
        <f t="shared" si="7"/>
        <v>Por iniciar</v>
      </c>
      <c r="P453"/>
    </row>
    <row r="454" spans="1:16" ht="14.5">
      <c r="A454" s="18"/>
      <c r="B454" s="57"/>
      <c r="C454" s="57"/>
      <c r="D454" s="57"/>
      <c r="E454" s="57"/>
      <c r="F454" s="57"/>
      <c r="G454" s="57"/>
      <c r="H454" s="62" t="s">
        <v>60</v>
      </c>
      <c r="I454" s="19" t="s">
        <v>352</v>
      </c>
      <c r="J454" s="24">
        <f>+COUNTIFS('3. Resultados'!C:C,'1. Status'!H454,'3. Resultados'!G:G,'1. Status'!I454)</f>
        <v>0</v>
      </c>
      <c r="K454" s="70" t="str">
        <f>+IFERROR(VLOOKUP(CONCATENATE(A454,$B$10,B454),'3. Resultados'!B:J,8,FALSE),"-")</f>
        <v>-</v>
      </c>
      <c r="L454" s="69" t="str">
        <f>+IFERROR(VLOOKUP(B454,'3. Resultados'!K:L,2,FALSE),"-")</f>
        <v>-</v>
      </c>
      <c r="M454" s="70" t="str">
        <f>+IFERROR(VLOOKUP(CONCATENATE(A454,$B$10,B454),'3. Resultados'!B:J,9,FALSE),"-")</f>
        <v>-</v>
      </c>
      <c r="N454" s="24"/>
      <c r="O454" s="25" t="str">
        <f t="shared" si="7"/>
        <v>Por iniciar</v>
      </c>
      <c r="P454"/>
    </row>
    <row r="455" spans="1:16" ht="14.5">
      <c r="A455" s="18"/>
      <c r="B455" s="57"/>
      <c r="C455" s="57"/>
      <c r="D455" s="57"/>
      <c r="E455" s="57"/>
      <c r="F455" s="57"/>
      <c r="G455" s="57"/>
      <c r="H455" s="62" t="s">
        <v>60</v>
      </c>
      <c r="I455" s="19" t="s">
        <v>353</v>
      </c>
      <c r="J455" s="24">
        <f>+COUNTIFS('3. Resultados'!C:C,'1. Status'!H455,'3. Resultados'!G:G,'1. Status'!I455)</f>
        <v>0</v>
      </c>
      <c r="K455" s="70" t="str">
        <f>+IFERROR(VLOOKUP(CONCATENATE(A455,$B$10,B455),'3. Resultados'!B:J,8,FALSE),"-")</f>
        <v>-</v>
      </c>
      <c r="L455" s="69" t="str">
        <f>+IFERROR(VLOOKUP(B455,'3. Resultados'!K:L,2,FALSE),"-")</f>
        <v>-</v>
      </c>
      <c r="M455" s="70" t="str">
        <f>+IFERROR(VLOOKUP(CONCATENATE(A455,$B$10,B455),'3. Resultados'!B:J,9,FALSE),"-")</f>
        <v>-</v>
      </c>
      <c r="N455" s="24"/>
      <c r="O455" s="25" t="str">
        <f t="shared" si="7"/>
        <v>Por iniciar</v>
      </c>
      <c r="P455"/>
    </row>
    <row r="456" spans="1:16" ht="14.5">
      <c r="A456" s="18"/>
      <c r="B456" s="57"/>
      <c r="C456" s="57"/>
      <c r="D456" s="57"/>
      <c r="E456" s="57"/>
      <c r="F456" s="57"/>
      <c r="G456" s="57"/>
      <c r="H456" s="62" t="s">
        <v>60</v>
      </c>
      <c r="I456" s="19" t="s">
        <v>354</v>
      </c>
      <c r="J456" s="24">
        <f>+COUNTIFS('3. Resultados'!C:C,'1. Status'!H456,'3. Resultados'!G:G,'1. Status'!I456)</f>
        <v>0</v>
      </c>
      <c r="K456" s="70" t="str">
        <f>+IFERROR(VLOOKUP(CONCATENATE(A456,$B$10,B456),'3. Resultados'!B:J,8,FALSE),"-")</f>
        <v>-</v>
      </c>
      <c r="L456" s="69" t="str">
        <f>+IFERROR(VLOOKUP(B456,'3. Resultados'!K:L,2,FALSE),"-")</f>
        <v>-</v>
      </c>
      <c r="M456" s="70" t="str">
        <f>+IFERROR(VLOOKUP(CONCATENATE(A456,$B$10,B456),'3. Resultados'!B:J,9,FALSE),"-")</f>
        <v>-</v>
      </c>
      <c r="N456" s="24"/>
      <c r="O456" s="25" t="str">
        <f t="shared" si="7"/>
        <v>Por iniciar</v>
      </c>
      <c r="P456"/>
    </row>
    <row r="457" spans="1:16" ht="14.5">
      <c r="A457" s="18"/>
      <c r="B457" s="57"/>
      <c r="C457" s="57"/>
      <c r="D457" s="57"/>
      <c r="E457" s="57"/>
      <c r="F457" s="57"/>
      <c r="G457" s="57"/>
      <c r="H457" s="62" t="s">
        <v>60</v>
      </c>
      <c r="I457" s="19" t="s">
        <v>355</v>
      </c>
      <c r="J457" s="24">
        <f>+COUNTIFS('3. Resultados'!C:C,'1. Status'!H457,'3. Resultados'!G:G,'1. Status'!I457)</f>
        <v>0</v>
      </c>
      <c r="K457" s="70" t="str">
        <f>+IFERROR(VLOOKUP(CONCATENATE(A457,$B$10,B457),'3. Resultados'!B:J,8,FALSE),"-")</f>
        <v>-</v>
      </c>
      <c r="L457" s="69" t="str">
        <f>+IFERROR(VLOOKUP(B457,'3. Resultados'!K:L,2,FALSE),"-")</f>
        <v>-</v>
      </c>
      <c r="M457" s="70" t="str">
        <f>+IFERROR(VLOOKUP(CONCATENATE(A457,$B$10,B457),'3. Resultados'!B:J,9,FALSE),"-")</f>
        <v>-</v>
      </c>
      <c r="N457" s="24"/>
      <c r="O457" s="25" t="str">
        <f t="shared" si="7"/>
        <v>Por iniciar</v>
      </c>
      <c r="P457"/>
    </row>
    <row r="458" spans="1:16" ht="14.5">
      <c r="A458" s="18"/>
      <c r="B458" s="57"/>
      <c r="C458" s="57"/>
      <c r="D458" s="57"/>
      <c r="E458" s="57"/>
      <c r="F458" s="57"/>
      <c r="G458" s="57"/>
      <c r="H458" s="62" t="s">
        <v>60</v>
      </c>
      <c r="I458" s="19" t="s">
        <v>356</v>
      </c>
      <c r="J458" s="24">
        <f>+COUNTIFS('3. Resultados'!C:C,'1. Status'!H458,'3. Resultados'!G:G,'1. Status'!I458)</f>
        <v>0</v>
      </c>
      <c r="K458" s="70" t="str">
        <f>+IFERROR(VLOOKUP(CONCATENATE(A458,$B$10,B458),'3. Resultados'!B:J,8,FALSE),"-")</f>
        <v>-</v>
      </c>
      <c r="L458" s="69" t="str">
        <f>+IFERROR(VLOOKUP(B458,'3. Resultados'!K:L,2,FALSE),"-")</f>
        <v>-</v>
      </c>
      <c r="M458" s="70" t="str">
        <f>+IFERROR(VLOOKUP(CONCATENATE(A458,$B$10,B458),'3. Resultados'!B:J,9,FALSE),"-")</f>
        <v>-</v>
      </c>
      <c r="N458" s="24"/>
      <c r="O458" s="25" t="str">
        <f t="shared" si="7"/>
        <v>Por iniciar</v>
      </c>
      <c r="P458"/>
    </row>
    <row r="459" spans="1:16" ht="14.5">
      <c r="A459" s="18"/>
      <c r="B459" s="57"/>
      <c r="C459" s="57"/>
      <c r="D459" s="57"/>
      <c r="E459" s="57"/>
      <c r="F459" s="57"/>
      <c r="G459" s="57"/>
      <c r="H459" s="62" t="s">
        <v>60</v>
      </c>
      <c r="I459" s="19" t="s">
        <v>577</v>
      </c>
      <c r="J459" s="24">
        <f>+COUNTIFS('3. Resultados'!C:C,'1. Status'!H459,'3. Resultados'!G:G,'1. Status'!I459)</f>
        <v>0</v>
      </c>
      <c r="K459" s="70" t="str">
        <f>+IFERROR(VLOOKUP(CONCATENATE(A459,$B$10,B459),'3. Resultados'!B:J,8,FALSE),"-")</f>
        <v>-</v>
      </c>
      <c r="L459" s="69" t="str">
        <f>+IFERROR(VLOOKUP(B459,'3. Resultados'!K:L,2,FALSE),"-")</f>
        <v>-</v>
      </c>
      <c r="M459" s="70" t="str">
        <f>+IFERROR(VLOOKUP(CONCATENATE(A459,$B$10,B459),'3. Resultados'!B:J,9,FALSE),"-")</f>
        <v>-</v>
      </c>
      <c r="N459" s="24"/>
      <c r="O459" s="25" t="str">
        <f t="shared" si="7"/>
        <v>Por iniciar</v>
      </c>
      <c r="P459"/>
    </row>
    <row r="460" spans="1:16" ht="14.5">
      <c r="A460" s="18"/>
      <c r="B460" s="57"/>
      <c r="C460" s="57"/>
      <c r="D460" s="57"/>
      <c r="E460" s="57"/>
      <c r="F460" s="57"/>
      <c r="G460" s="57"/>
      <c r="H460" s="62" t="s">
        <v>60</v>
      </c>
      <c r="I460" s="19" t="s">
        <v>578</v>
      </c>
      <c r="J460" s="24">
        <f>+COUNTIFS('3. Resultados'!C:C,'1. Status'!H460,'3. Resultados'!G:G,'1. Status'!I460)</f>
        <v>0</v>
      </c>
      <c r="K460" s="70" t="str">
        <f>+IFERROR(VLOOKUP(CONCATENATE(A460,$B$10,B460),'3. Resultados'!B:J,8,FALSE),"-")</f>
        <v>-</v>
      </c>
      <c r="L460" s="69" t="str">
        <f>+IFERROR(VLOOKUP(B460,'3. Resultados'!K:L,2,FALSE),"-")</f>
        <v>-</v>
      </c>
      <c r="M460" s="70" t="str">
        <f>+IFERROR(VLOOKUP(CONCATENATE(A460,$B$10,B460),'3. Resultados'!B:J,9,FALSE),"-")</f>
        <v>-</v>
      </c>
      <c r="N460" s="24"/>
      <c r="O460" s="25" t="str">
        <f t="shared" ref="O460:O523" si="8">+IF(J460=0,"Por iniciar",IF(OR(K460="-",M460="-"),"Em testes",IF(M460=0,"OK","NOK")))</f>
        <v>Por iniciar</v>
      </c>
      <c r="P460"/>
    </row>
    <row r="461" spans="1:16" ht="14.5">
      <c r="A461" s="18"/>
      <c r="B461" s="57"/>
      <c r="C461" s="57"/>
      <c r="D461" s="57"/>
      <c r="E461" s="57"/>
      <c r="F461" s="57"/>
      <c r="G461" s="57"/>
      <c r="H461" s="62" t="s">
        <v>60</v>
      </c>
      <c r="I461" s="19" t="s">
        <v>149</v>
      </c>
      <c r="J461" s="24">
        <f>+COUNTIFS('3. Resultados'!C:C,'1. Status'!H461,'3. Resultados'!G:G,'1. Status'!I461)</f>
        <v>0</v>
      </c>
      <c r="K461" s="70" t="str">
        <f>+IFERROR(VLOOKUP(CONCATENATE(A461,$B$10,B461),'3. Resultados'!B:J,8,FALSE),"-")</f>
        <v>-</v>
      </c>
      <c r="L461" s="69" t="str">
        <f>+IFERROR(VLOOKUP(B461,'3. Resultados'!K:L,2,FALSE),"-")</f>
        <v>-</v>
      </c>
      <c r="M461" s="70" t="str">
        <f>+IFERROR(VLOOKUP(CONCATENATE(A461,$B$10,B461),'3. Resultados'!B:J,9,FALSE),"-")</f>
        <v>-</v>
      </c>
      <c r="N461" s="24"/>
      <c r="O461" s="25" t="str">
        <f t="shared" si="8"/>
        <v>Por iniciar</v>
      </c>
      <c r="P461"/>
    </row>
    <row r="462" spans="1:16" ht="14.5">
      <c r="A462" s="18"/>
      <c r="B462" s="57"/>
      <c r="C462" s="57"/>
      <c r="D462" s="57"/>
      <c r="E462" s="57"/>
      <c r="F462" s="57"/>
      <c r="G462" s="57"/>
      <c r="H462" s="62" t="s">
        <v>60</v>
      </c>
      <c r="I462" s="19" t="s">
        <v>579</v>
      </c>
      <c r="J462" s="24">
        <f>+COUNTIFS('3. Resultados'!C:C,'1. Status'!H462,'3. Resultados'!G:G,'1. Status'!I462)</f>
        <v>0</v>
      </c>
      <c r="K462" s="70" t="str">
        <f>+IFERROR(VLOOKUP(CONCATENATE(A462,$B$10,B462),'3. Resultados'!B:J,8,FALSE),"-")</f>
        <v>-</v>
      </c>
      <c r="L462" s="69" t="str">
        <f>+IFERROR(VLOOKUP(B462,'3. Resultados'!K:L,2,FALSE),"-")</f>
        <v>-</v>
      </c>
      <c r="M462" s="70" t="str">
        <f>+IFERROR(VLOOKUP(CONCATENATE(A462,$B$10,B462),'3. Resultados'!B:J,9,FALSE),"-")</f>
        <v>-</v>
      </c>
      <c r="N462" s="24"/>
      <c r="O462" s="25" t="str">
        <f t="shared" si="8"/>
        <v>Por iniciar</v>
      </c>
      <c r="P462"/>
    </row>
    <row r="463" spans="1:16" ht="14.5">
      <c r="A463" s="18"/>
      <c r="B463" s="57"/>
      <c r="C463" s="57"/>
      <c r="D463" s="57"/>
      <c r="E463" s="57"/>
      <c r="F463" s="57"/>
      <c r="G463" s="57"/>
      <c r="H463" s="62" t="s">
        <v>60</v>
      </c>
      <c r="I463" s="19" t="s">
        <v>580</v>
      </c>
      <c r="J463" s="24">
        <f>+COUNTIFS('3. Resultados'!C:C,'1. Status'!H463,'3. Resultados'!G:G,'1. Status'!I463)</f>
        <v>0</v>
      </c>
      <c r="K463" s="70" t="str">
        <f>+IFERROR(VLOOKUP(CONCATENATE(A463,$B$10,B463),'3. Resultados'!B:J,8,FALSE),"-")</f>
        <v>-</v>
      </c>
      <c r="L463" s="69" t="str">
        <f>+IFERROR(VLOOKUP(B463,'3. Resultados'!K:L,2,FALSE),"-")</f>
        <v>-</v>
      </c>
      <c r="M463" s="70" t="str">
        <f>+IFERROR(VLOOKUP(CONCATENATE(A463,$B$10,B463),'3. Resultados'!B:J,9,FALSE),"-")</f>
        <v>-</v>
      </c>
      <c r="N463" s="24"/>
      <c r="O463" s="25" t="str">
        <f t="shared" si="8"/>
        <v>Por iniciar</v>
      </c>
      <c r="P463"/>
    </row>
    <row r="464" spans="1:16" ht="14.5">
      <c r="A464" s="18"/>
      <c r="B464" s="57"/>
      <c r="C464" s="57"/>
      <c r="D464" s="57"/>
      <c r="E464" s="57"/>
      <c r="F464" s="57"/>
      <c r="G464" s="57"/>
      <c r="H464" s="62" t="s">
        <v>60</v>
      </c>
      <c r="I464" s="19" t="s">
        <v>581</v>
      </c>
      <c r="J464" s="24">
        <f>+COUNTIFS('3. Resultados'!C:C,'1. Status'!H464,'3. Resultados'!G:G,'1. Status'!I464)</f>
        <v>0</v>
      </c>
      <c r="K464" s="70" t="str">
        <f>+IFERROR(VLOOKUP(CONCATENATE(A464,$B$10,B464),'3. Resultados'!B:J,8,FALSE),"-")</f>
        <v>-</v>
      </c>
      <c r="L464" s="69" t="str">
        <f>+IFERROR(VLOOKUP(B464,'3. Resultados'!K:L,2,FALSE),"-")</f>
        <v>-</v>
      </c>
      <c r="M464" s="70" t="str">
        <f>+IFERROR(VLOOKUP(CONCATENATE(A464,$B$10,B464),'3. Resultados'!B:J,9,FALSE),"-")</f>
        <v>-</v>
      </c>
      <c r="N464" s="24"/>
      <c r="O464" s="25" t="str">
        <f t="shared" si="8"/>
        <v>Por iniciar</v>
      </c>
      <c r="P464"/>
    </row>
    <row r="465" spans="1:16" ht="14.5">
      <c r="A465" s="18"/>
      <c r="B465" s="57"/>
      <c r="C465" s="57"/>
      <c r="D465" s="57"/>
      <c r="E465" s="57"/>
      <c r="F465" s="57"/>
      <c r="G465" s="57"/>
      <c r="H465" s="62" t="s">
        <v>60</v>
      </c>
      <c r="I465" s="19" t="s">
        <v>333</v>
      </c>
      <c r="J465" s="24">
        <f>+COUNTIFS('3. Resultados'!C:C,'1. Status'!H465,'3. Resultados'!G:G,'1. Status'!I465)</f>
        <v>0</v>
      </c>
      <c r="K465" s="70" t="str">
        <f>+IFERROR(VLOOKUP(CONCATENATE(A465,$B$10,B465),'3. Resultados'!B:J,8,FALSE),"-")</f>
        <v>-</v>
      </c>
      <c r="L465" s="69" t="str">
        <f>+IFERROR(VLOOKUP(B465,'3. Resultados'!K:L,2,FALSE),"-")</f>
        <v>-</v>
      </c>
      <c r="M465" s="70" t="str">
        <f>+IFERROR(VLOOKUP(CONCATENATE(A465,$B$10,B465),'3. Resultados'!B:J,9,FALSE),"-")</f>
        <v>-</v>
      </c>
      <c r="N465" s="24"/>
      <c r="O465" s="25" t="str">
        <f t="shared" si="8"/>
        <v>Por iniciar</v>
      </c>
      <c r="P465"/>
    </row>
    <row r="466" spans="1:16" ht="14.5">
      <c r="A466" s="18"/>
      <c r="B466" s="57"/>
      <c r="C466" s="57"/>
      <c r="D466" s="57"/>
      <c r="E466" s="57"/>
      <c r="F466" s="57"/>
      <c r="G466" s="57"/>
      <c r="H466" s="62" t="s">
        <v>60</v>
      </c>
      <c r="I466" s="19" t="s">
        <v>176</v>
      </c>
      <c r="J466" s="24">
        <f>+COUNTIFS('3. Resultados'!C:C,'1. Status'!H466,'3. Resultados'!G:G,'1. Status'!I466)</f>
        <v>0</v>
      </c>
      <c r="K466" s="70" t="str">
        <f>+IFERROR(VLOOKUP(CONCATENATE(A466,$B$10,B466),'3. Resultados'!B:J,8,FALSE),"-")</f>
        <v>-</v>
      </c>
      <c r="L466" s="69" t="str">
        <f>+IFERROR(VLOOKUP(B466,'3. Resultados'!K:L,2,FALSE),"-")</f>
        <v>-</v>
      </c>
      <c r="M466" s="70" t="str">
        <f>+IFERROR(VLOOKUP(CONCATENATE(A466,$B$10,B466),'3. Resultados'!B:J,9,FALSE),"-")</f>
        <v>-</v>
      </c>
      <c r="N466" s="24"/>
      <c r="O466" s="25" t="str">
        <f t="shared" si="8"/>
        <v>Por iniciar</v>
      </c>
      <c r="P466"/>
    </row>
    <row r="467" spans="1:16" ht="14.5">
      <c r="A467" s="18"/>
      <c r="B467" s="57"/>
      <c r="C467" s="57"/>
      <c r="D467" s="57"/>
      <c r="E467" s="57"/>
      <c r="F467" s="57"/>
      <c r="G467" s="57"/>
      <c r="H467" s="62" t="s">
        <v>60</v>
      </c>
      <c r="I467" s="19" t="s">
        <v>177</v>
      </c>
      <c r="J467" s="24">
        <f>+COUNTIFS('3. Resultados'!C:C,'1. Status'!H467,'3. Resultados'!G:G,'1. Status'!I467)</f>
        <v>0</v>
      </c>
      <c r="K467" s="70" t="str">
        <f>+IFERROR(VLOOKUP(CONCATENATE(A467,$B$10,B467),'3. Resultados'!B:J,8,FALSE),"-")</f>
        <v>-</v>
      </c>
      <c r="L467" s="69" t="str">
        <f>+IFERROR(VLOOKUP(B467,'3. Resultados'!K:L,2,FALSE),"-")</f>
        <v>-</v>
      </c>
      <c r="M467" s="70" t="str">
        <f>+IFERROR(VLOOKUP(CONCATENATE(A467,$B$10,B467),'3. Resultados'!B:J,9,FALSE),"-")</f>
        <v>-</v>
      </c>
      <c r="N467" s="24"/>
      <c r="O467" s="25" t="str">
        <f t="shared" si="8"/>
        <v>Por iniciar</v>
      </c>
      <c r="P467"/>
    </row>
    <row r="468" spans="1:16" ht="14.5">
      <c r="A468" s="18"/>
      <c r="B468" s="57"/>
      <c r="C468" s="57"/>
      <c r="D468" s="57"/>
      <c r="E468" s="57"/>
      <c r="F468" s="57"/>
      <c r="G468" s="57"/>
      <c r="H468" s="62" t="s">
        <v>60</v>
      </c>
      <c r="I468" s="19" t="s">
        <v>582</v>
      </c>
      <c r="J468" s="24">
        <f>+COUNTIFS('3. Resultados'!C:C,'1. Status'!H468,'3. Resultados'!G:G,'1. Status'!I468)</f>
        <v>0</v>
      </c>
      <c r="K468" s="70" t="str">
        <f>+IFERROR(VLOOKUP(CONCATENATE(A468,$B$10,B468),'3. Resultados'!B:J,8,FALSE),"-")</f>
        <v>-</v>
      </c>
      <c r="L468" s="69" t="str">
        <f>+IFERROR(VLOOKUP(B468,'3. Resultados'!K:L,2,FALSE),"-")</f>
        <v>-</v>
      </c>
      <c r="M468" s="70" t="str">
        <f>+IFERROR(VLOOKUP(CONCATENATE(A468,$B$10,B468),'3. Resultados'!B:J,9,FALSE),"-")</f>
        <v>-</v>
      </c>
      <c r="N468" s="24"/>
      <c r="O468" s="25" t="str">
        <f t="shared" si="8"/>
        <v>Por iniciar</v>
      </c>
      <c r="P468"/>
    </row>
    <row r="469" spans="1:16" ht="14.5">
      <c r="A469" s="18"/>
      <c r="B469" s="57"/>
      <c r="C469" s="57"/>
      <c r="D469" s="57"/>
      <c r="E469" s="57"/>
      <c r="F469" s="57"/>
      <c r="G469" s="57"/>
      <c r="H469" s="62" t="s">
        <v>60</v>
      </c>
      <c r="I469" s="19" t="s">
        <v>583</v>
      </c>
      <c r="J469" s="24">
        <f>+COUNTIFS('3. Resultados'!C:C,'1. Status'!H469,'3. Resultados'!G:G,'1. Status'!I469)</f>
        <v>0</v>
      </c>
      <c r="K469" s="70" t="str">
        <f>+IFERROR(VLOOKUP(CONCATENATE(A469,$B$10,B469),'3. Resultados'!B:J,8,FALSE),"-")</f>
        <v>-</v>
      </c>
      <c r="L469" s="69" t="str">
        <f>+IFERROR(VLOOKUP(B469,'3. Resultados'!K:L,2,FALSE),"-")</f>
        <v>-</v>
      </c>
      <c r="M469" s="70" t="str">
        <f>+IFERROR(VLOOKUP(CONCATENATE(A469,$B$10,B469),'3. Resultados'!B:J,9,FALSE),"-")</f>
        <v>-</v>
      </c>
      <c r="N469" s="24"/>
      <c r="O469" s="25" t="str">
        <f t="shared" si="8"/>
        <v>Por iniciar</v>
      </c>
      <c r="P469"/>
    </row>
    <row r="470" spans="1:16" ht="14.5">
      <c r="A470" s="18"/>
      <c r="B470" s="57"/>
      <c r="C470" s="57"/>
      <c r="D470" s="57"/>
      <c r="E470" s="57"/>
      <c r="F470" s="57"/>
      <c r="G470" s="57"/>
      <c r="H470" s="62" t="s">
        <v>60</v>
      </c>
      <c r="I470" s="19" t="s">
        <v>584</v>
      </c>
      <c r="J470" s="24">
        <f>+COUNTIFS('3. Resultados'!C:C,'1. Status'!H470,'3. Resultados'!G:G,'1. Status'!I470)</f>
        <v>0</v>
      </c>
      <c r="K470" s="70" t="str">
        <f>+IFERROR(VLOOKUP(CONCATENATE(A470,$B$10,B470),'3. Resultados'!B:J,8,FALSE),"-")</f>
        <v>-</v>
      </c>
      <c r="L470" s="69" t="str">
        <f>+IFERROR(VLOOKUP(B470,'3. Resultados'!K:L,2,FALSE),"-")</f>
        <v>-</v>
      </c>
      <c r="M470" s="70" t="str">
        <f>+IFERROR(VLOOKUP(CONCATENATE(A470,$B$10,B470),'3. Resultados'!B:J,9,FALSE),"-")</f>
        <v>-</v>
      </c>
      <c r="N470" s="24"/>
      <c r="O470" s="25" t="str">
        <f t="shared" si="8"/>
        <v>Por iniciar</v>
      </c>
      <c r="P470"/>
    </row>
    <row r="471" spans="1:16" ht="14.5">
      <c r="A471" s="18"/>
      <c r="B471" s="57"/>
      <c r="C471" s="57"/>
      <c r="D471" s="57"/>
      <c r="E471" s="57"/>
      <c r="F471" s="57"/>
      <c r="G471" s="57"/>
      <c r="H471" s="62" t="s">
        <v>60</v>
      </c>
      <c r="I471" s="19" t="s">
        <v>585</v>
      </c>
      <c r="J471" s="24">
        <f>+COUNTIFS('3. Resultados'!C:C,'1. Status'!H471,'3. Resultados'!G:G,'1. Status'!I471)</f>
        <v>0</v>
      </c>
      <c r="K471" s="70" t="str">
        <f>+IFERROR(VLOOKUP(CONCATENATE(A471,$B$10,B471),'3. Resultados'!B:J,8,FALSE),"-")</f>
        <v>-</v>
      </c>
      <c r="L471" s="69" t="str">
        <f>+IFERROR(VLOOKUP(B471,'3. Resultados'!K:L,2,FALSE),"-")</f>
        <v>-</v>
      </c>
      <c r="M471" s="70" t="str">
        <f>+IFERROR(VLOOKUP(CONCATENATE(A471,$B$10,B471),'3. Resultados'!B:J,9,FALSE),"-")</f>
        <v>-</v>
      </c>
      <c r="N471" s="24"/>
      <c r="O471" s="25" t="str">
        <f t="shared" si="8"/>
        <v>Por iniciar</v>
      </c>
      <c r="P471"/>
    </row>
    <row r="472" spans="1:16" ht="14.5">
      <c r="A472" s="18"/>
      <c r="B472" s="57"/>
      <c r="C472" s="57"/>
      <c r="D472" s="57"/>
      <c r="E472" s="57"/>
      <c r="F472" s="57"/>
      <c r="G472" s="57"/>
      <c r="H472" s="62" t="s">
        <v>60</v>
      </c>
      <c r="I472" s="19" t="s">
        <v>586</v>
      </c>
      <c r="J472" s="24">
        <f>+COUNTIFS('3. Resultados'!C:C,'1. Status'!H472,'3. Resultados'!G:G,'1. Status'!I472)</f>
        <v>0</v>
      </c>
      <c r="K472" s="70" t="str">
        <f>+IFERROR(VLOOKUP(CONCATENATE(A472,$B$10,B472),'3. Resultados'!B:J,8,FALSE),"-")</f>
        <v>-</v>
      </c>
      <c r="L472" s="69" t="str">
        <f>+IFERROR(VLOOKUP(B472,'3. Resultados'!K:L,2,FALSE),"-")</f>
        <v>-</v>
      </c>
      <c r="M472" s="70" t="str">
        <f>+IFERROR(VLOOKUP(CONCATENATE(A472,$B$10,B472),'3. Resultados'!B:J,9,FALSE),"-")</f>
        <v>-</v>
      </c>
      <c r="N472" s="24"/>
      <c r="O472" s="25" t="str">
        <f t="shared" si="8"/>
        <v>Por iniciar</v>
      </c>
      <c r="P472"/>
    </row>
    <row r="473" spans="1:16" ht="14.5">
      <c r="A473" s="18"/>
      <c r="B473" s="57"/>
      <c r="C473" s="57"/>
      <c r="D473" s="57"/>
      <c r="E473" s="57"/>
      <c r="F473" s="57"/>
      <c r="G473" s="57"/>
      <c r="H473" s="62" t="s">
        <v>60</v>
      </c>
      <c r="I473" s="19" t="s">
        <v>86</v>
      </c>
      <c r="J473" s="24">
        <f>+COUNTIFS('3. Resultados'!C:C,'1. Status'!H473,'3. Resultados'!G:G,'1. Status'!I473)</f>
        <v>0</v>
      </c>
      <c r="K473" s="70" t="str">
        <f>+IFERROR(VLOOKUP(CONCATENATE(A473,$B$10,B473),'3. Resultados'!B:J,8,FALSE),"-")</f>
        <v>-</v>
      </c>
      <c r="L473" s="69" t="str">
        <f>+IFERROR(VLOOKUP(B473,'3. Resultados'!K:L,2,FALSE),"-")</f>
        <v>-</v>
      </c>
      <c r="M473" s="70" t="str">
        <f>+IFERROR(VLOOKUP(CONCATENATE(A473,$B$10,B473),'3. Resultados'!B:J,9,FALSE),"-")</f>
        <v>-</v>
      </c>
      <c r="N473" s="24"/>
      <c r="O473" s="25" t="str">
        <f t="shared" si="8"/>
        <v>Por iniciar</v>
      </c>
      <c r="P473"/>
    </row>
    <row r="474" spans="1:16" ht="14.5">
      <c r="A474" s="18"/>
      <c r="B474" s="57"/>
      <c r="C474" s="57"/>
      <c r="D474" s="57"/>
      <c r="E474" s="57"/>
      <c r="F474" s="57"/>
      <c r="G474" s="57"/>
      <c r="H474" s="62" t="s">
        <v>60</v>
      </c>
      <c r="I474" s="19" t="s">
        <v>87</v>
      </c>
      <c r="J474" s="24">
        <f>+COUNTIFS('3. Resultados'!C:C,'1. Status'!H474,'3. Resultados'!G:G,'1. Status'!I474)</f>
        <v>0</v>
      </c>
      <c r="K474" s="70" t="str">
        <f>+IFERROR(VLOOKUP(CONCATENATE(A474,$B$10,B474),'3. Resultados'!B:J,8,FALSE),"-")</f>
        <v>-</v>
      </c>
      <c r="L474" s="69" t="str">
        <f>+IFERROR(VLOOKUP(B474,'3. Resultados'!K:L,2,FALSE),"-")</f>
        <v>-</v>
      </c>
      <c r="M474" s="70" t="str">
        <f>+IFERROR(VLOOKUP(CONCATENATE(A474,$B$10,B474),'3. Resultados'!B:J,9,FALSE),"-")</f>
        <v>-</v>
      </c>
      <c r="N474" s="24"/>
      <c r="O474" s="25" t="str">
        <f t="shared" si="8"/>
        <v>Por iniciar</v>
      </c>
      <c r="P474"/>
    </row>
    <row r="475" spans="1:16" ht="14.5">
      <c r="A475" s="18"/>
      <c r="B475" s="57"/>
      <c r="C475" s="57"/>
      <c r="D475" s="57"/>
      <c r="E475" s="57"/>
      <c r="F475" s="57"/>
      <c r="G475" s="57"/>
      <c r="H475" s="62" t="s">
        <v>60</v>
      </c>
      <c r="I475" s="19" t="s">
        <v>88</v>
      </c>
      <c r="J475" s="24">
        <f>+COUNTIFS('3. Resultados'!C:C,'1. Status'!H475,'3. Resultados'!G:G,'1. Status'!I475)</f>
        <v>0</v>
      </c>
      <c r="K475" s="70" t="str">
        <f>+IFERROR(VLOOKUP(CONCATENATE(A475,$B$10,B475),'3. Resultados'!B:J,8,FALSE),"-")</f>
        <v>-</v>
      </c>
      <c r="L475" s="69" t="str">
        <f>+IFERROR(VLOOKUP(B475,'3. Resultados'!K:L,2,FALSE),"-")</f>
        <v>-</v>
      </c>
      <c r="M475" s="70" t="str">
        <f>+IFERROR(VLOOKUP(CONCATENATE(A475,$B$10,B475),'3. Resultados'!B:J,9,FALSE),"-")</f>
        <v>-</v>
      </c>
      <c r="N475" s="24"/>
      <c r="O475" s="25" t="str">
        <f t="shared" si="8"/>
        <v>Por iniciar</v>
      </c>
      <c r="P475"/>
    </row>
    <row r="476" spans="1:16" ht="14.5">
      <c r="A476" s="18"/>
      <c r="B476" s="57"/>
      <c r="C476" s="57"/>
      <c r="D476" s="57"/>
      <c r="E476" s="57"/>
      <c r="F476" s="57"/>
      <c r="G476" s="57"/>
      <c r="H476" s="62" t="s">
        <v>60</v>
      </c>
      <c r="I476" s="19" t="s">
        <v>89</v>
      </c>
      <c r="J476" s="24">
        <f>+COUNTIFS('3. Resultados'!C:C,'1. Status'!H476,'3. Resultados'!G:G,'1. Status'!I476)</f>
        <v>0</v>
      </c>
      <c r="K476" s="70" t="str">
        <f>+IFERROR(VLOOKUP(CONCATENATE(A476,$B$10,B476),'3. Resultados'!B:J,8,FALSE),"-")</f>
        <v>-</v>
      </c>
      <c r="L476" s="69" t="str">
        <f>+IFERROR(VLOOKUP(B476,'3. Resultados'!K:L,2,FALSE),"-")</f>
        <v>-</v>
      </c>
      <c r="M476" s="70" t="str">
        <f>+IFERROR(VLOOKUP(CONCATENATE(A476,$B$10,B476),'3. Resultados'!B:J,9,FALSE),"-")</f>
        <v>-</v>
      </c>
      <c r="N476" s="24"/>
      <c r="O476" s="25" t="str">
        <f t="shared" si="8"/>
        <v>Por iniciar</v>
      </c>
      <c r="P476"/>
    </row>
    <row r="477" spans="1:16" ht="14.5">
      <c r="A477" s="18"/>
      <c r="B477" s="57"/>
      <c r="C477" s="57"/>
      <c r="D477" s="57"/>
      <c r="E477" s="57"/>
      <c r="F477" s="57"/>
      <c r="G477" s="57"/>
      <c r="H477" s="62" t="s">
        <v>60</v>
      </c>
      <c r="I477" s="19" t="s">
        <v>90</v>
      </c>
      <c r="J477" s="24">
        <f>+COUNTIFS('3. Resultados'!C:C,'1. Status'!H477,'3. Resultados'!G:G,'1. Status'!I477)</f>
        <v>0</v>
      </c>
      <c r="K477" s="70" t="str">
        <f>+IFERROR(VLOOKUP(CONCATENATE(A477,$B$10,B477),'3. Resultados'!B:J,8,FALSE),"-")</f>
        <v>-</v>
      </c>
      <c r="L477" s="69" t="str">
        <f>+IFERROR(VLOOKUP(B477,'3. Resultados'!K:L,2,FALSE),"-")</f>
        <v>-</v>
      </c>
      <c r="M477" s="70" t="str">
        <f>+IFERROR(VLOOKUP(CONCATENATE(A477,$B$10,B477),'3. Resultados'!B:J,9,FALSE),"-")</f>
        <v>-</v>
      </c>
      <c r="N477" s="24"/>
      <c r="O477" s="25" t="str">
        <f t="shared" si="8"/>
        <v>Por iniciar</v>
      </c>
      <c r="P477"/>
    </row>
    <row r="478" spans="1:16" ht="14.5">
      <c r="A478" s="18"/>
      <c r="B478" s="57"/>
      <c r="C478" s="57"/>
      <c r="D478" s="57"/>
      <c r="E478" s="57"/>
      <c r="F478" s="57"/>
      <c r="G478" s="57"/>
      <c r="H478" s="62" t="s">
        <v>60</v>
      </c>
      <c r="I478" s="19" t="s">
        <v>91</v>
      </c>
      <c r="J478" s="24">
        <f>+COUNTIFS('3. Resultados'!C:C,'1. Status'!H478,'3. Resultados'!G:G,'1. Status'!I478)</f>
        <v>0</v>
      </c>
      <c r="K478" s="70" t="str">
        <f>+IFERROR(VLOOKUP(CONCATENATE(A478,$B$10,B478),'3. Resultados'!B:J,8,FALSE),"-")</f>
        <v>-</v>
      </c>
      <c r="L478" s="69" t="str">
        <f>+IFERROR(VLOOKUP(B478,'3. Resultados'!K:L,2,FALSE),"-")</f>
        <v>-</v>
      </c>
      <c r="M478" s="70" t="str">
        <f>+IFERROR(VLOOKUP(CONCATENATE(A478,$B$10,B478),'3. Resultados'!B:J,9,FALSE),"-")</f>
        <v>-</v>
      </c>
      <c r="N478" s="24"/>
      <c r="O478" s="25" t="str">
        <f t="shared" si="8"/>
        <v>Por iniciar</v>
      </c>
      <c r="P478"/>
    </row>
    <row r="479" spans="1:16" ht="14.5">
      <c r="A479" s="18"/>
      <c r="B479" s="57"/>
      <c r="C479" s="57"/>
      <c r="D479" s="57"/>
      <c r="E479" s="57"/>
      <c r="F479" s="57"/>
      <c r="G479" s="57"/>
      <c r="H479" s="62" t="s">
        <v>60</v>
      </c>
      <c r="I479" s="19" t="s">
        <v>92</v>
      </c>
      <c r="J479" s="24">
        <f>+COUNTIFS('3. Resultados'!C:C,'1. Status'!H479,'3. Resultados'!G:G,'1. Status'!I479)</f>
        <v>0</v>
      </c>
      <c r="K479" s="70" t="str">
        <f>+IFERROR(VLOOKUP(CONCATENATE(A479,$B$10,B479),'3. Resultados'!B:J,8,FALSE),"-")</f>
        <v>-</v>
      </c>
      <c r="L479" s="69" t="str">
        <f>+IFERROR(VLOOKUP(B479,'3. Resultados'!K:L,2,FALSE),"-")</f>
        <v>-</v>
      </c>
      <c r="M479" s="70" t="str">
        <f>+IFERROR(VLOOKUP(CONCATENATE(A479,$B$10,B479),'3. Resultados'!B:J,9,FALSE),"-")</f>
        <v>-</v>
      </c>
      <c r="N479" s="24"/>
      <c r="O479" s="25" t="str">
        <f t="shared" si="8"/>
        <v>Por iniciar</v>
      </c>
      <c r="P479"/>
    </row>
    <row r="480" spans="1:16" ht="14.5">
      <c r="A480" s="18"/>
      <c r="B480" s="57"/>
      <c r="C480" s="57"/>
      <c r="D480" s="57"/>
      <c r="E480" s="57"/>
      <c r="F480" s="57"/>
      <c r="G480" s="57"/>
      <c r="H480" s="62" t="s">
        <v>60</v>
      </c>
      <c r="I480" s="19" t="s">
        <v>93</v>
      </c>
      <c r="J480" s="24">
        <f>+COUNTIFS('3. Resultados'!C:C,'1. Status'!H480,'3. Resultados'!G:G,'1. Status'!I480)</f>
        <v>0</v>
      </c>
      <c r="K480" s="70" t="str">
        <f>+IFERROR(VLOOKUP(CONCATENATE(A480,$B$10,B480),'3. Resultados'!B:J,8,FALSE),"-")</f>
        <v>-</v>
      </c>
      <c r="L480" s="69" t="str">
        <f>+IFERROR(VLOOKUP(B480,'3. Resultados'!K:L,2,FALSE),"-")</f>
        <v>-</v>
      </c>
      <c r="M480" s="70" t="str">
        <f>+IFERROR(VLOOKUP(CONCATENATE(A480,$B$10,B480),'3. Resultados'!B:J,9,FALSE),"-")</f>
        <v>-</v>
      </c>
      <c r="N480" s="24"/>
      <c r="O480" s="25" t="str">
        <f t="shared" si="8"/>
        <v>Por iniciar</v>
      </c>
      <c r="P480"/>
    </row>
    <row r="481" spans="1:16" ht="14.5">
      <c r="A481" s="18"/>
      <c r="B481" s="57"/>
      <c r="C481" s="57"/>
      <c r="D481" s="57"/>
      <c r="E481" s="57"/>
      <c r="F481" s="57"/>
      <c r="G481" s="57"/>
      <c r="H481" s="62" t="s">
        <v>60</v>
      </c>
      <c r="I481" s="19" t="s">
        <v>94</v>
      </c>
      <c r="J481" s="24">
        <f>+COUNTIFS('3. Resultados'!C:C,'1. Status'!H481,'3. Resultados'!G:G,'1. Status'!I481)</f>
        <v>0</v>
      </c>
      <c r="K481" s="70" t="str">
        <f>+IFERROR(VLOOKUP(CONCATENATE(A481,$B$10,B481),'3. Resultados'!B:J,8,FALSE),"-")</f>
        <v>-</v>
      </c>
      <c r="L481" s="69" t="str">
        <f>+IFERROR(VLOOKUP(B481,'3. Resultados'!K:L,2,FALSE),"-")</f>
        <v>-</v>
      </c>
      <c r="M481" s="70" t="str">
        <f>+IFERROR(VLOOKUP(CONCATENATE(A481,$B$10,B481),'3. Resultados'!B:J,9,FALSE),"-")</f>
        <v>-</v>
      </c>
      <c r="N481" s="24"/>
      <c r="O481" s="25" t="str">
        <f t="shared" si="8"/>
        <v>Por iniciar</v>
      </c>
      <c r="P481"/>
    </row>
    <row r="482" spans="1:16" ht="14.5">
      <c r="A482" s="18"/>
      <c r="B482" s="57"/>
      <c r="C482" s="57"/>
      <c r="D482" s="57"/>
      <c r="E482" s="57"/>
      <c r="F482" s="57"/>
      <c r="G482" s="57"/>
      <c r="H482" s="62" t="s">
        <v>60</v>
      </c>
      <c r="I482" s="19" t="s">
        <v>95</v>
      </c>
      <c r="J482" s="24">
        <f>+COUNTIFS('3. Resultados'!C:C,'1. Status'!H482,'3. Resultados'!G:G,'1. Status'!I482)</f>
        <v>0</v>
      </c>
      <c r="K482" s="70" t="str">
        <f>+IFERROR(VLOOKUP(CONCATENATE(A482,$B$10,B482),'3. Resultados'!B:J,8,FALSE),"-")</f>
        <v>-</v>
      </c>
      <c r="L482" s="69" t="str">
        <f>+IFERROR(VLOOKUP(B482,'3. Resultados'!K:L,2,FALSE),"-")</f>
        <v>-</v>
      </c>
      <c r="M482" s="70" t="str">
        <f>+IFERROR(VLOOKUP(CONCATENATE(A482,$B$10,B482),'3. Resultados'!B:J,9,FALSE),"-")</f>
        <v>-</v>
      </c>
      <c r="N482" s="24"/>
      <c r="O482" s="25" t="str">
        <f t="shared" si="8"/>
        <v>Por iniciar</v>
      </c>
      <c r="P482"/>
    </row>
    <row r="483" spans="1:16" ht="14.5">
      <c r="A483" s="18"/>
      <c r="B483" s="57"/>
      <c r="C483" s="57"/>
      <c r="D483" s="57"/>
      <c r="E483" s="57"/>
      <c r="F483" s="57"/>
      <c r="G483" s="57"/>
      <c r="H483" s="62" t="s">
        <v>60</v>
      </c>
      <c r="I483" s="19" t="s">
        <v>96</v>
      </c>
      <c r="J483" s="24">
        <f>+COUNTIFS('3. Resultados'!C:C,'1. Status'!H483,'3. Resultados'!G:G,'1. Status'!I483)</f>
        <v>0</v>
      </c>
      <c r="K483" s="70" t="str">
        <f>+IFERROR(VLOOKUP(CONCATENATE(A483,$B$10,B483),'3. Resultados'!B:J,8,FALSE),"-")</f>
        <v>-</v>
      </c>
      <c r="L483" s="69" t="str">
        <f>+IFERROR(VLOOKUP(B483,'3. Resultados'!K:L,2,FALSE),"-")</f>
        <v>-</v>
      </c>
      <c r="M483" s="70" t="str">
        <f>+IFERROR(VLOOKUP(CONCATENATE(A483,$B$10,B483),'3. Resultados'!B:J,9,FALSE),"-")</f>
        <v>-</v>
      </c>
      <c r="N483" s="24"/>
      <c r="O483" s="25" t="str">
        <f t="shared" si="8"/>
        <v>Por iniciar</v>
      </c>
      <c r="P483"/>
    </row>
    <row r="484" spans="1:16" ht="14.5">
      <c r="A484" s="18"/>
      <c r="B484" s="57"/>
      <c r="C484" s="57"/>
      <c r="D484" s="57"/>
      <c r="E484" s="57"/>
      <c r="F484" s="57"/>
      <c r="G484" s="57"/>
      <c r="H484" s="62" t="s">
        <v>60</v>
      </c>
      <c r="I484" s="19" t="s">
        <v>97</v>
      </c>
      <c r="J484" s="24">
        <f>+COUNTIFS('3. Resultados'!C:C,'1. Status'!H484,'3. Resultados'!G:G,'1. Status'!I484)</f>
        <v>0</v>
      </c>
      <c r="K484" s="70" t="str">
        <f>+IFERROR(VLOOKUP(CONCATENATE(A484,$B$10,B484),'3. Resultados'!B:J,8,FALSE),"-")</f>
        <v>-</v>
      </c>
      <c r="L484" s="69" t="str">
        <f>+IFERROR(VLOOKUP(B484,'3. Resultados'!K:L,2,FALSE),"-")</f>
        <v>-</v>
      </c>
      <c r="M484" s="70" t="str">
        <f>+IFERROR(VLOOKUP(CONCATENATE(A484,$B$10,B484),'3. Resultados'!B:J,9,FALSE),"-")</f>
        <v>-</v>
      </c>
      <c r="N484" s="24"/>
      <c r="O484" s="25" t="str">
        <f t="shared" si="8"/>
        <v>Por iniciar</v>
      </c>
      <c r="P484"/>
    </row>
    <row r="485" spans="1:16" ht="14.5">
      <c r="A485" s="18"/>
      <c r="B485" s="57"/>
      <c r="C485" s="57"/>
      <c r="D485" s="57"/>
      <c r="E485" s="57"/>
      <c r="F485" s="57"/>
      <c r="G485" s="57"/>
      <c r="H485" s="62" t="s">
        <v>60</v>
      </c>
      <c r="I485" s="19" t="s">
        <v>98</v>
      </c>
      <c r="J485" s="24">
        <f>+COUNTIFS('3. Resultados'!C:C,'1. Status'!H485,'3. Resultados'!G:G,'1. Status'!I485)</f>
        <v>0</v>
      </c>
      <c r="K485" s="70" t="str">
        <f>+IFERROR(VLOOKUP(CONCATENATE(A485,$B$10,B485),'3. Resultados'!B:J,8,FALSE),"-")</f>
        <v>-</v>
      </c>
      <c r="L485" s="69" t="str">
        <f>+IFERROR(VLOOKUP(B485,'3. Resultados'!K:L,2,FALSE),"-")</f>
        <v>-</v>
      </c>
      <c r="M485" s="70" t="str">
        <f>+IFERROR(VLOOKUP(CONCATENATE(A485,$B$10,B485),'3. Resultados'!B:J,9,FALSE),"-")</f>
        <v>-</v>
      </c>
      <c r="N485" s="24"/>
      <c r="O485" s="25" t="str">
        <f t="shared" si="8"/>
        <v>Por iniciar</v>
      </c>
      <c r="P485"/>
    </row>
    <row r="486" spans="1:16" ht="14.5">
      <c r="A486" s="18"/>
      <c r="B486" s="57"/>
      <c r="C486" s="57"/>
      <c r="D486" s="57"/>
      <c r="E486" s="57"/>
      <c r="F486" s="57"/>
      <c r="G486" s="57"/>
      <c r="H486" s="62" t="s">
        <v>60</v>
      </c>
      <c r="I486" s="19" t="s">
        <v>99</v>
      </c>
      <c r="J486" s="24">
        <f>+COUNTIFS('3. Resultados'!C:C,'1. Status'!H486,'3. Resultados'!G:G,'1. Status'!I486)</f>
        <v>0</v>
      </c>
      <c r="K486" s="70" t="str">
        <f>+IFERROR(VLOOKUP(CONCATENATE(A486,$B$10,B486),'3. Resultados'!B:J,8,FALSE),"-")</f>
        <v>-</v>
      </c>
      <c r="L486" s="69" t="str">
        <f>+IFERROR(VLOOKUP(B486,'3. Resultados'!K:L,2,FALSE),"-")</f>
        <v>-</v>
      </c>
      <c r="M486" s="70" t="str">
        <f>+IFERROR(VLOOKUP(CONCATENATE(A486,$B$10,B486),'3. Resultados'!B:J,9,FALSE),"-")</f>
        <v>-</v>
      </c>
      <c r="N486" s="24"/>
      <c r="O486" s="25" t="str">
        <f t="shared" si="8"/>
        <v>Por iniciar</v>
      </c>
      <c r="P486"/>
    </row>
    <row r="487" spans="1:16" ht="14.5">
      <c r="A487" s="18"/>
      <c r="B487" s="57"/>
      <c r="C487" s="57"/>
      <c r="D487" s="57"/>
      <c r="E487" s="57"/>
      <c r="F487" s="57"/>
      <c r="G487" s="57"/>
      <c r="H487" s="62" t="s">
        <v>60</v>
      </c>
      <c r="I487" s="19" t="s">
        <v>100</v>
      </c>
      <c r="J487" s="24">
        <f>+COUNTIFS('3. Resultados'!C:C,'1. Status'!H487,'3. Resultados'!G:G,'1. Status'!I487)</f>
        <v>0</v>
      </c>
      <c r="K487" s="70" t="str">
        <f>+IFERROR(VLOOKUP(CONCATENATE(A487,$B$10,B487),'3. Resultados'!B:J,8,FALSE),"-")</f>
        <v>-</v>
      </c>
      <c r="L487" s="69" t="str">
        <f>+IFERROR(VLOOKUP(B487,'3. Resultados'!K:L,2,FALSE),"-")</f>
        <v>-</v>
      </c>
      <c r="M487" s="70" t="str">
        <f>+IFERROR(VLOOKUP(CONCATENATE(A487,$B$10,B487),'3. Resultados'!B:J,9,FALSE),"-")</f>
        <v>-</v>
      </c>
      <c r="N487" s="24"/>
      <c r="O487" s="25" t="str">
        <f t="shared" si="8"/>
        <v>Por iniciar</v>
      </c>
      <c r="P487"/>
    </row>
    <row r="488" spans="1:16" ht="14.5">
      <c r="A488" s="18"/>
      <c r="B488" s="57"/>
      <c r="C488" s="57"/>
      <c r="D488" s="57"/>
      <c r="E488" s="57"/>
      <c r="F488" s="57"/>
      <c r="G488" s="57"/>
      <c r="H488" s="62" t="s">
        <v>60</v>
      </c>
      <c r="I488" s="19" t="s">
        <v>587</v>
      </c>
      <c r="J488" s="24">
        <f>+COUNTIFS('3. Resultados'!C:C,'1. Status'!H488,'3. Resultados'!G:G,'1. Status'!I488)</f>
        <v>0</v>
      </c>
      <c r="K488" s="70" t="str">
        <f>+IFERROR(VLOOKUP(CONCATENATE(A488,$B$10,B488),'3. Resultados'!B:J,8,FALSE),"-")</f>
        <v>-</v>
      </c>
      <c r="L488" s="69" t="str">
        <f>+IFERROR(VLOOKUP(B488,'3. Resultados'!K:L,2,FALSE),"-")</f>
        <v>-</v>
      </c>
      <c r="M488" s="70" t="str">
        <f>+IFERROR(VLOOKUP(CONCATENATE(A488,$B$10,B488),'3. Resultados'!B:J,9,FALSE),"-")</f>
        <v>-</v>
      </c>
      <c r="N488" s="24"/>
      <c r="O488" s="25" t="str">
        <f t="shared" si="8"/>
        <v>Por iniciar</v>
      </c>
      <c r="P488"/>
    </row>
    <row r="489" spans="1:16" ht="14.5">
      <c r="A489" s="18"/>
      <c r="B489" s="57"/>
      <c r="C489" s="57"/>
      <c r="D489" s="57"/>
      <c r="E489" s="57"/>
      <c r="F489" s="57"/>
      <c r="G489" s="57"/>
      <c r="H489" s="62" t="s">
        <v>60</v>
      </c>
      <c r="I489" s="19" t="s">
        <v>101</v>
      </c>
      <c r="J489" s="24">
        <f>+COUNTIFS('3. Resultados'!C:C,'1. Status'!H489,'3. Resultados'!G:G,'1. Status'!I489)</f>
        <v>0</v>
      </c>
      <c r="K489" s="70" t="str">
        <f>+IFERROR(VLOOKUP(CONCATENATE(A489,$B$10,B489),'3. Resultados'!B:J,8,FALSE),"-")</f>
        <v>-</v>
      </c>
      <c r="L489" s="69" t="str">
        <f>+IFERROR(VLOOKUP(B489,'3. Resultados'!K:L,2,FALSE),"-")</f>
        <v>-</v>
      </c>
      <c r="M489" s="70" t="str">
        <f>+IFERROR(VLOOKUP(CONCATENATE(A489,$B$10,B489),'3. Resultados'!B:J,9,FALSE),"-")</f>
        <v>-</v>
      </c>
      <c r="N489" s="24"/>
      <c r="O489" s="25" t="str">
        <f t="shared" si="8"/>
        <v>Por iniciar</v>
      </c>
      <c r="P489"/>
    </row>
    <row r="490" spans="1:16" ht="14.5">
      <c r="A490" s="18"/>
      <c r="B490" s="57"/>
      <c r="C490" s="57"/>
      <c r="D490" s="57"/>
      <c r="E490" s="57"/>
      <c r="F490" s="57"/>
      <c r="G490" s="57"/>
      <c r="H490" s="62" t="s">
        <v>60</v>
      </c>
      <c r="I490" s="19" t="s">
        <v>102</v>
      </c>
      <c r="J490" s="24">
        <f>+COUNTIFS('3. Resultados'!C:C,'1. Status'!H490,'3. Resultados'!G:G,'1. Status'!I490)</f>
        <v>0</v>
      </c>
      <c r="K490" s="70" t="str">
        <f>+IFERROR(VLOOKUP(CONCATENATE(A490,$B$10,B490),'3. Resultados'!B:J,8,FALSE),"-")</f>
        <v>-</v>
      </c>
      <c r="L490" s="69" t="str">
        <f>+IFERROR(VLOOKUP(B490,'3. Resultados'!K:L,2,FALSE),"-")</f>
        <v>-</v>
      </c>
      <c r="M490" s="70" t="str">
        <f>+IFERROR(VLOOKUP(CONCATENATE(A490,$B$10,B490),'3. Resultados'!B:J,9,FALSE),"-")</f>
        <v>-</v>
      </c>
      <c r="N490" s="24"/>
      <c r="O490" s="25" t="str">
        <f t="shared" si="8"/>
        <v>Por iniciar</v>
      </c>
      <c r="P490"/>
    </row>
    <row r="491" spans="1:16" ht="14.5">
      <c r="A491" s="18"/>
      <c r="B491" s="57"/>
      <c r="C491" s="57"/>
      <c r="D491" s="57"/>
      <c r="E491" s="57"/>
      <c r="F491" s="57"/>
      <c r="G491" s="57"/>
      <c r="H491" s="62" t="s">
        <v>60</v>
      </c>
      <c r="I491" s="19" t="s">
        <v>103</v>
      </c>
      <c r="J491" s="24">
        <f>+COUNTIFS('3. Resultados'!C:C,'1. Status'!H491,'3. Resultados'!G:G,'1. Status'!I491)</f>
        <v>0</v>
      </c>
      <c r="K491" s="70" t="str">
        <f>+IFERROR(VLOOKUP(CONCATENATE(A491,$B$10,B491),'3. Resultados'!B:J,8,FALSE),"-")</f>
        <v>-</v>
      </c>
      <c r="L491" s="69" t="str">
        <f>+IFERROR(VLOOKUP(B491,'3. Resultados'!K:L,2,FALSE),"-")</f>
        <v>-</v>
      </c>
      <c r="M491" s="70" t="str">
        <f>+IFERROR(VLOOKUP(CONCATENATE(A491,$B$10,B491),'3. Resultados'!B:J,9,FALSE),"-")</f>
        <v>-</v>
      </c>
      <c r="N491" s="24"/>
      <c r="O491" s="25" t="str">
        <f t="shared" si="8"/>
        <v>Por iniciar</v>
      </c>
      <c r="P491"/>
    </row>
    <row r="492" spans="1:16" ht="14.5">
      <c r="A492" s="18"/>
      <c r="B492" s="57"/>
      <c r="C492" s="57"/>
      <c r="D492" s="57"/>
      <c r="E492" s="57"/>
      <c r="F492" s="57"/>
      <c r="G492" s="57"/>
      <c r="H492" s="62" t="s">
        <v>60</v>
      </c>
      <c r="I492" s="19" t="s">
        <v>104</v>
      </c>
      <c r="J492" s="24">
        <f>+COUNTIFS('3. Resultados'!C:C,'1. Status'!H492,'3. Resultados'!G:G,'1. Status'!I492)</f>
        <v>0</v>
      </c>
      <c r="K492" s="70" t="str">
        <f>+IFERROR(VLOOKUP(CONCATENATE(A492,$B$10,B492),'3. Resultados'!B:J,8,FALSE),"-")</f>
        <v>-</v>
      </c>
      <c r="L492" s="69" t="str">
        <f>+IFERROR(VLOOKUP(B492,'3. Resultados'!K:L,2,FALSE),"-")</f>
        <v>-</v>
      </c>
      <c r="M492" s="70" t="str">
        <f>+IFERROR(VLOOKUP(CONCATENATE(A492,$B$10,B492),'3. Resultados'!B:J,9,FALSE),"-")</f>
        <v>-</v>
      </c>
      <c r="N492" s="24"/>
      <c r="O492" s="25" t="str">
        <f t="shared" si="8"/>
        <v>Por iniciar</v>
      </c>
      <c r="P492"/>
    </row>
    <row r="493" spans="1:16" ht="14.5">
      <c r="A493" s="18"/>
      <c r="B493" s="57"/>
      <c r="C493" s="57"/>
      <c r="D493" s="57"/>
      <c r="E493" s="57"/>
      <c r="F493" s="57"/>
      <c r="G493" s="57"/>
      <c r="H493" s="62" t="s">
        <v>60</v>
      </c>
      <c r="I493" s="19" t="s">
        <v>105</v>
      </c>
      <c r="J493" s="24">
        <f>+COUNTIFS('3. Resultados'!C:C,'1. Status'!H493,'3. Resultados'!G:G,'1. Status'!I493)</f>
        <v>0</v>
      </c>
      <c r="K493" s="70" t="str">
        <f>+IFERROR(VLOOKUP(CONCATENATE(A493,$B$10,B493),'3. Resultados'!B:J,8,FALSE),"-")</f>
        <v>-</v>
      </c>
      <c r="L493" s="69" t="str">
        <f>+IFERROR(VLOOKUP(B493,'3. Resultados'!K:L,2,FALSE),"-")</f>
        <v>-</v>
      </c>
      <c r="M493" s="70" t="str">
        <f>+IFERROR(VLOOKUP(CONCATENATE(A493,$B$10,B493),'3. Resultados'!B:J,9,FALSE),"-")</f>
        <v>-</v>
      </c>
      <c r="N493" s="24"/>
      <c r="O493" s="25" t="str">
        <f t="shared" si="8"/>
        <v>Por iniciar</v>
      </c>
      <c r="P493"/>
    </row>
    <row r="494" spans="1:16" ht="14.5">
      <c r="A494" s="18"/>
      <c r="B494" s="57"/>
      <c r="C494" s="57"/>
      <c r="D494" s="57"/>
      <c r="E494" s="57"/>
      <c r="F494" s="57"/>
      <c r="G494" s="57"/>
      <c r="H494" s="62" t="s">
        <v>60</v>
      </c>
      <c r="I494" s="19" t="s">
        <v>106</v>
      </c>
      <c r="J494" s="24">
        <f>+COUNTIFS('3. Resultados'!C:C,'1. Status'!H494,'3. Resultados'!G:G,'1. Status'!I494)</f>
        <v>0</v>
      </c>
      <c r="K494" s="70" t="str">
        <f>+IFERROR(VLOOKUP(CONCATENATE(A494,$B$10,B494),'3. Resultados'!B:J,8,FALSE),"-")</f>
        <v>-</v>
      </c>
      <c r="L494" s="69" t="str">
        <f>+IFERROR(VLOOKUP(B494,'3. Resultados'!K:L,2,FALSE),"-")</f>
        <v>-</v>
      </c>
      <c r="M494" s="70" t="str">
        <f>+IFERROR(VLOOKUP(CONCATENATE(A494,$B$10,B494),'3. Resultados'!B:J,9,FALSE),"-")</f>
        <v>-</v>
      </c>
      <c r="N494" s="24"/>
      <c r="O494" s="25" t="str">
        <f t="shared" si="8"/>
        <v>Por iniciar</v>
      </c>
      <c r="P494"/>
    </row>
    <row r="495" spans="1:16" ht="14.5">
      <c r="A495" s="18"/>
      <c r="B495" s="57"/>
      <c r="C495" s="57"/>
      <c r="D495" s="57"/>
      <c r="E495" s="57"/>
      <c r="F495" s="57"/>
      <c r="G495" s="57"/>
      <c r="H495" s="62" t="s">
        <v>60</v>
      </c>
      <c r="I495" s="19" t="s">
        <v>107</v>
      </c>
      <c r="J495" s="24">
        <f>+COUNTIFS('3. Resultados'!C:C,'1. Status'!H495,'3. Resultados'!G:G,'1. Status'!I495)</f>
        <v>0</v>
      </c>
      <c r="K495" s="70" t="str">
        <f>+IFERROR(VLOOKUP(CONCATENATE(A495,$B$10,B495),'3. Resultados'!B:J,8,FALSE),"-")</f>
        <v>-</v>
      </c>
      <c r="L495" s="69" t="str">
        <f>+IFERROR(VLOOKUP(B495,'3. Resultados'!K:L,2,FALSE),"-")</f>
        <v>-</v>
      </c>
      <c r="M495" s="70" t="str">
        <f>+IFERROR(VLOOKUP(CONCATENATE(A495,$B$10,B495),'3. Resultados'!B:J,9,FALSE),"-")</f>
        <v>-</v>
      </c>
      <c r="N495" s="24"/>
      <c r="O495" s="25" t="str">
        <f t="shared" si="8"/>
        <v>Por iniciar</v>
      </c>
      <c r="P495"/>
    </row>
    <row r="496" spans="1:16" ht="14.5">
      <c r="A496" s="18"/>
      <c r="B496" s="57"/>
      <c r="C496" s="57"/>
      <c r="D496" s="57"/>
      <c r="E496" s="57"/>
      <c r="F496" s="57"/>
      <c r="G496" s="57"/>
      <c r="H496" s="62" t="s">
        <v>60</v>
      </c>
      <c r="I496" s="19" t="s">
        <v>172</v>
      </c>
      <c r="J496" s="24">
        <f>+COUNTIFS('3. Resultados'!C:C,'1. Status'!H496,'3. Resultados'!G:G,'1. Status'!I496)</f>
        <v>0</v>
      </c>
      <c r="K496" s="70" t="str">
        <f>+IFERROR(VLOOKUP(CONCATENATE(A496,$B$10,B496),'3. Resultados'!B:J,8,FALSE),"-")</f>
        <v>-</v>
      </c>
      <c r="L496" s="69" t="str">
        <f>+IFERROR(VLOOKUP(B496,'3. Resultados'!K:L,2,FALSE),"-")</f>
        <v>-</v>
      </c>
      <c r="M496" s="70" t="str">
        <f>+IFERROR(VLOOKUP(CONCATENATE(A496,$B$10,B496),'3. Resultados'!B:J,9,FALSE),"-")</f>
        <v>-</v>
      </c>
      <c r="N496" s="24"/>
      <c r="O496" s="25" t="str">
        <f t="shared" si="8"/>
        <v>Por iniciar</v>
      </c>
      <c r="P496"/>
    </row>
    <row r="497" spans="1:16" ht="14.5">
      <c r="A497" s="18"/>
      <c r="B497" s="57"/>
      <c r="C497" s="57"/>
      <c r="D497" s="57"/>
      <c r="E497" s="57"/>
      <c r="F497" s="57"/>
      <c r="G497" s="57"/>
      <c r="H497" s="62" t="s">
        <v>60</v>
      </c>
      <c r="I497" s="19" t="s">
        <v>108</v>
      </c>
      <c r="J497" s="24">
        <f>+COUNTIFS('3. Resultados'!C:C,'1. Status'!H497,'3. Resultados'!G:G,'1. Status'!I497)</f>
        <v>0</v>
      </c>
      <c r="K497" s="70" t="str">
        <f>+IFERROR(VLOOKUP(CONCATENATE(A497,$B$10,B497),'3. Resultados'!B:J,8,FALSE),"-")</f>
        <v>-</v>
      </c>
      <c r="L497" s="69" t="str">
        <f>+IFERROR(VLOOKUP(B497,'3. Resultados'!K:L,2,FALSE),"-")</f>
        <v>-</v>
      </c>
      <c r="M497" s="70" t="str">
        <f>+IFERROR(VLOOKUP(CONCATENATE(A497,$B$10,B497),'3. Resultados'!B:J,9,FALSE),"-")</f>
        <v>-</v>
      </c>
      <c r="N497" s="24"/>
      <c r="O497" s="25" t="str">
        <f t="shared" si="8"/>
        <v>Por iniciar</v>
      </c>
      <c r="P497"/>
    </row>
    <row r="498" spans="1:16" ht="14.5">
      <c r="A498" s="18"/>
      <c r="B498" s="57"/>
      <c r="C498" s="57"/>
      <c r="D498" s="57"/>
      <c r="E498" s="57"/>
      <c r="F498" s="57"/>
      <c r="G498" s="57"/>
      <c r="H498" s="62" t="s">
        <v>60</v>
      </c>
      <c r="I498" s="19" t="s">
        <v>109</v>
      </c>
      <c r="J498" s="24">
        <f>+COUNTIFS('3. Resultados'!C:C,'1. Status'!H498,'3. Resultados'!G:G,'1. Status'!I498)</f>
        <v>0</v>
      </c>
      <c r="K498" s="70" t="str">
        <f>+IFERROR(VLOOKUP(CONCATENATE(A498,$B$10,B498),'3. Resultados'!B:J,8,FALSE),"-")</f>
        <v>-</v>
      </c>
      <c r="L498" s="69" t="str">
        <f>+IFERROR(VLOOKUP(B498,'3. Resultados'!K:L,2,FALSE),"-")</f>
        <v>-</v>
      </c>
      <c r="M498" s="70" t="str">
        <f>+IFERROR(VLOOKUP(CONCATENATE(A498,$B$10,B498),'3. Resultados'!B:J,9,FALSE),"-")</f>
        <v>-</v>
      </c>
      <c r="N498" s="24"/>
      <c r="O498" s="25" t="str">
        <f t="shared" si="8"/>
        <v>Por iniciar</v>
      </c>
      <c r="P498"/>
    </row>
    <row r="499" spans="1:16" ht="14.5">
      <c r="A499" s="18"/>
      <c r="B499" s="57"/>
      <c r="C499" s="57"/>
      <c r="D499" s="57"/>
      <c r="E499" s="57"/>
      <c r="F499" s="57"/>
      <c r="G499" s="57"/>
      <c r="H499" s="62" t="s">
        <v>60</v>
      </c>
      <c r="I499" s="19" t="s">
        <v>110</v>
      </c>
      <c r="J499" s="24">
        <f>+COUNTIFS('3. Resultados'!C:C,'1. Status'!H499,'3. Resultados'!G:G,'1. Status'!I499)</f>
        <v>0</v>
      </c>
      <c r="K499" s="70" t="str">
        <f>+IFERROR(VLOOKUP(CONCATENATE(A499,$B$10,B499),'3. Resultados'!B:J,8,FALSE),"-")</f>
        <v>-</v>
      </c>
      <c r="L499" s="69" t="str">
        <f>+IFERROR(VLOOKUP(B499,'3. Resultados'!K:L,2,FALSE),"-")</f>
        <v>-</v>
      </c>
      <c r="M499" s="70" t="str">
        <f>+IFERROR(VLOOKUP(CONCATENATE(A499,$B$10,B499),'3. Resultados'!B:J,9,FALSE),"-")</f>
        <v>-</v>
      </c>
      <c r="N499" s="24"/>
      <c r="O499" s="25" t="str">
        <f t="shared" si="8"/>
        <v>Por iniciar</v>
      </c>
      <c r="P499"/>
    </row>
    <row r="500" spans="1:16" ht="14.5">
      <c r="A500" s="18"/>
      <c r="B500" s="57"/>
      <c r="C500" s="57"/>
      <c r="D500" s="57"/>
      <c r="E500" s="57"/>
      <c r="F500" s="57"/>
      <c r="G500" s="57"/>
      <c r="H500" s="62" t="s">
        <v>60</v>
      </c>
      <c r="I500" s="19" t="s">
        <v>111</v>
      </c>
      <c r="J500" s="24">
        <f>+COUNTIFS('3. Resultados'!C:C,'1. Status'!H500,'3. Resultados'!G:G,'1. Status'!I500)</f>
        <v>0</v>
      </c>
      <c r="K500" s="70" t="str">
        <f>+IFERROR(VLOOKUP(CONCATENATE(A500,$B$10,B500),'3. Resultados'!B:J,8,FALSE),"-")</f>
        <v>-</v>
      </c>
      <c r="L500" s="69" t="str">
        <f>+IFERROR(VLOOKUP(B500,'3. Resultados'!K:L,2,FALSE),"-")</f>
        <v>-</v>
      </c>
      <c r="M500" s="70" t="str">
        <f>+IFERROR(VLOOKUP(CONCATENATE(A500,$B$10,B500),'3. Resultados'!B:J,9,FALSE),"-")</f>
        <v>-</v>
      </c>
      <c r="N500" s="24"/>
      <c r="O500" s="25" t="str">
        <f t="shared" si="8"/>
        <v>Por iniciar</v>
      </c>
      <c r="P500"/>
    </row>
    <row r="501" spans="1:16" ht="14.5">
      <c r="A501" s="18"/>
      <c r="B501" s="57"/>
      <c r="C501" s="57"/>
      <c r="D501" s="57"/>
      <c r="E501" s="57"/>
      <c r="F501" s="57"/>
      <c r="G501" s="57"/>
      <c r="H501" s="62" t="s">
        <v>60</v>
      </c>
      <c r="I501" s="19" t="s">
        <v>588</v>
      </c>
      <c r="J501" s="24">
        <f>+COUNTIFS('3. Resultados'!C:C,'1. Status'!H501,'3. Resultados'!G:G,'1. Status'!I501)</f>
        <v>0</v>
      </c>
      <c r="K501" s="70" t="str">
        <f>+IFERROR(VLOOKUP(CONCATENATE(A501,$B$10,B501),'3. Resultados'!B:J,8,FALSE),"-")</f>
        <v>-</v>
      </c>
      <c r="L501" s="69" t="str">
        <f>+IFERROR(VLOOKUP(B501,'3. Resultados'!K:L,2,FALSE),"-")</f>
        <v>-</v>
      </c>
      <c r="M501" s="70" t="str">
        <f>+IFERROR(VLOOKUP(CONCATENATE(A501,$B$10,B501),'3. Resultados'!B:J,9,FALSE),"-")</f>
        <v>-</v>
      </c>
      <c r="N501" s="24"/>
      <c r="O501" s="25" t="str">
        <f t="shared" si="8"/>
        <v>Por iniciar</v>
      </c>
      <c r="P501"/>
    </row>
    <row r="502" spans="1:16" ht="14.5">
      <c r="A502" s="18"/>
      <c r="B502" s="57"/>
      <c r="C502" s="57"/>
      <c r="D502" s="57"/>
      <c r="E502" s="57"/>
      <c r="F502" s="57"/>
      <c r="G502" s="57"/>
      <c r="H502" s="62" t="s">
        <v>60</v>
      </c>
      <c r="I502" s="19" t="s">
        <v>112</v>
      </c>
      <c r="J502" s="24">
        <f>+COUNTIFS('3. Resultados'!C:C,'1. Status'!H502,'3. Resultados'!G:G,'1. Status'!I502)</f>
        <v>0</v>
      </c>
      <c r="K502" s="70" t="str">
        <f>+IFERROR(VLOOKUP(CONCATENATE(A502,$B$10,B502),'3. Resultados'!B:J,8,FALSE),"-")</f>
        <v>-</v>
      </c>
      <c r="L502" s="69" t="str">
        <f>+IFERROR(VLOOKUP(B502,'3. Resultados'!K:L,2,FALSE),"-")</f>
        <v>-</v>
      </c>
      <c r="M502" s="70" t="str">
        <f>+IFERROR(VLOOKUP(CONCATENATE(A502,$B$10,B502),'3. Resultados'!B:J,9,FALSE),"-")</f>
        <v>-</v>
      </c>
      <c r="N502" s="24"/>
      <c r="O502" s="25" t="str">
        <f t="shared" si="8"/>
        <v>Por iniciar</v>
      </c>
      <c r="P502"/>
    </row>
    <row r="503" spans="1:16" ht="14.5">
      <c r="A503" s="18"/>
      <c r="B503" s="57"/>
      <c r="C503" s="57"/>
      <c r="D503" s="57"/>
      <c r="E503" s="57"/>
      <c r="F503" s="57"/>
      <c r="G503" s="57"/>
      <c r="H503" s="62" t="s">
        <v>60</v>
      </c>
      <c r="I503" s="19" t="s">
        <v>113</v>
      </c>
      <c r="J503" s="24">
        <f>+COUNTIFS('3. Resultados'!C:C,'1. Status'!H503,'3. Resultados'!G:G,'1. Status'!I503)</f>
        <v>0</v>
      </c>
      <c r="K503" s="70" t="str">
        <f>+IFERROR(VLOOKUP(CONCATENATE(A503,$B$10,B503),'3. Resultados'!B:J,8,FALSE),"-")</f>
        <v>-</v>
      </c>
      <c r="L503" s="69" t="str">
        <f>+IFERROR(VLOOKUP(B503,'3. Resultados'!K:L,2,FALSE),"-")</f>
        <v>-</v>
      </c>
      <c r="M503" s="70" t="str">
        <f>+IFERROR(VLOOKUP(CONCATENATE(A503,$B$10,B503),'3. Resultados'!B:J,9,FALSE),"-")</f>
        <v>-</v>
      </c>
      <c r="N503" s="24"/>
      <c r="O503" s="25" t="str">
        <f t="shared" si="8"/>
        <v>Por iniciar</v>
      </c>
      <c r="P503"/>
    </row>
    <row r="504" spans="1:16" ht="14.5">
      <c r="A504" s="18"/>
      <c r="B504" s="57"/>
      <c r="C504" s="57"/>
      <c r="D504" s="57"/>
      <c r="E504" s="57"/>
      <c r="F504" s="57"/>
      <c r="G504" s="57"/>
      <c r="H504" s="62" t="s">
        <v>60</v>
      </c>
      <c r="I504" s="19" t="s">
        <v>114</v>
      </c>
      <c r="J504" s="24">
        <f>+COUNTIFS('3. Resultados'!C:C,'1. Status'!H504,'3. Resultados'!G:G,'1. Status'!I504)</f>
        <v>0</v>
      </c>
      <c r="K504" s="70" t="str">
        <f>+IFERROR(VLOOKUP(CONCATENATE(A504,$B$10,B504),'3. Resultados'!B:J,8,FALSE),"-")</f>
        <v>-</v>
      </c>
      <c r="L504" s="69" t="str">
        <f>+IFERROR(VLOOKUP(B504,'3. Resultados'!K:L,2,FALSE),"-")</f>
        <v>-</v>
      </c>
      <c r="M504" s="70" t="str">
        <f>+IFERROR(VLOOKUP(CONCATENATE(A504,$B$10,B504),'3. Resultados'!B:J,9,FALSE),"-")</f>
        <v>-</v>
      </c>
      <c r="N504" s="24"/>
      <c r="O504" s="25" t="str">
        <f t="shared" si="8"/>
        <v>Por iniciar</v>
      </c>
      <c r="P504"/>
    </row>
    <row r="505" spans="1:16" ht="14.5">
      <c r="A505" s="18"/>
      <c r="B505" s="57"/>
      <c r="C505" s="57"/>
      <c r="D505" s="57"/>
      <c r="E505" s="57"/>
      <c r="F505" s="57"/>
      <c r="G505" s="57"/>
      <c r="H505" s="62" t="s">
        <v>60</v>
      </c>
      <c r="I505" s="19" t="s">
        <v>589</v>
      </c>
      <c r="J505" s="24">
        <f>+COUNTIFS('3. Resultados'!C:C,'1. Status'!H505,'3. Resultados'!G:G,'1. Status'!I505)</f>
        <v>0</v>
      </c>
      <c r="K505" s="70" t="str">
        <f>+IFERROR(VLOOKUP(CONCATENATE(A505,$B$10,B505),'3. Resultados'!B:J,8,FALSE),"-")</f>
        <v>-</v>
      </c>
      <c r="L505" s="69" t="str">
        <f>+IFERROR(VLOOKUP(B505,'3. Resultados'!K:L,2,FALSE),"-")</f>
        <v>-</v>
      </c>
      <c r="M505" s="70" t="str">
        <f>+IFERROR(VLOOKUP(CONCATENATE(A505,$B$10,B505),'3. Resultados'!B:J,9,FALSE),"-")</f>
        <v>-</v>
      </c>
      <c r="N505" s="24"/>
      <c r="O505" s="25" t="str">
        <f t="shared" si="8"/>
        <v>Por iniciar</v>
      </c>
      <c r="P505"/>
    </row>
    <row r="506" spans="1:16" ht="14.5">
      <c r="A506" s="18"/>
      <c r="B506" s="57"/>
      <c r="C506" s="57"/>
      <c r="D506" s="57"/>
      <c r="E506" s="57"/>
      <c r="F506" s="57"/>
      <c r="G506" s="57"/>
      <c r="H506" s="62" t="s">
        <v>60</v>
      </c>
      <c r="I506" s="19" t="s">
        <v>590</v>
      </c>
      <c r="J506" s="24">
        <f>+COUNTIFS('3. Resultados'!C:C,'1. Status'!H506,'3. Resultados'!G:G,'1. Status'!I506)</f>
        <v>0</v>
      </c>
      <c r="K506" s="70" t="str">
        <f>+IFERROR(VLOOKUP(CONCATENATE(A506,$B$10,B506),'3. Resultados'!B:J,8,FALSE),"-")</f>
        <v>-</v>
      </c>
      <c r="L506" s="69" t="str">
        <f>+IFERROR(VLOOKUP(B506,'3. Resultados'!K:L,2,FALSE),"-")</f>
        <v>-</v>
      </c>
      <c r="M506" s="70" t="str">
        <f>+IFERROR(VLOOKUP(CONCATENATE(A506,$B$10,B506),'3. Resultados'!B:J,9,FALSE),"-")</f>
        <v>-</v>
      </c>
      <c r="N506" s="24"/>
      <c r="O506" s="25" t="str">
        <f t="shared" si="8"/>
        <v>Por iniciar</v>
      </c>
      <c r="P506"/>
    </row>
    <row r="507" spans="1:16" ht="14.5">
      <c r="A507" s="18"/>
      <c r="B507" s="57"/>
      <c r="C507" s="57"/>
      <c r="D507" s="57"/>
      <c r="E507" s="57"/>
      <c r="F507" s="57"/>
      <c r="G507" s="57"/>
      <c r="H507" s="62" t="s">
        <v>60</v>
      </c>
      <c r="I507" s="19" t="s">
        <v>591</v>
      </c>
      <c r="J507" s="24">
        <f>+COUNTIFS('3. Resultados'!C:C,'1. Status'!H507,'3. Resultados'!G:G,'1. Status'!I507)</f>
        <v>0</v>
      </c>
      <c r="K507" s="70" t="str">
        <f>+IFERROR(VLOOKUP(CONCATENATE(A507,$B$10,B507),'3. Resultados'!B:J,8,FALSE),"-")</f>
        <v>-</v>
      </c>
      <c r="L507" s="69" t="str">
        <f>+IFERROR(VLOOKUP(B507,'3. Resultados'!K:L,2,FALSE),"-")</f>
        <v>-</v>
      </c>
      <c r="M507" s="70" t="str">
        <f>+IFERROR(VLOOKUP(CONCATENATE(A507,$B$10,B507),'3. Resultados'!B:J,9,FALSE),"-")</f>
        <v>-</v>
      </c>
      <c r="N507" s="24"/>
      <c r="O507" s="25" t="str">
        <f t="shared" si="8"/>
        <v>Por iniciar</v>
      </c>
      <c r="P507"/>
    </row>
    <row r="508" spans="1:16" ht="14.5">
      <c r="A508" s="18"/>
      <c r="B508" s="57"/>
      <c r="C508" s="57"/>
      <c r="D508" s="57"/>
      <c r="E508" s="57"/>
      <c r="F508" s="57"/>
      <c r="G508" s="57"/>
      <c r="H508" s="62" t="s">
        <v>60</v>
      </c>
      <c r="I508" s="19" t="s">
        <v>592</v>
      </c>
      <c r="J508" s="24">
        <f>+COUNTIFS('3. Resultados'!C:C,'1. Status'!H508,'3. Resultados'!G:G,'1. Status'!I508)</f>
        <v>0</v>
      </c>
      <c r="K508" s="70" t="str">
        <f>+IFERROR(VLOOKUP(CONCATENATE(A508,$B$10,B508),'3. Resultados'!B:J,8,FALSE),"-")</f>
        <v>-</v>
      </c>
      <c r="L508" s="69" t="str">
        <f>+IFERROR(VLOOKUP(B508,'3. Resultados'!K:L,2,FALSE),"-")</f>
        <v>-</v>
      </c>
      <c r="M508" s="70" t="str">
        <f>+IFERROR(VLOOKUP(CONCATENATE(A508,$B$10,B508),'3. Resultados'!B:J,9,FALSE),"-")</f>
        <v>-</v>
      </c>
      <c r="N508" s="24"/>
      <c r="O508" s="25" t="str">
        <f t="shared" si="8"/>
        <v>Por iniciar</v>
      </c>
      <c r="P508"/>
    </row>
    <row r="509" spans="1:16" ht="14.5">
      <c r="A509" s="18"/>
      <c r="B509" s="57"/>
      <c r="C509" s="57"/>
      <c r="D509" s="57"/>
      <c r="E509" s="57"/>
      <c r="F509" s="57"/>
      <c r="G509" s="57"/>
      <c r="H509" s="62" t="s">
        <v>60</v>
      </c>
      <c r="I509" s="19" t="s">
        <v>593</v>
      </c>
      <c r="J509" s="24">
        <f>+COUNTIFS('3. Resultados'!C:C,'1. Status'!H509,'3. Resultados'!G:G,'1. Status'!I509)</f>
        <v>0</v>
      </c>
      <c r="K509" s="70" t="str">
        <f>+IFERROR(VLOOKUP(CONCATENATE(A509,$B$10,B509),'3. Resultados'!B:J,8,FALSE),"-")</f>
        <v>-</v>
      </c>
      <c r="L509" s="69" t="str">
        <f>+IFERROR(VLOOKUP(B509,'3. Resultados'!K:L,2,FALSE),"-")</f>
        <v>-</v>
      </c>
      <c r="M509" s="70" t="str">
        <f>+IFERROR(VLOOKUP(CONCATENATE(A509,$B$10,B509),'3. Resultados'!B:J,9,FALSE),"-")</f>
        <v>-</v>
      </c>
      <c r="N509" s="24"/>
      <c r="O509" s="25" t="str">
        <f t="shared" si="8"/>
        <v>Por iniciar</v>
      </c>
      <c r="P509"/>
    </row>
    <row r="510" spans="1:16" ht="14.5">
      <c r="A510" s="18"/>
      <c r="B510" s="57"/>
      <c r="C510" s="57"/>
      <c r="D510" s="57"/>
      <c r="E510" s="57"/>
      <c r="F510" s="57"/>
      <c r="G510" s="57"/>
      <c r="H510" s="62" t="s">
        <v>60</v>
      </c>
      <c r="I510" s="19" t="s">
        <v>594</v>
      </c>
      <c r="J510" s="24">
        <f>+COUNTIFS('3. Resultados'!C:C,'1. Status'!H510,'3. Resultados'!G:G,'1. Status'!I510)</f>
        <v>0</v>
      </c>
      <c r="K510" s="70" t="str">
        <f>+IFERROR(VLOOKUP(CONCATENATE(A510,$B$10,B510),'3. Resultados'!B:J,8,FALSE),"-")</f>
        <v>-</v>
      </c>
      <c r="L510" s="69" t="str">
        <f>+IFERROR(VLOOKUP(B510,'3. Resultados'!K:L,2,FALSE),"-")</f>
        <v>-</v>
      </c>
      <c r="M510" s="70" t="str">
        <f>+IFERROR(VLOOKUP(CONCATENATE(A510,$B$10,B510),'3. Resultados'!B:J,9,FALSE),"-")</f>
        <v>-</v>
      </c>
      <c r="N510" s="24"/>
      <c r="O510" s="25" t="str">
        <f t="shared" si="8"/>
        <v>Por iniciar</v>
      </c>
      <c r="P510"/>
    </row>
    <row r="511" spans="1:16" ht="14.5">
      <c r="A511" s="18"/>
      <c r="B511" s="57"/>
      <c r="C511" s="57"/>
      <c r="D511" s="57"/>
      <c r="E511" s="57"/>
      <c r="F511" s="57"/>
      <c r="G511" s="57"/>
      <c r="H511" s="62" t="s">
        <v>60</v>
      </c>
      <c r="I511" s="19" t="s">
        <v>595</v>
      </c>
      <c r="J511" s="24">
        <f>+COUNTIFS('3. Resultados'!C:C,'1. Status'!H511,'3. Resultados'!G:G,'1. Status'!I511)</f>
        <v>0</v>
      </c>
      <c r="K511" s="70" t="str">
        <f>+IFERROR(VLOOKUP(CONCATENATE(A511,$B$10,B511),'3. Resultados'!B:J,8,FALSE),"-")</f>
        <v>-</v>
      </c>
      <c r="L511" s="69" t="str">
        <f>+IFERROR(VLOOKUP(B511,'3. Resultados'!K:L,2,FALSE),"-")</f>
        <v>-</v>
      </c>
      <c r="M511" s="70" t="str">
        <f>+IFERROR(VLOOKUP(CONCATENATE(A511,$B$10,B511),'3. Resultados'!B:J,9,FALSE),"-")</f>
        <v>-</v>
      </c>
      <c r="N511" s="24"/>
      <c r="O511" s="25" t="str">
        <f t="shared" si="8"/>
        <v>Por iniciar</v>
      </c>
      <c r="P511"/>
    </row>
    <row r="512" spans="1:16" ht="14.5">
      <c r="A512" s="18"/>
      <c r="B512" s="57"/>
      <c r="C512" s="57"/>
      <c r="D512" s="57"/>
      <c r="E512" s="57"/>
      <c r="F512" s="57"/>
      <c r="G512" s="57"/>
      <c r="H512" s="62" t="s">
        <v>60</v>
      </c>
      <c r="I512" s="19" t="s">
        <v>596</v>
      </c>
      <c r="J512" s="24">
        <f>+COUNTIFS('3. Resultados'!C:C,'1. Status'!H512,'3. Resultados'!G:G,'1. Status'!I512)</f>
        <v>0</v>
      </c>
      <c r="K512" s="70" t="str">
        <f>+IFERROR(VLOOKUP(CONCATENATE(A512,$B$10,B512),'3. Resultados'!B:J,8,FALSE),"-")</f>
        <v>-</v>
      </c>
      <c r="L512" s="69" t="str">
        <f>+IFERROR(VLOOKUP(B512,'3. Resultados'!K:L,2,FALSE),"-")</f>
        <v>-</v>
      </c>
      <c r="M512" s="70" t="str">
        <f>+IFERROR(VLOOKUP(CONCATENATE(A512,$B$10,B512),'3. Resultados'!B:J,9,FALSE),"-")</f>
        <v>-</v>
      </c>
      <c r="N512" s="24"/>
      <c r="O512" s="25" t="str">
        <f t="shared" si="8"/>
        <v>Por iniciar</v>
      </c>
      <c r="P512"/>
    </row>
    <row r="513" spans="1:16" ht="14.5">
      <c r="A513" s="18"/>
      <c r="B513" s="57"/>
      <c r="C513" s="57"/>
      <c r="D513" s="57"/>
      <c r="E513" s="57"/>
      <c r="F513" s="57"/>
      <c r="G513" s="57"/>
      <c r="H513" s="62" t="s">
        <v>60</v>
      </c>
      <c r="I513" s="19" t="s">
        <v>597</v>
      </c>
      <c r="J513" s="24">
        <f>+COUNTIFS('3. Resultados'!C:C,'1. Status'!H513,'3. Resultados'!G:G,'1. Status'!I513)</f>
        <v>0</v>
      </c>
      <c r="K513" s="70" t="str">
        <f>+IFERROR(VLOOKUP(CONCATENATE(A513,$B$10,B513),'3. Resultados'!B:J,8,FALSE),"-")</f>
        <v>-</v>
      </c>
      <c r="L513" s="69" t="str">
        <f>+IFERROR(VLOOKUP(B513,'3. Resultados'!K:L,2,FALSE),"-")</f>
        <v>-</v>
      </c>
      <c r="M513" s="70" t="str">
        <f>+IFERROR(VLOOKUP(CONCATENATE(A513,$B$10,B513),'3. Resultados'!B:J,9,FALSE),"-")</f>
        <v>-</v>
      </c>
      <c r="N513" s="24"/>
      <c r="O513" s="25" t="str">
        <f t="shared" si="8"/>
        <v>Por iniciar</v>
      </c>
      <c r="P513"/>
    </row>
    <row r="514" spans="1:16" ht="14.5">
      <c r="A514" s="18"/>
      <c r="B514" s="57"/>
      <c r="C514" s="57"/>
      <c r="D514" s="57"/>
      <c r="E514" s="57"/>
      <c r="F514" s="57"/>
      <c r="G514" s="57"/>
      <c r="H514" s="62" t="s">
        <v>60</v>
      </c>
      <c r="I514" s="19" t="s">
        <v>598</v>
      </c>
      <c r="J514" s="24">
        <f>+COUNTIFS('3. Resultados'!C:C,'1. Status'!H514,'3. Resultados'!G:G,'1. Status'!I514)</f>
        <v>0</v>
      </c>
      <c r="K514" s="70" t="str">
        <f>+IFERROR(VLOOKUP(CONCATENATE(A514,$B$10,B514),'3. Resultados'!B:J,8,FALSE),"-")</f>
        <v>-</v>
      </c>
      <c r="L514" s="69" t="str">
        <f>+IFERROR(VLOOKUP(B514,'3. Resultados'!K:L,2,FALSE),"-")</f>
        <v>-</v>
      </c>
      <c r="M514" s="70" t="str">
        <f>+IFERROR(VLOOKUP(CONCATENATE(A514,$B$10,B514),'3. Resultados'!B:J,9,FALSE),"-")</f>
        <v>-</v>
      </c>
      <c r="N514" s="24"/>
      <c r="O514" s="25" t="str">
        <f t="shared" si="8"/>
        <v>Por iniciar</v>
      </c>
      <c r="P514"/>
    </row>
    <row r="515" spans="1:16" ht="14.5">
      <c r="A515" s="18"/>
      <c r="B515" s="57"/>
      <c r="C515" s="57"/>
      <c r="D515" s="57"/>
      <c r="E515" s="57"/>
      <c r="F515" s="57"/>
      <c r="G515" s="57"/>
      <c r="H515" s="62" t="s">
        <v>60</v>
      </c>
      <c r="I515" s="19" t="s">
        <v>599</v>
      </c>
      <c r="J515" s="24">
        <f>+COUNTIFS('3. Resultados'!C:C,'1. Status'!H515,'3. Resultados'!G:G,'1. Status'!I515)</f>
        <v>0</v>
      </c>
      <c r="K515" s="70" t="str">
        <f>+IFERROR(VLOOKUP(CONCATENATE(A515,$B$10,B515),'3. Resultados'!B:J,8,FALSE),"-")</f>
        <v>-</v>
      </c>
      <c r="L515" s="69" t="str">
        <f>+IFERROR(VLOOKUP(B515,'3. Resultados'!K:L,2,FALSE),"-")</f>
        <v>-</v>
      </c>
      <c r="M515" s="70" t="str">
        <f>+IFERROR(VLOOKUP(CONCATENATE(A515,$B$10,B515),'3. Resultados'!B:J,9,FALSE),"-")</f>
        <v>-</v>
      </c>
      <c r="N515" s="24"/>
      <c r="O515" s="25" t="str">
        <f t="shared" si="8"/>
        <v>Por iniciar</v>
      </c>
      <c r="P515"/>
    </row>
    <row r="516" spans="1:16" ht="14.5">
      <c r="A516" s="18"/>
      <c r="B516" s="57"/>
      <c r="C516" s="57"/>
      <c r="D516" s="57"/>
      <c r="E516" s="57"/>
      <c r="F516" s="57"/>
      <c r="G516" s="57"/>
      <c r="H516" s="62" t="s">
        <v>60</v>
      </c>
      <c r="I516" s="19" t="s">
        <v>600</v>
      </c>
      <c r="J516" s="24">
        <f>+COUNTIFS('3. Resultados'!C:C,'1. Status'!H516,'3. Resultados'!G:G,'1. Status'!I516)</f>
        <v>0</v>
      </c>
      <c r="K516" s="70" t="str">
        <f>+IFERROR(VLOOKUP(CONCATENATE(A516,$B$10,B516),'3. Resultados'!B:J,8,FALSE),"-")</f>
        <v>-</v>
      </c>
      <c r="L516" s="69" t="str">
        <f>+IFERROR(VLOOKUP(B516,'3. Resultados'!K:L,2,FALSE),"-")</f>
        <v>-</v>
      </c>
      <c r="M516" s="70" t="str">
        <f>+IFERROR(VLOOKUP(CONCATENATE(A516,$B$10,B516),'3. Resultados'!B:J,9,FALSE),"-")</f>
        <v>-</v>
      </c>
      <c r="N516" s="24"/>
      <c r="O516" s="25" t="str">
        <f t="shared" si="8"/>
        <v>Por iniciar</v>
      </c>
      <c r="P516"/>
    </row>
    <row r="517" spans="1:16" ht="14.5">
      <c r="A517" s="18"/>
      <c r="B517" s="57"/>
      <c r="C517" s="57"/>
      <c r="D517" s="57"/>
      <c r="E517" s="57"/>
      <c r="F517" s="57"/>
      <c r="G517" s="57"/>
      <c r="H517" s="62" t="s">
        <v>60</v>
      </c>
      <c r="I517" s="19" t="s">
        <v>601</v>
      </c>
      <c r="J517" s="24">
        <f>+COUNTIFS('3. Resultados'!C:C,'1. Status'!H517,'3. Resultados'!G:G,'1. Status'!I517)</f>
        <v>0</v>
      </c>
      <c r="K517" s="70" t="str">
        <f>+IFERROR(VLOOKUP(CONCATENATE(A517,$B$10,B517),'3. Resultados'!B:J,8,FALSE),"-")</f>
        <v>-</v>
      </c>
      <c r="L517" s="69" t="str">
        <f>+IFERROR(VLOOKUP(B517,'3. Resultados'!K:L,2,FALSE),"-")</f>
        <v>-</v>
      </c>
      <c r="M517" s="70" t="str">
        <f>+IFERROR(VLOOKUP(CONCATENATE(A517,$B$10,B517),'3. Resultados'!B:J,9,FALSE),"-")</f>
        <v>-</v>
      </c>
      <c r="N517" s="24"/>
      <c r="O517" s="25" t="str">
        <f t="shared" si="8"/>
        <v>Por iniciar</v>
      </c>
      <c r="P517"/>
    </row>
    <row r="518" spans="1:16" ht="14.5">
      <c r="A518" s="18"/>
      <c r="B518" s="57"/>
      <c r="C518" s="57"/>
      <c r="D518" s="57"/>
      <c r="E518" s="57"/>
      <c r="F518" s="57"/>
      <c r="G518" s="57"/>
      <c r="H518" s="62" t="s">
        <v>60</v>
      </c>
      <c r="I518" s="19" t="s">
        <v>602</v>
      </c>
      <c r="J518" s="24">
        <f>+COUNTIFS('3. Resultados'!C:C,'1. Status'!H518,'3. Resultados'!G:G,'1. Status'!I518)</f>
        <v>0</v>
      </c>
      <c r="K518" s="70" t="str">
        <f>+IFERROR(VLOOKUP(CONCATENATE(A518,$B$10,B518),'3. Resultados'!B:J,8,FALSE),"-")</f>
        <v>-</v>
      </c>
      <c r="L518" s="69" t="str">
        <f>+IFERROR(VLOOKUP(B518,'3. Resultados'!K:L,2,FALSE),"-")</f>
        <v>-</v>
      </c>
      <c r="M518" s="70" t="str">
        <f>+IFERROR(VLOOKUP(CONCATENATE(A518,$B$10,B518),'3. Resultados'!B:J,9,FALSE),"-")</f>
        <v>-</v>
      </c>
      <c r="N518" s="24"/>
      <c r="O518" s="25" t="str">
        <f t="shared" si="8"/>
        <v>Por iniciar</v>
      </c>
      <c r="P518"/>
    </row>
    <row r="519" spans="1:16" ht="14.5">
      <c r="A519" s="18"/>
      <c r="B519" s="57"/>
      <c r="C519" s="57"/>
      <c r="D519" s="57"/>
      <c r="E519" s="57"/>
      <c r="F519" s="57"/>
      <c r="G519" s="57"/>
      <c r="H519" s="62" t="s">
        <v>60</v>
      </c>
      <c r="I519" s="19" t="s">
        <v>178</v>
      </c>
      <c r="J519" s="24">
        <f>+COUNTIFS('3. Resultados'!C:C,'1. Status'!H519,'3. Resultados'!G:G,'1. Status'!I519)</f>
        <v>0</v>
      </c>
      <c r="K519" s="70" t="str">
        <f>+IFERROR(VLOOKUP(CONCATENATE(A519,$B$10,B519),'3. Resultados'!B:J,8,FALSE),"-")</f>
        <v>-</v>
      </c>
      <c r="L519" s="69" t="str">
        <f>+IFERROR(VLOOKUP(B519,'3. Resultados'!K:L,2,FALSE),"-")</f>
        <v>-</v>
      </c>
      <c r="M519" s="70" t="str">
        <f>+IFERROR(VLOOKUP(CONCATENATE(A519,$B$10,B519),'3. Resultados'!B:J,9,FALSE),"-")</f>
        <v>-</v>
      </c>
      <c r="N519" s="24"/>
      <c r="O519" s="25" t="str">
        <f t="shared" si="8"/>
        <v>Por iniciar</v>
      </c>
      <c r="P519"/>
    </row>
    <row r="520" spans="1:16" ht="14.5">
      <c r="A520" s="18"/>
      <c r="B520" s="57"/>
      <c r="C520" s="57"/>
      <c r="D520" s="57"/>
      <c r="E520" s="57"/>
      <c r="F520" s="57"/>
      <c r="G520" s="57"/>
      <c r="H520" s="62" t="s">
        <v>60</v>
      </c>
      <c r="I520" s="19" t="s">
        <v>179</v>
      </c>
      <c r="J520" s="24">
        <f>+COUNTIFS('3. Resultados'!C:C,'1. Status'!H520,'3. Resultados'!G:G,'1. Status'!I520)</f>
        <v>0</v>
      </c>
      <c r="K520" s="70" t="str">
        <f>+IFERROR(VLOOKUP(CONCATENATE(A520,$B$10,B520),'3. Resultados'!B:J,8,FALSE),"-")</f>
        <v>-</v>
      </c>
      <c r="L520" s="69" t="str">
        <f>+IFERROR(VLOOKUP(B520,'3. Resultados'!K:L,2,FALSE),"-")</f>
        <v>-</v>
      </c>
      <c r="M520" s="70" t="str">
        <f>+IFERROR(VLOOKUP(CONCATENATE(A520,$B$10,B520),'3. Resultados'!B:J,9,FALSE),"-")</f>
        <v>-</v>
      </c>
      <c r="N520" s="24"/>
      <c r="O520" s="25" t="str">
        <f t="shared" si="8"/>
        <v>Por iniciar</v>
      </c>
      <c r="P520"/>
    </row>
    <row r="521" spans="1:16" ht="14.5">
      <c r="A521" s="18"/>
      <c r="B521" s="57"/>
      <c r="C521" s="57"/>
      <c r="D521" s="57"/>
      <c r="E521" s="57"/>
      <c r="F521" s="57"/>
      <c r="G521" s="57"/>
      <c r="H521" s="62" t="s">
        <v>60</v>
      </c>
      <c r="I521" s="19" t="s">
        <v>180</v>
      </c>
      <c r="J521" s="24">
        <f>+COUNTIFS('3. Resultados'!C:C,'1. Status'!H521,'3. Resultados'!G:G,'1. Status'!I521)</f>
        <v>0</v>
      </c>
      <c r="K521" s="70" t="str">
        <f>+IFERROR(VLOOKUP(CONCATENATE(A521,$B$10,B521),'3. Resultados'!B:J,8,FALSE),"-")</f>
        <v>-</v>
      </c>
      <c r="L521" s="69" t="str">
        <f>+IFERROR(VLOOKUP(B521,'3. Resultados'!K:L,2,FALSE),"-")</f>
        <v>-</v>
      </c>
      <c r="M521" s="70" t="str">
        <f>+IFERROR(VLOOKUP(CONCATENATE(A521,$B$10,B521),'3. Resultados'!B:J,9,FALSE),"-")</f>
        <v>-</v>
      </c>
      <c r="N521" s="24"/>
      <c r="O521" s="25" t="str">
        <f t="shared" si="8"/>
        <v>Por iniciar</v>
      </c>
      <c r="P521"/>
    </row>
    <row r="522" spans="1:16" ht="14.5">
      <c r="A522" s="18"/>
      <c r="B522" s="57"/>
      <c r="C522" s="57"/>
      <c r="D522" s="57"/>
      <c r="E522" s="57"/>
      <c r="F522" s="57"/>
      <c r="G522" s="57"/>
      <c r="H522" s="62" t="s">
        <v>60</v>
      </c>
      <c r="I522" s="19" t="s">
        <v>181</v>
      </c>
      <c r="J522" s="24">
        <f>+COUNTIFS('3. Resultados'!C:C,'1. Status'!H522,'3. Resultados'!G:G,'1. Status'!I522)</f>
        <v>0</v>
      </c>
      <c r="K522" s="70" t="str">
        <f>+IFERROR(VLOOKUP(CONCATENATE(A522,$B$10,B522),'3. Resultados'!B:J,8,FALSE),"-")</f>
        <v>-</v>
      </c>
      <c r="L522" s="69" t="str">
        <f>+IFERROR(VLOOKUP(B522,'3. Resultados'!K:L,2,FALSE),"-")</f>
        <v>-</v>
      </c>
      <c r="M522" s="70" t="str">
        <f>+IFERROR(VLOOKUP(CONCATENATE(A522,$B$10,B522),'3. Resultados'!B:J,9,FALSE),"-")</f>
        <v>-</v>
      </c>
      <c r="N522" s="24"/>
      <c r="O522" s="25" t="str">
        <f t="shared" si="8"/>
        <v>Por iniciar</v>
      </c>
      <c r="P522"/>
    </row>
    <row r="523" spans="1:16" ht="14.5">
      <c r="A523" s="18"/>
      <c r="B523" s="57"/>
      <c r="C523" s="57"/>
      <c r="D523" s="57"/>
      <c r="E523" s="57"/>
      <c r="F523" s="57"/>
      <c r="G523" s="57"/>
      <c r="H523" s="62" t="s">
        <v>60</v>
      </c>
      <c r="I523" s="19" t="s">
        <v>182</v>
      </c>
      <c r="J523" s="24">
        <f>+COUNTIFS('3. Resultados'!C:C,'1. Status'!H523,'3. Resultados'!G:G,'1. Status'!I523)</f>
        <v>0</v>
      </c>
      <c r="K523" s="70" t="str">
        <f>+IFERROR(VLOOKUP(CONCATENATE(A523,$B$10,B523),'3. Resultados'!B:J,8,FALSE),"-")</f>
        <v>-</v>
      </c>
      <c r="L523" s="69" t="str">
        <f>+IFERROR(VLOOKUP(B523,'3. Resultados'!K:L,2,FALSE),"-")</f>
        <v>-</v>
      </c>
      <c r="M523" s="70" t="str">
        <f>+IFERROR(VLOOKUP(CONCATENATE(A523,$B$10,B523),'3. Resultados'!B:J,9,FALSE),"-")</f>
        <v>-</v>
      </c>
      <c r="N523" s="24"/>
      <c r="O523" s="25" t="str">
        <f t="shared" si="8"/>
        <v>Por iniciar</v>
      </c>
      <c r="P523"/>
    </row>
    <row r="524" spans="1:16" ht="14.5">
      <c r="A524" s="18"/>
      <c r="B524" s="57"/>
      <c r="C524" s="57"/>
      <c r="D524" s="57"/>
      <c r="E524" s="57"/>
      <c r="F524" s="57"/>
      <c r="G524" s="57"/>
      <c r="H524" s="62" t="s">
        <v>60</v>
      </c>
      <c r="I524" s="19" t="s">
        <v>183</v>
      </c>
      <c r="J524" s="24">
        <f>+COUNTIFS('3. Resultados'!C:C,'1. Status'!H524,'3. Resultados'!G:G,'1. Status'!I524)</f>
        <v>0</v>
      </c>
      <c r="K524" s="70" t="str">
        <f>+IFERROR(VLOOKUP(CONCATENATE(A524,$B$10,B524),'3. Resultados'!B:J,8,FALSE),"-")</f>
        <v>-</v>
      </c>
      <c r="L524" s="69" t="str">
        <f>+IFERROR(VLOOKUP(B524,'3. Resultados'!K:L,2,FALSE),"-")</f>
        <v>-</v>
      </c>
      <c r="M524" s="70" t="str">
        <f>+IFERROR(VLOOKUP(CONCATENATE(A524,$B$10,B524),'3. Resultados'!B:J,9,FALSE),"-")</f>
        <v>-</v>
      </c>
      <c r="N524" s="24"/>
      <c r="O524" s="25" t="str">
        <f t="shared" ref="O524:O587" si="9">+IF(J524=0,"Por iniciar",IF(OR(K524="-",M524="-"),"Em testes",IF(M524=0,"OK","NOK")))</f>
        <v>Por iniciar</v>
      </c>
      <c r="P524"/>
    </row>
    <row r="525" spans="1:16" ht="14.5">
      <c r="A525" s="18"/>
      <c r="B525" s="57"/>
      <c r="C525" s="57"/>
      <c r="D525" s="57"/>
      <c r="E525" s="57"/>
      <c r="F525" s="57"/>
      <c r="G525" s="57"/>
      <c r="H525" s="62" t="s">
        <v>60</v>
      </c>
      <c r="I525" s="19" t="s">
        <v>184</v>
      </c>
      <c r="J525" s="24">
        <f>+COUNTIFS('3. Resultados'!C:C,'1. Status'!H525,'3. Resultados'!G:G,'1. Status'!I525)</f>
        <v>0</v>
      </c>
      <c r="K525" s="70" t="str">
        <f>+IFERROR(VLOOKUP(CONCATENATE(A525,$B$10,B525),'3. Resultados'!B:J,8,FALSE),"-")</f>
        <v>-</v>
      </c>
      <c r="L525" s="69" t="str">
        <f>+IFERROR(VLOOKUP(B525,'3. Resultados'!K:L,2,FALSE),"-")</f>
        <v>-</v>
      </c>
      <c r="M525" s="70" t="str">
        <f>+IFERROR(VLOOKUP(CONCATENATE(A525,$B$10,B525),'3. Resultados'!B:J,9,FALSE),"-")</f>
        <v>-</v>
      </c>
      <c r="N525" s="24"/>
      <c r="O525" s="25" t="str">
        <f t="shared" si="9"/>
        <v>Por iniciar</v>
      </c>
      <c r="P525"/>
    </row>
    <row r="526" spans="1:16" ht="14.5">
      <c r="A526" s="18"/>
      <c r="B526" s="57"/>
      <c r="C526" s="57"/>
      <c r="D526" s="57"/>
      <c r="E526" s="57"/>
      <c r="F526" s="57"/>
      <c r="G526" s="57"/>
      <c r="H526" s="62" t="s">
        <v>60</v>
      </c>
      <c r="I526" s="19" t="s">
        <v>185</v>
      </c>
      <c r="J526" s="24">
        <f>+COUNTIFS('3. Resultados'!C:C,'1. Status'!H526,'3. Resultados'!G:G,'1. Status'!I526)</f>
        <v>0</v>
      </c>
      <c r="K526" s="70" t="str">
        <f>+IFERROR(VLOOKUP(CONCATENATE(A526,$B$10,B526),'3. Resultados'!B:J,8,FALSE),"-")</f>
        <v>-</v>
      </c>
      <c r="L526" s="69" t="str">
        <f>+IFERROR(VLOOKUP(B526,'3. Resultados'!K:L,2,FALSE),"-")</f>
        <v>-</v>
      </c>
      <c r="M526" s="70" t="str">
        <f>+IFERROR(VLOOKUP(CONCATENATE(A526,$B$10,B526),'3. Resultados'!B:J,9,FALSE),"-")</f>
        <v>-</v>
      </c>
      <c r="N526" s="24"/>
      <c r="O526" s="25" t="str">
        <f t="shared" si="9"/>
        <v>Por iniciar</v>
      </c>
      <c r="P526"/>
    </row>
    <row r="527" spans="1:16" ht="14.5">
      <c r="A527" s="18"/>
      <c r="B527" s="57"/>
      <c r="C527" s="57"/>
      <c r="D527" s="57"/>
      <c r="E527" s="57"/>
      <c r="F527" s="57"/>
      <c r="G527" s="57"/>
      <c r="H527" s="62" t="s">
        <v>60</v>
      </c>
      <c r="I527" s="19" t="s">
        <v>186</v>
      </c>
      <c r="J527" s="24">
        <f>+COUNTIFS('3. Resultados'!C:C,'1. Status'!H527,'3. Resultados'!G:G,'1. Status'!I527)</f>
        <v>0</v>
      </c>
      <c r="K527" s="70" t="str">
        <f>+IFERROR(VLOOKUP(CONCATENATE(A527,$B$10,B527),'3. Resultados'!B:J,8,FALSE),"-")</f>
        <v>-</v>
      </c>
      <c r="L527" s="69" t="str">
        <f>+IFERROR(VLOOKUP(B527,'3. Resultados'!K:L,2,FALSE),"-")</f>
        <v>-</v>
      </c>
      <c r="M527" s="70" t="str">
        <f>+IFERROR(VLOOKUP(CONCATENATE(A527,$B$10,B527),'3. Resultados'!B:J,9,FALSE),"-")</f>
        <v>-</v>
      </c>
      <c r="N527" s="24"/>
      <c r="O527" s="25" t="str">
        <f t="shared" si="9"/>
        <v>Por iniciar</v>
      </c>
      <c r="P527"/>
    </row>
    <row r="528" spans="1:16" ht="14.5">
      <c r="A528" s="18"/>
      <c r="B528" s="57"/>
      <c r="C528" s="57"/>
      <c r="D528" s="57"/>
      <c r="E528" s="57"/>
      <c r="F528" s="57"/>
      <c r="G528" s="57"/>
      <c r="H528" s="62" t="s">
        <v>60</v>
      </c>
      <c r="I528" s="19" t="s">
        <v>187</v>
      </c>
      <c r="J528" s="24">
        <f>+COUNTIFS('3. Resultados'!C:C,'1. Status'!H528,'3. Resultados'!G:G,'1. Status'!I528)</f>
        <v>0</v>
      </c>
      <c r="K528" s="70" t="str">
        <f>+IFERROR(VLOOKUP(CONCATENATE(A528,$B$10,B528),'3. Resultados'!B:J,8,FALSE),"-")</f>
        <v>-</v>
      </c>
      <c r="L528" s="69" t="str">
        <f>+IFERROR(VLOOKUP(B528,'3. Resultados'!K:L,2,FALSE),"-")</f>
        <v>-</v>
      </c>
      <c r="M528" s="70" t="str">
        <f>+IFERROR(VLOOKUP(CONCATENATE(A528,$B$10,B528),'3. Resultados'!B:J,9,FALSE),"-")</f>
        <v>-</v>
      </c>
      <c r="N528" s="24"/>
      <c r="O528" s="25" t="str">
        <f t="shared" si="9"/>
        <v>Por iniciar</v>
      </c>
      <c r="P528"/>
    </row>
    <row r="529" spans="1:16" ht="14.5">
      <c r="A529" s="18"/>
      <c r="B529" s="57"/>
      <c r="C529" s="57"/>
      <c r="D529" s="57"/>
      <c r="E529" s="57"/>
      <c r="F529" s="57"/>
      <c r="G529" s="57"/>
      <c r="H529" s="62" t="s">
        <v>60</v>
      </c>
      <c r="I529" s="19" t="s">
        <v>188</v>
      </c>
      <c r="J529" s="24">
        <f>+COUNTIFS('3. Resultados'!C:C,'1. Status'!H529,'3. Resultados'!G:G,'1. Status'!I529)</f>
        <v>0</v>
      </c>
      <c r="K529" s="70" t="str">
        <f>+IFERROR(VLOOKUP(CONCATENATE(A529,$B$10,B529),'3. Resultados'!B:J,8,FALSE),"-")</f>
        <v>-</v>
      </c>
      <c r="L529" s="69" t="str">
        <f>+IFERROR(VLOOKUP(B529,'3. Resultados'!K:L,2,FALSE),"-")</f>
        <v>-</v>
      </c>
      <c r="M529" s="70" t="str">
        <f>+IFERROR(VLOOKUP(CONCATENATE(A529,$B$10,B529),'3. Resultados'!B:J,9,FALSE),"-")</f>
        <v>-</v>
      </c>
      <c r="N529" s="24"/>
      <c r="O529" s="25" t="str">
        <f t="shared" si="9"/>
        <v>Por iniciar</v>
      </c>
      <c r="P529"/>
    </row>
    <row r="530" spans="1:16" ht="14.5">
      <c r="A530" s="18"/>
      <c r="B530" s="57"/>
      <c r="C530" s="57"/>
      <c r="D530" s="57"/>
      <c r="E530" s="57"/>
      <c r="F530" s="57"/>
      <c r="G530" s="57"/>
      <c r="H530" s="62" t="s">
        <v>60</v>
      </c>
      <c r="I530" s="19" t="s">
        <v>189</v>
      </c>
      <c r="J530" s="24">
        <f>+COUNTIFS('3. Resultados'!C:C,'1. Status'!H530,'3. Resultados'!G:G,'1. Status'!I530)</f>
        <v>0</v>
      </c>
      <c r="K530" s="70" t="str">
        <f>+IFERROR(VLOOKUP(CONCATENATE(A530,$B$10,B530),'3. Resultados'!B:J,8,FALSE),"-")</f>
        <v>-</v>
      </c>
      <c r="L530" s="69" t="str">
        <f>+IFERROR(VLOOKUP(B530,'3. Resultados'!K:L,2,FALSE),"-")</f>
        <v>-</v>
      </c>
      <c r="M530" s="70" t="str">
        <f>+IFERROR(VLOOKUP(CONCATENATE(A530,$B$10,B530),'3. Resultados'!B:J,9,FALSE),"-")</f>
        <v>-</v>
      </c>
      <c r="N530" s="24"/>
      <c r="O530" s="25" t="str">
        <f t="shared" si="9"/>
        <v>Por iniciar</v>
      </c>
      <c r="P530"/>
    </row>
    <row r="531" spans="1:16" ht="14.5">
      <c r="A531" s="18"/>
      <c r="B531" s="57"/>
      <c r="C531" s="57"/>
      <c r="D531" s="57"/>
      <c r="E531" s="57"/>
      <c r="F531" s="57"/>
      <c r="G531" s="57"/>
      <c r="H531" s="62" t="s">
        <v>60</v>
      </c>
      <c r="I531" s="19" t="s">
        <v>190</v>
      </c>
      <c r="J531" s="24">
        <f>+COUNTIFS('3. Resultados'!C:C,'1. Status'!H531,'3. Resultados'!G:G,'1. Status'!I531)</f>
        <v>0</v>
      </c>
      <c r="K531" s="70" t="str">
        <f>+IFERROR(VLOOKUP(CONCATENATE(A531,$B$10,B531),'3. Resultados'!B:J,8,FALSE),"-")</f>
        <v>-</v>
      </c>
      <c r="L531" s="69" t="str">
        <f>+IFERROR(VLOOKUP(B531,'3. Resultados'!K:L,2,FALSE),"-")</f>
        <v>-</v>
      </c>
      <c r="M531" s="70" t="str">
        <f>+IFERROR(VLOOKUP(CONCATENATE(A531,$B$10,B531),'3. Resultados'!B:J,9,FALSE),"-")</f>
        <v>-</v>
      </c>
      <c r="N531" s="24"/>
      <c r="O531" s="25" t="str">
        <f t="shared" si="9"/>
        <v>Por iniciar</v>
      </c>
      <c r="P531"/>
    </row>
    <row r="532" spans="1:16" ht="14.5">
      <c r="A532" s="18"/>
      <c r="B532" s="57"/>
      <c r="C532" s="57"/>
      <c r="D532" s="57"/>
      <c r="E532" s="57"/>
      <c r="F532" s="57"/>
      <c r="G532" s="57"/>
      <c r="H532" s="62" t="s">
        <v>60</v>
      </c>
      <c r="I532" s="19" t="s">
        <v>191</v>
      </c>
      <c r="J532" s="24">
        <f>+COUNTIFS('3. Resultados'!C:C,'1. Status'!H532,'3. Resultados'!G:G,'1. Status'!I532)</f>
        <v>0</v>
      </c>
      <c r="K532" s="70" t="str">
        <f>+IFERROR(VLOOKUP(CONCATENATE(A532,$B$10,B532),'3. Resultados'!B:J,8,FALSE),"-")</f>
        <v>-</v>
      </c>
      <c r="L532" s="69" t="str">
        <f>+IFERROR(VLOOKUP(B532,'3. Resultados'!K:L,2,FALSE),"-")</f>
        <v>-</v>
      </c>
      <c r="M532" s="70" t="str">
        <f>+IFERROR(VLOOKUP(CONCATENATE(A532,$B$10,B532),'3. Resultados'!B:J,9,FALSE),"-")</f>
        <v>-</v>
      </c>
      <c r="N532" s="24"/>
      <c r="O532" s="25" t="str">
        <f t="shared" si="9"/>
        <v>Por iniciar</v>
      </c>
      <c r="P532"/>
    </row>
    <row r="533" spans="1:16" ht="14.5">
      <c r="A533" s="18"/>
      <c r="B533" s="57"/>
      <c r="C533" s="57"/>
      <c r="D533" s="57"/>
      <c r="E533" s="57"/>
      <c r="F533" s="57"/>
      <c r="G533" s="57"/>
      <c r="H533" s="62" t="s">
        <v>60</v>
      </c>
      <c r="I533" s="19" t="s">
        <v>192</v>
      </c>
      <c r="J533" s="24">
        <f>+COUNTIFS('3. Resultados'!C:C,'1. Status'!H533,'3. Resultados'!G:G,'1. Status'!I533)</f>
        <v>0</v>
      </c>
      <c r="K533" s="70" t="str">
        <f>+IFERROR(VLOOKUP(CONCATENATE(A533,$B$10,B533),'3. Resultados'!B:J,8,FALSE),"-")</f>
        <v>-</v>
      </c>
      <c r="L533" s="69" t="str">
        <f>+IFERROR(VLOOKUP(B533,'3. Resultados'!K:L,2,FALSE),"-")</f>
        <v>-</v>
      </c>
      <c r="M533" s="70" t="str">
        <f>+IFERROR(VLOOKUP(CONCATENATE(A533,$B$10,B533),'3. Resultados'!B:J,9,FALSE),"-")</f>
        <v>-</v>
      </c>
      <c r="N533" s="24"/>
      <c r="O533" s="25" t="str">
        <f t="shared" si="9"/>
        <v>Por iniciar</v>
      </c>
      <c r="P533"/>
    </row>
    <row r="534" spans="1:16" ht="14.5">
      <c r="A534" s="18"/>
      <c r="B534" s="57"/>
      <c r="C534" s="57"/>
      <c r="D534" s="57"/>
      <c r="E534" s="57"/>
      <c r="F534" s="57"/>
      <c r="G534" s="57"/>
      <c r="H534" s="62" t="s">
        <v>60</v>
      </c>
      <c r="I534" s="19" t="s">
        <v>193</v>
      </c>
      <c r="J534" s="24">
        <f>+COUNTIFS('3. Resultados'!C:C,'1. Status'!H534,'3. Resultados'!G:G,'1. Status'!I534)</f>
        <v>0</v>
      </c>
      <c r="K534" s="70" t="str">
        <f>+IFERROR(VLOOKUP(CONCATENATE(A534,$B$10,B534),'3. Resultados'!B:J,8,FALSE),"-")</f>
        <v>-</v>
      </c>
      <c r="L534" s="69" t="str">
        <f>+IFERROR(VLOOKUP(B534,'3. Resultados'!K:L,2,FALSE),"-")</f>
        <v>-</v>
      </c>
      <c r="M534" s="70" t="str">
        <f>+IFERROR(VLOOKUP(CONCATENATE(A534,$B$10,B534),'3. Resultados'!B:J,9,FALSE),"-")</f>
        <v>-</v>
      </c>
      <c r="N534" s="24"/>
      <c r="O534" s="25" t="str">
        <f t="shared" si="9"/>
        <v>Por iniciar</v>
      </c>
      <c r="P534"/>
    </row>
    <row r="535" spans="1:16" ht="14.5">
      <c r="A535" s="18"/>
      <c r="B535" s="57"/>
      <c r="C535" s="57"/>
      <c r="D535" s="57"/>
      <c r="E535" s="57"/>
      <c r="F535" s="57"/>
      <c r="G535" s="57"/>
      <c r="H535" s="62" t="s">
        <v>60</v>
      </c>
      <c r="I535" s="19" t="s">
        <v>194</v>
      </c>
      <c r="J535" s="24">
        <f>+COUNTIFS('3. Resultados'!C:C,'1. Status'!H535,'3. Resultados'!G:G,'1. Status'!I535)</f>
        <v>0</v>
      </c>
      <c r="K535" s="70" t="str">
        <f>+IFERROR(VLOOKUP(CONCATENATE(A535,$B$10,B535),'3. Resultados'!B:J,8,FALSE),"-")</f>
        <v>-</v>
      </c>
      <c r="L535" s="69" t="str">
        <f>+IFERROR(VLOOKUP(B535,'3. Resultados'!K:L,2,FALSE),"-")</f>
        <v>-</v>
      </c>
      <c r="M535" s="70" t="str">
        <f>+IFERROR(VLOOKUP(CONCATENATE(A535,$B$10,B535),'3. Resultados'!B:J,9,FALSE),"-")</f>
        <v>-</v>
      </c>
      <c r="N535" s="24"/>
      <c r="O535" s="25" t="str">
        <f t="shared" si="9"/>
        <v>Por iniciar</v>
      </c>
      <c r="P535"/>
    </row>
    <row r="536" spans="1:16" ht="14.5">
      <c r="A536" s="18"/>
      <c r="B536" s="57"/>
      <c r="C536" s="57"/>
      <c r="D536" s="57"/>
      <c r="E536" s="57"/>
      <c r="F536" s="57"/>
      <c r="G536" s="57"/>
      <c r="H536" s="62" t="s">
        <v>60</v>
      </c>
      <c r="I536" s="19" t="s">
        <v>195</v>
      </c>
      <c r="J536" s="24">
        <f>+COUNTIFS('3. Resultados'!C:C,'1. Status'!H536,'3. Resultados'!G:G,'1. Status'!I536)</f>
        <v>0</v>
      </c>
      <c r="K536" s="70" t="str">
        <f>+IFERROR(VLOOKUP(CONCATENATE(A536,$B$10,B536),'3. Resultados'!B:J,8,FALSE),"-")</f>
        <v>-</v>
      </c>
      <c r="L536" s="69" t="str">
        <f>+IFERROR(VLOOKUP(B536,'3. Resultados'!K:L,2,FALSE),"-")</f>
        <v>-</v>
      </c>
      <c r="M536" s="70" t="str">
        <f>+IFERROR(VLOOKUP(CONCATENATE(A536,$B$10,B536),'3. Resultados'!B:J,9,FALSE),"-")</f>
        <v>-</v>
      </c>
      <c r="N536" s="24"/>
      <c r="O536" s="25" t="str">
        <f t="shared" si="9"/>
        <v>Por iniciar</v>
      </c>
      <c r="P536"/>
    </row>
    <row r="537" spans="1:16" ht="14.5">
      <c r="A537" s="18"/>
      <c r="B537" s="57"/>
      <c r="C537" s="57"/>
      <c r="D537" s="57"/>
      <c r="E537" s="57"/>
      <c r="F537" s="57"/>
      <c r="G537" s="57"/>
      <c r="H537" s="62" t="s">
        <v>60</v>
      </c>
      <c r="I537" s="19" t="s">
        <v>196</v>
      </c>
      <c r="J537" s="24">
        <f>+COUNTIFS('3. Resultados'!C:C,'1. Status'!H537,'3. Resultados'!G:G,'1. Status'!I537)</f>
        <v>0</v>
      </c>
      <c r="K537" s="70" t="str">
        <f>+IFERROR(VLOOKUP(CONCATENATE(A537,$B$10,B537),'3. Resultados'!B:J,8,FALSE),"-")</f>
        <v>-</v>
      </c>
      <c r="L537" s="69" t="str">
        <f>+IFERROR(VLOOKUP(B537,'3. Resultados'!K:L,2,FALSE),"-")</f>
        <v>-</v>
      </c>
      <c r="M537" s="70" t="str">
        <f>+IFERROR(VLOOKUP(CONCATENATE(A537,$B$10,B537),'3. Resultados'!B:J,9,FALSE),"-")</f>
        <v>-</v>
      </c>
      <c r="N537" s="24"/>
      <c r="O537" s="25" t="str">
        <f t="shared" si="9"/>
        <v>Por iniciar</v>
      </c>
      <c r="P537"/>
    </row>
    <row r="538" spans="1:16" ht="14.5">
      <c r="A538" s="18"/>
      <c r="B538" s="57"/>
      <c r="C538" s="57"/>
      <c r="D538" s="57"/>
      <c r="E538" s="57"/>
      <c r="F538" s="57"/>
      <c r="G538" s="57"/>
      <c r="H538" s="62" t="s">
        <v>60</v>
      </c>
      <c r="I538" s="19" t="s">
        <v>197</v>
      </c>
      <c r="J538" s="24">
        <f>+COUNTIFS('3. Resultados'!C:C,'1. Status'!H538,'3. Resultados'!G:G,'1. Status'!I538)</f>
        <v>0</v>
      </c>
      <c r="K538" s="70" t="str">
        <f>+IFERROR(VLOOKUP(CONCATENATE(A538,$B$10,B538),'3. Resultados'!B:J,8,FALSE),"-")</f>
        <v>-</v>
      </c>
      <c r="L538" s="69" t="str">
        <f>+IFERROR(VLOOKUP(B538,'3. Resultados'!K:L,2,FALSE),"-")</f>
        <v>-</v>
      </c>
      <c r="M538" s="70" t="str">
        <f>+IFERROR(VLOOKUP(CONCATENATE(A538,$B$10,B538),'3. Resultados'!B:J,9,FALSE),"-")</f>
        <v>-</v>
      </c>
      <c r="N538" s="24"/>
      <c r="O538" s="25" t="str">
        <f t="shared" si="9"/>
        <v>Por iniciar</v>
      </c>
      <c r="P538"/>
    </row>
    <row r="539" spans="1:16" ht="14.5">
      <c r="A539" s="18"/>
      <c r="B539" s="57"/>
      <c r="C539" s="57"/>
      <c r="D539" s="57"/>
      <c r="E539" s="57"/>
      <c r="F539" s="57"/>
      <c r="G539" s="57"/>
      <c r="H539" s="62" t="s">
        <v>60</v>
      </c>
      <c r="I539" s="19" t="s">
        <v>198</v>
      </c>
      <c r="J539" s="24">
        <f>+COUNTIFS('3. Resultados'!C:C,'1. Status'!H539,'3. Resultados'!G:G,'1. Status'!I539)</f>
        <v>0</v>
      </c>
      <c r="K539" s="70" t="str">
        <f>+IFERROR(VLOOKUP(CONCATENATE(A539,$B$10,B539),'3. Resultados'!B:J,8,FALSE),"-")</f>
        <v>-</v>
      </c>
      <c r="L539" s="69" t="str">
        <f>+IFERROR(VLOOKUP(B539,'3. Resultados'!K:L,2,FALSE),"-")</f>
        <v>-</v>
      </c>
      <c r="M539" s="70" t="str">
        <f>+IFERROR(VLOOKUP(CONCATENATE(A539,$B$10,B539),'3. Resultados'!B:J,9,FALSE),"-")</f>
        <v>-</v>
      </c>
      <c r="N539" s="24"/>
      <c r="O539" s="25" t="str">
        <f t="shared" si="9"/>
        <v>Por iniciar</v>
      </c>
      <c r="P539"/>
    </row>
    <row r="540" spans="1:16" ht="14.5">
      <c r="A540" s="18"/>
      <c r="B540" s="57"/>
      <c r="C540" s="57"/>
      <c r="D540" s="57"/>
      <c r="E540" s="57"/>
      <c r="F540" s="57"/>
      <c r="G540" s="57"/>
      <c r="H540" s="62" t="s">
        <v>60</v>
      </c>
      <c r="I540" s="19" t="s">
        <v>603</v>
      </c>
      <c r="J540" s="24">
        <f>+COUNTIFS('3. Resultados'!C:C,'1. Status'!H540,'3. Resultados'!G:G,'1. Status'!I540)</f>
        <v>0</v>
      </c>
      <c r="K540" s="70" t="str">
        <f>+IFERROR(VLOOKUP(CONCATENATE(A540,$B$10,B540),'3. Resultados'!B:J,8,FALSE),"-")</f>
        <v>-</v>
      </c>
      <c r="L540" s="69" t="str">
        <f>+IFERROR(VLOOKUP(B540,'3. Resultados'!K:L,2,FALSE),"-")</f>
        <v>-</v>
      </c>
      <c r="M540" s="70" t="str">
        <f>+IFERROR(VLOOKUP(CONCATENATE(A540,$B$10,B540),'3. Resultados'!B:J,9,FALSE),"-")</f>
        <v>-</v>
      </c>
      <c r="N540" s="24"/>
      <c r="O540" s="25" t="str">
        <f t="shared" si="9"/>
        <v>Por iniciar</v>
      </c>
      <c r="P540"/>
    </row>
    <row r="541" spans="1:16" ht="14.5">
      <c r="A541" s="18"/>
      <c r="B541" s="57"/>
      <c r="C541" s="57"/>
      <c r="D541" s="57"/>
      <c r="E541" s="57"/>
      <c r="F541" s="57"/>
      <c r="G541" s="57"/>
      <c r="H541" s="62" t="s">
        <v>60</v>
      </c>
      <c r="I541" s="19" t="s">
        <v>604</v>
      </c>
      <c r="J541" s="24">
        <f>+COUNTIFS('3. Resultados'!C:C,'1. Status'!H541,'3. Resultados'!G:G,'1. Status'!I541)</f>
        <v>0</v>
      </c>
      <c r="K541" s="70" t="str">
        <f>+IFERROR(VLOOKUP(CONCATENATE(A541,$B$10,B541),'3. Resultados'!B:J,8,FALSE),"-")</f>
        <v>-</v>
      </c>
      <c r="L541" s="69" t="str">
        <f>+IFERROR(VLOOKUP(B541,'3. Resultados'!K:L,2,FALSE),"-")</f>
        <v>-</v>
      </c>
      <c r="M541" s="70" t="str">
        <f>+IFERROR(VLOOKUP(CONCATENATE(A541,$B$10,B541),'3. Resultados'!B:J,9,FALSE),"-")</f>
        <v>-</v>
      </c>
      <c r="N541" s="24"/>
      <c r="O541" s="25" t="str">
        <f t="shared" si="9"/>
        <v>Por iniciar</v>
      </c>
      <c r="P541"/>
    </row>
    <row r="542" spans="1:16" ht="14.5">
      <c r="A542" s="18"/>
      <c r="B542" s="57"/>
      <c r="C542" s="57"/>
      <c r="D542" s="57"/>
      <c r="E542" s="57"/>
      <c r="F542" s="57"/>
      <c r="G542" s="57"/>
      <c r="H542" s="62" t="s">
        <v>60</v>
      </c>
      <c r="I542" s="19" t="s">
        <v>605</v>
      </c>
      <c r="J542" s="24">
        <f>+COUNTIFS('3. Resultados'!C:C,'1. Status'!H542,'3. Resultados'!G:G,'1. Status'!I542)</f>
        <v>0</v>
      </c>
      <c r="K542" s="70" t="str">
        <f>+IFERROR(VLOOKUP(CONCATENATE(A542,$B$10,B542),'3. Resultados'!B:J,8,FALSE),"-")</f>
        <v>-</v>
      </c>
      <c r="L542" s="69" t="str">
        <f>+IFERROR(VLOOKUP(B542,'3. Resultados'!K:L,2,FALSE),"-")</f>
        <v>-</v>
      </c>
      <c r="M542" s="70" t="str">
        <f>+IFERROR(VLOOKUP(CONCATENATE(A542,$B$10,B542),'3. Resultados'!B:J,9,FALSE),"-")</f>
        <v>-</v>
      </c>
      <c r="N542" s="24"/>
      <c r="O542" s="25" t="str">
        <f t="shared" si="9"/>
        <v>Por iniciar</v>
      </c>
      <c r="P542"/>
    </row>
    <row r="543" spans="1:16" ht="14.5">
      <c r="A543" s="18"/>
      <c r="B543" s="57"/>
      <c r="C543" s="57"/>
      <c r="D543" s="57"/>
      <c r="E543" s="57"/>
      <c r="F543" s="57"/>
      <c r="G543" s="57"/>
      <c r="H543" s="62" t="s">
        <v>60</v>
      </c>
      <c r="I543" s="19" t="s">
        <v>606</v>
      </c>
      <c r="J543" s="24">
        <f>+COUNTIFS('3. Resultados'!C:C,'1. Status'!H543,'3. Resultados'!G:G,'1. Status'!I543)</f>
        <v>0</v>
      </c>
      <c r="K543" s="70" t="str">
        <f>+IFERROR(VLOOKUP(CONCATENATE(A543,$B$10,B543),'3. Resultados'!B:J,8,FALSE),"-")</f>
        <v>-</v>
      </c>
      <c r="L543" s="69" t="str">
        <f>+IFERROR(VLOOKUP(B543,'3. Resultados'!K:L,2,FALSE),"-")</f>
        <v>-</v>
      </c>
      <c r="M543" s="70" t="str">
        <f>+IFERROR(VLOOKUP(CONCATENATE(A543,$B$10,B543),'3. Resultados'!B:J,9,FALSE),"-")</f>
        <v>-</v>
      </c>
      <c r="N543" s="24"/>
      <c r="O543" s="25" t="str">
        <f t="shared" si="9"/>
        <v>Por iniciar</v>
      </c>
      <c r="P543"/>
    </row>
    <row r="544" spans="1:16" ht="14.5">
      <c r="A544" s="18"/>
      <c r="B544" s="57"/>
      <c r="C544" s="57"/>
      <c r="D544" s="57"/>
      <c r="E544" s="57"/>
      <c r="F544" s="57"/>
      <c r="G544" s="57"/>
      <c r="H544" s="62" t="s">
        <v>60</v>
      </c>
      <c r="I544" s="19" t="s">
        <v>495</v>
      </c>
      <c r="J544" s="24">
        <f>+COUNTIFS('3. Resultados'!C:C,'1. Status'!H544,'3. Resultados'!G:G,'1. Status'!I544)</f>
        <v>0</v>
      </c>
      <c r="K544" s="70" t="str">
        <f>+IFERROR(VLOOKUP(CONCATENATE(A544,$B$10,B544),'3. Resultados'!B:J,8,FALSE),"-")</f>
        <v>-</v>
      </c>
      <c r="L544" s="69" t="str">
        <f>+IFERROR(VLOOKUP(B544,'3. Resultados'!K:L,2,FALSE),"-")</f>
        <v>-</v>
      </c>
      <c r="M544" s="70" t="str">
        <f>+IFERROR(VLOOKUP(CONCATENATE(A544,$B$10,B544),'3. Resultados'!B:J,9,FALSE),"-")</f>
        <v>-</v>
      </c>
      <c r="N544" s="24"/>
      <c r="O544" s="25" t="str">
        <f t="shared" si="9"/>
        <v>Por iniciar</v>
      </c>
      <c r="P544"/>
    </row>
    <row r="545" spans="1:16" ht="14.5">
      <c r="A545" s="18"/>
      <c r="B545" s="57"/>
      <c r="C545" s="57"/>
      <c r="D545" s="57"/>
      <c r="E545" s="57"/>
      <c r="F545" s="57"/>
      <c r="G545" s="57"/>
      <c r="H545" s="62" t="s">
        <v>60</v>
      </c>
      <c r="I545" s="19" t="s">
        <v>496</v>
      </c>
      <c r="J545" s="24">
        <f>+COUNTIFS('3. Resultados'!C:C,'1. Status'!H545,'3. Resultados'!G:G,'1. Status'!I545)</f>
        <v>0</v>
      </c>
      <c r="K545" s="70" t="str">
        <f>+IFERROR(VLOOKUP(CONCATENATE(A545,$B$10,B545),'3. Resultados'!B:J,8,FALSE),"-")</f>
        <v>-</v>
      </c>
      <c r="L545" s="69" t="str">
        <f>+IFERROR(VLOOKUP(B545,'3. Resultados'!K:L,2,FALSE),"-")</f>
        <v>-</v>
      </c>
      <c r="M545" s="70" t="str">
        <f>+IFERROR(VLOOKUP(CONCATENATE(A545,$B$10,B545),'3. Resultados'!B:J,9,FALSE),"-")</f>
        <v>-</v>
      </c>
      <c r="N545" s="24"/>
      <c r="O545" s="25" t="str">
        <f t="shared" si="9"/>
        <v>Por iniciar</v>
      </c>
      <c r="P545"/>
    </row>
    <row r="546" spans="1:16" ht="14.5">
      <c r="A546" s="18"/>
      <c r="B546" s="57"/>
      <c r="C546" s="57"/>
      <c r="D546" s="57"/>
      <c r="E546" s="57"/>
      <c r="F546" s="57"/>
      <c r="G546" s="57"/>
      <c r="H546" s="62" t="s">
        <v>60</v>
      </c>
      <c r="I546" s="19" t="s">
        <v>607</v>
      </c>
      <c r="J546" s="24">
        <f>+COUNTIFS('3. Resultados'!C:C,'1. Status'!H546,'3. Resultados'!G:G,'1. Status'!I546)</f>
        <v>0</v>
      </c>
      <c r="K546" s="70" t="str">
        <f>+IFERROR(VLOOKUP(CONCATENATE(A546,$B$10,B546),'3. Resultados'!B:J,8,FALSE),"-")</f>
        <v>-</v>
      </c>
      <c r="L546" s="69" t="str">
        <f>+IFERROR(VLOOKUP(B546,'3. Resultados'!K:L,2,FALSE),"-")</f>
        <v>-</v>
      </c>
      <c r="M546" s="70" t="str">
        <f>+IFERROR(VLOOKUP(CONCATENATE(A546,$B$10,B546),'3. Resultados'!B:J,9,FALSE),"-")</f>
        <v>-</v>
      </c>
      <c r="N546" s="24"/>
      <c r="O546" s="25" t="str">
        <f t="shared" si="9"/>
        <v>Por iniciar</v>
      </c>
      <c r="P546"/>
    </row>
    <row r="547" spans="1:16" ht="14.5">
      <c r="A547" s="18"/>
      <c r="B547" s="57"/>
      <c r="C547" s="57"/>
      <c r="D547" s="57"/>
      <c r="E547" s="57"/>
      <c r="F547" s="57"/>
      <c r="G547" s="57"/>
      <c r="H547" s="62" t="s">
        <v>60</v>
      </c>
      <c r="I547" s="19" t="s">
        <v>608</v>
      </c>
      <c r="J547" s="24">
        <f>+COUNTIFS('3. Resultados'!C:C,'1. Status'!H547,'3. Resultados'!G:G,'1. Status'!I547)</f>
        <v>0</v>
      </c>
      <c r="K547" s="70" t="str">
        <f>+IFERROR(VLOOKUP(CONCATENATE(A547,$B$10,B547),'3. Resultados'!B:J,8,FALSE),"-")</f>
        <v>-</v>
      </c>
      <c r="L547" s="69" t="str">
        <f>+IFERROR(VLOOKUP(B547,'3. Resultados'!K:L,2,FALSE),"-")</f>
        <v>-</v>
      </c>
      <c r="M547" s="70" t="str">
        <f>+IFERROR(VLOOKUP(CONCATENATE(A547,$B$10,B547),'3. Resultados'!B:J,9,FALSE),"-")</f>
        <v>-</v>
      </c>
      <c r="N547" s="24"/>
      <c r="O547" s="25" t="str">
        <f t="shared" si="9"/>
        <v>Por iniciar</v>
      </c>
      <c r="P547"/>
    </row>
    <row r="548" spans="1:16" ht="14.5">
      <c r="A548" s="18"/>
      <c r="B548" s="57"/>
      <c r="C548" s="57"/>
      <c r="D548" s="57"/>
      <c r="E548" s="57"/>
      <c r="F548" s="57"/>
      <c r="G548" s="57"/>
      <c r="H548" s="62" t="s">
        <v>60</v>
      </c>
      <c r="I548" s="19" t="s">
        <v>609</v>
      </c>
      <c r="J548" s="24">
        <f>+COUNTIFS('3. Resultados'!C:C,'1. Status'!H548,'3. Resultados'!G:G,'1. Status'!I548)</f>
        <v>0</v>
      </c>
      <c r="K548" s="70" t="str">
        <f>+IFERROR(VLOOKUP(CONCATENATE(A548,$B$10,B548),'3. Resultados'!B:J,8,FALSE),"-")</f>
        <v>-</v>
      </c>
      <c r="L548" s="69" t="str">
        <f>+IFERROR(VLOOKUP(B548,'3. Resultados'!K:L,2,FALSE),"-")</f>
        <v>-</v>
      </c>
      <c r="M548" s="70" t="str">
        <f>+IFERROR(VLOOKUP(CONCATENATE(A548,$B$10,B548),'3. Resultados'!B:J,9,FALSE),"-")</f>
        <v>-</v>
      </c>
      <c r="N548" s="24"/>
      <c r="O548" s="25" t="str">
        <f t="shared" si="9"/>
        <v>Por iniciar</v>
      </c>
      <c r="P548"/>
    </row>
    <row r="549" spans="1:16" ht="14.5">
      <c r="A549" s="18"/>
      <c r="B549" s="57"/>
      <c r="C549" s="57"/>
      <c r="D549" s="57"/>
      <c r="E549" s="57"/>
      <c r="F549" s="57"/>
      <c r="G549" s="57"/>
      <c r="H549" s="62" t="s">
        <v>60</v>
      </c>
      <c r="I549" s="19" t="s">
        <v>610</v>
      </c>
      <c r="J549" s="24">
        <f>+COUNTIFS('3. Resultados'!C:C,'1. Status'!H549,'3. Resultados'!G:G,'1. Status'!I549)</f>
        <v>0</v>
      </c>
      <c r="K549" s="70" t="str">
        <f>+IFERROR(VLOOKUP(CONCATENATE(A549,$B$10,B549),'3. Resultados'!B:J,8,FALSE),"-")</f>
        <v>-</v>
      </c>
      <c r="L549" s="69" t="str">
        <f>+IFERROR(VLOOKUP(B549,'3. Resultados'!K:L,2,FALSE),"-")</f>
        <v>-</v>
      </c>
      <c r="M549" s="70" t="str">
        <f>+IFERROR(VLOOKUP(CONCATENATE(A549,$B$10,B549),'3. Resultados'!B:J,9,FALSE),"-")</f>
        <v>-</v>
      </c>
      <c r="N549" s="24"/>
      <c r="O549" s="25" t="str">
        <f t="shared" si="9"/>
        <v>Por iniciar</v>
      </c>
      <c r="P549"/>
    </row>
    <row r="550" spans="1:16" ht="14.5">
      <c r="A550" s="18"/>
      <c r="B550" s="57"/>
      <c r="C550" s="57"/>
      <c r="D550" s="57"/>
      <c r="E550" s="57"/>
      <c r="F550" s="57"/>
      <c r="G550" s="57"/>
      <c r="H550" s="62" t="s">
        <v>60</v>
      </c>
      <c r="I550" s="19" t="s">
        <v>611</v>
      </c>
      <c r="J550" s="24">
        <f>+COUNTIFS('3. Resultados'!C:C,'1. Status'!H550,'3. Resultados'!G:G,'1. Status'!I550)</f>
        <v>0</v>
      </c>
      <c r="K550" s="70" t="str">
        <f>+IFERROR(VLOOKUP(CONCATENATE(A550,$B$10,B550),'3. Resultados'!B:J,8,FALSE),"-")</f>
        <v>-</v>
      </c>
      <c r="L550" s="69" t="str">
        <f>+IFERROR(VLOOKUP(B550,'3. Resultados'!K:L,2,FALSE),"-")</f>
        <v>-</v>
      </c>
      <c r="M550" s="70" t="str">
        <f>+IFERROR(VLOOKUP(CONCATENATE(A550,$B$10,B550),'3. Resultados'!B:J,9,FALSE),"-")</f>
        <v>-</v>
      </c>
      <c r="N550" s="24"/>
      <c r="O550" s="25" t="str">
        <f t="shared" si="9"/>
        <v>Por iniciar</v>
      </c>
      <c r="P550"/>
    </row>
    <row r="551" spans="1:16" ht="14.5">
      <c r="A551" s="18"/>
      <c r="B551" s="57"/>
      <c r="C551" s="57"/>
      <c r="D551" s="57"/>
      <c r="E551" s="57"/>
      <c r="F551" s="57"/>
      <c r="G551" s="57"/>
      <c r="H551" s="62" t="s">
        <v>59</v>
      </c>
      <c r="I551" s="19" t="s">
        <v>612</v>
      </c>
      <c r="J551" s="24">
        <f>+COUNTIFS('3. Resultados'!C:C,'1. Status'!H551,'3. Resultados'!G:G,'1. Status'!I551)</f>
        <v>0</v>
      </c>
      <c r="K551" s="70" t="str">
        <f>+IFERROR(VLOOKUP(CONCATENATE(A551,$B$10,B551),'3. Resultados'!B:J,8,FALSE),"-")</f>
        <v>-</v>
      </c>
      <c r="L551" s="69" t="str">
        <f>+IFERROR(VLOOKUP(B551,'3. Resultados'!K:L,2,FALSE),"-")</f>
        <v>-</v>
      </c>
      <c r="M551" s="70" t="str">
        <f>+IFERROR(VLOOKUP(CONCATENATE(A551,$B$10,B551),'3. Resultados'!B:J,9,FALSE),"-")</f>
        <v>-</v>
      </c>
      <c r="N551" s="24"/>
      <c r="O551" s="25" t="str">
        <f t="shared" si="9"/>
        <v>Por iniciar</v>
      </c>
      <c r="P551"/>
    </row>
    <row r="552" spans="1:16" ht="14.5">
      <c r="A552" s="18"/>
      <c r="B552" s="57"/>
      <c r="C552" s="57"/>
      <c r="D552" s="57"/>
      <c r="E552" s="57"/>
      <c r="F552" s="57"/>
      <c r="G552" s="57"/>
      <c r="H552" s="62" t="s">
        <v>59</v>
      </c>
      <c r="I552" s="19" t="s">
        <v>613</v>
      </c>
      <c r="J552" s="24">
        <f>+COUNTIFS('3. Resultados'!C:C,'1. Status'!H552,'3. Resultados'!G:G,'1. Status'!I552)</f>
        <v>0</v>
      </c>
      <c r="K552" s="70" t="str">
        <f>+IFERROR(VLOOKUP(CONCATENATE(A552,$B$10,B552),'3. Resultados'!B:J,8,FALSE),"-")</f>
        <v>-</v>
      </c>
      <c r="L552" s="69" t="str">
        <f>+IFERROR(VLOOKUP(B552,'3. Resultados'!K:L,2,FALSE),"-")</f>
        <v>-</v>
      </c>
      <c r="M552" s="70" t="str">
        <f>+IFERROR(VLOOKUP(CONCATENATE(A552,$B$10,B552),'3. Resultados'!B:J,9,FALSE),"-")</f>
        <v>-</v>
      </c>
      <c r="N552" s="24"/>
      <c r="O552" s="25" t="str">
        <f t="shared" si="9"/>
        <v>Por iniciar</v>
      </c>
      <c r="P552"/>
    </row>
    <row r="553" spans="1:16" ht="14.5">
      <c r="A553" s="18"/>
      <c r="B553" s="57"/>
      <c r="C553" s="57"/>
      <c r="D553" s="57"/>
      <c r="E553" s="57"/>
      <c r="F553" s="57"/>
      <c r="G553" s="57"/>
      <c r="H553" s="62" t="s">
        <v>59</v>
      </c>
      <c r="I553" s="19" t="s">
        <v>614</v>
      </c>
      <c r="J553" s="24">
        <f>+COUNTIFS('3. Resultados'!C:C,'1. Status'!H553,'3. Resultados'!G:G,'1. Status'!I553)</f>
        <v>0</v>
      </c>
      <c r="K553" s="70" t="str">
        <f>+IFERROR(VLOOKUP(CONCATENATE(A553,$B$10,B553),'3. Resultados'!B:J,8,FALSE),"-")</f>
        <v>-</v>
      </c>
      <c r="L553" s="69" t="str">
        <f>+IFERROR(VLOOKUP(B553,'3. Resultados'!K:L,2,FALSE),"-")</f>
        <v>-</v>
      </c>
      <c r="M553" s="70" t="str">
        <f>+IFERROR(VLOOKUP(CONCATENATE(A553,$B$10,B553),'3. Resultados'!B:J,9,FALSE),"-")</f>
        <v>-</v>
      </c>
      <c r="N553" s="24"/>
      <c r="O553" s="25" t="str">
        <f t="shared" si="9"/>
        <v>Por iniciar</v>
      </c>
      <c r="P553"/>
    </row>
    <row r="554" spans="1:16" ht="14.5">
      <c r="A554" s="18"/>
      <c r="B554" s="57"/>
      <c r="C554" s="57"/>
      <c r="D554" s="57"/>
      <c r="E554" s="57"/>
      <c r="F554" s="57"/>
      <c r="G554" s="57"/>
      <c r="H554" s="62" t="s">
        <v>59</v>
      </c>
      <c r="I554" s="19" t="s">
        <v>615</v>
      </c>
      <c r="J554" s="24">
        <f>+COUNTIFS('3. Resultados'!C:C,'1. Status'!H554,'3. Resultados'!G:G,'1. Status'!I554)</f>
        <v>0</v>
      </c>
      <c r="K554" s="70" t="str">
        <f>+IFERROR(VLOOKUP(CONCATENATE(A554,$B$10,B554),'3. Resultados'!B:J,8,FALSE),"-")</f>
        <v>-</v>
      </c>
      <c r="L554" s="69" t="str">
        <f>+IFERROR(VLOOKUP(B554,'3. Resultados'!K:L,2,FALSE),"-")</f>
        <v>-</v>
      </c>
      <c r="M554" s="70" t="str">
        <f>+IFERROR(VLOOKUP(CONCATENATE(A554,$B$10,B554),'3. Resultados'!B:J,9,FALSE),"-")</f>
        <v>-</v>
      </c>
      <c r="N554" s="24"/>
      <c r="O554" s="25" t="str">
        <f t="shared" si="9"/>
        <v>Por iniciar</v>
      </c>
      <c r="P554"/>
    </row>
    <row r="555" spans="1:16" ht="14.5">
      <c r="A555" s="18"/>
      <c r="B555" s="57"/>
      <c r="C555" s="57"/>
      <c r="D555" s="57"/>
      <c r="E555" s="57"/>
      <c r="F555" s="57"/>
      <c r="G555" s="57"/>
      <c r="H555" s="62" t="s">
        <v>59</v>
      </c>
      <c r="I555" s="19" t="s">
        <v>163</v>
      </c>
      <c r="J555" s="24">
        <f>+COUNTIFS('3. Resultados'!C:C,'1. Status'!H555,'3. Resultados'!G:G,'1. Status'!I555)</f>
        <v>0</v>
      </c>
      <c r="K555" s="70" t="str">
        <f>+IFERROR(VLOOKUP(CONCATENATE(A555,$B$10,B555),'3. Resultados'!B:J,8,FALSE),"-")</f>
        <v>-</v>
      </c>
      <c r="L555" s="69" t="str">
        <f>+IFERROR(VLOOKUP(B555,'3. Resultados'!K:L,2,FALSE),"-")</f>
        <v>-</v>
      </c>
      <c r="M555" s="70" t="str">
        <f>+IFERROR(VLOOKUP(CONCATENATE(A555,$B$10,B555),'3. Resultados'!B:J,9,FALSE),"-")</f>
        <v>-</v>
      </c>
      <c r="N555" s="24"/>
      <c r="O555" s="25" t="str">
        <f t="shared" si="9"/>
        <v>Por iniciar</v>
      </c>
      <c r="P555"/>
    </row>
    <row r="556" spans="1:16" ht="14.5">
      <c r="A556" s="18"/>
      <c r="B556" s="57"/>
      <c r="C556" s="57"/>
      <c r="D556" s="57"/>
      <c r="E556" s="57"/>
      <c r="F556" s="57"/>
      <c r="G556" s="57"/>
      <c r="H556" s="62" t="s">
        <v>59</v>
      </c>
      <c r="I556" s="19" t="s">
        <v>616</v>
      </c>
      <c r="J556" s="24">
        <f>+COUNTIFS('3. Resultados'!C:C,'1. Status'!H556,'3. Resultados'!G:G,'1. Status'!I556)</f>
        <v>0</v>
      </c>
      <c r="K556" s="70" t="str">
        <f>+IFERROR(VLOOKUP(CONCATENATE(A556,$B$10,B556),'3. Resultados'!B:J,8,FALSE),"-")</f>
        <v>-</v>
      </c>
      <c r="L556" s="69" t="str">
        <f>+IFERROR(VLOOKUP(B556,'3. Resultados'!K:L,2,FALSE),"-")</f>
        <v>-</v>
      </c>
      <c r="M556" s="70" t="str">
        <f>+IFERROR(VLOOKUP(CONCATENATE(A556,$B$10,B556),'3. Resultados'!B:J,9,FALSE),"-")</f>
        <v>-</v>
      </c>
      <c r="N556" s="24"/>
      <c r="O556" s="25" t="str">
        <f t="shared" si="9"/>
        <v>Por iniciar</v>
      </c>
      <c r="P556"/>
    </row>
    <row r="557" spans="1:16" ht="14.5">
      <c r="A557" s="18"/>
      <c r="B557" s="57"/>
      <c r="C557" s="57"/>
      <c r="D557" s="57"/>
      <c r="E557" s="57"/>
      <c r="F557" s="57"/>
      <c r="G557" s="57"/>
      <c r="H557" s="62" t="s">
        <v>59</v>
      </c>
      <c r="I557" s="19" t="s">
        <v>617</v>
      </c>
      <c r="J557" s="24">
        <f>+COUNTIFS('3. Resultados'!C:C,'1. Status'!H557,'3. Resultados'!G:G,'1. Status'!I557)</f>
        <v>0</v>
      </c>
      <c r="K557" s="70" t="str">
        <f>+IFERROR(VLOOKUP(CONCATENATE(A557,$B$10,B557),'3. Resultados'!B:J,8,FALSE),"-")</f>
        <v>-</v>
      </c>
      <c r="L557" s="69" t="str">
        <f>+IFERROR(VLOOKUP(B557,'3. Resultados'!K:L,2,FALSE),"-")</f>
        <v>-</v>
      </c>
      <c r="M557" s="70" t="str">
        <f>+IFERROR(VLOOKUP(CONCATENATE(A557,$B$10,B557),'3. Resultados'!B:J,9,FALSE),"-")</f>
        <v>-</v>
      </c>
      <c r="N557" s="24"/>
      <c r="O557" s="25" t="str">
        <f t="shared" si="9"/>
        <v>Por iniciar</v>
      </c>
      <c r="P557"/>
    </row>
    <row r="558" spans="1:16" ht="14.5">
      <c r="A558" s="18"/>
      <c r="B558" s="57"/>
      <c r="C558" s="57"/>
      <c r="D558" s="57"/>
      <c r="E558" s="57"/>
      <c r="F558" s="57"/>
      <c r="G558" s="57"/>
      <c r="H558" s="62" t="s">
        <v>59</v>
      </c>
      <c r="I558" s="19" t="s">
        <v>164</v>
      </c>
      <c r="J558" s="24">
        <f>+COUNTIFS('3. Resultados'!C:C,'1. Status'!H558,'3. Resultados'!G:G,'1. Status'!I558)</f>
        <v>0</v>
      </c>
      <c r="K558" s="70" t="str">
        <f>+IFERROR(VLOOKUP(CONCATENATE(A558,$B$10,B558),'3. Resultados'!B:J,8,FALSE),"-")</f>
        <v>-</v>
      </c>
      <c r="L558" s="69" t="str">
        <f>+IFERROR(VLOOKUP(B558,'3. Resultados'!K:L,2,FALSE),"-")</f>
        <v>-</v>
      </c>
      <c r="M558" s="70" t="str">
        <f>+IFERROR(VLOOKUP(CONCATENATE(A558,$B$10,B558),'3. Resultados'!B:J,9,FALSE),"-")</f>
        <v>-</v>
      </c>
      <c r="N558" s="24"/>
      <c r="O558" s="25" t="str">
        <f t="shared" si="9"/>
        <v>Por iniciar</v>
      </c>
      <c r="P558"/>
    </row>
    <row r="559" spans="1:16" ht="14.5">
      <c r="A559" s="18"/>
      <c r="B559" s="57"/>
      <c r="C559" s="57"/>
      <c r="D559" s="57"/>
      <c r="E559" s="57"/>
      <c r="F559" s="57"/>
      <c r="G559" s="57"/>
      <c r="H559" s="62" t="s">
        <v>59</v>
      </c>
      <c r="I559" s="19" t="s">
        <v>618</v>
      </c>
      <c r="J559" s="24">
        <f>+COUNTIFS('3. Resultados'!C:C,'1. Status'!H559,'3. Resultados'!G:G,'1. Status'!I559)</f>
        <v>0</v>
      </c>
      <c r="K559" s="70" t="str">
        <f>+IFERROR(VLOOKUP(CONCATENATE(A559,$B$10,B559),'3. Resultados'!B:J,8,FALSE),"-")</f>
        <v>-</v>
      </c>
      <c r="L559" s="69" t="str">
        <f>+IFERROR(VLOOKUP(B559,'3. Resultados'!K:L,2,FALSE),"-")</f>
        <v>-</v>
      </c>
      <c r="M559" s="70" t="str">
        <f>+IFERROR(VLOOKUP(CONCATENATE(A559,$B$10,B559),'3. Resultados'!B:J,9,FALSE),"-")</f>
        <v>-</v>
      </c>
      <c r="N559" s="24"/>
      <c r="O559" s="25" t="str">
        <f t="shared" si="9"/>
        <v>Por iniciar</v>
      </c>
      <c r="P559"/>
    </row>
    <row r="560" spans="1:16" ht="14.5">
      <c r="A560" s="18"/>
      <c r="B560" s="57"/>
      <c r="C560" s="57"/>
      <c r="D560" s="57"/>
      <c r="E560" s="57"/>
      <c r="F560" s="57"/>
      <c r="G560" s="57"/>
      <c r="H560" s="62" t="s">
        <v>59</v>
      </c>
      <c r="I560" s="19" t="s">
        <v>619</v>
      </c>
      <c r="J560" s="24">
        <f>+COUNTIFS('3. Resultados'!C:C,'1. Status'!H560,'3. Resultados'!G:G,'1. Status'!I560)</f>
        <v>0</v>
      </c>
      <c r="K560" s="70" t="str">
        <f>+IFERROR(VLOOKUP(CONCATENATE(A560,$B$10,B560),'3. Resultados'!B:J,8,FALSE),"-")</f>
        <v>-</v>
      </c>
      <c r="L560" s="69" t="str">
        <f>+IFERROR(VLOOKUP(B560,'3. Resultados'!K:L,2,FALSE),"-")</f>
        <v>-</v>
      </c>
      <c r="M560" s="70" t="str">
        <f>+IFERROR(VLOOKUP(CONCATENATE(A560,$B$10,B560),'3. Resultados'!B:J,9,FALSE),"-")</f>
        <v>-</v>
      </c>
      <c r="N560" s="24"/>
      <c r="O560" s="25" t="str">
        <f t="shared" si="9"/>
        <v>Por iniciar</v>
      </c>
      <c r="P560"/>
    </row>
    <row r="561" spans="1:16" ht="14.5">
      <c r="A561" s="18"/>
      <c r="B561" s="57"/>
      <c r="C561" s="57"/>
      <c r="D561" s="57"/>
      <c r="E561" s="57"/>
      <c r="F561" s="57"/>
      <c r="G561" s="57"/>
      <c r="H561" s="62" t="s">
        <v>59</v>
      </c>
      <c r="I561" s="19" t="s">
        <v>165</v>
      </c>
      <c r="J561" s="24">
        <f>+COUNTIFS('3. Resultados'!C:C,'1. Status'!H561,'3. Resultados'!G:G,'1. Status'!I561)</f>
        <v>0</v>
      </c>
      <c r="K561" s="70" t="str">
        <f>+IFERROR(VLOOKUP(CONCATENATE(A561,$B$10,B561),'3. Resultados'!B:J,8,FALSE),"-")</f>
        <v>-</v>
      </c>
      <c r="L561" s="69" t="str">
        <f>+IFERROR(VLOOKUP(B561,'3. Resultados'!K:L,2,FALSE),"-")</f>
        <v>-</v>
      </c>
      <c r="M561" s="70" t="str">
        <f>+IFERROR(VLOOKUP(CONCATENATE(A561,$B$10,B561),'3. Resultados'!B:J,9,FALSE),"-")</f>
        <v>-</v>
      </c>
      <c r="N561" s="24"/>
      <c r="O561" s="25" t="str">
        <f t="shared" si="9"/>
        <v>Por iniciar</v>
      </c>
      <c r="P561"/>
    </row>
    <row r="562" spans="1:16" ht="14.5">
      <c r="A562" s="18"/>
      <c r="B562" s="57"/>
      <c r="C562" s="57"/>
      <c r="D562" s="57"/>
      <c r="E562" s="57"/>
      <c r="F562" s="57"/>
      <c r="G562" s="57"/>
      <c r="H562" s="62" t="s">
        <v>59</v>
      </c>
      <c r="I562" s="19" t="s">
        <v>620</v>
      </c>
      <c r="J562" s="24">
        <f>+COUNTIFS('3. Resultados'!C:C,'1. Status'!H562,'3. Resultados'!G:G,'1. Status'!I562)</f>
        <v>0</v>
      </c>
      <c r="K562" s="70" t="str">
        <f>+IFERROR(VLOOKUP(CONCATENATE(A562,$B$10,B562),'3. Resultados'!B:J,8,FALSE),"-")</f>
        <v>-</v>
      </c>
      <c r="L562" s="69" t="str">
        <f>+IFERROR(VLOOKUP(B562,'3. Resultados'!K:L,2,FALSE),"-")</f>
        <v>-</v>
      </c>
      <c r="M562" s="70" t="str">
        <f>+IFERROR(VLOOKUP(CONCATENATE(A562,$B$10,B562),'3. Resultados'!B:J,9,FALSE),"-")</f>
        <v>-</v>
      </c>
      <c r="N562" s="24"/>
      <c r="O562" s="25" t="str">
        <f t="shared" si="9"/>
        <v>Por iniciar</v>
      </c>
      <c r="P562"/>
    </row>
    <row r="563" spans="1:16" ht="14.5">
      <c r="A563" s="18"/>
      <c r="B563" s="57"/>
      <c r="C563" s="57"/>
      <c r="D563" s="57"/>
      <c r="E563" s="57"/>
      <c r="F563" s="57"/>
      <c r="G563" s="57"/>
      <c r="H563" s="62" t="s">
        <v>59</v>
      </c>
      <c r="I563" s="19" t="s">
        <v>621</v>
      </c>
      <c r="J563" s="24">
        <f>+COUNTIFS('3. Resultados'!C:C,'1. Status'!H563,'3. Resultados'!G:G,'1. Status'!I563)</f>
        <v>0</v>
      </c>
      <c r="K563" s="70" t="str">
        <f>+IFERROR(VLOOKUP(CONCATENATE(A563,$B$10,B563),'3. Resultados'!B:J,8,FALSE),"-")</f>
        <v>-</v>
      </c>
      <c r="L563" s="69" t="str">
        <f>+IFERROR(VLOOKUP(B563,'3. Resultados'!K:L,2,FALSE),"-")</f>
        <v>-</v>
      </c>
      <c r="M563" s="70" t="str">
        <f>+IFERROR(VLOOKUP(CONCATENATE(A563,$B$10,B563),'3. Resultados'!B:J,9,FALSE),"-")</f>
        <v>-</v>
      </c>
      <c r="N563" s="24"/>
      <c r="O563" s="25" t="str">
        <f t="shared" si="9"/>
        <v>Por iniciar</v>
      </c>
      <c r="P563"/>
    </row>
    <row r="564" spans="1:16" ht="14.5">
      <c r="A564" s="18"/>
      <c r="B564" s="57"/>
      <c r="C564" s="57"/>
      <c r="D564" s="57"/>
      <c r="E564" s="57"/>
      <c r="F564" s="57"/>
      <c r="G564" s="57"/>
      <c r="H564" s="62" t="s">
        <v>59</v>
      </c>
      <c r="I564" s="19" t="s">
        <v>622</v>
      </c>
      <c r="J564" s="24">
        <f>+COUNTIFS('3. Resultados'!C:C,'1. Status'!H564,'3. Resultados'!G:G,'1. Status'!I564)</f>
        <v>0</v>
      </c>
      <c r="K564" s="70" t="str">
        <f>+IFERROR(VLOOKUP(CONCATENATE(A564,$B$10,B564),'3. Resultados'!B:J,8,FALSE),"-")</f>
        <v>-</v>
      </c>
      <c r="L564" s="69" t="str">
        <f>+IFERROR(VLOOKUP(B564,'3. Resultados'!K:L,2,FALSE),"-")</f>
        <v>-</v>
      </c>
      <c r="M564" s="70" t="str">
        <f>+IFERROR(VLOOKUP(CONCATENATE(A564,$B$10,B564),'3. Resultados'!B:J,9,FALSE),"-")</f>
        <v>-</v>
      </c>
      <c r="N564" s="24"/>
      <c r="O564" s="25" t="str">
        <f t="shared" si="9"/>
        <v>Por iniciar</v>
      </c>
      <c r="P564"/>
    </row>
    <row r="565" spans="1:16" ht="14.5">
      <c r="A565" s="18"/>
      <c r="B565" s="57"/>
      <c r="C565" s="57"/>
      <c r="D565" s="57"/>
      <c r="E565" s="57"/>
      <c r="F565" s="57"/>
      <c r="G565" s="57"/>
      <c r="H565" s="62" t="s">
        <v>59</v>
      </c>
      <c r="I565" s="19" t="s">
        <v>623</v>
      </c>
      <c r="J565" s="24">
        <f>+COUNTIFS('3. Resultados'!C:C,'1. Status'!H565,'3. Resultados'!G:G,'1. Status'!I565)</f>
        <v>0</v>
      </c>
      <c r="K565" s="70" t="str">
        <f>+IFERROR(VLOOKUP(CONCATENATE(A565,$B$10,B565),'3. Resultados'!B:J,8,FALSE),"-")</f>
        <v>-</v>
      </c>
      <c r="L565" s="69" t="str">
        <f>+IFERROR(VLOOKUP(B565,'3. Resultados'!K:L,2,FALSE),"-")</f>
        <v>-</v>
      </c>
      <c r="M565" s="70" t="str">
        <f>+IFERROR(VLOOKUP(CONCATENATE(A565,$B$10,B565),'3. Resultados'!B:J,9,FALSE),"-")</f>
        <v>-</v>
      </c>
      <c r="N565" s="24"/>
      <c r="O565" s="25" t="str">
        <f t="shared" si="9"/>
        <v>Por iniciar</v>
      </c>
      <c r="P565"/>
    </row>
    <row r="566" spans="1:16" ht="14.5">
      <c r="A566" s="18"/>
      <c r="B566" s="57"/>
      <c r="C566" s="57"/>
      <c r="D566" s="57"/>
      <c r="E566" s="57"/>
      <c r="F566" s="57"/>
      <c r="G566" s="57"/>
      <c r="H566" s="62" t="s">
        <v>59</v>
      </c>
      <c r="I566" s="19" t="s">
        <v>624</v>
      </c>
      <c r="J566" s="24">
        <f>+COUNTIFS('3. Resultados'!C:C,'1. Status'!H566,'3. Resultados'!G:G,'1. Status'!I566)</f>
        <v>0</v>
      </c>
      <c r="K566" s="70" t="str">
        <f>+IFERROR(VLOOKUP(CONCATENATE(A566,$B$10,B566),'3. Resultados'!B:J,8,FALSE),"-")</f>
        <v>-</v>
      </c>
      <c r="L566" s="69" t="str">
        <f>+IFERROR(VLOOKUP(B566,'3. Resultados'!K:L,2,FALSE),"-")</f>
        <v>-</v>
      </c>
      <c r="M566" s="70" t="str">
        <f>+IFERROR(VLOOKUP(CONCATENATE(A566,$B$10,B566),'3. Resultados'!B:J,9,FALSE),"-")</f>
        <v>-</v>
      </c>
      <c r="N566" s="24"/>
      <c r="O566" s="25" t="str">
        <f t="shared" si="9"/>
        <v>Por iniciar</v>
      </c>
      <c r="P566"/>
    </row>
    <row r="567" spans="1:16" ht="14.5">
      <c r="A567" s="18"/>
      <c r="B567" s="57"/>
      <c r="C567" s="57"/>
      <c r="D567" s="57"/>
      <c r="E567" s="57"/>
      <c r="F567" s="57"/>
      <c r="G567" s="57"/>
      <c r="H567" s="62" t="s">
        <v>59</v>
      </c>
      <c r="I567" s="19" t="s">
        <v>625</v>
      </c>
      <c r="J567" s="24">
        <f>+COUNTIFS('3. Resultados'!C:C,'1. Status'!H567,'3. Resultados'!G:G,'1. Status'!I567)</f>
        <v>0</v>
      </c>
      <c r="K567" s="70" t="str">
        <f>+IFERROR(VLOOKUP(CONCATENATE(A567,$B$10,B567),'3. Resultados'!B:J,8,FALSE),"-")</f>
        <v>-</v>
      </c>
      <c r="L567" s="69" t="str">
        <f>+IFERROR(VLOOKUP(B567,'3. Resultados'!K:L,2,FALSE),"-")</f>
        <v>-</v>
      </c>
      <c r="M567" s="70" t="str">
        <f>+IFERROR(VLOOKUP(CONCATENATE(A567,$B$10,B567),'3. Resultados'!B:J,9,FALSE),"-")</f>
        <v>-</v>
      </c>
      <c r="N567" s="24"/>
      <c r="O567" s="25" t="str">
        <f t="shared" si="9"/>
        <v>Por iniciar</v>
      </c>
      <c r="P567"/>
    </row>
    <row r="568" spans="1:16" ht="14.5">
      <c r="A568" s="18"/>
      <c r="B568" s="57"/>
      <c r="C568" s="57"/>
      <c r="D568" s="57"/>
      <c r="E568" s="57"/>
      <c r="F568" s="57"/>
      <c r="G568" s="57"/>
      <c r="H568" s="62" t="s">
        <v>59</v>
      </c>
      <c r="I568" s="19" t="s">
        <v>626</v>
      </c>
      <c r="J568" s="24">
        <f>+COUNTIFS('3. Resultados'!C:C,'1. Status'!H568,'3. Resultados'!G:G,'1. Status'!I568)</f>
        <v>0</v>
      </c>
      <c r="K568" s="70" t="str">
        <f>+IFERROR(VLOOKUP(CONCATENATE(A568,$B$10,B568),'3. Resultados'!B:J,8,FALSE),"-")</f>
        <v>-</v>
      </c>
      <c r="L568" s="69" t="str">
        <f>+IFERROR(VLOOKUP(B568,'3. Resultados'!K:L,2,FALSE),"-")</f>
        <v>-</v>
      </c>
      <c r="M568" s="70" t="str">
        <f>+IFERROR(VLOOKUP(CONCATENATE(A568,$B$10,B568),'3. Resultados'!B:J,9,FALSE),"-")</f>
        <v>-</v>
      </c>
      <c r="N568" s="24"/>
      <c r="O568" s="25" t="str">
        <f t="shared" si="9"/>
        <v>Por iniciar</v>
      </c>
      <c r="P568"/>
    </row>
    <row r="569" spans="1:16" ht="14.5">
      <c r="A569" s="18"/>
      <c r="B569" s="57"/>
      <c r="C569" s="57"/>
      <c r="D569" s="57"/>
      <c r="E569" s="57"/>
      <c r="F569" s="57"/>
      <c r="G569" s="57"/>
      <c r="H569" s="62" t="s">
        <v>59</v>
      </c>
      <c r="I569" s="19" t="s">
        <v>166</v>
      </c>
      <c r="J569" s="24">
        <f>+COUNTIFS('3. Resultados'!C:C,'1. Status'!H569,'3. Resultados'!G:G,'1. Status'!I569)</f>
        <v>0</v>
      </c>
      <c r="K569" s="70" t="str">
        <f>+IFERROR(VLOOKUP(CONCATENATE(A569,$B$10,B569),'3. Resultados'!B:J,8,FALSE),"-")</f>
        <v>-</v>
      </c>
      <c r="L569" s="69" t="str">
        <f>+IFERROR(VLOOKUP(B569,'3. Resultados'!K:L,2,FALSE),"-")</f>
        <v>-</v>
      </c>
      <c r="M569" s="70" t="str">
        <f>+IFERROR(VLOOKUP(CONCATENATE(A569,$B$10,B569),'3. Resultados'!B:J,9,FALSE),"-")</f>
        <v>-</v>
      </c>
      <c r="N569" s="24"/>
      <c r="O569" s="25" t="str">
        <f t="shared" si="9"/>
        <v>Por iniciar</v>
      </c>
      <c r="P569"/>
    </row>
    <row r="570" spans="1:16" ht="14.5">
      <c r="A570" s="18"/>
      <c r="B570" s="57"/>
      <c r="C570" s="57"/>
      <c r="D570" s="57"/>
      <c r="E570" s="57"/>
      <c r="F570" s="57"/>
      <c r="G570" s="57"/>
      <c r="H570" s="62" t="s">
        <v>59</v>
      </c>
      <c r="I570" s="19" t="s">
        <v>627</v>
      </c>
      <c r="J570" s="24">
        <f>+COUNTIFS('3. Resultados'!C:C,'1. Status'!H570,'3. Resultados'!G:G,'1. Status'!I570)</f>
        <v>0</v>
      </c>
      <c r="K570" s="70" t="str">
        <f>+IFERROR(VLOOKUP(CONCATENATE(A570,$B$10,B570),'3. Resultados'!B:J,8,FALSE),"-")</f>
        <v>-</v>
      </c>
      <c r="L570" s="69" t="str">
        <f>+IFERROR(VLOOKUP(B570,'3. Resultados'!K:L,2,FALSE),"-")</f>
        <v>-</v>
      </c>
      <c r="M570" s="70" t="str">
        <f>+IFERROR(VLOOKUP(CONCATENATE(A570,$B$10,B570),'3. Resultados'!B:J,9,FALSE),"-")</f>
        <v>-</v>
      </c>
      <c r="N570" s="24"/>
      <c r="O570" s="25" t="str">
        <f t="shared" si="9"/>
        <v>Por iniciar</v>
      </c>
      <c r="P570"/>
    </row>
    <row r="571" spans="1:16" ht="14.5">
      <c r="A571" s="18"/>
      <c r="B571" s="57"/>
      <c r="C571" s="57"/>
      <c r="D571" s="57"/>
      <c r="E571" s="57"/>
      <c r="F571" s="57"/>
      <c r="G571" s="57"/>
      <c r="H571" s="62" t="s">
        <v>59</v>
      </c>
      <c r="I571" s="19" t="s">
        <v>167</v>
      </c>
      <c r="J571" s="24">
        <f>+COUNTIFS('3. Resultados'!C:C,'1. Status'!H571,'3. Resultados'!G:G,'1. Status'!I571)</f>
        <v>0</v>
      </c>
      <c r="K571" s="70" t="str">
        <f>+IFERROR(VLOOKUP(CONCATENATE(A571,$B$10,B571),'3. Resultados'!B:J,8,FALSE),"-")</f>
        <v>-</v>
      </c>
      <c r="L571" s="69" t="str">
        <f>+IFERROR(VLOOKUP(B571,'3. Resultados'!K:L,2,FALSE),"-")</f>
        <v>-</v>
      </c>
      <c r="M571" s="70" t="str">
        <f>+IFERROR(VLOOKUP(CONCATENATE(A571,$B$10,B571),'3. Resultados'!B:J,9,FALSE),"-")</f>
        <v>-</v>
      </c>
      <c r="N571" s="24"/>
      <c r="O571" s="25" t="str">
        <f t="shared" si="9"/>
        <v>Por iniciar</v>
      </c>
      <c r="P571"/>
    </row>
    <row r="572" spans="1:16" ht="14.5">
      <c r="A572" s="18"/>
      <c r="B572" s="57"/>
      <c r="C572" s="57"/>
      <c r="D572" s="57"/>
      <c r="E572" s="57"/>
      <c r="F572" s="57"/>
      <c r="G572" s="57"/>
      <c r="H572" s="62" t="s">
        <v>59</v>
      </c>
      <c r="I572" s="19" t="s">
        <v>628</v>
      </c>
      <c r="J572" s="24">
        <f>+COUNTIFS('3. Resultados'!C:C,'1. Status'!H572,'3. Resultados'!G:G,'1. Status'!I572)</f>
        <v>0</v>
      </c>
      <c r="K572" s="70" t="str">
        <f>+IFERROR(VLOOKUP(CONCATENATE(A572,$B$10,B572),'3. Resultados'!B:J,8,FALSE),"-")</f>
        <v>-</v>
      </c>
      <c r="L572" s="69" t="str">
        <f>+IFERROR(VLOOKUP(B572,'3. Resultados'!K:L,2,FALSE),"-")</f>
        <v>-</v>
      </c>
      <c r="M572" s="70" t="str">
        <f>+IFERROR(VLOOKUP(CONCATENATE(A572,$B$10,B572),'3. Resultados'!B:J,9,FALSE),"-")</f>
        <v>-</v>
      </c>
      <c r="N572" s="24"/>
      <c r="O572" s="25" t="str">
        <f t="shared" si="9"/>
        <v>Por iniciar</v>
      </c>
      <c r="P572"/>
    </row>
    <row r="573" spans="1:16" ht="14.5">
      <c r="A573" s="18"/>
      <c r="B573" s="57"/>
      <c r="C573" s="57"/>
      <c r="D573" s="57"/>
      <c r="E573" s="57"/>
      <c r="F573" s="57"/>
      <c r="G573" s="57"/>
      <c r="H573" s="62" t="s">
        <v>59</v>
      </c>
      <c r="I573" s="19" t="s">
        <v>629</v>
      </c>
      <c r="J573" s="24">
        <f>+COUNTIFS('3. Resultados'!C:C,'1. Status'!H573,'3. Resultados'!G:G,'1. Status'!I573)</f>
        <v>0</v>
      </c>
      <c r="K573" s="70" t="str">
        <f>+IFERROR(VLOOKUP(CONCATENATE(A573,$B$10,B573),'3. Resultados'!B:J,8,FALSE),"-")</f>
        <v>-</v>
      </c>
      <c r="L573" s="69" t="str">
        <f>+IFERROR(VLOOKUP(B573,'3. Resultados'!K:L,2,FALSE),"-")</f>
        <v>-</v>
      </c>
      <c r="M573" s="70" t="str">
        <f>+IFERROR(VLOOKUP(CONCATENATE(A573,$B$10,B573),'3. Resultados'!B:J,9,FALSE),"-")</f>
        <v>-</v>
      </c>
      <c r="N573" s="24"/>
      <c r="O573" s="25" t="str">
        <f t="shared" si="9"/>
        <v>Por iniciar</v>
      </c>
      <c r="P573"/>
    </row>
    <row r="574" spans="1:16" ht="14.5">
      <c r="A574" s="18"/>
      <c r="B574" s="57"/>
      <c r="C574" s="57"/>
      <c r="D574" s="57"/>
      <c r="E574" s="57"/>
      <c r="F574" s="57"/>
      <c r="G574" s="57"/>
      <c r="H574" s="62" t="s">
        <v>59</v>
      </c>
      <c r="I574" s="19" t="s">
        <v>630</v>
      </c>
      <c r="J574" s="24">
        <f>+COUNTIFS('3. Resultados'!C:C,'1. Status'!H574,'3. Resultados'!G:G,'1. Status'!I574)</f>
        <v>0</v>
      </c>
      <c r="K574" s="70" t="str">
        <f>+IFERROR(VLOOKUP(CONCATENATE(A574,$B$10,B574),'3. Resultados'!B:J,8,FALSE),"-")</f>
        <v>-</v>
      </c>
      <c r="L574" s="69" t="str">
        <f>+IFERROR(VLOOKUP(B574,'3. Resultados'!K:L,2,FALSE),"-")</f>
        <v>-</v>
      </c>
      <c r="M574" s="70" t="str">
        <f>+IFERROR(VLOOKUP(CONCATENATE(A574,$B$10,B574),'3. Resultados'!B:J,9,FALSE),"-")</f>
        <v>-</v>
      </c>
      <c r="N574" s="24"/>
      <c r="O574" s="25" t="str">
        <f t="shared" si="9"/>
        <v>Por iniciar</v>
      </c>
      <c r="P574"/>
    </row>
    <row r="575" spans="1:16" ht="14.5">
      <c r="A575" s="18"/>
      <c r="B575" s="57"/>
      <c r="C575" s="57"/>
      <c r="D575" s="57"/>
      <c r="E575" s="57"/>
      <c r="F575" s="57"/>
      <c r="G575" s="57"/>
      <c r="H575" s="62" t="s">
        <v>59</v>
      </c>
      <c r="I575" s="19" t="s">
        <v>631</v>
      </c>
      <c r="J575" s="24">
        <f>+COUNTIFS('3. Resultados'!C:C,'1. Status'!H575,'3. Resultados'!G:G,'1. Status'!I575)</f>
        <v>0</v>
      </c>
      <c r="K575" s="70" t="str">
        <f>+IFERROR(VLOOKUP(CONCATENATE(A575,$B$10,B575),'3. Resultados'!B:J,8,FALSE),"-")</f>
        <v>-</v>
      </c>
      <c r="L575" s="69" t="str">
        <f>+IFERROR(VLOOKUP(B575,'3. Resultados'!K:L,2,FALSE),"-")</f>
        <v>-</v>
      </c>
      <c r="M575" s="70" t="str">
        <f>+IFERROR(VLOOKUP(CONCATENATE(A575,$B$10,B575),'3. Resultados'!B:J,9,FALSE),"-")</f>
        <v>-</v>
      </c>
      <c r="N575" s="24"/>
      <c r="O575" s="25" t="str">
        <f t="shared" si="9"/>
        <v>Por iniciar</v>
      </c>
      <c r="P575"/>
    </row>
    <row r="576" spans="1:16" ht="14.5">
      <c r="A576" s="18"/>
      <c r="B576" s="57"/>
      <c r="C576" s="57"/>
      <c r="D576" s="57"/>
      <c r="E576" s="57"/>
      <c r="F576" s="57"/>
      <c r="G576" s="57"/>
      <c r="H576" s="62" t="s">
        <v>59</v>
      </c>
      <c r="I576" s="19" t="s">
        <v>632</v>
      </c>
      <c r="J576" s="24">
        <f>+COUNTIFS('3. Resultados'!C:C,'1. Status'!H576,'3. Resultados'!G:G,'1. Status'!I576)</f>
        <v>0</v>
      </c>
      <c r="K576" s="70" t="str">
        <f>+IFERROR(VLOOKUP(CONCATENATE(A576,$B$10,B576),'3. Resultados'!B:J,8,FALSE),"-")</f>
        <v>-</v>
      </c>
      <c r="L576" s="69" t="str">
        <f>+IFERROR(VLOOKUP(B576,'3. Resultados'!K:L,2,FALSE),"-")</f>
        <v>-</v>
      </c>
      <c r="M576" s="70" t="str">
        <f>+IFERROR(VLOOKUP(CONCATENATE(A576,$B$10,B576),'3. Resultados'!B:J,9,FALSE),"-")</f>
        <v>-</v>
      </c>
      <c r="N576" s="24"/>
      <c r="O576" s="25" t="str">
        <f t="shared" si="9"/>
        <v>Por iniciar</v>
      </c>
      <c r="P576"/>
    </row>
    <row r="577" spans="1:16" ht="14.5">
      <c r="A577" s="18"/>
      <c r="B577" s="57"/>
      <c r="C577" s="57"/>
      <c r="D577" s="57"/>
      <c r="E577" s="57"/>
      <c r="F577" s="57"/>
      <c r="G577" s="57"/>
      <c r="H577" s="62" t="s">
        <v>59</v>
      </c>
      <c r="I577" s="19" t="s">
        <v>633</v>
      </c>
      <c r="J577" s="24">
        <f>+COUNTIFS('3. Resultados'!C:C,'1. Status'!H577,'3. Resultados'!G:G,'1. Status'!I577)</f>
        <v>0</v>
      </c>
      <c r="K577" s="70" t="str">
        <f>+IFERROR(VLOOKUP(CONCATENATE(A577,$B$10,B577),'3. Resultados'!B:J,8,FALSE),"-")</f>
        <v>-</v>
      </c>
      <c r="L577" s="69" t="str">
        <f>+IFERROR(VLOOKUP(B577,'3. Resultados'!K:L,2,FALSE),"-")</f>
        <v>-</v>
      </c>
      <c r="M577" s="70" t="str">
        <f>+IFERROR(VLOOKUP(CONCATENATE(A577,$B$10,B577),'3. Resultados'!B:J,9,FALSE),"-")</f>
        <v>-</v>
      </c>
      <c r="N577" s="24"/>
      <c r="O577" s="25" t="str">
        <f t="shared" si="9"/>
        <v>Por iniciar</v>
      </c>
      <c r="P577"/>
    </row>
    <row r="578" spans="1:16" ht="14.5">
      <c r="A578" s="18"/>
      <c r="B578" s="57"/>
      <c r="C578" s="57"/>
      <c r="D578" s="57"/>
      <c r="E578" s="57"/>
      <c r="F578" s="57"/>
      <c r="G578" s="57"/>
      <c r="H578" s="62" t="s">
        <v>59</v>
      </c>
      <c r="I578" s="19" t="s">
        <v>634</v>
      </c>
      <c r="J578" s="24">
        <f>+COUNTIFS('3. Resultados'!C:C,'1. Status'!H578,'3. Resultados'!G:G,'1. Status'!I578)</f>
        <v>0</v>
      </c>
      <c r="K578" s="70" t="str">
        <f>+IFERROR(VLOOKUP(CONCATENATE(A578,$B$10,B578),'3. Resultados'!B:J,8,FALSE),"-")</f>
        <v>-</v>
      </c>
      <c r="L578" s="69" t="str">
        <f>+IFERROR(VLOOKUP(B578,'3. Resultados'!K:L,2,FALSE),"-")</f>
        <v>-</v>
      </c>
      <c r="M578" s="70" t="str">
        <f>+IFERROR(VLOOKUP(CONCATENATE(A578,$B$10,B578),'3. Resultados'!B:J,9,FALSE),"-")</f>
        <v>-</v>
      </c>
      <c r="N578" s="24"/>
      <c r="O578" s="25" t="str">
        <f t="shared" si="9"/>
        <v>Por iniciar</v>
      </c>
      <c r="P578"/>
    </row>
    <row r="579" spans="1:16" ht="14.5">
      <c r="A579" s="18"/>
      <c r="B579" s="57"/>
      <c r="C579" s="57"/>
      <c r="D579" s="57"/>
      <c r="E579" s="57"/>
      <c r="F579" s="57"/>
      <c r="G579" s="57"/>
      <c r="H579" s="62" t="s">
        <v>59</v>
      </c>
      <c r="I579" s="19" t="s">
        <v>635</v>
      </c>
      <c r="J579" s="24">
        <f>+COUNTIFS('3. Resultados'!C:C,'1. Status'!H579,'3. Resultados'!G:G,'1. Status'!I579)</f>
        <v>0</v>
      </c>
      <c r="K579" s="70" t="str">
        <f>+IFERROR(VLOOKUP(CONCATENATE(A579,$B$10,B579),'3. Resultados'!B:J,8,FALSE),"-")</f>
        <v>-</v>
      </c>
      <c r="L579" s="69" t="str">
        <f>+IFERROR(VLOOKUP(B579,'3. Resultados'!K:L,2,FALSE),"-")</f>
        <v>-</v>
      </c>
      <c r="M579" s="70" t="str">
        <f>+IFERROR(VLOOKUP(CONCATENATE(A579,$B$10,B579),'3. Resultados'!B:J,9,FALSE),"-")</f>
        <v>-</v>
      </c>
      <c r="N579" s="24"/>
      <c r="O579" s="25" t="str">
        <f t="shared" si="9"/>
        <v>Por iniciar</v>
      </c>
      <c r="P579"/>
    </row>
    <row r="580" spans="1:16" ht="14.5">
      <c r="A580" s="18"/>
      <c r="B580" s="57"/>
      <c r="C580" s="57"/>
      <c r="D580" s="57"/>
      <c r="E580" s="57"/>
      <c r="F580" s="57"/>
      <c r="G580" s="57"/>
      <c r="H580" s="62" t="s">
        <v>59</v>
      </c>
      <c r="I580" s="19" t="s">
        <v>636</v>
      </c>
      <c r="J580" s="24">
        <f>+COUNTIFS('3. Resultados'!C:C,'1. Status'!H580,'3. Resultados'!G:G,'1. Status'!I580)</f>
        <v>0</v>
      </c>
      <c r="K580" s="70" t="str">
        <f>+IFERROR(VLOOKUP(CONCATENATE(A580,$B$10,B580),'3. Resultados'!B:J,8,FALSE),"-")</f>
        <v>-</v>
      </c>
      <c r="L580" s="69" t="str">
        <f>+IFERROR(VLOOKUP(B580,'3. Resultados'!K:L,2,FALSE),"-")</f>
        <v>-</v>
      </c>
      <c r="M580" s="70" t="str">
        <f>+IFERROR(VLOOKUP(CONCATENATE(A580,$B$10,B580),'3. Resultados'!B:J,9,FALSE),"-")</f>
        <v>-</v>
      </c>
      <c r="N580" s="24"/>
      <c r="O580" s="25" t="str">
        <f t="shared" si="9"/>
        <v>Por iniciar</v>
      </c>
      <c r="P580"/>
    </row>
    <row r="581" spans="1:16" ht="14.5">
      <c r="A581" s="18"/>
      <c r="B581" s="57"/>
      <c r="C581" s="57"/>
      <c r="D581" s="57"/>
      <c r="E581" s="57"/>
      <c r="F581" s="57"/>
      <c r="G581" s="57"/>
      <c r="H581" s="62" t="s">
        <v>59</v>
      </c>
      <c r="I581" s="19" t="s">
        <v>637</v>
      </c>
      <c r="J581" s="24">
        <f>+COUNTIFS('3. Resultados'!C:C,'1. Status'!H581,'3. Resultados'!G:G,'1. Status'!I581)</f>
        <v>0</v>
      </c>
      <c r="K581" s="70" t="str">
        <f>+IFERROR(VLOOKUP(CONCATENATE(A581,$B$10,B581),'3. Resultados'!B:J,8,FALSE),"-")</f>
        <v>-</v>
      </c>
      <c r="L581" s="69" t="str">
        <f>+IFERROR(VLOOKUP(B581,'3. Resultados'!K:L,2,FALSE),"-")</f>
        <v>-</v>
      </c>
      <c r="M581" s="70" t="str">
        <f>+IFERROR(VLOOKUP(CONCATENATE(A581,$B$10,B581),'3. Resultados'!B:J,9,FALSE),"-")</f>
        <v>-</v>
      </c>
      <c r="N581" s="24"/>
      <c r="O581" s="25" t="str">
        <f t="shared" si="9"/>
        <v>Por iniciar</v>
      </c>
      <c r="P581"/>
    </row>
    <row r="582" spans="1:16" ht="14.5">
      <c r="A582" s="18"/>
      <c r="B582" s="57"/>
      <c r="C582" s="57"/>
      <c r="D582" s="57"/>
      <c r="E582" s="57"/>
      <c r="F582" s="57"/>
      <c r="G582" s="57"/>
      <c r="H582" s="62" t="s">
        <v>59</v>
      </c>
      <c r="I582" s="19" t="s">
        <v>638</v>
      </c>
      <c r="J582" s="24">
        <f>+COUNTIFS('3. Resultados'!C:C,'1. Status'!H582,'3. Resultados'!G:G,'1. Status'!I582)</f>
        <v>0</v>
      </c>
      <c r="K582" s="70" t="str">
        <f>+IFERROR(VLOOKUP(CONCATENATE(A582,$B$10,B582),'3. Resultados'!B:J,8,FALSE),"-")</f>
        <v>-</v>
      </c>
      <c r="L582" s="69" t="str">
        <f>+IFERROR(VLOOKUP(B582,'3. Resultados'!K:L,2,FALSE),"-")</f>
        <v>-</v>
      </c>
      <c r="M582" s="70" t="str">
        <f>+IFERROR(VLOOKUP(CONCATENATE(A582,$B$10,B582),'3. Resultados'!B:J,9,FALSE),"-")</f>
        <v>-</v>
      </c>
      <c r="N582" s="24"/>
      <c r="O582" s="25" t="str">
        <f t="shared" si="9"/>
        <v>Por iniciar</v>
      </c>
      <c r="P582"/>
    </row>
    <row r="583" spans="1:16" ht="14.5">
      <c r="A583" s="18"/>
      <c r="B583" s="57"/>
      <c r="C583" s="57"/>
      <c r="D583" s="57"/>
      <c r="E583" s="57"/>
      <c r="F583" s="57"/>
      <c r="G583" s="57"/>
      <c r="H583" s="62" t="s">
        <v>59</v>
      </c>
      <c r="I583" s="19" t="s">
        <v>639</v>
      </c>
      <c r="J583" s="24">
        <f>+COUNTIFS('3. Resultados'!C:C,'1. Status'!H583,'3. Resultados'!G:G,'1. Status'!I583)</f>
        <v>0</v>
      </c>
      <c r="K583" s="70" t="str">
        <f>+IFERROR(VLOOKUP(CONCATENATE(A583,$B$10,B583),'3. Resultados'!B:J,8,FALSE),"-")</f>
        <v>-</v>
      </c>
      <c r="L583" s="69" t="str">
        <f>+IFERROR(VLOOKUP(B583,'3. Resultados'!K:L,2,FALSE),"-")</f>
        <v>-</v>
      </c>
      <c r="M583" s="70" t="str">
        <f>+IFERROR(VLOOKUP(CONCATENATE(A583,$B$10,B583),'3. Resultados'!B:J,9,FALSE),"-")</f>
        <v>-</v>
      </c>
      <c r="N583" s="24"/>
      <c r="O583" s="25" t="str">
        <f t="shared" si="9"/>
        <v>Por iniciar</v>
      </c>
      <c r="P583"/>
    </row>
    <row r="584" spans="1:16" ht="14.5">
      <c r="A584" s="18"/>
      <c r="B584" s="57"/>
      <c r="C584" s="57"/>
      <c r="D584" s="57"/>
      <c r="E584" s="57"/>
      <c r="F584" s="57"/>
      <c r="G584" s="57"/>
      <c r="H584" s="62" t="s">
        <v>59</v>
      </c>
      <c r="I584" s="19" t="s">
        <v>640</v>
      </c>
      <c r="J584" s="24">
        <f>+COUNTIFS('3. Resultados'!C:C,'1. Status'!H584,'3. Resultados'!G:G,'1. Status'!I584)</f>
        <v>0</v>
      </c>
      <c r="K584" s="70" t="str">
        <f>+IFERROR(VLOOKUP(CONCATENATE(A584,$B$10,B584),'3. Resultados'!B:J,8,FALSE),"-")</f>
        <v>-</v>
      </c>
      <c r="L584" s="69" t="str">
        <f>+IFERROR(VLOOKUP(B584,'3. Resultados'!K:L,2,FALSE),"-")</f>
        <v>-</v>
      </c>
      <c r="M584" s="70" t="str">
        <f>+IFERROR(VLOOKUP(CONCATENATE(A584,$B$10,B584),'3. Resultados'!B:J,9,FALSE),"-")</f>
        <v>-</v>
      </c>
      <c r="N584" s="24"/>
      <c r="O584" s="25" t="str">
        <f t="shared" si="9"/>
        <v>Por iniciar</v>
      </c>
      <c r="P584"/>
    </row>
    <row r="585" spans="1:16" ht="14.5">
      <c r="A585" s="18"/>
      <c r="B585" s="57"/>
      <c r="C585" s="57"/>
      <c r="D585" s="57"/>
      <c r="E585" s="57"/>
      <c r="F585" s="57"/>
      <c r="G585" s="57"/>
      <c r="H585" s="62" t="s">
        <v>59</v>
      </c>
      <c r="I585" s="19" t="s">
        <v>641</v>
      </c>
      <c r="J585" s="24">
        <f>+COUNTIFS('3. Resultados'!C:C,'1. Status'!H585,'3. Resultados'!G:G,'1. Status'!I585)</f>
        <v>0</v>
      </c>
      <c r="K585" s="70" t="str">
        <f>+IFERROR(VLOOKUP(CONCATENATE(A585,$B$10,B585),'3. Resultados'!B:J,8,FALSE),"-")</f>
        <v>-</v>
      </c>
      <c r="L585" s="69" t="str">
        <f>+IFERROR(VLOOKUP(B585,'3. Resultados'!K:L,2,FALSE),"-")</f>
        <v>-</v>
      </c>
      <c r="M585" s="70" t="str">
        <f>+IFERROR(VLOOKUP(CONCATENATE(A585,$B$10,B585),'3. Resultados'!B:J,9,FALSE),"-")</f>
        <v>-</v>
      </c>
      <c r="N585" s="24"/>
      <c r="O585" s="25" t="str">
        <f t="shared" si="9"/>
        <v>Por iniciar</v>
      </c>
      <c r="P585"/>
    </row>
    <row r="586" spans="1:16" ht="14.5">
      <c r="A586" s="18"/>
      <c r="B586" s="57"/>
      <c r="C586" s="57"/>
      <c r="D586" s="57"/>
      <c r="E586" s="57"/>
      <c r="F586" s="57"/>
      <c r="G586" s="57"/>
      <c r="H586" s="62" t="s">
        <v>59</v>
      </c>
      <c r="I586" s="19" t="s">
        <v>347</v>
      </c>
      <c r="J586" s="24">
        <f>+COUNTIFS('3. Resultados'!C:C,'1. Status'!H586,'3. Resultados'!G:G,'1. Status'!I586)</f>
        <v>0</v>
      </c>
      <c r="K586" s="70" t="str">
        <f>+IFERROR(VLOOKUP(CONCATENATE(A586,$B$10,B586),'3. Resultados'!B:J,8,FALSE),"-")</f>
        <v>-</v>
      </c>
      <c r="L586" s="69" t="str">
        <f>+IFERROR(VLOOKUP(B586,'3. Resultados'!K:L,2,FALSE),"-")</f>
        <v>-</v>
      </c>
      <c r="M586" s="70" t="str">
        <f>+IFERROR(VLOOKUP(CONCATENATE(A586,$B$10,B586),'3. Resultados'!B:J,9,FALSE),"-")</f>
        <v>-</v>
      </c>
      <c r="N586" s="24"/>
      <c r="O586" s="25" t="str">
        <f t="shared" si="9"/>
        <v>Por iniciar</v>
      </c>
      <c r="P586"/>
    </row>
    <row r="587" spans="1:16" ht="14.5">
      <c r="A587" s="18"/>
      <c r="B587" s="57"/>
      <c r="C587" s="57"/>
      <c r="D587" s="57"/>
      <c r="E587" s="57"/>
      <c r="F587" s="57"/>
      <c r="G587" s="57"/>
      <c r="H587" s="62" t="s">
        <v>59</v>
      </c>
      <c r="I587" s="19" t="s">
        <v>348</v>
      </c>
      <c r="J587" s="24">
        <f>+COUNTIFS('3. Resultados'!C:C,'1. Status'!H587,'3. Resultados'!G:G,'1. Status'!I587)</f>
        <v>0</v>
      </c>
      <c r="K587" s="70" t="str">
        <f>+IFERROR(VLOOKUP(CONCATENATE(A587,$B$10,B587),'3. Resultados'!B:J,8,FALSE),"-")</f>
        <v>-</v>
      </c>
      <c r="L587" s="69" t="str">
        <f>+IFERROR(VLOOKUP(B587,'3. Resultados'!K:L,2,FALSE),"-")</f>
        <v>-</v>
      </c>
      <c r="M587" s="70" t="str">
        <f>+IFERROR(VLOOKUP(CONCATENATE(A587,$B$10,B587),'3. Resultados'!B:J,9,FALSE),"-")</f>
        <v>-</v>
      </c>
      <c r="N587" s="24"/>
      <c r="O587" s="25" t="str">
        <f t="shared" si="9"/>
        <v>Por iniciar</v>
      </c>
      <c r="P587"/>
    </row>
    <row r="588" spans="1:16" ht="14.5">
      <c r="A588" s="18"/>
      <c r="B588" s="57"/>
      <c r="C588" s="57"/>
      <c r="D588" s="57"/>
      <c r="E588" s="57"/>
      <c r="F588" s="57"/>
      <c r="G588" s="57"/>
      <c r="H588" s="62" t="s">
        <v>59</v>
      </c>
      <c r="I588" s="19" t="s">
        <v>349</v>
      </c>
      <c r="J588" s="24">
        <f>+COUNTIFS('3. Resultados'!C:C,'1. Status'!H588,'3. Resultados'!G:G,'1. Status'!I588)</f>
        <v>0</v>
      </c>
      <c r="K588" s="70" t="str">
        <f>+IFERROR(VLOOKUP(CONCATENATE(A588,$B$10,B588),'3. Resultados'!B:J,8,FALSE),"-")</f>
        <v>-</v>
      </c>
      <c r="L588" s="69" t="str">
        <f>+IFERROR(VLOOKUP(B588,'3. Resultados'!K:L,2,FALSE),"-")</f>
        <v>-</v>
      </c>
      <c r="M588" s="70" t="str">
        <f>+IFERROR(VLOOKUP(CONCATENATE(A588,$B$10,B588),'3. Resultados'!B:J,9,FALSE),"-")</f>
        <v>-</v>
      </c>
      <c r="N588" s="24"/>
      <c r="O588" s="25" t="str">
        <f t="shared" ref="O588:O651" si="10">+IF(J588=0,"Por iniciar",IF(OR(K588="-",M588="-"),"Em testes",IF(M588=0,"OK","NOK")))</f>
        <v>Por iniciar</v>
      </c>
      <c r="P588"/>
    </row>
    <row r="589" spans="1:16" ht="14.5">
      <c r="A589" s="18"/>
      <c r="B589" s="57"/>
      <c r="C589" s="57"/>
      <c r="D589" s="57"/>
      <c r="E589" s="57"/>
      <c r="F589" s="57"/>
      <c r="G589" s="57"/>
      <c r="H589" s="62" t="s">
        <v>59</v>
      </c>
      <c r="I589" s="19" t="s">
        <v>350</v>
      </c>
      <c r="J589" s="24">
        <f>+COUNTIFS('3. Resultados'!C:C,'1. Status'!H589,'3. Resultados'!G:G,'1. Status'!I589)</f>
        <v>0</v>
      </c>
      <c r="K589" s="70" t="str">
        <f>+IFERROR(VLOOKUP(CONCATENATE(A589,$B$10,B589),'3. Resultados'!B:J,8,FALSE),"-")</f>
        <v>-</v>
      </c>
      <c r="L589" s="69" t="str">
        <f>+IFERROR(VLOOKUP(B589,'3. Resultados'!K:L,2,FALSE),"-")</f>
        <v>-</v>
      </c>
      <c r="M589" s="70" t="str">
        <f>+IFERROR(VLOOKUP(CONCATENATE(A589,$B$10,B589),'3. Resultados'!B:J,9,FALSE),"-")</f>
        <v>-</v>
      </c>
      <c r="N589" s="24"/>
      <c r="O589" s="25" t="str">
        <f t="shared" si="10"/>
        <v>Por iniciar</v>
      </c>
      <c r="P589"/>
    </row>
    <row r="590" spans="1:16" ht="14.5">
      <c r="A590" s="18"/>
      <c r="B590" s="57"/>
      <c r="C590" s="57"/>
      <c r="D590" s="57"/>
      <c r="E590" s="57"/>
      <c r="F590" s="57"/>
      <c r="G590" s="57"/>
      <c r="H590" s="62" t="s">
        <v>59</v>
      </c>
      <c r="I590" s="19" t="s">
        <v>351</v>
      </c>
      <c r="J590" s="24">
        <f>+COUNTIFS('3. Resultados'!C:C,'1. Status'!H590,'3. Resultados'!G:G,'1. Status'!I590)</f>
        <v>0</v>
      </c>
      <c r="K590" s="70" t="str">
        <f>+IFERROR(VLOOKUP(CONCATENATE(A590,$B$10,B590),'3. Resultados'!B:J,8,FALSE),"-")</f>
        <v>-</v>
      </c>
      <c r="L590" s="69" t="str">
        <f>+IFERROR(VLOOKUP(B590,'3. Resultados'!K:L,2,FALSE),"-")</f>
        <v>-</v>
      </c>
      <c r="M590" s="70" t="str">
        <f>+IFERROR(VLOOKUP(CONCATENATE(A590,$B$10,B590),'3. Resultados'!B:J,9,FALSE),"-")</f>
        <v>-</v>
      </c>
      <c r="N590" s="24"/>
      <c r="O590" s="25" t="str">
        <f t="shared" si="10"/>
        <v>Por iniciar</v>
      </c>
      <c r="P590"/>
    </row>
    <row r="591" spans="1:16" ht="14.5">
      <c r="A591" s="18"/>
      <c r="B591" s="57"/>
      <c r="C591" s="57"/>
      <c r="D591" s="57"/>
      <c r="E591" s="57"/>
      <c r="F591" s="57"/>
      <c r="G591" s="57"/>
      <c r="H591" s="62" t="s">
        <v>59</v>
      </c>
      <c r="I591" s="19" t="s">
        <v>352</v>
      </c>
      <c r="J591" s="24">
        <f>+COUNTIFS('3. Resultados'!C:C,'1. Status'!H591,'3. Resultados'!G:G,'1. Status'!I591)</f>
        <v>0</v>
      </c>
      <c r="K591" s="70" t="str">
        <f>+IFERROR(VLOOKUP(CONCATENATE(A591,$B$10,B591),'3. Resultados'!B:J,8,FALSE),"-")</f>
        <v>-</v>
      </c>
      <c r="L591" s="69" t="str">
        <f>+IFERROR(VLOOKUP(B591,'3. Resultados'!K:L,2,FALSE),"-")</f>
        <v>-</v>
      </c>
      <c r="M591" s="70" t="str">
        <f>+IFERROR(VLOOKUP(CONCATENATE(A591,$B$10,B591),'3. Resultados'!B:J,9,FALSE),"-")</f>
        <v>-</v>
      </c>
      <c r="N591" s="24"/>
      <c r="O591" s="25" t="str">
        <f t="shared" si="10"/>
        <v>Por iniciar</v>
      </c>
      <c r="P591"/>
    </row>
    <row r="592" spans="1:16" ht="14.5">
      <c r="A592" s="18"/>
      <c r="B592" s="57"/>
      <c r="C592" s="57"/>
      <c r="D592" s="57"/>
      <c r="E592" s="57"/>
      <c r="F592" s="57"/>
      <c r="G592" s="57"/>
      <c r="H592" s="62" t="s">
        <v>59</v>
      </c>
      <c r="I592" s="19" t="s">
        <v>353</v>
      </c>
      <c r="J592" s="24">
        <f>+COUNTIFS('3. Resultados'!C:C,'1. Status'!H592,'3. Resultados'!G:G,'1. Status'!I592)</f>
        <v>0</v>
      </c>
      <c r="K592" s="70" t="str">
        <f>+IFERROR(VLOOKUP(CONCATENATE(A592,$B$10,B592),'3. Resultados'!B:J,8,FALSE),"-")</f>
        <v>-</v>
      </c>
      <c r="L592" s="69" t="str">
        <f>+IFERROR(VLOOKUP(B592,'3. Resultados'!K:L,2,FALSE),"-")</f>
        <v>-</v>
      </c>
      <c r="M592" s="70" t="str">
        <f>+IFERROR(VLOOKUP(CONCATENATE(A592,$B$10,B592),'3. Resultados'!B:J,9,FALSE),"-")</f>
        <v>-</v>
      </c>
      <c r="N592" s="24"/>
      <c r="O592" s="25" t="str">
        <f t="shared" si="10"/>
        <v>Por iniciar</v>
      </c>
      <c r="P592"/>
    </row>
    <row r="593" spans="1:16" ht="14.5">
      <c r="A593" s="18"/>
      <c r="B593" s="57"/>
      <c r="C593" s="57"/>
      <c r="D593" s="57"/>
      <c r="E593" s="57"/>
      <c r="F593" s="57"/>
      <c r="G593" s="57"/>
      <c r="H593" s="62" t="s">
        <v>59</v>
      </c>
      <c r="I593" s="19" t="s">
        <v>354</v>
      </c>
      <c r="J593" s="24">
        <f>+COUNTIFS('3. Resultados'!C:C,'1. Status'!H593,'3. Resultados'!G:G,'1. Status'!I593)</f>
        <v>0</v>
      </c>
      <c r="K593" s="70" t="str">
        <f>+IFERROR(VLOOKUP(CONCATENATE(A593,$B$10,B593),'3. Resultados'!B:J,8,FALSE),"-")</f>
        <v>-</v>
      </c>
      <c r="L593" s="69" t="str">
        <f>+IFERROR(VLOOKUP(B593,'3. Resultados'!K:L,2,FALSE),"-")</f>
        <v>-</v>
      </c>
      <c r="M593" s="70" t="str">
        <f>+IFERROR(VLOOKUP(CONCATENATE(A593,$B$10,B593),'3. Resultados'!B:J,9,FALSE),"-")</f>
        <v>-</v>
      </c>
      <c r="N593" s="24"/>
      <c r="O593" s="25" t="str">
        <f t="shared" si="10"/>
        <v>Por iniciar</v>
      </c>
      <c r="P593"/>
    </row>
    <row r="594" spans="1:16" ht="14.5">
      <c r="A594" s="18"/>
      <c r="B594" s="57"/>
      <c r="C594" s="57"/>
      <c r="D594" s="57"/>
      <c r="E594" s="57"/>
      <c r="F594" s="57"/>
      <c r="G594" s="57"/>
      <c r="H594" s="62" t="s">
        <v>59</v>
      </c>
      <c r="I594" s="19" t="s">
        <v>355</v>
      </c>
      <c r="J594" s="24">
        <f>+COUNTIFS('3. Resultados'!C:C,'1. Status'!H594,'3. Resultados'!G:G,'1. Status'!I594)</f>
        <v>0</v>
      </c>
      <c r="K594" s="70" t="str">
        <f>+IFERROR(VLOOKUP(CONCATENATE(A594,$B$10,B594),'3. Resultados'!B:J,8,FALSE),"-")</f>
        <v>-</v>
      </c>
      <c r="L594" s="69" t="str">
        <f>+IFERROR(VLOOKUP(B594,'3. Resultados'!K:L,2,FALSE),"-")</f>
        <v>-</v>
      </c>
      <c r="M594" s="70" t="str">
        <f>+IFERROR(VLOOKUP(CONCATENATE(A594,$B$10,B594),'3. Resultados'!B:J,9,FALSE),"-")</f>
        <v>-</v>
      </c>
      <c r="N594" s="24"/>
      <c r="O594" s="25" t="str">
        <f t="shared" si="10"/>
        <v>Por iniciar</v>
      </c>
      <c r="P594"/>
    </row>
    <row r="595" spans="1:16" ht="14.5">
      <c r="A595" s="18"/>
      <c r="B595" s="57"/>
      <c r="C595" s="57"/>
      <c r="D595" s="57"/>
      <c r="E595" s="57"/>
      <c r="F595" s="57"/>
      <c r="G595" s="57"/>
      <c r="H595" s="62" t="s">
        <v>59</v>
      </c>
      <c r="I595" s="19" t="s">
        <v>356</v>
      </c>
      <c r="J595" s="24">
        <f>+COUNTIFS('3. Resultados'!C:C,'1. Status'!H595,'3. Resultados'!G:G,'1. Status'!I595)</f>
        <v>0</v>
      </c>
      <c r="K595" s="70" t="str">
        <f>+IFERROR(VLOOKUP(CONCATENATE(A595,$B$10,B595),'3. Resultados'!B:J,8,FALSE),"-")</f>
        <v>-</v>
      </c>
      <c r="L595" s="69" t="str">
        <f>+IFERROR(VLOOKUP(B595,'3. Resultados'!K:L,2,FALSE),"-")</f>
        <v>-</v>
      </c>
      <c r="M595" s="70" t="str">
        <f>+IFERROR(VLOOKUP(CONCATENATE(A595,$B$10,B595),'3. Resultados'!B:J,9,FALSE),"-")</f>
        <v>-</v>
      </c>
      <c r="N595" s="24"/>
      <c r="O595" s="25" t="str">
        <f t="shared" si="10"/>
        <v>Por iniciar</v>
      </c>
      <c r="P595"/>
    </row>
    <row r="596" spans="1:16" ht="14.5">
      <c r="A596" s="18"/>
      <c r="B596" s="57"/>
      <c r="C596" s="57"/>
      <c r="D596" s="57"/>
      <c r="E596" s="57"/>
      <c r="F596" s="57"/>
      <c r="G596" s="57"/>
      <c r="H596" s="62" t="s">
        <v>59</v>
      </c>
      <c r="I596" s="19" t="s">
        <v>578</v>
      </c>
      <c r="J596" s="24">
        <f>+COUNTIFS('3. Resultados'!C:C,'1. Status'!H596,'3. Resultados'!G:G,'1. Status'!I596)</f>
        <v>0</v>
      </c>
      <c r="K596" s="70" t="str">
        <f>+IFERROR(VLOOKUP(CONCATENATE(A596,$B$10,B596),'3. Resultados'!B:J,8,FALSE),"-")</f>
        <v>-</v>
      </c>
      <c r="L596" s="69" t="str">
        <f>+IFERROR(VLOOKUP(B596,'3. Resultados'!K:L,2,FALSE),"-")</f>
        <v>-</v>
      </c>
      <c r="M596" s="70" t="str">
        <f>+IFERROR(VLOOKUP(CONCATENATE(A596,$B$10,B596),'3. Resultados'!B:J,9,FALSE),"-")</f>
        <v>-</v>
      </c>
      <c r="N596" s="24"/>
      <c r="O596" s="25" t="str">
        <f t="shared" si="10"/>
        <v>Por iniciar</v>
      </c>
      <c r="P596"/>
    </row>
    <row r="597" spans="1:16" ht="14.5">
      <c r="A597" s="18"/>
      <c r="B597" s="57"/>
      <c r="C597" s="57"/>
      <c r="D597" s="57"/>
      <c r="E597" s="57"/>
      <c r="F597" s="57"/>
      <c r="G597" s="57"/>
      <c r="H597" s="62" t="s">
        <v>59</v>
      </c>
      <c r="I597" s="19" t="s">
        <v>149</v>
      </c>
      <c r="J597" s="24">
        <f>+COUNTIFS('3. Resultados'!C:C,'1. Status'!H597,'3. Resultados'!G:G,'1. Status'!I597)</f>
        <v>0</v>
      </c>
      <c r="K597" s="70" t="str">
        <f>+IFERROR(VLOOKUP(CONCATENATE(A597,$B$10,B597),'3. Resultados'!B:J,8,FALSE),"-")</f>
        <v>-</v>
      </c>
      <c r="L597" s="69" t="str">
        <f>+IFERROR(VLOOKUP(B597,'3. Resultados'!K:L,2,FALSE),"-")</f>
        <v>-</v>
      </c>
      <c r="M597" s="70" t="str">
        <f>+IFERROR(VLOOKUP(CONCATENATE(A597,$B$10,B597),'3. Resultados'!B:J,9,FALSE),"-")</f>
        <v>-</v>
      </c>
      <c r="N597" s="24"/>
      <c r="O597" s="25" t="str">
        <f t="shared" si="10"/>
        <v>Por iniciar</v>
      </c>
      <c r="P597"/>
    </row>
    <row r="598" spans="1:16" ht="14.5">
      <c r="A598" s="18"/>
      <c r="B598" s="57"/>
      <c r="C598" s="57"/>
      <c r="D598" s="57"/>
      <c r="E598" s="57"/>
      <c r="F598" s="57"/>
      <c r="G598" s="57"/>
      <c r="H598" s="62" t="s">
        <v>59</v>
      </c>
      <c r="I598" s="19" t="s">
        <v>642</v>
      </c>
      <c r="J598" s="24">
        <f>+COUNTIFS('3. Resultados'!C:C,'1. Status'!H598,'3. Resultados'!G:G,'1. Status'!I598)</f>
        <v>0</v>
      </c>
      <c r="K598" s="70" t="str">
        <f>+IFERROR(VLOOKUP(CONCATENATE(A598,$B$10,B598),'3. Resultados'!B:J,8,FALSE),"-")</f>
        <v>-</v>
      </c>
      <c r="L598" s="69" t="str">
        <f>+IFERROR(VLOOKUP(B598,'3. Resultados'!K:L,2,FALSE),"-")</f>
        <v>-</v>
      </c>
      <c r="M598" s="70" t="str">
        <f>+IFERROR(VLOOKUP(CONCATENATE(A598,$B$10,B598),'3. Resultados'!B:J,9,FALSE),"-")</f>
        <v>-</v>
      </c>
      <c r="N598" s="24"/>
      <c r="O598" s="25" t="str">
        <f t="shared" si="10"/>
        <v>Por iniciar</v>
      </c>
      <c r="P598"/>
    </row>
    <row r="599" spans="1:16" ht="14.5">
      <c r="A599" s="18"/>
      <c r="B599" s="57"/>
      <c r="C599" s="57"/>
      <c r="D599" s="57"/>
      <c r="E599" s="57"/>
      <c r="F599" s="57"/>
      <c r="G599" s="57"/>
      <c r="H599" s="62" t="s">
        <v>59</v>
      </c>
      <c r="I599" s="19" t="s">
        <v>115</v>
      </c>
      <c r="J599" s="24">
        <f>+COUNTIFS('3. Resultados'!C:C,'1. Status'!H599,'3. Resultados'!G:G,'1. Status'!I599)</f>
        <v>0</v>
      </c>
      <c r="K599" s="70" t="str">
        <f>+IFERROR(VLOOKUP(CONCATENATE(A599,$B$10,B599),'3. Resultados'!B:J,8,FALSE),"-")</f>
        <v>-</v>
      </c>
      <c r="L599" s="69" t="str">
        <f>+IFERROR(VLOOKUP(B599,'3. Resultados'!K:L,2,FALSE),"-")</f>
        <v>-</v>
      </c>
      <c r="M599" s="70" t="str">
        <f>+IFERROR(VLOOKUP(CONCATENATE(A599,$B$10,B599),'3. Resultados'!B:J,9,FALSE),"-")</f>
        <v>-</v>
      </c>
      <c r="N599" s="24"/>
      <c r="O599" s="25" t="str">
        <f t="shared" si="10"/>
        <v>Por iniciar</v>
      </c>
      <c r="P599"/>
    </row>
    <row r="600" spans="1:16" ht="14.5">
      <c r="A600" s="18"/>
      <c r="B600" s="57"/>
      <c r="C600" s="57"/>
      <c r="D600" s="57"/>
      <c r="E600" s="57"/>
      <c r="F600" s="57"/>
      <c r="G600" s="57"/>
      <c r="H600" s="62" t="s">
        <v>59</v>
      </c>
      <c r="I600" s="19" t="s">
        <v>116</v>
      </c>
      <c r="J600" s="24">
        <f>+COUNTIFS('3. Resultados'!C:C,'1. Status'!H600,'3. Resultados'!G:G,'1. Status'!I600)</f>
        <v>0</v>
      </c>
      <c r="K600" s="70" t="str">
        <f>+IFERROR(VLOOKUP(CONCATENATE(A600,$B$10,B600),'3. Resultados'!B:J,8,FALSE),"-")</f>
        <v>-</v>
      </c>
      <c r="L600" s="69" t="str">
        <f>+IFERROR(VLOOKUP(B600,'3. Resultados'!K:L,2,FALSE),"-")</f>
        <v>-</v>
      </c>
      <c r="M600" s="70" t="str">
        <f>+IFERROR(VLOOKUP(CONCATENATE(A600,$B$10,B600),'3. Resultados'!B:J,9,FALSE),"-")</f>
        <v>-</v>
      </c>
      <c r="N600" s="24"/>
      <c r="O600" s="25" t="str">
        <f t="shared" si="10"/>
        <v>Por iniciar</v>
      </c>
      <c r="P600"/>
    </row>
    <row r="601" spans="1:16" ht="14.5">
      <c r="A601" s="18"/>
      <c r="B601" s="57"/>
      <c r="C601" s="57"/>
      <c r="D601" s="57"/>
      <c r="E601" s="57"/>
      <c r="F601" s="57"/>
      <c r="G601" s="57"/>
      <c r="H601" s="62" t="s">
        <v>59</v>
      </c>
      <c r="I601" s="19" t="s">
        <v>117</v>
      </c>
      <c r="J601" s="24">
        <f>+COUNTIFS('3. Resultados'!C:C,'1. Status'!H601,'3. Resultados'!G:G,'1. Status'!I601)</f>
        <v>0</v>
      </c>
      <c r="K601" s="70" t="str">
        <f>+IFERROR(VLOOKUP(CONCATENATE(A601,$B$10,B601),'3. Resultados'!B:J,8,FALSE),"-")</f>
        <v>-</v>
      </c>
      <c r="L601" s="69" t="str">
        <f>+IFERROR(VLOOKUP(B601,'3. Resultados'!K:L,2,FALSE),"-")</f>
        <v>-</v>
      </c>
      <c r="M601" s="70" t="str">
        <f>+IFERROR(VLOOKUP(CONCATENATE(A601,$B$10,B601),'3. Resultados'!B:J,9,FALSE),"-")</f>
        <v>-</v>
      </c>
      <c r="N601" s="24"/>
      <c r="O601" s="25" t="str">
        <f t="shared" si="10"/>
        <v>Por iniciar</v>
      </c>
      <c r="P601"/>
    </row>
    <row r="602" spans="1:16" ht="14.5">
      <c r="A602" s="18"/>
      <c r="B602" s="57"/>
      <c r="C602" s="57"/>
      <c r="D602" s="57"/>
      <c r="E602" s="57"/>
      <c r="F602" s="57"/>
      <c r="G602" s="57"/>
      <c r="H602" s="62" t="s">
        <v>59</v>
      </c>
      <c r="I602" s="19" t="s">
        <v>118</v>
      </c>
      <c r="J602" s="24">
        <f>+COUNTIFS('3. Resultados'!C:C,'1. Status'!H602,'3. Resultados'!G:G,'1. Status'!I602)</f>
        <v>0</v>
      </c>
      <c r="K602" s="70" t="str">
        <f>+IFERROR(VLOOKUP(CONCATENATE(A602,$B$10,B602),'3. Resultados'!B:J,8,FALSE),"-")</f>
        <v>-</v>
      </c>
      <c r="L602" s="69" t="str">
        <f>+IFERROR(VLOOKUP(B602,'3. Resultados'!K:L,2,FALSE),"-")</f>
        <v>-</v>
      </c>
      <c r="M602" s="70" t="str">
        <f>+IFERROR(VLOOKUP(CONCATENATE(A602,$B$10,B602),'3. Resultados'!B:J,9,FALSE),"-")</f>
        <v>-</v>
      </c>
      <c r="N602" s="24"/>
      <c r="O602" s="25" t="str">
        <f t="shared" si="10"/>
        <v>Por iniciar</v>
      </c>
      <c r="P602"/>
    </row>
    <row r="603" spans="1:16" ht="14.5">
      <c r="A603" s="18"/>
      <c r="B603" s="57"/>
      <c r="C603" s="57"/>
      <c r="D603" s="57"/>
      <c r="E603" s="57"/>
      <c r="F603" s="57"/>
      <c r="G603" s="57"/>
      <c r="H603" s="62" t="s">
        <v>59</v>
      </c>
      <c r="I603" s="19" t="s">
        <v>119</v>
      </c>
      <c r="J603" s="24">
        <f>+COUNTIFS('3. Resultados'!C:C,'1. Status'!H603,'3. Resultados'!G:G,'1. Status'!I603)</f>
        <v>0</v>
      </c>
      <c r="K603" s="70" t="str">
        <f>+IFERROR(VLOOKUP(CONCATENATE(A603,$B$10,B603),'3. Resultados'!B:J,8,FALSE),"-")</f>
        <v>-</v>
      </c>
      <c r="L603" s="69" t="str">
        <f>+IFERROR(VLOOKUP(B603,'3. Resultados'!K:L,2,FALSE),"-")</f>
        <v>-</v>
      </c>
      <c r="M603" s="70" t="str">
        <f>+IFERROR(VLOOKUP(CONCATENATE(A603,$B$10,B603),'3. Resultados'!B:J,9,FALSE),"-")</f>
        <v>-</v>
      </c>
      <c r="N603" s="24"/>
      <c r="O603" s="25" t="str">
        <f t="shared" si="10"/>
        <v>Por iniciar</v>
      </c>
      <c r="P603"/>
    </row>
    <row r="604" spans="1:16" ht="14.5">
      <c r="A604" s="18"/>
      <c r="B604" s="57"/>
      <c r="C604" s="57"/>
      <c r="D604" s="57"/>
      <c r="E604" s="57"/>
      <c r="F604" s="57"/>
      <c r="G604" s="57"/>
      <c r="H604" s="62" t="s">
        <v>59</v>
      </c>
      <c r="I604" s="19" t="s">
        <v>120</v>
      </c>
      <c r="J604" s="24">
        <f>+COUNTIFS('3. Resultados'!C:C,'1. Status'!H604,'3. Resultados'!G:G,'1. Status'!I604)</f>
        <v>0</v>
      </c>
      <c r="K604" s="70" t="str">
        <f>+IFERROR(VLOOKUP(CONCATENATE(A604,$B$10,B604),'3. Resultados'!B:J,8,FALSE),"-")</f>
        <v>-</v>
      </c>
      <c r="L604" s="69" t="str">
        <f>+IFERROR(VLOOKUP(B604,'3. Resultados'!K:L,2,FALSE),"-")</f>
        <v>-</v>
      </c>
      <c r="M604" s="70" t="str">
        <f>+IFERROR(VLOOKUP(CONCATENATE(A604,$B$10,B604),'3. Resultados'!B:J,9,FALSE),"-")</f>
        <v>-</v>
      </c>
      <c r="N604" s="24"/>
      <c r="O604" s="25" t="str">
        <f t="shared" si="10"/>
        <v>Por iniciar</v>
      </c>
      <c r="P604"/>
    </row>
    <row r="605" spans="1:16" ht="14.5">
      <c r="A605" s="18"/>
      <c r="B605" s="57"/>
      <c r="C605" s="57"/>
      <c r="D605" s="57"/>
      <c r="E605" s="57"/>
      <c r="F605" s="57"/>
      <c r="G605" s="57"/>
      <c r="H605" s="62" t="s">
        <v>59</v>
      </c>
      <c r="I605" s="19" t="s">
        <v>121</v>
      </c>
      <c r="J605" s="24">
        <f>+COUNTIFS('3. Resultados'!C:C,'1. Status'!H605,'3. Resultados'!G:G,'1. Status'!I605)</f>
        <v>0</v>
      </c>
      <c r="K605" s="70" t="str">
        <f>+IFERROR(VLOOKUP(CONCATENATE(A605,$B$10,B605),'3. Resultados'!B:J,8,FALSE),"-")</f>
        <v>-</v>
      </c>
      <c r="L605" s="69" t="str">
        <f>+IFERROR(VLOOKUP(B605,'3. Resultados'!K:L,2,FALSE),"-")</f>
        <v>-</v>
      </c>
      <c r="M605" s="70" t="str">
        <f>+IFERROR(VLOOKUP(CONCATENATE(A605,$B$10,B605),'3. Resultados'!B:J,9,FALSE),"-")</f>
        <v>-</v>
      </c>
      <c r="N605" s="24"/>
      <c r="O605" s="25" t="str">
        <f t="shared" si="10"/>
        <v>Por iniciar</v>
      </c>
      <c r="P605"/>
    </row>
    <row r="606" spans="1:16" ht="14.5">
      <c r="A606" s="18"/>
      <c r="B606" s="57"/>
      <c r="C606" s="57"/>
      <c r="D606" s="57"/>
      <c r="E606" s="57"/>
      <c r="F606" s="57"/>
      <c r="G606" s="57"/>
      <c r="H606" s="62" t="s">
        <v>59</v>
      </c>
      <c r="I606" s="19" t="s">
        <v>122</v>
      </c>
      <c r="J606" s="24">
        <f>+COUNTIFS('3. Resultados'!C:C,'1. Status'!H606,'3. Resultados'!G:G,'1. Status'!I606)</f>
        <v>0</v>
      </c>
      <c r="K606" s="70" t="str">
        <f>+IFERROR(VLOOKUP(CONCATENATE(A606,$B$10,B606),'3. Resultados'!B:J,8,FALSE),"-")</f>
        <v>-</v>
      </c>
      <c r="L606" s="69" t="str">
        <f>+IFERROR(VLOOKUP(B606,'3. Resultados'!K:L,2,FALSE),"-")</f>
        <v>-</v>
      </c>
      <c r="M606" s="70" t="str">
        <f>+IFERROR(VLOOKUP(CONCATENATE(A606,$B$10,B606),'3. Resultados'!B:J,9,FALSE),"-")</f>
        <v>-</v>
      </c>
      <c r="N606" s="24"/>
      <c r="O606" s="25" t="str">
        <f t="shared" si="10"/>
        <v>Por iniciar</v>
      </c>
      <c r="P606"/>
    </row>
    <row r="607" spans="1:16" ht="14.5">
      <c r="A607" s="18"/>
      <c r="B607" s="57"/>
      <c r="C607" s="57"/>
      <c r="D607" s="57"/>
      <c r="E607" s="57"/>
      <c r="F607" s="57"/>
      <c r="G607" s="57"/>
      <c r="H607" s="62" t="s">
        <v>59</v>
      </c>
      <c r="I607" s="19" t="s">
        <v>123</v>
      </c>
      <c r="J607" s="24">
        <f>+COUNTIFS('3. Resultados'!C:C,'1. Status'!H607,'3. Resultados'!G:G,'1. Status'!I607)</f>
        <v>0</v>
      </c>
      <c r="K607" s="70" t="str">
        <f>+IFERROR(VLOOKUP(CONCATENATE(A607,$B$10,B607),'3. Resultados'!B:J,8,FALSE),"-")</f>
        <v>-</v>
      </c>
      <c r="L607" s="69" t="str">
        <f>+IFERROR(VLOOKUP(B607,'3. Resultados'!K:L,2,FALSE),"-")</f>
        <v>-</v>
      </c>
      <c r="M607" s="70" t="str">
        <f>+IFERROR(VLOOKUP(CONCATENATE(A607,$B$10,B607),'3. Resultados'!B:J,9,FALSE),"-")</f>
        <v>-</v>
      </c>
      <c r="N607" s="24"/>
      <c r="O607" s="25" t="str">
        <f t="shared" si="10"/>
        <v>Por iniciar</v>
      </c>
      <c r="P607"/>
    </row>
    <row r="608" spans="1:16" ht="14.5">
      <c r="A608" s="18"/>
      <c r="B608" s="57"/>
      <c r="C608" s="57"/>
      <c r="D608" s="57"/>
      <c r="E608" s="57"/>
      <c r="F608" s="57"/>
      <c r="G608" s="57"/>
      <c r="H608" s="62" t="s">
        <v>59</v>
      </c>
      <c r="I608" s="19" t="s">
        <v>124</v>
      </c>
      <c r="J608" s="24">
        <f>+COUNTIFS('3. Resultados'!C:C,'1. Status'!H608,'3. Resultados'!G:G,'1. Status'!I608)</f>
        <v>0</v>
      </c>
      <c r="K608" s="70" t="str">
        <f>+IFERROR(VLOOKUP(CONCATENATE(A608,$B$10,B608),'3. Resultados'!B:J,8,FALSE),"-")</f>
        <v>-</v>
      </c>
      <c r="L608" s="69" t="str">
        <f>+IFERROR(VLOOKUP(B608,'3. Resultados'!K:L,2,FALSE),"-")</f>
        <v>-</v>
      </c>
      <c r="M608" s="70" t="str">
        <f>+IFERROR(VLOOKUP(CONCATENATE(A608,$B$10,B608),'3. Resultados'!B:J,9,FALSE),"-")</f>
        <v>-</v>
      </c>
      <c r="N608" s="24"/>
      <c r="O608" s="25" t="str">
        <f t="shared" si="10"/>
        <v>Por iniciar</v>
      </c>
      <c r="P608"/>
    </row>
    <row r="609" spans="1:16" ht="14.5">
      <c r="A609" s="18"/>
      <c r="B609" s="57"/>
      <c r="C609" s="57"/>
      <c r="D609" s="57"/>
      <c r="E609" s="57"/>
      <c r="F609" s="57"/>
      <c r="G609" s="57"/>
      <c r="H609" s="62" t="s">
        <v>59</v>
      </c>
      <c r="I609" s="19" t="s">
        <v>105</v>
      </c>
      <c r="J609" s="24">
        <f>+COUNTIFS('3. Resultados'!C:C,'1. Status'!H609,'3. Resultados'!G:G,'1. Status'!I609)</f>
        <v>0</v>
      </c>
      <c r="K609" s="70" t="str">
        <f>+IFERROR(VLOOKUP(CONCATENATE(A609,$B$10,B609),'3. Resultados'!B:J,8,FALSE),"-")</f>
        <v>-</v>
      </c>
      <c r="L609" s="69" t="str">
        <f>+IFERROR(VLOOKUP(B609,'3. Resultados'!K:L,2,FALSE),"-")</f>
        <v>-</v>
      </c>
      <c r="M609" s="70" t="str">
        <f>+IFERROR(VLOOKUP(CONCATENATE(A609,$B$10,B609),'3. Resultados'!B:J,9,FALSE),"-")</f>
        <v>-</v>
      </c>
      <c r="N609" s="24"/>
      <c r="O609" s="25" t="str">
        <f t="shared" si="10"/>
        <v>Por iniciar</v>
      </c>
      <c r="P609"/>
    </row>
    <row r="610" spans="1:16" ht="14.5">
      <c r="A610" s="18"/>
      <c r="B610" s="57"/>
      <c r="C610" s="57"/>
      <c r="D610" s="57"/>
      <c r="E610" s="57"/>
      <c r="F610" s="57"/>
      <c r="G610" s="57"/>
      <c r="H610" s="62" t="s">
        <v>59</v>
      </c>
      <c r="I610" s="19" t="s">
        <v>106</v>
      </c>
      <c r="J610" s="24">
        <f>+COUNTIFS('3. Resultados'!C:C,'1. Status'!H610,'3. Resultados'!G:G,'1. Status'!I610)</f>
        <v>0</v>
      </c>
      <c r="K610" s="70" t="str">
        <f>+IFERROR(VLOOKUP(CONCATENATE(A610,$B$10,B610),'3. Resultados'!B:J,8,FALSE),"-")</f>
        <v>-</v>
      </c>
      <c r="L610" s="69" t="str">
        <f>+IFERROR(VLOOKUP(B610,'3. Resultados'!K:L,2,FALSE),"-")</f>
        <v>-</v>
      </c>
      <c r="M610" s="70" t="str">
        <f>+IFERROR(VLOOKUP(CONCATENATE(A610,$B$10,B610),'3. Resultados'!B:J,9,FALSE),"-")</f>
        <v>-</v>
      </c>
      <c r="N610" s="24"/>
      <c r="O610" s="25" t="str">
        <f t="shared" si="10"/>
        <v>Por iniciar</v>
      </c>
      <c r="P610"/>
    </row>
    <row r="611" spans="1:16" ht="14.5">
      <c r="A611" s="18"/>
      <c r="B611" s="57"/>
      <c r="C611" s="57"/>
      <c r="D611" s="57"/>
      <c r="E611" s="57"/>
      <c r="F611" s="57"/>
      <c r="G611" s="57"/>
      <c r="H611" s="62" t="s">
        <v>59</v>
      </c>
      <c r="I611" s="19" t="s">
        <v>168</v>
      </c>
      <c r="J611" s="24">
        <f>+COUNTIFS('3. Resultados'!C:C,'1. Status'!H611,'3. Resultados'!G:G,'1. Status'!I611)</f>
        <v>0</v>
      </c>
      <c r="K611" s="70" t="str">
        <f>+IFERROR(VLOOKUP(CONCATENATE(A611,$B$10,B611),'3. Resultados'!B:J,8,FALSE),"-")</f>
        <v>-</v>
      </c>
      <c r="L611" s="69" t="str">
        <f>+IFERROR(VLOOKUP(B611,'3. Resultados'!K:L,2,FALSE),"-")</f>
        <v>-</v>
      </c>
      <c r="M611" s="70" t="str">
        <f>+IFERROR(VLOOKUP(CONCATENATE(A611,$B$10,B611),'3. Resultados'!B:J,9,FALSE),"-")</f>
        <v>-</v>
      </c>
      <c r="N611" s="24"/>
      <c r="O611" s="25" t="str">
        <f t="shared" si="10"/>
        <v>Por iniciar</v>
      </c>
      <c r="P611"/>
    </row>
    <row r="612" spans="1:16" ht="14.5">
      <c r="A612" s="18"/>
      <c r="B612" s="57"/>
      <c r="C612" s="57"/>
      <c r="D612" s="57"/>
      <c r="E612" s="57"/>
      <c r="F612" s="57"/>
      <c r="G612" s="57"/>
      <c r="H612" s="62" t="s">
        <v>59</v>
      </c>
      <c r="I612" s="19" t="s">
        <v>169</v>
      </c>
      <c r="J612" s="24">
        <f>+COUNTIFS('3. Resultados'!C:C,'1. Status'!H612,'3. Resultados'!G:G,'1. Status'!I612)</f>
        <v>0</v>
      </c>
      <c r="K612" s="70" t="str">
        <f>+IFERROR(VLOOKUP(CONCATENATE(A612,$B$10,B612),'3. Resultados'!B:J,8,FALSE),"-")</f>
        <v>-</v>
      </c>
      <c r="L612" s="69" t="str">
        <f>+IFERROR(VLOOKUP(B612,'3. Resultados'!K:L,2,FALSE),"-")</f>
        <v>-</v>
      </c>
      <c r="M612" s="70" t="str">
        <f>+IFERROR(VLOOKUP(CONCATENATE(A612,$B$10,B612),'3. Resultados'!B:J,9,FALSE),"-")</f>
        <v>-</v>
      </c>
      <c r="N612" s="24"/>
      <c r="O612" s="25" t="str">
        <f t="shared" si="10"/>
        <v>Por iniciar</v>
      </c>
      <c r="P612"/>
    </row>
    <row r="613" spans="1:16" ht="14.5">
      <c r="A613" s="18"/>
      <c r="B613" s="57"/>
      <c r="C613" s="57"/>
      <c r="D613" s="57"/>
      <c r="E613" s="57"/>
      <c r="F613" s="57"/>
      <c r="G613" s="57"/>
      <c r="H613" s="62" t="s">
        <v>59</v>
      </c>
      <c r="I613" s="19" t="s">
        <v>170</v>
      </c>
      <c r="J613" s="24">
        <f>+COUNTIFS('3. Resultados'!C:C,'1. Status'!H613,'3. Resultados'!G:G,'1. Status'!I613)</f>
        <v>0</v>
      </c>
      <c r="K613" s="70" t="str">
        <f>+IFERROR(VLOOKUP(CONCATENATE(A613,$B$10,B613),'3. Resultados'!B:J,8,FALSE),"-")</f>
        <v>-</v>
      </c>
      <c r="L613" s="69" t="str">
        <f>+IFERROR(VLOOKUP(B613,'3. Resultados'!K:L,2,FALSE),"-")</f>
        <v>-</v>
      </c>
      <c r="M613" s="70" t="str">
        <f>+IFERROR(VLOOKUP(CONCATENATE(A613,$B$10,B613),'3. Resultados'!B:J,9,FALSE),"-")</f>
        <v>-</v>
      </c>
      <c r="N613" s="24"/>
      <c r="O613" s="25" t="str">
        <f t="shared" si="10"/>
        <v>Por iniciar</v>
      </c>
      <c r="P613"/>
    </row>
    <row r="614" spans="1:16" ht="14.5">
      <c r="A614" s="18"/>
      <c r="B614" s="57"/>
      <c r="C614" s="57"/>
      <c r="D614" s="57"/>
      <c r="E614" s="57"/>
      <c r="F614" s="57"/>
      <c r="G614" s="57"/>
      <c r="H614" s="62" t="s">
        <v>59</v>
      </c>
      <c r="I614" s="19" t="s">
        <v>171</v>
      </c>
      <c r="J614" s="24">
        <f>+COUNTIFS('3. Resultados'!C:C,'1. Status'!H614,'3. Resultados'!G:G,'1. Status'!I614)</f>
        <v>0</v>
      </c>
      <c r="K614" s="70" t="str">
        <f>+IFERROR(VLOOKUP(CONCATENATE(A614,$B$10,B614),'3. Resultados'!B:J,8,FALSE),"-")</f>
        <v>-</v>
      </c>
      <c r="L614" s="69" t="str">
        <f>+IFERROR(VLOOKUP(B614,'3. Resultados'!K:L,2,FALSE),"-")</f>
        <v>-</v>
      </c>
      <c r="M614" s="70" t="str">
        <f>+IFERROR(VLOOKUP(CONCATENATE(A614,$B$10,B614),'3. Resultados'!B:J,9,FALSE),"-")</f>
        <v>-</v>
      </c>
      <c r="N614" s="24"/>
      <c r="O614" s="25" t="str">
        <f t="shared" si="10"/>
        <v>Por iniciar</v>
      </c>
      <c r="P614"/>
    </row>
    <row r="615" spans="1:16" ht="14.5">
      <c r="A615" s="18"/>
      <c r="B615" s="57"/>
      <c r="C615" s="57"/>
      <c r="D615" s="57"/>
      <c r="E615" s="57"/>
      <c r="F615" s="57"/>
      <c r="G615" s="57"/>
      <c r="H615" s="62" t="s">
        <v>59</v>
      </c>
      <c r="I615" s="19" t="s">
        <v>643</v>
      </c>
      <c r="J615" s="24">
        <f>+COUNTIFS('3. Resultados'!C:C,'1. Status'!H615,'3. Resultados'!G:G,'1. Status'!I615)</f>
        <v>0</v>
      </c>
      <c r="K615" s="70" t="str">
        <f>+IFERROR(VLOOKUP(CONCATENATE(A615,$B$10,B615),'3. Resultados'!B:J,8,FALSE),"-")</f>
        <v>-</v>
      </c>
      <c r="L615" s="69" t="str">
        <f>+IFERROR(VLOOKUP(B615,'3. Resultados'!K:L,2,FALSE),"-")</f>
        <v>-</v>
      </c>
      <c r="M615" s="70" t="str">
        <f>+IFERROR(VLOOKUP(CONCATENATE(A615,$B$10,B615),'3. Resultados'!B:J,9,FALSE),"-")</f>
        <v>-</v>
      </c>
      <c r="N615" s="24"/>
      <c r="O615" s="25" t="str">
        <f t="shared" si="10"/>
        <v>Por iniciar</v>
      </c>
      <c r="P615"/>
    </row>
    <row r="616" spans="1:16" ht="14.5">
      <c r="A616" s="18"/>
      <c r="B616" s="57"/>
      <c r="C616" s="57"/>
      <c r="D616" s="57"/>
      <c r="E616" s="57"/>
      <c r="F616" s="57"/>
      <c r="G616" s="57"/>
      <c r="H616" s="62" t="s">
        <v>59</v>
      </c>
      <c r="I616" s="19" t="s">
        <v>644</v>
      </c>
      <c r="J616" s="24">
        <f>+COUNTIFS('3. Resultados'!C:C,'1. Status'!H616,'3. Resultados'!G:G,'1. Status'!I616)</f>
        <v>0</v>
      </c>
      <c r="K616" s="70" t="str">
        <f>+IFERROR(VLOOKUP(CONCATENATE(A616,$B$10,B616),'3. Resultados'!B:J,8,FALSE),"-")</f>
        <v>-</v>
      </c>
      <c r="L616" s="69" t="str">
        <f>+IFERROR(VLOOKUP(B616,'3. Resultados'!K:L,2,FALSE),"-")</f>
        <v>-</v>
      </c>
      <c r="M616" s="70" t="str">
        <f>+IFERROR(VLOOKUP(CONCATENATE(A616,$B$10,B616),'3. Resultados'!B:J,9,FALSE),"-")</f>
        <v>-</v>
      </c>
      <c r="N616" s="24"/>
      <c r="O616" s="25" t="str">
        <f t="shared" si="10"/>
        <v>Por iniciar</v>
      </c>
      <c r="P616"/>
    </row>
    <row r="617" spans="1:16" ht="14.5">
      <c r="A617" s="18"/>
      <c r="B617" s="57"/>
      <c r="C617" s="57"/>
      <c r="D617" s="57"/>
      <c r="E617" s="57"/>
      <c r="F617" s="57"/>
      <c r="G617" s="57"/>
      <c r="H617" s="62" t="s">
        <v>59</v>
      </c>
      <c r="I617" s="19" t="s">
        <v>645</v>
      </c>
      <c r="J617" s="24">
        <f>+COUNTIFS('3. Resultados'!C:C,'1. Status'!H617,'3. Resultados'!G:G,'1. Status'!I617)</f>
        <v>0</v>
      </c>
      <c r="K617" s="70" t="str">
        <f>+IFERROR(VLOOKUP(CONCATENATE(A617,$B$10,B617),'3. Resultados'!B:J,8,FALSE),"-")</f>
        <v>-</v>
      </c>
      <c r="L617" s="69" t="str">
        <f>+IFERROR(VLOOKUP(B617,'3. Resultados'!K:L,2,FALSE),"-")</f>
        <v>-</v>
      </c>
      <c r="M617" s="70" t="str">
        <f>+IFERROR(VLOOKUP(CONCATENATE(A617,$B$10,B617),'3. Resultados'!B:J,9,FALSE),"-")</f>
        <v>-</v>
      </c>
      <c r="N617" s="24"/>
      <c r="O617" s="25" t="str">
        <f t="shared" si="10"/>
        <v>Por iniciar</v>
      </c>
      <c r="P617"/>
    </row>
    <row r="618" spans="1:16" ht="14.5">
      <c r="A618" s="18"/>
      <c r="B618" s="57"/>
      <c r="C618" s="57"/>
      <c r="D618" s="57"/>
      <c r="E618" s="57"/>
      <c r="F618" s="57"/>
      <c r="G618" s="57"/>
      <c r="H618" s="62" t="s">
        <v>59</v>
      </c>
      <c r="I618" s="19" t="s">
        <v>646</v>
      </c>
      <c r="J618" s="24">
        <f>+COUNTIFS('3. Resultados'!C:C,'1. Status'!H618,'3. Resultados'!G:G,'1. Status'!I618)</f>
        <v>0</v>
      </c>
      <c r="K618" s="70" t="str">
        <f>+IFERROR(VLOOKUP(CONCATENATE(A618,$B$10,B618),'3. Resultados'!B:J,8,FALSE),"-")</f>
        <v>-</v>
      </c>
      <c r="L618" s="69" t="str">
        <f>+IFERROR(VLOOKUP(B618,'3. Resultados'!K:L,2,FALSE),"-")</f>
        <v>-</v>
      </c>
      <c r="M618" s="70" t="str">
        <f>+IFERROR(VLOOKUP(CONCATENATE(A618,$B$10,B618),'3. Resultados'!B:J,9,FALSE),"-")</f>
        <v>-</v>
      </c>
      <c r="N618" s="24"/>
      <c r="O618" s="25" t="str">
        <f t="shared" si="10"/>
        <v>Por iniciar</v>
      </c>
      <c r="P618"/>
    </row>
    <row r="619" spans="1:16" ht="14.5">
      <c r="A619" s="18"/>
      <c r="B619" s="57"/>
      <c r="C619" s="57"/>
      <c r="D619" s="57"/>
      <c r="E619" s="57"/>
      <c r="F619" s="57"/>
      <c r="G619" s="57"/>
      <c r="H619" s="62" t="s">
        <v>59</v>
      </c>
      <c r="I619" s="19" t="s">
        <v>647</v>
      </c>
      <c r="J619" s="24">
        <f>+COUNTIFS('3. Resultados'!C:C,'1. Status'!H619,'3. Resultados'!G:G,'1. Status'!I619)</f>
        <v>0</v>
      </c>
      <c r="K619" s="70" t="str">
        <f>+IFERROR(VLOOKUP(CONCATENATE(A619,$B$10,B619),'3. Resultados'!B:J,8,FALSE),"-")</f>
        <v>-</v>
      </c>
      <c r="L619" s="69" t="str">
        <f>+IFERROR(VLOOKUP(B619,'3. Resultados'!K:L,2,FALSE),"-")</f>
        <v>-</v>
      </c>
      <c r="M619" s="70" t="str">
        <f>+IFERROR(VLOOKUP(CONCATENATE(A619,$B$10,B619),'3. Resultados'!B:J,9,FALSE),"-")</f>
        <v>-</v>
      </c>
      <c r="N619" s="24"/>
      <c r="O619" s="25" t="str">
        <f t="shared" si="10"/>
        <v>Por iniciar</v>
      </c>
      <c r="P619"/>
    </row>
    <row r="620" spans="1:16" ht="14.5">
      <c r="A620" s="18"/>
      <c r="B620" s="57"/>
      <c r="C620" s="57"/>
      <c r="D620" s="57"/>
      <c r="E620" s="57"/>
      <c r="F620" s="57"/>
      <c r="G620" s="57"/>
      <c r="H620" s="62" t="s">
        <v>59</v>
      </c>
      <c r="I620" s="19" t="s">
        <v>648</v>
      </c>
      <c r="J620" s="24">
        <f>+COUNTIFS('3. Resultados'!C:C,'1. Status'!H620,'3. Resultados'!G:G,'1. Status'!I620)</f>
        <v>0</v>
      </c>
      <c r="K620" s="70" t="str">
        <f>+IFERROR(VLOOKUP(CONCATENATE(A620,$B$10,B620),'3. Resultados'!B:J,8,FALSE),"-")</f>
        <v>-</v>
      </c>
      <c r="L620" s="69" t="str">
        <f>+IFERROR(VLOOKUP(B620,'3. Resultados'!K:L,2,FALSE),"-")</f>
        <v>-</v>
      </c>
      <c r="M620" s="70" t="str">
        <f>+IFERROR(VLOOKUP(CONCATENATE(A620,$B$10,B620),'3. Resultados'!B:J,9,FALSE),"-")</f>
        <v>-</v>
      </c>
      <c r="N620" s="24"/>
      <c r="O620" s="25" t="str">
        <f t="shared" si="10"/>
        <v>Por iniciar</v>
      </c>
      <c r="P620"/>
    </row>
    <row r="621" spans="1:16" ht="14.5">
      <c r="A621" s="18"/>
      <c r="B621" s="57"/>
      <c r="C621" s="57"/>
      <c r="D621" s="57"/>
      <c r="E621" s="57"/>
      <c r="F621" s="57"/>
      <c r="G621" s="57"/>
      <c r="H621" s="62" t="s">
        <v>59</v>
      </c>
      <c r="I621" s="19" t="s">
        <v>649</v>
      </c>
      <c r="J621" s="24">
        <f>+COUNTIFS('3. Resultados'!C:C,'1. Status'!H621,'3. Resultados'!G:G,'1. Status'!I621)</f>
        <v>0</v>
      </c>
      <c r="K621" s="70" t="str">
        <f>+IFERROR(VLOOKUP(CONCATENATE(A621,$B$10,B621),'3. Resultados'!B:J,8,FALSE),"-")</f>
        <v>-</v>
      </c>
      <c r="L621" s="69" t="str">
        <f>+IFERROR(VLOOKUP(B621,'3. Resultados'!K:L,2,FALSE),"-")</f>
        <v>-</v>
      </c>
      <c r="M621" s="70" t="str">
        <f>+IFERROR(VLOOKUP(CONCATENATE(A621,$B$10,B621),'3. Resultados'!B:J,9,FALSE),"-")</f>
        <v>-</v>
      </c>
      <c r="N621" s="24"/>
      <c r="O621" s="25" t="str">
        <f t="shared" si="10"/>
        <v>Por iniciar</v>
      </c>
      <c r="P621"/>
    </row>
    <row r="622" spans="1:16" ht="14.5">
      <c r="A622" s="18"/>
      <c r="B622" s="57"/>
      <c r="C622" s="57"/>
      <c r="D622" s="57"/>
      <c r="E622" s="57"/>
      <c r="F622" s="57"/>
      <c r="G622" s="57"/>
      <c r="H622" s="62" t="s">
        <v>59</v>
      </c>
      <c r="I622" s="19" t="s">
        <v>650</v>
      </c>
      <c r="J622" s="24">
        <f>+COUNTIFS('3. Resultados'!C:C,'1. Status'!H622,'3. Resultados'!G:G,'1. Status'!I622)</f>
        <v>0</v>
      </c>
      <c r="K622" s="70" t="str">
        <f>+IFERROR(VLOOKUP(CONCATENATE(A622,$B$10,B622),'3. Resultados'!B:J,8,FALSE),"-")</f>
        <v>-</v>
      </c>
      <c r="L622" s="69" t="str">
        <f>+IFERROR(VLOOKUP(B622,'3. Resultados'!K:L,2,FALSE),"-")</f>
        <v>-</v>
      </c>
      <c r="M622" s="70" t="str">
        <f>+IFERROR(VLOOKUP(CONCATENATE(A622,$B$10,B622),'3. Resultados'!B:J,9,FALSE),"-")</f>
        <v>-</v>
      </c>
      <c r="N622" s="24"/>
      <c r="O622" s="25" t="str">
        <f t="shared" si="10"/>
        <v>Por iniciar</v>
      </c>
      <c r="P622"/>
    </row>
    <row r="623" spans="1:16" ht="14.5">
      <c r="A623" s="18"/>
      <c r="B623" s="57"/>
      <c r="C623" s="57"/>
      <c r="D623" s="57"/>
      <c r="E623" s="57"/>
      <c r="F623" s="57"/>
      <c r="G623" s="57"/>
      <c r="H623" s="62" t="s">
        <v>59</v>
      </c>
      <c r="I623" s="19" t="s">
        <v>651</v>
      </c>
      <c r="J623" s="24">
        <f>+COUNTIFS('3. Resultados'!C:C,'1. Status'!H623,'3. Resultados'!G:G,'1. Status'!I623)</f>
        <v>0</v>
      </c>
      <c r="K623" s="70" t="str">
        <f>+IFERROR(VLOOKUP(CONCATENATE(A623,$B$10,B623),'3. Resultados'!B:J,8,FALSE),"-")</f>
        <v>-</v>
      </c>
      <c r="L623" s="69" t="str">
        <f>+IFERROR(VLOOKUP(B623,'3. Resultados'!K:L,2,FALSE),"-")</f>
        <v>-</v>
      </c>
      <c r="M623" s="70" t="str">
        <f>+IFERROR(VLOOKUP(CONCATENATE(A623,$B$10,B623),'3. Resultados'!B:J,9,FALSE),"-")</f>
        <v>-</v>
      </c>
      <c r="N623" s="24"/>
      <c r="O623" s="25" t="str">
        <f t="shared" si="10"/>
        <v>Por iniciar</v>
      </c>
      <c r="P623"/>
    </row>
    <row r="624" spans="1:16" ht="14.5">
      <c r="A624" s="18"/>
      <c r="B624" s="57"/>
      <c r="C624" s="57"/>
      <c r="D624" s="57"/>
      <c r="E624" s="57"/>
      <c r="F624" s="57"/>
      <c r="G624" s="57"/>
      <c r="H624" s="62" t="s">
        <v>59</v>
      </c>
      <c r="I624" s="19" t="s">
        <v>652</v>
      </c>
      <c r="J624" s="24">
        <f>+COUNTIFS('3. Resultados'!C:C,'1. Status'!H624,'3. Resultados'!G:G,'1. Status'!I624)</f>
        <v>0</v>
      </c>
      <c r="K624" s="70" t="str">
        <f>+IFERROR(VLOOKUP(CONCATENATE(A624,$B$10,B624),'3. Resultados'!B:J,8,FALSE),"-")</f>
        <v>-</v>
      </c>
      <c r="L624" s="69" t="str">
        <f>+IFERROR(VLOOKUP(B624,'3. Resultados'!K:L,2,FALSE),"-")</f>
        <v>-</v>
      </c>
      <c r="M624" s="70" t="str">
        <f>+IFERROR(VLOOKUP(CONCATENATE(A624,$B$10,B624),'3. Resultados'!B:J,9,FALSE),"-")</f>
        <v>-</v>
      </c>
      <c r="N624" s="24"/>
      <c r="O624" s="25" t="str">
        <f t="shared" si="10"/>
        <v>Por iniciar</v>
      </c>
      <c r="P624"/>
    </row>
    <row r="625" spans="1:16" ht="14.5">
      <c r="A625" s="18"/>
      <c r="B625" s="57"/>
      <c r="C625" s="57"/>
      <c r="D625" s="57"/>
      <c r="E625" s="57"/>
      <c r="F625" s="57"/>
      <c r="G625" s="57"/>
      <c r="H625" s="62" t="s">
        <v>59</v>
      </c>
      <c r="I625" s="19" t="s">
        <v>653</v>
      </c>
      <c r="J625" s="24">
        <f>+COUNTIFS('3. Resultados'!C:C,'1. Status'!H625,'3. Resultados'!G:G,'1. Status'!I625)</f>
        <v>0</v>
      </c>
      <c r="K625" s="70" t="str">
        <f>+IFERROR(VLOOKUP(CONCATENATE(A625,$B$10,B625),'3. Resultados'!B:J,8,FALSE),"-")</f>
        <v>-</v>
      </c>
      <c r="L625" s="69" t="str">
        <f>+IFERROR(VLOOKUP(B625,'3. Resultados'!K:L,2,FALSE),"-")</f>
        <v>-</v>
      </c>
      <c r="M625" s="70" t="str">
        <f>+IFERROR(VLOOKUP(CONCATENATE(A625,$B$10,B625),'3. Resultados'!B:J,9,FALSE),"-")</f>
        <v>-</v>
      </c>
      <c r="N625" s="24"/>
      <c r="O625" s="25" t="str">
        <f t="shared" si="10"/>
        <v>Por iniciar</v>
      </c>
      <c r="P625"/>
    </row>
    <row r="626" spans="1:16" ht="14.5">
      <c r="A626" s="18"/>
      <c r="B626" s="57"/>
      <c r="C626" s="57"/>
      <c r="D626" s="57"/>
      <c r="E626" s="57"/>
      <c r="F626" s="57"/>
      <c r="G626" s="57"/>
      <c r="H626" s="62" t="s">
        <v>59</v>
      </c>
      <c r="I626" s="19" t="s">
        <v>654</v>
      </c>
      <c r="J626" s="24">
        <f>+COUNTIFS('3. Resultados'!C:C,'1. Status'!H626,'3. Resultados'!G:G,'1. Status'!I626)</f>
        <v>0</v>
      </c>
      <c r="K626" s="70" t="str">
        <f>+IFERROR(VLOOKUP(CONCATENATE(A626,$B$10,B626),'3. Resultados'!B:J,8,FALSE),"-")</f>
        <v>-</v>
      </c>
      <c r="L626" s="69" t="str">
        <f>+IFERROR(VLOOKUP(B626,'3. Resultados'!K:L,2,FALSE),"-")</f>
        <v>-</v>
      </c>
      <c r="M626" s="70" t="str">
        <f>+IFERROR(VLOOKUP(CONCATENATE(A626,$B$10,B626),'3. Resultados'!B:J,9,FALSE),"-")</f>
        <v>-</v>
      </c>
      <c r="N626" s="24"/>
      <c r="O626" s="25" t="str">
        <f t="shared" si="10"/>
        <v>Por iniciar</v>
      </c>
      <c r="P626"/>
    </row>
    <row r="627" spans="1:16" ht="14.5">
      <c r="A627" s="18"/>
      <c r="B627" s="57"/>
      <c r="C627" s="57"/>
      <c r="D627" s="57"/>
      <c r="E627" s="57"/>
      <c r="F627" s="57"/>
      <c r="G627" s="57"/>
      <c r="H627" s="62" t="s">
        <v>59</v>
      </c>
      <c r="I627" s="19" t="s">
        <v>655</v>
      </c>
      <c r="J627" s="24">
        <f>+COUNTIFS('3. Resultados'!C:C,'1. Status'!H627,'3. Resultados'!G:G,'1. Status'!I627)</f>
        <v>0</v>
      </c>
      <c r="K627" s="70" t="str">
        <f>+IFERROR(VLOOKUP(CONCATENATE(A627,$B$10,B627),'3. Resultados'!B:J,8,FALSE),"-")</f>
        <v>-</v>
      </c>
      <c r="L627" s="69" t="str">
        <f>+IFERROR(VLOOKUP(B627,'3. Resultados'!K:L,2,FALSE),"-")</f>
        <v>-</v>
      </c>
      <c r="M627" s="70" t="str">
        <f>+IFERROR(VLOOKUP(CONCATENATE(A627,$B$10,B627),'3. Resultados'!B:J,9,FALSE),"-")</f>
        <v>-</v>
      </c>
      <c r="N627" s="24"/>
      <c r="O627" s="25" t="str">
        <f t="shared" si="10"/>
        <v>Por iniciar</v>
      </c>
      <c r="P627"/>
    </row>
    <row r="628" spans="1:16" ht="14.5">
      <c r="A628" s="18"/>
      <c r="B628" s="57"/>
      <c r="C628" s="57"/>
      <c r="D628" s="57"/>
      <c r="E628" s="57"/>
      <c r="F628" s="57"/>
      <c r="G628" s="57"/>
      <c r="H628" s="62" t="s">
        <v>59</v>
      </c>
      <c r="I628" s="19" t="s">
        <v>656</v>
      </c>
      <c r="J628" s="24">
        <f>+COUNTIFS('3. Resultados'!C:C,'1. Status'!H628,'3. Resultados'!G:G,'1. Status'!I628)</f>
        <v>0</v>
      </c>
      <c r="K628" s="70" t="str">
        <f>+IFERROR(VLOOKUP(CONCATENATE(A628,$B$10,B628),'3. Resultados'!B:J,8,FALSE),"-")</f>
        <v>-</v>
      </c>
      <c r="L628" s="69" t="str">
        <f>+IFERROR(VLOOKUP(B628,'3. Resultados'!K:L,2,FALSE),"-")</f>
        <v>-</v>
      </c>
      <c r="M628" s="70" t="str">
        <f>+IFERROR(VLOOKUP(CONCATENATE(A628,$B$10,B628),'3. Resultados'!B:J,9,FALSE),"-")</f>
        <v>-</v>
      </c>
      <c r="N628" s="24"/>
      <c r="O628" s="25" t="str">
        <f t="shared" si="10"/>
        <v>Por iniciar</v>
      </c>
      <c r="P628"/>
    </row>
    <row r="629" spans="1:16" ht="14.5">
      <c r="A629" s="18"/>
      <c r="B629" s="57"/>
      <c r="C629" s="57"/>
      <c r="D629" s="57"/>
      <c r="E629" s="57"/>
      <c r="F629" s="57"/>
      <c r="G629" s="57"/>
      <c r="H629" s="62" t="s">
        <v>59</v>
      </c>
      <c r="I629" s="19" t="s">
        <v>657</v>
      </c>
      <c r="J629" s="24">
        <f>+COUNTIFS('3. Resultados'!C:C,'1. Status'!H629,'3. Resultados'!G:G,'1. Status'!I629)</f>
        <v>0</v>
      </c>
      <c r="K629" s="70" t="str">
        <f>+IFERROR(VLOOKUP(CONCATENATE(A629,$B$10,B629),'3. Resultados'!B:J,8,FALSE),"-")</f>
        <v>-</v>
      </c>
      <c r="L629" s="69" t="str">
        <f>+IFERROR(VLOOKUP(B629,'3. Resultados'!K:L,2,FALSE),"-")</f>
        <v>-</v>
      </c>
      <c r="M629" s="70" t="str">
        <f>+IFERROR(VLOOKUP(CONCATENATE(A629,$B$10,B629),'3. Resultados'!B:J,9,FALSE),"-")</f>
        <v>-</v>
      </c>
      <c r="N629" s="24"/>
      <c r="O629" s="25" t="str">
        <f t="shared" si="10"/>
        <v>Por iniciar</v>
      </c>
      <c r="P629"/>
    </row>
    <row r="630" spans="1:16" ht="14.5">
      <c r="A630" s="18"/>
      <c r="B630" s="57"/>
      <c r="C630" s="57"/>
      <c r="D630" s="57"/>
      <c r="E630" s="57"/>
      <c r="F630" s="57"/>
      <c r="G630" s="57"/>
      <c r="H630" s="62" t="s">
        <v>59</v>
      </c>
      <c r="I630" s="19" t="s">
        <v>658</v>
      </c>
      <c r="J630" s="24">
        <f>+COUNTIFS('3. Resultados'!C:C,'1. Status'!H630,'3. Resultados'!G:G,'1. Status'!I630)</f>
        <v>0</v>
      </c>
      <c r="K630" s="70" t="str">
        <f>+IFERROR(VLOOKUP(CONCATENATE(A630,$B$10,B630),'3. Resultados'!B:J,8,FALSE),"-")</f>
        <v>-</v>
      </c>
      <c r="L630" s="69" t="str">
        <f>+IFERROR(VLOOKUP(B630,'3. Resultados'!K:L,2,FALSE),"-")</f>
        <v>-</v>
      </c>
      <c r="M630" s="70" t="str">
        <f>+IFERROR(VLOOKUP(CONCATENATE(A630,$B$10,B630),'3. Resultados'!B:J,9,FALSE),"-")</f>
        <v>-</v>
      </c>
      <c r="N630" s="24"/>
      <c r="O630" s="25" t="str">
        <f t="shared" si="10"/>
        <v>Por iniciar</v>
      </c>
      <c r="P630"/>
    </row>
    <row r="631" spans="1:16" ht="14.5">
      <c r="A631" s="18"/>
      <c r="B631" s="57"/>
      <c r="C631" s="57"/>
      <c r="D631" s="57"/>
      <c r="E631" s="57"/>
      <c r="F631" s="57"/>
      <c r="G631" s="57"/>
      <c r="H631" s="62" t="s">
        <v>59</v>
      </c>
      <c r="I631" s="19" t="s">
        <v>659</v>
      </c>
      <c r="J631" s="24">
        <f>+COUNTIFS('3. Resultados'!C:C,'1. Status'!H631,'3. Resultados'!G:G,'1. Status'!I631)</f>
        <v>0</v>
      </c>
      <c r="K631" s="70" t="str">
        <f>+IFERROR(VLOOKUP(CONCATENATE(A631,$B$10,B631),'3. Resultados'!B:J,8,FALSE),"-")</f>
        <v>-</v>
      </c>
      <c r="L631" s="69" t="str">
        <f>+IFERROR(VLOOKUP(B631,'3. Resultados'!K:L,2,FALSE),"-")</f>
        <v>-</v>
      </c>
      <c r="M631" s="70" t="str">
        <f>+IFERROR(VLOOKUP(CONCATENATE(A631,$B$10,B631),'3. Resultados'!B:J,9,FALSE),"-")</f>
        <v>-</v>
      </c>
      <c r="N631" s="24"/>
      <c r="O631" s="25" t="str">
        <f t="shared" si="10"/>
        <v>Por iniciar</v>
      </c>
      <c r="P631"/>
    </row>
    <row r="632" spans="1:16" ht="14.5">
      <c r="A632" s="18"/>
      <c r="B632" s="57"/>
      <c r="C632" s="57"/>
      <c r="D632" s="57"/>
      <c r="E632" s="57"/>
      <c r="F632" s="57"/>
      <c r="G632" s="57"/>
      <c r="H632" s="62" t="s">
        <v>59</v>
      </c>
      <c r="I632" s="19" t="s">
        <v>660</v>
      </c>
      <c r="J632" s="24">
        <f>+COUNTIFS('3. Resultados'!C:C,'1. Status'!H632,'3. Resultados'!G:G,'1. Status'!I632)</f>
        <v>0</v>
      </c>
      <c r="K632" s="70" t="str">
        <f>+IFERROR(VLOOKUP(CONCATENATE(A632,$B$10,B632),'3. Resultados'!B:J,8,FALSE),"-")</f>
        <v>-</v>
      </c>
      <c r="L632" s="69" t="str">
        <f>+IFERROR(VLOOKUP(B632,'3. Resultados'!K:L,2,FALSE),"-")</f>
        <v>-</v>
      </c>
      <c r="M632" s="70" t="str">
        <f>+IFERROR(VLOOKUP(CONCATENATE(A632,$B$10,B632),'3. Resultados'!B:J,9,FALSE),"-")</f>
        <v>-</v>
      </c>
      <c r="N632" s="24"/>
      <c r="O632" s="25" t="str">
        <f t="shared" si="10"/>
        <v>Por iniciar</v>
      </c>
      <c r="P632"/>
    </row>
    <row r="633" spans="1:16" ht="14.5">
      <c r="A633" s="18"/>
      <c r="B633" s="57"/>
      <c r="C633" s="57"/>
      <c r="D633" s="57"/>
      <c r="E633" s="57"/>
      <c r="F633" s="57"/>
      <c r="G633" s="57"/>
      <c r="H633" s="62" t="s">
        <v>59</v>
      </c>
      <c r="I633" s="19" t="s">
        <v>661</v>
      </c>
      <c r="J633" s="24">
        <f>+COUNTIFS('3. Resultados'!C:C,'1. Status'!H633,'3. Resultados'!G:G,'1. Status'!I633)</f>
        <v>0</v>
      </c>
      <c r="K633" s="70" t="str">
        <f>+IFERROR(VLOOKUP(CONCATENATE(A633,$B$10,B633),'3. Resultados'!B:J,8,FALSE),"-")</f>
        <v>-</v>
      </c>
      <c r="L633" s="69" t="str">
        <f>+IFERROR(VLOOKUP(B633,'3. Resultados'!K:L,2,FALSE),"-")</f>
        <v>-</v>
      </c>
      <c r="M633" s="70" t="str">
        <f>+IFERROR(VLOOKUP(CONCATENATE(A633,$B$10,B633),'3. Resultados'!B:J,9,FALSE),"-")</f>
        <v>-</v>
      </c>
      <c r="N633" s="24"/>
      <c r="O633" s="25" t="str">
        <f t="shared" si="10"/>
        <v>Por iniciar</v>
      </c>
      <c r="P633"/>
    </row>
    <row r="634" spans="1:16" ht="14.5">
      <c r="A634" s="18"/>
      <c r="B634" s="57"/>
      <c r="C634" s="57"/>
      <c r="D634" s="57"/>
      <c r="E634" s="57"/>
      <c r="F634" s="57"/>
      <c r="G634" s="57"/>
      <c r="H634" s="62" t="s">
        <v>59</v>
      </c>
      <c r="I634" s="19" t="s">
        <v>662</v>
      </c>
      <c r="J634" s="24">
        <f>+COUNTIFS('3. Resultados'!C:C,'1. Status'!H634,'3. Resultados'!G:G,'1. Status'!I634)</f>
        <v>0</v>
      </c>
      <c r="K634" s="70" t="str">
        <f>+IFERROR(VLOOKUP(CONCATENATE(A634,$B$10,B634),'3. Resultados'!B:J,8,FALSE),"-")</f>
        <v>-</v>
      </c>
      <c r="L634" s="69" t="str">
        <f>+IFERROR(VLOOKUP(B634,'3. Resultados'!K:L,2,FALSE),"-")</f>
        <v>-</v>
      </c>
      <c r="M634" s="70" t="str">
        <f>+IFERROR(VLOOKUP(CONCATENATE(A634,$B$10,B634),'3. Resultados'!B:J,9,FALSE),"-")</f>
        <v>-</v>
      </c>
      <c r="N634" s="24"/>
      <c r="O634" s="25" t="str">
        <f t="shared" si="10"/>
        <v>Por iniciar</v>
      </c>
      <c r="P634"/>
    </row>
    <row r="635" spans="1:16" ht="14.5">
      <c r="A635" s="18"/>
      <c r="B635" s="57"/>
      <c r="C635" s="57"/>
      <c r="D635" s="57"/>
      <c r="E635" s="57"/>
      <c r="F635" s="57"/>
      <c r="G635" s="57"/>
      <c r="H635" s="62" t="s">
        <v>59</v>
      </c>
      <c r="I635" s="19" t="s">
        <v>663</v>
      </c>
      <c r="J635" s="24">
        <f>+COUNTIFS('3. Resultados'!C:C,'1. Status'!H635,'3. Resultados'!G:G,'1. Status'!I635)</f>
        <v>0</v>
      </c>
      <c r="K635" s="70" t="str">
        <f>+IFERROR(VLOOKUP(CONCATENATE(A635,$B$10,B635),'3. Resultados'!B:J,8,FALSE),"-")</f>
        <v>-</v>
      </c>
      <c r="L635" s="69" t="str">
        <f>+IFERROR(VLOOKUP(B635,'3. Resultados'!K:L,2,FALSE),"-")</f>
        <v>-</v>
      </c>
      <c r="M635" s="70" t="str">
        <f>+IFERROR(VLOOKUP(CONCATENATE(A635,$B$10,B635),'3. Resultados'!B:J,9,FALSE),"-")</f>
        <v>-</v>
      </c>
      <c r="N635" s="24"/>
      <c r="O635" s="25" t="str">
        <f t="shared" si="10"/>
        <v>Por iniciar</v>
      </c>
      <c r="P635"/>
    </row>
    <row r="636" spans="1:16" ht="14.5">
      <c r="A636" s="18"/>
      <c r="B636" s="57"/>
      <c r="C636" s="57"/>
      <c r="D636" s="57"/>
      <c r="E636" s="57"/>
      <c r="F636" s="57"/>
      <c r="G636" s="57"/>
      <c r="H636" s="62" t="s">
        <v>59</v>
      </c>
      <c r="I636" s="19" t="s">
        <v>664</v>
      </c>
      <c r="J636" s="24">
        <f>+COUNTIFS('3. Resultados'!C:C,'1. Status'!H636,'3. Resultados'!G:G,'1. Status'!I636)</f>
        <v>0</v>
      </c>
      <c r="K636" s="70" t="str">
        <f>+IFERROR(VLOOKUP(CONCATENATE(A636,$B$10,B636),'3. Resultados'!B:J,8,FALSE),"-")</f>
        <v>-</v>
      </c>
      <c r="L636" s="69" t="str">
        <f>+IFERROR(VLOOKUP(B636,'3. Resultados'!K:L,2,FALSE),"-")</f>
        <v>-</v>
      </c>
      <c r="M636" s="70" t="str">
        <f>+IFERROR(VLOOKUP(CONCATENATE(A636,$B$10,B636),'3. Resultados'!B:J,9,FALSE),"-")</f>
        <v>-</v>
      </c>
      <c r="N636" s="24"/>
      <c r="O636" s="25" t="str">
        <f t="shared" si="10"/>
        <v>Por iniciar</v>
      </c>
      <c r="P636"/>
    </row>
    <row r="637" spans="1:16" ht="14.5">
      <c r="A637" s="18"/>
      <c r="B637" s="57"/>
      <c r="C637" s="57"/>
      <c r="D637" s="57"/>
      <c r="E637" s="57"/>
      <c r="F637" s="57"/>
      <c r="G637" s="57"/>
      <c r="H637" s="62" t="s">
        <v>59</v>
      </c>
      <c r="I637" s="19" t="s">
        <v>665</v>
      </c>
      <c r="J637" s="24">
        <f>+COUNTIFS('3. Resultados'!C:C,'1. Status'!H637,'3. Resultados'!G:G,'1. Status'!I637)</f>
        <v>0</v>
      </c>
      <c r="K637" s="70" t="str">
        <f>+IFERROR(VLOOKUP(CONCATENATE(A637,$B$10,B637),'3. Resultados'!B:J,8,FALSE),"-")</f>
        <v>-</v>
      </c>
      <c r="L637" s="69" t="str">
        <f>+IFERROR(VLOOKUP(B637,'3. Resultados'!K:L,2,FALSE),"-")</f>
        <v>-</v>
      </c>
      <c r="M637" s="70" t="str">
        <f>+IFERROR(VLOOKUP(CONCATENATE(A637,$B$10,B637),'3. Resultados'!B:J,9,FALSE),"-")</f>
        <v>-</v>
      </c>
      <c r="N637" s="24"/>
      <c r="O637" s="25" t="str">
        <f t="shared" si="10"/>
        <v>Por iniciar</v>
      </c>
      <c r="P637"/>
    </row>
    <row r="638" spans="1:16" ht="14.5">
      <c r="A638" s="18"/>
      <c r="B638" s="57"/>
      <c r="C638" s="57"/>
      <c r="D638" s="57"/>
      <c r="E638" s="57"/>
      <c r="F638" s="57"/>
      <c r="G638" s="57"/>
      <c r="H638" s="62" t="s">
        <v>59</v>
      </c>
      <c r="I638" s="19" t="s">
        <v>666</v>
      </c>
      <c r="J638" s="24">
        <f>+COUNTIFS('3. Resultados'!C:C,'1. Status'!H638,'3. Resultados'!G:G,'1. Status'!I638)</f>
        <v>0</v>
      </c>
      <c r="K638" s="70" t="str">
        <f>+IFERROR(VLOOKUP(CONCATENATE(A638,$B$10,B638),'3. Resultados'!B:J,8,FALSE),"-")</f>
        <v>-</v>
      </c>
      <c r="L638" s="69" t="str">
        <f>+IFERROR(VLOOKUP(B638,'3. Resultados'!K:L,2,FALSE),"-")</f>
        <v>-</v>
      </c>
      <c r="M638" s="70" t="str">
        <f>+IFERROR(VLOOKUP(CONCATENATE(A638,$B$10,B638),'3. Resultados'!B:J,9,FALSE),"-")</f>
        <v>-</v>
      </c>
      <c r="N638" s="24"/>
      <c r="O638" s="25" t="str">
        <f t="shared" si="10"/>
        <v>Por iniciar</v>
      </c>
      <c r="P638"/>
    </row>
    <row r="639" spans="1:16" ht="14.5">
      <c r="A639" s="18"/>
      <c r="B639" s="57"/>
      <c r="C639" s="57"/>
      <c r="D639" s="57"/>
      <c r="E639" s="57"/>
      <c r="F639" s="57"/>
      <c r="G639" s="57"/>
      <c r="H639" s="62" t="s">
        <v>59</v>
      </c>
      <c r="I639" s="19" t="s">
        <v>667</v>
      </c>
      <c r="J639" s="24">
        <f>+COUNTIFS('3. Resultados'!C:C,'1. Status'!H639,'3. Resultados'!G:G,'1. Status'!I639)</f>
        <v>0</v>
      </c>
      <c r="K639" s="70" t="str">
        <f>+IFERROR(VLOOKUP(CONCATENATE(A639,$B$10,B639),'3. Resultados'!B:J,8,FALSE),"-")</f>
        <v>-</v>
      </c>
      <c r="L639" s="69" t="str">
        <f>+IFERROR(VLOOKUP(B639,'3. Resultados'!K:L,2,FALSE),"-")</f>
        <v>-</v>
      </c>
      <c r="M639" s="70" t="str">
        <f>+IFERROR(VLOOKUP(CONCATENATE(A639,$B$10,B639),'3. Resultados'!B:J,9,FALSE),"-")</f>
        <v>-</v>
      </c>
      <c r="N639" s="24"/>
      <c r="O639" s="25" t="str">
        <f t="shared" si="10"/>
        <v>Por iniciar</v>
      </c>
      <c r="P639"/>
    </row>
    <row r="640" spans="1:16" ht="14.5">
      <c r="A640" s="18"/>
      <c r="B640" s="57"/>
      <c r="C640" s="57"/>
      <c r="D640" s="57"/>
      <c r="E640" s="57"/>
      <c r="F640" s="57"/>
      <c r="G640" s="57"/>
      <c r="H640" s="62" t="s">
        <v>59</v>
      </c>
      <c r="I640" s="19" t="s">
        <v>668</v>
      </c>
      <c r="J640" s="24">
        <f>+COUNTIFS('3. Resultados'!C:C,'1. Status'!H640,'3. Resultados'!G:G,'1. Status'!I640)</f>
        <v>0</v>
      </c>
      <c r="K640" s="70" t="str">
        <f>+IFERROR(VLOOKUP(CONCATENATE(A640,$B$10,B640),'3. Resultados'!B:J,8,FALSE),"-")</f>
        <v>-</v>
      </c>
      <c r="L640" s="69" t="str">
        <f>+IFERROR(VLOOKUP(B640,'3. Resultados'!K:L,2,FALSE),"-")</f>
        <v>-</v>
      </c>
      <c r="M640" s="70" t="str">
        <f>+IFERROR(VLOOKUP(CONCATENATE(A640,$B$10,B640),'3. Resultados'!B:J,9,FALSE),"-")</f>
        <v>-</v>
      </c>
      <c r="N640" s="24"/>
      <c r="O640" s="25" t="str">
        <f t="shared" si="10"/>
        <v>Por iniciar</v>
      </c>
      <c r="P640"/>
    </row>
    <row r="641" spans="1:16" ht="14.5">
      <c r="A641" s="18"/>
      <c r="B641" s="57"/>
      <c r="C641" s="57"/>
      <c r="D641" s="57"/>
      <c r="E641" s="57"/>
      <c r="F641" s="57"/>
      <c r="G641" s="57"/>
      <c r="H641" s="62" t="s">
        <v>59</v>
      </c>
      <c r="I641" s="19" t="s">
        <v>669</v>
      </c>
      <c r="J641" s="24">
        <f>+COUNTIFS('3. Resultados'!C:C,'1. Status'!H641,'3. Resultados'!G:G,'1. Status'!I641)</f>
        <v>0</v>
      </c>
      <c r="K641" s="70" t="str">
        <f>+IFERROR(VLOOKUP(CONCATENATE(A641,$B$10,B641),'3. Resultados'!B:J,8,FALSE),"-")</f>
        <v>-</v>
      </c>
      <c r="L641" s="69" t="str">
        <f>+IFERROR(VLOOKUP(B641,'3. Resultados'!K:L,2,FALSE),"-")</f>
        <v>-</v>
      </c>
      <c r="M641" s="70" t="str">
        <f>+IFERROR(VLOOKUP(CONCATENATE(A641,$B$10,B641),'3. Resultados'!B:J,9,FALSE),"-")</f>
        <v>-</v>
      </c>
      <c r="N641" s="24"/>
      <c r="O641" s="25" t="str">
        <f t="shared" si="10"/>
        <v>Por iniciar</v>
      </c>
      <c r="P641"/>
    </row>
    <row r="642" spans="1:16" ht="14.5">
      <c r="A642" s="18"/>
      <c r="B642" s="57"/>
      <c r="C642" s="57"/>
      <c r="D642" s="57"/>
      <c r="E642" s="57"/>
      <c r="F642" s="57"/>
      <c r="G642" s="57"/>
      <c r="H642" s="62" t="s">
        <v>59</v>
      </c>
      <c r="I642" s="19" t="s">
        <v>670</v>
      </c>
      <c r="J642" s="24">
        <f>+COUNTIFS('3. Resultados'!C:C,'1. Status'!H642,'3. Resultados'!G:G,'1. Status'!I642)</f>
        <v>0</v>
      </c>
      <c r="K642" s="70" t="str">
        <f>+IFERROR(VLOOKUP(CONCATENATE(A642,$B$10,B642),'3. Resultados'!B:J,8,FALSE),"-")</f>
        <v>-</v>
      </c>
      <c r="L642" s="69" t="str">
        <f>+IFERROR(VLOOKUP(B642,'3. Resultados'!K:L,2,FALSE),"-")</f>
        <v>-</v>
      </c>
      <c r="M642" s="70" t="str">
        <f>+IFERROR(VLOOKUP(CONCATENATE(A642,$B$10,B642),'3. Resultados'!B:J,9,FALSE),"-")</f>
        <v>-</v>
      </c>
      <c r="N642" s="24"/>
      <c r="O642" s="25" t="str">
        <f t="shared" si="10"/>
        <v>Por iniciar</v>
      </c>
      <c r="P642"/>
    </row>
    <row r="643" spans="1:16" ht="14.5">
      <c r="A643" s="18"/>
      <c r="B643" s="57"/>
      <c r="C643" s="57"/>
      <c r="D643" s="57"/>
      <c r="E643" s="57"/>
      <c r="F643" s="57"/>
      <c r="G643" s="57"/>
      <c r="H643" s="62" t="s">
        <v>686</v>
      </c>
      <c r="I643" s="19" t="s">
        <v>671</v>
      </c>
      <c r="J643" s="24">
        <f>+COUNTIFS('3. Resultados'!C:C,'1. Status'!H643,'3. Resultados'!G:G,'1. Status'!I643)</f>
        <v>0</v>
      </c>
      <c r="K643" s="70" t="str">
        <f>+IFERROR(VLOOKUP(CONCATENATE(A643,$B$10,B643),'3. Resultados'!B:J,8,FALSE),"-")</f>
        <v>-</v>
      </c>
      <c r="L643" s="69" t="str">
        <f>+IFERROR(VLOOKUP(B643,'3. Resultados'!K:L,2,FALSE),"-")</f>
        <v>-</v>
      </c>
      <c r="M643" s="70" t="str">
        <f>+IFERROR(VLOOKUP(CONCATENATE(A643,$B$10,B643),'3. Resultados'!B:J,9,FALSE),"-")</f>
        <v>-</v>
      </c>
      <c r="N643" s="24"/>
      <c r="O643" s="25" t="str">
        <f t="shared" si="10"/>
        <v>Por iniciar</v>
      </c>
      <c r="P643"/>
    </row>
    <row r="644" spans="1:16" ht="14.5">
      <c r="A644" s="18"/>
      <c r="B644" s="57"/>
      <c r="C644" s="57"/>
      <c r="D644" s="57"/>
      <c r="E644" s="57"/>
      <c r="F644" s="57"/>
      <c r="G644" s="57"/>
      <c r="H644" s="62" t="s">
        <v>686</v>
      </c>
      <c r="I644" s="19" t="s">
        <v>347</v>
      </c>
      <c r="J644" s="24">
        <f>+COUNTIFS('3. Resultados'!C:C,'1. Status'!H644,'3. Resultados'!G:G,'1. Status'!I644)</f>
        <v>0</v>
      </c>
      <c r="K644" s="70" t="str">
        <f>+IFERROR(VLOOKUP(CONCATENATE(A644,$B$10,B644),'3. Resultados'!B:J,8,FALSE),"-")</f>
        <v>-</v>
      </c>
      <c r="L644" s="69" t="str">
        <f>+IFERROR(VLOOKUP(B644,'3. Resultados'!K:L,2,FALSE),"-")</f>
        <v>-</v>
      </c>
      <c r="M644" s="70" t="str">
        <f>+IFERROR(VLOOKUP(CONCATENATE(A644,$B$10,B644),'3. Resultados'!B:J,9,FALSE),"-")</f>
        <v>-</v>
      </c>
      <c r="N644" s="24"/>
      <c r="O644" s="25" t="str">
        <f t="shared" si="10"/>
        <v>Por iniciar</v>
      </c>
      <c r="P644"/>
    </row>
    <row r="645" spans="1:16" ht="14.5">
      <c r="A645" s="18"/>
      <c r="B645" s="57"/>
      <c r="C645" s="57"/>
      <c r="D645" s="57"/>
      <c r="E645" s="57"/>
      <c r="F645" s="57"/>
      <c r="G645" s="57"/>
      <c r="H645" s="62" t="s">
        <v>686</v>
      </c>
      <c r="I645" s="19" t="s">
        <v>348</v>
      </c>
      <c r="J645" s="24">
        <f>+COUNTIFS('3. Resultados'!C:C,'1. Status'!H645,'3. Resultados'!G:G,'1. Status'!I645)</f>
        <v>0</v>
      </c>
      <c r="K645" s="70" t="str">
        <f>+IFERROR(VLOOKUP(CONCATENATE(A645,$B$10,B645),'3. Resultados'!B:J,8,FALSE),"-")</f>
        <v>-</v>
      </c>
      <c r="L645" s="69" t="str">
        <f>+IFERROR(VLOOKUP(B645,'3. Resultados'!K:L,2,FALSE),"-")</f>
        <v>-</v>
      </c>
      <c r="M645" s="70" t="str">
        <f>+IFERROR(VLOOKUP(CONCATENATE(A645,$B$10,B645),'3. Resultados'!B:J,9,FALSE),"-")</f>
        <v>-</v>
      </c>
      <c r="N645" s="24"/>
      <c r="O645" s="25" t="str">
        <f t="shared" si="10"/>
        <v>Por iniciar</v>
      </c>
      <c r="P645"/>
    </row>
    <row r="646" spans="1:16" ht="14.5">
      <c r="A646" s="18"/>
      <c r="B646" s="57"/>
      <c r="C646" s="57"/>
      <c r="D646" s="57"/>
      <c r="E646" s="57"/>
      <c r="F646" s="57"/>
      <c r="G646" s="57"/>
      <c r="H646" s="62" t="s">
        <v>686</v>
      </c>
      <c r="I646" s="19" t="s">
        <v>349</v>
      </c>
      <c r="J646" s="24">
        <f>+COUNTIFS('3. Resultados'!C:C,'1. Status'!H646,'3. Resultados'!G:G,'1. Status'!I646)</f>
        <v>0</v>
      </c>
      <c r="K646" s="70" t="str">
        <f>+IFERROR(VLOOKUP(CONCATENATE(A646,$B$10,B646),'3. Resultados'!B:J,8,FALSE),"-")</f>
        <v>-</v>
      </c>
      <c r="L646" s="69" t="str">
        <f>+IFERROR(VLOOKUP(B646,'3. Resultados'!K:L,2,FALSE),"-")</f>
        <v>-</v>
      </c>
      <c r="M646" s="70" t="str">
        <f>+IFERROR(VLOOKUP(CONCATENATE(A646,$B$10,B646),'3. Resultados'!B:J,9,FALSE),"-")</f>
        <v>-</v>
      </c>
      <c r="N646" s="24"/>
      <c r="O646" s="25" t="str">
        <f t="shared" si="10"/>
        <v>Por iniciar</v>
      </c>
      <c r="P646"/>
    </row>
    <row r="647" spans="1:16" ht="14.5">
      <c r="A647" s="18"/>
      <c r="B647" s="57"/>
      <c r="C647" s="57"/>
      <c r="D647" s="57"/>
      <c r="E647" s="57"/>
      <c r="F647" s="57"/>
      <c r="G647" s="57"/>
      <c r="H647" s="62" t="s">
        <v>686</v>
      </c>
      <c r="I647" s="19" t="s">
        <v>350</v>
      </c>
      <c r="J647" s="24">
        <f>+COUNTIFS('3. Resultados'!C:C,'1. Status'!H647,'3. Resultados'!G:G,'1. Status'!I647)</f>
        <v>0</v>
      </c>
      <c r="K647" s="70" t="str">
        <f>+IFERROR(VLOOKUP(CONCATENATE(A647,$B$10,B647),'3. Resultados'!B:J,8,FALSE),"-")</f>
        <v>-</v>
      </c>
      <c r="L647" s="69" t="str">
        <f>+IFERROR(VLOOKUP(B647,'3. Resultados'!K:L,2,FALSE),"-")</f>
        <v>-</v>
      </c>
      <c r="M647" s="70" t="str">
        <f>+IFERROR(VLOOKUP(CONCATENATE(A647,$B$10,B647),'3. Resultados'!B:J,9,FALSE),"-")</f>
        <v>-</v>
      </c>
      <c r="N647" s="24"/>
      <c r="O647" s="25" t="str">
        <f t="shared" si="10"/>
        <v>Por iniciar</v>
      </c>
      <c r="P647"/>
    </row>
    <row r="648" spans="1:16" ht="14.5">
      <c r="A648" s="18"/>
      <c r="B648" s="57"/>
      <c r="C648" s="57"/>
      <c r="D648" s="57"/>
      <c r="E648" s="57"/>
      <c r="F648" s="57"/>
      <c r="G648" s="57"/>
      <c r="H648" s="62" t="s">
        <v>686</v>
      </c>
      <c r="I648" s="19" t="s">
        <v>351</v>
      </c>
      <c r="J648" s="24">
        <f>+COUNTIFS('3. Resultados'!C:C,'1. Status'!H648,'3. Resultados'!G:G,'1. Status'!I648)</f>
        <v>0</v>
      </c>
      <c r="K648" s="70" t="str">
        <f>+IFERROR(VLOOKUP(CONCATENATE(A648,$B$10,B648),'3. Resultados'!B:J,8,FALSE),"-")</f>
        <v>-</v>
      </c>
      <c r="L648" s="69" t="str">
        <f>+IFERROR(VLOOKUP(B648,'3. Resultados'!K:L,2,FALSE),"-")</f>
        <v>-</v>
      </c>
      <c r="M648" s="70" t="str">
        <f>+IFERROR(VLOOKUP(CONCATENATE(A648,$B$10,B648),'3. Resultados'!B:J,9,FALSE),"-")</f>
        <v>-</v>
      </c>
      <c r="N648" s="24"/>
      <c r="O648" s="25" t="str">
        <f t="shared" si="10"/>
        <v>Por iniciar</v>
      </c>
      <c r="P648"/>
    </row>
    <row r="649" spans="1:16" ht="14.5">
      <c r="A649" s="18"/>
      <c r="B649" s="57"/>
      <c r="C649" s="57"/>
      <c r="D649" s="57"/>
      <c r="E649" s="57"/>
      <c r="F649" s="57"/>
      <c r="G649" s="57"/>
      <c r="H649" s="62" t="s">
        <v>686</v>
      </c>
      <c r="I649" s="19" t="s">
        <v>149</v>
      </c>
      <c r="J649" s="24">
        <f>+COUNTIFS('3. Resultados'!C:C,'1. Status'!H649,'3. Resultados'!G:G,'1. Status'!I649)</f>
        <v>0</v>
      </c>
      <c r="K649" s="70" t="str">
        <f>+IFERROR(VLOOKUP(CONCATENATE(A649,$B$10,B649),'3. Resultados'!B:J,8,FALSE),"-")</f>
        <v>-</v>
      </c>
      <c r="L649" s="69" t="str">
        <f>+IFERROR(VLOOKUP(B649,'3. Resultados'!K:L,2,FALSE),"-")</f>
        <v>-</v>
      </c>
      <c r="M649" s="70" t="str">
        <f>+IFERROR(VLOOKUP(CONCATENATE(A649,$B$10,B649),'3. Resultados'!B:J,9,FALSE),"-")</f>
        <v>-</v>
      </c>
      <c r="N649" s="24"/>
      <c r="O649" s="25" t="str">
        <f t="shared" si="10"/>
        <v>Por iniciar</v>
      </c>
      <c r="P649"/>
    </row>
    <row r="650" spans="1:16" ht="14.5">
      <c r="A650" s="18"/>
      <c r="B650" s="57"/>
      <c r="C650" s="57"/>
      <c r="D650" s="57"/>
      <c r="E650" s="57"/>
      <c r="F650" s="57"/>
      <c r="G650" s="57"/>
      <c r="H650" s="62" t="s">
        <v>686</v>
      </c>
      <c r="I650" s="19" t="s">
        <v>672</v>
      </c>
      <c r="J650" s="24">
        <f>+COUNTIFS('3. Resultados'!C:C,'1. Status'!H650,'3. Resultados'!G:G,'1. Status'!I650)</f>
        <v>0</v>
      </c>
      <c r="K650" s="70" t="str">
        <f>+IFERROR(VLOOKUP(CONCATENATE(A650,$B$10,B650),'3. Resultados'!B:J,8,FALSE),"-")</f>
        <v>-</v>
      </c>
      <c r="L650" s="69" t="str">
        <f>+IFERROR(VLOOKUP(B650,'3. Resultados'!K:L,2,FALSE),"-")</f>
        <v>-</v>
      </c>
      <c r="M650" s="70" t="str">
        <f>+IFERROR(VLOOKUP(CONCATENATE(A650,$B$10,B650),'3. Resultados'!B:J,9,FALSE),"-")</f>
        <v>-</v>
      </c>
      <c r="N650" s="24"/>
      <c r="O650" s="25" t="str">
        <f t="shared" si="10"/>
        <v>Por iniciar</v>
      </c>
      <c r="P650"/>
    </row>
    <row r="651" spans="1:16" ht="14.5">
      <c r="A651" s="18"/>
      <c r="B651" s="57"/>
      <c r="C651" s="57"/>
      <c r="D651" s="57"/>
      <c r="E651" s="57"/>
      <c r="F651" s="57"/>
      <c r="G651" s="57"/>
      <c r="H651" s="62" t="s">
        <v>686</v>
      </c>
      <c r="I651" s="19" t="s">
        <v>673</v>
      </c>
      <c r="J651" s="24">
        <f>+COUNTIFS('3. Resultados'!C:C,'1. Status'!H651,'3. Resultados'!G:G,'1. Status'!I651)</f>
        <v>0</v>
      </c>
      <c r="K651" s="70" t="str">
        <f>+IFERROR(VLOOKUP(CONCATENATE(A651,$B$10,B651),'3. Resultados'!B:J,8,FALSE),"-")</f>
        <v>-</v>
      </c>
      <c r="L651" s="69" t="str">
        <f>+IFERROR(VLOOKUP(B651,'3. Resultados'!K:L,2,FALSE),"-")</f>
        <v>-</v>
      </c>
      <c r="M651" s="70" t="str">
        <f>+IFERROR(VLOOKUP(CONCATENATE(A651,$B$10,B651),'3. Resultados'!B:J,9,FALSE),"-")</f>
        <v>-</v>
      </c>
      <c r="N651" s="24"/>
      <c r="O651" s="25" t="str">
        <f t="shared" si="10"/>
        <v>Por iniciar</v>
      </c>
      <c r="P651"/>
    </row>
    <row r="652" spans="1:16" ht="14.5">
      <c r="A652" s="18"/>
      <c r="B652" s="57"/>
      <c r="C652" s="57"/>
      <c r="D652" s="57"/>
      <c r="E652" s="57"/>
      <c r="F652" s="57"/>
      <c r="G652" s="57"/>
      <c r="H652" s="62" t="s">
        <v>686</v>
      </c>
      <c r="I652" s="19" t="s">
        <v>674</v>
      </c>
      <c r="J652" s="24">
        <f>+COUNTIFS('3. Resultados'!C:C,'1. Status'!H652,'3. Resultados'!G:G,'1. Status'!I652)</f>
        <v>0</v>
      </c>
      <c r="K652" s="70" t="str">
        <f>+IFERROR(VLOOKUP(CONCATENATE(A652,$B$10,B652),'3. Resultados'!B:J,8,FALSE),"-")</f>
        <v>-</v>
      </c>
      <c r="L652" s="69" t="str">
        <f>+IFERROR(VLOOKUP(B652,'3. Resultados'!K:L,2,FALSE),"-")</f>
        <v>-</v>
      </c>
      <c r="M652" s="70" t="str">
        <f>+IFERROR(VLOOKUP(CONCATENATE(A652,$B$10,B652),'3. Resultados'!B:J,9,FALSE),"-")</f>
        <v>-</v>
      </c>
      <c r="N652" s="24"/>
      <c r="O652" s="25" t="str">
        <f t="shared" ref="O652:O667" si="11">+IF(J652=0,"Por iniciar",IF(OR(K652="-",M652="-"),"Em testes",IF(M652=0,"OK","NOK")))</f>
        <v>Por iniciar</v>
      </c>
      <c r="P652"/>
    </row>
    <row r="653" spans="1:16" ht="14.5">
      <c r="A653" s="18"/>
      <c r="B653" s="57"/>
      <c r="C653" s="57"/>
      <c r="D653" s="57"/>
      <c r="E653" s="57"/>
      <c r="F653" s="57"/>
      <c r="G653" s="57"/>
      <c r="H653" s="62" t="s">
        <v>686</v>
      </c>
      <c r="I653" s="19" t="s">
        <v>72</v>
      </c>
      <c r="J653" s="24">
        <f>+COUNTIFS('3. Resultados'!C:C,'1. Status'!H653,'3. Resultados'!G:G,'1. Status'!I653)</f>
        <v>0</v>
      </c>
      <c r="K653" s="70" t="str">
        <f>+IFERROR(VLOOKUP(CONCATENATE(A653,$B$10,B653),'3. Resultados'!B:J,8,FALSE),"-")</f>
        <v>-</v>
      </c>
      <c r="L653" s="69" t="str">
        <f>+IFERROR(VLOOKUP(B653,'3. Resultados'!K:L,2,FALSE),"-")</f>
        <v>-</v>
      </c>
      <c r="M653" s="70" t="str">
        <f>+IFERROR(VLOOKUP(CONCATENATE(A653,$B$10,B653),'3. Resultados'!B:J,9,FALSE),"-")</f>
        <v>-</v>
      </c>
      <c r="N653" s="24"/>
      <c r="O653" s="25" t="str">
        <f t="shared" si="11"/>
        <v>Por iniciar</v>
      </c>
      <c r="P653"/>
    </row>
    <row r="654" spans="1:16" ht="14.5">
      <c r="A654" s="18"/>
      <c r="B654" s="57"/>
      <c r="C654" s="57"/>
      <c r="D654" s="57"/>
      <c r="E654" s="57"/>
      <c r="F654" s="57"/>
      <c r="G654" s="57"/>
      <c r="H654" s="62" t="s">
        <v>686</v>
      </c>
      <c r="I654" s="19" t="s">
        <v>591</v>
      </c>
      <c r="J654" s="24">
        <f>+COUNTIFS('3. Resultados'!C:C,'1. Status'!H654,'3. Resultados'!G:G,'1. Status'!I654)</f>
        <v>0</v>
      </c>
      <c r="K654" s="70" t="str">
        <f>+IFERROR(VLOOKUP(CONCATENATE(A654,$B$10,B654),'3. Resultados'!B:J,8,FALSE),"-")</f>
        <v>-</v>
      </c>
      <c r="L654" s="69" t="str">
        <f>+IFERROR(VLOOKUP(B654,'3. Resultados'!K:L,2,FALSE),"-")</f>
        <v>-</v>
      </c>
      <c r="M654" s="70" t="str">
        <f>+IFERROR(VLOOKUP(CONCATENATE(A654,$B$10,B654),'3. Resultados'!B:J,9,FALSE),"-")</f>
        <v>-</v>
      </c>
      <c r="N654" s="24"/>
      <c r="O654" s="25" t="str">
        <f t="shared" si="11"/>
        <v>Por iniciar</v>
      </c>
      <c r="P654"/>
    </row>
    <row r="655" spans="1:16" ht="14.5">
      <c r="A655" s="18"/>
      <c r="B655" s="57"/>
      <c r="C655" s="57"/>
      <c r="D655" s="57"/>
      <c r="E655" s="57"/>
      <c r="F655" s="57"/>
      <c r="G655" s="57"/>
      <c r="H655" s="62" t="s">
        <v>686</v>
      </c>
      <c r="I655" s="19" t="s">
        <v>290</v>
      </c>
      <c r="J655" s="24">
        <f>+COUNTIFS('3. Resultados'!C:C,'1. Status'!H655,'3. Resultados'!G:G,'1. Status'!I655)</f>
        <v>0</v>
      </c>
      <c r="K655" s="70" t="str">
        <f>+IFERROR(VLOOKUP(CONCATENATE(A655,$B$10,B655),'3. Resultados'!B:J,8,FALSE),"-")</f>
        <v>-</v>
      </c>
      <c r="L655" s="69" t="str">
        <f>+IFERROR(VLOOKUP(B655,'3. Resultados'!K:L,2,FALSE),"-")</f>
        <v>-</v>
      </c>
      <c r="M655" s="70" t="str">
        <f>+IFERROR(VLOOKUP(CONCATENATE(A655,$B$10,B655),'3. Resultados'!B:J,9,FALSE),"-")</f>
        <v>-</v>
      </c>
      <c r="N655" s="24"/>
      <c r="O655" s="25" t="str">
        <f t="shared" si="11"/>
        <v>Por iniciar</v>
      </c>
      <c r="P655"/>
    </row>
    <row r="656" spans="1:16" ht="14.5">
      <c r="A656" s="18"/>
      <c r="B656" s="57"/>
      <c r="C656" s="57"/>
      <c r="D656" s="57"/>
      <c r="E656" s="57"/>
      <c r="F656" s="57"/>
      <c r="G656" s="57"/>
      <c r="H656" s="62" t="s">
        <v>686</v>
      </c>
      <c r="I656" s="19" t="s">
        <v>675</v>
      </c>
      <c r="J656" s="24">
        <f>+COUNTIFS('3. Resultados'!C:C,'1. Status'!H656,'3. Resultados'!G:G,'1. Status'!I656)</f>
        <v>0</v>
      </c>
      <c r="K656" s="70" t="str">
        <f>+IFERROR(VLOOKUP(CONCATENATE(A656,$B$10,B656),'3. Resultados'!B:J,8,FALSE),"-")</f>
        <v>-</v>
      </c>
      <c r="L656" s="69" t="str">
        <f>+IFERROR(VLOOKUP(B656,'3. Resultados'!K:L,2,FALSE),"-")</f>
        <v>-</v>
      </c>
      <c r="M656" s="70" t="str">
        <f>+IFERROR(VLOOKUP(CONCATENATE(A656,$B$10,B656),'3. Resultados'!B:J,9,FALSE),"-")</f>
        <v>-</v>
      </c>
      <c r="N656" s="24"/>
      <c r="O656" s="25" t="str">
        <f t="shared" si="11"/>
        <v>Por iniciar</v>
      </c>
      <c r="P656"/>
    </row>
    <row r="657" spans="1:16" ht="14.5">
      <c r="A657" s="18"/>
      <c r="B657" s="57"/>
      <c r="C657" s="57"/>
      <c r="D657" s="57"/>
      <c r="E657" s="57"/>
      <c r="F657" s="57"/>
      <c r="G657" s="57"/>
      <c r="H657" s="62" t="s">
        <v>686</v>
      </c>
      <c r="I657" s="19" t="s">
        <v>676</v>
      </c>
      <c r="J657" s="24">
        <f>+COUNTIFS('3. Resultados'!C:C,'1. Status'!H657,'3. Resultados'!G:G,'1. Status'!I657)</f>
        <v>0</v>
      </c>
      <c r="K657" s="70" t="str">
        <f>+IFERROR(VLOOKUP(CONCATENATE(A657,$B$10,B657),'3. Resultados'!B:J,8,FALSE),"-")</f>
        <v>-</v>
      </c>
      <c r="L657" s="69" t="str">
        <f>+IFERROR(VLOOKUP(B657,'3. Resultados'!K:L,2,FALSE),"-")</f>
        <v>-</v>
      </c>
      <c r="M657" s="70" t="str">
        <f>+IFERROR(VLOOKUP(CONCATENATE(A657,$B$10,B657),'3. Resultados'!B:J,9,FALSE),"-")</f>
        <v>-</v>
      </c>
      <c r="N657" s="24"/>
      <c r="O657" s="25" t="str">
        <f t="shared" si="11"/>
        <v>Por iniciar</v>
      </c>
      <c r="P657"/>
    </row>
    <row r="658" spans="1:16" ht="14.5">
      <c r="A658" s="18"/>
      <c r="B658" s="57"/>
      <c r="C658" s="57"/>
      <c r="D658" s="57"/>
      <c r="E658" s="57"/>
      <c r="F658" s="57"/>
      <c r="G658" s="57"/>
      <c r="H658" s="62" t="s">
        <v>687</v>
      </c>
      <c r="I658" s="19" t="s">
        <v>199</v>
      </c>
      <c r="J658" s="24">
        <f>+COUNTIFS('3. Resultados'!C:C,'1. Status'!H658,'3. Resultados'!G:G,'1. Status'!I658)</f>
        <v>0</v>
      </c>
      <c r="K658" s="70" t="str">
        <f>+IFERROR(VLOOKUP(CONCATENATE(A658,$B$10,B658),'3. Resultados'!B:J,8,FALSE),"-")</f>
        <v>-</v>
      </c>
      <c r="L658" s="69" t="str">
        <f>+IFERROR(VLOOKUP(B658,'3. Resultados'!K:L,2,FALSE),"-")</f>
        <v>-</v>
      </c>
      <c r="M658" s="70" t="str">
        <f>+IFERROR(VLOOKUP(CONCATENATE(A658,$B$10,B658),'3. Resultados'!B:J,9,FALSE),"-")</f>
        <v>-</v>
      </c>
      <c r="N658" s="24"/>
      <c r="O658" s="25" t="str">
        <f t="shared" si="11"/>
        <v>Por iniciar</v>
      </c>
      <c r="P658"/>
    </row>
    <row r="659" spans="1:16" ht="14.5">
      <c r="A659" s="18"/>
      <c r="B659" s="57"/>
      <c r="C659" s="57"/>
      <c r="D659" s="57"/>
      <c r="E659" s="57"/>
      <c r="F659" s="57"/>
      <c r="G659" s="57"/>
      <c r="H659" s="62" t="s">
        <v>687</v>
      </c>
      <c r="I659" s="19" t="s">
        <v>677</v>
      </c>
      <c r="J659" s="24">
        <f>+COUNTIFS('3. Resultados'!C:C,'1. Status'!H659,'3. Resultados'!G:G,'1. Status'!I659)</f>
        <v>0</v>
      </c>
      <c r="K659" s="70" t="str">
        <f>+IFERROR(VLOOKUP(CONCATENATE(A659,$B$10,B659),'3. Resultados'!B:J,8,FALSE),"-")</f>
        <v>-</v>
      </c>
      <c r="L659" s="69" t="str">
        <f>+IFERROR(VLOOKUP(B659,'3. Resultados'!K:L,2,FALSE),"-")</f>
        <v>-</v>
      </c>
      <c r="M659" s="70" t="str">
        <f>+IFERROR(VLOOKUP(CONCATENATE(A659,$B$10,B659),'3. Resultados'!B:J,9,FALSE),"-")</f>
        <v>-</v>
      </c>
      <c r="N659" s="24"/>
      <c r="O659" s="25" t="str">
        <f t="shared" si="11"/>
        <v>Por iniciar</v>
      </c>
      <c r="P659"/>
    </row>
    <row r="660" spans="1:16" ht="14.5">
      <c r="A660" s="18"/>
      <c r="B660" s="57"/>
      <c r="C660" s="57"/>
      <c r="D660" s="57"/>
      <c r="E660" s="57"/>
      <c r="F660" s="57"/>
      <c r="G660" s="57"/>
      <c r="H660" s="62" t="s">
        <v>687</v>
      </c>
      <c r="I660" s="19" t="s">
        <v>678</v>
      </c>
      <c r="J660" s="24">
        <f>+COUNTIFS('3. Resultados'!C:C,'1. Status'!H660,'3. Resultados'!G:G,'1. Status'!I660)</f>
        <v>0</v>
      </c>
      <c r="K660" s="70" t="str">
        <f>+IFERROR(VLOOKUP(CONCATENATE(A660,$B$10,B660),'3. Resultados'!B:J,8,FALSE),"-")</f>
        <v>-</v>
      </c>
      <c r="L660" s="69" t="str">
        <f>+IFERROR(VLOOKUP(B660,'3. Resultados'!K:L,2,FALSE),"-")</f>
        <v>-</v>
      </c>
      <c r="M660" s="70" t="str">
        <f>+IFERROR(VLOOKUP(CONCATENATE(A660,$B$10,B660),'3. Resultados'!B:J,9,FALSE),"-")</f>
        <v>-</v>
      </c>
      <c r="N660" s="24"/>
      <c r="O660" s="25" t="str">
        <f t="shared" si="11"/>
        <v>Por iniciar</v>
      </c>
      <c r="P660"/>
    </row>
    <row r="661" spans="1:16" ht="14.5">
      <c r="A661" s="18"/>
      <c r="B661" s="57"/>
      <c r="C661" s="57"/>
      <c r="D661" s="57"/>
      <c r="E661" s="57"/>
      <c r="F661" s="57"/>
      <c r="G661" s="57"/>
      <c r="H661" s="62" t="s">
        <v>687</v>
      </c>
      <c r="I661" s="19" t="s">
        <v>679</v>
      </c>
      <c r="J661" s="24">
        <f>+COUNTIFS('3. Resultados'!C:C,'1. Status'!H661,'3. Resultados'!G:G,'1. Status'!I661)</f>
        <v>0</v>
      </c>
      <c r="K661" s="70" t="str">
        <f>+IFERROR(VLOOKUP(CONCATENATE(A661,$B$10,B661),'3. Resultados'!B:J,8,FALSE),"-")</f>
        <v>-</v>
      </c>
      <c r="L661" s="69" t="str">
        <f>+IFERROR(VLOOKUP(B661,'3. Resultados'!K:L,2,FALSE),"-")</f>
        <v>-</v>
      </c>
      <c r="M661" s="70" t="str">
        <f>+IFERROR(VLOOKUP(CONCATENATE(A661,$B$10,B661),'3. Resultados'!B:J,9,FALSE),"-")</f>
        <v>-</v>
      </c>
      <c r="N661" s="24"/>
      <c r="O661" s="25" t="str">
        <f t="shared" si="11"/>
        <v>Por iniciar</v>
      </c>
      <c r="P661"/>
    </row>
    <row r="662" spans="1:16" ht="14.5">
      <c r="A662" s="18"/>
      <c r="B662" s="57"/>
      <c r="C662" s="57"/>
      <c r="D662" s="57"/>
      <c r="E662" s="57"/>
      <c r="F662" s="57"/>
      <c r="G662" s="57"/>
      <c r="H662" s="62" t="s">
        <v>687</v>
      </c>
      <c r="I662" s="19" t="s">
        <v>347</v>
      </c>
      <c r="J662" s="24">
        <f>+COUNTIFS('3. Resultados'!C:C,'1. Status'!H662,'3. Resultados'!G:G,'1. Status'!I662)</f>
        <v>0</v>
      </c>
      <c r="K662" s="70" t="str">
        <f>+IFERROR(VLOOKUP(CONCATENATE(A662,$B$10,B662),'3. Resultados'!B:J,8,FALSE),"-")</f>
        <v>-</v>
      </c>
      <c r="L662" s="69" t="str">
        <f>+IFERROR(VLOOKUP(B662,'3. Resultados'!K:L,2,FALSE),"-")</f>
        <v>-</v>
      </c>
      <c r="M662" s="70" t="str">
        <f>+IFERROR(VLOOKUP(CONCATENATE(A662,$B$10,B662),'3. Resultados'!B:J,9,FALSE),"-")</f>
        <v>-</v>
      </c>
      <c r="N662" s="24"/>
      <c r="O662" s="25" t="str">
        <f t="shared" si="11"/>
        <v>Por iniciar</v>
      </c>
      <c r="P662"/>
    </row>
    <row r="663" spans="1:16" ht="14.5">
      <c r="A663" s="18"/>
      <c r="B663" s="57"/>
      <c r="C663" s="57"/>
      <c r="D663" s="57"/>
      <c r="E663" s="57"/>
      <c r="F663" s="57"/>
      <c r="G663" s="57"/>
      <c r="H663" s="62" t="s">
        <v>687</v>
      </c>
      <c r="I663" s="19" t="s">
        <v>348</v>
      </c>
      <c r="J663" s="24">
        <f>+COUNTIFS('3. Resultados'!C:C,'1. Status'!H663,'3. Resultados'!G:G,'1. Status'!I663)</f>
        <v>0</v>
      </c>
      <c r="K663" s="70" t="str">
        <f>+IFERROR(VLOOKUP(CONCATENATE(A663,$B$10,B663),'3. Resultados'!B:J,8,FALSE),"-")</f>
        <v>-</v>
      </c>
      <c r="L663" s="69" t="str">
        <f>+IFERROR(VLOOKUP(B663,'3. Resultados'!K:L,2,FALSE),"-")</f>
        <v>-</v>
      </c>
      <c r="M663" s="70" t="str">
        <f>+IFERROR(VLOOKUP(CONCATENATE(A663,$B$10,B663),'3. Resultados'!B:J,9,FALSE),"-")</f>
        <v>-</v>
      </c>
      <c r="N663" s="24"/>
      <c r="O663" s="25" t="str">
        <f t="shared" si="11"/>
        <v>Por iniciar</v>
      </c>
      <c r="P663"/>
    </row>
    <row r="664" spans="1:16" ht="14.5">
      <c r="A664" s="18"/>
      <c r="B664" s="57"/>
      <c r="C664" s="57"/>
      <c r="D664" s="57"/>
      <c r="E664" s="57"/>
      <c r="F664" s="57"/>
      <c r="G664" s="57"/>
      <c r="H664" s="62" t="s">
        <v>687</v>
      </c>
      <c r="I664" s="19" t="s">
        <v>349</v>
      </c>
      <c r="J664" s="24">
        <f>+COUNTIFS('3. Resultados'!C:C,'1. Status'!H664,'3. Resultados'!G:G,'1. Status'!I664)</f>
        <v>0</v>
      </c>
      <c r="K664" s="70" t="str">
        <f>+IFERROR(VLOOKUP(CONCATENATE(A664,$B$10,B664),'3. Resultados'!B:J,8,FALSE),"-")</f>
        <v>-</v>
      </c>
      <c r="L664" s="69" t="str">
        <f>+IFERROR(VLOOKUP(B664,'3. Resultados'!K:L,2,FALSE),"-")</f>
        <v>-</v>
      </c>
      <c r="M664" s="70" t="str">
        <f>+IFERROR(VLOOKUP(CONCATENATE(A664,$B$10,B664),'3. Resultados'!B:J,9,FALSE),"-")</f>
        <v>-</v>
      </c>
      <c r="N664" s="24"/>
      <c r="O664" s="25" t="str">
        <f t="shared" si="11"/>
        <v>Por iniciar</v>
      </c>
      <c r="P664"/>
    </row>
    <row r="665" spans="1:16" ht="14.5">
      <c r="A665" s="18"/>
      <c r="B665" s="57"/>
      <c r="C665" s="57"/>
      <c r="D665" s="57"/>
      <c r="E665" s="57"/>
      <c r="F665" s="57"/>
      <c r="G665" s="57"/>
      <c r="H665" s="62" t="s">
        <v>687</v>
      </c>
      <c r="I665" s="19" t="s">
        <v>350</v>
      </c>
      <c r="J665" s="24">
        <f>+COUNTIFS('3. Resultados'!C:C,'1. Status'!H665,'3. Resultados'!G:G,'1. Status'!I665)</f>
        <v>0</v>
      </c>
      <c r="K665" s="70" t="str">
        <f>+IFERROR(VLOOKUP(CONCATENATE(A665,$B$10,B665),'3. Resultados'!B:J,8,FALSE),"-")</f>
        <v>-</v>
      </c>
      <c r="L665" s="69" t="str">
        <f>+IFERROR(VLOOKUP(B665,'3. Resultados'!K:L,2,FALSE),"-")</f>
        <v>-</v>
      </c>
      <c r="M665" s="70" t="str">
        <f>+IFERROR(VLOOKUP(CONCATENATE(A665,$B$10,B665),'3. Resultados'!B:J,9,FALSE),"-")</f>
        <v>-</v>
      </c>
      <c r="N665" s="24"/>
      <c r="O665" s="25" t="str">
        <f t="shared" si="11"/>
        <v>Por iniciar</v>
      </c>
      <c r="P665"/>
    </row>
    <row r="666" spans="1:16" ht="14.5">
      <c r="A666" s="18"/>
      <c r="B666" s="57"/>
      <c r="C666" s="57"/>
      <c r="D666" s="57"/>
      <c r="E666" s="57"/>
      <c r="F666" s="57"/>
      <c r="G666" s="57"/>
      <c r="H666" s="62" t="s">
        <v>687</v>
      </c>
      <c r="I666" s="19" t="s">
        <v>351</v>
      </c>
      <c r="J666" s="24">
        <f>+COUNTIFS('3. Resultados'!C:C,'1. Status'!H666,'3. Resultados'!G:G,'1. Status'!I666)</f>
        <v>0</v>
      </c>
      <c r="K666" s="70" t="str">
        <f>+IFERROR(VLOOKUP(CONCATENATE(A666,$B$10,B666),'3. Resultados'!B:J,8,FALSE),"-")</f>
        <v>-</v>
      </c>
      <c r="L666" s="69" t="str">
        <f>+IFERROR(VLOOKUP(B666,'3. Resultados'!K:L,2,FALSE),"-")</f>
        <v>-</v>
      </c>
      <c r="M666" s="70" t="str">
        <f>+IFERROR(VLOOKUP(CONCATENATE(A666,$B$10,B666),'3. Resultados'!B:J,9,FALSE),"-")</f>
        <v>-</v>
      </c>
      <c r="N666" s="24"/>
      <c r="O666" s="25" t="str">
        <f t="shared" si="11"/>
        <v>Por iniciar</v>
      </c>
      <c r="P666"/>
    </row>
    <row r="667" spans="1:16" ht="14.5">
      <c r="A667" s="18"/>
      <c r="B667" s="57"/>
      <c r="C667" s="57"/>
      <c r="D667" s="57"/>
      <c r="E667" s="57"/>
      <c r="F667" s="57"/>
      <c r="G667" s="57"/>
      <c r="H667" s="62" t="s">
        <v>687</v>
      </c>
      <c r="I667" s="19" t="s">
        <v>149</v>
      </c>
      <c r="J667" s="24">
        <f>+COUNTIFS('3. Resultados'!C:C,'1. Status'!H667,'3. Resultados'!G:G,'1. Status'!I667)</f>
        <v>0</v>
      </c>
      <c r="K667" s="70" t="str">
        <f>+IFERROR(VLOOKUP(CONCATENATE(A667,$B$10,B667),'3. Resultados'!B:J,8,FALSE),"-")</f>
        <v>-</v>
      </c>
      <c r="L667" s="69" t="str">
        <f>+IFERROR(VLOOKUP(B667,'3. Resultados'!K:L,2,FALSE),"-")</f>
        <v>-</v>
      </c>
      <c r="M667" s="70" t="str">
        <f>+IFERROR(VLOOKUP(CONCATENATE(A667,$B$10,B667),'3. Resultados'!B:J,9,FALSE),"-")</f>
        <v>-</v>
      </c>
      <c r="N667" s="24"/>
      <c r="O667" s="25" t="str">
        <f t="shared" si="11"/>
        <v>Por iniciar</v>
      </c>
      <c r="P667"/>
    </row>
    <row r="668" spans="1:16" ht="14.5">
      <c r="P668"/>
    </row>
    <row r="669" spans="1:16" ht="14.5">
      <c r="P669"/>
    </row>
    <row r="670" spans="1:16" ht="14.5">
      <c r="P670"/>
    </row>
    <row r="671" spans="1:16" ht="14.5">
      <c r="P671"/>
    </row>
    <row r="672" spans="1:16" ht="14.5">
      <c r="P672"/>
    </row>
    <row r="673" spans="16:16" ht="14.5">
      <c r="P673"/>
    </row>
    <row r="674" spans="16:16" ht="14.5">
      <c r="P674"/>
    </row>
    <row r="675" spans="16:16" ht="14.5">
      <c r="P675"/>
    </row>
    <row r="676" spans="16:16" ht="14.5">
      <c r="P676"/>
    </row>
    <row r="677" spans="16:16" ht="14.5">
      <c r="P677"/>
    </row>
    <row r="678" spans="16:16" ht="14.5">
      <c r="P678"/>
    </row>
    <row r="679" spans="16:16" ht="14.5">
      <c r="P679"/>
    </row>
    <row r="680" spans="16:16" ht="14.5">
      <c r="P680"/>
    </row>
    <row r="681" spans="16:16" ht="14.5">
      <c r="P681"/>
    </row>
    <row r="682" spans="16:16" ht="14.5">
      <c r="P682"/>
    </row>
    <row r="683" spans="16:16" ht="14.5">
      <c r="P683"/>
    </row>
    <row r="684" spans="16:16" ht="14.5">
      <c r="P684"/>
    </row>
    <row r="685" spans="16:16" ht="14.5">
      <c r="P685"/>
    </row>
    <row r="686" spans="16:16" ht="14.5">
      <c r="P686"/>
    </row>
    <row r="687" spans="16:16" ht="14.5">
      <c r="P687"/>
    </row>
    <row r="688" spans="16:16" ht="14.5">
      <c r="P688"/>
    </row>
  </sheetData>
  <autoFilter ref="H10:O10" xr:uid="{00000000-0001-0000-0100-000000000000}"/>
  <mergeCells count="1">
    <mergeCell ref="B9:F9"/>
  </mergeCells>
  <conditionalFormatting sqref="O11:O667">
    <cfRule type="cellIs" dxfId="3" priority="5" operator="equal">
      <formula>"Por iniciar"</formula>
    </cfRule>
    <cfRule type="cellIs" dxfId="2" priority="6" operator="equal">
      <formula>"EM TESTES"</formula>
    </cfRule>
    <cfRule type="cellIs" dxfId="1" priority="7" operator="equal">
      <formula>"NOK"</formula>
    </cfRule>
    <cfRule type="cellIs" dxfId="0" priority="8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84"/>
  <sheetViews>
    <sheetView showGridLines="0" zoomScale="80" zoomScaleNormal="80" workbookViewId="0">
      <pane xSplit="4" ySplit="8" topLeftCell="F629" activePane="bottomRight" state="frozen"/>
      <selection pane="topRight"/>
      <selection pane="bottomLeft"/>
      <selection pane="bottomRight" activeCell="N9" sqref="N9:N665"/>
    </sheetView>
  </sheetViews>
  <sheetFormatPr defaultColWidth="0" defaultRowHeight="14.5" zeroHeight="1"/>
  <cols>
    <col min="1" max="1" width="3.6328125" style="2" customWidth="1"/>
    <col min="2" max="2" width="32.36328125" style="2" customWidth="1"/>
    <col min="3" max="3" width="33.1796875" style="2" bestFit="1" customWidth="1"/>
    <col min="4" max="4" width="32.36328125" style="2" customWidth="1"/>
    <col min="5" max="5" width="25" style="2" customWidth="1"/>
    <col min="6" max="6" width="39.453125" style="2" bestFit="1" customWidth="1"/>
    <col min="8" max="14" width="25" style="2" customWidth="1"/>
    <col min="15" max="15" width="3.6328125" style="2" customWidth="1"/>
    <col min="16" max="30" width="0" style="2" hidden="1" customWidth="1"/>
    <col min="31" max="16384" width="9.08984375" style="2" hidden="1"/>
  </cols>
  <sheetData>
    <row r="1" spans="1:29">
      <c r="A1" s="1"/>
      <c r="B1" s="1"/>
      <c r="C1" s="1"/>
      <c r="D1" s="1"/>
      <c r="E1" s="1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"/>
      <c r="C2" s="1"/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" customHeight="1">
      <c r="A4" s="3"/>
      <c r="B4" s="3"/>
      <c r="C4" s="3"/>
      <c r="D4" s="3"/>
      <c r="E4" s="3"/>
      <c r="F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/>
    <row r="6" spans="1:29" ht="15" thickBot="1">
      <c r="B6" s="26" t="s">
        <v>52</v>
      </c>
      <c r="C6" s="27"/>
      <c r="D6" s="27"/>
      <c r="E6" s="27"/>
      <c r="F6" s="27"/>
      <c r="H6" s="27"/>
      <c r="I6" s="27"/>
      <c r="J6" s="27"/>
      <c r="K6" s="27"/>
      <c r="L6" s="27"/>
      <c r="M6" s="27"/>
      <c r="N6" s="27"/>
    </row>
    <row r="7" spans="1:29"/>
    <row r="8" spans="1:29">
      <c r="B8" s="31" t="s">
        <v>0</v>
      </c>
      <c r="C8" s="31" t="s">
        <v>6</v>
      </c>
      <c r="D8" s="31" t="s">
        <v>3</v>
      </c>
      <c r="E8" s="34" t="s">
        <v>42</v>
      </c>
      <c r="F8" s="34" t="s">
        <v>2</v>
      </c>
      <c r="H8" s="34" t="s">
        <v>36</v>
      </c>
      <c r="I8" s="34" t="s">
        <v>64</v>
      </c>
      <c r="J8" s="34" t="s">
        <v>685</v>
      </c>
      <c r="K8" s="34" t="s">
        <v>7</v>
      </c>
      <c r="L8" s="34" t="s">
        <v>8</v>
      </c>
      <c r="M8" s="61" t="s">
        <v>53</v>
      </c>
      <c r="N8" s="61" t="s">
        <v>54</v>
      </c>
    </row>
    <row r="9" spans="1:29">
      <c r="A9" s="57" t="str">
        <f t="shared" ref="A9:A72" si="0">+B9&amp;C9</f>
        <v>UNIV_OPERmsaldo_final</v>
      </c>
      <c r="B9" s="32" t="s">
        <v>204</v>
      </c>
      <c r="C9" s="32" t="s">
        <v>206</v>
      </c>
      <c r="D9" s="32" t="s">
        <v>5</v>
      </c>
      <c r="E9" s="32" t="str">
        <f>+UPPER('0. Instruções'!$D$35&amp;"."&amp;VLOOKUP(B9,'0. Instruções'!$C$27:$D$32,2,FALSE))</f>
        <v>CD_LOAN_TAPES_BCE.LT001_UNIV_OPER</v>
      </c>
      <c r="F9" s="32" t="str">
        <f>+UPPER('0. Instruções'!$D$36&amp;"."&amp;VLOOKUP(B9,'0. Instruções'!$C$27:$E$32,3,FALSE))</f>
        <v>BU_LOANTAPE_WORK.LT001_UNIV_OPER</v>
      </c>
      <c r="H9" s="32"/>
      <c r="I9" s="32"/>
      <c r="J9" s="32" t="str">
        <f>IF(VLOOKUP(B9,'0. Instruções'!$C$27:$G$32,5,FALSE)=0,
"(SELECT "&amp;VLOOKUP(B9,'0. Instruções'!$C$27:$G$32,4,FALSE)&amp;" AS CHAVE_IT, "&amp;C9&amp;" AS CAMPO_IT FROM "&amp;E9&amp;" WHERE "&amp;'0. Instruções'!$D$43&amp;")X",
"(SELECT "&amp;VLOOKUP(B9,'0. Instruções'!$C$27:$G$32,4,FALSE)&amp;" AS CHAVE_IT1, "&amp;VLOOKUP(B9,'0. Instruções'!$C$27:$G$32,5,FALSE)&amp;" AS CHAVE_IT2, "&amp;C9&amp;" AS CAMPO_IT FROM "&amp;E9&amp;" WHERE "&amp;'0. Instruções'!$D$43&amp;")X")</f>
        <v>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ambito='PM' AND entidade='00100')X</v>
      </c>
      <c r="K9" s="32" t="str">
        <f>IF(VLOOKUP(B9,'0. Instruções'!$C$27:$G$32,5,FALSE)=0,
"(SELECT "&amp;VLOOKUP(B9,'0. Instruções'!$C$27:$G$32,4,FALSE)&amp;" AS CHAVE_SIMUL, "&amp;C9&amp;" AS CAMPO_SIMUL FROM "&amp;F9&amp;" WHERE "&amp;'0. Instruções'!$D$42&amp;")Y",
"(SELECT "&amp;VLOOKUP(B9,'0. Instruções'!$C$27:$G$32,4,FALSE)&amp;" AS CHAVE_SIMUL1, "&amp;VLOOKUP(B9,'0. Instruções'!$C$27:$G$32,5,FALSE)&amp;" AS CHAVE_SIMUL2, "&amp;C9&amp;" AS CAMPO_SIMUL FROM "&amp;F9&amp;" WHERE "&amp;'0. Instruções'!$D$42&amp;")Y")</f>
        <v>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ambito='PM' AND entidade='00100')Y</v>
      </c>
      <c r="L9" s="32" t="str">
        <f>IF(VLOOKUP(B9,'0. Instruções'!$C$27:$G$32,5,FALSE)=0,
"ON X.CHAVE_IT=Y.CHAVE_SIMUL",
"ON X.CHAVE_IT1=Y.CHAVE_SIMUL1 AND X.CHAVE_IT2=Y.CHAVE_SIMUL2")</f>
        <v>ON X.CHAVE_IT1=Y.CHAVE_SIMUL1 AND X.CHAVE_IT2=Y.CHAVE_SIMUL2</v>
      </c>
      <c r="M9" s="32" t="str">
        <f>+IF(D9="Coerência",+IF(LEFT(H9,5)="FLOAT","SELECT '"&amp;UPPER(B9)&amp;"' AS TABELA, '"&amp;UPPER(D9)&amp;"' AS TIPOLOGIA_TESTE,'"&amp;E9&amp;"' AS TABELA_LT,'"&amp;F9&amp;"' AS TABELA_SIMUL,'"&amp;C9&amp;"'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"&amp;J9&amp;" INNER JOIN "&amp;K9&amp;" "&amp;L9,"SELECT '"&amp;UPPER(B9)&amp;"' AS TABELA, '"&amp;UPPER(D9)&amp;"' AS TIPOLOGIA_TESTE,'"&amp;E9&amp;"' AS TABELA_LT,'"&amp;F9&amp;"' AS TABELA_SIMUL,'"&amp;C9&amp;"'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"&amp;J9&amp;" INNER JOIN "&amp;K9&amp;" "&amp;L9))</f>
        <v>SELECT 'UNIV_OPER' AS TABELA, 'COERÊNCIA' AS TIPOLOGIA_TESTE,'CD_LOAN_TAPES_BCE.LT001_UNIV_OPER' AS TABELA_LT,'BU_LOANTAPE_WORK.LT001_UNIV_OPER' AS TABELA_SIMUL,'msaldo_final'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ambito='PM' AND entidade='00100')Y ON X.CHAVE_IT1=Y.CHAVE_SIMUL1 AND X.CHAVE_IT2=Y.CHAVE_SIMUL2</v>
      </c>
      <c r="N9" s="33" t="str">
        <f t="shared" ref="N9:N37" si="1">+"UNION ALL "&amp;M9</f>
        <v>UNION ALL SELECT 'UNIV_OPER' AS TABELA, 'COERÊNCIA' AS TIPOLOGIA_TESTE,'CD_LOAN_TAPES_BCE.LT001_UNIV_OPER' AS TABELA_LT,'BU_LOANTAPE_WORK.LT001_UNIV_OPER' AS TABELA_SIMUL,'msaldo_final'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msaldo_final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msaldo_final AS CAMPO_SIMUL FROM BU_LOANTAPE_WORK.LT001_UNIV_OPER WHERE ref_date='${ref_date}' AND nome_perimetro='Individual Local' AND segmento='ESTR' AND ambito='PM' AND entidade='00100')Y ON X.CHAVE_IT1=Y.CHAVE_SIMUL1 AND X.CHAVE_IT2=Y.CHAVE_SIMUL2</v>
      </c>
      <c r="O9" s="35" t="s">
        <v>35</v>
      </c>
    </row>
    <row r="10" spans="1:29">
      <c r="A10" s="57" t="str">
        <f t="shared" si="0"/>
        <v>UNIV_OPERcarteira_contabilistica</v>
      </c>
      <c r="B10" s="32" t="s">
        <v>204</v>
      </c>
      <c r="C10" s="32" t="s">
        <v>207</v>
      </c>
      <c r="D10" s="32" t="s">
        <v>5</v>
      </c>
      <c r="E10" s="32" t="str">
        <f>+UPPER('0. Instruções'!$D$35&amp;"."&amp;VLOOKUP(B10,'0. Instruções'!$C$27:$D$32,2,FALSE))</f>
        <v>CD_LOAN_TAPES_BCE.LT001_UNIV_OPER</v>
      </c>
      <c r="F10" s="32" t="str">
        <f>+UPPER('0. Instruções'!$D$36&amp;"."&amp;VLOOKUP(B10,'0. Instruções'!$C$27:$E$32,3,FALSE))</f>
        <v>BU_LOANTAPE_WORK.LT001_UNIV_OPER</v>
      </c>
      <c r="H10" s="32"/>
      <c r="I10" s="32"/>
      <c r="J10" s="32" t="str">
        <f>IF(VLOOKUP(B10,'0. Instruções'!$C$27:$G$32,5,FALSE)=0,
"(SELECT "&amp;VLOOKUP(B10,'0. Instruções'!$C$27:$G$32,4,FALSE)&amp;" AS CHAVE_IT, "&amp;C10&amp;" AS CAMPO_IT FROM "&amp;E10&amp;" WHERE "&amp;'0. Instruções'!$D$43&amp;")X",
"(SELECT "&amp;VLOOKUP(B10,'0. Instruções'!$C$27:$G$32,4,FALSE)&amp;" AS CHAVE_IT1, "&amp;VLOOKUP(B10,'0. Instruções'!$C$27:$G$32,5,FALSE)&amp;" AS CHAVE_IT2, "&amp;C10&amp;" AS CAMPO_IT FROM "&amp;E10&amp;" WHERE "&amp;'0. Instruções'!$D$43&amp;")X")</f>
        <v>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ambito='PM' AND entidade='00100')X</v>
      </c>
      <c r="K10" s="32" t="str">
        <f>IF(VLOOKUP(B10,'0. Instruções'!$C$27:$G$32,5,FALSE)=0,
"(SELECT "&amp;VLOOKUP(B10,'0. Instruções'!$C$27:$G$32,4,FALSE)&amp;" AS CHAVE_SIMUL, "&amp;C10&amp;" AS CAMPO_SIMUL FROM "&amp;F10&amp;" WHERE "&amp;'0. Instruções'!$D$42&amp;")Y",
"(SELECT "&amp;VLOOKUP(B10,'0. Instruções'!$C$27:$G$32,4,FALSE)&amp;" AS CHAVE_SIMUL1, "&amp;VLOOKUP(B10,'0. Instruções'!$C$27:$G$32,5,FALSE)&amp;" AS CHAVE_SIMUL2, "&amp;C10&amp;" AS CAMPO_SIMUL FROM "&amp;F10&amp;" WHERE "&amp;'0. Instruções'!$D$42&amp;")Y")</f>
        <v>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ambito='PM' AND entidade='00100')Y</v>
      </c>
      <c r="L10" s="32" t="str">
        <f>IF(VLOOKUP(B10,'0. Instruções'!$C$27:$G$32,5,FALSE)=0,
"ON X.CHAVE_IT=Y.CHAVE_SIMUL",
"ON X.CHAVE_IT1=Y.CHAVE_SIMUL1 AND X.CHAVE_IT2=Y.CHAVE_SIMUL2")</f>
        <v>ON X.CHAVE_IT1=Y.CHAVE_SIMUL1 AND X.CHAVE_IT2=Y.CHAVE_SIMUL2</v>
      </c>
      <c r="M10" s="32" t="str">
        <f>+IF(D10="Coerência",+IF(LEFT(H10,5)="FLOAT","SELECT '"&amp;UPPER(B10)&amp;"' AS TABELA, '"&amp;UPPER(D10)&amp;"' AS TIPOLOGIA_TESTE,'"&amp;E10&amp;"' AS TABELA_LT,'"&amp;F10&amp;"' AS TABELA_SIMUL,'"&amp;C10&amp;"'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"&amp;J10&amp;" INNER JOIN "&amp;K10&amp;" "&amp;L10,"SELECT '"&amp;UPPER(B10)&amp;"' AS TABELA, '"&amp;UPPER(D10)&amp;"' AS TIPOLOGIA_TESTE,'"&amp;E10&amp;"' AS TABELA_LT,'"&amp;F10&amp;"' AS TABELA_SIMUL,'"&amp;C10&amp;"'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"&amp;J10&amp;" INNER JOIN "&amp;K10&amp;" "&amp;L10))</f>
        <v>SELECT 'UNIV_OPER' AS TABELA, 'COERÊNCIA' AS TIPOLOGIA_TESTE,'CD_LOAN_TAPES_BCE.LT001_UNIV_OPER' AS TABELA_LT,'BU_LOANTAPE_WORK.LT001_UNIV_OPER' AS TABELA_SIMUL,'carteira_contabilistica'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ambito='PM' AND entidade='00100')Y ON X.CHAVE_IT1=Y.CHAVE_SIMUL1 AND X.CHAVE_IT2=Y.CHAVE_SIMUL2</v>
      </c>
      <c r="N10" s="33" t="str">
        <f t="shared" si="1"/>
        <v>UNION ALL SELECT 'UNIV_OPER' AS TABELA, 'COERÊNCIA' AS TIPOLOGIA_TESTE,'CD_LOAN_TAPES_BCE.LT001_UNIV_OPER' AS TABELA_LT,'BU_LOANTAPE_WORK.LT001_UNIV_OPER' AS TABELA_SIMUL,'carteira_contabilistica'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carteira_contabilistica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carteira_contabilistica AS CAMPO_SIMUL FROM BU_LOANTAPE_WORK.LT001_UNIV_OPER WHERE ref_date='${ref_date}' AND nome_perimetro='Individual Local' AND segmento='ESTR' AND ambito='PM' AND entidade='00100')Y ON X.CHAVE_IT1=Y.CHAVE_SIMUL1 AND X.CHAVE_IT2=Y.CHAVE_SIMUL2</v>
      </c>
      <c r="O10" s="35" t="s">
        <v>35</v>
      </c>
    </row>
    <row r="11" spans="1:29">
      <c r="A11" s="57" t="str">
        <f t="shared" si="0"/>
        <v>UNIV_OPERinstrumento_financeiro</v>
      </c>
      <c r="B11" s="32" t="s">
        <v>204</v>
      </c>
      <c r="C11" s="32" t="s">
        <v>208</v>
      </c>
      <c r="D11" s="32" t="s">
        <v>5</v>
      </c>
      <c r="E11" s="32" t="str">
        <f>+UPPER('0. Instruções'!$D$35&amp;"."&amp;VLOOKUP(B11,'0. Instruções'!$C$27:$D$32,2,FALSE))</f>
        <v>CD_LOAN_TAPES_BCE.LT001_UNIV_OPER</v>
      </c>
      <c r="F11" s="32" t="str">
        <f>+UPPER('0. Instruções'!$D$36&amp;"."&amp;VLOOKUP(B11,'0. Instruções'!$C$27:$E$32,3,FALSE))</f>
        <v>BU_LOANTAPE_WORK.LT001_UNIV_OPER</v>
      </c>
      <c r="H11" s="32"/>
      <c r="I11" s="32"/>
      <c r="J11" s="32" t="str">
        <f>IF(VLOOKUP(B11,'0. Instruções'!$C$27:$G$32,5,FALSE)=0,
"(SELECT "&amp;VLOOKUP(B11,'0. Instruções'!$C$27:$G$32,4,FALSE)&amp;" AS CHAVE_IT, "&amp;C11&amp;" AS CAMPO_IT FROM "&amp;E11&amp;" WHERE "&amp;'0. Instruções'!$D$43&amp;")X",
"(SELECT "&amp;VLOOKUP(B11,'0. Instruções'!$C$27:$G$32,4,FALSE)&amp;" AS CHAVE_IT1, "&amp;VLOOKUP(B11,'0. Instruções'!$C$27:$G$32,5,FALSE)&amp;" AS CHAVE_IT2, "&amp;C11&amp;" AS CAMPO_IT FROM "&amp;E11&amp;" WHERE "&amp;'0. Instruções'!$D$43&amp;")X")</f>
        <v>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ambito='PM' AND entidade='00100')X</v>
      </c>
      <c r="K11" s="32" t="str">
        <f>IF(VLOOKUP(B11,'0. Instruções'!$C$27:$G$32,5,FALSE)=0,
"(SELECT "&amp;VLOOKUP(B11,'0. Instruções'!$C$27:$G$32,4,FALSE)&amp;" AS CHAVE_SIMUL, "&amp;C11&amp;" AS CAMPO_SIMUL FROM "&amp;F11&amp;" WHERE "&amp;'0. Instruções'!$D$42&amp;")Y",
"(SELECT "&amp;VLOOKUP(B11,'0. Instruções'!$C$27:$G$32,4,FALSE)&amp;" AS CHAVE_SIMUL1, "&amp;VLOOKUP(B11,'0. Instruções'!$C$27:$G$32,5,FALSE)&amp;" AS CHAVE_SIMUL2, "&amp;C11&amp;" AS CAMPO_SIMUL FROM "&amp;F11&amp;" WHERE "&amp;'0. Instruções'!$D$42&amp;")Y")</f>
        <v>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ambito='PM' AND entidade='00100')Y</v>
      </c>
      <c r="L11" s="32" t="str">
        <f>IF(VLOOKUP(B11,'0. Instruções'!$C$27:$G$32,5,FALSE)=0,
"ON X.CHAVE_IT=Y.CHAVE_SIMUL",
"ON X.CHAVE_IT1=Y.CHAVE_SIMUL1 AND X.CHAVE_IT2=Y.CHAVE_SIMUL2")</f>
        <v>ON X.CHAVE_IT1=Y.CHAVE_SIMUL1 AND X.CHAVE_IT2=Y.CHAVE_SIMUL2</v>
      </c>
      <c r="M11" s="32" t="str">
        <f>+IF(D11="Coerência",+IF(LEFT(H11,5)="FLOAT","SELECT '"&amp;UPPER(B11)&amp;"' AS TABELA, '"&amp;UPPER(D11)&amp;"' AS TIPOLOGIA_TESTE,'"&amp;E11&amp;"' AS TABELA_LT,'"&amp;F11&amp;"' AS TABELA_SIMUL,'"&amp;C11&amp;"'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"&amp;J11&amp;" INNER JOIN "&amp;K11&amp;" "&amp;L11,"SELECT '"&amp;UPPER(B11)&amp;"' AS TABELA, '"&amp;UPPER(D11)&amp;"' AS TIPOLOGIA_TESTE,'"&amp;E11&amp;"' AS TABELA_LT,'"&amp;F11&amp;"' AS TABELA_SIMUL,'"&amp;C11&amp;"'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"&amp;J11&amp;" INNER JOIN "&amp;K11&amp;" "&amp;L11))</f>
        <v>SELECT 'UNIV_OPER' AS TABELA, 'COERÊNCIA' AS TIPOLOGIA_TESTE,'CD_LOAN_TAPES_BCE.LT001_UNIV_OPER' AS TABELA_LT,'BU_LOANTAPE_WORK.LT001_UNIV_OPER' AS TABELA_SIMUL,'instrumento_financeiro'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ambito='PM' AND entidade='00100')Y ON X.CHAVE_IT1=Y.CHAVE_SIMUL1 AND X.CHAVE_IT2=Y.CHAVE_SIMUL2</v>
      </c>
      <c r="N11" s="33" t="str">
        <f t="shared" si="1"/>
        <v>UNION ALL SELECT 'UNIV_OPER' AS TABELA, 'COERÊNCIA' AS TIPOLOGIA_TESTE,'CD_LOAN_TAPES_BCE.LT001_UNIV_OPER' AS TABELA_LT,'BU_LOANTAPE_WORK.LT001_UNIV_OPER' AS TABELA_SIMUL,'instrumento_financeiro'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instrumento_financeiro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instrumento_financeiro AS CAMPO_SIMUL FROM BU_LOANTAPE_WORK.LT001_UNIV_OPER WHERE ref_date='${ref_date}' AND nome_perimetro='Individual Local' AND segmento='ESTR' AND ambito='PM' AND entidade='00100')Y ON X.CHAVE_IT1=Y.CHAVE_SIMUL1 AND X.CHAVE_IT2=Y.CHAVE_SIMUL2</v>
      </c>
      <c r="O11" s="35" t="s">
        <v>35</v>
      </c>
    </row>
    <row r="12" spans="1:29">
      <c r="A12" s="57" t="str">
        <f t="shared" si="0"/>
        <v>UNIV_OPERcontraparte</v>
      </c>
      <c r="B12" s="32" t="s">
        <v>204</v>
      </c>
      <c r="C12" s="32" t="s">
        <v>209</v>
      </c>
      <c r="D12" s="32" t="s">
        <v>5</v>
      </c>
      <c r="E12" s="32" t="str">
        <f>+UPPER('0. Instruções'!$D$35&amp;"."&amp;VLOOKUP(B12,'0. Instruções'!$C$27:$D$32,2,FALSE))</f>
        <v>CD_LOAN_TAPES_BCE.LT001_UNIV_OPER</v>
      </c>
      <c r="F12" s="32" t="str">
        <f>+UPPER('0. Instruções'!$D$36&amp;"."&amp;VLOOKUP(B12,'0. Instruções'!$C$27:$E$32,3,FALSE))</f>
        <v>BU_LOANTAPE_WORK.LT001_UNIV_OPER</v>
      </c>
      <c r="H12" s="32"/>
      <c r="I12" s="32"/>
      <c r="J12" s="32" t="str">
        <f>IF(VLOOKUP(B12,'0. Instruções'!$C$27:$G$32,5,FALSE)=0,
"(SELECT "&amp;VLOOKUP(B12,'0. Instruções'!$C$27:$G$32,4,FALSE)&amp;" AS CHAVE_IT, "&amp;C12&amp;" AS CAMPO_IT FROM "&amp;E12&amp;" WHERE "&amp;'0. Instruções'!$D$43&amp;")X",
"(SELECT "&amp;VLOOKUP(B12,'0. Instruções'!$C$27:$G$32,4,FALSE)&amp;" AS CHAVE_IT1, "&amp;VLOOKUP(B12,'0. Instruções'!$C$27:$G$32,5,FALSE)&amp;" AS CHAVE_IT2, "&amp;C12&amp;" AS CAMPO_IT FROM "&amp;E12&amp;" WHERE "&amp;'0. Instruções'!$D$43&amp;")X")</f>
        <v>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ambito='PM' AND entidade='00100')X</v>
      </c>
      <c r="K12" s="32" t="str">
        <f>IF(VLOOKUP(B12,'0. Instruções'!$C$27:$G$32,5,FALSE)=0,
"(SELECT "&amp;VLOOKUP(B12,'0. Instruções'!$C$27:$G$32,4,FALSE)&amp;" AS CHAVE_SIMUL, "&amp;C12&amp;" AS CAMPO_SIMUL FROM "&amp;F12&amp;" WHERE "&amp;'0. Instruções'!$D$42&amp;")Y",
"(SELECT "&amp;VLOOKUP(B12,'0. Instruções'!$C$27:$G$32,4,FALSE)&amp;" AS CHAVE_SIMUL1, "&amp;VLOOKUP(B12,'0. Instruções'!$C$27:$G$32,5,FALSE)&amp;" AS CHAVE_SIMUL2, "&amp;C12&amp;" AS CAMPO_SIMUL FROM "&amp;F12&amp;" WHERE "&amp;'0. Instruções'!$D$42&amp;")Y")</f>
        <v>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ambito='PM' AND entidade='00100')Y</v>
      </c>
      <c r="L12" s="32" t="str">
        <f>IF(VLOOKUP(B12,'0. Instruções'!$C$27:$G$32,5,FALSE)=0,
"ON X.CHAVE_IT=Y.CHAVE_SIMUL",
"ON X.CHAVE_IT1=Y.CHAVE_SIMUL1 AND X.CHAVE_IT2=Y.CHAVE_SIMUL2")</f>
        <v>ON X.CHAVE_IT1=Y.CHAVE_SIMUL1 AND X.CHAVE_IT2=Y.CHAVE_SIMUL2</v>
      </c>
      <c r="M12" s="32" t="str">
        <f>+IF(D12="Coerência",+IF(LEFT(H12,5)="FLOAT","SELECT '"&amp;UPPER(B12)&amp;"' AS TABELA, '"&amp;UPPER(D12)&amp;"' AS TIPOLOGIA_TESTE,'"&amp;E12&amp;"' AS TABELA_LT,'"&amp;F12&amp;"' AS TABELA_SIMUL,'"&amp;C12&amp;"'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"&amp;J12&amp;" INNER JOIN "&amp;K12&amp;" "&amp;L12,"SELECT '"&amp;UPPER(B12)&amp;"' AS TABELA, '"&amp;UPPER(D12)&amp;"' AS TIPOLOGIA_TESTE,'"&amp;E12&amp;"' AS TABELA_LT,'"&amp;F12&amp;"' AS TABELA_SIMUL,'"&amp;C12&amp;"'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"&amp;J12&amp;" INNER JOIN "&amp;K12&amp;" "&amp;L12))</f>
        <v>SELECT 'UNIV_OPER' AS TABELA, 'COERÊNCIA' AS TIPOLOGIA_TESTE,'CD_LOAN_TAPES_BCE.LT001_UNIV_OPER' AS TABELA_LT,'BU_LOANTAPE_WORK.LT001_UNIV_OPER' AS TABELA_SIMUL,'contraparte'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ambito='PM' AND entidade='00100')Y ON X.CHAVE_IT1=Y.CHAVE_SIMUL1 AND X.CHAVE_IT2=Y.CHAVE_SIMUL2</v>
      </c>
      <c r="N12" s="33" t="str">
        <f t="shared" si="1"/>
        <v>UNION ALL SELECT 'UNIV_OPER' AS TABELA, 'COERÊNCIA' AS TIPOLOGIA_TESTE,'CD_LOAN_TAPES_BCE.LT001_UNIV_OPER' AS TABELA_LT,'BU_LOANTAPE_WORK.LT001_UNIV_OPER' AS TABELA_SIMUL,'contraparte'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contraparte AS CAMPO_SIMUL FROM BU_LOANTAPE_WORK.LT001_UNIV_OPER WHERE ref_date='${ref_date}' AND nome_perimetro='Individual Local' AND segmento='ESTR' AND ambito='PM' AND entidade='00100')Y ON X.CHAVE_IT1=Y.CHAVE_SIMUL1 AND X.CHAVE_IT2=Y.CHAVE_SIMUL2</v>
      </c>
      <c r="O12" s="35" t="s">
        <v>35</v>
      </c>
    </row>
    <row r="13" spans="1:29">
      <c r="A13" s="57" t="str">
        <f t="shared" si="0"/>
        <v>UNIV_OPERcontraparte_i</v>
      </c>
      <c r="B13" s="32" t="s">
        <v>204</v>
      </c>
      <c r="C13" s="32" t="s">
        <v>210</v>
      </c>
      <c r="D13" s="32" t="s">
        <v>5</v>
      </c>
      <c r="E13" s="32" t="str">
        <f>+UPPER('0. Instruções'!$D$35&amp;"."&amp;VLOOKUP(B13,'0. Instruções'!$C$27:$D$32,2,FALSE))</f>
        <v>CD_LOAN_TAPES_BCE.LT001_UNIV_OPER</v>
      </c>
      <c r="F13" s="32" t="str">
        <f>+UPPER('0. Instruções'!$D$36&amp;"."&amp;VLOOKUP(B13,'0. Instruções'!$C$27:$E$32,3,FALSE))</f>
        <v>BU_LOANTAPE_WORK.LT001_UNIV_OPER</v>
      </c>
      <c r="H13" s="32"/>
      <c r="I13" s="32"/>
      <c r="J13" s="32" t="str">
        <f>IF(VLOOKUP(B13,'0. Instruções'!$C$27:$G$32,5,FALSE)=0,
"(SELECT "&amp;VLOOKUP(B13,'0. Instruções'!$C$27:$G$32,4,FALSE)&amp;" AS CHAVE_IT, "&amp;C13&amp;" AS CAMPO_IT FROM "&amp;E13&amp;" WHERE "&amp;'0. Instruções'!$D$43&amp;")X",
"(SELECT "&amp;VLOOKUP(B13,'0. Instruções'!$C$27:$G$32,4,FALSE)&amp;" AS CHAVE_IT1, "&amp;VLOOKUP(B13,'0. Instruções'!$C$27:$G$32,5,FALSE)&amp;" AS CHAVE_IT2, "&amp;C13&amp;" AS CAMPO_IT FROM "&amp;E13&amp;" WHERE "&amp;'0. Instruções'!$D$43&amp;")X")</f>
        <v>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ambito='PM' AND entidade='00100')X</v>
      </c>
      <c r="K13" s="32" t="str">
        <f>IF(VLOOKUP(B13,'0. Instruções'!$C$27:$G$32,5,FALSE)=0,
"(SELECT "&amp;VLOOKUP(B13,'0. Instruções'!$C$27:$G$32,4,FALSE)&amp;" AS CHAVE_SIMUL, "&amp;C13&amp;" AS CAMPO_SIMUL FROM "&amp;F13&amp;" WHERE "&amp;'0. Instruções'!$D$42&amp;")Y",
"(SELECT "&amp;VLOOKUP(B13,'0. Instruções'!$C$27:$G$32,4,FALSE)&amp;" AS CHAVE_SIMUL1, "&amp;VLOOKUP(B13,'0. Instruções'!$C$27:$G$32,5,FALSE)&amp;" AS CHAVE_SIMUL2, "&amp;C13&amp;" AS CAMPO_SIMUL FROM "&amp;F13&amp;" WHERE "&amp;'0. Instruções'!$D$42&amp;")Y")</f>
        <v>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ambito='PM' AND entidade='00100')Y</v>
      </c>
      <c r="L13" s="32" t="str">
        <f>IF(VLOOKUP(B13,'0. Instruções'!$C$27:$G$32,5,FALSE)=0,
"ON X.CHAVE_IT=Y.CHAVE_SIMUL",
"ON X.CHAVE_IT1=Y.CHAVE_SIMUL1 AND X.CHAVE_IT2=Y.CHAVE_SIMUL2")</f>
        <v>ON X.CHAVE_IT1=Y.CHAVE_SIMUL1 AND X.CHAVE_IT2=Y.CHAVE_SIMUL2</v>
      </c>
      <c r="M13" s="32" t="str">
        <f>+IF(D13="Coerência",+IF(LEFT(H13,5)="FLOAT","SELECT '"&amp;UPPER(B13)&amp;"' AS TABELA, '"&amp;UPPER(D13)&amp;"' AS TIPOLOGIA_TESTE,'"&amp;E13&amp;"' AS TABELA_LT,'"&amp;F13&amp;"' AS TABELA_SIMUL,'"&amp;C13&amp;"'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"&amp;J13&amp;" INNER JOIN "&amp;K13&amp;" "&amp;L13,"SELECT '"&amp;UPPER(B13)&amp;"' AS TABELA, '"&amp;UPPER(D13)&amp;"' AS TIPOLOGIA_TESTE,'"&amp;E13&amp;"' AS TABELA_LT,'"&amp;F13&amp;"' AS TABELA_SIMUL,'"&amp;C13&amp;"'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"&amp;J13&amp;" INNER JOIN "&amp;K13&amp;" "&amp;L13))</f>
        <v>SELECT 'UNIV_OPER' AS TABELA, 'COERÊNCIA' AS TIPOLOGIA_TESTE,'CD_LOAN_TAPES_BCE.LT001_UNIV_OPER' AS TABELA_LT,'BU_LOANTAPE_WORK.LT001_UNIV_OPER' AS TABELA_SIMUL,'contraparte_i'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ambito='PM' AND entidade='00100')Y ON X.CHAVE_IT1=Y.CHAVE_SIMUL1 AND X.CHAVE_IT2=Y.CHAVE_SIMUL2</v>
      </c>
      <c r="N13" s="33" t="str">
        <f t="shared" si="1"/>
        <v>UNION ALL SELECT 'UNIV_OPER' AS TABELA, 'COERÊNCIA' AS TIPOLOGIA_TESTE,'CD_LOAN_TAPES_BCE.LT001_UNIV_OPER' AS TABELA_LT,'BU_LOANTAPE_WORK.LT001_UNIV_OPER' AS TABELA_SIMUL,'contraparte_i'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contraparte_i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contraparte_i AS CAMPO_SIMUL FROM BU_LOANTAPE_WORK.LT001_UNIV_OPER WHERE ref_date='${ref_date}' AND nome_perimetro='Individual Local' AND segmento='ESTR' AND ambito='PM' AND entidade='00100')Y ON X.CHAVE_IT1=Y.CHAVE_SIMUL1 AND X.CHAVE_IT2=Y.CHAVE_SIMUL2</v>
      </c>
      <c r="O13" s="35" t="s">
        <v>35</v>
      </c>
    </row>
    <row r="14" spans="1:29">
      <c r="A14" s="57" t="str">
        <f t="shared" si="0"/>
        <v>UNIV_OPERproduto</v>
      </c>
      <c r="B14" s="32" t="s">
        <v>204</v>
      </c>
      <c r="C14" s="32" t="s">
        <v>211</v>
      </c>
      <c r="D14" s="32" t="s">
        <v>5</v>
      </c>
      <c r="E14" s="32" t="str">
        <f>+UPPER('0. Instruções'!$D$35&amp;"."&amp;VLOOKUP(B14,'0. Instruções'!$C$27:$D$32,2,FALSE))</f>
        <v>CD_LOAN_TAPES_BCE.LT001_UNIV_OPER</v>
      </c>
      <c r="F14" s="32" t="str">
        <f>+UPPER('0. Instruções'!$D$36&amp;"."&amp;VLOOKUP(B14,'0. Instruções'!$C$27:$E$32,3,FALSE))</f>
        <v>BU_LOANTAPE_WORK.LT001_UNIV_OPER</v>
      </c>
      <c r="H14" s="32"/>
      <c r="I14" s="32"/>
      <c r="J14" s="32" t="str">
        <f>IF(VLOOKUP(B14,'0. Instruções'!$C$27:$G$32,5,FALSE)=0,
"(SELECT "&amp;VLOOKUP(B14,'0. Instruções'!$C$27:$G$32,4,FALSE)&amp;" AS CHAVE_IT, "&amp;C14&amp;" AS CAMPO_IT FROM "&amp;E14&amp;" WHERE "&amp;'0. Instruções'!$D$43&amp;")X",
"(SELECT "&amp;VLOOKUP(B14,'0. Instruções'!$C$27:$G$32,4,FALSE)&amp;" AS CHAVE_IT1, "&amp;VLOOKUP(B14,'0. Instruções'!$C$27:$G$32,5,FALSE)&amp;" AS CHAVE_IT2, "&amp;C14&amp;" AS CAMPO_IT FROM "&amp;E14&amp;" WHERE "&amp;'0. Instruções'!$D$43&amp;")X")</f>
        <v>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ambito='PM' AND entidade='00100')X</v>
      </c>
      <c r="K14" s="32" t="str">
        <f>IF(VLOOKUP(B14,'0. Instruções'!$C$27:$G$32,5,FALSE)=0,
"(SELECT "&amp;VLOOKUP(B14,'0. Instruções'!$C$27:$G$32,4,FALSE)&amp;" AS CHAVE_SIMUL, "&amp;C14&amp;" AS CAMPO_SIMUL FROM "&amp;F14&amp;" WHERE "&amp;'0. Instruções'!$D$42&amp;")Y",
"(SELECT "&amp;VLOOKUP(B14,'0. Instruções'!$C$27:$G$32,4,FALSE)&amp;" AS CHAVE_SIMUL1, "&amp;VLOOKUP(B14,'0. Instruções'!$C$27:$G$32,5,FALSE)&amp;" AS CHAVE_SIMUL2, "&amp;C14&amp;" AS CAMPO_SIMUL FROM "&amp;F14&amp;" WHERE "&amp;'0. Instruções'!$D$42&amp;")Y")</f>
        <v>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ambito='PM' AND entidade='00100')Y</v>
      </c>
      <c r="L14" s="32" t="str">
        <f>IF(VLOOKUP(B14,'0. Instruções'!$C$27:$G$32,5,FALSE)=0,
"ON X.CHAVE_IT=Y.CHAVE_SIMUL",
"ON X.CHAVE_IT1=Y.CHAVE_SIMUL1 AND X.CHAVE_IT2=Y.CHAVE_SIMUL2")</f>
        <v>ON X.CHAVE_IT1=Y.CHAVE_SIMUL1 AND X.CHAVE_IT2=Y.CHAVE_SIMUL2</v>
      </c>
      <c r="M14" s="32" t="str">
        <f>+IF(D14="Coerência",+IF(LEFT(H14,5)="FLOAT","SELECT '"&amp;UPPER(B14)&amp;"' AS TABELA, '"&amp;UPPER(D14)&amp;"' AS TIPOLOGIA_TESTE,'"&amp;E14&amp;"' AS TABELA_LT,'"&amp;F14&amp;"' AS TABELA_SIMUL,'"&amp;C14&amp;"'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"&amp;J14&amp;" INNER JOIN "&amp;K14&amp;" "&amp;L14,"SELECT '"&amp;UPPER(B14)&amp;"' AS TABELA, '"&amp;UPPER(D14)&amp;"' AS TIPOLOGIA_TESTE,'"&amp;E14&amp;"' AS TABELA_LT,'"&amp;F14&amp;"' AS TABELA_SIMUL,'"&amp;C14&amp;"'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"&amp;J14&amp;" INNER JOIN "&amp;K14&amp;" "&amp;L14))</f>
        <v>SELECT 'UNIV_OPER' AS TABELA, 'COERÊNCIA' AS TIPOLOGIA_TESTE,'CD_LOAN_TAPES_BCE.LT001_UNIV_OPER' AS TABELA_LT,'BU_LOANTAPE_WORK.LT001_UNIV_OPER' AS TABELA_SIMUL,'produto'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ambito='PM' AND entidade='00100')Y ON X.CHAVE_IT1=Y.CHAVE_SIMUL1 AND X.CHAVE_IT2=Y.CHAVE_SIMUL2</v>
      </c>
      <c r="N14" s="33" t="str">
        <f t="shared" si="1"/>
        <v>UNION ALL SELECT 'UNIV_OPER' AS TABELA, 'COERÊNCIA' AS TIPOLOGIA_TESTE,'CD_LOAN_TAPES_BCE.LT001_UNIV_OPER' AS TABELA_LT,'BU_LOANTAPE_WORK.LT001_UNIV_OPER' AS TABELA_SIMUL,'produto'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produto AS CAMPO_SIMUL FROM BU_LOANTAPE_WORK.LT001_UNIV_OPER WHERE ref_date='${ref_date}' AND nome_perimetro='Individual Local' AND segmento='ESTR' AND ambito='PM' AND entidade='00100')Y ON X.CHAVE_IT1=Y.CHAVE_SIMUL1 AND X.CHAVE_IT2=Y.CHAVE_SIMUL2</v>
      </c>
      <c r="O14" s="35" t="s">
        <v>35</v>
      </c>
    </row>
    <row r="15" spans="1:29">
      <c r="A15" s="57" t="str">
        <f t="shared" si="0"/>
        <v>UNIV_OPERtipo_conta</v>
      </c>
      <c r="B15" s="32" t="s">
        <v>204</v>
      </c>
      <c r="C15" s="32" t="s">
        <v>212</v>
      </c>
      <c r="D15" s="32" t="s">
        <v>5</v>
      </c>
      <c r="E15" s="32" t="str">
        <f>+UPPER('0. Instruções'!$D$35&amp;"."&amp;VLOOKUP(B15,'0. Instruções'!$C$27:$D$32,2,FALSE))</f>
        <v>CD_LOAN_TAPES_BCE.LT001_UNIV_OPER</v>
      </c>
      <c r="F15" s="32" t="str">
        <f>+UPPER('0. Instruções'!$D$36&amp;"."&amp;VLOOKUP(B15,'0. Instruções'!$C$27:$E$32,3,FALSE))</f>
        <v>BU_LOANTAPE_WORK.LT001_UNIV_OPER</v>
      </c>
      <c r="H15" s="32"/>
      <c r="I15" s="32"/>
      <c r="J15" s="32" t="str">
        <f>IF(VLOOKUP(B15,'0. Instruções'!$C$27:$G$32,5,FALSE)=0,
"(SELECT "&amp;VLOOKUP(B15,'0. Instruções'!$C$27:$G$32,4,FALSE)&amp;" AS CHAVE_IT, "&amp;C15&amp;" AS CAMPO_IT FROM "&amp;E15&amp;" WHERE "&amp;'0. Instruções'!$D$43&amp;")X",
"(SELECT "&amp;VLOOKUP(B15,'0. Instruções'!$C$27:$G$32,4,FALSE)&amp;" AS CHAVE_IT1, "&amp;VLOOKUP(B15,'0. Instruções'!$C$27:$G$32,5,FALSE)&amp;" AS CHAVE_IT2, "&amp;C15&amp;" AS CAMPO_IT FROM "&amp;E15&amp;" WHERE "&amp;'0. Instruções'!$D$43&amp;")X")</f>
        <v>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ambito='PM' AND entidade='00100')X</v>
      </c>
      <c r="K15" s="32" t="str">
        <f>IF(VLOOKUP(B15,'0. Instruções'!$C$27:$G$32,5,FALSE)=0,
"(SELECT "&amp;VLOOKUP(B15,'0. Instruções'!$C$27:$G$32,4,FALSE)&amp;" AS CHAVE_SIMUL, "&amp;C15&amp;" AS CAMPO_SIMUL FROM "&amp;F15&amp;" WHERE "&amp;'0. Instruções'!$D$42&amp;")Y",
"(SELECT "&amp;VLOOKUP(B15,'0. Instruções'!$C$27:$G$32,4,FALSE)&amp;" AS CHAVE_SIMUL1, "&amp;VLOOKUP(B15,'0. Instruções'!$C$27:$G$32,5,FALSE)&amp;" AS CHAVE_SIMUL2, "&amp;C15&amp;" AS CAMPO_SIMUL FROM "&amp;F15&amp;" WHERE "&amp;'0. Instruções'!$D$42&amp;")Y")</f>
        <v>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ambito='PM' AND entidade='00100')Y</v>
      </c>
      <c r="L15" s="32" t="str">
        <f>IF(VLOOKUP(B15,'0. Instruções'!$C$27:$G$32,5,FALSE)=0,
"ON X.CHAVE_IT=Y.CHAVE_SIMUL",
"ON X.CHAVE_IT1=Y.CHAVE_SIMUL1 AND X.CHAVE_IT2=Y.CHAVE_SIMUL2")</f>
        <v>ON X.CHAVE_IT1=Y.CHAVE_SIMUL1 AND X.CHAVE_IT2=Y.CHAVE_SIMUL2</v>
      </c>
      <c r="M15" s="32" t="str">
        <f>+IF(D15="Coerência",+IF(LEFT(H15,5)="FLOAT","SELECT '"&amp;UPPER(B15)&amp;"' AS TABELA, '"&amp;UPPER(D15)&amp;"' AS TIPOLOGIA_TESTE,'"&amp;E15&amp;"' AS TABELA_LT,'"&amp;F15&amp;"' AS TABELA_SIMUL,'"&amp;C15&amp;"'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"&amp;J15&amp;" INNER JOIN "&amp;K15&amp;" "&amp;L15,"SELECT '"&amp;UPPER(B15)&amp;"' AS TABELA, '"&amp;UPPER(D15)&amp;"' AS TIPOLOGIA_TESTE,'"&amp;E15&amp;"' AS TABELA_LT,'"&amp;F15&amp;"' AS TABELA_SIMUL,'"&amp;C15&amp;"'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"&amp;J15&amp;" INNER JOIN "&amp;K15&amp;" "&amp;L15))</f>
        <v>SELECT 'UNIV_OPER' AS TABELA, 'COERÊNCIA' AS TIPOLOGIA_TESTE,'CD_LOAN_TAPES_BCE.LT001_UNIV_OPER' AS TABELA_LT,'BU_LOANTAPE_WORK.LT001_UNIV_OPER' AS TABELA_SIMUL,'tipo_conta'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ambito='PM' AND entidade='00100')Y ON X.CHAVE_IT1=Y.CHAVE_SIMUL1 AND X.CHAVE_IT2=Y.CHAVE_SIMUL2</v>
      </c>
      <c r="N15" s="33" t="str">
        <f t="shared" si="1"/>
        <v>UNION ALL SELECT 'UNIV_OPER' AS TABELA, 'COERÊNCIA' AS TIPOLOGIA_TESTE,'CD_LOAN_TAPES_BCE.LT001_UNIV_OPER' AS TABELA_LT,'BU_LOANTAPE_WORK.LT001_UNIV_OPER' AS TABELA_SIMUL,'tipo_conta'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tipo_conta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tipo_conta AS CAMPO_SIMUL FROM BU_LOANTAPE_WORK.LT001_UNIV_OPER WHERE ref_date='${ref_date}' AND nome_perimetro='Individual Local' AND segmento='ESTR' AND ambito='PM' AND entidade='00100')Y ON X.CHAVE_IT1=Y.CHAVE_SIMUL1 AND X.CHAVE_IT2=Y.CHAVE_SIMUL2</v>
      </c>
      <c r="O15" s="35" t="s">
        <v>35</v>
      </c>
    </row>
    <row r="16" spans="1:29">
      <c r="A16" s="57" t="str">
        <f t="shared" si="0"/>
        <v>UNIV_OPERbruto_imparidade</v>
      </c>
      <c r="B16" s="32" t="s">
        <v>204</v>
      </c>
      <c r="C16" s="32" t="s">
        <v>213</v>
      </c>
      <c r="D16" s="32" t="s">
        <v>5</v>
      </c>
      <c r="E16" s="32" t="str">
        <f>+UPPER('0. Instruções'!$D$35&amp;"."&amp;VLOOKUP(B16,'0. Instruções'!$C$27:$D$32,2,FALSE))</f>
        <v>CD_LOAN_TAPES_BCE.LT001_UNIV_OPER</v>
      </c>
      <c r="F16" s="32" t="str">
        <f>+UPPER('0. Instruções'!$D$36&amp;"."&amp;VLOOKUP(B16,'0. Instruções'!$C$27:$E$32,3,FALSE))</f>
        <v>BU_LOANTAPE_WORK.LT001_UNIV_OPER</v>
      </c>
      <c r="H16" s="32"/>
      <c r="I16" s="32"/>
      <c r="J16" s="32" t="str">
        <f>IF(VLOOKUP(B16,'0. Instruções'!$C$27:$G$32,5,FALSE)=0,
"(SELECT "&amp;VLOOKUP(B16,'0. Instruções'!$C$27:$G$32,4,FALSE)&amp;" AS CHAVE_IT, "&amp;C16&amp;" AS CAMPO_IT FROM "&amp;E16&amp;" WHERE "&amp;'0. Instruções'!$D$43&amp;")X",
"(SELECT "&amp;VLOOKUP(B16,'0. Instruções'!$C$27:$G$32,4,FALSE)&amp;" AS CHAVE_IT1, "&amp;VLOOKUP(B16,'0. Instruções'!$C$27:$G$32,5,FALSE)&amp;" AS CHAVE_IT2, "&amp;C16&amp;" AS CAMPO_IT FROM "&amp;E16&amp;" WHERE "&amp;'0. Instruções'!$D$43&amp;")X")</f>
        <v>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ambito='PM' AND entidade='00100')X</v>
      </c>
      <c r="K16" s="32" t="str">
        <f>IF(VLOOKUP(B16,'0. Instruções'!$C$27:$G$32,5,FALSE)=0,
"(SELECT "&amp;VLOOKUP(B16,'0. Instruções'!$C$27:$G$32,4,FALSE)&amp;" AS CHAVE_SIMUL, "&amp;C16&amp;" AS CAMPO_SIMUL FROM "&amp;F16&amp;" WHERE "&amp;'0. Instruções'!$D$42&amp;")Y",
"(SELECT "&amp;VLOOKUP(B16,'0. Instruções'!$C$27:$G$32,4,FALSE)&amp;" AS CHAVE_SIMUL1, "&amp;VLOOKUP(B16,'0. Instruções'!$C$27:$G$32,5,FALSE)&amp;" AS CHAVE_SIMUL2, "&amp;C16&amp;" AS CAMPO_SIMUL FROM "&amp;F16&amp;" WHERE "&amp;'0. Instruções'!$D$42&amp;")Y")</f>
        <v>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ambito='PM' AND entidade='00100')Y</v>
      </c>
      <c r="L16" s="32" t="str">
        <f>IF(VLOOKUP(B16,'0. Instruções'!$C$27:$G$32,5,FALSE)=0,
"ON X.CHAVE_IT=Y.CHAVE_SIMUL",
"ON X.CHAVE_IT1=Y.CHAVE_SIMUL1 AND X.CHAVE_IT2=Y.CHAVE_SIMUL2")</f>
        <v>ON X.CHAVE_IT1=Y.CHAVE_SIMUL1 AND X.CHAVE_IT2=Y.CHAVE_SIMUL2</v>
      </c>
      <c r="M16" s="32" t="str">
        <f>+IF(D16="Coerência",+IF(LEFT(H16,5)="FLOAT","SELECT '"&amp;UPPER(B16)&amp;"' AS TABELA, '"&amp;UPPER(D16)&amp;"' AS TIPOLOGIA_TESTE,'"&amp;E16&amp;"' AS TABELA_LT,'"&amp;F16&amp;"' AS TABELA_SIMUL,'"&amp;C16&amp;"'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"&amp;J16&amp;" INNER JOIN "&amp;K16&amp;" "&amp;L16,"SELECT '"&amp;UPPER(B16)&amp;"' AS TABELA, '"&amp;UPPER(D16)&amp;"' AS TIPOLOGIA_TESTE,'"&amp;E16&amp;"' AS TABELA_LT,'"&amp;F16&amp;"' AS TABELA_SIMUL,'"&amp;C16&amp;"'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"&amp;J16&amp;" INNER JOIN "&amp;K16&amp;" "&amp;L16))</f>
        <v>SELECT 'UNIV_OPER' AS TABELA, 'COERÊNCIA' AS TIPOLOGIA_TESTE,'CD_LOAN_TAPES_BCE.LT001_UNIV_OPER' AS TABELA_LT,'BU_LOANTAPE_WORK.LT001_UNIV_OPER' AS TABELA_SIMUL,'bruto_imparidade'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ambito='PM' AND entidade='00100')Y ON X.CHAVE_IT1=Y.CHAVE_SIMUL1 AND X.CHAVE_IT2=Y.CHAVE_SIMUL2</v>
      </c>
      <c r="N16" s="33" t="str">
        <f>+"UNION ALL "&amp;M16</f>
        <v>UNION ALL SELECT 'UNIV_OPER' AS TABELA, 'COERÊNCIA' AS TIPOLOGIA_TESTE,'CD_LOAN_TAPES_BCE.LT001_UNIV_OPER' AS TABELA_LT,'BU_LOANTAPE_WORK.LT001_UNIV_OPER' AS TABELA_SIMUL,'bruto_imparidade'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bruto_imparidade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bruto_imparidade AS CAMPO_SIMUL FROM BU_LOANTAPE_WORK.LT001_UNIV_OPER WHERE ref_date='${ref_date}' AND nome_perimetro='Individual Local' AND segmento='ESTR' AND ambito='PM' AND entidade='00100')Y ON X.CHAVE_IT1=Y.CHAVE_SIMUL1 AND X.CHAVE_IT2=Y.CHAVE_SIMUL2</v>
      </c>
      <c r="O16" s="35" t="s">
        <v>35</v>
      </c>
    </row>
    <row r="17" spans="1:15">
      <c r="A17" s="57" t="str">
        <f t="shared" si="0"/>
        <v>UNIV_OPERcomposicao_valor</v>
      </c>
      <c r="B17" s="32" t="s">
        <v>204</v>
      </c>
      <c r="C17" s="32" t="s">
        <v>214</v>
      </c>
      <c r="D17" s="32" t="s">
        <v>5</v>
      </c>
      <c r="E17" s="32" t="str">
        <f>+UPPER('0. Instruções'!$D$35&amp;"."&amp;VLOOKUP(B17,'0. Instruções'!$C$27:$D$32,2,FALSE))</f>
        <v>CD_LOAN_TAPES_BCE.LT001_UNIV_OPER</v>
      </c>
      <c r="F17" s="32" t="str">
        <f>+UPPER('0. Instruções'!$D$36&amp;"."&amp;VLOOKUP(B17,'0. Instruções'!$C$27:$E$32,3,FALSE))</f>
        <v>BU_LOANTAPE_WORK.LT001_UNIV_OPER</v>
      </c>
      <c r="H17" s="32"/>
      <c r="I17" s="32"/>
      <c r="J17" s="32" t="str">
        <f>IF(VLOOKUP(B17,'0. Instruções'!$C$27:$G$32,5,FALSE)=0,
"(SELECT "&amp;VLOOKUP(B17,'0. Instruções'!$C$27:$G$32,4,FALSE)&amp;" AS CHAVE_IT, "&amp;C17&amp;" AS CAMPO_IT FROM "&amp;E17&amp;" WHERE "&amp;'0. Instruções'!$D$43&amp;")X",
"(SELECT "&amp;VLOOKUP(B17,'0. Instruções'!$C$27:$G$32,4,FALSE)&amp;" AS CHAVE_IT1, "&amp;VLOOKUP(B17,'0. Instruções'!$C$27:$G$32,5,FALSE)&amp;" AS CHAVE_IT2, "&amp;C17&amp;" AS CAMPO_IT FROM "&amp;E17&amp;" WHERE "&amp;'0. Instruções'!$D$43&amp;")X")</f>
        <v>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ambito='PM' AND entidade='00100')X</v>
      </c>
      <c r="K17" s="32" t="str">
        <f>IF(VLOOKUP(B17,'0. Instruções'!$C$27:$G$32,5,FALSE)=0,
"(SELECT "&amp;VLOOKUP(B17,'0. Instruções'!$C$27:$G$32,4,FALSE)&amp;" AS CHAVE_SIMUL, "&amp;C17&amp;" AS CAMPO_SIMUL FROM "&amp;F17&amp;" WHERE "&amp;'0. Instruções'!$D$42&amp;")Y",
"(SELECT "&amp;VLOOKUP(B17,'0. Instruções'!$C$27:$G$32,4,FALSE)&amp;" AS CHAVE_SIMUL1, "&amp;VLOOKUP(B17,'0. Instruções'!$C$27:$G$32,5,FALSE)&amp;" AS CHAVE_SIMUL2, "&amp;C17&amp;" AS CAMPO_SIMUL FROM "&amp;F17&amp;" WHERE "&amp;'0. Instruções'!$D$42&amp;")Y")</f>
        <v>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ambito='PM' AND entidade='00100')Y</v>
      </c>
      <c r="L17" s="32" t="str">
        <f>IF(VLOOKUP(B17,'0. Instruções'!$C$27:$G$32,5,FALSE)=0,
"ON X.CHAVE_IT=Y.CHAVE_SIMUL",
"ON X.CHAVE_IT1=Y.CHAVE_SIMUL1 AND X.CHAVE_IT2=Y.CHAVE_SIMUL2")</f>
        <v>ON X.CHAVE_IT1=Y.CHAVE_SIMUL1 AND X.CHAVE_IT2=Y.CHAVE_SIMUL2</v>
      </c>
      <c r="M17" s="32" t="str">
        <f>+IF(D17="Coerência",+IF(LEFT(H17,5)="FLOAT","SELECT '"&amp;UPPER(B17)&amp;"' AS TABELA, '"&amp;UPPER(D17)&amp;"' AS TIPOLOGIA_TESTE,'"&amp;E17&amp;"' AS TABELA_LT,'"&amp;F17&amp;"' AS TABELA_SIMUL,'"&amp;C17&amp;"'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"&amp;J17&amp;" INNER JOIN "&amp;K17&amp;" "&amp;L17,"SELECT '"&amp;UPPER(B17)&amp;"' AS TABELA, '"&amp;UPPER(D17)&amp;"' AS TIPOLOGIA_TESTE,'"&amp;E17&amp;"' AS TABELA_LT,'"&amp;F17&amp;"' AS TABELA_SIMUL,'"&amp;C17&amp;"'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"&amp;J17&amp;" INNER JOIN "&amp;K17&amp;" "&amp;L17))</f>
        <v>SELECT 'UNIV_OPER' AS TABELA, 'COERÊNCIA' AS TIPOLOGIA_TESTE,'CD_LOAN_TAPES_BCE.LT001_UNIV_OPER' AS TABELA_LT,'BU_LOANTAPE_WORK.LT001_UNIV_OPER' AS TABELA_SIMUL,'composicao_valor'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ambito='PM' AND entidade='00100')Y ON X.CHAVE_IT1=Y.CHAVE_SIMUL1 AND X.CHAVE_IT2=Y.CHAVE_SIMUL2</v>
      </c>
      <c r="N17" s="33" t="str">
        <f t="shared" si="1"/>
        <v>UNION ALL SELECT 'UNIV_OPER' AS TABELA, 'COERÊNCIA' AS TIPOLOGIA_TESTE,'CD_LOAN_TAPES_BCE.LT001_UNIV_OPER' AS TABELA_LT,'BU_LOANTAPE_WORK.LT001_UNIV_OPER' AS TABELA_SIMUL,'composicao_valor'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composicao_valor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composicao_valor AS CAMPO_SIMUL FROM BU_LOANTAPE_WORK.LT001_UNIV_OPER WHERE ref_date='${ref_date}' AND nome_perimetro='Individual Local' AND segmento='ESTR' AND ambito='PM' AND entidade='00100')Y ON X.CHAVE_IT1=Y.CHAVE_SIMUL1 AND X.CHAVE_IT2=Y.CHAVE_SIMUL2</v>
      </c>
      <c r="O17" s="35" t="s">
        <v>35</v>
      </c>
    </row>
    <row r="18" spans="1:15">
      <c r="A18" s="57" t="str">
        <f t="shared" si="0"/>
        <v>UNIV_OPERcolateral</v>
      </c>
      <c r="B18" s="32" t="s">
        <v>204</v>
      </c>
      <c r="C18" s="32" t="s">
        <v>215</v>
      </c>
      <c r="D18" s="32" t="s">
        <v>5</v>
      </c>
      <c r="E18" s="32" t="str">
        <f>+UPPER('0. Instruções'!$D$35&amp;"."&amp;VLOOKUP(B18,'0. Instruções'!$C$27:$D$32,2,FALSE))</f>
        <v>CD_LOAN_TAPES_BCE.LT001_UNIV_OPER</v>
      </c>
      <c r="F18" s="32" t="str">
        <f>+UPPER('0. Instruções'!$D$36&amp;"."&amp;VLOOKUP(B18,'0. Instruções'!$C$27:$E$32,3,FALSE))</f>
        <v>BU_LOANTAPE_WORK.LT001_UNIV_OPER</v>
      </c>
      <c r="H18" s="32"/>
      <c r="I18" s="32"/>
      <c r="J18" s="32" t="str">
        <f>IF(VLOOKUP(B18,'0. Instruções'!$C$27:$G$32,5,FALSE)=0,
"(SELECT "&amp;VLOOKUP(B18,'0. Instruções'!$C$27:$G$32,4,FALSE)&amp;" AS CHAVE_IT, "&amp;C18&amp;" AS CAMPO_IT FROM "&amp;E18&amp;" WHERE "&amp;'0. Instruções'!$D$43&amp;")X",
"(SELECT "&amp;VLOOKUP(B18,'0. Instruções'!$C$27:$G$32,4,FALSE)&amp;" AS CHAVE_IT1, "&amp;VLOOKUP(B18,'0. Instruções'!$C$27:$G$32,5,FALSE)&amp;" AS CHAVE_IT2, "&amp;C18&amp;" AS CAMPO_IT FROM "&amp;E18&amp;" WHERE "&amp;'0. Instruções'!$D$43&amp;")X")</f>
        <v>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ambito='PM' AND entidade='00100')X</v>
      </c>
      <c r="K18" s="32" t="str">
        <f>IF(VLOOKUP(B18,'0. Instruções'!$C$27:$G$32,5,FALSE)=0,
"(SELECT "&amp;VLOOKUP(B18,'0. Instruções'!$C$27:$G$32,4,FALSE)&amp;" AS CHAVE_SIMUL, "&amp;C18&amp;" AS CAMPO_SIMUL FROM "&amp;F18&amp;" WHERE "&amp;'0. Instruções'!$D$42&amp;")Y",
"(SELECT "&amp;VLOOKUP(B18,'0. Instruções'!$C$27:$G$32,4,FALSE)&amp;" AS CHAVE_SIMUL1, "&amp;VLOOKUP(B18,'0. Instruções'!$C$27:$G$32,5,FALSE)&amp;" AS CHAVE_SIMUL2, "&amp;C18&amp;" AS CAMPO_SIMUL FROM "&amp;F18&amp;" WHERE "&amp;'0. Instruções'!$D$42&amp;")Y")</f>
        <v>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ambito='PM' AND entidade='00100')Y</v>
      </c>
      <c r="L18" s="32" t="str">
        <f>IF(VLOOKUP(B18,'0. Instruções'!$C$27:$G$32,5,FALSE)=0,
"ON X.CHAVE_IT=Y.CHAVE_SIMUL",
"ON X.CHAVE_IT1=Y.CHAVE_SIMUL1 AND X.CHAVE_IT2=Y.CHAVE_SIMUL2")</f>
        <v>ON X.CHAVE_IT1=Y.CHAVE_SIMUL1 AND X.CHAVE_IT2=Y.CHAVE_SIMUL2</v>
      </c>
      <c r="M18" s="32" t="str">
        <f>+IF(D18="Coerência",+IF(LEFT(H18,5)="FLOAT","SELECT '"&amp;UPPER(B18)&amp;"' AS TABELA, '"&amp;UPPER(D18)&amp;"' AS TIPOLOGIA_TESTE,'"&amp;E18&amp;"' AS TABELA_LT,'"&amp;F18&amp;"' AS TABELA_SIMUL,'"&amp;C18&amp;"'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"&amp;J18&amp;" INNER JOIN "&amp;K18&amp;" "&amp;L18,"SELECT '"&amp;UPPER(B18)&amp;"' AS TABELA, '"&amp;UPPER(D18)&amp;"' AS TIPOLOGIA_TESTE,'"&amp;E18&amp;"' AS TABELA_LT,'"&amp;F18&amp;"' AS TABELA_SIMUL,'"&amp;C18&amp;"'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"&amp;J18&amp;" INNER JOIN "&amp;K18&amp;" "&amp;L18))</f>
        <v>SELECT 'UNIV_OPER' AS TABELA, 'COERÊNCIA' AS TIPOLOGIA_TESTE,'CD_LOAN_TAPES_BCE.LT001_UNIV_OPER' AS TABELA_LT,'BU_LOANTAPE_WORK.LT001_UNIV_OPER' AS TABELA_SIMUL,'colateral'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ambito='PM' AND entidade='00100')Y ON X.CHAVE_IT1=Y.CHAVE_SIMUL1 AND X.CHAVE_IT2=Y.CHAVE_SIMUL2</v>
      </c>
      <c r="N18" s="33" t="str">
        <f t="shared" si="1"/>
        <v>UNION ALL SELECT 'UNIV_OPER' AS TABELA, 'COERÊNCIA' AS TIPOLOGIA_TESTE,'CD_LOAN_TAPES_BCE.LT001_UNIV_OPER' AS TABELA_LT,'BU_LOANTAPE_WORK.LT001_UNIV_OPER' AS TABELA_SIMUL,'colateral'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colateral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colateral AS CAMPO_SIMUL FROM BU_LOANTAPE_WORK.LT001_UNIV_OPER WHERE ref_date='${ref_date}' AND nome_perimetro='Individual Local' AND segmento='ESTR' AND ambito='PM' AND entidade='00100')Y ON X.CHAVE_IT1=Y.CHAVE_SIMUL1 AND X.CHAVE_IT2=Y.CHAVE_SIMUL2</v>
      </c>
      <c r="O18" s="35" t="s">
        <v>35</v>
      </c>
    </row>
    <row r="19" spans="1:15">
      <c r="A19" s="57" t="str">
        <f t="shared" si="0"/>
        <v>UNIV_OPERflag_poci</v>
      </c>
      <c r="B19" s="32" t="s">
        <v>204</v>
      </c>
      <c r="C19" s="32" t="s">
        <v>216</v>
      </c>
      <c r="D19" s="32" t="s">
        <v>5</v>
      </c>
      <c r="E19" s="32" t="str">
        <f>+UPPER('0. Instruções'!$D$35&amp;"."&amp;VLOOKUP(B19,'0. Instruções'!$C$27:$D$32,2,FALSE))</f>
        <v>CD_LOAN_TAPES_BCE.LT001_UNIV_OPER</v>
      </c>
      <c r="F19" s="32" t="str">
        <f>+UPPER('0. Instruções'!$D$36&amp;"."&amp;VLOOKUP(B19,'0. Instruções'!$C$27:$E$32,3,FALSE))</f>
        <v>BU_LOANTAPE_WORK.LT001_UNIV_OPER</v>
      </c>
      <c r="H19" s="32"/>
      <c r="I19" s="32"/>
      <c r="J19" s="32" t="str">
        <f>IF(VLOOKUP(B19,'0. Instruções'!$C$27:$G$32,5,FALSE)=0,
"(SELECT "&amp;VLOOKUP(B19,'0. Instruções'!$C$27:$G$32,4,FALSE)&amp;" AS CHAVE_IT, "&amp;C19&amp;" AS CAMPO_IT FROM "&amp;E19&amp;" WHERE "&amp;'0. Instruções'!$D$43&amp;")X",
"(SELECT "&amp;VLOOKUP(B19,'0. Instruções'!$C$27:$G$32,4,FALSE)&amp;" AS CHAVE_IT1, "&amp;VLOOKUP(B19,'0. Instruções'!$C$27:$G$32,5,FALSE)&amp;" AS CHAVE_IT2, "&amp;C19&amp;" AS CAMPO_IT FROM "&amp;E19&amp;" WHERE "&amp;'0. Instruções'!$D$43&amp;")X")</f>
        <v>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ambito='PM' AND entidade='00100')X</v>
      </c>
      <c r="K19" s="32" t="str">
        <f>IF(VLOOKUP(B19,'0. Instruções'!$C$27:$G$32,5,FALSE)=0,
"(SELECT "&amp;VLOOKUP(B19,'0. Instruções'!$C$27:$G$32,4,FALSE)&amp;" AS CHAVE_SIMUL, "&amp;C19&amp;" AS CAMPO_SIMUL FROM "&amp;F19&amp;" WHERE "&amp;'0. Instruções'!$D$42&amp;")Y",
"(SELECT "&amp;VLOOKUP(B19,'0. Instruções'!$C$27:$G$32,4,FALSE)&amp;" AS CHAVE_SIMUL1, "&amp;VLOOKUP(B19,'0. Instruções'!$C$27:$G$32,5,FALSE)&amp;" AS CHAVE_SIMUL2, "&amp;C19&amp;" AS CAMPO_SIMUL FROM "&amp;F19&amp;" WHERE "&amp;'0. Instruções'!$D$42&amp;")Y")</f>
        <v>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ambito='PM' AND entidade='00100')Y</v>
      </c>
      <c r="L19" s="32" t="str">
        <f>IF(VLOOKUP(B19,'0. Instruções'!$C$27:$G$32,5,FALSE)=0,
"ON X.CHAVE_IT=Y.CHAVE_SIMUL",
"ON X.CHAVE_IT1=Y.CHAVE_SIMUL1 AND X.CHAVE_IT2=Y.CHAVE_SIMUL2")</f>
        <v>ON X.CHAVE_IT1=Y.CHAVE_SIMUL1 AND X.CHAVE_IT2=Y.CHAVE_SIMUL2</v>
      </c>
      <c r="M19" s="32" t="str">
        <f>+IF(D19="Coerência",+IF(LEFT(H19,5)="FLOAT","SELECT '"&amp;UPPER(B19)&amp;"' AS TABELA, '"&amp;UPPER(D19)&amp;"' AS TIPOLOGIA_TESTE,'"&amp;E19&amp;"' AS TABELA_LT,'"&amp;F19&amp;"' AS TABELA_SIMUL,'"&amp;C19&amp;"'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"&amp;J19&amp;" INNER JOIN "&amp;K19&amp;" "&amp;L19,"SELECT '"&amp;UPPER(B19)&amp;"' AS TABELA, '"&amp;UPPER(D19)&amp;"' AS TIPOLOGIA_TESTE,'"&amp;E19&amp;"' AS TABELA_LT,'"&amp;F19&amp;"' AS TABELA_SIMUL,'"&amp;C19&amp;"'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"&amp;J19&amp;" INNER JOIN "&amp;K19&amp;" "&amp;L19))</f>
        <v>SELECT 'UNIV_OPER' AS TABELA, 'COERÊNCIA' AS TIPOLOGIA_TESTE,'CD_LOAN_TAPES_BCE.LT001_UNIV_OPER' AS TABELA_LT,'BU_LOANTAPE_WORK.LT001_UNIV_OPER' AS TABELA_SIMUL,'flag_poci'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ambito='PM' AND entidade='00100')Y ON X.CHAVE_IT1=Y.CHAVE_SIMUL1 AND X.CHAVE_IT2=Y.CHAVE_SIMUL2</v>
      </c>
      <c r="N19" s="33" t="str">
        <f t="shared" si="1"/>
        <v>UNION ALL SELECT 'UNIV_OPER' AS TABELA, 'COERÊNCIA' AS TIPOLOGIA_TESTE,'CD_LOAN_TAPES_BCE.LT001_UNIV_OPER' AS TABELA_LT,'BU_LOANTAPE_WORK.LT001_UNIV_OPER' AS TABELA_SIMUL,'flag_poci'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flag_poci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flag_poci AS CAMPO_SIMUL FROM BU_LOANTAPE_WORK.LT001_UNIV_OPER WHERE ref_date='${ref_date}' AND nome_perimetro='Individual Local' AND segmento='ESTR' AND ambito='PM' AND entidade='00100')Y ON X.CHAVE_IT1=Y.CHAVE_SIMUL1 AND X.CHAVE_IT2=Y.CHAVE_SIMUL2</v>
      </c>
      <c r="O19" s="35" t="s">
        <v>35</v>
      </c>
    </row>
    <row r="20" spans="1:15">
      <c r="A20" s="57" t="str">
        <f t="shared" si="0"/>
        <v>UNIV_OPERpurpose_code</v>
      </c>
      <c r="B20" s="32" t="s">
        <v>204</v>
      </c>
      <c r="C20" s="32" t="s">
        <v>217</v>
      </c>
      <c r="D20" s="32" t="s">
        <v>5</v>
      </c>
      <c r="E20" s="32" t="str">
        <f>+UPPER('0. Instruções'!$D$35&amp;"."&amp;VLOOKUP(B20,'0. Instruções'!$C$27:$D$32,2,FALSE))</f>
        <v>CD_LOAN_TAPES_BCE.LT001_UNIV_OPER</v>
      </c>
      <c r="F20" s="32" t="str">
        <f>+UPPER('0. Instruções'!$D$36&amp;"."&amp;VLOOKUP(B20,'0. Instruções'!$C$27:$E$32,3,FALSE))</f>
        <v>BU_LOANTAPE_WORK.LT001_UNIV_OPER</v>
      </c>
      <c r="H20" s="32"/>
      <c r="I20" s="32"/>
      <c r="J20" s="32" t="str">
        <f>IF(VLOOKUP(B20,'0. Instruções'!$C$27:$G$32,5,FALSE)=0,
"(SELECT "&amp;VLOOKUP(B20,'0. Instruções'!$C$27:$G$32,4,FALSE)&amp;" AS CHAVE_IT, "&amp;C20&amp;" AS CAMPO_IT FROM "&amp;E20&amp;" WHERE "&amp;'0. Instruções'!$D$43&amp;")X",
"(SELECT "&amp;VLOOKUP(B20,'0. Instruções'!$C$27:$G$32,4,FALSE)&amp;" AS CHAVE_IT1, "&amp;VLOOKUP(B20,'0. Instruções'!$C$27:$G$32,5,FALSE)&amp;" AS CHAVE_IT2, "&amp;C20&amp;" AS CAMPO_IT FROM "&amp;E20&amp;" WHERE "&amp;'0. Instruções'!$D$43&amp;")X")</f>
        <v>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ambito='PM' AND entidade='00100')X</v>
      </c>
      <c r="K20" s="32" t="str">
        <f>IF(VLOOKUP(B20,'0. Instruções'!$C$27:$G$32,5,FALSE)=0,
"(SELECT "&amp;VLOOKUP(B20,'0. Instruções'!$C$27:$G$32,4,FALSE)&amp;" AS CHAVE_SIMUL, "&amp;C20&amp;" AS CAMPO_SIMUL FROM "&amp;F20&amp;" WHERE "&amp;'0. Instruções'!$D$42&amp;")Y",
"(SELECT "&amp;VLOOKUP(B20,'0. Instruções'!$C$27:$G$32,4,FALSE)&amp;" AS CHAVE_SIMUL1, "&amp;VLOOKUP(B20,'0. Instruções'!$C$27:$G$32,5,FALSE)&amp;" AS CHAVE_SIMUL2, "&amp;C20&amp;" AS CAMPO_SIMUL FROM "&amp;F20&amp;" WHERE "&amp;'0. Instruções'!$D$42&amp;")Y")</f>
        <v>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ambito='PM' AND entidade='00100')Y</v>
      </c>
      <c r="L20" s="32" t="str">
        <f>IF(VLOOKUP(B20,'0. Instruções'!$C$27:$G$32,5,FALSE)=0,
"ON X.CHAVE_IT=Y.CHAVE_SIMUL",
"ON X.CHAVE_IT1=Y.CHAVE_SIMUL1 AND X.CHAVE_IT2=Y.CHAVE_SIMUL2")</f>
        <v>ON X.CHAVE_IT1=Y.CHAVE_SIMUL1 AND X.CHAVE_IT2=Y.CHAVE_SIMUL2</v>
      </c>
      <c r="M20" s="32" t="str">
        <f>+IF(D20="Coerência",+IF(LEFT(H20,5)="FLOAT","SELECT '"&amp;UPPER(B20)&amp;"' AS TABELA, '"&amp;UPPER(D20)&amp;"' AS TIPOLOGIA_TESTE,'"&amp;E20&amp;"' AS TABELA_LT,'"&amp;F20&amp;"' AS TABELA_SIMUL,'"&amp;C20&amp;"'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"&amp;J20&amp;" INNER JOIN "&amp;K20&amp;" "&amp;L20,"SELECT '"&amp;UPPER(B20)&amp;"' AS TABELA, '"&amp;UPPER(D20)&amp;"' AS TIPOLOGIA_TESTE,'"&amp;E20&amp;"' AS TABELA_LT,'"&amp;F20&amp;"' AS TABELA_SIMUL,'"&amp;C20&amp;"'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"&amp;J20&amp;" INNER JOIN "&amp;K20&amp;" "&amp;L20))</f>
        <v>SELECT 'UNIV_OPER' AS TABELA, 'COERÊNCIA' AS TIPOLOGIA_TESTE,'CD_LOAN_TAPES_BCE.LT001_UNIV_OPER' AS TABELA_LT,'BU_LOANTAPE_WORK.LT001_UNIV_OPER' AS TABELA_SIMUL,'purpose_code'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ambito='PM' AND entidade='00100')Y ON X.CHAVE_IT1=Y.CHAVE_SIMUL1 AND X.CHAVE_IT2=Y.CHAVE_SIMUL2</v>
      </c>
      <c r="N20" s="33" t="str">
        <f t="shared" si="1"/>
        <v>UNION ALL SELECT 'UNIV_OPER' AS TABELA, 'COERÊNCIA' AS TIPOLOGIA_TESTE,'CD_LOAN_TAPES_BCE.LT001_UNIV_OPER' AS TABELA_LT,'BU_LOANTAPE_WORK.LT001_UNIV_OPER' AS TABELA_SIMUL,'purpose_code'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purpose_code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purpose_code AS CAMPO_SIMUL FROM BU_LOANTAPE_WORK.LT001_UNIV_OPER WHERE ref_date='${ref_date}' AND nome_perimetro='Individual Local' AND segmento='ESTR' AND ambito='PM' AND entidade='00100')Y ON X.CHAVE_IT1=Y.CHAVE_SIMUL1 AND X.CHAVE_IT2=Y.CHAVE_SIMUL2</v>
      </c>
      <c r="O20" s="35" t="s">
        <v>35</v>
      </c>
    </row>
    <row r="21" spans="1:15">
      <c r="A21" s="57" t="str">
        <f t="shared" si="0"/>
        <v>UNIV_OPERcod_empr_pme</v>
      </c>
      <c r="B21" s="32" t="s">
        <v>204</v>
      </c>
      <c r="C21" s="32" t="s">
        <v>218</v>
      </c>
      <c r="D21" s="32" t="s">
        <v>5</v>
      </c>
      <c r="E21" s="32" t="str">
        <f>+UPPER('0. Instruções'!$D$35&amp;"."&amp;VLOOKUP(B21,'0. Instruções'!$C$27:$D$32,2,FALSE))</f>
        <v>CD_LOAN_TAPES_BCE.LT001_UNIV_OPER</v>
      </c>
      <c r="F21" s="32" t="str">
        <f>+UPPER('0. Instruções'!$D$36&amp;"."&amp;VLOOKUP(B21,'0. Instruções'!$C$27:$E$32,3,FALSE))</f>
        <v>BU_LOANTAPE_WORK.LT001_UNIV_OPER</v>
      </c>
      <c r="H21" s="32"/>
      <c r="I21" s="32"/>
      <c r="J21" s="32" t="str">
        <f>IF(VLOOKUP(B21,'0. Instruções'!$C$27:$G$32,5,FALSE)=0,
"(SELECT "&amp;VLOOKUP(B21,'0. Instruções'!$C$27:$G$32,4,FALSE)&amp;" AS CHAVE_IT, "&amp;C21&amp;" AS CAMPO_IT FROM "&amp;E21&amp;" WHERE "&amp;'0. Instruções'!$D$43&amp;")X",
"(SELECT "&amp;VLOOKUP(B21,'0. Instruções'!$C$27:$G$32,4,FALSE)&amp;" AS CHAVE_IT1, "&amp;VLOOKUP(B21,'0. Instruções'!$C$27:$G$32,5,FALSE)&amp;" AS CHAVE_IT2, "&amp;C21&amp;" AS CAMPO_IT FROM "&amp;E21&amp;" WHERE "&amp;'0. Instruções'!$D$43&amp;")X")</f>
        <v>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ambito='PM' AND entidade='00100')X</v>
      </c>
      <c r="K21" s="32" t="str">
        <f>IF(VLOOKUP(B21,'0. Instruções'!$C$27:$G$32,5,FALSE)=0,
"(SELECT "&amp;VLOOKUP(B21,'0. Instruções'!$C$27:$G$32,4,FALSE)&amp;" AS CHAVE_SIMUL, "&amp;C21&amp;" AS CAMPO_SIMUL FROM "&amp;F21&amp;" WHERE "&amp;'0. Instruções'!$D$42&amp;")Y",
"(SELECT "&amp;VLOOKUP(B21,'0. Instruções'!$C$27:$G$32,4,FALSE)&amp;" AS CHAVE_SIMUL1, "&amp;VLOOKUP(B21,'0. Instruções'!$C$27:$G$32,5,FALSE)&amp;" AS CHAVE_SIMUL2, "&amp;C21&amp;" AS CAMPO_SIMUL FROM "&amp;F21&amp;" WHERE "&amp;'0. Instruções'!$D$42&amp;")Y")</f>
        <v>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ambito='PM' AND entidade='00100')Y</v>
      </c>
      <c r="L21" s="32" t="str">
        <f>IF(VLOOKUP(B21,'0. Instruções'!$C$27:$G$32,5,FALSE)=0,
"ON X.CHAVE_IT=Y.CHAVE_SIMUL",
"ON X.CHAVE_IT1=Y.CHAVE_SIMUL1 AND X.CHAVE_IT2=Y.CHAVE_SIMUL2")</f>
        <v>ON X.CHAVE_IT1=Y.CHAVE_SIMUL1 AND X.CHAVE_IT2=Y.CHAVE_SIMUL2</v>
      </c>
      <c r="M21" s="32" t="str">
        <f>+IF(D21="Coerência",+IF(LEFT(H21,5)="FLOAT","SELECT '"&amp;UPPER(B21)&amp;"' AS TABELA, '"&amp;UPPER(D21)&amp;"' AS TIPOLOGIA_TESTE,'"&amp;E21&amp;"' AS TABELA_LT,'"&amp;F21&amp;"' AS TABELA_SIMUL,'"&amp;C21&amp;"'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"&amp;J21&amp;" INNER JOIN "&amp;K21&amp;" "&amp;L21,"SELECT '"&amp;UPPER(B21)&amp;"' AS TABELA, '"&amp;UPPER(D21)&amp;"' AS TIPOLOGIA_TESTE,'"&amp;E21&amp;"' AS TABELA_LT,'"&amp;F21&amp;"' AS TABELA_SIMUL,'"&amp;C21&amp;"'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"&amp;J21&amp;" INNER JOIN "&amp;K21&amp;" "&amp;L21))</f>
        <v>SELECT 'UNIV_OPER' AS TABELA, 'COERÊNCIA' AS TIPOLOGIA_TESTE,'CD_LOAN_TAPES_BCE.LT001_UNIV_OPER' AS TABELA_LT,'BU_LOANTAPE_WORK.LT001_UNIV_OPER' AS TABELA_SIMUL,'cod_empr_pme'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ambito='PM' AND entidade='00100')Y ON X.CHAVE_IT1=Y.CHAVE_SIMUL1 AND X.CHAVE_IT2=Y.CHAVE_SIMUL2</v>
      </c>
      <c r="N21" s="33" t="str">
        <f t="shared" si="1"/>
        <v>UNION ALL SELECT 'UNIV_OPER' AS TABELA, 'COERÊNCIA' AS TIPOLOGIA_TESTE,'CD_LOAN_TAPES_BCE.LT001_UNIV_OPER' AS TABELA_LT,'BU_LOANTAPE_WORK.LT001_UNIV_OPER' AS TABELA_SIMUL,'cod_empr_pme'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cod_empr_pme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cod_empr_pme AS CAMPO_SIMUL FROM BU_LOANTAPE_WORK.LT001_UNIV_OPER WHERE ref_date='${ref_date}' AND nome_perimetro='Individual Local' AND segmento='ESTR' AND ambito='PM' AND entidade='00100')Y ON X.CHAVE_IT1=Y.CHAVE_SIMUL1 AND X.CHAVE_IT2=Y.CHAVE_SIMUL2</v>
      </c>
      <c r="O21" s="35" t="s">
        <v>35</v>
      </c>
    </row>
    <row r="22" spans="1:15">
      <c r="A22" s="57" t="str">
        <f t="shared" si="0"/>
        <v>UNIV_OPERstage</v>
      </c>
      <c r="B22" s="32" t="s">
        <v>204</v>
      </c>
      <c r="C22" s="32" t="s">
        <v>219</v>
      </c>
      <c r="D22" s="32" t="s">
        <v>5</v>
      </c>
      <c r="E22" s="32" t="str">
        <f>+UPPER('0. Instruções'!$D$35&amp;"."&amp;VLOOKUP(B22,'0. Instruções'!$C$27:$D$32,2,FALSE))</f>
        <v>CD_LOAN_TAPES_BCE.LT001_UNIV_OPER</v>
      </c>
      <c r="F22" s="32" t="str">
        <f>+UPPER('0. Instruções'!$D$36&amp;"."&amp;VLOOKUP(B22,'0. Instruções'!$C$27:$E$32,3,FALSE))</f>
        <v>BU_LOANTAPE_WORK.LT001_UNIV_OPER</v>
      </c>
      <c r="H22" s="32"/>
      <c r="I22" s="32"/>
      <c r="J22" s="32" t="str">
        <f>IF(VLOOKUP(B22,'0. Instruções'!$C$27:$G$32,5,FALSE)=0,
"(SELECT "&amp;VLOOKUP(B22,'0. Instruções'!$C$27:$G$32,4,FALSE)&amp;" AS CHAVE_IT, "&amp;C22&amp;" AS CAMPO_IT FROM "&amp;E22&amp;" WHERE "&amp;'0. Instruções'!$D$43&amp;")X",
"(SELECT "&amp;VLOOKUP(B22,'0. Instruções'!$C$27:$G$32,4,FALSE)&amp;" AS CHAVE_IT1, "&amp;VLOOKUP(B22,'0. Instruções'!$C$27:$G$32,5,FALSE)&amp;" AS CHAVE_IT2, "&amp;C22&amp;" AS CAMPO_IT FROM "&amp;E22&amp;" WHERE "&amp;'0. Instruções'!$D$43&amp;")X")</f>
        <v>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ambito='PM' AND entidade='00100')X</v>
      </c>
      <c r="K22" s="32" t="str">
        <f>IF(VLOOKUP(B22,'0. Instruções'!$C$27:$G$32,5,FALSE)=0,
"(SELECT "&amp;VLOOKUP(B22,'0. Instruções'!$C$27:$G$32,4,FALSE)&amp;" AS CHAVE_SIMUL, "&amp;C22&amp;" AS CAMPO_SIMUL FROM "&amp;F22&amp;" WHERE "&amp;'0. Instruções'!$D$42&amp;")Y",
"(SELECT "&amp;VLOOKUP(B22,'0. Instruções'!$C$27:$G$32,4,FALSE)&amp;" AS CHAVE_SIMUL1, "&amp;VLOOKUP(B22,'0. Instruções'!$C$27:$G$32,5,FALSE)&amp;" AS CHAVE_SIMUL2, "&amp;C22&amp;" AS CAMPO_SIMUL FROM "&amp;F22&amp;" WHERE "&amp;'0. Instruções'!$D$42&amp;")Y")</f>
        <v>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ambito='PM' AND entidade='00100')Y</v>
      </c>
      <c r="L22" s="32" t="str">
        <f>IF(VLOOKUP(B22,'0. Instruções'!$C$27:$G$32,5,FALSE)=0,
"ON X.CHAVE_IT=Y.CHAVE_SIMUL",
"ON X.CHAVE_IT1=Y.CHAVE_SIMUL1 AND X.CHAVE_IT2=Y.CHAVE_SIMUL2")</f>
        <v>ON X.CHAVE_IT1=Y.CHAVE_SIMUL1 AND X.CHAVE_IT2=Y.CHAVE_SIMUL2</v>
      </c>
      <c r="M22" s="32" t="str">
        <f>+IF(D22="Coerência",+IF(LEFT(H22,5)="FLOAT","SELECT '"&amp;UPPER(B22)&amp;"' AS TABELA, '"&amp;UPPER(D22)&amp;"' AS TIPOLOGIA_TESTE,'"&amp;E22&amp;"' AS TABELA_LT,'"&amp;F22&amp;"' AS TABELA_SIMUL,'"&amp;C22&amp;"'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"&amp;J22&amp;" INNER JOIN "&amp;K22&amp;" "&amp;L22,"SELECT '"&amp;UPPER(B22)&amp;"' AS TABELA, '"&amp;UPPER(D22)&amp;"' AS TIPOLOGIA_TESTE,'"&amp;E22&amp;"' AS TABELA_LT,'"&amp;F22&amp;"' AS TABELA_SIMUL,'"&amp;C22&amp;"'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"&amp;J22&amp;" INNER JOIN "&amp;K22&amp;" "&amp;L22))</f>
        <v>SELECT 'UNIV_OPER' AS TABELA, 'COERÊNCIA' AS TIPOLOGIA_TESTE,'CD_LOAN_TAPES_BCE.LT001_UNIV_OPER' AS TABELA_LT,'BU_LOANTAPE_WORK.LT001_UNIV_OPER' AS TABELA_SIMUL,'stage'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ambito='PM' AND entidade='00100')Y ON X.CHAVE_IT1=Y.CHAVE_SIMUL1 AND X.CHAVE_IT2=Y.CHAVE_SIMUL2</v>
      </c>
      <c r="N22" s="33" t="str">
        <f t="shared" si="1"/>
        <v>UNION ALL SELECT 'UNIV_OPER' AS TABELA, 'COERÊNCIA' AS TIPOLOGIA_TESTE,'CD_LOAN_TAPES_BCE.LT001_UNIV_OPER' AS TABELA_LT,'BU_LOANTAPE_WORK.LT001_UNIV_OPER' AS TABELA_SIMUL,'stage'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stage AS CAMPO_SIMUL FROM BU_LOANTAPE_WORK.LT001_UNIV_OPER WHERE ref_date='${ref_date}' AND nome_perimetro='Individual Local' AND segmento='ESTR' AND ambito='PM' AND entidade='00100')Y ON X.CHAVE_IT1=Y.CHAVE_SIMUL1 AND X.CHAVE_IT2=Y.CHAVE_SIMUL2</v>
      </c>
      <c r="O22" s="35" t="s">
        <v>35</v>
      </c>
    </row>
    <row r="23" spans="1:15">
      <c r="A23" s="57" t="str">
        <f t="shared" si="0"/>
        <v>UNIV_OPERstage_atual</v>
      </c>
      <c r="B23" s="32" t="s">
        <v>204</v>
      </c>
      <c r="C23" s="32" t="s">
        <v>220</v>
      </c>
      <c r="D23" s="32" t="s">
        <v>5</v>
      </c>
      <c r="E23" s="32" t="str">
        <f>+UPPER('0. Instruções'!$D$35&amp;"."&amp;VLOOKUP(B23,'0. Instruções'!$C$27:$D$32,2,FALSE))</f>
        <v>CD_LOAN_TAPES_BCE.LT001_UNIV_OPER</v>
      </c>
      <c r="F23" s="32" t="str">
        <f>+UPPER('0. Instruções'!$D$36&amp;"."&amp;VLOOKUP(B23,'0. Instruções'!$C$27:$E$32,3,FALSE))</f>
        <v>BU_LOANTAPE_WORK.LT001_UNIV_OPER</v>
      </c>
      <c r="H23" s="32"/>
      <c r="I23" s="32"/>
      <c r="J23" s="32" t="str">
        <f>IF(VLOOKUP(B23,'0. Instruções'!$C$27:$G$32,5,FALSE)=0,
"(SELECT "&amp;VLOOKUP(B23,'0. Instruções'!$C$27:$G$32,4,FALSE)&amp;" AS CHAVE_IT, "&amp;C23&amp;" AS CAMPO_IT FROM "&amp;E23&amp;" WHERE "&amp;'0. Instruções'!$D$43&amp;")X",
"(SELECT "&amp;VLOOKUP(B23,'0. Instruções'!$C$27:$G$32,4,FALSE)&amp;" AS CHAVE_IT1, "&amp;VLOOKUP(B23,'0. Instruções'!$C$27:$G$32,5,FALSE)&amp;" AS CHAVE_IT2, "&amp;C23&amp;" AS CAMPO_IT FROM "&amp;E23&amp;" WHERE "&amp;'0. Instruções'!$D$43&amp;")X")</f>
        <v>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ambito='PM' AND entidade='00100')X</v>
      </c>
      <c r="K23" s="32" t="str">
        <f>IF(VLOOKUP(B23,'0. Instruções'!$C$27:$G$32,5,FALSE)=0,
"(SELECT "&amp;VLOOKUP(B23,'0. Instruções'!$C$27:$G$32,4,FALSE)&amp;" AS CHAVE_SIMUL, "&amp;C23&amp;" AS CAMPO_SIMUL FROM "&amp;F23&amp;" WHERE "&amp;'0. Instruções'!$D$42&amp;")Y",
"(SELECT "&amp;VLOOKUP(B23,'0. Instruções'!$C$27:$G$32,4,FALSE)&amp;" AS CHAVE_SIMUL1, "&amp;VLOOKUP(B23,'0. Instruções'!$C$27:$G$32,5,FALSE)&amp;" AS CHAVE_SIMUL2, "&amp;C23&amp;" AS CAMPO_SIMUL FROM "&amp;F23&amp;" WHERE "&amp;'0. Instruções'!$D$42&amp;")Y")</f>
        <v>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ambito='PM' AND entidade='00100')Y</v>
      </c>
      <c r="L23" s="32" t="str">
        <f>IF(VLOOKUP(B23,'0. Instruções'!$C$27:$G$32,5,FALSE)=0,
"ON X.CHAVE_IT=Y.CHAVE_SIMUL",
"ON X.CHAVE_IT1=Y.CHAVE_SIMUL1 AND X.CHAVE_IT2=Y.CHAVE_SIMUL2")</f>
        <v>ON X.CHAVE_IT1=Y.CHAVE_SIMUL1 AND X.CHAVE_IT2=Y.CHAVE_SIMUL2</v>
      </c>
      <c r="M23" s="32" t="str">
        <f>+IF(D23="Coerência",+IF(LEFT(H23,5)="FLOAT","SELECT '"&amp;UPPER(B23)&amp;"' AS TABELA, '"&amp;UPPER(D23)&amp;"' AS TIPOLOGIA_TESTE,'"&amp;E23&amp;"' AS TABELA_LT,'"&amp;F23&amp;"' AS TABELA_SIMUL,'"&amp;C23&amp;"'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"&amp;J23&amp;" INNER JOIN "&amp;K23&amp;" "&amp;L23,"SELECT '"&amp;UPPER(B23)&amp;"' AS TABELA, '"&amp;UPPER(D23)&amp;"' AS TIPOLOGIA_TESTE,'"&amp;E23&amp;"' AS TABELA_LT,'"&amp;F23&amp;"' AS TABELA_SIMUL,'"&amp;C23&amp;"'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"&amp;J23&amp;" INNER JOIN "&amp;K23&amp;" "&amp;L23))</f>
        <v>SELECT 'UNIV_OPER' AS TABELA, 'COERÊNCIA' AS TIPOLOGIA_TESTE,'CD_LOAN_TAPES_BCE.LT001_UNIV_OPER' AS TABELA_LT,'BU_LOANTAPE_WORK.LT001_UNIV_OPER' AS TABELA_SIMUL,'stage_atual'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ambito='PM' AND entidade='00100')Y ON X.CHAVE_IT1=Y.CHAVE_SIMUL1 AND X.CHAVE_IT2=Y.CHAVE_SIMUL2</v>
      </c>
      <c r="N23" s="33" t="str">
        <f t="shared" si="1"/>
        <v>UNION ALL SELECT 'UNIV_OPER' AS TABELA, 'COERÊNCIA' AS TIPOLOGIA_TESTE,'CD_LOAN_TAPES_BCE.LT001_UNIV_OPER' AS TABELA_LT,'BU_LOANTAPE_WORK.LT001_UNIV_OPER' AS TABELA_SIMUL,'stage_atual'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stage_atual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stage_atual AS CAMPO_SIMUL FROM BU_LOANTAPE_WORK.LT001_UNIV_OPER WHERE ref_date='${ref_date}' AND nome_perimetro='Individual Local' AND segmento='ESTR' AND ambito='PM' AND entidade='00100')Y ON X.CHAVE_IT1=Y.CHAVE_SIMUL1 AND X.CHAVE_IT2=Y.CHAVE_SIMUL2</v>
      </c>
      <c r="O23" s="35" t="s">
        <v>35</v>
      </c>
    </row>
    <row r="24" spans="1:15">
      <c r="A24" s="57" t="str">
        <f t="shared" si="0"/>
        <v>UNIV_OPERcproduto</v>
      </c>
      <c r="B24" s="32" t="s">
        <v>204</v>
      </c>
      <c r="C24" s="32" t="s">
        <v>221</v>
      </c>
      <c r="D24" s="32" t="s">
        <v>5</v>
      </c>
      <c r="E24" s="32" t="str">
        <f>+UPPER('0. Instruções'!$D$35&amp;"."&amp;VLOOKUP(B24,'0. Instruções'!$C$27:$D$32,2,FALSE))</f>
        <v>CD_LOAN_TAPES_BCE.LT001_UNIV_OPER</v>
      </c>
      <c r="F24" s="32" t="str">
        <f>+UPPER('0. Instruções'!$D$36&amp;"."&amp;VLOOKUP(B24,'0. Instruções'!$C$27:$E$32,3,FALSE))</f>
        <v>BU_LOANTAPE_WORK.LT001_UNIV_OPER</v>
      </c>
      <c r="H24" s="32"/>
      <c r="I24" s="32"/>
      <c r="J24" s="32" t="str">
        <f>IF(VLOOKUP(B24,'0. Instruções'!$C$27:$G$32,5,FALSE)=0,
"(SELECT "&amp;VLOOKUP(B24,'0. Instruções'!$C$27:$G$32,4,FALSE)&amp;" AS CHAVE_IT, "&amp;C24&amp;" AS CAMPO_IT FROM "&amp;E24&amp;" WHERE "&amp;'0. Instruções'!$D$43&amp;")X",
"(SELECT "&amp;VLOOKUP(B24,'0. Instruções'!$C$27:$G$32,4,FALSE)&amp;" AS CHAVE_IT1, "&amp;VLOOKUP(B24,'0. Instruções'!$C$27:$G$32,5,FALSE)&amp;" AS CHAVE_IT2, "&amp;C24&amp;" AS CAMPO_IT FROM "&amp;E24&amp;" WHERE "&amp;'0. Instruções'!$D$43&amp;")X")</f>
        <v>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ambito='PM' AND entidade='00100')X</v>
      </c>
      <c r="K24" s="32" t="str">
        <f>IF(VLOOKUP(B24,'0. Instruções'!$C$27:$G$32,5,FALSE)=0,
"(SELECT "&amp;VLOOKUP(B24,'0. Instruções'!$C$27:$G$32,4,FALSE)&amp;" AS CHAVE_SIMUL, "&amp;C24&amp;" AS CAMPO_SIMUL FROM "&amp;F24&amp;" WHERE "&amp;'0. Instruções'!$D$42&amp;")Y",
"(SELECT "&amp;VLOOKUP(B24,'0. Instruções'!$C$27:$G$32,4,FALSE)&amp;" AS CHAVE_SIMUL1, "&amp;VLOOKUP(B24,'0. Instruções'!$C$27:$G$32,5,FALSE)&amp;" AS CHAVE_SIMUL2, "&amp;C24&amp;" AS CAMPO_SIMUL FROM "&amp;F24&amp;" WHERE "&amp;'0. Instruções'!$D$42&amp;")Y")</f>
        <v>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ambito='PM' AND entidade='00100')Y</v>
      </c>
      <c r="L24" s="32" t="str">
        <f>IF(VLOOKUP(B24,'0. Instruções'!$C$27:$G$32,5,FALSE)=0,
"ON X.CHAVE_IT=Y.CHAVE_SIMUL",
"ON X.CHAVE_IT1=Y.CHAVE_SIMUL1 AND X.CHAVE_IT2=Y.CHAVE_SIMUL2")</f>
        <v>ON X.CHAVE_IT1=Y.CHAVE_SIMUL1 AND X.CHAVE_IT2=Y.CHAVE_SIMUL2</v>
      </c>
      <c r="M24" s="32" t="str">
        <f>+IF(D24="Coerência",+IF(LEFT(H24,5)="FLOAT","SELECT '"&amp;UPPER(B24)&amp;"' AS TABELA, '"&amp;UPPER(D24)&amp;"' AS TIPOLOGIA_TESTE,'"&amp;E24&amp;"' AS TABELA_LT,'"&amp;F24&amp;"' AS TABELA_SIMUL,'"&amp;C24&amp;"'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"&amp;J24&amp;" INNER JOIN "&amp;K24&amp;" "&amp;L24,"SELECT '"&amp;UPPER(B24)&amp;"' AS TABELA, '"&amp;UPPER(D24)&amp;"' AS TIPOLOGIA_TESTE,'"&amp;E24&amp;"' AS TABELA_LT,'"&amp;F24&amp;"' AS TABELA_SIMUL,'"&amp;C24&amp;"'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"&amp;J24&amp;" INNER JOIN "&amp;K24&amp;" "&amp;L24))</f>
        <v>SELECT 'UNIV_OPER' AS TABELA, 'COERÊNCIA' AS TIPOLOGIA_TESTE,'CD_LOAN_TAPES_BCE.LT001_UNIV_OPER' AS TABELA_LT,'BU_LOANTAPE_WORK.LT001_UNIV_OPER' AS TABELA_SIMUL,'cproduto'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ambito='PM' AND entidade='00100')Y ON X.CHAVE_IT1=Y.CHAVE_SIMUL1 AND X.CHAVE_IT2=Y.CHAVE_SIMUL2</v>
      </c>
      <c r="N24" s="33" t="str">
        <f t="shared" si="1"/>
        <v>UNION ALL SELECT 'UNIV_OPER' AS TABELA, 'COERÊNCIA' AS TIPOLOGIA_TESTE,'CD_LOAN_TAPES_BCE.LT001_UNIV_OPER' AS TABELA_LT,'BU_LOANTAPE_WORK.LT001_UNIV_OPER' AS TABELA_SIMUL,'cproduto'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cproduto AS CAMPO_SIMUL FROM BU_LOANTAPE_WORK.LT001_UNIV_OPER WHERE ref_date='${ref_date}' AND nome_perimetro='Individual Local' AND segmento='ESTR' AND ambito='PM' AND entidade='00100')Y ON X.CHAVE_IT1=Y.CHAVE_SIMUL1 AND X.CHAVE_IT2=Y.CHAVE_SIMUL2</v>
      </c>
      <c r="O24" s="35" t="s">
        <v>35</v>
      </c>
    </row>
    <row r="25" spans="1:15">
      <c r="A25" s="57" t="str">
        <f t="shared" si="0"/>
        <v>UNIV_OPERsubproduto</v>
      </c>
      <c r="B25" s="32" t="s">
        <v>204</v>
      </c>
      <c r="C25" s="32" t="s">
        <v>222</v>
      </c>
      <c r="D25" s="32" t="s">
        <v>5</v>
      </c>
      <c r="E25" s="32" t="str">
        <f>+UPPER('0. Instruções'!$D$35&amp;"."&amp;VLOOKUP(B25,'0. Instruções'!$C$27:$D$32,2,FALSE))</f>
        <v>CD_LOAN_TAPES_BCE.LT001_UNIV_OPER</v>
      </c>
      <c r="F25" s="32" t="str">
        <f>+UPPER('0. Instruções'!$D$36&amp;"."&amp;VLOOKUP(B25,'0. Instruções'!$C$27:$E$32,3,FALSE))</f>
        <v>BU_LOANTAPE_WORK.LT001_UNIV_OPER</v>
      </c>
      <c r="H25" s="32"/>
      <c r="I25" s="32"/>
      <c r="J25" s="32" t="str">
        <f>IF(VLOOKUP(B25,'0. Instruções'!$C$27:$G$32,5,FALSE)=0,
"(SELECT "&amp;VLOOKUP(B25,'0. Instruções'!$C$27:$G$32,4,FALSE)&amp;" AS CHAVE_IT, "&amp;C25&amp;" AS CAMPO_IT FROM "&amp;E25&amp;" WHERE "&amp;'0. Instruções'!$D$43&amp;")X",
"(SELECT "&amp;VLOOKUP(B25,'0. Instruções'!$C$27:$G$32,4,FALSE)&amp;" AS CHAVE_IT1, "&amp;VLOOKUP(B25,'0. Instruções'!$C$27:$G$32,5,FALSE)&amp;" AS CHAVE_IT2, "&amp;C25&amp;" AS CAMPO_IT FROM "&amp;E25&amp;" WHERE "&amp;'0. Instruções'!$D$43&amp;")X")</f>
        <v>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ambito='PM' AND entidade='00100')X</v>
      </c>
      <c r="K25" s="32" t="str">
        <f>IF(VLOOKUP(B25,'0. Instruções'!$C$27:$G$32,5,FALSE)=0,
"(SELECT "&amp;VLOOKUP(B25,'0. Instruções'!$C$27:$G$32,4,FALSE)&amp;" AS CHAVE_SIMUL, "&amp;C25&amp;" AS CAMPO_SIMUL FROM "&amp;F25&amp;" WHERE "&amp;'0. Instruções'!$D$42&amp;")Y",
"(SELECT "&amp;VLOOKUP(B25,'0. Instruções'!$C$27:$G$32,4,FALSE)&amp;" AS CHAVE_SIMUL1, "&amp;VLOOKUP(B25,'0. Instruções'!$C$27:$G$32,5,FALSE)&amp;" AS CHAVE_SIMUL2, "&amp;C25&amp;" AS CAMPO_SIMUL FROM "&amp;F25&amp;" WHERE "&amp;'0. Instruções'!$D$42&amp;")Y")</f>
        <v>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ambito='PM' AND entidade='00100')Y</v>
      </c>
      <c r="L25" s="32" t="str">
        <f>IF(VLOOKUP(B25,'0. Instruções'!$C$27:$G$32,5,FALSE)=0,
"ON X.CHAVE_IT=Y.CHAVE_SIMUL",
"ON X.CHAVE_IT1=Y.CHAVE_SIMUL1 AND X.CHAVE_IT2=Y.CHAVE_SIMUL2")</f>
        <v>ON X.CHAVE_IT1=Y.CHAVE_SIMUL1 AND X.CHAVE_IT2=Y.CHAVE_SIMUL2</v>
      </c>
      <c r="M25" s="32" t="str">
        <f>+IF(D25="Coerência",+IF(LEFT(H25,5)="FLOAT","SELECT '"&amp;UPPER(B25)&amp;"' AS TABELA, '"&amp;UPPER(D25)&amp;"' AS TIPOLOGIA_TESTE,'"&amp;E25&amp;"' AS TABELA_LT,'"&amp;F25&amp;"' AS TABELA_SIMUL,'"&amp;C25&amp;"'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"&amp;J25&amp;" INNER JOIN "&amp;K25&amp;" "&amp;L25,"SELECT '"&amp;UPPER(B25)&amp;"' AS TABELA, '"&amp;UPPER(D25)&amp;"' AS TIPOLOGIA_TESTE,'"&amp;E25&amp;"' AS TABELA_LT,'"&amp;F25&amp;"' AS TABELA_SIMUL,'"&amp;C25&amp;"'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"&amp;J25&amp;" INNER JOIN "&amp;K25&amp;" "&amp;L25))</f>
        <v>SELECT 'UNIV_OPER' AS TABELA, 'COERÊNCIA' AS TIPOLOGIA_TESTE,'CD_LOAN_TAPES_BCE.LT001_UNIV_OPER' AS TABELA_LT,'BU_LOANTAPE_WORK.LT001_UNIV_OPER' AS TABELA_SIMUL,'subproduto'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ambito='PM' AND entidade='00100')Y ON X.CHAVE_IT1=Y.CHAVE_SIMUL1 AND X.CHAVE_IT2=Y.CHAVE_SIMUL2</v>
      </c>
      <c r="N25" s="33" t="str">
        <f t="shared" si="1"/>
        <v>UNION ALL SELECT 'UNIV_OPER' AS TABELA, 'COERÊNCIA' AS TIPOLOGIA_TESTE,'CD_LOAN_TAPES_BCE.LT001_UNIV_OPER' AS TABELA_LT,'BU_LOANTAPE_WORK.LT001_UNIV_OPER' AS TABELA_SIMUL,'subproduto'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subproduto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subproduto AS CAMPO_SIMUL FROM BU_LOANTAPE_WORK.LT001_UNIV_OPER WHERE ref_date='${ref_date}' AND nome_perimetro='Individual Local' AND segmento='ESTR' AND ambito='PM' AND entidade='00100')Y ON X.CHAVE_IT1=Y.CHAVE_SIMUL1 AND X.CHAVE_IT2=Y.CHAVE_SIMUL2</v>
      </c>
      <c r="O25" s="35" t="s">
        <v>35</v>
      </c>
    </row>
    <row r="26" spans="1:15">
      <c r="A26" s="57" t="str">
        <f t="shared" si="0"/>
        <v>UNIV_OPERcod_ajust</v>
      </c>
      <c r="B26" s="32" t="s">
        <v>204</v>
      </c>
      <c r="C26" s="32" t="s">
        <v>223</v>
      </c>
      <c r="D26" s="32" t="s">
        <v>5</v>
      </c>
      <c r="E26" s="32" t="str">
        <f>+UPPER('0. Instruções'!$D$35&amp;"."&amp;VLOOKUP(B26,'0. Instruções'!$C$27:$D$32,2,FALSE))</f>
        <v>CD_LOAN_TAPES_BCE.LT001_UNIV_OPER</v>
      </c>
      <c r="F26" s="32" t="str">
        <f>+UPPER('0. Instruções'!$D$36&amp;"."&amp;VLOOKUP(B26,'0. Instruções'!$C$27:$E$32,3,FALSE))</f>
        <v>BU_LOANTAPE_WORK.LT001_UNIV_OPER</v>
      </c>
      <c r="H26" s="32"/>
      <c r="I26" s="32"/>
      <c r="J26" s="32" t="str">
        <f>IF(VLOOKUP(B26,'0. Instruções'!$C$27:$G$32,5,FALSE)=0,
"(SELECT "&amp;VLOOKUP(B26,'0. Instruções'!$C$27:$G$32,4,FALSE)&amp;" AS CHAVE_IT, "&amp;C26&amp;" AS CAMPO_IT FROM "&amp;E26&amp;" WHERE "&amp;'0. Instruções'!$D$43&amp;")X",
"(SELECT "&amp;VLOOKUP(B26,'0. Instruções'!$C$27:$G$32,4,FALSE)&amp;" AS CHAVE_IT1, "&amp;VLOOKUP(B26,'0. Instruções'!$C$27:$G$32,5,FALSE)&amp;" AS CHAVE_IT2, "&amp;C26&amp;" AS CAMPO_IT FROM "&amp;E26&amp;" WHERE "&amp;'0. Instruções'!$D$43&amp;")X")</f>
        <v>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ambito='PM' AND entidade='00100')X</v>
      </c>
      <c r="K26" s="32" t="str">
        <f>IF(VLOOKUP(B26,'0. Instruções'!$C$27:$G$32,5,FALSE)=0,
"(SELECT "&amp;VLOOKUP(B26,'0. Instruções'!$C$27:$G$32,4,FALSE)&amp;" AS CHAVE_SIMUL, "&amp;C26&amp;" AS CAMPO_SIMUL FROM "&amp;F26&amp;" WHERE "&amp;'0. Instruções'!$D$42&amp;")Y",
"(SELECT "&amp;VLOOKUP(B26,'0. Instruções'!$C$27:$G$32,4,FALSE)&amp;" AS CHAVE_SIMUL1, "&amp;VLOOKUP(B26,'0. Instruções'!$C$27:$G$32,5,FALSE)&amp;" AS CHAVE_SIMUL2, "&amp;C26&amp;" AS CAMPO_SIMUL FROM "&amp;F26&amp;" WHERE "&amp;'0. Instruções'!$D$42&amp;")Y")</f>
        <v>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ambito='PM' AND entidade='00100')Y</v>
      </c>
      <c r="L26" s="32" t="str">
        <f>IF(VLOOKUP(B26,'0. Instruções'!$C$27:$G$32,5,FALSE)=0,
"ON X.CHAVE_IT=Y.CHAVE_SIMUL",
"ON X.CHAVE_IT1=Y.CHAVE_SIMUL1 AND X.CHAVE_IT2=Y.CHAVE_SIMUL2")</f>
        <v>ON X.CHAVE_IT1=Y.CHAVE_SIMUL1 AND X.CHAVE_IT2=Y.CHAVE_SIMUL2</v>
      </c>
      <c r="M26" s="32" t="str">
        <f>+IF(D26="Coerência",+IF(LEFT(H26,5)="FLOAT","SELECT '"&amp;UPPER(B26)&amp;"' AS TABELA, '"&amp;UPPER(D26)&amp;"' AS TIPOLOGIA_TESTE,'"&amp;E26&amp;"' AS TABELA_LT,'"&amp;F26&amp;"' AS TABELA_SIMUL,'"&amp;C26&amp;"'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"&amp;J26&amp;" INNER JOIN "&amp;K26&amp;" "&amp;L26,"SELECT '"&amp;UPPER(B26)&amp;"' AS TABELA, '"&amp;UPPER(D26)&amp;"' AS TIPOLOGIA_TESTE,'"&amp;E26&amp;"' AS TABELA_LT,'"&amp;F26&amp;"' AS TABELA_SIMUL,'"&amp;C26&amp;"'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"&amp;J26&amp;" INNER JOIN "&amp;K26&amp;" "&amp;L26))</f>
        <v>SELECT 'UNIV_OPER' AS TABELA, 'COERÊNCIA' AS TIPOLOGIA_TESTE,'CD_LOAN_TAPES_BCE.LT001_UNIV_OPER' AS TABELA_LT,'BU_LOANTAPE_WORK.LT001_UNIV_OPER' AS TABELA_SIMUL,'cod_ajust'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ambito='PM' AND entidade='00100')Y ON X.CHAVE_IT1=Y.CHAVE_SIMUL1 AND X.CHAVE_IT2=Y.CHAVE_SIMUL2</v>
      </c>
      <c r="N26" s="33" t="str">
        <f t="shared" si="1"/>
        <v>UNION ALL SELECT 'UNIV_OPER' AS TABELA, 'COERÊNCIA' AS TIPOLOGIA_TESTE,'CD_LOAN_TAPES_BCE.LT001_UNIV_OPER' AS TABELA_LT,'BU_LOANTAPE_WORK.LT001_UNIV_OPER' AS TABELA_SIMUL,'cod_ajust'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cod_ajust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cod_ajust AS CAMPO_SIMUL FROM BU_LOANTAPE_WORK.LT001_UNIV_OPER WHERE ref_date='${ref_date}' AND nome_perimetro='Individual Local' AND segmento='ESTR' AND ambito='PM' AND entidade='00100')Y ON X.CHAVE_IT1=Y.CHAVE_SIMUL1 AND X.CHAVE_IT2=Y.CHAVE_SIMUL2</v>
      </c>
      <c r="O26" s="35" t="s">
        <v>35</v>
      </c>
    </row>
    <row r="27" spans="1:15">
      <c r="A27" s="57" t="str">
        <f t="shared" si="0"/>
        <v>UNIV_OPERtipo_ajuste</v>
      </c>
      <c r="B27" s="32" t="s">
        <v>204</v>
      </c>
      <c r="C27" s="32" t="s">
        <v>224</v>
      </c>
      <c r="D27" s="32" t="s">
        <v>5</v>
      </c>
      <c r="E27" s="32" t="str">
        <f>+UPPER('0. Instruções'!$D$35&amp;"."&amp;VLOOKUP(B27,'0. Instruções'!$C$27:$D$32,2,FALSE))</f>
        <v>CD_LOAN_TAPES_BCE.LT001_UNIV_OPER</v>
      </c>
      <c r="F27" s="32" t="str">
        <f>+UPPER('0. Instruções'!$D$36&amp;"."&amp;VLOOKUP(B27,'0. Instruções'!$C$27:$E$32,3,FALSE))</f>
        <v>BU_LOANTAPE_WORK.LT001_UNIV_OPER</v>
      </c>
      <c r="H27" s="32"/>
      <c r="I27" s="32"/>
      <c r="J27" s="32" t="str">
        <f>IF(VLOOKUP(B27,'0. Instruções'!$C$27:$G$32,5,FALSE)=0,
"(SELECT "&amp;VLOOKUP(B27,'0. Instruções'!$C$27:$G$32,4,FALSE)&amp;" AS CHAVE_IT, "&amp;C27&amp;" AS CAMPO_IT FROM "&amp;E27&amp;" WHERE "&amp;'0. Instruções'!$D$43&amp;")X",
"(SELECT "&amp;VLOOKUP(B27,'0. Instruções'!$C$27:$G$32,4,FALSE)&amp;" AS CHAVE_IT1, "&amp;VLOOKUP(B27,'0. Instruções'!$C$27:$G$32,5,FALSE)&amp;" AS CHAVE_IT2, "&amp;C27&amp;" AS CAMPO_IT FROM "&amp;E27&amp;" WHERE "&amp;'0. Instruções'!$D$43&amp;")X")</f>
        <v>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ambito='PM' AND entidade='00100')X</v>
      </c>
      <c r="K27" s="32" t="str">
        <f>IF(VLOOKUP(B27,'0. Instruções'!$C$27:$G$32,5,FALSE)=0,
"(SELECT "&amp;VLOOKUP(B27,'0. Instruções'!$C$27:$G$32,4,FALSE)&amp;" AS CHAVE_SIMUL, "&amp;C27&amp;" AS CAMPO_SIMUL FROM "&amp;F27&amp;" WHERE "&amp;'0. Instruções'!$D$42&amp;")Y",
"(SELECT "&amp;VLOOKUP(B27,'0. Instruções'!$C$27:$G$32,4,FALSE)&amp;" AS CHAVE_SIMUL1, "&amp;VLOOKUP(B27,'0. Instruções'!$C$27:$G$32,5,FALSE)&amp;" AS CHAVE_SIMUL2, "&amp;C27&amp;" AS CAMPO_SIMUL FROM "&amp;F27&amp;" WHERE "&amp;'0. Instruções'!$D$42&amp;")Y")</f>
        <v>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ambito='PM' AND entidade='00100')Y</v>
      </c>
      <c r="L27" s="32" t="str">
        <f>IF(VLOOKUP(B27,'0. Instruções'!$C$27:$G$32,5,FALSE)=0,
"ON X.CHAVE_IT=Y.CHAVE_SIMUL",
"ON X.CHAVE_IT1=Y.CHAVE_SIMUL1 AND X.CHAVE_IT2=Y.CHAVE_SIMUL2")</f>
        <v>ON X.CHAVE_IT1=Y.CHAVE_SIMUL1 AND X.CHAVE_IT2=Y.CHAVE_SIMUL2</v>
      </c>
      <c r="M27" s="32" t="str">
        <f>+IF(D27="Coerência",+IF(LEFT(H27,5)="FLOAT","SELECT '"&amp;UPPER(B27)&amp;"' AS TABELA, '"&amp;UPPER(D27)&amp;"' AS TIPOLOGIA_TESTE,'"&amp;E27&amp;"' AS TABELA_LT,'"&amp;F27&amp;"' AS TABELA_SIMUL,'"&amp;C27&amp;"'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"&amp;J27&amp;" INNER JOIN "&amp;K27&amp;" "&amp;L27,"SELECT '"&amp;UPPER(B27)&amp;"' AS TABELA, '"&amp;UPPER(D27)&amp;"' AS TIPOLOGIA_TESTE,'"&amp;E27&amp;"' AS TABELA_LT,'"&amp;F27&amp;"' AS TABELA_SIMUL,'"&amp;C27&amp;"'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"&amp;J27&amp;" INNER JOIN "&amp;K27&amp;" "&amp;L27))</f>
        <v>SELECT 'UNIV_OPER' AS TABELA, 'COERÊNCIA' AS TIPOLOGIA_TESTE,'CD_LOAN_TAPES_BCE.LT001_UNIV_OPER' AS TABELA_LT,'BU_LOANTAPE_WORK.LT001_UNIV_OPER' AS TABELA_SIMUL,'tipo_ajuste'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ambito='PM' AND entidade='00100')Y ON X.CHAVE_IT1=Y.CHAVE_SIMUL1 AND X.CHAVE_IT2=Y.CHAVE_SIMUL2</v>
      </c>
      <c r="N27" s="33" t="str">
        <f t="shared" si="1"/>
        <v>UNION ALL SELECT 'UNIV_OPER' AS TABELA, 'COERÊNCIA' AS TIPOLOGIA_TESTE,'CD_LOAN_TAPES_BCE.LT001_UNIV_OPER' AS TABELA_LT,'BU_LOANTAPE_WORK.LT001_UNIV_OPER' AS TABELA_SIMUL,'tipo_ajuste'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tipo_ajuste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tipo_ajuste AS CAMPO_SIMUL FROM BU_LOANTAPE_WORK.LT001_UNIV_OPER WHERE ref_date='${ref_date}' AND nome_perimetro='Individual Local' AND segmento='ESTR' AND ambito='PM' AND entidade='00100')Y ON X.CHAVE_IT1=Y.CHAVE_SIMUL1 AND X.CHAVE_IT2=Y.CHAVE_SIMUL2</v>
      </c>
      <c r="O27" s="35" t="s">
        <v>35</v>
      </c>
    </row>
    <row r="28" spans="1:15">
      <c r="A28" s="57" t="str">
        <f t="shared" si="0"/>
        <v>UNIV_OPERdesc_ajuste</v>
      </c>
      <c r="B28" s="32" t="s">
        <v>204</v>
      </c>
      <c r="C28" s="32" t="s">
        <v>225</v>
      </c>
      <c r="D28" s="32" t="s">
        <v>5</v>
      </c>
      <c r="E28" s="32" t="str">
        <f>+UPPER('0. Instruções'!$D$35&amp;"."&amp;VLOOKUP(B28,'0. Instruções'!$C$27:$D$32,2,FALSE))</f>
        <v>CD_LOAN_TAPES_BCE.LT001_UNIV_OPER</v>
      </c>
      <c r="F28" s="32" t="str">
        <f>+UPPER('0. Instruções'!$D$36&amp;"."&amp;VLOOKUP(B28,'0. Instruções'!$C$27:$E$32,3,FALSE))</f>
        <v>BU_LOANTAPE_WORK.LT001_UNIV_OPER</v>
      </c>
      <c r="H28" s="32"/>
      <c r="I28" s="32"/>
      <c r="J28" s="32" t="str">
        <f>IF(VLOOKUP(B28,'0. Instruções'!$C$27:$G$32,5,FALSE)=0,
"(SELECT "&amp;VLOOKUP(B28,'0. Instruções'!$C$27:$G$32,4,FALSE)&amp;" AS CHAVE_IT, "&amp;C28&amp;" AS CAMPO_IT FROM "&amp;E28&amp;" WHERE "&amp;'0. Instruções'!$D$43&amp;")X",
"(SELECT "&amp;VLOOKUP(B28,'0. Instruções'!$C$27:$G$32,4,FALSE)&amp;" AS CHAVE_IT1, "&amp;VLOOKUP(B28,'0. Instruções'!$C$27:$G$32,5,FALSE)&amp;" AS CHAVE_IT2, "&amp;C28&amp;" AS CAMPO_IT FROM "&amp;E28&amp;" WHERE "&amp;'0. Instruções'!$D$43&amp;")X")</f>
        <v>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ambito='PM' AND entidade='00100')X</v>
      </c>
      <c r="K28" s="32" t="str">
        <f>IF(VLOOKUP(B28,'0. Instruções'!$C$27:$G$32,5,FALSE)=0,
"(SELECT "&amp;VLOOKUP(B28,'0. Instruções'!$C$27:$G$32,4,FALSE)&amp;" AS CHAVE_SIMUL, "&amp;C28&amp;" AS CAMPO_SIMUL FROM "&amp;F28&amp;" WHERE "&amp;'0. Instruções'!$D$42&amp;")Y",
"(SELECT "&amp;VLOOKUP(B28,'0. Instruções'!$C$27:$G$32,4,FALSE)&amp;" AS CHAVE_SIMUL1, "&amp;VLOOKUP(B28,'0. Instruções'!$C$27:$G$32,5,FALSE)&amp;" AS CHAVE_SIMUL2, "&amp;C28&amp;" AS CAMPO_SIMUL FROM "&amp;F28&amp;" WHERE "&amp;'0. Instruções'!$D$42&amp;")Y")</f>
        <v>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ambito='PM' AND entidade='00100')Y</v>
      </c>
      <c r="L28" s="32" t="str">
        <f>IF(VLOOKUP(B28,'0. Instruções'!$C$27:$G$32,5,FALSE)=0,
"ON X.CHAVE_IT=Y.CHAVE_SIMUL",
"ON X.CHAVE_IT1=Y.CHAVE_SIMUL1 AND X.CHAVE_IT2=Y.CHAVE_SIMUL2")</f>
        <v>ON X.CHAVE_IT1=Y.CHAVE_SIMUL1 AND X.CHAVE_IT2=Y.CHAVE_SIMUL2</v>
      </c>
      <c r="M28" s="32" t="str">
        <f>+IF(D28="Coerência",+IF(LEFT(H28,5)="FLOAT","SELECT '"&amp;UPPER(B28)&amp;"' AS TABELA, '"&amp;UPPER(D28)&amp;"' AS TIPOLOGIA_TESTE,'"&amp;E28&amp;"' AS TABELA_LT,'"&amp;F28&amp;"' AS TABELA_SIMUL,'"&amp;C28&amp;"'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"&amp;J28&amp;" INNER JOIN "&amp;K28&amp;" "&amp;L28,"SELECT '"&amp;UPPER(B28)&amp;"' AS TABELA, '"&amp;UPPER(D28)&amp;"' AS TIPOLOGIA_TESTE,'"&amp;E28&amp;"' AS TABELA_LT,'"&amp;F28&amp;"' AS TABELA_SIMUL,'"&amp;C28&amp;"'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"&amp;J28&amp;" INNER JOIN "&amp;K28&amp;" "&amp;L28))</f>
        <v>SELECT 'UNIV_OPER' AS TABELA, 'COERÊNCIA' AS TIPOLOGIA_TESTE,'CD_LOAN_TAPES_BCE.LT001_UNIV_OPER' AS TABELA_LT,'BU_LOANTAPE_WORK.LT001_UNIV_OPER' AS TABELA_SIMUL,'desc_ajuste'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ambito='PM' AND entidade='00100')Y ON X.CHAVE_IT1=Y.CHAVE_SIMUL1 AND X.CHAVE_IT2=Y.CHAVE_SIMUL2</v>
      </c>
      <c r="N28" s="33" t="str">
        <f t="shared" si="1"/>
        <v>UNION ALL SELECT 'UNIV_OPER' AS TABELA, 'COERÊNCIA' AS TIPOLOGIA_TESTE,'CD_LOAN_TAPES_BCE.LT001_UNIV_OPER' AS TABELA_LT,'BU_LOANTAPE_WORK.LT001_UNIV_OPER' AS TABELA_SIMUL,'desc_ajuste'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desc_ajuste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desc_ajuste AS CAMPO_SIMUL FROM BU_LOANTAPE_WORK.LT001_UNIV_OPER WHERE ref_date='${ref_date}' AND nome_perimetro='Individual Local' AND segmento='ESTR' AND ambito='PM' AND entidade='00100')Y ON X.CHAVE_IT1=Y.CHAVE_SIMUL1 AND X.CHAVE_IT2=Y.CHAVE_SIMUL2</v>
      </c>
      <c r="O28" s="35" t="s">
        <v>35</v>
      </c>
    </row>
    <row r="29" spans="1:15">
      <c r="A29" s="57" t="str">
        <f t="shared" si="0"/>
        <v>UNIV_OPERordem_lt801</v>
      </c>
      <c r="B29" s="32" t="s">
        <v>204</v>
      </c>
      <c r="C29" s="32" t="s">
        <v>226</v>
      </c>
      <c r="D29" s="32" t="s">
        <v>5</v>
      </c>
      <c r="E29" s="32" t="str">
        <f>+UPPER('0. Instruções'!$D$35&amp;"."&amp;VLOOKUP(B29,'0. Instruções'!$C$27:$D$32,2,FALSE))</f>
        <v>CD_LOAN_TAPES_BCE.LT001_UNIV_OPER</v>
      </c>
      <c r="F29" s="32" t="str">
        <f>+UPPER('0. Instruções'!$D$36&amp;"."&amp;VLOOKUP(B29,'0. Instruções'!$C$27:$E$32,3,FALSE))</f>
        <v>BU_LOANTAPE_WORK.LT001_UNIV_OPER</v>
      </c>
      <c r="H29" s="32"/>
      <c r="I29" s="32"/>
      <c r="J29" s="32" t="str">
        <f>IF(VLOOKUP(B29,'0. Instruções'!$C$27:$G$32,5,FALSE)=0,
"(SELECT "&amp;VLOOKUP(B29,'0. Instruções'!$C$27:$G$32,4,FALSE)&amp;" AS CHAVE_IT, "&amp;C29&amp;" AS CAMPO_IT FROM "&amp;E29&amp;" WHERE "&amp;'0. Instruções'!$D$43&amp;")X",
"(SELECT "&amp;VLOOKUP(B29,'0. Instruções'!$C$27:$G$32,4,FALSE)&amp;" AS CHAVE_IT1, "&amp;VLOOKUP(B29,'0. Instruções'!$C$27:$G$32,5,FALSE)&amp;" AS CHAVE_IT2, "&amp;C29&amp;" AS CAMPO_IT FROM "&amp;E29&amp;" WHERE "&amp;'0. Instruções'!$D$43&amp;")X")</f>
        <v>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ambito='PM' AND entidade='00100')X</v>
      </c>
      <c r="K29" s="32" t="str">
        <f>IF(VLOOKUP(B29,'0. Instruções'!$C$27:$G$32,5,FALSE)=0,
"(SELECT "&amp;VLOOKUP(B29,'0. Instruções'!$C$27:$G$32,4,FALSE)&amp;" AS CHAVE_SIMUL, "&amp;C29&amp;" AS CAMPO_SIMUL FROM "&amp;F29&amp;" WHERE "&amp;'0. Instruções'!$D$42&amp;")Y",
"(SELECT "&amp;VLOOKUP(B29,'0. Instruções'!$C$27:$G$32,4,FALSE)&amp;" AS CHAVE_SIMUL1, "&amp;VLOOKUP(B29,'0. Instruções'!$C$27:$G$32,5,FALSE)&amp;" AS CHAVE_SIMUL2, "&amp;C29&amp;" AS CAMPO_SIMUL FROM "&amp;F29&amp;" WHERE "&amp;'0. Instruções'!$D$42&amp;")Y")</f>
        <v>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ambito='PM' AND entidade='00100')Y</v>
      </c>
      <c r="L29" s="32" t="str">
        <f>IF(VLOOKUP(B29,'0. Instruções'!$C$27:$G$32,5,FALSE)=0,
"ON X.CHAVE_IT=Y.CHAVE_SIMUL",
"ON X.CHAVE_IT1=Y.CHAVE_SIMUL1 AND X.CHAVE_IT2=Y.CHAVE_SIMUL2")</f>
        <v>ON X.CHAVE_IT1=Y.CHAVE_SIMUL1 AND X.CHAVE_IT2=Y.CHAVE_SIMUL2</v>
      </c>
      <c r="M29" s="32" t="str">
        <f>+IF(D29="Coerência",+IF(LEFT(H29,5)="FLOAT","SELECT '"&amp;UPPER(B29)&amp;"' AS TABELA, '"&amp;UPPER(D29)&amp;"' AS TIPOLOGIA_TESTE,'"&amp;E29&amp;"' AS TABELA_LT,'"&amp;F29&amp;"' AS TABELA_SIMUL,'"&amp;C29&amp;"'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"&amp;J29&amp;" INNER JOIN "&amp;K29&amp;" "&amp;L29,"SELECT '"&amp;UPPER(B29)&amp;"' AS TABELA, '"&amp;UPPER(D29)&amp;"' AS TIPOLOGIA_TESTE,'"&amp;E29&amp;"' AS TABELA_LT,'"&amp;F29&amp;"' AS TABELA_SIMUL,'"&amp;C29&amp;"'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"&amp;J29&amp;" INNER JOIN "&amp;K29&amp;" "&amp;L29))</f>
        <v>SELECT 'UNIV_OPER' AS TABELA, 'COERÊNCIA' AS TIPOLOGIA_TESTE,'CD_LOAN_TAPES_BCE.LT001_UNIV_OPER' AS TABELA_LT,'BU_LOANTAPE_WORK.LT001_UNIV_OPER' AS TABELA_SIMUL,'ordem_lt801'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ambito='PM' AND entidade='00100')Y ON X.CHAVE_IT1=Y.CHAVE_SIMUL1 AND X.CHAVE_IT2=Y.CHAVE_SIMUL2</v>
      </c>
      <c r="N29" s="33" t="str">
        <f t="shared" si="1"/>
        <v>UNION ALL SELECT 'UNIV_OPER' AS TABELA, 'COERÊNCIA' AS TIPOLOGIA_TESTE,'CD_LOAN_TAPES_BCE.LT001_UNIV_OPER' AS TABELA_LT,'BU_LOANTAPE_WORK.LT001_UNIV_OPER' AS TABELA_SIMUL,'ordem_lt801'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ordem_lt801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ordem_lt801 AS CAMPO_SIMUL FROM BU_LOANTAPE_WORK.LT001_UNIV_OPER WHERE ref_date='${ref_date}' AND nome_perimetro='Individual Local' AND segmento='ESTR' AND ambito='PM' AND entidade='00100')Y ON X.CHAVE_IT1=Y.CHAVE_SIMUL1 AND X.CHAVE_IT2=Y.CHAVE_SIMUL2</v>
      </c>
      <c r="O29" s="35" t="s">
        <v>35</v>
      </c>
    </row>
    <row r="30" spans="1:15">
      <c r="A30" s="57" t="str">
        <f t="shared" si="0"/>
        <v>UNIV_OPERflag_lvrg_finc</v>
      </c>
      <c r="B30" s="32" t="s">
        <v>204</v>
      </c>
      <c r="C30" s="32" t="s">
        <v>227</v>
      </c>
      <c r="D30" s="32" t="s">
        <v>5</v>
      </c>
      <c r="E30" s="32" t="str">
        <f>+UPPER('0. Instruções'!$D$35&amp;"."&amp;VLOOKUP(B30,'0. Instruções'!$C$27:$D$32,2,FALSE))</f>
        <v>CD_LOAN_TAPES_BCE.LT001_UNIV_OPER</v>
      </c>
      <c r="F30" s="32" t="str">
        <f>+UPPER('0. Instruções'!$D$36&amp;"."&amp;VLOOKUP(B30,'0. Instruções'!$C$27:$E$32,3,FALSE))</f>
        <v>BU_LOANTAPE_WORK.LT001_UNIV_OPER</v>
      </c>
      <c r="H30" s="32"/>
      <c r="I30" s="32"/>
      <c r="J30" s="32" t="str">
        <f>IF(VLOOKUP(B30,'0. Instruções'!$C$27:$G$32,5,FALSE)=0,
"(SELECT "&amp;VLOOKUP(B30,'0. Instruções'!$C$27:$G$32,4,FALSE)&amp;" AS CHAVE_IT, "&amp;C30&amp;" AS CAMPO_IT FROM "&amp;E30&amp;" WHERE "&amp;'0. Instruções'!$D$43&amp;")X",
"(SELECT "&amp;VLOOKUP(B30,'0. Instruções'!$C$27:$G$32,4,FALSE)&amp;" AS CHAVE_IT1, "&amp;VLOOKUP(B30,'0. Instruções'!$C$27:$G$32,5,FALSE)&amp;" AS CHAVE_IT2, "&amp;C30&amp;" AS CAMPO_IT FROM "&amp;E30&amp;" WHERE "&amp;'0. Instruções'!$D$43&amp;")X")</f>
        <v>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ambito='PM' AND entidade='00100')X</v>
      </c>
      <c r="K30" s="32" t="str">
        <f>IF(VLOOKUP(B30,'0. Instruções'!$C$27:$G$32,5,FALSE)=0,
"(SELECT "&amp;VLOOKUP(B30,'0. Instruções'!$C$27:$G$32,4,FALSE)&amp;" AS CHAVE_SIMUL, "&amp;C30&amp;" AS CAMPO_SIMUL FROM "&amp;F30&amp;" WHERE "&amp;'0. Instruções'!$D$42&amp;")Y",
"(SELECT "&amp;VLOOKUP(B30,'0. Instruções'!$C$27:$G$32,4,FALSE)&amp;" AS CHAVE_SIMUL1, "&amp;VLOOKUP(B30,'0. Instruções'!$C$27:$G$32,5,FALSE)&amp;" AS CHAVE_SIMUL2, "&amp;C30&amp;" AS CAMPO_SIMUL FROM "&amp;F30&amp;" WHERE "&amp;'0. Instruções'!$D$42&amp;")Y")</f>
        <v>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ambito='PM' AND entidade='00100')Y</v>
      </c>
      <c r="L30" s="32" t="str">
        <f>IF(VLOOKUP(B30,'0. Instruções'!$C$27:$G$32,5,FALSE)=0,
"ON X.CHAVE_IT=Y.CHAVE_SIMUL",
"ON X.CHAVE_IT1=Y.CHAVE_SIMUL1 AND X.CHAVE_IT2=Y.CHAVE_SIMUL2")</f>
        <v>ON X.CHAVE_IT1=Y.CHAVE_SIMUL1 AND X.CHAVE_IT2=Y.CHAVE_SIMUL2</v>
      </c>
      <c r="M30" s="32" t="str">
        <f>+IF(D30="Coerência",+IF(LEFT(H30,5)="FLOAT","SELECT '"&amp;UPPER(B30)&amp;"' AS TABELA, '"&amp;UPPER(D30)&amp;"' AS TIPOLOGIA_TESTE,'"&amp;E30&amp;"' AS TABELA_LT,'"&amp;F30&amp;"' AS TABELA_SIMUL,'"&amp;C30&amp;"'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"&amp;J30&amp;" INNER JOIN "&amp;K30&amp;" "&amp;L30,"SELECT '"&amp;UPPER(B30)&amp;"' AS TABELA, '"&amp;UPPER(D30)&amp;"' AS TIPOLOGIA_TESTE,'"&amp;E30&amp;"' AS TABELA_LT,'"&amp;F30&amp;"' AS TABELA_SIMUL,'"&amp;C30&amp;"'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"&amp;J30&amp;" INNER JOIN "&amp;K30&amp;" "&amp;L30))</f>
        <v>SELECT 'UNIV_OPER' AS TABELA, 'COERÊNCIA' AS TIPOLOGIA_TESTE,'CD_LOAN_TAPES_BCE.LT001_UNIV_OPER' AS TABELA_LT,'BU_LOANTAPE_WORK.LT001_UNIV_OPER' AS TABELA_SIMUL,'flag_lvrg_finc'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ambito='PM' AND entidade='00100')Y ON X.CHAVE_IT1=Y.CHAVE_SIMUL1 AND X.CHAVE_IT2=Y.CHAVE_SIMUL2</v>
      </c>
      <c r="N30" s="33" t="str">
        <f t="shared" si="1"/>
        <v>UNION ALL SELECT 'UNIV_OPER' AS TABELA, 'COERÊNCIA' AS TIPOLOGIA_TESTE,'CD_LOAN_TAPES_BCE.LT001_UNIV_OPER' AS TABELA_LT,'BU_LOANTAPE_WORK.LT001_UNIV_OPER' AS TABELA_SIMUL,'flag_lvrg_finc'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flag_lvrg_finc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flag_lvrg_finc AS CAMPO_SIMUL FROM BU_LOANTAPE_WORK.LT001_UNIV_OPER WHERE ref_date='${ref_date}' AND nome_perimetro='Individual Local' AND segmento='ESTR' AND ambito='PM' AND entidade='00100')Y ON X.CHAVE_IT1=Y.CHAVE_SIMUL1 AND X.CHAVE_IT2=Y.CHAVE_SIMUL2</v>
      </c>
      <c r="O30" s="35" t="s">
        <v>35</v>
      </c>
    </row>
    <row r="31" spans="1:15">
      <c r="A31" s="57" t="str">
        <f t="shared" si="0"/>
        <v>UNIV_OPERflag_pme</v>
      </c>
      <c r="B31" s="32" t="s">
        <v>204</v>
      </c>
      <c r="C31" s="32" t="s">
        <v>228</v>
      </c>
      <c r="D31" s="32" t="s">
        <v>5</v>
      </c>
      <c r="E31" s="32" t="str">
        <f>+UPPER('0. Instruções'!$D$35&amp;"."&amp;VLOOKUP(B31,'0. Instruções'!$C$27:$D$32,2,FALSE))</f>
        <v>CD_LOAN_TAPES_BCE.LT001_UNIV_OPER</v>
      </c>
      <c r="F31" s="32" t="str">
        <f>+UPPER('0. Instruções'!$D$36&amp;"."&amp;VLOOKUP(B31,'0. Instruções'!$C$27:$E$32,3,FALSE))</f>
        <v>BU_LOANTAPE_WORK.LT001_UNIV_OPER</v>
      </c>
      <c r="H31" s="32"/>
      <c r="I31" s="32"/>
      <c r="J31" s="32" t="str">
        <f>IF(VLOOKUP(B31,'0. Instruções'!$C$27:$G$32,5,FALSE)=0,
"(SELECT "&amp;VLOOKUP(B31,'0. Instruções'!$C$27:$G$32,4,FALSE)&amp;" AS CHAVE_IT, "&amp;C31&amp;" AS CAMPO_IT FROM "&amp;E31&amp;" WHERE "&amp;'0. Instruções'!$D$43&amp;")X",
"(SELECT "&amp;VLOOKUP(B31,'0. Instruções'!$C$27:$G$32,4,FALSE)&amp;" AS CHAVE_IT1, "&amp;VLOOKUP(B31,'0. Instruções'!$C$27:$G$32,5,FALSE)&amp;" AS CHAVE_IT2, "&amp;C31&amp;" AS CAMPO_IT FROM "&amp;E31&amp;" WHERE "&amp;'0. Instruções'!$D$43&amp;")X")</f>
        <v>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ambito='PM' AND entidade='00100')X</v>
      </c>
      <c r="K31" s="32" t="str">
        <f>IF(VLOOKUP(B31,'0. Instruções'!$C$27:$G$32,5,FALSE)=0,
"(SELECT "&amp;VLOOKUP(B31,'0. Instruções'!$C$27:$G$32,4,FALSE)&amp;" AS CHAVE_SIMUL, "&amp;C31&amp;" AS CAMPO_SIMUL FROM "&amp;F31&amp;" WHERE "&amp;'0. Instruções'!$D$42&amp;")Y",
"(SELECT "&amp;VLOOKUP(B31,'0. Instruções'!$C$27:$G$32,4,FALSE)&amp;" AS CHAVE_SIMUL1, "&amp;VLOOKUP(B31,'0. Instruções'!$C$27:$G$32,5,FALSE)&amp;" AS CHAVE_SIMUL2, "&amp;C31&amp;" AS CAMPO_SIMUL FROM "&amp;F31&amp;" WHERE "&amp;'0. Instruções'!$D$42&amp;")Y")</f>
        <v>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ambito='PM' AND entidade='00100')Y</v>
      </c>
      <c r="L31" s="32" t="str">
        <f>IF(VLOOKUP(B31,'0. Instruções'!$C$27:$G$32,5,FALSE)=0,
"ON X.CHAVE_IT=Y.CHAVE_SIMUL",
"ON X.CHAVE_IT1=Y.CHAVE_SIMUL1 AND X.CHAVE_IT2=Y.CHAVE_SIMUL2")</f>
        <v>ON X.CHAVE_IT1=Y.CHAVE_SIMUL1 AND X.CHAVE_IT2=Y.CHAVE_SIMUL2</v>
      </c>
      <c r="M31" s="32" t="str">
        <f>+IF(D31="Coerência",+IF(LEFT(H31,5)="FLOAT","SELECT '"&amp;UPPER(B31)&amp;"' AS TABELA, '"&amp;UPPER(D31)&amp;"' AS TIPOLOGIA_TESTE,'"&amp;E31&amp;"' AS TABELA_LT,'"&amp;F31&amp;"' AS TABELA_SIMUL,'"&amp;C31&amp;"'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"&amp;J31&amp;" INNER JOIN "&amp;K31&amp;" "&amp;L31,"SELECT '"&amp;UPPER(B31)&amp;"' AS TABELA, '"&amp;UPPER(D31)&amp;"' AS TIPOLOGIA_TESTE,'"&amp;E31&amp;"' AS TABELA_LT,'"&amp;F31&amp;"' AS TABELA_SIMUL,'"&amp;C31&amp;"'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"&amp;J31&amp;" INNER JOIN "&amp;K31&amp;" "&amp;L31))</f>
        <v>SELECT 'UNIV_OPER' AS TABELA, 'COERÊNCIA' AS TIPOLOGIA_TESTE,'CD_LOAN_TAPES_BCE.LT001_UNIV_OPER' AS TABELA_LT,'BU_LOANTAPE_WORK.LT001_UNIV_OPER' AS TABELA_SIMUL,'flag_pme'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ambito='PM' AND entidade='00100')Y ON X.CHAVE_IT1=Y.CHAVE_SIMUL1 AND X.CHAVE_IT2=Y.CHAVE_SIMUL2</v>
      </c>
      <c r="N31" s="33" t="str">
        <f t="shared" si="1"/>
        <v>UNION ALL SELECT 'UNIV_OPER' AS TABELA, 'COERÊNCIA' AS TIPOLOGIA_TESTE,'CD_LOAN_TAPES_BCE.LT001_UNIV_OPER' AS TABELA_LT,'BU_LOANTAPE_WORK.LT001_UNIV_OPER' AS TABELA_SIMUL,'flag_pme'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flag_pme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flag_pme AS CAMPO_SIMUL FROM BU_LOANTAPE_WORK.LT001_UNIV_OPER WHERE ref_date='${ref_date}' AND nome_perimetro='Individual Local' AND segmento='ESTR' AND ambito='PM' AND entidade='00100')Y ON X.CHAVE_IT1=Y.CHAVE_SIMUL1 AND X.CHAVE_IT2=Y.CHAVE_SIMUL2</v>
      </c>
      <c r="O31" s="35" t="s">
        <v>35</v>
      </c>
    </row>
    <row r="32" spans="1:15">
      <c r="A32" s="57" t="str">
        <f t="shared" si="0"/>
        <v>UNIV_OPERflag_inst_div</v>
      </c>
      <c r="B32" s="32" t="s">
        <v>204</v>
      </c>
      <c r="C32" s="32" t="s">
        <v>229</v>
      </c>
      <c r="D32" s="32" t="s">
        <v>5</v>
      </c>
      <c r="E32" s="32" t="str">
        <f>+UPPER('0. Instruções'!$D$35&amp;"."&amp;VLOOKUP(B32,'0. Instruções'!$C$27:$D$32,2,FALSE))</f>
        <v>CD_LOAN_TAPES_BCE.LT001_UNIV_OPER</v>
      </c>
      <c r="F32" s="32" t="str">
        <f>+UPPER('0. Instruções'!$D$36&amp;"."&amp;VLOOKUP(B32,'0. Instruções'!$C$27:$E$32,3,FALSE))</f>
        <v>BU_LOANTAPE_WORK.LT001_UNIV_OPER</v>
      </c>
      <c r="H32" s="32"/>
      <c r="I32" s="32"/>
      <c r="J32" s="32" t="str">
        <f>IF(VLOOKUP(B32,'0. Instruções'!$C$27:$G$32,5,FALSE)=0,
"(SELECT "&amp;VLOOKUP(B32,'0. Instruções'!$C$27:$G$32,4,FALSE)&amp;" AS CHAVE_IT, "&amp;C32&amp;" AS CAMPO_IT FROM "&amp;E32&amp;" WHERE "&amp;'0. Instruções'!$D$43&amp;")X",
"(SELECT "&amp;VLOOKUP(B32,'0. Instruções'!$C$27:$G$32,4,FALSE)&amp;" AS CHAVE_IT1, "&amp;VLOOKUP(B32,'0. Instruções'!$C$27:$G$32,5,FALSE)&amp;" AS CHAVE_IT2, "&amp;C32&amp;" AS CAMPO_IT FROM "&amp;E32&amp;" WHERE "&amp;'0. Instruções'!$D$43&amp;")X")</f>
        <v>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ambito='PM' AND entidade='00100')X</v>
      </c>
      <c r="K32" s="32" t="str">
        <f>IF(VLOOKUP(B32,'0. Instruções'!$C$27:$G$32,5,FALSE)=0,
"(SELECT "&amp;VLOOKUP(B32,'0. Instruções'!$C$27:$G$32,4,FALSE)&amp;" AS CHAVE_SIMUL, "&amp;C32&amp;" AS CAMPO_SIMUL FROM "&amp;F32&amp;" WHERE "&amp;'0. Instruções'!$D$42&amp;")Y",
"(SELECT "&amp;VLOOKUP(B32,'0. Instruções'!$C$27:$G$32,4,FALSE)&amp;" AS CHAVE_SIMUL1, "&amp;VLOOKUP(B32,'0. Instruções'!$C$27:$G$32,5,FALSE)&amp;" AS CHAVE_SIMUL2, "&amp;C32&amp;" AS CAMPO_SIMUL FROM "&amp;F32&amp;" WHERE "&amp;'0. Instruções'!$D$42&amp;")Y")</f>
        <v>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ambito='PM' AND entidade='00100')Y</v>
      </c>
      <c r="L32" s="32" t="str">
        <f>IF(VLOOKUP(B32,'0. Instruções'!$C$27:$G$32,5,FALSE)=0,
"ON X.CHAVE_IT=Y.CHAVE_SIMUL",
"ON X.CHAVE_IT1=Y.CHAVE_SIMUL1 AND X.CHAVE_IT2=Y.CHAVE_SIMUL2")</f>
        <v>ON X.CHAVE_IT1=Y.CHAVE_SIMUL1 AND X.CHAVE_IT2=Y.CHAVE_SIMUL2</v>
      </c>
      <c r="M32" s="32" t="str">
        <f>+IF(D32="Coerência",+IF(LEFT(H32,5)="FLOAT","SELECT '"&amp;UPPER(B32)&amp;"' AS TABELA, '"&amp;UPPER(D32)&amp;"' AS TIPOLOGIA_TESTE,'"&amp;E32&amp;"' AS TABELA_LT,'"&amp;F32&amp;"' AS TABELA_SIMUL,'"&amp;C32&amp;"'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"&amp;J32&amp;" INNER JOIN "&amp;K32&amp;" "&amp;L32,"SELECT '"&amp;UPPER(B32)&amp;"' AS TABELA, '"&amp;UPPER(D32)&amp;"' AS TIPOLOGIA_TESTE,'"&amp;E32&amp;"' AS TABELA_LT,'"&amp;F32&amp;"' AS TABELA_SIMUL,'"&amp;C32&amp;"'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"&amp;J32&amp;" INNER JOIN "&amp;K32&amp;" "&amp;L32))</f>
        <v>SELECT 'UNIV_OPER' AS TABELA, 'COERÊNCIA' AS TIPOLOGIA_TESTE,'CD_LOAN_TAPES_BCE.LT001_UNIV_OPER' AS TABELA_LT,'BU_LOANTAPE_WORK.LT001_UNIV_OPER' AS TABELA_SIMUL,'flag_inst_div'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ambito='PM' AND entidade='00100')Y ON X.CHAVE_IT1=Y.CHAVE_SIMUL1 AND X.CHAVE_IT2=Y.CHAVE_SIMUL2</v>
      </c>
      <c r="N32" s="33" t="str">
        <f t="shared" si="1"/>
        <v>UNION ALL SELECT 'UNIV_OPER' AS TABELA, 'COERÊNCIA' AS TIPOLOGIA_TESTE,'CD_LOAN_TAPES_BCE.LT001_UNIV_OPER' AS TABELA_LT,'BU_LOANTAPE_WORK.LT001_UNIV_OPER' AS TABELA_SIMUL,'flag_inst_div'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flag_inst_div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flag_inst_div AS CAMPO_SIMUL FROM BU_LOANTAPE_WORK.LT001_UNIV_OPER WHERE ref_date='${ref_date}' AND nome_perimetro='Individual Local' AND segmento='ESTR' AND ambito='PM' AND entidade='00100')Y ON X.CHAVE_IT1=Y.CHAVE_SIMUL1 AND X.CHAVE_IT2=Y.CHAVE_SIMUL2</v>
      </c>
      <c r="O32" s="35" t="s">
        <v>35</v>
      </c>
    </row>
    <row r="33" spans="1:15">
      <c r="A33" s="57" t="str">
        <f t="shared" si="0"/>
        <v>UNIV_OPERflag_inst_cap</v>
      </c>
      <c r="B33" s="32" t="s">
        <v>204</v>
      </c>
      <c r="C33" s="32" t="s">
        <v>230</v>
      </c>
      <c r="D33" s="32" t="s">
        <v>5</v>
      </c>
      <c r="E33" s="32" t="str">
        <f>+UPPER('0. Instruções'!$D$35&amp;"."&amp;VLOOKUP(B33,'0. Instruções'!$C$27:$D$32,2,FALSE))</f>
        <v>CD_LOAN_TAPES_BCE.LT001_UNIV_OPER</v>
      </c>
      <c r="F33" s="32" t="str">
        <f>+UPPER('0. Instruções'!$D$36&amp;"."&amp;VLOOKUP(B33,'0. Instruções'!$C$27:$E$32,3,FALSE))</f>
        <v>BU_LOANTAPE_WORK.LT001_UNIV_OPER</v>
      </c>
      <c r="H33" s="32"/>
      <c r="I33" s="32"/>
      <c r="J33" s="32" t="str">
        <f>IF(VLOOKUP(B33,'0. Instruções'!$C$27:$G$32,5,FALSE)=0,
"(SELECT "&amp;VLOOKUP(B33,'0. Instruções'!$C$27:$G$32,4,FALSE)&amp;" AS CHAVE_IT, "&amp;C33&amp;" AS CAMPO_IT FROM "&amp;E33&amp;" WHERE "&amp;'0. Instruções'!$D$43&amp;")X",
"(SELECT "&amp;VLOOKUP(B33,'0. Instruções'!$C$27:$G$32,4,FALSE)&amp;" AS CHAVE_IT1, "&amp;VLOOKUP(B33,'0. Instruções'!$C$27:$G$32,5,FALSE)&amp;" AS CHAVE_IT2, "&amp;C33&amp;" AS CAMPO_IT FROM "&amp;E33&amp;" WHERE "&amp;'0. Instruções'!$D$43&amp;")X")</f>
        <v>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ambito='PM' AND entidade='00100')X</v>
      </c>
      <c r="K33" s="32" t="str">
        <f>IF(VLOOKUP(B33,'0. Instruções'!$C$27:$G$32,5,FALSE)=0,
"(SELECT "&amp;VLOOKUP(B33,'0. Instruções'!$C$27:$G$32,4,FALSE)&amp;" AS CHAVE_SIMUL, "&amp;C33&amp;" AS CAMPO_SIMUL FROM "&amp;F33&amp;" WHERE "&amp;'0. Instruções'!$D$42&amp;")Y",
"(SELECT "&amp;VLOOKUP(B33,'0. Instruções'!$C$27:$G$32,4,FALSE)&amp;" AS CHAVE_SIMUL1, "&amp;VLOOKUP(B33,'0. Instruções'!$C$27:$G$32,5,FALSE)&amp;" AS CHAVE_SIMUL2, "&amp;C33&amp;" AS CAMPO_SIMUL FROM "&amp;F33&amp;" WHERE "&amp;'0. Instruções'!$D$42&amp;")Y")</f>
        <v>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ambito='PM' AND entidade='00100')Y</v>
      </c>
      <c r="L33" s="32" t="str">
        <f>IF(VLOOKUP(B33,'0. Instruções'!$C$27:$G$32,5,FALSE)=0,
"ON X.CHAVE_IT=Y.CHAVE_SIMUL",
"ON X.CHAVE_IT1=Y.CHAVE_SIMUL1 AND X.CHAVE_IT2=Y.CHAVE_SIMUL2")</f>
        <v>ON X.CHAVE_IT1=Y.CHAVE_SIMUL1 AND X.CHAVE_IT2=Y.CHAVE_SIMUL2</v>
      </c>
      <c r="M33" s="32" t="str">
        <f>+IF(D33="Coerência",+IF(LEFT(H33,5)="FLOAT","SELECT '"&amp;UPPER(B33)&amp;"' AS TABELA, '"&amp;UPPER(D33)&amp;"' AS TIPOLOGIA_TESTE,'"&amp;E33&amp;"' AS TABELA_LT,'"&amp;F33&amp;"' AS TABELA_SIMUL,'"&amp;C33&amp;"'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"&amp;J33&amp;" INNER JOIN "&amp;K33&amp;" "&amp;L33,"SELECT '"&amp;UPPER(B33)&amp;"' AS TABELA, '"&amp;UPPER(D33)&amp;"' AS TIPOLOGIA_TESTE,'"&amp;E33&amp;"' AS TABELA_LT,'"&amp;F33&amp;"' AS TABELA_SIMUL,'"&amp;C33&amp;"'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"&amp;J33&amp;" INNER JOIN "&amp;K33&amp;" "&amp;L33))</f>
        <v>SELECT 'UNIV_OPER' AS TABELA, 'COERÊNCIA' AS TIPOLOGIA_TESTE,'CD_LOAN_TAPES_BCE.LT001_UNIV_OPER' AS TABELA_LT,'BU_LOANTAPE_WORK.LT001_UNIV_OPER' AS TABELA_SIMUL,'flag_inst_cap'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ambito='PM' AND entidade='00100')Y ON X.CHAVE_IT1=Y.CHAVE_SIMUL1 AND X.CHAVE_IT2=Y.CHAVE_SIMUL2</v>
      </c>
      <c r="N33" s="33" t="str">
        <f t="shared" si="1"/>
        <v>UNION ALL SELECT 'UNIV_OPER' AS TABELA, 'COERÊNCIA' AS TIPOLOGIA_TESTE,'CD_LOAN_TAPES_BCE.LT001_UNIV_OPER' AS TABELA_LT,'BU_LOANTAPE_WORK.LT001_UNIV_OPER' AS TABELA_SIMUL,'flag_inst_cap'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flag_inst_cap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flag_inst_cap AS CAMPO_SIMUL FROM BU_LOANTAPE_WORK.LT001_UNIV_OPER WHERE ref_date='${ref_date}' AND nome_perimetro='Individual Local' AND segmento='ESTR' AND ambito='PM' AND entidade='00100')Y ON X.CHAVE_IT1=Y.CHAVE_SIMUL1 AND X.CHAVE_IT2=Y.CHAVE_SIMUL2</v>
      </c>
      <c r="O33" s="35" t="s">
        <v>35</v>
      </c>
    </row>
    <row r="34" spans="1:15">
      <c r="A34" s="57" t="str">
        <f t="shared" si="0"/>
        <v>UNIV_OPERflag_inst_deriv</v>
      </c>
      <c r="B34" s="32" t="s">
        <v>204</v>
      </c>
      <c r="C34" s="32" t="s">
        <v>231</v>
      </c>
      <c r="D34" s="32" t="s">
        <v>5</v>
      </c>
      <c r="E34" s="32" t="str">
        <f>+UPPER('0. Instruções'!$D$35&amp;"."&amp;VLOOKUP(B34,'0. Instruções'!$C$27:$D$32,2,FALSE))</f>
        <v>CD_LOAN_TAPES_BCE.LT001_UNIV_OPER</v>
      </c>
      <c r="F34" s="32" t="str">
        <f>+UPPER('0. Instruções'!$D$36&amp;"."&amp;VLOOKUP(B34,'0. Instruções'!$C$27:$E$32,3,FALSE))</f>
        <v>BU_LOANTAPE_WORK.LT001_UNIV_OPER</v>
      </c>
      <c r="H34" s="32"/>
      <c r="I34" s="32"/>
      <c r="J34" s="32" t="str">
        <f>IF(VLOOKUP(B34,'0. Instruções'!$C$27:$G$32,5,FALSE)=0,
"(SELECT "&amp;VLOOKUP(B34,'0. Instruções'!$C$27:$G$32,4,FALSE)&amp;" AS CHAVE_IT, "&amp;C34&amp;" AS CAMPO_IT FROM "&amp;E34&amp;" WHERE "&amp;'0. Instruções'!$D$43&amp;")X",
"(SELECT "&amp;VLOOKUP(B34,'0. Instruções'!$C$27:$G$32,4,FALSE)&amp;" AS CHAVE_IT1, "&amp;VLOOKUP(B34,'0. Instruções'!$C$27:$G$32,5,FALSE)&amp;" AS CHAVE_IT2, "&amp;C34&amp;" AS CAMPO_IT FROM "&amp;E34&amp;" WHERE "&amp;'0. Instruções'!$D$43&amp;")X")</f>
        <v>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ambito='PM' AND entidade='00100')X</v>
      </c>
      <c r="K34" s="32" t="str">
        <f>IF(VLOOKUP(B34,'0. Instruções'!$C$27:$G$32,5,FALSE)=0,
"(SELECT "&amp;VLOOKUP(B34,'0. Instruções'!$C$27:$G$32,4,FALSE)&amp;" AS CHAVE_SIMUL, "&amp;C34&amp;" AS CAMPO_SIMUL FROM "&amp;F34&amp;" WHERE "&amp;'0. Instruções'!$D$42&amp;")Y",
"(SELECT "&amp;VLOOKUP(B34,'0. Instruções'!$C$27:$G$32,4,FALSE)&amp;" AS CHAVE_SIMUL1, "&amp;VLOOKUP(B34,'0. Instruções'!$C$27:$G$32,5,FALSE)&amp;" AS CHAVE_SIMUL2, "&amp;C34&amp;" AS CAMPO_SIMUL FROM "&amp;F34&amp;" WHERE "&amp;'0. Instruções'!$D$42&amp;")Y")</f>
        <v>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ambito='PM' AND entidade='00100')Y</v>
      </c>
      <c r="L34" s="32" t="str">
        <f>IF(VLOOKUP(B34,'0. Instruções'!$C$27:$G$32,5,FALSE)=0,
"ON X.CHAVE_IT=Y.CHAVE_SIMUL",
"ON X.CHAVE_IT1=Y.CHAVE_SIMUL1 AND X.CHAVE_IT2=Y.CHAVE_SIMUL2")</f>
        <v>ON X.CHAVE_IT1=Y.CHAVE_SIMUL1 AND X.CHAVE_IT2=Y.CHAVE_SIMUL2</v>
      </c>
      <c r="M34" s="32" t="str">
        <f>+IF(D34="Coerência",+IF(LEFT(H34,5)="FLOAT","SELECT '"&amp;UPPER(B34)&amp;"' AS TABELA, '"&amp;UPPER(D34)&amp;"' AS TIPOLOGIA_TESTE,'"&amp;E34&amp;"' AS TABELA_LT,'"&amp;F34&amp;"' AS TABELA_SIMUL,'"&amp;C34&amp;"'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"&amp;J34&amp;" INNER JOIN "&amp;K34&amp;" "&amp;L34,"SELECT '"&amp;UPPER(B34)&amp;"' AS TABELA, '"&amp;UPPER(D34)&amp;"' AS TIPOLOGIA_TESTE,'"&amp;E34&amp;"' AS TABELA_LT,'"&amp;F34&amp;"' AS TABELA_SIMUL,'"&amp;C34&amp;"'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"&amp;J34&amp;" INNER JOIN "&amp;K34&amp;" "&amp;L34))</f>
        <v>SELECT 'UNIV_OPER' AS TABELA, 'COERÊNCIA' AS TIPOLOGIA_TESTE,'CD_LOAN_TAPES_BCE.LT001_UNIV_OPER' AS TABELA_LT,'BU_LOANTAPE_WORK.LT001_UNIV_OPER' AS TABELA_SIMUL,'flag_inst_deriv'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ambito='PM' AND entidade='00100')Y ON X.CHAVE_IT1=Y.CHAVE_SIMUL1 AND X.CHAVE_IT2=Y.CHAVE_SIMUL2</v>
      </c>
      <c r="N34" s="33" t="str">
        <f t="shared" si="1"/>
        <v>UNION ALL SELECT 'UNIV_OPER' AS TABELA, 'COERÊNCIA' AS TIPOLOGIA_TESTE,'CD_LOAN_TAPES_BCE.LT001_UNIV_OPER' AS TABELA_LT,'BU_LOANTAPE_WORK.LT001_UNIV_OPER' AS TABELA_SIMUL,'flag_inst_deriv'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flag_inst_deriv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flag_inst_deriv AS CAMPO_SIMUL FROM BU_LOANTAPE_WORK.LT001_UNIV_OPER WHERE ref_date='${ref_date}' AND nome_perimetro='Individual Local' AND segmento='ESTR' AND ambito='PM' AND entidade='00100')Y ON X.CHAVE_IT1=Y.CHAVE_SIMUL1 AND X.CHAVE_IT2=Y.CHAVE_SIMUL2</v>
      </c>
      <c r="O34" s="35" t="s">
        <v>35</v>
      </c>
    </row>
    <row r="35" spans="1:15">
      <c r="A35" s="57" t="str">
        <f t="shared" si="0"/>
        <v>UNIV_OPERflag_ajust_ncon</v>
      </c>
      <c r="B35" s="32" t="s">
        <v>204</v>
      </c>
      <c r="C35" s="32" t="s">
        <v>232</v>
      </c>
      <c r="D35" s="32" t="s">
        <v>5</v>
      </c>
      <c r="E35" s="32" t="str">
        <f>+UPPER('0. Instruções'!$D$35&amp;"."&amp;VLOOKUP(B35,'0. Instruções'!$C$27:$D$32,2,FALSE))</f>
        <v>CD_LOAN_TAPES_BCE.LT001_UNIV_OPER</v>
      </c>
      <c r="F35" s="32" t="str">
        <f>+UPPER('0. Instruções'!$D$36&amp;"."&amp;VLOOKUP(B35,'0. Instruções'!$C$27:$E$32,3,FALSE))</f>
        <v>BU_LOANTAPE_WORK.LT001_UNIV_OPER</v>
      </c>
      <c r="H35" s="32"/>
      <c r="I35" s="32"/>
      <c r="J35" s="32" t="str">
        <f>IF(VLOOKUP(B35,'0. Instruções'!$C$27:$G$32,5,FALSE)=0,
"(SELECT "&amp;VLOOKUP(B35,'0. Instruções'!$C$27:$G$32,4,FALSE)&amp;" AS CHAVE_IT, "&amp;C35&amp;" AS CAMPO_IT FROM "&amp;E35&amp;" WHERE "&amp;'0. Instruções'!$D$43&amp;")X",
"(SELECT "&amp;VLOOKUP(B35,'0. Instruções'!$C$27:$G$32,4,FALSE)&amp;" AS CHAVE_IT1, "&amp;VLOOKUP(B35,'0. Instruções'!$C$27:$G$32,5,FALSE)&amp;" AS CHAVE_IT2, "&amp;C35&amp;" AS CAMPO_IT FROM "&amp;E35&amp;" WHERE "&amp;'0. Instruções'!$D$43&amp;")X")</f>
        <v>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ambito='PM' AND entidade='00100')X</v>
      </c>
      <c r="K35" s="32" t="str">
        <f>IF(VLOOKUP(B35,'0. Instruções'!$C$27:$G$32,5,FALSE)=0,
"(SELECT "&amp;VLOOKUP(B35,'0. Instruções'!$C$27:$G$32,4,FALSE)&amp;" AS CHAVE_SIMUL, "&amp;C35&amp;" AS CAMPO_SIMUL FROM "&amp;F35&amp;" WHERE "&amp;'0. Instruções'!$D$42&amp;")Y",
"(SELECT "&amp;VLOOKUP(B35,'0. Instruções'!$C$27:$G$32,4,FALSE)&amp;" AS CHAVE_SIMUL1, "&amp;VLOOKUP(B35,'0. Instruções'!$C$27:$G$32,5,FALSE)&amp;" AS CHAVE_SIMUL2, "&amp;C35&amp;" AS CAMPO_SIMUL FROM "&amp;F35&amp;" WHERE "&amp;'0. Instruções'!$D$42&amp;")Y")</f>
        <v>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ambito='PM' AND entidade='00100')Y</v>
      </c>
      <c r="L35" s="32" t="str">
        <f>IF(VLOOKUP(B35,'0. Instruções'!$C$27:$G$32,5,FALSE)=0,
"ON X.CHAVE_IT=Y.CHAVE_SIMUL",
"ON X.CHAVE_IT1=Y.CHAVE_SIMUL1 AND X.CHAVE_IT2=Y.CHAVE_SIMUL2")</f>
        <v>ON X.CHAVE_IT1=Y.CHAVE_SIMUL1 AND X.CHAVE_IT2=Y.CHAVE_SIMUL2</v>
      </c>
      <c r="M35" s="32" t="str">
        <f>+IF(D35="Coerência",+IF(LEFT(H35,5)="FLOAT","SELECT '"&amp;UPPER(B35)&amp;"' AS TABELA, '"&amp;UPPER(D35)&amp;"' AS TIPOLOGIA_TESTE,'"&amp;E35&amp;"' AS TABELA_LT,'"&amp;F35&amp;"' AS TABELA_SIMUL,'"&amp;C35&amp;"'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"&amp;J35&amp;" INNER JOIN "&amp;K35&amp;" "&amp;L35,"SELECT '"&amp;UPPER(B35)&amp;"' AS TABELA, '"&amp;UPPER(D35)&amp;"' AS TIPOLOGIA_TESTE,'"&amp;E35&amp;"' AS TABELA_LT,'"&amp;F35&amp;"' AS TABELA_SIMUL,'"&amp;C35&amp;"'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"&amp;J35&amp;" INNER JOIN "&amp;K35&amp;" "&amp;L35))</f>
        <v>SELECT 'UNIV_OPER' AS TABELA, 'COERÊNCIA' AS TIPOLOGIA_TESTE,'CD_LOAN_TAPES_BCE.LT001_UNIV_OPER' AS TABELA_LT,'BU_LOANTAPE_WORK.LT001_UNIV_OPER' AS TABELA_SIMUL,'flag_ajust_ncon'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ambito='PM' AND entidade='00100')Y ON X.CHAVE_IT1=Y.CHAVE_SIMUL1 AND X.CHAVE_IT2=Y.CHAVE_SIMUL2</v>
      </c>
      <c r="N35" s="33" t="str">
        <f t="shared" si="1"/>
        <v>UNION ALL SELECT 'UNIV_OPER' AS TABELA, 'COERÊNCIA' AS TIPOLOGIA_TESTE,'CD_LOAN_TAPES_BCE.LT001_UNIV_OPER' AS TABELA_LT,'BU_LOANTAPE_WORK.LT001_UNIV_OPER' AS TABELA_SIMUL,'flag_ajust_ncon'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flag_ajust_ncon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flag_ajust_ncon AS CAMPO_SIMUL FROM BU_LOANTAPE_WORK.LT001_UNIV_OPER WHERE ref_date='${ref_date}' AND nome_perimetro='Individual Local' AND segmento='ESTR' AND ambito='PM' AND entidade='00100')Y ON X.CHAVE_IT1=Y.CHAVE_SIMUL1 AND X.CHAVE_IT2=Y.CHAVE_SIMUL2</v>
      </c>
      <c r="O35" s="35" t="s">
        <v>35</v>
      </c>
    </row>
    <row r="36" spans="1:15">
      <c r="A36" s="57" t="str">
        <f t="shared" si="0"/>
        <v>UNIV_OPERflag_mis</v>
      </c>
      <c r="B36" s="32" t="s">
        <v>204</v>
      </c>
      <c r="C36" s="32" t="s">
        <v>233</v>
      </c>
      <c r="D36" s="32" t="s">
        <v>5</v>
      </c>
      <c r="E36" s="32" t="str">
        <f>+UPPER('0. Instruções'!$D$35&amp;"."&amp;VLOOKUP(B36,'0. Instruções'!$C$27:$D$32,2,FALSE))</f>
        <v>CD_LOAN_TAPES_BCE.LT001_UNIV_OPER</v>
      </c>
      <c r="F36" s="32" t="str">
        <f>+UPPER('0. Instruções'!$D$36&amp;"."&amp;VLOOKUP(B36,'0. Instruções'!$C$27:$E$32,3,FALSE))</f>
        <v>BU_LOANTAPE_WORK.LT001_UNIV_OPER</v>
      </c>
      <c r="H36" s="32"/>
      <c r="I36" s="32"/>
      <c r="J36" s="32" t="str">
        <f>IF(VLOOKUP(B36,'0. Instruções'!$C$27:$G$32,5,FALSE)=0,
"(SELECT "&amp;VLOOKUP(B36,'0. Instruções'!$C$27:$G$32,4,FALSE)&amp;" AS CHAVE_IT, "&amp;C36&amp;" AS CAMPO_IT FROM "&amp;E36&amp;" WHERE "&amp;'0. Instruções'!$D$43&amp;")X",
"(SELECT "&amp;VLOOKUP(B36,'0. Instruções'!$C$27:$G$32,4,FALSE)&amp;" AS CHAVE_IT1, "&amp;VLOOKUP(B36,'0. Instruções'!$C$27:$G$32,5,FALSE)&amp;" AS CHAVE_IT2, "&amp;C36&amp;" AS CAMPO_IT FROM "&amp;E36&amp;" WHERE "&amp;'0. Instruções'!$D$43&amp;")X")</f>
        <v>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ambito='PM' AND entidade='00100')X</v>
      </c>
      <c r="K36" s="32" t="str">
        <f>IF(VLOOKUP(B36,'0. Instruções'!$C$27:$G$32,5,FALSE)=0,
"(SELECT "&amp;VLOOKUP(B36,'0. Instruções'!$C$27:$G$32,4,FALSE)&amp;" AS CHAVE_SIMUL, "&amp;C36&amp;" AS CAMPO_SIMUL FROM "&amp;F36&amp;" WHERE "&amp;'0. Instruções'!$D$42&amp;")Y",
"(SELECT "&amp;VLOOKUP(B36,'0. Instruções'!$C$27:$G$32,4,FALSE)&amp;" AS CHAVE_SIMUL1, "&amp;VLOOKUP(B36,'0. Instruções'!$C$27:$G$32,5,FALSE)&amp;" AS CHAVE_SIMUL2, "&amp;C36&amp;" AS CAMPO_SIMUL FROM "&amp;F36&amp;" WHERE "&amp;'0. Instruções'!$D$42&amp;")Y")</f>
        <v>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ambito='PM' AND entidade='00100')Y</v>
      </c>
      <c r="L36" s="32" t="str">
        <f>IF(VLOOKUP(B36,'0. Instruções'!$C$27:$G$32,5,FALSE)=0,
"ON X.CHAVE_IT=Y.CHAVE_SIMUL",
"ON X.CHAVE_IT1=Y.CHAVE_SIMUL1 AND X.CHAVE_IT2=Y.CHAVE_SIMUL2")</f>
        <v>ON X.CHAVE_IT1=Y.CHAVE_SIMUL1 AND X.CHAVE_IT2=Y.CHAVE_SIMUL2</v>
      </c>
      <c r="M36" s="32" t="str">
        <f>+IF(D36="Coerência",+IF(LEFT(H36,5)="FLOAT","SELECT '"&amp;UPPER(B36)&amp;"' AS TABELA, '"&amp;UPPER(D36)&amp;"' AS TIPOLOGIA_TESTE,'"&amp;E36&amp;"' AS TABELA_LT,'"&amp;F36&amp;"' AS TABELA_SIMUL,'"&amp;C36&amp;"'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"&amp;J36&amp;" INNER JOIN "&amp;K36&amp;" "&amp;L36,"SELECT '"&amp;UPPER(B36)&amp;"' AS TABELA, '"&amp;UPPER(D36)&amp;"' AS TIPOLOGIA_TESTE,'"&amp;E36&amp;"' AS TABELA_LT,'"&amp;F36&amp;"' AS TABELA_SIMUL,'"&amp;C36&amp;"'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"&amp;J36&amp;" INNER JOIN "&amp;K36&amp;" "&amp;L36))</f>
        <v>SELECT 'UNIV_OPER' AS TABELA, 'COERÊNCIA' AS TIPOLOGIA_TESTE,'CD_LOAN_TAPES_BCE.LT001_UNIV_OPER' AS TABELA_LT,'BU_LOANTAPE_WORK.LT001_UNIV_OPER' AS TABELA_SIMUL,'flag_mis'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ambito='PM' AND entidade='00100')Y ON X.CHAVE_IT1=Y.CHAVE_SIMUL1 AND X.CHAVE_IT2=Y.CHAVE_SIMUL2</v>
      </c>
      <c r="N36" s="33" t="str">
        <f t="shared" si="1"/>
        <v>UNION ALL SELECT 'UNIV_OPER' AS TABELA, 'COERÊNCIA' AS TIPOLOGIA_TESTE,'CD_LOAN_TAPES_BCE.LT001_UNIV_OPER' AS TABELA_LT,'BU_LOANTAPE_WORK.LT001_UNIV_OPER' AS TABELA_SIMUL,'flag_mis'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flag_mis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flag_mis AS CAMPO_SIMUL FROM BU_LOANTAPE_WORK.LT001_UNIV_OPER WHERE ref_date='${ref_date}' AND nome_perimetro='Individual Local' AND segmento='ESTR' AND ambito='PM' AND entidade='00100')Y ON X.CHAVE_IT1=Y.CHAVE_SIMUL1 AND X.CHAVE_IT2=Y.CHAVE_SIMUL2</v>
      </c>
      <c r="O36" s="35" t="s">
        <v>35</v>
      </c>
    </row>
    <row r="37" spans="1:15">
      <c r="A37" s="57" t="str">
        <f t="shared" si="0"/>
        <v>UNIV_OPERflag_inst_titulos</v>
      </c>
      <c r="B37" s="32" t="s">
        <v>204</v>
      </c>
      <c r="C37" s="32" t="s">
        <v>234</v>
      </c>
      <c r="D37" s="32" t="s">
        <v>5</v>
      </c>
      <c r="E37" s="32" t="str">
        <f>+UPPER('0. Instruções'!$D$35&amp;"."&amp;VLOOKUP(B37,'0. Instruções'!$C$27:$D$32,2,FALSE))</f>
        <v>CD_LOAN_TAPES_BCE.LT001_UNIV_OPER</v>
      </c>
      <c r="F37" s="32" t="str">
        <f>+UPPER('0. Instruções'!$D$36&amp;"."&amp;VLOOKUP(B37,'0. Instruções'!$C$27:$E$32,3,FALSE))</f>
        <v>BU_LOANTAPE_WORK.LT001_UNIV_OPER</v>
      </c>
      <c r="H37" s="32"/>
      <c r="I37" s="32"/>
      <c r="J37" s="32" t="str">
        <f>IF(VLOOKUP(B37,'0. Instruções'!$C$27:$G$32,5,FALSE)=0,
"(SELECT "&amp;VLOOKUP(B37,'0. Instruções'!$C$27:$G$32,4,FALSE)&amp;" AS CHAVE_IT, "&amp;C37&amp;" AS CAMPO_IT FROM "&amp;E37&amp;" WHERE "&amp;'0. Instruções'!$D$43&amp;")X",
"(SELECT "&amp;VLOOKUP(B37,'0. Instruções'!$C$27:$G$32,4,FALSE)&amp;" AS CHAVE_IT1, "&amp;VLOOKUP(B37,'0. Instruções'!$C$27:$G$32,5,FALSE)&amp;" AS CHAVE_IT2, "&amp;C37&amp;" AS CAMPO_IT FROM "&amp;E37&amp;" WHERE "&amp;'0. Instruções'!$D$43&amp;")X")</f>
        <v>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ambito='PM' AND entidade='00100')X</v>
      </c>
      <c r="K37" s="32" t="str">
        <f>IF(VLOOKUP(B37,'0. Instruções'!$C$27:$G$32,5,FALSE)=0,
"(SELECT "&amp;VLOOKUP(B37,'0. Instruções'!$C$27:$G$32,4,FALSE)&amp;" AS CHAVE_SIMUL, "&amp;C37&amp;" AS CAMPO_SIMUL FROM "&amp;F37&amp;" WHERE "&amp;'0. Instruções'!$D$42&amp;")Y",
"(SELECT "&amp;VLOOKUP(B37,'0. Instruções'!$C$27:$G$32,4,FALSE)&amp;" AS CHAVE_SIMUL1, "&amp;VLOOKUP(B37,'0. Instruções'!$C$27:$G$32,5,FALSE)&amp;" AS CHAVE_SIMUL2, "&amp;C37&amp;" AS CAMPO_SIMUL FROM "&amp;F37&amp;" WHERE "&amp;'0. Instruções'!$D$42&amp;")Y")</f>
        <v>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ambito='PM' AND entidade='00100')Y</v>
      </c>
      <c r="L37" s="32" t="str">
        <f>IF(VLOOKUP(B37,'0. Instruções'!$C$27:$G$32,5,FALSE)=0,
"ON X.CHAVE_IT=Y.CHAVE_SIMUL",
"ON X.CHAVE_IT1=Y.CHAVE_SIMUL1 AND X.CHAVE_IT2=Y.CHAVE_SIMUL2")</f>
        <v>ON X.CHAVE_IT1=Y.CHAVE_SIMUL1 AND X.CHAVE_IT2=Y.CHAVE_SIMUL2</v>
      </c>
      <c r="M37" s="32" t="str">
        <f>+IF(D37="Coerência",+IF(LEFT(H37,5)="FLOAT","SELECT '"&amp;UPPER(B37)&amp;"' AS TABELA, '"&amp;UPPER(D37)&amp;"' AS TIPOLOGIA_TESTE,'"&amp;E37&amp;"' AS TABELA_LT,'"&amp;F37&amp;"' AS TABELA_SIMUL,'"&amp;C37&amp;"'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"&amp;J37&amp;" INNER JOIN "&amp;K37&amp;" "&amp;L37,"SELECT '"&amp;UPPER(B37)&amp;"' AS TABELA, '"&amp;UPPER(D37)&amp;"' AS TIPOLOGIA_TESTE,'"&amp;E37&amp;"' AS TABELA_LT,'"&amp;F37&amp;"' AS TABELA_SIMUL,'"&amp;C37&amp;"'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"&amp;J37&amp;" INNER JOIN "&amp;K37&amp;" "&amp;L37))</f>
        <v>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ambito='PM' AND entidade='00100')Y ON X.CHAVE_IT1=Y.CHAVE_SIMUL1 AND X.CHAVE_IT2=Y.CHAVE_SIMUL2</v>
      </c>
      <c r="N37" s="33" t="str">
        <f t="shared" si="1"/>
        <v>UNION ALL SELECT 'UNIV_OPER' AS TABELA, 'COERÊNCIA' AS TIPOLOGIA_TESTE,'CD_LOAN_TAPES_BCE.LT001_UNIV_OPER' AS TABELA_LT,'BU_LOANTAPE_WORK.LT001_UNIV_OPER' AS TABELA_SIMUL,'flag_inst_titulos'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flag_inst_titulos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flag_inst_titulos AS CAMPO_SIMUL FROM BU_LOANTAPE_WORK.LT001_UNIV_OPER WHERE ref_date='${ref_date}' AND nome_perimetro='Individual Local' AND segmento='ESTR' AND ambito='PM' AND entidade='00100')Y ON X.CHAVE_IT1=Y.CHAVE_SIMUL1 AND X.CHAVE_IT2=Y.CHAVE_SIMUL2</v>
      </c>
      <c r="O37" s="35" t="s">
        <v>35</v>
      </c>
    </row>
    <row r="38" spans="1:15">
      <c r="A38" s="57" t="str">
        <f t="shared" si="0"/>
        <v>UNIV_OPERflag_gar_intrg_san</v>
      </c>
      <c r="B38" s="32" t="s">
        <v>204</v>
      </c>
      <c r="C38" s="32" t="s">
        <v>235</v>
      </c>
      <c r="D38" s="32" t="s">
        <v>5</v>
      </c>
      <c r="E38" s="32" t="str">
        <f>+UPPER('0. Instruções'!$D$35&amp;"."&amp;VLOOKUP(B38,'0. Instruções'!$C$27:$D$32,2,FALSE))</f>
        <v>CD_LOAN_TAPES_BCE.LT001_UNIV_OPER</v>
      </c>
      <c r="F38" s="32" t="str">
        <f>+UPPER('0. Instruções'!$D$36&amp;"."&amp;VLOOKUP(B38,'0. Instruções'!$C$27:$E$32,3,FALSE))</f>
        <v>BU_LOANTAPE_WORK.LT001_UNIV_OPER</v>
      </c>
      <c r="H38" s="32"/>
      <c r="I38" s="32"/>
      <c r="J38" s="32" t="str">
        <f>IF(VLOOKUP(B38,'0. Instruções'!$C$27:$G$32,5,FALSE)=0,
"(SELECT "&amp;VLOOKUP(B38,'0. Instruções'!$C$27:$G$32,4,FALSE)&amp;" AS CHAVE_IT, "&amp;C38&amp;" AS CAMPO_IT FROM "&amp;E38&amp;" WHERE "&amp;'0. Instruções'!$D$43&amp;")X",
"(SELECT "&amp;VLOOKUP(B38,'0. Instruções'!$C$27:$G$32,4,FALSE)&amp;" AS CHAVE_IT1, "&amp;VLOOKUP(B38,'0. Instruções'!$C$27:$G$32,5,FALSE)&amp;" AS CHAVE_IT2, "&amp;C38&amp;" AS CAMPO_IT FROM "&amp;E38&amp;" WHERE "&amp;'0. Instruções'!$D$43&amp;")X")</f>
        <v>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ambito='PM' AND entidade='00100')X</v>
      </c>
      <c r="K38" s="32" t="str">
        <f>IF(VLOOKUP(B38,'0. Instruções'!$C$27:$G$32,5,FALSE)=0,
"(SELECT "&amp;VLOOKUP(B38,'0. Instruções'!$C$27:$G$32,4,FALSE)&amp;" AS CHAVE_SIMUL, "&amp;C38&amp;" AS CAMPO_SIMUL FROM "&amp;F38&amp;" WHERE "&amp;'0. Instruções'!$D$42&amp;")Y",
"(SELECT "&amp;VLOOKUP(B38,'0. Instruções'!$C$27:$G$32,4,FALSE)&amp;" AS CHAVE_SIMUL1, "&amp;VLOOKUP(B38,'0. Instruções'!$C$27:$G$32,5,FALSE)&amp;" AS CHAVE_SIMUL2, "&amp;C38&amp;" AS CAMPO_SIMUL FROM "&amp;F38&amp;" WHERE "&amp;'0. Instruções'!$D$42&amp;")Y")</f>
        <v>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ambito='PM' AND entidade='00100')Y</v>
      </c>
      <c r="L38" s="32" t="str">
        <f>IF(VLOOKUP(B38,'0. Instruções'!$C$27:$G$32,5,FALSE)=0,
"ON X.CHAVE_IT=Y.CHAVE_SIMUL",
"ON X.CHAVE_IT1=Y.CHAVE_SIMUL1 AND X.CHAVE_IT2=Y.CHAVE_SIMUL2")</f>
        <v>ON X.CHAVE_IT1=Y.CHAVE_SIMUL1 AND X.CHAVE_IT2=Y.CHAVE_SIMUL2</v>
      </c>
      <c r="M38" s="32" t="str">
        <f>+IF(D38="Coerência",+IF(LEFT(H38,5)="FLOAT","SELECT '"&amp;UPPER(B38)&amp;"' AS TABELA, '"&amp;UPPER(D38)&amp;"' AS TIPOLOGIA_TESTE,'"&amp;E38&amp;"' AS TABELA_LT,'"&amp;F38&amp;"' AS TABELA_SIMUL,'"&amp;C38&amp;"'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"&amp;J38&amp;" INNER JOIN "&amp;K38&amp;" "&amp;L38,"SELECT '"&amp;UPPER(B38)&amp;"' AS TABELA, '"&amp;UPPER(D38)&amp;"' AS TIPOLOGIA_TESTE,'"&amp;E38&amp;"' AS TABELA_LT,'"&amp;F38&amp;"' AS TABELA_SIMUL,'"&amp;C38&amp;"'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"&amp;J38&amp;" INNER JOIN "&amp;K38&amp;" "&amp;L38))</f>
        <v>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ambito='PM' AND entidade='00100')Y ON X.CHAVE_IT1=Y.CHAVE_SIMUL1 AND X.CHAVE_IT2=Y.CHAVE_SIMUL2</v>
      </c>
      <c r="N38" s="33" t="str">
        <f t="shared" ref="N38" si="2">+"UNION ALL "&amp;M38</f>
        <v>UNION ALL SELECT 'UNIV_OPER' AS TABELA, 'COERÊNCIA' AS TIPOLOGIA_TESTE,'CD_LOAN_TAPES_BCE.LT001_UNIV_OPER' AS TABELA_LT,'BU_LOANTAPE_WORK.LT001_UNIV_OPER' AS TABELA_SIMUL,'flag_gar_intrg_san'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flag_gar_intrg_san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flag_gar_intrg_san AS CAMPO_SIMUL FROM BU_LOANTAPE_WORK.LT001_UNIV_OPER WHERE ref_date='${ref_date}' AND nome_perimetro='Individual Local' AND segmento='ESTR' AND ambito='PM' AND entidade='00100')Y ON X.CHAVE_IT1=Y.CHAVE_SIMUL1 AND X.CHAVE_IT2=Y.CHAVE_SIMUL2</v>
      </c>
      <c r="O38" s="35" t="s">
        <v>35</v>
      </c>
    </row>
    <row r="39" spans="1:15">
      <c r="A39" s="57" t="str">
        <f t="shared" si="0"/>
        <v>UNIV_OPERvalor_bruto_on</v>
      </c>
      <c r="B39" s="32" t="s">
        <v>204</v>
      </c>
      <c r="C39" s="32" t="s">
        <v>236</v>
      </c>
      <c r="D39" s="32" t="s">
        <v>5</v>
      </c>
      <c r="E39" s="32" t="str">
        <f>+UPPER('0. Instruções'!$D$35&amp;"."&amp;VLOOKUP(B39,'0. Instruções'!$C$27:$D$32,2,FALSE))</f>
        <v>CD_LOAN_TAPES_BCE.LT001_UNIV_OPER</v>
      </c>
      <c r="F39" s="32" t="str">
        <f>+UPPER('0. Instruções'!$D$36&amp;"."&amp;VLOOKUP(B39,'0. Instruções'!$C$27:$E$32,3,FALSE))</f>
        <v>BU_LOANTAPE_WORK.LT001_UNIV_OPER</v>
      </c>
      <c r="H39" s="32"/>
      <c r="I39" s="32"/>
      <c r="J39" s="32" t="str">
        <f>IF(VLOOKUP(B39,'0. Instruções'!$C$27:$G$32,5,FALSE)=0,
"(SELECT "&amp;VLOOKUP(B39,'0. Instruções'!$C$27:$G$32,4,FALSE)&amp;" AS CHAVE_IT, "&amp;C39&amp;" AS CAMPO_IT FROM "&amp;E39&amp;" WHERE "&amp;'0. Instruções'!$D$43&amp;")X",
"(SELECT "&amp;VLOOKUP(B39,'0. Instruções'!$C$27:$G$32,4,FALSE)&amp;" AS CHAVE_IT1, "&amp;VLOOKUP(B39,'0. Instruções'!$C$27:$G$32,5,FALSE)&amp;" AS CHAVE_IT2, "&amp;C39&amp;" AS CAMPO_IT FROM "&amp;E39&amp;" WHERE "&amp;'0. Instruções'!$D$43&amp;")X")</f>
        <v>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ambito='PM' AND entidade='00100')X</v>
      </c>
      <c r="K39" s="32" t="str">
        <f>IF(VLOOKUP(B39,'0. Instruções'!$C$27:$G$32,5,FALSE)=0,
"(SELECT "&amp;VLOOKUP(B39,'0. Instruções'!$C$27:$G$32,4,FALSE)&amp;" AS CHAVE_SIMUL, "&amp;C39&amp;" AS CAMPO_SIMUL FROM "&amp;F39&amp;" WHERE "&amp;'0. Instruções'!$D$42&amp;")Y",
"(SELECT "&amp;VLOOKUP(B39,'0. Instruções'!$C$27:$G$32,4,FALSE)&amp;" AS CHAVE_SIMUL1, "&amp;VLOOKUP(B39,'0. Instruções'!$C$27:$G$32,5,FALSE)&amp;" AS CHAVE_SIMUL2, "&amp;C39&amp;" AS CAMPO_SIMUL FROM "&amp;F39&amp;" WHERE "&amp;'0. Instruções'!$D$42&amp;")Y")</f>
        <v>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ambito='PM' AND entidade='00100')Y</v>
      </c>
      <c r="L39" s="32" t="str">
        <f>IF(VLOOKUP(B39,'0. Instruções'!$C$27:$G$32,5,FALSE)=0,
"ON X.CHAVE_IT=Y.CHAVE_SIMUL",
"ON X.CHAVE_IT1=Y.CHAVE_SIMUL1 AND X.CHAVE_IT2=Y.CHAVE_SIMUL2")</f>
        <v>ON X.CHAVE_IT1=Y.CHAVE_SIMUL1 AND X.CHAVE_IT2=Y.CHAVE_SIMUL2</v>
      </c>
      <c r="M39" s="32" t="str">
        <f>+IF(D39="Coerência",+IF(LEFT(H39,5)="FLOAT","SELECT '"&amp;UPPER(B39)&amp;"' AS TABELA, '"&amp;UPPER(D39)&amp;"' AS TIPOLOGIA_TESTE,'"&amp;E39&amp;"' AS TABELA_LT,'"&amp;F39&amp;"' AS TABELA_SIMUL,'"&amp;C39&amp;"'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"&amp;J39&amp;" INNER JOIN "&amp;K39&amp;" "&amp;L39,"SELECT '"&amp;UPPER(B39)&amp;"' AS TABELA, '"&amp;UPPER(D39)&amp;"' AS TIPOLOGIA_TESTE,'"&amp;E39&amp;"' AS TABELA_LT,'"&amp;F39&amp;"' AS TABELA_SIMUL,'"&amp;C39&amp;"'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"&amp;J39&amp;" INNER JOIN "&amp;K39&amp;" "&amp;L39))</f>
        <v>SELECT 'UNIV_OPER' AS TABELA, 'COERÊNCIA' AS TIPOLOGIA_TESTE,'CD_LOAN_TAPES_BCE.LT001_UNIV_OPER' AS TABELA_LT,'BU_LOANTAPE_WORK.LT001_UNIV_OPER' AS TABELA_SIMUL,'valor_bruto_on'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ambito='PM' AND entidade='00100')Y ON X.CHAVE_IT1=Y.CHAVE_SIMUL1 AND X.CHAVE_IT2=Y.CHAVE_SIMUL2</v>
      </c>
      <c r="N39" s="33" t="str">
        <f t="shared" ref="N39:N101" si="3">+"UNION ALL "&amp;M39</f>
        <v>UNION ALL SELECT 'UNIV_OPER' AS TABELA, 'COERÊNCIA' AS TIPOLOGIA_TESTE,'CD_LOAN_TAPES_BCE.LT001_UNIV_OPER' AS TABELA_LT,'BU_LOANTAPE_WORK.LT001_UNIV_OPER' AS TABELA_SIMUL,'valor_bruto_on'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valor_bruto_on AS CAMPO_SIMUL FROM BU_LOANTAPE_WORK.LT001_UNIV_OPER WHERE ref_date='${ref_date}' AND nome_perimetro='Individual Local' AND segmento='ESTR' AND ambito='PM' AND entidade='00100')Y ON X.CHAVE_IT1=Y.CHAVE_SIMUL1 AND X.CHAVE_IT2=Y.CHAVE_SIMUL2</v>
      </c>
      <c r="O39" s="35" t="s">
        <v>35</v>
      </c>
    </row>
    <row r="40" spans="1:15">
      <c r="A40" s="57" t="str">
        <f t="shared" si="0"/>
        <v>UNIV_OPERvalor_bruto_off</v>
      </c>
      <c r="B40" s="32" t="s">
        <v>204</v>
      </c>
      <c r="C40" s="32" t="s">
        <v>237</v>
      </c>
      <c r="D40" s="32" t="s">
        <v>5</v>
      </c>
      <c r="E40" s="32" t="str">
        <f>+UPPER('0. Instruções'!$D$35&amp;"."&amp;VLOOKUP(B40,'0. Instruções'!$C$27:$D$32,2,FALSE))</f>
        <v>CD_LOAN_TAPES_BCE.LT001_UNIV_OPER</v>
      </c>
      <c r="F40" s="32" t="str">
        <f>+UPPER('0. Instruções'!$D$36&amp;"."&amp;VLOOKUP(B40,'0. Instruções'!$C$27:$E$32,3,FALSE))</f>
        <v>BU_LOANTAPE_WORK.LT001_UNIV_OPER</v>
      </c>
      <c r="H40" s="32"/>
      <c r="I40" s="32"/>
      <c r="J40" s="32" t="str">
        <f>IF(VLOOKUP(B40,'0. Instruções'!$C$27:$G$32,5,FALSE)=0,
"(SELECT "&amp;VLOOKUP(B40,'0. Instruções'!$C$27:$G$32,4,FALSE)&amp;" AS CHAVE_IT, "&amp;C40&amp;" AS CAMPO_IT FROM "&amp;E40&amp;" WHERE "&amp;'0. Instruções'!$D$43&amp;")X",
"(SELECT "&amp;VLOOKUP(B40,'0. Instruções'!$C$27:$G$32,4,FALSE)&amp;" AS CHAVE_IT1, "&amp;VLOOKUP(B40,'0. Instruções'!$C$27:$G$32,5,FALSE)&amp;" AS CHAVE_IT2, "&amp;C40&amp;" AS CAMPO_IT FROM "&amp;E40&amp;" WHERE "&amp;'0. Instruções'!$D$43&amp;")X")</f>
        <v>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ambito='PM' AND entidade='00100')X</v>
      </c>
      <c r="K40" s="32" t="str">
        <f>IF(VLOOKUP(B40,'0. Instruções'!$C$27:$G$32,5,FALSE)=0,
"(SELECT "&amp;VLOOKUP(B40,'0. Instruções'!$C$27:$G$32,4,FALSE)&amp;" AS CHAVE_SIMUL, "&amp;C40&amp;" AS CAMPO_SIMUL FROM "&amp;F40&amp;" WHERE "&amp;'0. Instruções'!$D$42&amp;")Y",
"(SELECT "&amp;VLOOKUP(B40,'0. Instruções'!$C$27:$G$32,4,FALSE)&amp;" AS CHAVE_SIMUL1, "&amp;VLOOKUP(B40,'0. Instruções'!$C$27:$G$32,5,FALSE)&amp;" AS CHAVE_SIMUL2, "&amp;C40&amp;" AS CAMPO_SIMUL FROM "&amp;F40&amp;" WHERE "&amp;'0. Instruções'!$D$42&amp;")Y")</f>
        <v>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ambito='PM' AND entidade='00100')Y</v>
      </c>
      <c r="L40" s="32" t="str">
        <f>IF(VLOOKUP(B40,'0. Instruções'!$C$27:$G$32,5,FALSE)=0,
"ON X.CHAVE_IT=Y.CHAVE_SIMUL",
"ON X.CHAVE_IT1=Y.CHAVE_SIMUL1 AND X.CHAVE_IT2=Y.CHAVE_SIMUL2")</f>
        <v>ON X.CHAVE_IT1=Y.CHAVE_SIMUL1 AND X.CHAVE_IT2=Y.CHAVE_SIMUL2</v>
      </c>
      <c r="M40" s="32" t="str">
        <f>+IF(D40="Coerência",+IF(LEFT(H40,5)="FLOAT","SELECT '"&amp;UPPER(B40)&amp;"' AS TABELA, '"&amp;UPPER(D40)&amp;"' AS TIPOLOGIA_TESTE,'"&amp;E40&amp;"' AS TABELA_LT,'"&amp;F40&amp;"' AS TABELA_SIMUL,'"&amp;C40&amp;"'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"&amp;J40&amp;" INNER JOIN "&amp;K40&amp;" "&amp;L40,"SELECT '"&amp;UPPER(B40)&amp;"' AS TABELA, '"&amp;UPPER(D40)&amp;"' AS TIPOLOGIA_TESTE,'"&amp;E40&amp;"' AS TABELA_LT,'"&amp;F40&amp;"' AS TABELA_SIMUL,'"&amp;C40&amp;"'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"&amp;J40&amp;" INNER JOIN "&amp;K40&amp;" "&amp;L40))</f>
        <v>SELECT 'UNIV_OPER' AS TABELA, 'COERÊNCIA' AS TIPOLOGIA_TESTE,'CD_LOAN_TAPES_BCE.LT001_UNIV_OPER' AS TABELA_LT,'BU_LOANTAPE_WORK.LT001_UNIV_OPER' AS TABELA_SIMUL,'valor_bruto_off'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ambito='PM' AND entidade='00100')Y ON X.CHAVE_IT1=Y.CHAVE_SIMUL1 AND X.CHAVE_IT2=Y.CHAVE_SIMUL2</v>
      </c>
      <c r="N40" s="33" t="str">
        <f t="shared" si="3"/>
        <v>UNION ALL SELECT 'UNIV_OPER' AS TABELA, 'COERÊNCIA' AS TIPOLOGIA_TESTE,'CD_LOAN_TAPES_BCE.LT001_UNIV_OPER' AS TABELA_LT,'BU_LOANTAPE_WORK.LT001_UNIV_OPER' AS TABELA_SIMUL,'valor_bruto_off'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valor_bruto_off AS CAMPO_SIMUL FROM BU_LOANTAPE_WORK.LT001_UNIV_OPER WHERE ref_date='${ref_date}' AND nome_perimetro='Individual Local' AND segmento='ESTR' AND ambito='PM' AND entidade='00100')Y ON X.CHAVE_IT1=Y.CHAVE_SIMUL1 AND X.CHAVE_IT2=Y.CHAVE_SIMUL2</v>
      </c>
      <c r="O40" s="35" t="s">
        <v>35</v>
      </c>
    </row>
    <row r="41" spans="1:15">
      <c r="A41" s="57" t="str">
        <f t="shared" si="0"/>
        <v>UNIV_OPERprovisao_on</v>
      </c>
      <c r="B41" s="32" t="s">
        <v>204</v>
      </c>
      <c r="C41" s="32" t="s">
        <v>238</v>
      </c>
      <c r="D41" s="32" t="s">
        <v>5</v>
      </c>
      <c r="E41" s="32" t="str">
        <f>+UPPER('0. Instruções'!$D$35&amp;"."&amp;VLOOKUP(B41,'0. Instruções'!$C$27:$D$32,2,FALSE))</f>
        <v>CD_LOAN_TAPES_BCE.LT001_UNIV_OPER</v>
      </c>
      <c r="F41" s="32" t="str">
        <f>+UPPER('0. Instruções'!$D$36&amp;"."&amp;VLOOKUP(B41,'0. Instruções'!$C$27:$E$32,3,FALSE))</f>
        <v>BU_LOANTAPE_WORK.LT001_UNIV_OPER</v>
      </c>
      <c r="H41" s="32"/>
      <c r="I41" s="32"/>
      <c r="J41" s="32" t="str">
        <f>IF(VLOOKUP(B41,'0. Instruções'!$C$27:$G$32,5,FALSE)=0,
"(SELECT "&amp;VLOOKUP(B41,'0. Instruções'!$C$27:$G$32,4,FALSE)&amp;" AS CHAVE_IT, "&amp;C41&amp;" AS CAMPO_IT FROM "&amp;E41&amp;" WHERE "&amp;'0. Instruções'!$D$43&amp;")X",
"(SELECT "&amp;VLOOKUP(B41,'0. Instruções'!$C$27:$G$32,4,FALSE)&amp;" AS CHAVE_IT1, "&amp;VLOOKUP(B41,'0. Instruções'!$C$27:$G$32,5,FALSE)&amp;" AS CHAVE_IT2, "&amp;C41&amp;" AS CAMPO_IT FROM "&amp;E41&amp;" WHERE "&amp;'0. Instruções'!$D$43&amp;")X")</f>
        <v>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ambito='PM' AND entidade='00100')X</v>
      </c>
      <c r="K41" s="32" t="str">
        <f>IF(VLOOKUP(B41,'0. Instruções'!$C$27:$G$32,5,FALSE)=0,
"(SELECT "&amp;VLOOKUP(B41,'0. Instruções'!$C$27:$G$32,4,FALSE)&amp;" AS CHAVE_SIMUL, "&amp;C41&amp;" AS CAMPO_SIMUL FROM "&amp;F41&amp;" WHERE "&amp;'0. Instruções'!$D$42&amp;")Y",
"(SELECT "&amp;VLOOKUP(B41,'0. Instruções'!$C$27:$G$32,4,FALSE)&amp;" AS CHAVE_SIMUL1, "&amp;VLOOKUP(B41,'0. Instruções'!$C$27:$G$32,5,FALSE)&amp;" AS CHAVE_SIMUL2, "&amp;C41&amp;" AS CAMPO_SIMUL FROM "&amp;F41&amp;" WHERE "&amp;'0. Instruções'!$D$42&amp;")Y")</f>
        <v>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ambito='PM' AND entidade='00100')Y</v>
      </c>
      <c r="L41" s="32" t="str">
        <f>IF(VLOOKUP(B41,'0. Instruções'!$C$27:$G$32,5,FALSE)=0,
"ON X.CHAVE_IT=Y.CHAVE_SIMUL",
"ON X.CHAVE_IT1=Y.CHAVE_SIMUL1 AND X.CHAVE_IT2=Y.CHAVE_SIMUL2")</f>
        <v>ON X.CHAVE_IT1=Y.CHAVE_SIMUL1 AND X.CHAVE_IT2=Y.CHAVE_SIMUL2</v>
      </c>
      <c r="M41" s="32" t="str">
        <f>+IF(D41="Coerência",+IF(LEFT(H41,5)="FLOAT","SELECT '"&amp;UPPER(B41)&amp;"' AS TABELA, '"&amp;UPPER(D41)&amp;"' AS TIPOLOGIA_TESTE,'"&amp;E41&amp;"' AS TABELA_LT,'"&amp;F41&amp;"' AS TABELA_SIMUL,'"&amp;C41&amp;"'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"&amp;J41&amp;" INNER JOIN "&amp;K41&amp;" "&amp;L41,"SELECT '"&amp;UPPER(B41)&amp;"' AS TABELA, '"&amp;UPPER(D41)&amp;"' AS TIPOLOGIA_TESTE,'"&amp;E41&amp;"' AS TABELA_LT,'"&amp;F41&amp;"' AS TABELA_SIMUL,'"&amp;C41&amp;"'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"&amp;J41&amp;" INNER JOIN "&amp;K41&amp;" "&amp;L41))</f>
        <v>SELECT 'UNIV_OPER' AS TABELA, 'COERÊNCIA' AS TIPOLOGIA_TESTE,'CD_LOAN_TAPES_BCE.LT001_UNIV_OPER' AS TABELA_LT,'BU_LOANTAPE_WORK.LT001_UNIV_OPER' AS TABELA_SIMUL,'provisao_on'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ambito='PM' AND entidade='00100')Y ON X.CHAVE_IT1=Y.CHAVE_SIMUL1 AND X.CHAVE_IT2=Y.CHAVE_SIMUL2</v>
      </c>
      <c r="N41" s="33" t="str">
        <f t="shared" si="3"/>
        <v>UNION ALL SELECT 'UNIV_OPER' AS TABELA, 'COERÊNCIA' AS TIPOLOGIA_TESTE,'CD_LOAN_TAPES_BCE.LT001_UNIV_OPER' AS TABELA_LT,'BU_LOANTAPE_WORK.LT001_UNIV_OPER' AS TABELA_SIMUL,'provisao_on'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provisao_on AS CAMPO_SIMUL FROM BU_LOANTAPE_WORK.LT001_UNIV_OPER WHERE ref_date='${ref_date}' AND nome_perimetro='Individual Local' AND segmento='ESTR' AND ambito='PM' AND entidade='00100')Y ON X.CHAVE_IT1=Y.CHAVE_SIMUL1 AND X.CHAVE_IT2=Y.CHAVE_SIMUL2</v>
      </c>
      <c r="O41" s="35" t="s">
        <v>35</v>
      </c>
    </row>
    <row r="42" spans="1:15">
      <c r="A42" s="57" t="str">
        <f t="shared" si="0"/>
        <v>UNIV_OPERprovisao_off</v>
      </c>
      <c r="B42" s="32" t="s">
        <v>204</v>
      </c>
      <c r="C42" s="32" t="s">
        <v>239</v>
      </c>
      <c r="D42" s="32" t="s">
        <v>5</v>
      </c>
      <c r="E42" s="32" t="str">
        <f>+UPPER('0. Instruções'!$D$35&amp;"."&amp;VLOOKUP(B42,'0. Instruções'!$C$27:$D$32,2,FALSE))</f>
        <v>CD_LOAN_TAPES_BCE.LT001_UNIV_OPER</v>
      </c>
      <c r="F42" s="32" t="str">
        <f>+UPPER('0. Instruções'!$D$36&amp;"."&amp;VLOOKUP(B42,'0. Instruções'!$C$27:$E$32,3,FALSE))</f>
        <v>BU_LOANTAPE_WORK.LT001_UNIV_OPER</v>
      </c>
      <c r="H42" s="32"/>
      <c r="I42" s="32"/>
      <c r="J42" s="32" t="str">
        <f>IF(VLOOKUP(B42,'0. Instruções'!$C$27:$G$32,5,FALSE)=0,
"(SELECT "&amp;VLOOKUP(B42,'0. Instruções'!$C$27:$G$32,4,FALSE)&amp;" AS CHAVE_IT, "&amp;C42&amp;" AS CAMPO_IT FROM "&amp;E42&amp;" WHERE "&amp;'0. Instruções'!$D$43&amp;")X",
"(SELECT "&amp;VLOOKUP(B42,'0. Instruções'!$C$27:$G$32,4,FALSE)&amp;" AS CHAVE_IT1, "&amp;VLOOKUP(B42,'0. Instruções'!$C$27:$G$32,5,FALSE)&amp;" AS CHAVE_IT2, "&amp;C42&amp;" AS CAMPO_IT FROM "&amp;E42&amp;" WHERE "&amp;'0. Instruções'!$D$43&amp;")X")</f>
        <v>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ambito='PM' AND entidade='00100')X</v>
      </c>
      <c r="K42" s="32" t="str">
        <f>IF(VLOOKUP(B42,'0. Instruções'!$C$27:$G$32,5,FALSE)=0,
"(SELECT "&amp;VLOOKUP(B42,'0. Instruções'!$C$27:$G$32,4,FALSE)&amp;" AS CHAVE_SIMUL, "&amp;C42&amp;" AS CAMPO_SIMUL FROM "&amp;F42&amp;" WHERE "&amp;'0. Instruções'!$D$42&amp;")Y",
"(SELECT "&amp;VLOOKUP(B42,'0. Instruções'!$C$27:$G$32,4,FALSE)&amp;" AS CHAVE_SIMUL1, "&amp;VLOOKUP(B42,'0. Instruções'!$C$27:$G$32,5,FALSE)&amp;" AS CHAVE_SIMUL2, "&amp;C42&amp;" AS CAMPO_SIMUL FROM "&amp;F42&amp;" WHERE "&amp;'0. Instruções'!$D$42&amp;")Y")</f>
        <v>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ambito='PM' AND entidade='00100')Y</v>
      </c>
      <c r="L42" s="32" t="str">
        <f>IF(VLOOKUP(B42,'0. Instruções'!$C$27:$G$32,5,FALSE)=0,
"ON X.CHAVE_IT=Y.CHAVE_SIMUL",
"ON X.CHAVE_IT1=Y.CHAVE_SIMUL1 AND X.CHAVE_IT2=Y.CHAVE_SIMUL2")</f>
        <v>ON X.CHAVE_IT1=Y.CHAVE_SIMUL1 AND X.CHAVE_IT2=Y.CHAVE_SIMUL2</v>
      </c>
      <c r="M42" s="32" t="str">
        <f>+IF(D42="Coerência",+IF(LEFT(H42,5)="FLOAT","SELECT '"&amp;UPPER(B42)&amp;"' AS TABELA, '"&amp;UPPER(D42)&amp;"' AS TIPOLOGIA_TESTE,'"&amp;E42&amp;"' AS TABELA_LT,'"&amp;F42&amp;"' AS TABELA_SIMUL,'"&amp;C42&amp;"'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"&amp;J42&amp;" INNER JOIN "&amp;K42&amp;" "&amp;L42,"SELECT '"&amp;UPPER(B42)&amp;"' AS TABELA, '"&amp;UPPER(D42)&amp;"' AS TIPOLOGIA_TESTE,'"&amp;E42&amp;"' AS TABELA_LT,'"&amp;F42&amp;"' AS TABELA_SIMUL,'"&amp;C42&amp;"'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"&amp;J42&amp;" INNER JOIN "&amp;K42&amp;" "&amp;L42))</f>
        <v>SELECT 'UNIV_OPER' AS TABELA, 'COERÊNCIA' AS TIPOLOGIA_TESTE,'CD_LOAN_TAPES_BCE.LT001_UNIV_OPER' AS TABELA_LT,'BU_LOANTAPE_WORK.LT001_UNIV_OPER' AS TABELA_SIMUL,'provisao_off'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ambito='PM' AND entidade='00100')Y ON X.CHAVE_IT1=Y.CHAVE_SIMUL1 AND X.CHAVE_IT2=Y.CHAVE_SIMUL2</v>
      </c>
      <c r="N42" s="33" t="str">
        <f t="shared" si="3"/>
        <v>UNION ALL SELECT 'UNIV_OPER' AS TABELA, 'COERÊNCIA' AS TIPOLOGIA_TESTE,'CD_LOAN_TAPES_BCE.LT001_UNIV_OPER' AS TABELA_LT,'BU_LOANTAPE_WORK.LT001_UNIV_OPER' AS TABELA_SIMUL,'provisao_off'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provisao_off AS CAMPO_SIMUL FROM BU_LOANTAPE_WORK.LT001_UNIV_OPER WHERE ref_date='${ref_date}' AND nome_perimetro='Individual Local' AND segmento='ESTR' AND ambito='PM' AND entidade='00100')Y ON X.CHAVE_IT1=Y.CHAVE_SIMUL1 AND X.CHAVE_IT2=Y.CHAVE_SIMUL2</v>
      </c>
      <c r="O42" s="35" t="s">
        <v>35</v>
      </c>
    </row>
    <row r="43" spans="1:15">
      <c r="A43" s="57" t="str">
        <f t="shared" si="0"/>
        <v>UNIV_OPERvalor_bruto_on_prvs</v>
      </c>
      <c r="B43" s="32" t="s">
        <v>204</v>
      </c>
      <c r="C43" s="32" t="s">
        <v>240</v>
      </c>
      <c r="D43" s="32" t="s">
        <v>5</v>
      </c>
      <c r="E43" s="32" t="str">
        <f>+UPPER('0. Instruções'!$D$35&amp;"."&amp;VLOOKUP(B43,'0. Instruções'!$C$27:$D$32,2,FALSE))</f>
        <v>CD_LOAN_TAPES_BCE.LT001_UNIV_OPER</v>
      </c>
      <c r="F43" s="32" t="str">
        <f>+UPPER('0. Instruções'!$D$36&amp;"."&amp;VLOOKUP(B43,'0. Instruções'!$C$27:$E$32,3,FALSE))</f>
        <v>BU_LOANTAPE_WORK.LT001_UNIV_OPER</v>
      </c>
      <c r="H43" s="32"/>
      <c r="I43" s="32"/>
      <c r="J43" s="32" t="str">
        <f>IF(VLOOKUP(B43,'0. Instruções'!$C$27:$G$32,5,FALSE)=0,
"(SELECT "&amp;VLOOKUP(B43,'0. Instruções'!$C$27:$G$32,4,FALSE)&amp;" AS CHAVE_IT, "&amp;C43&amp;" AS CAMPO_IT FROM "&amp;E43&amp;" WHERE "&amp;'0. Instruções'!$D$43&amp;")X",
"(SELECT "&amp;VLOOKUP(B43,'0. Instruções'!$C$27:$G$32,4,FALSE)&amp;" AS CHAVE_IT1, "&amp;VLOOKUP(B43,'0. Instruções'!$C$27:$G$32,5,FALSE)&amp;" AS CHAVE_IT2, "&amp;C43&amp;" AS CAMPO_IT FROM "&amp;E43&amp;" WHERE "&amp;'0. Instruções'!$D$43&amp;")X")</f>
        <v>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ambito='PM' AND entidade='00100')X</v>
      </c>
      <c r="K43" s="32" t="str">
        <f>IF(VLOOKUP(B43,'0. Instruções'!$C$27:$G$32,5,FALSE)=0,
"(SELECT "&amp;VLOOKUP(B43,'0. Instruções'!$C$27:$G$32,4,FALSE)&amp;" AS CHAVE_SIMUL, "&amp;C43&amp;" AS CAMPO_SIMUL FROM "&amp;F43&amp;" WHERE "&amp;'0. Instruções'!$D$42&amp;")Y",
"(SELECT "&amp;VLOOKUP(B43,'0. Instruções'!$C$27:$G$32,4,FALSE)&amp;" AS CHAVE_SIMUL1, "&amp;VLOOKUP(B43,'0. Instruções'!$C$27:$G$32,5,FALSE)&amp;" AS CHAVE_SIMUL2, "&amp;C43&amp;" AS CAMPO_SIMUL FROM "&amp;F43&amp;" WHERE "&amp;'0. Instruções'!$D$42&amp;")Y")</f>
        <v>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ambito='PM' AND entidade='00100')Y</v>
      </c>
      <c r="L43" s="32" t="str">
        <f>IF(VLOOKUP(B43,'0. Instruções'!$C$27:$G$32,5,FALSE)=0,
"ON X.CHAVE_IT=Y.CHAVE_SIMUL",
"ON X.CHAVE_IT1=Y.CHAVE_SIMUL1 AND X.CHAVE_IT2=Y.CHAVE_SIMUL2")</f>
        <v>ON X.CHAVE_IT1=Y.CHAVE_SIMUL1 AND X.CHAVE_IT2=Y.CHAVE_SIMUL2</v>
      </c>
      <c r="M43" s="32" t="str">
        <f>+IF(D43="Coerência",+IF(LEFT(H43,5)="FLOAT","SELECT '"&amp;UPPER(B43)&amp;"' AS TABELA, '"&amp;UPPER(D43)&amp;"' AS TIPOLOGIA_TESTE,'"&amp;E43&amp;"' AS TABELA_LT,'"&amp;F43&amp;"' AS TABELA_SIMUL,'"&amp;C43&amp;"'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"&amp;J43&amp;" INNER JOIN "&amp;K43&amp;" "&amp;L43,"SELECT '"&amp;UPPER(B43)&amp;"' AS TABELA, '"&amp;UPPER(D43)&amp;"' AS TIPOLOGIA_TESTE,'"&amp;E43&amp;"' AS TABELA_LT,'"&amp;F43&amp;"' AS TABELA_SIMUL,'"&amp;C43&amp;"'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"&amp;J43&amp;" INNER JOIN "&amp;K43&amp;" "&amp;L43))</f>
        <v>SELECT 'UNIV_OPER' AS TABELA, 'COERÊNCIA' AS TIPOLOGIA_TESTE,'CD_LOAN_TAPES_BCE.LT001_UNIV_OPER' AS TABELA_LT,'BU_LOANTAPE_WORK.LT001_UNIV_OPER' AS TABELA_SIMUL,'valor_bruto_on_prvs'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ambito='PM' AND entidade='00100')Y ON X.CHAVE_IT1=Y.CHAVE_SIMUL1 AND X.CHAVE_IT2=Y.CHAVE_SIMUL2</v>
      </c>
      <c r="N43" s="33" t="str">
        <f t="shared" si="3"/>
        <v>UNION ALL SELECT 'UNIV_OPER' AS TABELA, 'COERÊNCIA' AS TIPOLOGIA_TESTE,'CD_LOAN_TAPES_BCE.LT001_UNIV_OPER' AS TABELA_LT,'BU_LOANTAPE_WORK.LT001_UNIV_OPER' AS TABELA_SIMUL,'valor_bruto_on_prvs'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valor_bruto_on_prvs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valor_bruto_on_prvs AS CAMPO_SIMUL FROM BU_LOANTAPE_WORK.LT001_UNIV_OPER WHERE ref_date='${ref_date}' AND nome_perimetro='Individual Local' AND segmento='ESTR' AND ambito='PM' AND entidade='00100')Y ON X.CHAVE_IT1=Y.CHAVE_SIMUL1 AND X.CHAVE_IT2=Y.CHAVE_SIMUL2</v>
      </c>
      <c r="O43" s="35" t="s">
        <v>35</v>
      </c>
    </row>
    <row r="44" spans="1:15">
      <c r="A44" s="57" t="str">
        <f t="shared" si="0"/>
        <v>UNIV_OPERvalor_bruto_off_prvs</v>
      </c>
      <c r="B44" s="32" t="s">
        <v>204</v>
      </c>
      <c r="C44" s="32" t="s">
        <v>241</v>
      </c>
      <c r="D44" s="32" t="s">
        <v>5</v>
      </c>
      <c r="E44" s="32" t="str">
        <f>+UPPER('0. Instruções'!$D$35&amp;"."&amp;VLOOKUP(B44,'0. Instruções'!$C$27:$D$32,2,FALSE))</f>
        <v>CD_LOAN_TAPES_BCE.LT001_UNIV_OPER</v>
      </c>
      <c r="F44" s="32" t="str">
        <f>+UPPER('0. Instruções'!$D$36&amp;"."&amp;VLOOKUP(B44,'0. Instruções'!$C$27:$E$32,3,FALSE))</f>
        <v>BU_LOANTAPE_WORK.LT001_UNIV_OPER</v>
      </c>
      <c r="H44" s="32"/>
      <c r="I44" s="32"/>
      <c r="J44" s="32" t="str">
        <f>IF(VLOOKUP(B44,'0. Instruções'!$C$27:$G$32,5,FALSE)=0,
"(SELECT "&amp;VLOOKUP(B44,'0. Instruções'!$C$27:$G$32,4,FALSE)&amp;" AS CHAVE_IT, "&amp;C44&amp;" AS CAMPO_IT FROM "&amp;E44&amp;" WHERE "&amp;'0. Instruções'!$D$43&amp;")X",
"(SELECT "&amp;VLOOKUP(B44,'0. Instruções'!$C$27:$G$32,4,FALSE)&amp;" AS CHAVE_IT1, "&amp;VLOOKUP(B44,'0. Instruções'!$C$27:$G$32,5,FALSE)&amp;" AS CHAVE_IT2, "&amp;C44&amp;" AS CAMPO_IT FROM "&amp;E44&amp;" WHERE "&amp;'0. Instruções'!$D$43&amp;")X")</f>
        <v>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ambito='PM' AND entidade='00100')X</v>
      </c>
      <c r="K44" s="32" t="str">
        <f>IF(VLOOKUP(B44,'0. Instruções'!$C$27:$G$32,5,FALSE)=0,
"(SELECT "&amp;VLOOKUP(B44,'0. Instruções'!$C$27:$G$32,4,FALSE)&amp;" AS CHAVE_SIMUL, "&amp;C44&amp;" AS CAMPO_SIMUL FROM "&amp;F44&amp;" WHERE "&amp;'0. Instruções'!$D$42&amp;")Y",
"(SELECT "&amp;VLOOKUP(B44,'0. Instruções'!$C$27:$G$32,4,FALSE)&amp;" AS CHAVE_SIMUL1, "&amp;VLOOKUP(B44,'0. Instruções'!$C$27:$G$32,5,FALSE)&amp;" AS CHAVE_SIMUL2, "&amp;C44&amp;" AS CAMPO_SIMUL FROM "&amp;F44&amp;" WHERE "&amp;'0. Instruções'!$D$42&amp;")Y")</f>
        <v>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ambito='PM' AND entidade='00100')Y</v>
      </c>
      <c r="L44" s="32" t="str">
        <f>IF(VLOOKUP(B44,'0. Instruções'!$C$27:$G$32,5,FALSE)=0,
"ON X.CHAVE_IT=Y.CHAVE_SIMUL",
"ON X.CHAVE_IT1=Y.CHAVE_SIMUL1 AND X.CHAVE_IT2=Y.CHAVE_SIMUL2")</f>
        <v>ON X.CHAVE_IT1=Y.CHAVE_SIMUL1 AND X.CHAVE_IT2=Y.CHAVE_SIMUL2</v>
      </c>
      <c r="M44" s="32" t="str">
        <f>+IF(D44="Coerência",+IF(LEFT(H44,5)="FLOAT","SELECT '"&amp;UPPER(B44)&amp;"' AS TABELA, '"&amp;UPPER(D44)&amp;"' AS TIPOLOGIA_TESTE,'"&amp;E44&amp;"' AS TABELA_LT,'"&amp;F44&amp;"' AS TABELA_SIMUL,'"&amp;C44&amp;"'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"&amp;J44&amp;" INNER JOIN "&amp;K44&amp;" "&amp;L44,"SELECT '"&amp;UPPER(B44)&amp;"' AS TABELA, '"&amp;UPPER(D44)&amp;"' AS TIPOLOGIA_TESTE,'"&amp;E44&amp;"' AS TABELA_LT,'"&amp;F44&amp;"' AS TABELA_SIMUL,'"&amp;C44&amp;"'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"&amp;J44&amp;" INNER JOIN "&amp;K44&amp;" "&amp;L44))</f>
        <v>SELECT 'UNIV_OPER' AS TABELA, 'COERÊNCIA' AS TIPOLOGIA_TESTE,'CD_LOAN_TAPES_BCE.LT001_UNIV_OPER' AS TABELA_LT,'BU_LOANTAPE_WORK.LT001_UNIV_OPER' AS TABELA_SIMUL,'valor_bruto_off_prvs'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ambito='PM' AND entidade='00100')Y ON X.CHAVE_IT1=Y.CHAVE_SIMUL1 AND X.CHAVE_IT2=Y.CHAVE_SIMUL2</v>
      </c>
      <c r="N44" s="33" t="str">
        <f t="shared" si="3"/>
        <v>UNION ALL SELECT 'UNIV_OPER' AS TABELA, 'COERÊNCIA' AS TIPOLOGIA_TESTE,'CD_LOAN_TAPES_BCE.LT001_UNIV_OPER' AS TABELA_LT,'BU_LOANTAPE_WORK.LT001_UNIV_OPER' AS TABELA_SIMUL,'valor_bruto_off_prvs'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valor_bruto_off_prvs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valor_bruto_off_prvs AS CAMPO_SIMUL FROM BU_LOANTAPE_WORK.LT001_UNIV_OPER WHERE ref_date='${ref_date}' AND nome_perimetro='Individual Local' AND segmento='ESTR' AND ambito='PM' AND entidade='00100')Y ON X.CHAVE_IT1=Y.CHAVE_SIMUL1 AND X.CHAVE_IT2=Y.CHAVE_SIMUL2</v>
      </c>
      <c r="O44" s="35" t="s">
        <v>35</v>
      </c>
    </row>
    <row r="45" spans="1:15">
      <c r="A45" s="57" t="str">
        <f t="shared" si="0"/>
        <v>UNIV_OPERprovisao_on_prvs</v>
      </c>
      <c r="B45" s="32" t="s">
        <v>204</v>
      </c>
      <c r="C45" s="32" t="s">
        <v>242</v>
      </c>
      <c r="D45" s="32" t="s">
        <v>5</v>
      </c>
      <c r="E45" s="32" t="str">
        <f>+UPPER('0. Instruções'!$D$35&amp;"."&amp;VLOOKUP(B45,'0. Instruções'!$C$27:$D$32,2,FALSE))</f>
        <v>CD_LOAN_TAPES_BCE.LT001_UNIV_OPER</v>
      </c>
      <c r="F45" s="32" t="str">
        <f>+UPPER('0. Instruções'!$D$36&amp;"."&amp;VLOOKUP(B45,'0. Instruções'!$C$27:$E$32,3,FALSE))</f>
        <v>BU_LOANTAPE_WORK.LT001_UNIV_OPER</v>
      </c>
      <c r="H45" s="32"/>
      <c r="I45" s="32"/>
      <c r="J45" s="32" t="str">
        <f>IF(VLOOKUP(B45,'0. Instruções'!$C$27:$G$32,5,FALSE)=0,
"(SELECT "&amp;VLOOKUP(B45,'0. Instruções'!$C$27:$G$32,4,FALSE)&amp;" AS CHAVE_IT, "&amp;C45&amp;" AS CAMPO_IT FROM "&amp;E45&amp;" WHERE "&amp;'0. Instruções'!$D$43&amp;")X",
"(SELECT "&amp;VLOOKUP(B45,'0. Instruções'!$C$27:$G$32,4,FALSE)&amp;" AS CHAVE_IT1, "&amp;VLOOKUP(B45,'0. Instruções'!$C$27:$G$32,5,FALSE)&amp;" AS CHAVE_IT2, "&amp;C45&amp;" AS CAMPO_IT FROM "&amp;E45&amp;" WHERE "&amp;'0. Instruções'!$D$43&amp;")X")</f>
        <v>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ambito='PM' AND entidade='00100')X</v>
      </c>
      <c r="K45" s="32" t="str">
        <f>IF(VLOOKUP(B45,'0. Instruções'!$C$27:$G$32,5,FALSE)=0,
"(SELECT "&amp;VLOOKUP(B45,'0. Instruções'!$C$27:$G$32,4,FALSE)&amp;" AS CHAVE_SIMUL, "&amp;C45&amp;" AS CAMPO_SIMUL FROM "&amp;F45&amp;" WHERE "&amp;'0. Instruções'!$D$42&amp;")Y",
"(SELECT "&amp;VLOOKUP(B45,'0. Instruções'!$C$27:$G$32,4,FALSE)&amp;" AS CHAVE_SIMUL1, "&amp;VLOOKUP(B45,'0. Instruções'!$C$27:$G$32,5,FALSE)&amp;" AS CHAVE_SIMUL2, "&amp;C45&amp;" AS CAMPO_SIMUL FROM "&amp;F45&amp;" WHERE "&amp;'0. Instruções'!$D$42&amp;")Y")</f>
        <v>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ambito='PM' AND entidade='00100')Y</v>
      </c>
      <c r="L45" s="32" t="str">
        <f>IF(VLOOKUP(B45,'0. Instruções'!$C$27:$G$32,5,FALSE)=0,
"ON X.CHAVE_IT=Y.CHAVE_SIMUL",
"ON X.CHAVE_IT1=Y.CHAVE_SIMUL1 AND X.CHAVE_IT2=Y.CHAVE_SIMUL2")</f>
        <v>ON X.CHAVE_IT1=Y.CHAVE_SIMUL1 AND X.CHAVE_IT2=Y.CHAVE_SIMUL2</v>
      </c>
      <c r="M45" s="32" t="str">
        <f>+IF(D45="Coerência",+IF(LEFT(H45,5)="FLOAT","SELECT '"&amp;UPPER(B45)&amp;"' AS TABELA, '"&amp;UPPER(D45)&amp;"' AS TIPOLOGIA_TESTE,'"&amp;E45&amp;"' AS TABELA_LT,'"&amp;F45&amp;"' AS TABELA_SIMUL,'"&amp;C45&amp;"'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"&amp;J45&amp;" INNER JOIN "&amp;K45&amp;" "&amp;L45,"SELECT '"&amp;UPPER(B45)&amp;"' AS TABELA, '"&amp;UPPER(D45)&amp;"' AS TIPOLOGIA_TESTE,'"&amp;E45&amp;"' AS TABELA_LT,'"&amp;F45&amp;"' AS TABELA_SIMUL,'"&amp;C45&amp;"'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"&amp;J45&amp;" INNER JOIN "&amp;K45&amp;" "&amp;L45))</f>
        <v>SELECT 'UNIV_OPER' AS TABELA, 'COERÊNCIA' AS TIPOLOGIA_TESTE,'CD_LOAN_TAPES_BCE.LT001_UNIV_OPER' AS TABELA_LT,'BU_LOANTAPE_WORK.LT001_UNIV_OPER' AS TABELA_SIMUL,'provisao_on_prvs'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ambito='PM' AND entidade='00100')Y ON X.CHAVE_IT1=Y.CHAVE_SIMUL1 AND X.CHAVE_IT2=Y.CHAVE_SIMUL2</v>
      </c>
      <c r="N45" s="33" t="str">
        <f t="shared" si="3"/>
        <v>UNION ALL SELECT 'UNIV_OPER' AS TABELA, 'COERÊNCIA' AS TIPOLOGIA_TESTE,'CD_LOAN_TAPES_BCE.LT001_UNIV_OPER' AS TABELA_LT,'BU_LOANTAPE_WORK.LT001_UNIV_OPER' AS TABELA_SIMUL,'provisao_on_prvs'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provisao_on_prvs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provisao_on_prvs AS CAMPO_SIMUL FROM BU_LOANTAPE_WORK.LT001_UNIV_OPER WHERE ref_date='${ref_date}' AND nome_perimetro='Individual Local' AND segmento='ESTR' AND ambito='PM' AND entidade='00100')Y ON X.CHAVE_IT1=Y.CHAVE_SIMUL1 AND X.CHAVE_IT2=Y.CHAVE_SIMUL2</v>
      </c>
      <c r="O45" s="35" t="s">
        <v>35</v>
      </c>
    </row>
    <row r="46" spans="1:15">
      <c r="A46" s="57" t="str">
        <f t="shared" si="0"/>
        <v>UNIV_OPERprovisao_off_prvs</v>
      </c>
      <c r="B46" s="32" t="s">
        <v>204</v>
      </c>
      <c r="C46" s="32" t="s">
        <v>243</v>
      </c>
      <c r="D46" s="32" t="s">
        <v>5</v>
      </c>
      <c r="E46" s="32" t="str">
        <f>+UPPER('0. Instruções'!$D$35&amp;"."&amp;VLOOKUP(B46,'0. Instruções'!$C$27:$D$32,2,FALSE))</f>
        <v>CD_LOAN_TAPES_BCE.LT001_UNIV_OPER</v>
      </c>
      <c r="F46" s="32" t="str">
        <f>+UPPER('0. Instruções'!$D$36&amp;"."&amp;VLOOKUP(B46,'0. Instruções'!$C$27:$E$32,3,FALSE))</f>
        <v>BU_LOANTAPE_WORK.LT001_UNIV_OPER</v>
      </c>
      <c r="H46" s="32"/>
      <c r="I46" s="32"/>
      <c r="J46" s="32" t="str">
        <f>IF(VLOOKUP(B46,'0. Instruções'!$C$27:$G$32,5,FALSE)=0,
"(SELECT "&amp;VLOOKUP(B46,'0. Instruções'!$C$27:$G$32,4,FALSE)&amp;" AS CHAVE_IT, "&amp;C46&amp;" AS CAMPO_IT FROM "&amp;E46&amp;" WHERE "&amp;'0. Instruções'!$D$43&amp;")X",
"(SELECT "&amp;VLOOKUP(B46,'0. Instruções'!$C$27:$G$32,4,FALSE)&amp;" AS CHAVE_IT1, "&amp;VLOOKUP(B46,'0. Instruções'!$C$27:$G$32,5,FALSE)&amp;" AS CHAVE_IT2, "&amp;C46&amp;" AS CAMPO_IT FROM "&amp;E46&amp;" WHERE "&amp;'0. Instruções'!$D$43&amp;")X")</f>
        <v>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ambito='PM' AND entidade='00100')X</v>
      </c>
      <c r="K46" s="32" t="str">
        <f>IF(VLOOKUP(B46,'0. Instruções'!$C$27:$G$32,5,FALSE)=0,
"(SELECT "&amp;VLOOKUP(B46,'0. Instruções'!$C$27:$G$32,4,FALSE)&amp;" AS CHAVE_SIMUL, "&amp;C46&amp;" AS CAMPO_SIMUL FROM "&amp;F46&amp;" WHERE "&amp;'0. Instruções'!$D$42&amp;")Y",
"(SELECT "&amp;VLOOKUP(B46,'0. Instruções'!$C$27:$G$32,4,FALSE)&amp;" AS CHAVE_SIMUL1, "&amp;VLOOKUP(B46,'0. Instruções'!$C$27:$G$32,5,FALSE)&amp;" AS CHAVE_SIMUL2, "&amp;C46&amp;" AS CAMPO_SIMUL FROM "&amp;F46&amp;" WHERE "&amp;'0. Instruções'!$D$42&amp;")Y")</f>
        <v>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ambito='PM' AND entidade='00100')Y</v>
      </c>
      <c r="L46" s="32" t="str">
        <f>IF(VLOOKUP(B46,'0. Instruções'!$C$27:$G$32,5,FALSE)=0,
"ON X.CHAVE_IT=Y.CHAVE_SIMUL",
"ON X.CHAVE_IT1=Y.CHAVE_SIMUL1 AND X.CHAVE_IT2=Y.CHAVE_SIMUL2")</f>
        <v>ON X.CHAVE_IT1=Y.CHAVE_SIMUL1 AND X.CHAVE_IT2=Y.CHAVE_SIMUL2</v>
      </c>
      <c r="M46" s="32" t="str">
        <f>+IF(D46="Coerência",+IF(LEFT(H46,5)="FLOAT","SELECT '"&amp;UPPER(B46)&amp;"' AS TABELA, '"&amp;UPPER(D46)&amp;"' AS TIPOLOGIA_TESTE,'"&amp;E46&amp;"' AS TABELA_LT,'"&amp;F46&amp;"' AS TABELA_SIMUL,'"&amp;C46&amp;"'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"&amp;J46&amp;" INNER JOIN "&amp;K46&amp;" "&amp;L46,"SELECT '"&amp;UPPER(B46)&amp;"' AS TABELA, '"&amp;UPPER(D46)&amp;"' AS TIPOLOGIA_TESTE,'"&amp;E46&amp;"' AS TABELA_LT,'"&amp;F46&amp;"' AS TABELA_SIMUL,'"&amp;C46&amp;"'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"&amp;J46&amp;" INNER JOIN "&amp;K46&amp;" "&amp;L46))</f>
        <v>SELECT 'UNIV_OPER' AS TABELA, 'COERÊNCIA' AS TIPOLOGIA_TESTE,'CD_LOAN_TAPES_BCE.LT001_UNIV_OPER' AS TABELA_LT,'BU_LOANTAPE_WORK.LT001_UNIV_OPER' AS TABELA_SIMUL,'provisao_off_prvs'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ambito='PM' AND entidade='00100')Y ON X.CHAVE_IT1=Y.CHAVE_SIMUL1 AND X.CHAVE_IT2=Y.CHAVE_SIMUL2</v>
      </c>
      <c r="N46" s="33" t="str">
        <f t="shared" si="3"/>
        <v>UNION ALL SELECT 'UNIV_OPER' AS TABELA, 'COERÊNCIA' AS TIPOLOGIA_TESTE,'CD_LOAN_TAPES_BCE.LT001_UNIV_OPER' AS TABELA_LT,'BU_LOANTAPE_WORK.LT001_UNIV_OPER' AS TABELA_SIMUL,'provisao_off_prvs'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provisao_off_prvs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provisao_off_prvs AS CAMPO_SIMUL FROM BU_LOANTAPE_WORK.LT001_UNIV_OPER WHERE ref_date='${ref_date}' AND nome_perimetro='Individual Local' AND segmento='ESTR' AND ambito='PM' AND entidade='00100')Y ON X.CHAVE_IT1=Y.CHAVE_SIMUL1 AND X.CHAVE_IT2=Y.CHAVE_SIMUL2</v>
      </c>
      <c r="O46" s="35" t="s">
        <v>35</v>
      </c>
    </row>
    <row r="47" spans="1:15">
      <c r="A47" s="57" t="str">
        <f t="shared" si="0"/>
        <v>UNIV_OPERjuros_corridos</v>
      </c>
      <c r="B47" s="32" t="s">
        <v>204</v>
      </c>
      <c r="C47" s="32" t="s">
        <v>244</v>
      </c>
      <c r="D47" s="32" t="s">
        <v>5</v>
      </c>
      <c r="E47" s="32" t="str">
        <f>+UPPER('0. Instruções'!$D$35&amp;"."&amp;VLOOKUP(B47,'0. Instruções'!$C$27:$D$32,2,FALSE))</f>
        <v>CD_LOAN_TAPES_BCE.LT001_UNIV_OPER</v>
      </c>
      <c r="F47" s="32" t="str">
        <f>+UPPER('0. Instruções'!$D$36&amp;"."&amp;VLOOKUP(B47,'0. Instruções'!$C$27:$E$32,3,FALSE))</f>
        <v>BU_LOANTAPE_WORK.LT001_UNIV_OPER</v>
      </c>
      <c r="H47" s="32"/>
      <c r="I47" s="32"/>
      <c r="J47" s="32" t="str">
        <f>IF(VLOOKUP(B47,'0. Instruções'!$C$27:$G$32,5,FALSE)=0,
"(SELECT "&amp;VLOOKUP(B47,'0. Instruções'!$C$27:$G$32,4,FALSE)&amp;" AS CHAVE_IT, "&amp;C47&amp;" AS CAMPO_IT FROM "&amp;E47&amp;" WHERE "&amp;'0. Instruções'!$D$43&amp;")X",
"(SELECT "&amp;VLOOKUP(B47,'0. Instruções'!$C$27:$G$32,4,FALSE)&amp;" AS CHAVE_IT1, "&amp;VLOOKUP(B47,'0. Instruções'!$C$27:$G$32,5,FALSE)&amp;" AS CHAVE_IT2, "&amp;C47&amp;" AS CAMPO_IT FROM "&amp;E47&amp;" WHERE "&amp;'0. Instruções'!$D$43&amp;")X")</f>
        <v>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ambito='PM' AND entidade='00100')X</v>
      </c>
      <c r="K47" s="32" t="str">
        <f>IF(VLOOKUP(B47,'0. Instruções'!$C$27:$G$32,5,FALSE)=0,
"(SELECT "&amp;VLOOKUP(B47,'0. Instruções'!$C$27:$G$32,4,FALSE)&amp;" AS CHAVE_SIMUL, "&amp;C47&amp;" AS CAMPO_SIMUL FROM "&amp;F47&amp;" WHERE "&amp;'0. Instruções'!$D$42&amp;")Y",
"(SELECT "&amp;VLOOKUP(B47,'0. Instruções'!$C$27:$G$32,4,FALSE)&amp;" AS CHAVE_SIMUL1, "&amp;VLOOKUP(B47,'0. Instruções'!$C$27:$G$32,5,FALSE)&amp;" AS CHAVE_SIMUL2, "&amp;C47&amp;" AS CAMPO_SIMUL FROM "&amp;F47&amp;" WHERE "&amp;'0. Instruções'!$D$42&amp;")Y")</f>
        <v>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ambito='PM' AND entidade='00100')Y</v>
      </c>
      <c r="L47" s="32" t="str">
        <f>IF(VLOOKUP(B47,'0. Instruções'!$C$27:$G$32,5,FALSE)=0,
"ON X.CHAVE_IT=Y.CHAVE_SIMUL",
"ON X.CHAVE_IT1=Y.CHAVE_SIMUL1 AND X.CHAVE_IT2=Y.CHAVE_SIMUL2")</f>
        <v>ON X.CHAVE_IT1=Y.CHAVE_SIMUL1 AND X.CHAVE_IT2=Y.CHAVE_SIMUL2</v>
      </c>
      <c r="M47" s="32" t="str">
        <f>+IF(D47="Coerência",+IF(LEFT(H47,5)="FLOAT","SELECT '"&amp;UPPER(B47)&amp;"' AS TABELA, '"&amp;UPPER(D47)&amp;"' AS TIPOLOGIA_TESTE,'"&amp;E47&amp;"' AS TABELA_LT,'"&amp;F47&amp;"' AS TABELA_SIMUL,'"&amp;C47&amp;"'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"&amp;J47&amp;" INNER JOIN "&amp;K47&amp;" "&amp;L47,"SELECT '"&amp;UPPER(B47)&amp;"' AS TABELA, '"&amp;UPPER(D47)&amp;"' AS TIPOLOGIA_TESTE,'"&amp;E47&amp;"' AS TABELA_LT,'"&amp;F47&amp;"' AS TABELA_SIMUL,'"&amp;C47&amp;"'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"&amp;J47&amp;" INNER JOIN "&amp;K47&amp;" "&amp;L47))</f>
        <v>SELECT 'UNIV_OPER' AS TABELA, 'COERÊNCIA' AS TIPOLOGIA_TESTE,'CD_LOAN_TAPES_BCE.LT001_UNIV_OPER' AS TABELA_LT,'BU_LOANTAPE_WORK.LT001_UNIV_OPER' AS TABELA_SIMUL,'juros_corridos'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ambito='PM' AND entidade='00100')Y ON X.CHAVE_IT1=Y.CHAVE_SIMUL1 AND X.CHAVE_IT2=Y.CHAVE_SIMUL2</v>
      </c>
      <c r="N47" s="33" t="str">
        <f t="shared" si="3"/>
        <v>UNION ALL SELECT 'UNIV_OPER' AS TABELA, 'COERÊNCIA' AS TIPOLOGIA_TESTE,'CD_LOAN_TAPES_BCE.LT001_UNIV_OPER' AS TABELA_LT,'BU_LOANTAPE_WORK.LT001_UNIV_OPER' AS TABELA_SIMUL,'juros_corridos'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juros_corridos AS CAMPO_SIMUL FROM BU_LOANTAPE_WORK.LT001_UNIV_OPER WHERE ref_date='${ref_date}' AND nome_perimetro='Individual Local' AND segmento='ESTR' AND ambito='PM' AND entidade='00100')Y ON X.CHAVE_IT1=Y.CHAVE_SIMUL1 AND X.CHAVE_IT2=Y.CHAVE_SIMUL2</v>
      </c>
      <c r="O47" s="35" t="s">
        <v>35</v>
      </c>
    </row>
    <row r="48" spans="1:15">
      <c r="A48" s="57" t="str">
        <f t="shared" si="0"/>
        <v>UNIV_OPERjuros_corridos_prvs</v>
      </c>
      <c r="B48" s="32" t="s">
        <v>204</v>
      </c>
      <c r="C48" s="32" t="s">
        <v>245</v>
      </c>
      <c r="D48" s="32" t="s">
        <v>5</v>
      </c>
      <c r="E48" s="32" t="str">
        <f>+UPPER('0. Instruções'!$D$35&amp;"."&amp;VLOOKUP(B48,'0. Instruções'!$C$27:$D$32,2,FALSE))</f>
        <v>CD_LOAN_TAPES_BCE.LT001_UNIV_OPER</v>
      </c>
      <c r="F48" s="32" t="str">
        <f>+UPPER('0. Instruções'!$D$36&amp;"."&amp;VLOOKUP(B48,'0. Instruções'!$C$27:$E$32,3,FALSE))</f>
        <v>BU_LOANTAPE_WORK.LT001_UNIV_OPER</v>
      </c>
      <c r="H48" s="32"/>
      <c r="I48" s="32"/>
      <c r="J48" s="32" t="str">
        <f>IF(VLOOKUP(B48,'0. Instruções'!$C$27:$G$32,5,FALSE)=0,
"(SELECT "&amp;VLOOKUP(B48,'0. Instruções'!$C$27:$G$32,4,FALSE)&amp;" AS CHAVE_IT, "&amp;C48&amp;" AS CAMPO_IT FROM "&amp;E48&amp;" WHERE "&amp;'0. Instruções'!$D$43&amp;")X",
"(SELECT "&amp;VLOOKUP(B48,'0. Instruções'!$C$27:$G$32,4,FALSE)&amp;" AS CHAVE_IT1, "&amp;VLOOKUP(B48,'0. Instruções'!$C$27:$G$32,5,FALSE)&amp;" AS CHAVE_IT2, "&amp;C48&amp;" AS CAMPO_IT FROM "&amp;E48&amp;" WHERE "&amp;'0. Instruções'!$D$43&amp;")X")</f>
        <v>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ambito='PM' AND entidade='00100')X</v>
      </c>
      <c r="K48" s="32" t="str">
        <f>IF(VLOOKUP(B48,'0. Instruções'!$C$27:$G$32,5,FALSE)=0,
"(SELECT "&amp;VLOOKUP(B48,'0. Instruções'!$C$27:$G$32,4,FALSE)&amp;" AS CHAVE_SIMUL, "&amp;C48&amp;" AS CAMPO_SIMUL FROM "&amp;F48&amp;" WHERE "&amp;'0. Instruções'!$D$42&amp;")Y",
"(SELECT "&amp;VLOOKUP(B48,'0. Instruções'!$C$27:$G$32,4,FALSE)&amp;" AS CHAVE_SIMUL1, "&amp;VLOOKUP(B48,'0. Instruções'!$C$27:$G$32,5,FALSE)&amp;" AS CHAVE_SIMUL2, "&amp;C48&amp;" AS CAMPO_SIMUL FROM "&amp;F48&amp;" WHERE "&amp;'0. Instruções'!$D$42&amp;")Y")</f>
        <v>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ambito='PM' AND entidade='00100')Y</v>
      </c>
      <c r="L48" s="32" t="str">
        <f>IF(VLOOKUP(B48,'0. Instruções'!$C$27:$G$32,5,FALSE)=0,
"ON X.CHAVE_IT=Y.CHAVE_SIMUL",
"ON X.CHAVE_IT1=Y.CHAVE_SIMUL1 AND X.CHAVE_IT2=Y.CHAVE_SIMUL2")</f>
        <v>ON X.CHAVE_IT1=Y.CHAVE_SIMUL1 AND X.CHAVE_IT2=Y.CHAVE_SIMUL2</v>
      </c>
      <c r="M48" s="32" t="str">
        <f>+IF(D48="Coerência",+IF(LEFT(H48,5)="FLOAT","SELECT '"&amp;UPPER(B48)&amp;"' AS TABELA, '"&amp;UPPER(D48)&amp;"' AS TIPOLOGIA_TESTE,'"&amp;E48&amp;"' AS TABELA_LT,'"&amp;F48&amp;"' AS TABELA_SIMUL,'"&amp;C48&amp;"'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"&amp;J48&amp;" INNER JOIN "&amp;K48&amp;" "&amp;L48,"SELECT '"&amp;UPPER(B48)&amp;"' AS TABELA, '"&amp;UPPER(D48)&amp;"' AS TIPOLOGIA_TESTE,'"&amp;E48&amp;"' AS TABELA_LT,'"&amp;F48&amp;"' AS TABELA_SIMUL,'"&amp;C48&amp;"'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"&amp;J48&amp;" INNER JOIN "&amp;K48&amp;" "&amp;L48))</f>
        <v>SELECT 'UNIV_OPER' AS TABELA, 'COERÊNCIA' AS TIPOLOGIA_TESTE,'CD_LOAN_TAPES_BCE.LT001_UNIV_OPER' AS TABELA_LT,'BU_LOANTAPE_WORK.LT001_UNIV_OPER' AS TABELA_SIMUL,'juros_corridos_prvs'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ambito='PM' AND entidade='00100')Y ON X.CHAVE_IT1=Y.CHAVE_SIMUL1 AND X.CHAVE_IT2=Y.CHAVE_SIMUL2</v>
      </c>
      <c r="N48" s="33" t="str">
        <f t="shared" si="3"/>
        <v>UNION ALL SELECT 'UNIV_OPER' AS TABELA, 'COERÊNCIA' AS TIPOLOGIA_TESTE,'CD_LOAN_TAPES_BCE.LT001_UNIV_OPER' AS TABELA_LT,'BU_LOANTAPE_WORK.LT001_UNIV_OPER' AS TABELA_SIMUL,'juros_corridos_prvs'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juros_corridos_prvs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juros_corridos_prvs AS CAMPO_SIMUL FROM BU_LOANTAPE_WORK.LT001_UNIV_OPER WHERE ref_date='${ref_date}' AND nome_perimetro='Individual Local' AND segmento='ESTR' AND ambito='PM' AND entidade='00100')Y ON X.CHAVE_IT1=Y.CHAVE_SIMUL1 AND X.CHAVE_IT2=Y.CHAVE_SIMUL2</v>
      </c>
      <c r="O48" s="35" t="s">
        <v>35</v>
      </c>
    </row>
    <row r="49" spans="1:15">
      <c r="A49" s="57" t="str">
        <f t="shared" si="0"/>
        <v>UNIV_OPERsubportfolio_id_inicial</v>
      </c>
      <c r="B49" s="32" t="s">
        <v>204</v>
      </c>
      <c r="C49" s="32" t="s">
        <v>246</v>
      </c>
      <c r="D49" s="32" t="s">
        <v>5</v>
      </c>
      <c r="E49" s="32" t="str">
        <f>+UPPER('0. Instruções'!$D$35&amp;"."&amp;VLOOKUP(B49,'0. Instruções'!$C$27:$D$32,2,FALSE))</f>
        <v>CD_LOAN_TAPES_BCE.LT001_UNIV_OPER</v>
      </c>
      <c r="F49" s="32" t="str">
        <f>+UPPER('0. Instruções'!$D$36&amp;"."&amp;VLOOKUP(B49,'0. Instruções'!$C$27:$E$32,3,FALSE))</f>
        <v>BU_LOANTAPE_WORK.LT001_UNIV_OPER</v>
      </c>
      <c r="H49" s="32"/>
      <c r="I49" s="32"/>
      <c r="J49" s="32" t="str">
        <f>IF(VLOOKUP(B49,'0. Instruções'!$C$27:$G$32,5,FALSE)=0,
"(SELECT "&amp;VLOOKUP(B49,'0. Instruções'!$C$27:$G$32,4,FALSE)&amp;" AS CHAVE_IT, "&amp;C49&amp;" AS CAMPO_IT FROM "&amp;E49&amp;" WHERE "&amp;'0. Instruções'!$D$43&amp;")X",
"(SELECT "&amp;VLOOKUP(B49,'0. Instruções'!$C$27:$G$32,4,FALSE)&amp;" AS CHAVE_IT1, "&amp;VLOOKUP(B49,'0. Instruções'!$C$27:$G$32,5,FALSE)&amp;" AS CHAVE_IT2, "&amp;C49&amp;" AS CAMPO_IT FROM "&amp;E49&amp;" WHERE "&amp;'0. Instruções'!$D$43&amp;")X")</f>
        <v>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ambito='PM' AND entidade='00100')X</v>
      </c>
      <c r="K49" s="32" t="str">
        <f>IF(VLOOKUP(B49,'0. Instruções'!$C$27:$G$32,5,FALSE)=0,
"(SELECT "&amp;VLOOKUP(B49,'0. Instruções'!$C$27:$G$32,4,FALSE)&amp;" AS CHAVE_SIMUL, "&amp;C49&amp;" AS CAMPO_SIMUL FROM "&amp;F49&amp;" WHERE "&amp;'0. Instruções'!$D$42&amp;")Y",
"(SELECT "&amp;VLOOKUP(B49,'0. Instruções'!$C$27:$G$32,4,FALSE)&amp;" AS CHAVE_SIMUL1, "&amp;VLOOKUP(B49,'0. Instruções'!$C$27:$G$32,5,FALSE)&amp;" AS CHAVE_SIMUL2, "&amp;C49&amp;" AS CAMPO_SIMUL FROM "&amp;F49&amp;" WHERE "&amp;'0. Instruções'!$D$42&amp;")Y")</f>
        <v>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ambito='PM' AND entidade='00100')Y</v>
      </c>
      <c r="L49" s="32" t="str">
        <f>IF(VLOOKUP(B49,'0. Instruções'!$C$27:$G$32,5,FALSE)=0,
"ON X.CHAVE_IT=Y.CHAVE_SIMUL",
"ON X.CHAVE_IT1=Y.CHAVE_SIMUL1 AND X.CHAVE_IT2=Y.CHAVE_SIMUL2")</f>
        <v>ON X.CHAVE_IT1=Y.CHAVE_SIMUL1 AND X.CHAVE_IT2=Y.CHAVE_SIMUL2</v>
      </c>
      <c r="M49" s="32" t="str">
        <f>+IF(D49="Coerência",+IF(LEFT(H49,5)="FLOAT","SELECT '"&amp;UPPER(B49)&amp;"' AS TABELA, '"&amp;UPPER(D49)&amp;"' AS TIPOLOGIA_TESTE,'"&amp;E49&amp;"' AS TABELA_LT,'"&amp;F49&amp;"' AS TABELA_SIMUL,'"&amp;C49&amp;"'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"&amp;J49&amp;" INNER JOIN "&amp;K49&amp;" "&amp;L49,"SELECT '"&amp;UPPER(B49)&amp;"' AS TABELA, '"&amp;UPPER(D49)&amp;"' AS TIPOLOGIA_TESTE,'"&amp;E49&amp;"' AS TABELA_LT,'"&amp;F49&amp;"' AS TABELA_SIMUL,'"&amp;C49&amp;"'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"&amp;J49&amp;" INNER JOIN "&amp;K49&amp;" "&amp;L49))</f>
        <v>SELECT 'UNIV_OPER' AS TABELA, 'COERÊNCIA' AS TIPOLOGIA_TESTE,'CD_LOAN_TAPES_BCE.LT001_UNIV_OPER' AS TABELA_LT,'BU_LOANTAPE_WORK.LT001_UNIV_OPER' AS TABELA_SIMUL,'subportfolio_id_inicial'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ambito='PM' AND entidade='00100')Y ON X.CHAVE_IT1=Y.CHAVE_SIMUL1 AND X.CHAVE_IT2=Y.CHAVE_SIMUL2</v>
      </c>
      <c r="N49" s="33" t="str">
        <f t="shared" si="3"/>
        <v>UNION ALL SELECT 'UNIV_OPER' AS TABELA, 'COERÊNCIA' AS TIPOLOGIA_TESTE,'CD_LOAN_TAPES_BCE.LT001_UNIV_OPER' AS TABELA_LT,'BU_LOANTAPE_WORK.LT001_UNIV_OPER' AS TABELA_SIMUL,'subportfolio_id_inicial'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subportfolio_id_inicial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subportfolio_id_inicial AS CAMPO_SIMUL FROM BU_LOANTAPE_WORK.LT001_UNIV_OPER WHERE ref_date='${ref_date}' AND nome_perimetro='Individual Local' AND segmento='ESTR' AND ambito='PM' AND entidade='00100')Y ON X.CHAVE_IT1=Y.CHAVE_SIMUL1 AND X.CHAVE_IT2=Y.CHAVE_SIMUL2</v>
      </c>
      <c r="O49" s="35" t="s">
        <v>35</v>
      </c>
    </row>
    <row r="50" spans="1:15">
      <c r="A50" s="57" t="str">
        <f t="shared" si="0"/>
        <v>UNIV_OPERsubportfolio_id_final</v>
      </c>
      <c r="B50" s="32" t="s">
        <v>204</v>
      </c>
      <c r="C50" s="32" t="s">
        <v>247</v>
      </c>
      <c r="D50" s="32" t="s">
        <v>5</v>
      </c>
      <c r="E50" s="32" t="str">
        <f>+UPPER('0. Instruções'!$D$35&amp;"."&amp;VLOOKUP(B50,'0. Instruções'!$C$27:$D$32,2,FALSE))</f>
        <v>CD_LOAN_TAPES_BCE.LT001_UNIV_OPER</v>
      </c>
      <c r="F50" s="32" t="str">
        <f>+UPPER('0. Instruções'!$D$36&amp;"."&amp;VLOOKUP(B50,'0. Instruções'!$C$27:$E$32,3,FALSE))</f>
        <v>BU_LOANTAPE_WORK.LT001_UNIV_OPER</v>
      </c>
      <c r="H50" s="32"/>
      <c r="I50" s="32"/>
      <c r="J50" s="32" t="str">
        <f>IF(VLOOKUP(B50,'0. Instruções'!$C$27:$G$32,5,FALSE)=0,
"(SELECT "&amp;VLOOKUP(B50,'0. Instruções'!$C$27:$G$32,4,FALSE)&amp;" AS CHAVE_IT, "&amp;C50&amp;" AS CAMPO_IT FROM "&amp;E50&amp;" WHERE "&amp;'0. Instruções'!$D$43&amp;")X",
"(SELECT "&amp;VLOOKUP(B50,'0. Instruções'!$C$27:$G$32,4,FALSE)&amp;" AS CHAVE_IT1, "&amp;VLOOKUP(B50,'0. Instruções'!$C$27:$G$32,5,FALSE)&amp;" AS CHAVE_IT2, "&amp;C50&amp;" AS CAMPO_IT FROM "&amp;E50&amp;" WHERE "&amp;'0. Instruções'!$D$43&amp;")X")</f>
        <v>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ambito='PM' AND entidade='00100')X</v>
      </c>
      <c r="K50" s="32" t="str">
        <f>IF(VLOOKUP(B50,'0. Instruções'!$C$27:$G$32,5,FALSE)=0,
"(SELECT "&amp;VLOOKUP(B50,'0. Instruções'!$C$27:$G$32,4,FALSE)&amp;" AS CHAVE_SIMUL, "&amp;C50&amp;" AS CAMPO_SIMUL FROM "&amp;F50&amp;" WHERE "&amp;'0. Instruções'!$D$42&amp;")Y",
"(SELECT "&amp;VLOOKUP(B50,'0. Instruções'!$C$27:$G$32,4,FALSE)&amp;" AS CHAVE_SIMUL1, "&amp;VLOOKUP(B50,'0. Instruções'!$C$27:$G$32,5,FALSE)&amp;" AS CHAVE_SIMUL2, "&amp;C50&amp;" AS CAMPO_SIMUL FROM "&amp;F50&amp;" WHERE "&amp;'0. Instruções'!$D$42&amp;")Y")</f>
        <v>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ambito='PM' AND entidade='00100')Y</v>
      </c>
      <c r="L50" s="32" t="str">
        <f>IF(VLOOKUP(B50,'0. Instruções'!$C$27:$G$32,5,FALSE)=0,
"ON X.CHAVE_IT=Y.CHAVE_SIMUL",
"ON X.CHAVE_IT1=Y.CHAVE_SIMUL1 AND X.CHAVE_IT2=Y.CHAVE_SIMUL2")</f>
        <v>ON X.CHAVE_IT1=Y.CHAVE_SIMUL1 AND X.CHAVE_IT2=Y.CHAVE_SIMUL2</v>
      </c>
      <c r="M50" s="32" t="str">
        <f>+IF(D50="Coerência",+IF(LEFT(H50,5)="FLOAT","SELECT '"&amp;UPPER(B50)&amp;"' AS TABELA, '"&amp;UPPER(D50)&amp;"' AS TIPOLOGIA_TESTE,'"&amp;E50&amp;"' AS TABELA_LT,'"&amp;F50&amp;"' AS TABELA_SIMUL,'"&amp;C50&amp;"'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"&amp;J50&amp;" INNER JOIN "&amp;K50&amp;" "&amp;L50,"SELECT '"&amp;UPPER(B50)&amp;"' AS TABELA, '"&amp;UPPER(D50)&amp;"' AS TIPOLOGIA_TESTE,'"&amp;E50&amp;"' AS TABELA_LT,'"&amp;F50&amp;"' AS TABELA_SIMUL,'"&amp;C50&amp;"'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"&amp;J50&amp;" INNER JOIN "&amp;K50&amp;" "&amp;L50))</f>
        <v>SELECT 'UNIV_OPER' AS TABELA, 'COERÊNCIA' AS TIPOLOGIA_TESTE,'CD_LOAN_TAPES_BCE.LT001_UNIV_OPER' AS TABELA_LT,'BU_LOANTAPE_WORK.LT001_UNIV_OPER' AS TABELA_SIMUL,'subportfolio_id_final'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ambito='PM' AND entidade='00100')Y ON X.CHAVE_IT1=Y.CHAVE_SIMUL1 AND X.CHAVE_IT2=Y.CHAVE_SIMUL2</v>
      </c>
      <c r="N50" s="33" t="str">
        <f t="shared" si="3"/>
        <v>UNION ALL SELECT 'UNIV_OPER' AS TABELA, 'COERÊNCIA' AS TIPOLOGIA_TESTE,'CD_LOAN_TAPES_BCE.LT001_UNIV_OPER' AS TABELA_LT,'BU_LOANTAPE_WORK.LT001_UNIV_OPER' AS TABELA_SIMUL,'subportfolio_id_final'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subportfolio_id_final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subportfolio_id_final AS CAMPO_SIMUL FROM BU_LOANTAPE_WORK.LT001_UNIV_OPER WHERE ref_date='${ref_date}' AND nome_perimetro='Individual Local' AND segmento='ESTR' AND ambito='PM' AND entidade='00100')Y ON X.CHAVE_IT1=Y.CHAVE_SIMUL1 AND X.CHAVE_IT2=Y.CHAVE_SIMUL2</v>
      </c>
      <c r="O50" s="35" t="s">
        <v>35</v>
      </c>
    </row>
    <row r="51" spans="1:15">
      <c r="A51" s="57" t="str">
        <f t="shared" si="0"/>
        <v>UNIV_OPERidcomb_lt_inicial</v>
      </c>
      <c r="B51" s="32" t="s">
        <v>204</v>
      </c>
      <c r="C51" s="32" t="s">
        <v>248</v>
      </c>
      <c r="D51" s="32" t="s">
        <v>5</v>
      </c>
      <c r="E51" s="32" t="str">
        <f>+UPPER('0. Instruções'!$D$35&amp;"."&amp;VLOOKUP(B51,'0. Instruções'!$C$27:$D$32,2,FALSE))</f>
        <v>CD_LOAN_TAPES_BCE.LT001_UNIV_OPER</v>
      </c>
      <c r="F51" s="32" t="str">
        <f>+UPPER('0. Instruções'!$D$36&amp;"."&amp;VLOOKUP(B51,'0. Instruções'!$C$27:$E$32,3,FALSE))</f>
        <v>BU_LOANTAPE_WORK.LT001_UNIV_OPER</v>
      </c>
      <c r="H51" s="32"/>
      <c r="I51" s="32"/>
      <c r="J51" s="32" t="str">
        <f>IF(VLOOKUP(B51,'0. Instruções'!$C$27:$G$32,5,FALSE)=0,
"(SELECT "&amp;VLOOKUP(B51,'0. Instruções'!$C$27:$G$32,4,FALSE)&amp;" AS CHAVE_IT, "&amp;C51&amp;" AS CAMPO_IT FROM "&amp;E51&amp;" WHERE "&amp;'0. Instruções'!$D$43&amp;")X",
"(SELECT "&amp;VLOOKUP(B51,'0. Instruções'!$C$27:$G$32,4,FALSE)&amp;" AS CHAVE_IT1, "&amp;VLOOKUP(B51,'0. Instruções'!$C$27:$G$32,5,FALSE)&amp;" AS CHAVE_IT2, "&amp;C51&amp;" AS CAMPO_IT FROM "&amp;E51&amp;" WHERE "&amp;'0. Instruções'!$D$43&amp;")X")</f>
        <v>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ambito='PM' AND entidade='00100')X</v>
      </c>
      <c r="K51" s="32" t="str">
        <f>IF(VLOOKUP(B51,'0. Instruções'!$C$27:$G$32,5,FALSE)=0,
"(SELECT "&amp;VLOOKUP(B51,'0. Instruções'!$C$27:$G$32,4,FALSE)&amp;" AS CHAVE_SIMUL, "&amp;C51&amp;" AS CAMPO_SIMUL FROM "&amp;F51&amp;" WHERE "&amp;'0. Instruções'!$D$42&amp;")Y",
"(SELECT "&amp;VLOOKUP(B51,'0. Instruções'!$C$27:$G$32,4,FALSE)&amp;" AS CHAVE_SIMUL1, "&amp;VLOOKUP(B51,'0. Instruções'!$C$27:$G$32,5,FALSE)&amp;" AS CHAVE_SIMUL2, "&amp;C51&amp;" AS CAMPO_SIMUL FROM "&amp;F51&amp;" WHERE "&amp;'0. Instruções'!$D$42&amp;")Y")</f>
        <v>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ambito='PM' AND entidade='00100')Y</v>
      </c>
      <c r="L51" s="32" t="str">
        <f>IF(VLOOKUP(B51,'0. Instruções'!$C$27:$G$32,5,FALSE)=0,
"ON X.CHAVE_IT=Y.CHAVE_SIMUL",
"ON X.CHAVE_IT1=Y.CHAVE_SIMUL1 AND X.CHAVE_IT2=Y.CHAVE_SIMUL2")</f>
        <v>ON X.CHAVE_IT1=Y.CHAVE_SIMUL1 AND X.CHAVE_IT2=Y.CHAVE_SIMUL2</v>
      </c>
      <c r="M51" s="32" t="str">
        <f>+IF(D51="Coerência",+IF(LEFT(H51,5)="FLOAT","SELECT '"&amp;UPPER(B51)&amp;"' AS TABELA, '"&amp;UPPER(D51)&amp;"' AS TIPOLOGIA_TESTE,'"&amp;E51&amp;"' AS TABELA_LT,'"&amp;F51&amp;"' AS TABELA_SIMUL,'"&amp;C51&amp;"'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"&amp;J51&amp;" INNER JOIN "&amp;K51&amp;" "&amp;L51,"SELECT '"&amp;UPPER(B51)&amp;"' AS TABELA, '"&amp;UPPER(D51)&amp;"' AS TIPOLOGIA_TESTE,'"&amp;E51&amp;"' AS TABELA_LT,'"&amp;F51&amp;"' AS TABELA_SIMUL,'"&amp;C51&amp;"'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"&amp;J51&amp;" INNER JOIN "&amp;K51&amp;" "&amp;L51))</f>
        <v>SELECT 'UNIV_OPER' AS TABELA, 'COERÊNCIA' AS TIPOLOGIA_TESTE,'CD_LOAN_TAPES_BCE.LT001_UNIV_OPER' AS TABELA_LT,'BU_LOANTAPE_WORK.LT001_UNIV_OPER' AS TABELA_SIMUL,'idcomb_lt_inicial'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ambito='PM' AND entidade='00100')Y ON X.CHAVE_IT1=Y.CHAVE_SIMUL1 AND X.CHAVE_IT2=Y.CHAVE_SIMUL2</v>
      </c>
      <c r="N51" s="33" t="str">
        <f t="shared" si="3"/>
        <v>UNION ALL SELECT 'UNIV_OPER' AS TABELA, 'COERÊNCIA' AS TIPOLOGIA_TESTE,'CD_LOAN_TAPES_BCE.LT001_UNIV_OPER' AS TABELA_LT,'BU_LOANTAPE_WORK.LT001_UNIV_OPER' AS TABELA_SIMUL,'idcomb_lt_inicial'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idcomb_lt_inicial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idcomb_lt_inicial AS CAMPO_SIMUL FROM BU_LOANTAPE_WORK.LT001_UNIV_OPER WHERE ref_date='${ref_date}' AND nome_perimetro='Individual Local' AND segmento='ESTR' AND ambito='PM' AND entidade='00100')Y ON X.CHAVE_IT1=Y.CHAVE_SIMUL1 AND X.CHAVE_IT2=Y.CHAVE_SIMUL2</v>
      </c>
      <c r="O51" s="35" t="s">
        <v>35</v>
      </c>
    </row>
    <row r="52" spans="1:15">
      <c r="A52" s="57" t="str">
        <f t="shared" si="0"/>
        <v>UNIV_OPERidcomb_lt_final</v>
      </c>
      <c r="B52" s="32" t="s">
        <v>204</v>
      </c>
      <c r="C52" s="32" t="s">
        <v>249</v>
      </c>
      <c r="D52" s="32" t="s">
        <v>5</v>
      </c>
      <c r="E52" s="32" t="str">
        <f>+UPPER('0. Instruções'!$D$35&amp;"."&amp;VLOOKUP(B52,'0. Instruções'!$C$27:$D$32,2,FALSE))</f>
        <v>CD_LOAN_TAPES_BCE.LT001_UNIV_OPER</v>
      </c>
      <c r="F52" s="32" t="str">
        <f>+UPPER('0. Instruções'!$D$36&amp;"."&amp;VLOOKUP(B52,'0. Instruções'!$C$27:$E$32,3,FALSE))</f>
        <v>BU_LOANTAPE_WORK.LT001_UNIV_OPER</v>
      </c>
      <c r="H52" s="32"/>
      <c r="I52" s="32"/>
      <c r="J52" s="32" t="str">
        <f>IF(VLOOKUP(B52,'0. Instruções'!$C$27:$G$32,5,FALSE)=0,
"(SELECT "&amp;VLOOKUP(B52,'0. Instruções'!$C$27:$G$32,4,FALSE)&amp;" AS CHAVE_IT, "&amp;C52&amp;" AS CAMPO_IT FROM "&amp;E52&amp;" WHERE "&amp;'0. Instruções'!$D$43&amp;")X",
"(SELECT "&amp;VLOOKUP(B52,'0. Instruções'!$C$27:$G$32,4,FALSE)&amp;" AS CHAVE_IT1, "&amp;VLOOKUP(B52,'0. Instruções'!$C$27:$G$32,5,FALSE)&amp;" AS CHAVE_IT2, "&amp;C52&amp;" AS CAMPO_IT FROM "&amp;E52&amp;" WHERE "&amp;'0. Instruções'!$D$43&amp;")X")</f>
        <v>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ambito='PM' AND entidade='00100')X</v>
      </c>
      <c r="K52" s="32" t="str">
        <f>IF(VLOOKUP(B52,'0. Instruções'!$C$27:$G$32,5,FALSE)=0,
"(SELECT "&amp;VLOOKUP(B52,'0. Instruções'!$C$27:$G$32,4,FALSE)&amp;" AS CHAVE_SIMUL, "&amp;C52&amp;" AS CAMPO_SIMUL FROM "&amp;F52&amp;" WHERE "&amp;'0. Instruções'!$D$42&amp;")Y",
"(SELECT "&amp;VLOOKUP(B52,'0. Instruções'!$C$27:$G$32,4,FALSE)&amp;" AS CHAVE_SIMUL1, "&amp;VLOOKUP(B52,'0. Instruções'!$C$27:$G$32,5,FALSE)&amp;" AS CHAVE_SIMUL2, "&amp;C52&amp;" AS CAMPO_SIMUL FROM "&amp;F52&amp;" WHERE "&amp;'0. Instruções'!$D$42&amp;")Y")</f>
        <v>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ambito='PM' AND entidade='00100')Y</v>
      </c>
      <c r="L52" s="32" t="str">
        <f>IF(VLOOKUP(B52,'0. Instruções'!$C$27:$G$32,5,FALSE)=0,
"ON X.CHAVE_IT=Y.CHAVE_SIMUL",
"ON X.CHAVE_IT1=Y.CHAVE_SIMUL1 AND X.CHAVE_IT2=Y.CHAVE_SIMUL2")</f>
        <v>ON X.CHAVE_IT1=Y.CHAVE_SIMUL1 AND X.CHAVE_IT2=Y.CHAVE_SIMUL2</v>
      </c>
      <c r="M52" s="32" t="str">
        <f>+IF(D52="Coerência",+IF(LEFT(H52,5)="FLOAT","SELECT '"&amp;UPPER(B52)&amp;"' AS TABELA, '"&amp;UPPER(D52)&amp;"' AS TIPOLOGIA_TESTE,'"&amp;E52&amp;"' AS TABELA_LT,'"&amp;F52&amp;"' AS TABELA_SIMUL,'"&amp;C52&amp;"'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"&amp;J52&amp;" INNER JOIN "&amp;K52&amp;" "&amp;L52,"SELECT '"&amp;UPPER(B52)&amp;"' AS TABELA, '"&amp;UPPER(D52)&amp;"' AS TIPOLOGIA_TESTE,'"&amp;E52&amp;"' AS TABELA_LT,'"&amp;F52&amp;"' AS TABELA_SIMUL,'"&amp;C52&amp;"'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"&amp;J52&amp;" INNER JOIN "&amp;K52&amp;" "&amp;L52))</f>
        <v>SELECT 'UNIV_OPER' AS TABELA, 'COERÊNCIA' AS TIPOLOGIA_TESTE,'CD_LOAN_TAPES_BCE.LT001_UNIV_OPER' AS TABELA_LT,'BU_LOANTAPE_WORK.LT001_UNIV_OPER' AS TABELA_SIMUL,'idcomb_lt_final'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ambito='PM' AND entidade='00100')Y ON X.CHAVE_IT1=Y.CHAVE_SIMUL1 AND X.CHAVE_IT2=Y.CHAVE_SIMUL2</v>
      </c>
      <c r="N52" s="33" t="str">
        <f t="shared" si="3"/>
        <v>UNION ALL SELECT 'UNIV_OPER' AS TABELA, 'COERÊNCIA' AS TIPOLOGIA_TESTE,'CD_LOAN_TAPES_BCE.LT001_UNIV_OPER' AS TABELA_LT,'BU_LOANTAPE_WORK.LT001_UNIV_OPER' AS TABELA_SIMUL,'idcomb_lt_final'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idcomb_lt_final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idcomb_lt_final AS CAMPO_SIMUL FROM BU_LOANTAPE_WORK.LT001_UNIV_OPER WHERE ref_date='${ref_date}' AND nome_perimetro='Individual Local' AND segmento='ESTR' AND ambito='PM' AND entidade='00100')Y ON X.CHAVE_IT1=Y.CHAVE_SIMUL1 AND X.CHAVE_IT2=Y.CHAVE_SIMUL2</v>
      </c>
      <c r="O52" s="35" t="s">
        <v>35</v>
      </c>
    </row>
    <row r="53" spans="1:15">
      <c r="A53" s="57" t="str">
        <f t="shared" si="0"/>
        <v>UNIV_OPERrank_insolv</v>
      </c>
      <c r="B53" s="32" t="s">
        <v>204</v>
      </c>
      <c r="C53" s="32" t="s">
        <v>250</v>
      </c>
      <c r="D53" s="32" t="s">
        <v>5</v>
      </c>
      <c r="E53" s="32" t="str">
        <f>+UPPER('0. Instruções'!$D$35&amp;"."&amp;VLOOKUP(B53,'0. Instruções'!$C$27:$D$32,2,FALSE))</f>
        <v>CD_LOAN_TAPES_BCE.LT001_UNIV_OPER</v>
      </c>
      <c r="F53" s="32" t="str">
        <f>+UPPER('0. Instruções'!$D$36&amp;"."&amp;VLOOKUP(B53,'0. Instruções'!$C$27:$E$32,3,FALSE))</f>
        <v>BU_LOANTAPE_WORK.LT001_UNIV_OPER</v>
      </c>
      <c r="H53" s="32"/>
      <c r="I53" s="32"/>
      <c r="J53" s="32" t="str">
        <f>IF(VLOOKUP(B53,'0. Instruções'!$C$27:$G$32,5,FALSE)=0,
"(SELECT "&amp;VLOOKUP(B53,'0. Instruções'!$C$27:$G$32,4,FALSE)&amp;" AS CHAVE_IT, "&amp;C53&amp;" AS CAMPO_IT FROM "&amp;E53&amp;" WHERE "&amp;'0. Instruções'!$D$43&amp;")X",
"(SELECT "&amp;VLOOKUP(B53,'0. Instruções'!$C$27:$G$32,4,FALSE)&amp;" AS CHAVE_IT1, "&amp;VLOOKUP(B53,'0. Instruções'!$C$27:$G$32,5,FALSE)&amp;" AS CHAVE_IT2, "&amp;C53&amp;" AS CAMPO_IT FROM "&amp;E53&amp;" WHERE "&amp;'0. Instruções'!$D$43&amp;")X")</f>
        <v>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ambito='PM' AND entidade='00100')X</v>
      </c>
      <c r="K53" s="32" t="str">
        <f>IF(VLOOKUP(B53,'0. Instruções'!$C$27:$G$32,5,FALSE)=0,
"(SELECT "&amp;VLOOKUP(B53,'0. Instruções'!$C$27:$G$32,4,FALSE)&amp;" AS CHAVE_SIMUL, "&amp;C53&amp;" AS CAMPO_SIMUL FROM "&amp;F53&amp;" WHERE "&amp;'0. Instruções'!$D$42&amp;")Y",
"(SELECT "&amp;VLOOKUP(B53,'0. Instruções'!$C$27:$G$32,4,FALSE)&amp;" AS CHAVE_SIMUL1, "&amp;VLOOKUP(B53,'0. Instruções'!$C$27:$G$32,5,FALSE)&amp;" AS CHAVE_SIMUL2, "&amp;C53&amp;" AS CAMPO_SIMUL FROM "&amp;F53&amp;" WHERE "&amp;'0. Instruções'!$D$42&amp;")Y")</f>
        <v>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ambito='PM' AND entidade='00100')Y</v>
      </c>
      <c r="L53" s="32" t="str">
        <f>IF(VLOOKUP(B53,'0. Instruções'!$C$27:$G$32,5,FALSE)=0,
"ON X.CHAVE_IT=Y.CHAVE_SIMUL",
"ON X.CHAVE_IT1=Y.CHAVE_SIMUL1 AND X.CHAVE_IT2=Y.CHAVE_SIMUL2")</f>
        <v>ON X.CHAVE_IT1=Y.CHAVE_SIMUL1 AND X.CHAVE_IT2=Y.CHAVE_SIMUL2</v>
      </c>
      <c r="M53" s="32" t="str">
        <f>+IF(D53="Coerência",+IF(LEFT(H53,5)="FLOAT","SELECT '"&amp;UPPER(B53)&amp;"' AS TABELA, '"&amp;UPPER(D53)&amp;"' AS TIPOLOGIA_TESTE,'"&amp;E53&amp;"' AS TABELA_LT,'"&amp;F53&amp;"' AS TABELA_SIMUL,'"&amp;C53&amp;"'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"&amp;J53&amp;" INNER JOIN "&amp;K53&amp;" "&amp;L53,"SELECT '"&amp;UPPER(B53)&amp;"' AS TABELA, '"&amp;UPPER(D53)&amp;"' AS TIPOLOGIA_TESTE,'"&amp;E53&amp;"' AS TABELA_LT,'"&amp;F53&amp;"' AS TABELA_SIMUL,'"&amp;C53&amp;"'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"&amp;J53&amp;" INNER JOIN "&amp;K53&amp;" "&amp;L53))</f>
        <v>SELECT 'UNIV_OPER' AS TABELA, 'COERÊNCIA' AS TIPOLOGIA_TESTE,'CD_LOAN_TAPES_BCE.LT001_UNIV_OPER' AS TABELA_LT,'BU_LOANTAPE_WORK.LT001_UNIV_OPER'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ambito='PM' AND entidade='00100')Y ON X.CHAVE_IT1=Y.CHAVE_SIMUL1 AND X.CHAVE_IT2=Y.CHAVE_SIMUL2</v>
      </c>
      <c r="N53" s="33" t="str">
        <f t="shared" si="3"/>
        <v>UNION ALL SELECT 'UNIV_OPER' AS TABELA, 'COERÊNCIA' AS TIPOLOGIA_TESTE,'CD_LOAN_TAPES_BCE.LT001_UNIV_OPER' AS TABELA_LT,'BU_LOANTAPE_WORK.LT001_UNIV_OPER'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concat(cempresa, cbalcao, cnumecta, zdeposit, ccontab_final_ifrs, ccontab_final_pcsb, ccontab_final_cargabal, ccontab_final) AS CHAVE_IT1, zcliente AS CHAVE_IT2, rank_insolv AS CAMPO_IT FROM CD_LOAN_TAPES_BCE.LT001_UNIV_OPER WHERE ref_date='${ref_date}' AND nome_perimetro='Individual Local' AND segmento='ESTR' AND ambito='PM' AND entidade='00100')X INNER JOIN (SELECT concat(cempresa, cbalcao, cnumecta, zdeposit, ccontab_final_ifrs, ccontab_final_pcsb, ccontab_final_cargabal, ccontab_final) AS CHAVE_SIMUL1, zcliente AS CHAVE_SIMUL2, rank_insolv AS CAMPO_SIMUL FROM BU_LOANTAPE_WORK.LT001_UNIV_OPER WHERE ref_date='${ref_date}' AND nome_perimetro='Individual Local' AND segmento='ESTR' AND ambito='PM' AND entidade='00100')Y ON X.CHAVE_IT1=Y.CHAVE_SIMUL1 AND X.CHAVE_IT2=Y.CHAVE_SIMUL2</v>
      </c>
      <c r="O53" s="35" t="s">
        <v>35</v>
      </c>
    </row>
    <row r="54" spans="1:15">
      <c r="A54" s="57" t="str">
        <f t="shared" si="0"/>
        <v>Instrumentcntrct_id</v>
      </c>
      <c r="B54" s="32" t="s">
        <v>9</v>
      </c>
      <c r="C54" s="32" t="s">
        <v>251</v>
      </c>
      <c r="D54" s="32" t="s">
        <v>5</v>
      </c>
      <c r="E54" s="32" t="str">
        <f>+UPPER('0. Instruções'!$D$35&amp;"."&amp;VLOOKUP(B54,'0. Instruções'!$C$27:$D$32,2,FALSE))</f>
        <v>CD_LOAN_TAPES_BCE.LT002_INSTRUMENT</v>
      </c>
      <c r="F54" s="32" t="str">
        <f>+UPPER('0. Instruções'!$D$36&amp;"."&amp;VLOOKUP(B54,'0. Instruções'!$C$27:$E$32,3,FALSE))</f>
        <v>BU_LOANTAPE_WORK.LT002_INSTRUMENT</v>
      </c>
      <c r="H54" s="32"/>
      <c r="I54" s="32"/>
      <c r="J54" s="32" t="str">
        <f>IF(VLOOKUP(B54,'0. Instruções'!$C$27:$G$32,5,FALSE)=0,
"(SELECT "&amp;VLOOKUP(B54,'0. Instruções'!$C$27:$G$32,4,FALSE)&amp;" AS CHAVE_IT, "&amp;C54&amp;" AS CAMPO_IT FROM "&amp;E54&amp;" WHERE "&amp;'0. Instruções'!$D$43&amp;")X",
"(SELECT "&amp;VLOOKUP(B54,'0. Instruções'!$C$27:$G$32,4,FALSE)&amp;" AS CHAVE_IT1, "&amp;VLOOKUP(B54,'0. Instruções'!$C$27:$G$32,5,FALSE)&amp;" AS CHAVE_IT2, "&amp;C54&amp;" AS CAMPO_IT FROM "&amp;E54&amp;" WHERE "&amp;'0. Instruções'!$D$43&amp;")X")</f>
        <v>(SELECT instrmnt_id AS CHAVE_IT, cntrct_id AS CAMPO_IT FROM CD_LOAN_TAPES_BCE.LT002_INSTRUMENT WHERE ref_date='${ref_date}' AND nome_perimetro='Individual Local' AND segmento='ESTR' AND ambito='PM' AND entidade='00100')X</v>
      </c>
      <c r="K54" s="32" t="str">
        <f>IF(VLOOKUP(B54,'0. Instruções'!$C$27:$G$32,5,FALSE)=0,
"(SELECT "&amp;VLOOKUP(B54,'0. Instruções'!$C$27:$G$32,4,FALSE)&amp;" AS CHAVE_SIMUL, "&amp;C54&amp;" AS CAMPO_SIMUL FROM "&amp;F54&amp;" WHERE "&amp;'0. Instruções'!$D$42&amp;")Y",
"(SELECT "&amp;VLOOKUP(B54,'0. Instruções'!$C$27:$G$32,4,FALSE)&amp;" AS CHAVE_SIMUL1, "&amp;VLOOKUP(B54,'0. Instruções'!$C$27:$G$32,5,FALSE)&amp;" AS CHAVE_SIMUL2, "&amp;C54&amp;" AS CAMPO_SIMUL FROM "&amp;F54&amp;" WHERE "&amp;'0. Instruções'!$D$42&amp;")Y")</f>
        <v>(SELECT instrmnt_id AS CHAVE_SIMUL, cntrct_id AS CAMPO_SIMUL FROM BU_LOANTAPE_WORK.LT002_INSTRUMENT WHERE ref_date='${ref_date}' AND nome_perimetro='Individual Local' AND segmento='ESTR' AND ambito='PM' AND entidade='00100')Y</v>
      </c>
      <c r="L54" s="32" t="str">
        <f>IF(VLOOKUP(B54,'0. Instruções'!$C$27:$G$32,5,FALSE)=0,
"ON X.CHAVE_IT=Y.CHAVE_SIMUL",
"ON X.CHAVE_IT1=Y.CHAVE_SIMUL1 AND X.CHAVE_IT2=Y.CHAVE_SIMUL2")</f>
        <v>ON X.CHAVE_IT=Y.CHAVE_SIMUL</v>
      </c>
      <c r="M54" s="32" t="str">
        <f>+IF(D54="Coerência",+IF(LEFT(H54,5)="FLOAT","SELECT '"&amp;UPPER(B54)&amp;"' AS TABELA, '"&amp;UPPER(D54)&amp;"' AS TIPOLOGIA_TESTE,'"&amp;E54&amp;"' AS TABELA_LT,'"&amp;F54&amp;"' AS TABELA_SIMUL,'"&amp;C54&amp;"'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"&amp;J54&amp;" INNER JOIN "&amp;K54&amp;" "&amp;L54,"SELECT '"&amp;UPPER(B54)&amp;"' AS TABELA, '"&amp;UPPER(D54)&amp;"' AS TIPOLOGIA_TESTE,'"&amp;E54&amp;"' AS TABELA_LT,'"&amp;F54&amp;"' AS TABELA_SIMUL,'"&amp;C54&amp;"'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"&amp;J54&amp;" INNER JOIN "&amp;K54&amp;" "&amp;L54))</f>
        <v>SELECT 'INSTRUMENT' AS TABELA, 'COERÊNCIA' AS TIPOLOGIA_TESTE,'CD_LOAN_TAPES_BCE.LT002_INSTRUMENT' AS TABELA_LT,'BU_LOANTAPE_WORK.LT002_INSTRUMENT' AS TABELA_SIMUL,'cntrct_id'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 AS CAMPO_IT FROM CD_LOAN_TAPES_BCE.LT002_INSTRUMENT WHERE ref_date='${ref_date}' AND nome_perimetro='Individual Local' AND segmento='ESTR' AND ambito='PM' AND entidade='00100')X INNER JOIN (SELECT instrmnt_id AS CHAVE_SIMUL, cntrct_id AS CAMPO_SIMUL FROM BU_LOANTAPE_WORK.LT002_INSTRUMENT WHERE ref_date='${ref_date}' AND nome_perimetro='Individual Local' AND segmento='ESTR' AND ambito='PM' AND entidade='00100')Y ON X.CHAVE_IT=Y.CHAVE_SIMUL</v>
      </c>
      <c r="N54" s="33" t="str">
        <f t="shared" si="3"/>
        <v>UNION ALL SELECT 'INSTRUMENT' AS TABELA, 'COERÊNCIA' AS TIPOLOGIA_TESTE,'CD_LOAN_TAPES_BCE.LT002_INSTRUMENT' AS TABELA_LT,'BU_LOANTAPE_WORK.LT002_INSTRUMENT' AS TABELA_SIMUL,'cntrct_id'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 AS CAMPO_IT FROM CD_LOAN_TAPES_BCE.LT002_INSTRUMENT WHERE ref_date='${ref_date}' AND nome_perimetro='Individual Local' AND segmento='ESTR' AND ambito='PM' AND entidade='00100')X INNER JOIN (SELECT instrmnt_id AS CHAVE_SIMUL, cntrct_id AS CAMPO_SIMUL FROM BU_LOANTAPE_WORK.LT002_INSTRUMENT WHERE ref_date='${ref_date}' AND nome_perimetro='Individual Local' AND segmento='ESTR' AND ambito='PM' AND entidade='00100')Y ON X.CHAVE_IT=Y.CHAVE_SIMUL</v>
      </c>
      <c r="O54" s="35" t="s">
        <v>35</v>
      </c>
    </row>
    <row r="55" spans="1:15">
      <c r="A55" s="57" t="str">
        <f t="shared" si="0"/>
        <v>Instrumentcrrncy_dnmntn</v>
      </c>
      <c r="B55" s="32" t="s">
        <v>9</v>
      </c>
      <c r="C55" s="32" t="s">
        <v>252</v>
      </c>
      <c r="D55" s="32" t="s">
        <v>5</v>
      </c>
      <c r="E55" s="32" t="str">
        <f>+UPPER('0. Instruções'!$D$35&amp;"."&amp;VLOOKUP(B55,'0. Instruções'!$C$27:$D$32,2,FALSE))</f>
        <v>CD_LOAN_TAPES_BCE.LT002_INSTRUMENT</v>
      </c>
      <c r="F55" s="32" t="str">
        <f>+UPPER('0. Instruções'!$D$36&amp;"."&amp;VLOOKUP(B55,'0. Instruções'!$C$27:$E$32,3,FALSE))</f>
        <v>BU_LOANTAPE_WORK.LT002_INSTRUMENT</v>
      </c>
      <c r="H55" s="32"/>
      <c r="I55" s="32"/>
      <c r="J55" s="32" t="str">
        <f>IF(VLOOKUP(B55,'0. Instruções'!$C$27:$G$32,5,FALSE)=0,
"(SELECT "&amp;VLOOKUP(B55,'0. Instruções'!$C$27:$G$32,4,FALSE)&amp;" AS CHAVE_IT, "&amp;C55&amp;" AS CAMPO_IT FROM "&amp;E55&amp;" WHERE "&amp;'0. Instruções'!$D$43&amp;")X",
"(SELECT "&amp;VLOOKUP(B55,'0. Instruções'!$C$27:$G$32,4,FALSE)&amp;" AS CHAVE_IT1, "&amp;VLOOKUP(B55,'0. Instruções'!$C$27:$G$32,5,FALSE)&amp;" AS CHAVE_IT2, "&amp;C55&amp;" AS CAMPO_IT FROM "&amp;E55&amp;" WHERE "&amp;'0. Instruções'!$D$43&amp;")X")</f>
        <v>(SELECT instrmnt_id AS CHAVE_IT, crrncy_dnmntn AS CAMPO_IT FROM CD_LOAN_TAPES_BCE.LT002_INSTRUMENT WHERE ref_date='${ref_date}' AND nome_perimetro='Individual Local' AND segmento='ESTR' AND ambito='PM' AND entidade='00100')X</v>
      </c>
      <c r="K55" s="32" t="str">
        <f>IF(VLOOKUP(B55,'0. Instruções'!$C$27:$G$32,5,FALSE)=0,
"(SELECT "&amp;VLOOKUP(B55,'0. Instruções'!$C$27:$G$32,4,FALSE)&amp;" AS CHAVE_SIMUL, "&amp;C55&amp;" AS CAMPO_SIMUL FROM "&amp;F55&amp;" WHERE "&amp;'0. Instruções'!$D$42&amp;")Y",
"(SELECT "&amp;VLOOKUP(B55,'0. Instruções'!$C$27:$G$32,4,FALSE)&amp;" AS CHAVE_SIMUL1, "&amp;VLOOKUP(B55,'0. Instruções'!$C$27:$G$32,5,FALSE)&amp;" AS CHAVE_SIMUL2, "&amp;C55&amp;" AS CAMPO_SIMUL FROM "&amp;F55&amp;" WHERE "&amp;'0. Instruções'!$D$42&amp;")Y")</f>
        <v>(SELECT instrmnt_id AS CHAVE_SIMUL, crrncy_dnmntn AS CAMPO_SIMUL FROM BU_LOANTAPE_WORK.LT002_INSTRUMENT WHERE ref_date='${ref_date}' AND nome_perimetro='Individual Local' AND segmento='ESTR' AND ambito='PM' AND entidade='00100')Y</v>
      </c>
      <c r="L55" s="32" t="str">
        <f>IF(VLOOKUP(B55,'0. Instruções'!$C$27:$G$32,5,FALSE)=0,
"ON X.CHAVE_IT=Y.CHAVE_SIMUL",
"ON X.CHAVE_IT1=Y.CHAVE_SIMUL1 AND X.CHAVE_IT2=Y.CHAVE_SIMUL2")</f>
        <v>ON X.CHAVE_IT=Y.CHAVE_SIMUL</v>
      </c>
      <c r="M55" s="32" t="str">
        <f>+IF(D55="Coerência",+IF(LEFT(H55,5)="FLOAT","SELECT '"&amp;UPPER(B55)&amp;"' AS TABELA, '"&amp;UPPER(D55)&amp;"' AS TIPOLOGIA_TESTE,'"&amp;E55&amp;"' AS TABELA_LT,'"&amp;F55&amp;"' AS TABELA_SIMUL,'"&amp;C55&amp;"'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"&amp;J55&amp;" INNER JOIN "&amp;K55&amp;" "&amp;L55,"SELECT '"&amp;UPPER(B55)&amp;"' AS TABELA, '"&amp;UPPER(D55)&amp;"' AS TIPOLOGIA_TESTE,'"&amp;E55&amp;"' AS TABELA_LT,'"&amp;F55&amp;"' AS TABELA_SIMUL,'"&amp;C55&amp;"'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"&amp;J55&amp;" INNER JOIN "&amp;K55&amp;" "&amp;L55))</f>
        <v>SELECT 'INSTRUMENT' AS TABELA, 'COERÊNCIA' AS TIPOLOGIA_TESTE,'CD_LOAN_TAPES_BCE.LT002_INSTRUMENT' AS TABELA_LT,'BU_LOANTAPE_WORK.LT002_INSTRUMENT' AS TABELA_SIMUL,'crrncy_dnmntn'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crrncy_dnmntn AS CAMPO_IT FROM CD_LOAN_TAPES_BCE.LT002_INSTRUMENT WHERE ref_date='${ref_date}' AND nome_perimetro='Individual Local' AND segmento='ESTR' AND ambito='PM' AND entidade='00100')X INNER JOIN (SELECT instrmnt_id AS CHAVE_SIMUL, crrncy_dnmntn AS CAMPO_SIMUL FROM BU_LOANTAPE_WORK.LT002_INSTRUMENT WHERE ref_date='${ref_date}' AND nome_perimetro='Individual Local' AND segmento='ESTR' AND ambito='PM' AND entidade='00100')Y ON X.CHAVE_IT=Y.CHAVE_SIMUL</v>
      </c>
      <c r="N55" s="33" t="str">
        <f t="shared" si="3"/>
        <v>UNION ALL SELECT 'INSTRUMENT' AS TABELA, 'COERÊNCIA' AS TIPOLOGIA_TESTE,'CD_LOAN_TAPES_BCE.LT002_INSTRUMENT' AS TABELA_LT,'BU_LOANTAPE_WORK.LT002_INSTRUMENT' AS TABELA_SIMUL,'crrncy_dnmntn'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crrncy_dnmntn AS CAMPO_IT FROM CD_LOAN_TAPES_BCE.LT002_INSTRUMENT WHERE ref_date='${ref_date}' AND nome_perimetro='Individual Local' AND segmento='ESTR' AND ambito='PM' AND entidade='00100')X INNER JOIN (SELECT instrmnt_id AS CHAVE_SIMUL, crrncy_dnmntn AS CAMPO_SIMUL FROM BU_LOANTAPE_WORK.LT002_INSTRUMENT WHERE ref_date='${ref_date}' AND nome_perimetro='Individual Local' AND segmento='ESTR' AND ambito='PM' AND entidade='00100')Y ON X.CHAVE_IT=Y.CHAVE_SIMUL</v>
      </c>
      <c r="O55" s="35" t="s">
        <v>35</v>
      </c>
    </row>
    <row r="56" spans="1:15">
      <c r="A56" s="57" t="str">
        <f t="shared" si="0"/>
        <v>Instrumentdt_incptn</v>
      </c>
      <c r="B56" s="32" t="s">
        <v>9</v>
      </c>
      <c r="C56" s="32" t="s">
        <v>134</v>
      </c>
      <c r="D56" s="32" t="s">
        <v>5</v>
      </c>
      <c r="E56" s="32" t="str">
        <f>+UPPER('0. Instruções'!$D$35&amp;"."&amp;VLOOKUP(B56,'0. Instruções'!$C$27:$D$32,2,FALSE))</f>
        <v>CD_LOAN_TAPES_BCE.LT002_INSTRUMENT</v>
      </c>
      <c r="F56" s="32" t="str">
        <f>+UPPER('0. Instruções'!$D$36&amp;"."&amp;VLOOKUP(B56,'0. Instruções'!$C$27:$E$32,3,FALSE))</f>
        <v>BU_LOANTAPE_WORK.LT002_INSTRUMENT</v>
      </c>
      <c r="H56" s="32"/>
      <c r="I56" s="32"/>
      <c r="J56" s="32" t="str">
        <f>IF(VLOOKUP(B56,'0. Instruções'!$C$27:$G$32,5,FALSE)=0,
"(SELECT "&amp;VLOOKUP(B56,'0. Instruções'!$C$27:$G$32,4,FALSE)&amp;" AS CHAVE_IT, "&amp;C56&amp;" AS CAMPO_IT FROM "&amp;E56&amp;" WHERE "&amp;'0. Instruções'!$D$43&amp;")X",
"(SELECT "&amp;VLOOKUP(B56,'0. Instruções'!$C$27:$G$32,4,FALSE)&amp;" AS CHAVE_IT1, "&amp;VLOOKUP(B56,'0. Instruções'!$C$27:$G$32,5,FALSE)&amp;" AS CHAVE_IT2, "&amp;C56&amp;" AS CAMPO_IT FROM "&amp;E56&amp;" WHERE "&amp;'0. Instruções'!$D$43&amp;")X")</f>
        <v>(SELECT instrmnt_id AS CHAVE_IT, dt_incptn AS CAMPO_IT FROM CD_LOAN_TAPES_BCE.LT002_INSTRUMENT WHERE ref_date='${ref_date}' AND nome_perimetro='Individual Local' AND segmento='ESTR' AND ambito='PM' AND entidade='00100')X</v>
      </c>
      <c r="K56" s="32" t="str">
        <f>IF(VLOOKUP(B56,'0. Instruções'!$C$27:$G$32,5,FALSE)=0,
"(SELECT "&amp;VLOOKUP(B56,'0. Instruções'!$C$27:$G$32,4,FALSE)&amp;" AS CHAVE_SIMUL, "&amp;C56&amp;" AS CAMPO_SIMUL FROM "&amp;F56&amp;" WHERE "&amp;'0. Instruções'!$D$42&amp;")Y",
"(SELECT "&amp;VLOOKUP(B56,'0. Instruções'!$C$27:$G$32,4,FALSE)&amp;" AS CHAVE_SIMUL1, "&amp;VLOOKUP(B56,'0. Instruções'!$C$27:$G$32,5,FALSE)&amp;" AS CHAVE_SIMUL2, "&amp;C56&amp;" AS CAMPO_SIMUL FROM "&amp;F56&amp;" WHERE "&amp;'0. Instruções'!$D$42&amp;")Y")</f>
        <v>(SELECT instrmnt_id AS CHAVE_SIMUL, dt_incptn AS CAMPO_SIMUL FROM BU_LOANTAPE_WORK.LT002_INSTRUMENT WHERE ref_date='${ref_date}' AND nome_perimetro='Individual Local' AND segmento='ESTR' AND ambito='PM' AND entidade='00100')Y</v>
      </c>
      <c r="L56" s="32" t="str">
        <f>IF(VLOOKUP(B56,'0. Instruções'!$C$27:$G$32,5,FALSE)=0,
"ON X.CHAVE_IT=Y.CHAVE_SIMUL",
"ON X.CHAVE_IT1=Y.CHAVE_SIMUL1 AND X.CHAVE_IT2=Y.CHAVE_SIMUL2")</f>
        <v>ON X.CHAVE_IT=Y.CHAVE_SIMUL</v>
      </c>
      <c r="M56" s="32" t="str">
        <f>+IF(D56="Coerência",+IF(LEFT(H56,5)="FLOAT","SELECT '"&amp;UPPER(B56)&amp;"' AS TABELA, '"&amp;UPPER(D56)&amp;"' AS TIPOLOGIA_TESTE,'"&amp;E56&amp;"' AS TABELA_LT,'"&amp;F56&amp;"' AS TABELA_SIMUL,'"&amp;C56&amp;"'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"&amp;J56&amp;" INNER JOIN "&amp;K56&amp;" "&amp;L56,"SELECT '"&amp;UPPER(B56)&amp;"' AS TABELA, '"&amp;UPPER(D56)&amp;"' AS TIPOLOGIA_TESTE,'"&amp;E56&amp;"' AS TABELA_LT,'"&amp;F56&amp;"' AS TABELA_SIMUL,'"&amp;C56&amp;"'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"&amp;J56&amp;" INNER JOIN "&amp;K56&amp;" "&amp;L56))</f>
        <v>SELECT 'INSTRUMENT' AS TABELA, 'COERÊNCIA' AS TIPOLOGIA_TESTE,'CD_LOAN_TAPES_BCE.LT002_INSTRUMENT' AS TABELA_LT,'BU_LOANTAPE_WORK.LT002_INSTRUMENT' AS TABELA_SIMUL,'dt_incptn'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dt_incptn AS CAMPO_IT FROM CD_LOAN_TAPES_BCE.LT002_INSTRUMENT WHERE ref_date='${ref_date}' AND nome_perimetro='Individual Local' AND segmento='ESTR' AND ambito='PM' AND entidade='00100')X INNER JOIN (SELECT instrmnt_id AS CHAVE_SIMUL, dt_incptn AS CAMPO_SIMUL FROM BU_LOANTAPE_WORK.LT002_INSTRUMENT WHERE ref_date='${ref_date}' AND nome_perimetro='Individual Local' AND segmento='ESTR' AND ambito='PM' AND entidade='00100')Y ON X.CHAVE_IT=Y.CHAVE_SIMUL</v>
      </c>
      <c r="N56" s="33" t="str">
        <f t="shared" si="3"/>
        <v>UNION ALL SELECT 'INSTRUMENT' AS TABELA, 'COERÊNCIA' AS TIPOLOGIA_TESTE,'CD_LOAN_TAPES_BCE.LT002_INSTRUMENT' AS TABELA_LT,'BU_LOANTAPE_WORK.LT002_INSTRUMENT' AS TABELA_SIMUL,'dt_incptn'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dt_incptn AS CAMPO_IT FROM CD_LOAN_TAPES_BCE.LT002_INSTRUMENT WHERE ref_date='${ref_date}' AND nome_perimetro='Individual Local' AND segmento='ESTR' AND ambito='PM' AND entidade='00100')X INNER JOIN (SELECT instrmnt_id AS CHAVE_SIMUL, dt_incptn AS CAMPO_SIMUL FROM BU_LOANTAPE_WORK.LT002_INSTRUMENT WHERE ref_date='${ref_date}' AND nome_perimetro='Individual Local' AND segmento='ESTR' AND ambito='PM' AND entidade='00100')Y ON X.CHAVE_IT=Y.CHAVE_SIMUL</v>
      </c>
      <c r="O56" s="35" t="s">
        <v>35</v>
      </c>
    </row>
    <row r="57" spans="1:15">
      <c r="A57" s="57" t="str">
        <f t="shared" si="0"/>
        <v>Instrumentobsrvd_agnt_id</v>
      </c>
      <c r="B57" s="32" t="s">
        <v>9</v>
      </c>
      <c r="C57" s="32" t="s">
        <v>253</v>
      </c>
      <c r="D57" s="32" t="s">
        <v>5</v>
      </c>
      <c r="E57" s="32" t="str">
        <f>+UPPER('0. Instruções'!$D$35&amp;"."&amp;VLOOKUP(B57,'0. Instruções'!$C$27:$D$32,2,FALSE))</f>
        <v>CD_LOAN_TAPES_BCE.LT002_INSTRUMENT</v>
      </c>
      <c r="F57" s="32" t="str">
        <f>+UPPER('0. Instruções'!$D$36&amp;"."&amp;VLOOKUP(B57,'0. Instruções'!$C$27:$E$32,3,FALSE))</f>
        <v>BU_LOANTAPE_WORK.LT002_INSTRUMENT</v>
      </c>
      <c r="H57" s="32"/>
      <c r="I57" s="32"/>
      <c r="J57" s="32" t="str">
        <f>IF(VLOOKUP(B57,'0. Instruções'!$C$27:$G$32,5,FALSE)=0,
"(SELECT "&amp;VLOOKUP(B57,'0. Instruções'!$C$27:$G$32,4,FALSE)&amp;" AS CHAVE_IT, "&amp;C57&amp;" AS CAMPO_IT FROM "&amp;E57&amp;" WHERE "&amp;'0. Instruções'!$D$43&amp;")X",
"(SELECT "&amp;VLOOKUP(B57,'0. Instruções'!$C$27:$G$32,4,FALSE)&amp;" AS CHAVE_IT1, "&amp;VLOOKUP(B57,'0. Instruções'!$C$27:$G$32,5,FALSE)&amp;" AS CHAVE_IT2, "&amp;C57&amp;" AS CAMPO_IT FROM "&amp;E57&amp;" WHERE "&amp;'0. Instruções'!$D$43&amp;")X")</f>
        <v>(SELECT instrmnt_id AS CHAVE_IT, obsrvd_agnt_id AS CAMPO_IT FROM CD_LOAN_TAPES_BCE.LT002_INSTRUMENT WHERE ref_date='${ref_date}' AND nome_perimetro='Individual Local' AND segmento='ESTR' AND ambito='PM' AND entidade='00100')X</v>
      </c>
      <c r="K57" s="32" t="str">
        <f>IF(VLOOKUP(B57,'0. Instruções'!$C$27:$G$32,5,FALSE)=0,
"(SELECT "&amp;VLOOKUP(B57,'0. Instruções'!$C$27:$G$32,4,FALSE)&amp;" AS CHAVE_SIMUL, "&amp;C57&amp;" AS CAMPO_SIMUL FROM "&amp;F57&amp;" WHERE "&amp;'0. Instruções'!$D$42&amp;")Y",
"(SELECT "&amp;VLOOKUP(B57,'0. Instruções'!$C$27:$G$32,4,FALSE)&amp;" AS CHAVE_SIMUL1, "&amp;VLOOKUP(B57,'0. Instruções'!$C$27:$G$32,5,FALSE)&amp;" AS CHAVE_SIMUL2, "&amp;C57&amp;" AS CAMPO_SIMUL FROM "&amp;F57&amp;" WHERE "&amp;'0. Instruções'!$D$42&amp;")Y")</f>
        <v>(SELECT instrmnt_id AS CHAVE_SIMUL, obsrvd_agnt_id AS CAMPO_SIMUL FROM BU_LOANTAPE_WORK.LT002_INSTRUMENT WHERE ref_date='${ref_date}' AND nome_perimetro='Individual Local' AND segmento='ESTR' AND ambito='PM' AND entidade='00100')Y</v>
      </c>
      <c r="L57" s="32" t="str">
        <f>IF(VLOOKUP(B57,'0. Instruções'!$C$27:$G$32,5,FALSE)=0,
"ON X.CHAVE_IT=Y.CHAVE_SIMUL",
"ON X.CHAVE_IT1=Y.CHAVE_SIMUL1 AND X.CHAVE_IT2=Y.CHAVE_SIMUL2")</f>
        <v>ON X.CHAVE_IT=Y.CHAVE_SIMUL</v>
      </c>
      <c r="M57" s="32" t="str">
        <f>+IF(D57="Coerência",+IF(LEFT(H57,5)="FLOAT","SELECT '"&amp;UPPER(B57)&amp;"' AS TABELA, '"&amp;UPPER(D57)&amp;"' AS TIPOLOGIA_TESTE,'"&amp;E57&amp;"' AS TABELA_LT,'"&amp;F57&amp;"' AS TABELA_SIMUL,'"&amp;C57&amp;"'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"&amp;J57&amp;" INNER JOIN "&amp;K57&amp;" "&amp;L57,"SELECT '"&amp;UPPER(B57)&amp;"' AS TABELA, '"&amp;UPPER(D57)&amp;"' AS TIPOLOGIA_TESTE,'"&amp;E57&amp;"' AS TABELA_LT,'"&amp;F57&amp;"' AS TABELA_SIMUL,'"&amp;C57&amp;"'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"&amp;J57&amp;" INNER JOIN "&amp;K57&amp;" "&amp;L57))</f>
        <v>SELECT 'INSTRUMENT' AS TABELA, 'COERÊNCIA' AS TIPOLOGIA_TESTE,'CD_LOAN_TAPES_BCE.LT002_INSTRUMENT' AS TABELA_LT,'BU_LOANTAPE_WORK.LT002_INSTRUMENT' AS TABELA_SIMUL,'obsrvd_agnt_id'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obsrvd_agnt_id AS CAMPO_IT FROM CD_LOAN_TAPES_BCE.LT002_INSTRUMENT WHERE ref_date='${ref_date}' AND nome_perimetro='Individual Local' AND segmento='ESTR' AND ambito='PM' AND entidade='00100')X INNER JOIN (SELECT instrmnt_id AS CHAVE_SIMUL, obsrvd_agnt_id AS CAMPO_SIMUL FROM BU_LOANTAPE_WORK.LT002_INSTRUMENT WHERE ref_date='${ref_date}' AND nome_perimetro='Individual Local' AND segmento='ESTR' AND ambito='PM' AND entidade='00100')Y ON X.CHAVE_IT=Y.CHAVE_SIMUL</v>
      </c>
      <c r="N57" s="33" t="str">
        <f t="shared" si="3"/>
        <v>UNION ALL SELECT 'INSTRUMENT' AS TABELA, 'COERÊNCIA' AS TIPOLOGIA_TESTE,'CD_LOAN_TAPES_BCE.LT002_INSTRUMENT' AS TABELA_LT,'BU_LOANTAPE_WORK.LT002_INSTRUMENT' AS TABELA_SIMUL,'obsrvd_agnt_id'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obsrvd_agnt_id AS CAMPO_IT FROM CD_LOAN_TAPES_BCE.LT002_INSTRUMENT WHERE ref_date='${ref_date}' AND nome_perimetro='Individual Local' AND segmento='ESTR' AND ambito='PM' AND entidade='00100')X INNER JOIN (SELECT instrmnt_id AS CHAVE_SIMUL, obsrvd_agnt_id AS CAMPO_SIMUL FROM BU_LOANTAPE_WORK.LT002_INSTRUMENT WHERE ref_date='${ref_date}' AND nome_perimetro='Individual Local' AND segmento='ESTR' AND ambito='PM' AND entidade='00100')Y ON X.CHAVE_IT=Y.CHAVE_SIMUL</v>
      </c>
      <c r="O57" s="35" t="s">
        <v>35</v>
      </c>
    </row>
    <row r="58" spans="1:15">
      <c r="A58" s="57" t="str">
        <f t="shared" si="0"/>
        <v>Instrumentobsrvd_agnt_nm</v>
      </c>
      <c r="B58" s="32" t="s">
        <v>9</v>
      </c>
      <c r="C58" s="32" t="s">
        <v>254</v>
      </c>
      <c r="D58" s="32" t="s">
        <v>5</v>
      </c>
      <c r="E58" s="32" t="str">
        <f>+UPPER('0. Instruções'!$D$35&amp;"."&amp;VLOOKUP(B58,'0. Instruções'!$C$27:$D$32,2,FALSE))</f>
        <v>CD_LOAN_TAPES_BCE.LT002_INSTRUMENT</v>
      </c>
      <c r="F58" s="32" t="str">
        <f>+UPPER('0. Instruções'!$D$36&amp;"."&amp;VLOOKUP(B58,'0. Instruções'!$C$27:$E$32,3,FALSE))</f>
        <v>BU_LOANTAPE_WORK.LT002_INSTRUMENT</v>
      </c>
      <c r="H58" s="32"/>
      <c r="I58" s="32"/>
      <c r="J58" s="32" t="str">
        <f>IF(VLOOKUP(B58,'0. Instruções'!$C$27:$G$32,5,FALSE)=0,
"(SELECT "&amp;VLOOKUP(B58,'0. Instruções'!$C$27:$G$32,4,FALSE)&amp;" AS CHAVE_IT, "&amp;C58&amp;" AS CAMPO_IT FROM "&amp;E58&amp;" WHERE "&amp;'0. Instruções'!$D$43&amp;")X",
"(SELECT "&amp;VLOOKUP(B58,'0. Instruções'!$C$27:$G$32,4,FALSE)&amp;" AS CHAVE_IT1, "&amp;VLOOKUP(B58,'0. Instruções'!$C$27:$G$32,5,FALSE)&amp;" AS CHAVE_IT2, "&amp;C58&amp;" AS CAMPO_IT FROM "&amp;E58&amp;" WHERE "&amp;'0. Instruções'!$D$43&amp;")X")</f>
        <v>(SELECT instrmnt_id AS CHAVE_IT, obsrvd_agnt_nm AS CAMPO_IT FROM CD_LOAN_TAPES_BCE.LT002_INSTRUMENT WHERE ref_date='${ref_date}' AND nome_perimetro='Individual Local' AND segmento='ESTR' AND ambito='PM' AND entidade='00100')X</v>
      </c>
      <c r="K58" s="32" t="str">
        <f>IF(VLOOKUP(B58,'0. Instruções'!$C$27:$G$32,5,FALSE)=0,
"(SELECT "&amp;VLOOKUP(B58,'0. Instruções'!$C$27:$G$32,4,FALSE)&amp;" AS CHAVE_SIMUL, "&amp;C58&amp;" AS CAMPO_SIMUL FROM "&amp;F58&amp;" WHERE "&amp;'0. Instruções'!$D$42&amp;")Y",
"(SELECT "&amp;VLOOKUP(B58,'0. Instruções'!$C$27:$G$32,4,FALSE)&amp;" AS CHAVE_SIMUL1, "&amp;VLOOKUP(B58,'0. Instruções'!$C$27:$G$32,5,FALSE)&amp;" AS CHAVE_SIMUL2, "&amp;C58&amp;" AS CAMPO_SIMUL FROM "&amp;F58&amp;" WHERE "&amp;'0. Instruções'!$D$42&amp;")Y")</f>
        <v>(SELECT instrmnt_id AS CHAVE_SIMUL, obsrvd_agnt_nm AS CAMPO_SIMUL FROM BU_LOANTAPE_WORK.LT002_INSTRUMENT WHERE ref_date='${ref_date}' AND nome_perimetro='Individual Local' AND segmento='ESTR' AND ambito='PM' AND entidade='00100')Y</v>
      </c>
      <c r="L58" s="32" t="str">
        <f>IF(VLOOKUP(B58,'0. Instruções'!$C$27:$G$32,5,FALSE)=0,
"ON X.CHAVE_IT=Y.CHAVE_SIMUL",
"ON X.CHAVE_IT1=Y.CHAVE_SIMUL1 AND X.CHAVE_IT2=Y.CHAVE_SIMUL2")</f>
        <v>ON X.CHAVE_IT=Y.CHAVE_SIMUL</v>
      </c>
      <c r="M58" s="32" t="str">
        <f>+IF(D58="Coerência",+IF(LEFT(H58,5)="FLOAT","SELECT '"&amp;UPPER(B58)&amp;"' AS TABELA, '"&amp;UPPER(D58)&amp;"' AS TIPOLOGIA_TESTE,'"&amp;E58&amp;"' AS TABELA_LT,'"&amp;F58&amp;"' AS TABELA_SIMUL,'"&amp;C58&amp;"'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"&amp;J58&amp;" INNER JOIN "&amp;K58&amp;" "&amp;L58,"SELECT '"&amp;UPPER(B58)&amp;"' AS TABELA, '"&amp;UPPER(D58)&amp;"' AS TIPOLOGIA_TESTE,'"&amp;E58&amp;"' AS TABELA_LT,'"&amp;F58&amp;"' AS TABELA_SIMUL,'"&amp;C58&amp;"'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"&amp;J58&amp;" INNER JOIN "&amp;K58&amp;" "&amp;L58))</f>
        <v>SELECT 'INSTRUMENT' AS TABELA, 'COERÊNCIA' AS TIPOLOGIA_TESTE,'CD_LOAN_TAPES_BCE.LT002_INSTRUMENT' AS TABELA_LT,'BU_LOANTAPE_WORK.LT002_INSTRUMENT' AS TABELA_SIMUL,'obsrvd_agnt_nm'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obsrvd_agnt_nm AS CAMPO_IT FROM CD_LOAN_TAPES_BCE.LT002_INSTRUMENT WHERE ref_date='${ref_date}' AND nome_perimetro='Individual Local' AND segmento='ESTR' AND ambito='PM' AND entidade='00100')X INNER JOIN (SELECT instrmnt_id AS CHAVE_SIMUL, obsrvd_agnt_nm AS CAMPO_SIMUL FROM BU_LOANTAPE_WORK.LT002_INSTRUMENT WHERE ref_date='${ref_date}' AND nome_perimetro='Individual Local' AND segmento='ESTR' AND ambito='PM' AND entidade='00100')Y ON X.CHAVE_IT=Y.CHAVE_SIMUL</v>
      </c>
      <c r="N58" s="33" t="str">
        <f t="shared" si="3"/>
        <v>UNION ALL SELECT 'INSTRUMENT' AS TABELA, 'COERÊNCIA' AS TIPOLOGIA_TESTE,'CD_LOAN_TAPES_BCE.LT002_INSTRUMENT' AS TABELA_LT,'BU_LOANTAPE_WORK.LT002_INSTRUMENT' AS TABELA_SIMUL,'obsrvd_agnt_nm'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obsrvd_agnt_nm AS CAMPO_IT FROM CD_LOAN_TAPES_BCE.LT002_INSTRUMENT WHERE ref_date='${ref_date}' AND nome_perimetro='Individual Local' AND segmento='ESTR' AND ambito='PM' AND entidade='00100')X INNER JOIN (SELECT instrmnt_id AS CHAVE_SIMUL, obsrvd_agnt_nm AS CAMPO_SIMUL FROM BU_LOANTAPE_WORK.LT002_INSTRUMENT WHERE ref_date='${ref_date}' AND nome_perimetro='Individual Local' AND segmento='ESTR' AND ambito='PM' AND entidade='00100')Y ON X.CHAVE_IT=Y.CHAVE_SIMUL</v>
      </c>
      <c r="O58" s="35" t="s">
        <v>35</v>
      </c>
    </row>
    <row r="59" spans="1:15">
      <c r="A59" s="57" t="str">
        <f t="shared" si="0"/>
        <v>Instrumentprdct</v>
      </c>
      <c r="B59" s="32" t="s">
        <v>9</v>
      </c>
      <c r="C59" s="32" t="s">
        <v>255</v>
      </c>
      <c r="D59" s="32" t="s">
        <v>5</v>
      </c>
      <c r="E59" s="32" t="str">
        <f>+UPPER('0. Instruções'!$D$35&amp;"."&amp;VLOOKUP(B59,'0. Instruções'!$C$27:$D$32,2,FALSE))</f>
        <v>CD_LOAN_TAPES_BCE.LT002_INSTRUMENT</v>
      </c>
      <c r="F59" s="32" t="str">
        <f>+UPPER('0. Instruções'!$D$36&amp;"."&amp;VLOOKUP(B59,'0. Instruções'!$C$27:$E$32,3,FALSE))</f>
        <v>BU_LOANTAPE_WORK.LT002_INSTRUMENT</v>
      </c>
      <c r="H59" s="32"/>
      <c r="I59" s="32"/>
      <c r="J59" s="32" t="str">
        <f>IF(VLOOKUP(B59,'0. Instruções'!$C$27:$G$32,5,FALSE)=0,
"(SELECT "&amp;VLOOKUP(B59,'0. Instruções'!$C$27:$G$32,4,FALSE)&amp;" AS CHAVE_IT, "&amp;C59&amp;" AS CAMPO_IT FROM "&amp;E59&amp;" WHERE "&amp;'0. Instruções'!$D$43&amp;")X",
"(SELECT "&amp;VLOOKUP(B59,'0. Instruções'!$C$27:$G$32,4,FALSE)&amp;" AS CHAVE_IT1, "&amp;VLOOKUP(B59,'0. Instruções'!$C$27:$G$32,5,FALSE)&amp;" AS CHAVE_IT2, "&amp;C59&amp;" AS CAMPO_IT FROM "&amp;E59&amp;" WHERE "&amp;'0. Instruções'!$D$43&amp;")X")</f>
        <v>(SELECT instrmnt_id AS CHAVE_IT, prdct AS CAMPO_IT FROM CD_LOAN_TAPES_BCE.LT002_INSTRUMENT WHERE ref_date='${ref_date}' AND nome_perimetro='Individual Local' AND segmento='ESTR' AND ambito='PM' AND entidade='00100')X</v>
      </c>
      <c r="K59" s="32" t="str">
        <f>IF(VLOOKUP(B59,'0. Instruções'!$C$27:$G$32,5,FALSE)=0,
"(SELECT "&amp;VLOOKUP(B59,'0. Instruções'!$C$27:$G$32,4,FALSE)&amp;" AS CHAVE_SIMUL, "&amp;C59&amp;" AS CAMPO_SIMUL FROM "&amp;F59&amp;" WHERE "&amp;'0. Instruções'!$D$42&amp;")Y",
"(SELECT "&amp;VLOOKUP(B59,'0. Instruções'!$C$27:$G$32,4,FALSE)&amp;" AS CHAVE_SIMUL1, "&amp;VLOOKUP(B59,'0. Instruções'!$C$27:$G$32,5,FALSE)&amp;" AS CHAVE_SIMUL2, "&amp;C59&amp;" AS CAMPO_SIMUL FROM "&amp;F59&amp;" WHERE "&amp;'0. Instruções'!$D$42&amp;")Y")</f>
        <v>(SELECT instrmnt_id AS CHAVE_SIMUL, prdct AS CAMPO_SIMUL FROM BU_LOANTAPE_WORK.LT002_INSTRUMENT WHERE ref_date='${ref_date}' AND nome_perimetro='Individual Local' AND segmento='ESTR' AND ambito='PM' AND entidade='00100')Y</v>
      </c>
      <c r="L59" s="32" t="str">
        <f>IF(VLOOKUP(B59,'0. Instruções'!$C$27:$G$32,5,FALSE)=0,
"ON X.CHAVE_IT=Y.CHAVE_SIMUL",
"ON X.CHAVE_IT1=Y.CHAVE_SIMUL1 AND X.CHAVE_IT2=Y.CHAVE_SIMUL2")</f>
        <v>ON X.CHAVE_IT=Y.CHAVE_SIMUL</v>
      </c>
      <c r="M59" s="32" t="str">
        <f>+IF(D59="Coerência",+IF(LEFT(H59,5)="FLOAT","SELECT '"&amp;UPPER(B59)&amp;"' AS TABELA, '"&amp;UPPER(D59)&amp;"' AS TIPOLOGIA_TESTE,'"&amp;E59&amp;"' AS TABELA_LT,'"&amp;F59&amp;"' AS TABELA_SIMUL,'"&amp;C59&amp;"'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"&amp;J59&amp;" INNER JOIN "&amp;K59&amp;" "&amp;L59,"SELECT '"&amp;UPPER(B59)&amp;"' AS TABELA, '"&amp;UPPER(D59)&amp;"' AS TIPOLOGIA_TESTE,'"&amp;E59&amp;"' AS TABELA_LT,'"&amp;F59&amp;"' AS TABELA_SIMUL,'"&amp;C59&amp;"'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"&amp;J59&amp;" INNER JOIN "&amp;K59&amp;" "&amp;L59))</f>
        <v>SELECT 'INSTRUMENT' AS TABELA, 'COERÊNCIA' AS TIPOLOGIA_TESTE,'CD_LOAN_TAPES_BCE.LT002_INSTRUMENT' AS TABELA_LT,'BU_LOANTAPE_WORK.LT002_INSTRUMENT' AS TABELA_SIMUL,'prdct'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prdct AS CAMPO_IT FROM CD_LOAN_TAPES_BCE.LT002_INSTRUMENT WHERE ref_date='${ref_date}' AND nome_perimetro='Individual Local' AND segmento='ESTR' AND ambito='PM' AND entidade='00100')X INNER JOIN (SELECT instrmnt_id AS CHAVE_SIMUL, prdct AS CAMPO_SIMUL FROM BU_LOANTAPE_WORK.LT002_INSTRUMENT WHERE ref_date='${ref_date}' AND nome_perimetro='Individual Local' AND segmento='ESTR' AND ambito='PM' AND entidade='00100')Y ON X.CHAVE_IT=Y.CHAVE_SIMUL</v>
      </c>
      <c r="N59" s="33" t="str">
        <f t="shared" si="3"/>
        <v>UNION ALL SELECT 'INSTRUMENT' AS TABELA, 'COERÊNCIA' AS TIPOLOGIA_TESTE,'CD_LOAN_TAPES_BCE.LT002_INSTRUMENT' AS TABELA_LT,'BU_LOANTAPE_WORK.LT002_INSTRUMENT' AS TABELA_SIMUL,'prdct'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prdct AS CAMPO_IT FROM CD_LOAN_TAPES_BCE.LT002_INSTRUMENT WHERE ref_date='${ref_date}' AND nome_perimetro='Individual Local' AND segmento='ESTR' AND ambito='PM' AND entidade='00100')X INNER JOIN (SELECT instrmnt_id AS CHAVE_SIMUL, prdct AS CAMPO_SIMUL FROM BU_LOANTAPE_WORK.LT002_INSTRUMENT WHERE ref_date='${ref_date}' AND nome_perimetro='Individual Local' AND segmento='ESTR' AND ambito='PM' AND entidade='00100')Y ON X.CHAVE_IT=Y.CHAVE_SIMUL</v>
      </c>
      <c r="O59" s="35" t="s">
        <v>35</v>
      </c>
    </row>
    <row r="60" spans="1:15">
      <c r="A60" s="57" t="str">
        <f t="shared" si="0"/>
        <v>Instrumentbrchd_cvnnts</v>
      </c>
      <c r="B60" s="32" t="s">
        <v>9</v>
      </c>
      <c r="C60" s="32" t="s">
        <v>256</v>
      </c>
      <c r="D60" s="32" t="s">
        <v>5</v>
      </c>
      <c r="E60" s="32" t="str">
        <f>+UPPER('0. Instruções'!$D$35&amp;"."&amp;VLOOKUP(B60,'0. Instruções'!$C$27:$D$32,2,FALSE))</f>
        <v>CD_LOAN_TAPES_BCE.LT002_INSTRUMENT</v>
      </c>
      <c r="F60" s="32" t="str">
        <f>+UPPER('0. Instruções'!$D$36&amp;"."&amp;VLOOKUP(B60,'0. Instruções'!$C$27:$E$32,3,FALSE))</f>
        <v>BU_LOANTAPE_WORK.LT002_INSTRUMENT</v>
      </c>
      <c r="H60" s="32"/>
      <c r="I60" s="32"/>
      <c r="J60" s="32" t="str">
        <f>IF(VLOOKUP(B60,'0. Instruções'!$C$27:$G$32,5,FALSE)=0,
"(SELECT "&amp;VLOOKUP(B60,'0. Instruções'!$C$27:$G$32,4,FALSE)&amp;" AS CHAVE_IT, "&amp;C60&amp;" AS CAMPO_IT FROM "&amp;E60&amp;" WHERE "&amp;'0. Instruções'!$D$43&amp;")X",
"(SELECT "&amp;VLOOKUP(B60,'0. Instruções'!$C$27:$G$32,4,FALSE)&amp;" AS CHAVE_IT1, "&amp;VLOOKUP(B60,'0. Instruções'!$C$27:$G$32,5,FALSE)&amp;" AS CHAVE_IT2, "&amp;C60&amp;" AS CAMPO_IT FROM "&amp;E60&amp;" WHERE "&amp;'0. Instruções'!$D$43&amp;")X")</f>
        <v>(SELECT instrmnt_id AS CHAVE_IT, brchd_cvnnts AS CAMPO_IT FROM CD_LOAN_TAPES_BCE.LT002_INSTRUMENT WHERE ref_date='${ref_date}' AND nome_perimetro='Individual Local' AND segmento='ESTR' AND ambito='PM' AND entidade='00100')X</v>
      </c>
      <c r="K60" s="32" t="str">
        <f>IF(VLOOKUP(B60,'0. Instruções'!$C$27:$G$32,5,FALSE)=0,
"(SELECT "&amp;VLOOKUP(B60,'0. Instruções'!$C$27:$G$32,4,FALSE)&amp;" AS CHAVE_SIMUL, "&amp;C60&amp;" AS CAMPO_SIMUL FROM "&amp;F60&amp;" WHERE "&amp;'0. Instruções'!$D$42&amp;")Y",
"(SELECT "&amp;VLOOKUP(B60,'0. Instruções'!$C$27:$G$32,4,FALSE)&amp;" AS CHAVE_SIMUL1, "&amp;VLOOKUP(B60,'0. Instruções'!$C$27:$G$32,5,FALSE)&amp;" AS CHAVE_SIMUL2, "&amp;C60&amp;" AS CAMPO_SIMUL FROM "&amp;F60&amp;" WHERE "&amp;'0. Instruções'!$D$42&amp;")Y")</f>
        <v>(SELECT instrmnt_id AS CHAVE_SIMUL, brchd_cvnnts AS CAMPO_SIMUL FROM BU_LOANTAPE_WORK.LT002_INSTRUMENT WHERE ref_date='${ref_date}' AND nome_perimetro='Individual Local' AND segmento='ESTR' AND ambito='PM' AND entidade='00100')Y</v>
      </c>
      <c r="L60" s="32" t="str">
        <f>IF(VLOOKUP(B60,'0. Instruções'!$C$27:$G$32,5,FALSE)=0,
"ON X.CHAVE_IT=Y.CHAVE_SIMUL",
"ON X.CHAVE_IT1=Y.CHAVE_SIMUL1 AND X.CHAVE_IT2=Y.CHAVE_SIMUL2")</f>
        <v>ON X.CHAVE_IT=Y.CHAVE_SIMUL</v>
      </c>
      <c r="M60" s="32" t="str">
        <f>+IF(D60="Coerência",+IF(LEFT(H60,5)="FLOAT","SELECT '"&amp;UPPER(B60)&amp;"' AS TABELA, '"&amp;UPPER(D60)&amp;"' AS TIPOLOGIA_TESTE,'"&amp;E60&amp;"' AS TABELA_LT,'"&amp;F60&amp;"' AS TABELA_SIMUL,'"&amp;C60&amp;"'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"&amp;J60&amp;" INNER JOIN "&amp;K60&amp;" "&amp;L60,"SELECT '"&amp;UPPER(B60)&amp;"' AS TABELA, '"&amp;UPPER(D60)&amp;"' AS TIPOLOGIA_TESTE,'"&amp;E60&amp;"' AS TABELA_LT,'"&amp;F60&amp;"' AS TABELA_SIMUL,'"&amp;C60&amp;"'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"&amp;J60&amp;" INNER JOIN "&amp;K60&amp;" "&amp;L60))</f>
        <v>SELECT 'INSTRUMENT' AS TABELA, 'COERÊNCIA' AS TIPOLOGIA_TESTE,'CD_LOAN_TAPES_BCE.LT002_INSTRUMENT' AS TABELA_LT,'BU_LOANTAPE_WORK.LT002_INSTRUMENT' AS TABELA_SIMUL,'brchd_cvnnts'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brchd_cvnnts AS CAMPO_IT FROM CD_LOAN_TAPES_BCE.LT002_INSTRUMENT WHERE ref_date='${ref_date}' AND nome_perimetro='Individual Local' AND segmento='ESTR' AND ambito='PM' AND entidade='00100')X INNER JOIN (SELECT instrmnt_id AS CHAVE_SIMUL, brchd_cvnnts AS CAMPO_SIMUL FROM BU_LOANTAPE_WORK.LT002_INSTRUMENT WHERE ref_date='${ref_date}' AND nome_perimetro='Individual Local' AND segmento='ESTR' AND ambito='PM' AND entidade='00100')Y ON X.CHAVE_IT=Y.CHAVE_SIMUL</v>
      </c>
      <c r="N60" s="33" t="str">
        <f t="shared" si="3"/>
        <v>UNION ALL SELECT 'INSTRUMENT' AS TABELA, 'COERÊNCIA' AS TIPOLOGIA_TESTE,'CD_LOAN_TAPES_BCE.LT002_INSTRUMENT' AS TABELA_LT,'BU_LOANTAPE_WORK.LT002_INSTRUMENT' AS TABELA_SIMUL,'brchd_cvnnts'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brchd_cvnnts AS CAMPO_IT FROM CD_LOAN_TAPES_BCE.LT002_INSTRUMENT WHERE ref_date='${ref_date}' AND nome_perimetro='Individual Local' AND segmento='ESTR' AND ambito='PM' AND entidade='00100')X INNER JOIN (SELECT instrmnt_id AS CHAVE_SIMUL, brchd_cvnnts AS CAMPO_SIMUL FROM BU_LOANTAPE_WORK.LT002_INSTRUMENT WHERE ref_date='${ref_date}' AND nome_perimetro='Individual Local' AND segmento='ESTR' AND ambito='PM' AND entidade='00100')Y ON X.CHAVE_IT=Y.CHAVE_SIMUL</v>
      </c>
      <c r="O60" s="35" t="s">
        <v>35</v>
      </c>
    </row>
    <row r="61" spans="1:15">
      <c r="A61" s="57" t="str">
        <f t="shared" si="0"/>
        <v>Instrumentchnnl_orgntn</v>
      </c>
      <c r="B61" s="32" t="s">
        <v>9</v>
      </c>
      <c r="C61" s="32" t="s">
        <v>257</v>
      </c>
      <c r="D61" s="32" t="s">
        <v>5</v>
      </c>
      <c r="E61" s="32" t="str">
        <f>+UPPER('0. Instruções'!$D$35&amp;"."&amp;VLOOKUP(B61,'0. Instruções'!$C$27:$D$32,2,FALSE))</f>
        <v>CD_LOAN_TAPES_BCE.LT002_INSTRUMENT</v>
      </c>
      <c r="F61" s="32" t="str">
        <f>+UPPER('0. Instruções'!$D$36&amp;"."&amp;VLOOKUP(B61,'0. Instruções'!$C$27:$E$32,3,FALSE))</f>
        <v>BU_LOANTAPE_WORK.LT002_INSTRUMENT</v>
      </c>
      <c r="H61" s="32"/>
      <c r="I61" s="32"/>
      <c r="J61" s="32" t="str">
        <f>IF(VLOOKUP(B61,'0. Instruções'!$C$27:$G$32,5,FALSE)=0,
"(SELECT "&amp;VLOOKUP(B61,'0. Instruções'!$C$27:$G$32,4,FALSE)&amp;" AS CHAVE_IT, "&amp;C61&amp;" AS CAMPO_IT FROM "&amp;E61&amp;" WHERE "&amp;'0. Instruções'!$D$43&amp;")X",
"(SELECT "&amp;VLOOKUP(B61,'0. Instruções'!$C$27:$G$32,4,FALSE)&amp;" AS CHAVE_IT1, "&amp;VLOOKUP(B61,'0. Instruções'!$C$27:$G$32,5,FALSE)&amp;" AS CHAVE_IT2, "&amp;C61&amp;" AS CAMPO_IT FROM "&amp;E61&amp;" WHERE "&amp;'0. Instruções'!$D$43&amp;")X")</f>
        <v>(SELECT instrmnt_id AS CHAVE_IT, chnnl_orgntn AS CAMPO_IT FROM CD_LOAN_TAPES_BCE.LT002_INSTRUMENT WHERE ref_date='${ref_date}' AND nome_perimetro='Individual Local' AND segmento='ESTR' AND ambito='PM' AND entidade='00100')X</v>
      </c>
      <c r="K61" s="32" t="str">
        <f>IF(VLOOKUP(B61,'0. Instruções'!$C$27:$G$32,5,FALSE)=0,
"(SELECT "&amp;VLOOKUP(B61,'0. Instruções'!$C$27:$G$32,4,FALSE)&amp;" AS CHAVE_SIMUL, "&amp;C61&amp;" AS CAMPO_SIMUL FROM "&amp;F61&amp;" WHERE "&amp;'0. Instruções'!$D$42&amp;")Y",
"(SELECT "&amp;VLOOKUP(B61,'0. Instruções'!$C$27:$G$32,4,FALSE)&amp;" AS CHAVE_SIMUL1, "&amp;VLOOKUP(B61,'0. Instruções'!$C$27:$G$32,5,FALSE)&amp;" AS CHAVE_SIMUL2, "&amp;C61&amp;" AS CAMPO_SIMUL FROM "&amp;F61&amp;" WHERE "&amp;'0. Instruções'!$D$42&amp;")Y")</f>
        <v>(SELECT instrmnt_id AS CHAVE_SIMUL, chnnl_orgntn AS CAMPO_SIMUL FROM BU_LOANTAPE_WORK.LT002_INSTRUMENT WHERE ref_date='${ref_date}' AND nome_perimetro='Individual Local' AND segmento='ESTR' AND ambito='PM' AND entidade='00100')Y</v>
      </c>
      <c r="L61" s="32" t="str">
        <f>IF(VLOOKUP(B61,'0. Instruções'!$C$27:$G$32,5,FALSE)=0,
"ON X.CHAVE_IT=Y.CHAVE_SIMUL",
"ON X.CHAVE_IT1=Y.CHAVE_SIMUL1 AND X.CHAVE_IT2=Y.CHAVE_SIMUL2")</f>
        <v>ON X.CHAVE_IT=Y.CHAVE_SIMUL</v>
      </c>
      <c r="M61" s="32" t="str">
        <f>+IF(D61="Coerência",+IF(LEFT(H61,5)="FLOAT","SELECT '"&amp;UPPER(B61)&amp;"' AS TABELA, '"&amp;UPPER(D61)&amp;"' AS TIPOLOGIA_TESTE,'"&amp;E61&amp;"' AS TABELA_LT,'"&amp;F61&amp;"' AS TABELA_SIMUL,'"&amp;C61&amp;"'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"&amp;J61&amp;" INNER JOIN "&amp;K61&amp;" "&amp;L61,"SELECT '"&amp;UPPER(B61)&amp;"' AS TABELA, '"&amp;UPPER(D61)&amp;"' AS TIPOLOGIA_TESTE,'"&amp;E61&amp;"' AS TABELA_LT,'"&amp;F61&amp;"' AS TABELA_SIMUL,'"&amp;C61&amp;"'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"&amp;J61&amp;" INNER JOIN "&amp;K61&amp;" "&amp;L61))</f>
        <v>SELECT 'INSTRUMENT' AS TABELA, 'COERÊNCIA' AS TIPOLOGIA_TESTE,'CD_LOAN_TAPES_BCE.LT002_INSTRUMENT' AS TABELA_LT,'BU_LOANTAPE_WORK.LT002_INSTRUMENT' AS TABELA_SIMUL,'chnnl_orgntn'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chnnl_orgntn AS CAMPO_IT FROM CD_LOAN_TAPES_BCE.LT002_INSTRUMENT WHERE ref_date='${ref_date}' AND nome_perimetro='Individual Local' AND segmento='ESTR' AND ambito='PM' AND entidade='00100')X INNER JOIN (SELECT instrmnt_id AS CHAVE_SIMUL, chnnl_orgntn AS CAMPO_SIMUL FROM BU_LOANTAPE_WORK.LT002_INSTRUMENT WHERE ref_date='${ref_date}' AND nome_perimetro='Individual Local' AND segmento='ESTR' AND ambito='PM' AND entidade='00100')Y ON X.CHAVE_IT=Y.CHAVE_SIMUL</v>
      </c>
      <c r="N61" s="33" t="str">
        <f t="shared" si="3"/>
        <v>UNION ALL SELECT 'INSTRUMENT' AS TABELA, 'COERÊNCIA' AS TIPOLOGIA_TESTE,'CD_LOAN_TAPES_BCE.LT002_INSTRUMENT' AS TABELA_LT,'BU_LOANTAPE_WORK.LT002_INSTRUMENT' AS TABELA_SIMUL,'chnnl_orgntn'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chnnl_orgntn AS CAMPO_IT FROM CD_LOAN_TAPES_BCE.LT002_INSTRUMENT WHERE ref_date='${ref_date}' AND nome_perimetro='Individual Local' AND segmento='ESTR' AND ambito='PM' AND entidade='00100')X INNER JOIN (SELECT instrmnt_id AS CHAVE_SIMUL, chnnl_orgntn AS CAMPO_SIMUL FROM BU_LOANTAPE_WORK.LT002_INSTRUMENT WHERE ref_date='${ref_date}' AND nome_perimetro='Individual Local' AND segmento='ESTR' AND ambito='PM' AND entidade='00100')Y ON X.CHAVE_IT=Y.CHAVE_SIMUL</v>
      </c>
      <c r="O61" s="35" t="s">
        <v>35</v>
      </c>
    </row>
    <row r="62" spans="1:15">
      <c r="A62" s="57" t="str">
        <f t="shared" si="0"/>
        <v>Instrumentcsh_swp_trp</v>
      </c>
      <c r="B62" s="32" t="s">
        <v>9</v>
      </c>
      <c r="C62" s="32" t="s">
        <v>258</v>
      </c>
      <c r="D62" s="32" t="s">
        <v>5</v>
      </c>
      <c r="E62" s="32" t="str">
        <f>+UPPER('0. Instruções'!$D$35&amp;"."&amp;VLOOKUP(B62,'0. Instruções'!$C$27:$D$32,2,FALSE))</f>
        <v>CD_LOAN_TAPES_BCE.LT002_INSTRUMENT</v>
      </c>
      <c r="F62" s="32" t="str">
        <f>+UPPER('0. Instruções'!$D$36&amp;"."&amp;VLOOKUP(B62,'0. Instruções'!$C$27:$E$32,3,FALSE))</f>
        <v>BU_LOANTAPE_WORK.LT002_INSTRUMENT</v>
      </c>
      <c r="H62" s="32"/>
      <c r="I62" s="32"/>
      <c r="J62" s="32" t="str">
        <f>IF(VLOOKUP(B62,'0. Instruções'!$C$27:$G$32,5,FALSE)=0,
"(SELECT "&amp;VLOOKUP(B62,'0. Instruções'!$C$27:$G$32,4,FALSE)&amp;" AS CHAVE_IT, "&amp;C62&amp;" AS CAMPO_IT FROM "&amp;E62&amp;" WHERE "&amp;'0. Instruções'!$D$43&amp;")X",
"(SELECT "&amp;VLOOKUP(B62,'0. Instruções'!$C$27:$G$32,4,FALSE)&amp;" AS CHAVE_IT1, "&amp;VLOOKUP(B62,'0. Instruções'!$C$27:$G$32,5,FALSE)&amp;" AS CHAVE_IT2, "&amp;C62&amp;" AS CAMPO_IT FROM "&amp;E62&amp;" WHERE "&amp;'0. Instruções'!$D$43&amp;")X")</f>
        <v>(SELECT instrmnt_id AS CHAVE_IT, csh_swp_trp AS CAMPO_IT FROM CD_LOAN_TAPES_BCE.LT002_INSTRUMENT WHERE ref_date='${ref_date}' AND nome_perimetro='Individual Local' AND segmento='ESTR' AND ambito='PM' AND entidade='00100')X</v>
      </c>
      <c r="K62" s="32" t="str">
        <f>IF(VLOOKUP(B62,'0. Instruções'!$C$27:$G$32,5,FALSE)=0,
"(SELECT "&amp;VLOOKUP(B62,'0. Instruções'!$C$27:$G$32,4,FALSE)&amp;" AS CHAVE_SIMUL, "&amp;C62&amp;" AS CAMPO_SIMUL FROM "&amp;F62&amp;" WHERE "&amp;'0. Instruções'!$D$42&amp;")Y",
"(SELECT "&amp;VLOOKUP(B62,'0. Instruções'!$C$27:$G$32,4,FALSE)&amp;" AS CHAVE_SIMUL1, "&amp;VLOOKUP(B62,'0. Instruções'!$C$27:$G$32,5,FALSE)&amp;" AS CHAVE_SIMUL2, "&amp;C62&amp;" AS CAMPO_SIMUL FROM "&amp;F62&amp;" WHERE "&amp;'0. Instruções'!$D$42&amp;")Y")</f>
        <v>(SELECT instrmnt_id AS CHAVE_SIMUL, csh_swp_trp AS CAMPO_SIMUL FROM BU_LOANTAPE_WORK.LT002_INSTRUMENT WHERE ref_date='${ref_date}' AND nome_perimetro='Individual Local' AND segmento='ESTR' AND ambito='PM' AND entidade='00100')Y</v>
      </c>
      <c r="L62" s="32" t="str">
        <f>IF(VLOOKUP(B62,'0. Instruções'!$C$27:$G$32,5,FALSE)=0,
"ON X.CHAVE_IT=Y.CHAVE_SIMUL",
"ON X.CHAVE_IT1=Y.CHAVE_SIMUL1 AND X.CHAVE_IT2=Y.CHAVE_SIMUL2")</f>
        <v>ON X.CHAVE_IT=Y.CHAVE_SIMUL</v>
      </c>
      <c r="M62" s="32" t="str">
        <f>+IF(D62="Coerência",+IF(LEFT(H62,5)="FLOAT","SELECT '"&amp;UPPER(B62)&amp;"' AS TABELA, '"&amp;UPPER(D62)&amp;"' AS TIPOLOGIA_TESTE,'"&amp;E62&amp;"' AS TABELA_LT,'"&amp;F62&amp;"' AS TABELA_SIMUL,'"&amp;C62&amp;"'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"&amp;J62&amp;" INNER JOIN "&amp;K62&amp;" "&amp;L62,"SELECT '"&amp;UPPER(B62)&amp;"' AS TABELA, '"&amp;UPPER(D62)&amp;"' AS TIPOLOGIA_TESTE,'"&amp;E62&amp;"' AS TABELA_LT,'"&amp;F62&amp;"' AS TABELA_SIMUL,'"&amp;C62&amp;"'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"&amp;J62&amp;" INNER JOIN "&amp;K62&amp;" "&amp;L62))</f>
        <v>SELECT 'INSTRUMENT' AS TABELA, 'COERÊNCIA' AS TIPOLOGIA_TESTE,'CD_LOAN_TAPES_BCE.LT002_INSTRUMENT' AS TABELA_LT,'BU_LOANTAPE_WORK.LT002_INSTRUMENT' AS TABELA_SIMUL,'csh_swp_trp'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csh_swp_trp AS CAMPO_IT FROM CD_LOAN_TAPES_BCE.LT002_INSTRUMENT WHERE ref_date='${ref_date}' AND nome_perimetro='Individual Local' AND segmento='ESTR' AND ambito='PM' AND entidade='00100')X INNER JOIN (SELECT instrmnt_id AS CHAVE_SIMUL, csh_swp_trp AS CAMPO_SIMUL FROM BU_LOANTAPE_WORK.LT002_INSTRUMENT WHERE ref_date='${ref_date}' AND nome_perimetro='Individual Local' AND segmento='ESTR' AND ambito='PM' AND entidade='00100')Y ON X.CHAVE_IT=Y.CHAVE_SIMUL</v>
      </c>
      <c r="N62" s="33" t="str">
        <f t="shared" si="3"/>
        <v>UNION ALL SELECT 'INSTRUMENT' AS TABELA, 'COERÊNCIA' AS TIPOLOGIA_TESTE,'CD_LOAN_TAPES_BCE.LT002_INSTRUMENT' AS TABELA_LT,'BU_LOANTAPE_WORK.LT002_INSTRUMENT' AS TABELA_SIMUL,'csh_swp_trp'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csh_swp_trp AS CAMPO_IT FROM CD_LOAN_TAPES_BCE.LT002_INSTRUMENT WHERE ref_date='${ref_date}' AND nome_perimetro='Individual Local' AND segmento='ESTR' AND ambito='PM' AND entidade='00100')X INNER JOIN (SELECT instrmnt_id AS CHAVE_SIMUL, csh_swp_trp AS CAMPO_SIMUL FROM BU_LOANTAPE_WORK.LT002_INSTRUMENT WHERE ref_date='${ref_date}' AND nome_perimetro='Individual Local' AND segmento='ESTR' AND ambito='PM' AND entidade='00100')Y ON X.CHAVE_IT=Y.CHAVE_SIMUL</v>
      </c>
      <c r="O62" s="35" t="s">
        <v>35</v>
      </c>
    </row>
    <row r="63" spans="1:15">
      <c r="A63" s="57" t="str">
        <f t="shared" si="0"/>
        <v>Instrumentcvnnt_stts</v>
      </c>
      <c r="B63" s="32" t="s">
        <v>9</v>
      </c>
      <c r="C63" s="32" t="s">
        <v>259</v>
      </c>
      <c r="D63" s="32" t="s">
        <v>5</v>
      </c>
      <c r="E63" s="32" t="str">
        <f>+UPPER('0. Instruções'!$D$35&amp;"."&amp;VLOOKUP(B63,'0. Instruções'!$C$27:$D$32,2,FALSE))</f>
        <v>CD_LOAN_TAPES_BCE.LT002_INSTRUMENT</v>
      </c>
      <c r="F63" s="32" t="str">
        <f>+UPPER('0. Instruções'!$D$36&amp;"."&amp;VLOOKUP(B63,'0. Instruções'!$C$27:$E$32,3,FALSE))</f>
        <v>BU_LOANTAPE_WORK.LT002_INSTRUMENT</v>
      </c>
      <c r="H63" s="32"/>
      <c r="I63" s="32"/>
      <c r="J63" s="32" t="str">
        <f>IF(VLOOKUP(B63,'0. Instruções'!$C$27:$G$32,5,FALSE)=0,
"(SELECT "&amp;VLOOKUP(B63,'0. Instruções'!$C$27:$G$32,4,FALSE)&amp;" AS CHAVE_IT, "&amp;C63&amp;" AS CAMPO_IT FROM "&amp;E63&amp;" WHERE "&amp;'0. Instruções'!$D$43&amp;")X",
"(SELECT "&amp;VLOOKUP(B63,'0. Instruções'!$C$27:$G$32,4,FALSE)&amp;" AS CHAVE_IT1, "&amp;VLOOKUP(B63,'0. Instruções'!$C$27:$G$32,5,FALSE)&amp;" AS CHAVE_IT2, "&amp;C63&amp;" AS CAMPO_IT FROM "&amp;E63&amp;" WHERE "&amp;'0. Instruções'!$D$43&amp;")X")</f>
        <v>(SELECT instrmnt_id AS CHAVE_IT, cvnnt_stts AS CAMPO_IT FROM CD_LOAN_TAPES_BCE.LT002_INSTRUMENT WHERE ref_date='${ref_date}' AND nome_perimetro='Individual Local' AND segmento='ESTR' AND ambito='PM' AND entidade='00100')X</v>
      </c>
      <c r="K63" s="32" t="str">
        <f>IF(VLOOKUP(B63,'0. Instruções'!$C$27:$G$32,5,FALSE)=0,
"(SELECT "&amp;VLOOKUP(B63,'0. Instruções'!$C$27:$G$32,4,FALSE)&amp;" AS CHAVE_SIMUL, "&amp;C63&amp;" AS CAMPO_SIMUL FROM "&amp;F63&amp;" WHERE "&amp;'0. Instruções'!$D$42&amp;")Y",
"(SELECT "&amp;VLOOKUP(B63,'0. Instruções'!$C$27:$G$32,4,FALSE)&amp;" AS CHAVE_SIMUL1, "&amp;VLOOKUP(B63,'0. Instruções'!$C$27:$G$32,5,FALSE)&amp;" AS CHAVE_SIMUL2, "&amp;C63&amp;" AS CAMPO_SIMUL FROM "&amp;F63&amp;" WHERE "&amp;'0. Instruções'!$D$42&amp;")Y")</f>
        <v>(SELECT instrmnt_id AS CHAVE_SIMUL, cvnnt_stts AS CAMPO_SIMUL FROM BU_LOANTAPE_WORK.LT002_INSTRUMENT WHERE ref_date='${ref_date}' AND nome_perimetro='Individual Local' AND segmento='ESTR' AND ambito='PM' AND entidade='00100')Y</v>
      </c>
      <c r="L63" s="32" t="str">
        <f>IF(VLOOKUP(B63,'0. Instruções'!$C$27:$G$32,5,FALSE)=0,
"ON X.CHAVE_IT=Y.CHAVE_SIMUL",
"ON X.CHAVE_IT1=Y.CHAVE_SIMUL1 AND X.CHAVE_IT2=Y.CHAVE_SIMUL2")</f>
        <v>ON X.CHAVE_IT=Y.CHAVE_SIMUL</v>
      </c>
      <c r="M63" s="32" t="str">
        <f>+IF(D63="Coerência",+IF(LEFT(H63,5)="FLOAT","SELECT '"&amp;UPPER(B63)&amp;"' AS TABELA, '"&amp;UPPER(D63)&amp;"' AS TIPOLOGIA_TESTE,'"&amp;E63&amp;"' AS TABELA_LT,'"&amp;F63&amp;"' AS TABELA_SIMUL,'"&amp;C63&amp;"'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"&amp;J63&amp;" INNER JOIN "&amp;K63&amp;" "&amp;L63,"SELECT '"&amp;UPPER(B63)&amp;"' AS TABELA, '"&amp;UPPER(D63)&amp;"' AS TIPOLOGIA_TESTE,'"&amp;E63&amp;"' AS TABELA_LT,'"&amp;F63&amp;"' AS TABELA_SIMUL,'"&amp;C63&amp;"'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"&amp;J63&amp;" INNER JOIN "&amp;K63&amp;" "&amp;L63))</f>
        <v>SELECT 'INSTRUMENT' AS TABELA, 'COERÊNCIA' AS TIPOLOGIA_TESTE,'CD_LOAN_TAPES_BCE.LT002_INSTRUMENT' AS TABELA_LT,'BU_LOANTAPE_WORK.LT002_INSTRUMENT' AS TABELA_SIMUL,'cvnnt_stts'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cvnnt_stts AS CAMPO_IT FROM CD_LOAN_TAPES_BCE.LT002_INSTRUMENT WHERE ref_date='${ref_date}' AND nome_perimetro='Individual Local' AND segmento='ESTR' AND ambito='PM' AND entidade='00100')X INNER JOIN (SELECT instrmnt_id AS CHAVE_SIMUL, cvnnt_stts AS CAMPO_SIMUL FROM BU_LOANTAPE_WORK.LT002_INSTRUMENT WHERE ref_date='${ref_date}' AND nome_perimetro='Individual Local' AND segmento='ESTR' AND ambito='PM' AND entidade='00100')Y ON X.CHAVE_IT=Y.CHAVE_SIMUL</v>
      </c>
      <c r="N63" s="33" t="str">
        <f t="shared" si="3"/>
        <v>UNION ALL SELECT 'INSTRUMENT' AS TABELA, 'COERÊNCIA' AS TIPOLOGIA_TESTE,'CD_LOAN_TAPES_BCE.LT002_INSTRUMENT' AS TABELA_LT,'BU_LOANTAPE_WORK.LT002_INSTRUMENT' AS TABELA_SIMUL,'cvnnt_stts'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cvnnt_stts AS CAMPO_IT FROM CD_LOAN_TAPES_BCE.LT002_INSTRUMENT WHERE ref_date='${ref_date}' AND nome_perimetro='Individual Local' AND segmento='ESTR' AND ambito='PM' AND entidade='00100')X INNER JOIN (SELECT instrmnt_id AS CHAVE_SIMUL, cvnnt_stts AS CAMPO_SIMUL FROM BU_LOANTAPE_WORK.LT002_INSTRUMENT WHERE ref_date='${ref_date}' AND nome_perimetro='Individual Local' AND segmento='ESTR' AND ambito='PM' AND entidade='00100')Y ON X.CHAVE_IT=Y.CHAVE_SIMUL</v>
      </c>
      <c r="O63" s="35" t="s">
        <v>35</v>
      </c>
    </row>
    <row r="64" spans="1:15">
      <c r="A64" s="57" t="str">
        <f t="shared" si="0"/>
        <v>Instrumentcvnnt_typ</v>
      </c>
      <c r="B64" s="32" t="s">
        <v>9</v>
      </c>
      <c r="C64" s="32" t="s">
        <v>260</v>
      </c>
      <c r="D64" s="32" t="s">
        <v>5</v>
      </c>
      <c r="E64" s="32" t="str">
        <f>+UPPER('0. Instruções'!$D$35&amp;"."&amp;VLOOKUP(B64,'0. Instruções'!$C$27:$D$32,2,FALSE))</f>
        <v>CD_LOAN_TAPES_BCE.LT002_INSTRUMENT</v>
      </c>
      <c r="F64" s="32" t="str">
        <f>+UPPER('0. Instruções'!$D$36&amp;"."&amp;VLOOKUP(B64,'0. Instruções'!$C$27:$E$32,3,FALSE))</f>
        <v>BU_LOANTAPE_WORK.LT002_INSTRUMENT</v>
      </c>
      <c r="H64" s="32"/>
      <c r="I64" s="32"/>
      <c r="J64" s="32" t="str">
        <f>IF(VLOOKUP(B64,'0. Instruções'!$C$27:$G$32,5,FALSE)=0,
"(SELECT "&amp;VLOOKUP(B64,'0. Instruções'!$C$27:$G$32,4,FALSE)&amp;" AS CHAVE_IT, "&amp;C64&amp;" AS CAMPO_IT FROM "&amp;E64&amp;" WHERE "&amp;'0. Instruções'!$D$43&amp;")X",
"(SELECT "&amp;VLOOKUP(B64,'0. Instruções'!$C$27:$G$32,4,FALSE)&amp;" AS CHAVE_IT1, "&amp;VLOOKUP(B64,'0. Instruções'!$C$27:$G$32,5,FALSE)&amp;" AS CHAVE_IT2, "&amp;C64&amp;" AS CAMPO_IT FROM "&amp;E64&amp;" WHERE "&amp;'0. Instruções'!$D$43&amp;")X")</f>
        <v>(SELECT instrmnt_id AS CHAVE_IT, cvnnt_typ AS CAMPO_IT FROM CD_LOAN_TAPES_BCE.LT002_INSTRUMENT WHERE ref_date='${ref_date}' AND nome_perimetro='Individual Local' AND segmento='ESTR' AND ambito='PM' AND entidade='00100')X</v>
      </c>
      <c r="K64" s="32" t="str">
        <f>IF(VLOOKUP(B64,'0. Instruções'!$C$27:$G$32,5,FALSE)=0,
"(SELECT "&amp;VLOOKUP(B64,'0. Instruções'!$C$27:$G$32,4,FALSE)&amp;" AS CHAVE_SIMUL, "&amp;C64&amp;" AS CAMPO_SIMUL FROM "&amp;F64&amp;" WHERE "&amp;'0. Instruções'!$D$42&amp;")Y",
"(SELECT "&amp;VLOOKUP(B64,'0. Instruções'!$C$27:$G$32,4,FALSE)&amp;" AS CHAVE_SIMUL1, "&amp;VLOOKUP(B64,'0. Instruções'!$C$27:$G$32,5,FALSE)&amp;" AS CHAVE_SIMUL2, "&amp;C64&amp;" AS CAMPO_SIMUL FROM "&amp;F64&amp;" WHERE "&amp;'0. Instruções'!$D$42&amp;")Y")</f>
        <v>(SELECT instrmnt_id AS CHAVE_SIMUL, cvnnt_typ AS CAMPO_SIMUL FROM BU_LOANTAPE_WORK.LT002_INSTRUMENT WHERE ref_date='${ref_date}' AND nome_perimetro='Individual Local' AND segmento='ESTR' AND ambito='PM' AND entidade='00100')Y</v>
      </c>
      <c r="L64" s="32" t="str">
        <f>IF(VLOOKUP(B64,'0. Instruções'!$C$27:$G$32,5,FALSE)=0,
"ON X.CHAVE_IT=Y.CHAVE_SIMUL",
"ON X.CHAVE_IT1=Y.CHAVE_SIMUL1 AND X.CHAVE_IT2=Y.CHAVE_SIMUL2")</f>
        <v>ON X.CHAVE_IT=Y.CHAVE_SIMUL</v>
      </c>
      <c r="M64" s="32" t="str">
        <f>+IF(D64="Coerência",+IF(LEFT(H64,5)="FLOAT","SELECT '"&amp;UPPER(B64)&amp;"' AS TABELA, '"&amp;UPPER(D64)&amp;"' AS TIPOLOGIA_TESTE,'"&amp;E64&amp;"' AS TABELA_LT,'"&amp;F64&amp;"' AS TABELA_SIMUL,'"&amp;C64&amp;"'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"&amp;J64&amp;" INNER JOIN "&amp;K64&amp;" "&amp;L64,"SELECT '"&amp;UPPER(B64)&amp;"' AS TABELA, '"&amp;UPPER(D64)&amp;"' AS TIPOLOGIA_TESTE,'"&amp;E64&amp;"' AS TABELA_LT,'"&amp;F64&amp;"' AS TABELA_SIMUL,'"&amp;C64&amp;"'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"&amp;J64&amp;" INNER JOIN "&amp;K64&amp;" "&amp;L64))</f>
        <v>SELECT 'INSTRUMENT' AS TABELA, 'COERÊNCIA' AS TIPOLOGIA_TESTE,'CD_LOAN_TAPES_BCE.LT002_INSTRUMENT' AS TABELA_LT,'BU_LOANTAPE_WORK.LT002_INSTRUMENT' AS TABELA_SIMUL,'cvnnt_typ'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cvnnt_typ AS CAMPO_IT FROM CD_LOAN_TAPES_BCE.LT002_INSTRUMENT WHERE ref_date='${ref_date}' AND nome_perimetro='Individual Local' AND segmento='ESTR' AND ambito='PM' AND entidade='00100')X INNER JOIN (SELECT instrmnt_id AS CHAVE_SIMUL, cvnnt_typ AS CAMPO_SIMUL FROM BU_LOANTAPE_WORK.LT002_INSTRUMENT WHERE ref_date='${ref_date}' AND nome_perimetro='Individual Local' AND segmento='ESTR' AND ambito='PM' AND entidade='00100')Y ON X.CHAVE_IT=Y.CHAVE_SIMUL</v>
      </c>
      <c r="N64" s="33" t="str">
        <f t="shared" si="3"/>
        <v>UNION ALL SELECT 'INSTRUMENT' AS TABELA, 'COERÊNCIA' AS TIPOLOGIA_TESTE,'CD_LOAN_TAPES_BCE.LT002_INSTRUMENT' AS TABELA_LT,'BU_LOANTAPE_WORK.LT002_INSTRUMENT' AS TABELA_SIMUL,'cvnnt_typ'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cvnnt_typ AS CAMPO_IT FROM CD_LOAN_TAPES_BCE.LT002_INSTRUMENT WHERE ref_date='${ref_date}' AND nome_perimetro='Individual Local' AND segmento='ESTR' AND ambito='PM' AND entidade='00100')X INNER JOIN (SELECT instrmnt_id AS CHAVE_SIMUL, cvnnt_typ AS CAMPO_SIMUL FROM BU_LOANTAPE_WORK.LT002_INSTRUMENT WHERE ref_date='${ref_date}' AND nome_perimetro='Individual Local' AND segmento='ESTR' AND ambito='PM' AND entidade='00100')Y ON X.CHAVE_IT=Y.CHAVE_SIMUL</v>
      </c>
      <c r="O64" s="35" t="s">
        <v>35</v>
      </c>
    </row>
    <row r="65" spans="1:15">
      <c r="A65" s="57" t="str">
        <f t="shared" si="0"/>
        <v>Instrumentdflt_stts_instrmnt</v>
      </c>
      <c r="B65" s="32" t="s">
        <v>9</v>
      </c>
      <c r="C65" s="32" t="s">
        <v>135</v>
      </c>
      <c r="D65" s="32" t="s">
        <v>5</v>
      </c>
      <c r="E65" s="32" t="str">
        <f>+UPPER('0. Instruções'!$D$35&amp;"."&amp;VLOOKUP(B65,'0. Instruções'!$C$27:$D$32,2,FALSE))</f>
        <v>CD_LOAN_TAPES_BCE.LT002_INSTRUMENT</v>
      </c>
      <c r="F65" s="32" t="str">
        <f>+UPPER('0. Instruções'!$D$36&amp;"."&amp;VLOOKUP(B65,'0. Instruções'!$C$27:$E$32,3,FALSE))</f>
        <v>BU_LOANTAPE_WORK.LT002_INSTRUMENT</v>
      </c>
      <c r="H65" s="32"/>
      <c r="I65" s="32"/>
      <c r="J65" s="32" t="str">
        <f>IF(VLOOKUP(B65,'0. Instruções'!$C$27:$G$32,5,FALSE)=0,
"(SELECT "&amp;VLOOKUP(B65,'0. Instruções'!$C$27:$G$32,4,FALSE)&amp;" AS CHAVE_IT, "&amp;C65&amp;" AS CAMPO_IT FROM "&amp;E65&amp;" WHERE "&amp;'0. Instruções'!$D$43&amp;")X",
"(SELECT "&amp;VLOOKUP(B65,'0. Instruções'!$C$27:$G$32,4,FALSE)&amp;" AS CHAVE_IT1, "&amp;VLOOKUP(B65,'0. Instruções'!$C$27:$G$32,5,FALSE)&amp;" AS CHAVE_IT2, "&amp;C65&amp;" AS CAMPO_IT FROM "&amp;E65&amp;" WHERE "&amp;'0. Instruções'!$D$43&amp;")X")</f>
        <v>(SELECT instrmnt_id AS CHAVE_IT, dflt_stts_instrmnt AS CAMPO_IT FROM CD_LOAN_TAPES_BCE.LT002_INSTRUMENT WHERE ref_date='${ref_date}' AND nome_perimetro='Individual Local' AND segmento='ESTR' AND ambito='PM' AND entidade='00100')X</v>
      </c>
      <c r="K65" s="32" t="str">
        <f>IF(VLOOKUP(B65,'0. Instruções'!$C$27:$G$32,5,FALSE)=0,
"(SELECT "&amp;VLOOKUP(B65,'0. Instruções'!$C$27:$G$32,4,FALSE)&amp;" AS CHAVE_SIMUL, "&amp;C65&amp;" AS CAMPO_SIMUL FROM "&amp;F65&amp;" WHERE "&amp;'0. Instruções'!$D$42&amp;")Y",
"(SELECT "&amp;VLOOKUP(B65,'0. Instruções'!$C$27:$G$32,4,FALSE)&amp;" AS CHAVE_SIMUL1, "&amp;VLOOKUP(B65,'0. Instruções'!$C$27:$G$32,5,FALSE)&amp;" AS CHAVE_SIMUL2, "&amp;C65&amp;" AS CAMPO_SIMUL FROM "&amp;F65&amp;" WHERE "&amp;'0. Instruções'!$D$42&amp;")Y")</f>
        <v>(SELECT instrmnt_id AS CHAVE_SIMUL, dflt_stts_instrmnt AS CAMPO_SIMUL FROM BU_LOANTAPE_WORK.LT002_INSTRUMENT WHERE ref_date='${ref_date}' AND nome_perimetro='Individual Local' AND segmento='ESTR' AND ambito='PM' AND entidade='00100')Y</v>
      </c>
      <c r="L65" s="32" t="str">
        <f>IF(VLOOKUP(B65,'0. Instruções'!$C$27:$G$32,5,FALSE)=0,
"ON X.CHAVE_IT=Y.CHAVE_SIMUL",
"ON X.CHAVE_IT1=Y.CHAVE_SIMUL1 AND X.CHAVE_IT2=Y.CHAVE_SIMUL2")</f>
        <v>ON X.CHAVE_IT=Y.CHAVE_SIMUL</v>
      </c>
      <c r="M65" s="32" t="str">
        <f>+IF(D65="Coerência",+IF(LEFT(H65,5)="FLOAT","SELECT '"&amp;UPPER(B65)&amp;"' AS TABELA, '"&amp;UPPER(D65)&amp;"' AS TIPOLOGIA_TESTE,'"&amp;E65&amp;"' AS TABELA_LT,'"&amp;F65&amp;"' AS TABELA_SIMUL,'"&amp;C65&amp;"'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"&amp;J65&amp;" INNER JOIN "&amp;K65&amp;" "&amp;L65,"SELECT '"&amp;UPPER(B65)&amp;"' AS TABELA, '"&amp;UPPER(D65)&amp;"' AS TIPOLOGIA_TESTE,'"&amp;E65&amp;"' AS TABELA_LT,'"&amp;F65&amp;"' AS TABELA_SIMUL,'"&amp;C65&amp;"'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"&amp;J65&amp;" INNER JOIN "&amp;K65&amp;" "&amp;L65))</f>
        <v>SELECT 'INSTRUMENT' AS TABELA, 'COERÊNCIA' AS TIPOLOGIA_TESTE,'CD_LOAN_TAPES_BCE.LT002_INSTRUMENT' AS TABELA_LT,'BU_LOANTAPE_WORK.LT002_INSTRUMENT' AS TABELA_SIMUL,'dflt_stts_instrmnt'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dflt_stts_instrmnt AS CAMPO_IT FROM CD_LOAN_TAPES_BCE.LT002_INSTRUMENT WHERE ref_date='${ref_date}' AND nome_perimetro='Individual Local' AND segmento='ESTR' AND ambito='PM' AND entidade='00100')X INNER JOIN (SELECT instrmnt_id AS CHAVE_SIMUL, dflt_stts_instrmnt AS CAMPO_SIMUL FROM BU_LOANTAPE_WORK.LT002_INSTRUMENT WHERE ref_date='${ref_date}' AND nome_perimetro='Individual Local' AND segmento='ESTR' AND ambito='PM' AND entidade='00100')Y ON X.CHAVE_IT=Y.CHAVE_SIMUL</v>
      </c>
      <c r="N65" s="33" t="str">
        <f t="shared" si="3"/>
        <v>UNION ALL SELECT 'INSTRUMENT' AS TABELA, 'COERÊNCIA' AS TIPOLOGIA_TESTE,'CD_LOAN_TAPES_BCE.LT002_INSTRUMENT' AS TABELA_LT,'BU_LOANTAPE_WORK.LT002_INSTRUMENT' AS TABELA_SIMUL,'dflt_stts_instrmnt'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dflt_stts_instrmnt AS CAMPO_IT FROM CD_LOAN_TAPES_BCE.LT002_INSTRUMENT WHERE ref_date='${ref_date}' AND nome_perimetro='Individual Local' AND segmento='ESTR' AND ambito='PM' AND entidade='00100')X INNER JOIN (SELECT instrmnt_id AS CHAVE_SIMUL, dflt_stts_instrmnt AS CAMPO_SIMUL FROM BU_LOANTAPE_WORK.LT002_INSTRUMENT WHERE ref_date='${ref_date}' AND nome_perimetro='Individual Local' AND segmento='ESTR' AND ambito='PM' AND entidade='00100')Y ON X.CHAVE_IT=Y.CHAVE_SIMUL</v>
      </c>
      <c r="O65" s="35" t="s">
        <v>35</v>
      </c>
    </row>
    <row r="66" spans="1:15">
      <c r="A66" s="57" t="str">
        <f t="shared" si="0"/>
        <v>Instrumentdt_dflt_stts_instrmnt</v>
      </c>
      <c r="B66" s="32" t="s">
        <v>9</v>
      </c>
      <c r="C66" s="32" t="s">
        <v>261</v>
      </c>
      <c r="D66" s="32" t="s">
        <v>5</v>
      </c>
      <c r="E66" s="32" t="str">
        <f>+UPPER('0. Instruções'!$D$35&amp;"."&amp;VLOOKUP(B66,'0. Instruções'!$C$27:$D$32,2,FALSE))</f>
        <v>CD_LOAN_TAPES_BCE.LT002_INSTRUMENT</v>
      </c>
      <c r="F66" s="32" t="str">
        <f>+UPPER('0. Instruções'!$D$36&amp;"."&amp;VLOOKUP(B66,'0. Instruções'!$C$27:$E$32,3,FALSE))</f>
        <v>BU_LOANTAPE_WORK.LT002_INSTRUMENT</v>
      </c>
      <c r="H66" s="32"/>
      <c r="I66" s="32"/>
      <c r="J66" s="32" t="str">
        <f>IF(VLOOKUP(B66,'0. Instruções'!$C$27:$G$32,5,FALSE)=0,
"(SELECT "&amp;VLOOKUP(B66,'0. Instruções'!$C$27:$G$32,4,FALSE)&amp;" AS CHAVE_IT, "&amp;C66&amp;" AS CAMPO_IT FROM "&amp;E66&amp;" WHERE "&amp;'0. Instruções'!$D$43&amp;")X",
"(SELECT "&amp;VLOOKUP(B66,'0. Instruções'!$C$27:$G$32,4,FALSE)&amp;" AS CHAVE_IT1, "&amp;VLOOKUP(B66,'0. Instruções'!$C$27:$G$32,5,FALSE)&amp;" AS CHAVE_IT2, "&amp;C66&amp;" AS CAMPO_IT FROM "&amp;E66&amp;" WHERE "&amp;'0. Instruções'!$D$43&amp;")X")</f>
        <v>(SELECT instrmnt_id AS CHAVE_IT, dt_dflt_stts_instrmnt AS CAMPO_IT FROM CD_LOAN_TAPES_BCE.LT002_INSTRUMENT WHERE ref_date='${ref_date}' AND nome_perimetro='Individual Local' AND segmento='ESTR' AND ambito='PM' AND entidade='00100')X</v>
      </c>
      <c r="K66" s="32" t="str">
        <f>IF(VLOOKUP(B66,'0. Instruções'!$C$27:$G$32,5,FALSE)=0,
"(SELECT "&amp;VLOOKUP(B66,'0. Instruções'!$C$27:$G$32,4,FALSE)&amp;" AS CHAVE_SIMUL, "&amp;C66&amp;" AS CAMPO_SIMUL FROM "&amp;F66&amp;" WHERE "&amp;'0. Instruções'!$D$42&amp;")Y",
"(SELECT "&amp;VLOOKUP(B66,'0. Instruções'!$C$27:$G$32,4,FALSE)&amp;" AS CHAVE_SIMUL1, "&amp;VLOOKUP(B66,'0. Instruções'!$C$27:$G$32,5,FALSE)&amp;" AS CHAVE_SIMUL2, "&amp;C66&amp;" AS CAMPO_SIMUL FROM "&amp;F66&amp;" WHERE "&amp;'0. Instruções'!$D$42&amp;")Y")</f>
        <v>(SELECT instrmnt_id AS CHAVE_SIMUL, dt_dflt_stts_instrmnt AS CAMPO_SIMUL FROM BU_LOANTAPE_WORK.LT002_INSTRUMENT WHERE ref_date='${ref_date}' AND nome_perimetro='Individual Local' AND segmento='ESTR' AND ambito='PM' AND entidade='00100')Y</v>
      </c>
      <c r="L66" s="32" t="str">
        <f>IF(VLOOKUP(B66,'0. Instruções'!$C$27:$G$32,5,FALSE)=0,
"ON X.CHAVE_IT=Y.CHAVE_SIMUL",
"ON X.CHAVE_IT1=Y.CHAVE_SIMUL1 AND X.CHAVE_IT2=Y.CHAVE_SIMUL2")</f>
        <v>ON X.CHAVE_IT=Y.CHAVE_SIMUL</v>
      </c>
      <c r="M66" s="32" t="str">
        <f>+IF(D66="Coerência",+IF(LEFT(H66,5)="FLOAT","SELECT '"&amp;UPPER(B66)&amp;"' AS TABELA, '"&amp;UPPER(D66)&amp;"' AS TIPOLOGIA_TESTE,'"&amp;E66&amp;"' AS TABELA_LT,'"&amp;F66&amp;"' AS TABELA_SIMUL,'"&amp;C66&amp;"'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"&amp;J66&amp;" INNER JOIN "&amp;K66&amp;" "&amp;L66,"SELECT '"&amp;UPPER(B66)&amp;"' AS TABELA, '"&amp;UPPER(D66)&amp;"' AS TIPOLOGIA_TESTE,'"&amp;E66&amp;"' AS TABELA_LT,'"&amp;F66&amp;"' AS TABELA_SIMUL,'"&amp;C66&amp;"'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"&amp;J66&amp;" INNER JOIN "&amp;K66&amp;" "&amp;L66))</f>
        <v>SELECT 'INSTRUMENT' AS TABELA, 'COERÊNCIA' AS TIPOLOGIA_TESTE,'CD_LOAN_TAPES_BCE.LT002_INSTRUMENT' AS TABELA_LT,'BU_LOANTAPE_WORK.LT002_INSTRUMENT' AS TABELA_SIMUL,'dt_dflt_stts_instrmnt'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dt_dflt_stts_instrmnt AS CAMPO_IT FROM CD_LOAN_TAPES_BCE.LT002_INSTRUMENT WHERE ref_date='${ref_date}' AND nome_perimetro='Individual Local' AND segmento='ESTR' AND ambito='PM' AND entidade='00100')X INNER JOIN (SELECT instrmnt_id AS CHAVE_SIMUL, dt_dflt_stts_instrmnt AS CAMPO_SIMUL FROM BU_LOANTAPE_WORK.LT002_INSTRUMENT WHERE ref_date='${ref_date}' AND nome_perimetro='Individual Local' AND segmento='ESTR' AND ambito='PM' AND entidade='00100')Y ON X.CHAVE_IT=Y.CHAVE_SIMUL</v>
      </c>
      <c r="N66" s="33" t="str">
        <f t="shared" si="3"/>
        <v>UNION ALL SELECT 'INSTRUMENT' AS TABELA, 'COERÊNCIA' AS TIPOLOGIA_TESTE,'CD_LOAN_TAPES_BCE.LT002_INSTRUMENT' AS TABELA_LT,'BU_LOANTAPE_WORK.LT002_INSTRUMENT' AS TABELA_SIMUL,'dt_dflt_stts_instrmnt'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dt_dflt_stts_instrmnt AS CAMPO_IT FROM CD_LOAN_TAPES_BCE.LT002_INSTRUMENT WHERE ref_date='${ref_date}' AND nome_perimetro='Individual Local' AND segmento='ESTR' AND ambito='PM' AND entidade='00100')X INNER JOIN (SELECT instrmnt_id AS CHAVE_SIMUL, dt_dflt_stts_instrmnt AS CAMPO_SIMUL FROM BU_LOANTAPE_WORK.LT002_INSTRUMENT WHERE ref_date='${ref_date}' AND nome_perimetro='Individual Local' AND segmento='ESTR' AND ambito='PM' AND entidade='00100')Y ON X.CHAVE_IT=Y.CHAVE_SIMUL</v>
      </c>
      <c r="O66" s="35" t="s">
        <v>35</v>
      </c>
    </row>
    <row r="67" spans="1:15">
      <c r="A67" s="57" t="str">
        <f t="shared" si="0"/>
        <v>Instrumentdt_end_gp_ppal</v>
      </c>
      <c r="B67" s="32" t="s">
        <v>9</v>
      </c>
      <c r="C67" s="32" t="s">
        <v>262</v>
      </c>
      <c r="D67" s="32" t="s">
        <v>5</v>
      </c>
      <c r="E67" s="32" t="str">
        <f>+UPPER('0. Instruções'!$D$35&amp;"."&amp;VLOOKUP(B67,'0. Instruções'!$C$27:$D$32,2,FALSE))</f>
        <v>CD_LOAN_TAPES_BCE.LT002_INSTRUMENT</v>
      </c>
      <c r="F67" s="32" t="str">
        <f>+UPPER('0. Instruções'!$D$36&amp;"."&amp;VLOOKUP(B67,'0. Instruções'!$C$27:$E$32,3,FALSE))</f>
        <v>BU_LOANTAPE_WORK.LT002_INSTRUMENT</v>
      </c>
      <c r="H67" s="32"/>
      <c r="I67" s="32"/>
      <c r="J67" s="32" t="str">
        <f>IF(VLOOKUP(B67,'0. Instruções'!$C$27:$G$32,5,FALSE)=0,
"(SELECT "&amp;VLOOKUP(B67,'0. Instruções'!$C$27:$G$32,4,FALSE)&amp;" AS CHAVE_IT, "&amp;C67&amp;" AS CAMPO_IT FROM "&amp;E67&amp;" WHERE "&amp;'0. Instruções'!$D$43&amp;")X",
"(SELECT "&amp;VLOOKUP(B67,'0. Instruções'!$C$27:$G$32,4,FALSE)&amp;" AS CHAVE_IT1, "&amp;VLOOKUP(B67,'0. Instruções'!$C$27:$G$32,5,FALSE)&amp;" AS CHAVE_IT2, "&amp;C67&amp;" AS CAMPO_IT FROM "&amp;E67&amp;" WHERE "&amp;'0. Instruções'!$D$43&amp;")X")</f>
        <v>(SELECT instrmnt_id AS CHAVE_IT, dt_end_gp_ppal AS CAMPO_IT FROM CD_LOAN_TAPES_BCE.LT002_INSTRUMENT WHERE ref_date='${ref_date}' AND nome_perimetro='Individual Local' AND segmento='ESTR' AND ambito='PM' AND entidade='00100')X</v>
      </c>
      <c r="K67" s="32" t="str">
        <f>IF(VLOOKUP(B67,'0. Instruções'!$C$27:$G$32,5,FALSE)=0,
"(SELECT "&amp;VLOOKUP(B67,'0. Instruções'!$C$27:$G$32,4,FALSE)&amp;" AS CHAVE_SIMUL, "&amp;C67&amp;" AS CAMPO_SIMUL FROM "&amp;F67&amp;" WHERE "&amp;'0. Instruções'!$D$42&amp;")Y",
"(SELECT "&amp;VLOOKUP(B67,'0. Instruções'!$C$27:$G$32,4,FALSE)&amp;" AS CHAVE_SIMUL1, "&amp;VLOOKUP(B67,'0. Instruções'!$C$27:$G$32,5,FALSE)&amp;" AS CHAVE_SIMUL2, "&amp;C67&amp;" AS CAMPO_SIMUL FROM "&amp;F67&amp;" WHERE "&amp;'0. Instruções'!$D$42&amp;")Y")</f>
        <v>(SELECT instrmnt_id AS CHAVE_SIMUL, dt_end_gp_ppal AS CAMPO_SIMUL FROM BU_LOANTAPE_WORK.LT002_INSTRUMENT WHERE ref_date='${ref_date}' AND nome_perimetro='Individual Local' AND segmento='ESTR' AND ambito='PM' AND entidade='00100')Y</v>
      </c>
      <c r="L67" s="32" t="str">
        <f>IF(VLOOKUP(B67,'0. Instruções'!$C$27:$G$32,5,FALSE)=0,
"ON X.CHAVE_IT=Y.CHAVE_SIMUL",
"ON X.CHAVE_IT1=Y.CHAVE_SIMUL1 AND X.CHAVE_IT2=Y.CHAVE_SIMUL2")</f>
        <v>ON X.CHAVE_IT=Y.CHAVE_SIMUL</v>
      </c>
      <c r="M67" s="32" t="str">
        <f>+IF(D67="Coerência",+IF(LEFT(H67,5)="FLOAT","SELECT '"&amp;UPPER(B67)&amp;"' AS TABELA, '"&amp;UPPER(D67)&amp;"' AS TIPOLOGIA_TESTE,'"&amp;E67&amp;"' AS TABELA_LT,'"&amp;F67&amp;"' AS TABELA_SIMUL,'"&amp;C67&amp;"'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"&amp;J67&amp;" INNER JOIN "&amp;K67&amp;" "&amp;L67,"SELECT '"&amp;UPPER(B67)&amp;"' AS TABELA, '"&amp;UPPER(D67)&amp;"' AS TIPOLOGIA_TESTE,'"&amp;E67&amp;"' AS TABELA_LT,'"&amp;F67&amp;"' AS TABELA_SIMUL,'"&amp;C67&amp;"'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"&amp;J67&amp;" INNER JOIN "&amp;K67&amp;" "&amp;L67))</f>
        <v>SELECT 'INSTRUMENT' AS TABELA, 'COERÊNCIA' AS TIPOLOGIA_TESTE,'CD_LOAN_TAPES_BCE.LT002_INSTRUMENT' AS TABELA_LT,'BU_LOANTAPE_WORK.LT002_INSTRUMENT' AS TABELA_SIMUL,'dt_end_gp_ppal'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 AS CAMPO_IT FROM CD_LOAN_TAPES_BCE.LT002_INSTRUMENT WHERE ref_date='${ref_date}' AND nome_perimetro='Individual Local' AND segmento='ESTR' AND ambito='PM' AND entidade='00100')X INNER JOIN (SELECT instrmnt_id AS CHAVE_SIMUL, dt_end_gp_ppal AS CAMPO_SIMUL FROM BU_LOANTAPE_WORK.LT002_INSTRUMENT WHERE ref_date='${ref_date}' AND nome_perimetro='Individual Local' AND segmento='ESTR' AND ambito='PM' AND entidade='00100')Y ON X.CHAVE_IT=Y.CHAVE_SIMUL</v>
      </c>
      <c r="N67" s="33" t="str">
        <f t="shared" si="3"/>
        <v>UNION ALL SELECT 'INSTRUMENT' AS TABELA, 'COERÊNCIA' AS TIPOLOGIA_TESTE,'CD_LOAN_TAPES_BCE.LT002_INSTRUMENT' AS TABELA_LT,'BU_LOANTAPE_WORK.LT002_INSTRUMENT' AS TABELA_SIMUL,'dt_end_gp_ppal'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 AS CAMPO_IT FROM CD_LOAN_TAPES_BCE.LT002_INSTRUMENT WHERE ref_date='${ref_date}' AND nome_perimetro='Individual Local' AND segmento='ESTR' AND ambito='PM' AND entidade='00100')X INNER JOIN (SELECT instrmnt_id AS CHAVE_SIMUL, dt_end_gp_ppal AS CAMPO_SIMUL FROM BU_LOANTAPE_WORK.LT002_INSTRUMENT WHERE ref_date='${ref_date}' AND nome_perimetro='Individual Local' AND segmento='ESTR' AND ambito='PM' AND entidade='00100')Y ON X.CHAVE_IT=Y.CHAVE_SIMUL</v>
      </c>
      <c r="O67" s="35" t="s">
        <v>35</v>
      </c>
    </row>
    <row r="68" spans="1:15">
      <c r="A68" s="57" t="str">
        <f t="shared" si="0"/>
        <v>Instrumentdt_end_intrst_only</v>
      </c>
      <c r="B68" s="32" t="s">
        <v>9</v>
      </c>
      <c r="C68" s="32" t="s">
        <v>263</v>
      </c>
      <c r="D68" s="32" t="s">
        <v>5</v>
      </c>
      <c r="E68" s="32" t="str">
        <f>+UPPER('0. Instruções'!$D$35&amp;"."&amp;VLOOKUP(B68,'0. Instruções'!$C$27:$D$32,2,FALSE))</f>
        <v>CD_LOAN_TAPES_BCE.LT002_INSTRUMENT</v>
      </c>
      <c r="F68" s="32" t="str">
        <f>+UPPER('0. Instruções'!$D$36&amp;"."&amp;VLOOKUP(B68,'0. Instruções'!$C$27:$E$32,3,FALSE))</f>
        <v>BU_LOANTAPE_WORK.LT002_INSTRUMENT</v>
      </c>
      <c r="H68" s="32"/>
      <c r="I68" s="32"/>
      <c r="J68" s="32" t="str">
        <f>IF(VLOOKUP(B68,'0. Instruções'!$C$27:$G$32,5,FALSE)=0,
"(SELECT "&amp;VLOOKUP(B68,'0. Instruções'!$C$27:$G$32,4,FALSE)&amp;" AS CHAVE_IT, "&amp;C68&amp;" AS CAMPO_IT FROM "&amp;E68&amp;" WHERE "&amp;'0. Instruções'!$D$43&amp;")X",
"(SELECT "&amp;VLOOKUP(B68,'0. Instruções'!$C$27:$G$32,4,FALSE)&amp;" AS CHAVE_IT1, "&amp;VLOOKUP(B68,'0. Instruções'!$C$27:$G$32,5,FALSE)&amp;" AS CHAVE_IT2, "&amp;C68&amp;" AS CAMPO_IT FROM "&amp;E68&amp;" WHERE "&amp;'0. Instruções'!$D$43&amp;")X")</f>
        <v>(SELECT instrmnt_id AS CHAVE_IT, dt_end_intrst_only AS CAMPO_IT FROM CD_LOAN_TAPES_BCE.LT002_INSTRUMENT WHERE ref_date='${ref_date}' AND nome_perimetro='Individual Local' AND segmento='ESTR' AND ambito='PM' AND entidade='00100')X</v>
      </c>
      <c r="K68" s="32" t="str">
        <f>IF(VLOOKUP(B68,'0. Instruções'!$C$27:$G$32,5,FALSE)=0,
"(SELECT "&amp;VLOOKUP(B68,'0. Instruções'!$C$27:$G$32,4,FALSE)&amp;" AS CHAVE_SIMUL, "&amp;C68&amp;" AS CAMPO_SIMUL FROM "&amp;F68&amp;" WHERE "&amp;'0. Instruções'!$D$42&amp;")Y",
"(SELECT "&amp;VLOOKUP(B68,'0. Instruções'!$C$27:$G$32,4,FALSE)&amp;" AS CHAVE_SIMUL1, "&amp;VLOOKUP(B68,'0. Instruções'!$C$27:$G$32,5,FALSE)&amp;" AS CHAVE_SIMUL2, "&amp;C68&amp;" AS CAMPO_SIMUL FROM "&amp;F68&amp;" WHERE "&amp;'0. Instruções'!$D$42&amp;")Y")</f>
        <v>(SELECT instrmnt_id AS CHAVE_SIMUL, dt_end_intrst_only AS CAMPO_SIMUL FROM BU_LOANTAPE_WORK.LT002_INSTRUMENT WHERE ref_date='${ref_date}' AND nome_perimetro='Individual Local' AND segmento='ESTR' AND ambito='PM' AND entidade='00100')Y</v>
      </c>
      <c r="L68" s="32" t="str">
        <f>IF(VLOOKUP(B68,'0. Instruções'!$C$27:$G$32,5,FALSE)=0,
"ON X.CHAVE_IT=Y.CHAVE_SIMUL",
"ON X.CHAVE_IT1=Y.CHAVE_SIMUL1 AND X.CHAVE_IT2=Y.CHAVE_SIMUL2")</f>
        <v>ON X.CHAVE_IT=Y.CHAVE_SIMUL</v>
      </c>
      <c r="M68" s="32" t="str">
        <f>+IF(D68="Coerência",+IF(LEFT(H68,5)="FLOAT","SELECT '"&amp;UPPER(B68)&amp;"' AS TABELA, '"&amp;UPPER(D68)&amp;"' AS TIPOLOGIA_TESTE,'"&amp;E68&amp;"' AS TABELA_LT,'"&amp;F68&amp;"' AS TABELA_SIMUL,'"&amp;C68&amp;"'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"&amp;J68&amp;" INNER JOIN "&amp;K68&amp;" "&amp;L68,"SELECT '"&amp;UPPER(B68)&amp;"' AS TABELA, '"&amp;UPPER(D68)&amp;"' AS TIPOLOGIA_TESTE,'"&amp;E68&amp;"' AS TABELA_LT,'"&amp;F68&amp;"' AS TABELA_SIMUL,'"&amp;C68&amp;"'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"&amp;J68&amp;" INNER JOIN "&amp;K68&amp;" "&amp;L68))</f>
        <v>SELECT 'INSTRUMENT' AS TABELA, 'COERÊNCIA' AS TIPOLOGIA_TESTE,'CD_LOAN_TAPES_BCE.LT002_INSTRUMENT' AS TABELA_LT,'BU_LOANTAPE_WORK.LT002_INSTRUMENT' AS TABELA_SIMUL,'dt_end_intrst_only'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 AS CAMPO_IT FROM CD_LOAN_TAPES_BCE.LT002_INSTRUMENT WHERE ref_date='${ref_date}' AND nome_perimetro='Individual Local' AND segmento='ESTR' AND ambito='PM' AND entidade='00100')X INNER JOIN (SELECT instrmnt_id AS CHAVE_SIMUL, dt_end_intrst_only AS CAMPO_SIMUL FROM BU_LOANTAPE_WORK.LT002_INSTRUMENT WHERE ref_date='${ref_date}' AND nome_perimetro='Individual Local' AND segmento='ESTR' AND ambito='PM' AND entidade='00100')Y ON X.CHAVE_IT=Y.CHAVE_SIMUL</v>
      </c>
      <c r="N68" s="33" t="str">
        <f t="shared" si="3"/>
        <v>UNION ALL SELECT 'INSTRUMENT' AS TABELA, 'COERÊNCIA' AS TIPOLOGIA_TESTE,'CD_LOAN_TAPES_BCE.LT002_INSTRUMENT' AS TABELA_LT,'BU_LOANTAPE_WORK.LT002_INSTRUMENT' AS TABELA_SIMUL,'dt_end_intrst_only'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 AS CAMPO_IT FROM CD_LOAN_TAPES_BCE.LT002_INSTRUMENT WHERE ref_date='${ref_date}' AND nome_perimetro='Individual Local' AND segmento='ESTR' AND ambito='PM' AND entidade='00100')X INNER JOIN (SELECT instrmnt_id AS CHAVE_SIMUL, dt_end_intrst_only AS CAMPO_SIMUL FROM BU_LOANTAPE_WORK.LT002_INSTRUMENT WHERE ref_date='${ref_date}' AND nome_perimetro='Individual Local' AND segmento='ESTR' AND ambito='PM' AND entidade='00100')Y ON X.CHAVE_IT=Y.CHAVE_SIMUL</v>
      </c>
      <c r="O68" s="35" t="s">
        <v>35</v>
      </c>
    </row>
    <row r="69" spans="1:15">
      <c r="A69" s="57" t="str">
        <f t="shared" si="0"/>
        <v>Instrumentdt_frbrnc_stts</v>
      </c>
      <c r="B69" s="32" t="s">
        <v>9</v>
      </c>
      <c r="C69" s="32" t="s">
        <v>264</v>
      </c>
      <c r="D69" s="32" t="s">
        <v>5</v>
      </c>
      <c r="E69" s="32" t="str">
        <f>+UPPER('0. Instruções'!$D$35&amp;"."&amp;VLOOKUP(B69,'0. Instruções'!$C$27:$D$32,2,FALSE))</f>
        <v>CD_LOAN_TAPES_BCE.LT002_INSTRUMENT</v>
      </c>
      <c r="F69" s="32" t="str">
        <f>+UPPER('0. Instruções'!$D$36&amp;"."&amp;VLOOKUP(B69,'0. Instruções'!$C$27:$E$32,3,FALSE))</f>
        <v>BU_LOANTAPE_WORK.LT002_INSTRUMENT</v>
      </c>
      <c r="H69" s="32"/>
      <c r="I69" s="32"/>
      <c r="J69" s="32" t="str">
        <f>IF(VLOOKUP(B69,'0. Instruções'!$C$27:$G$32,5,FALSE)=0,
"(SELECT "&amp;VLOOKUP(B69,'0. Instruções'!$C$27:$G$32,4,FALSE)&amp;" AS CHAVE_IT, "&amp;C69&amp;" AS CAMPO_IT FROM "&amp;E69&amp;" WHERE "&amp;'0. Instruções'!$D$43&amp;")X",
"(SELECT "&amp;VLOOKUP(B69,'0. Instruções'!$C$27:$G$32,4,FALSE)&amp;" AS CHAVE_IT1, "&amp;VLOOKUP(B69,'0. Instruções'!$C$27:$G$32,5,FALSE)&amp;" AS CHAVE_IT2, "&amp;C69&amp;" AS CAMPO_IT FROM "&amp;E69&amp;" WHERE "&amp;'0. Instruções'!$D$43&amp;")X")</f>
        <v>(SELECT instrmnt_id AS CHAVE_IT, dt_frbrnc_stts AS CAMPO_IT FROM CD_LOAN_TAPES_BCE.LT002_INSTRUMENT WHERE ref_date='${ref_date}' AND nome_perimetro='Individual Local' AND segmento='ESTR' AND ambito='PM' AND entidade='00100')X</v>
      </c>
      <c r="K69" s="32" t="str">
        <f>IF(VLOOKUP(B69,'0. Instruções'!$C$27:$G$32,5,FALSE)=0,
"(SELECT "&amp;VLOOKUP(B69,'0. Instruções'!$C$27:$G$32,4,FALSE)&amp;" AS CHAVE_SIMUL, "&amp;C69&amp;" AS CAMPO_SIMUL FROM "&amp;F69&amp;" WHERE "&amp;'0. Instruções'!$D$42&amp;")Y",
"(SELECT "&amp;VLOOKUP(B69,'0. Instruções'!$C$27:$G$32,4,FALSE)&amp;" AS CHAVE_SIMUL1, "&amp;VLOOKUP(B69,'0. Instruções'!$C$27:$G$32,5,FALSE)&amp;" AS CHAVE_SIMUL2, "&amp;C69&amp;" AS CAMPO_SIMUL FROM "&amp;F69&amp;" WHERE "&amp;'0. Instruções'!$D$42&amp;")Y")</f>
        <v>(SELECT instrmnt_id AS CHAVE_SIMUL, dt_frbrnc_stts AS CAMPO_SIMUL FROM BU_LOANTAPE_WORK.LT002_INSTRUMENT WHERE ref_date='${ref_date}' AND nome_perimetro='Individual Local' AND segmento='ESTR' AND ambito='PM' AND entidade='00100')Y</v>
      </c>
      <c r="L69" s="32" t="str">
        <f>IF(VLOOKUP(B69,'0. Instruções'!$C$27:$G$32,5,FALSE)=0,
"ON X.CHAVE_IT=Y.CHAVE_SIMUL",
"ON X.CHAVE_IT1=Y.CHAVE_SIMUL1 AND X.CHAVE_IT2=Y.CHAVE_SIMUL2")</f>
        <v>ON X.CHAVE_IT=Y.CHAVE_SIMUL</v>
      </c>
      <c r="M69" s="32" t="str">
        <f>+IF(D69="Coerência",+IF(LEFT(H69,5)="FLOAT","SELECT '"&amp;UPPER(B69)&amp;"' AS TABELA, '"&amp;UPPER(D69)&amp;"' AS TIPOLOGIA_TESTE,'"&amp;E69&amp;"' AS TABELA_LT,'"&amp;F69&amp;"' AS TABELA_SIMUL,'"&amp;C69&amp;"'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"&amp;J69&amp;" INNER JOIN "&amp;K69&amp;" "&amp;L69,"SELECT '"&amp;UPPER(B69)&amp;"' AS TABELA, '"&amp;UPPER(D69)&amp;"' AS TIPOLOGIA_TESTE,'"&amp;E69&amp;"' AS TABELA_LT,'"&amp;F69&amp;"' AS TABELA_SIMUL,'"&amp;C69&amp;"'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"&amp;J69&amp;" INNER JOIN "&amp;K69&amp;" "&amp;L69))</f>
        <v>SELECT 'INSTRUMENT' AS TABELA, 'COERÊNCIA' AS TIPOLOGIA_TESTE,'CD_LOAN_TAPES_BCE.LT002_INSTRUMENT' AS TABELA_LT,'BU_LOANTAPE_WORK.LT002_INSTRUMENT' AS TABELA_SIMUL,'dt_frbrnc_stts'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 AS CAMPO_IT FROM CD_LOAN_TAPES_BCE.LT002_INSTRUMENT WHERE ref_date='${ref_date}' AND nome_perimetro='Individual Local' AND segmento='ESTR' AND ambito='PM' AND entidade='00100')X INNER JOIN (SELECT instrmnt_id AS CHAVE_SIMUL, dt_frbrnc_stts AS CAMPO_SIMUL FROM BU_LOANTAPE_WORK.LT002_INSTRUMENT WHERE ref_date='${ref_date}' AND nome_perimetro='Individual Local' AND segmento='ESTR' AND ambito='PM' AND entidade='00100')Y ON X.CHAVE_IT=Y.CHAVE_SIMUL</v>
      </c>
      <c r="N69" s="33" t="str">
        <f t="shared" si="3"/>
        <v>UNION ALL SELECT 'INSTRUMENT' AS TABELA, 'COERÊNCIA' AS TIPOLOGIA_TESTE,'CD_LOAN_TAPES_BCE.LT002_INSTRUMENT' AS TABELA_LT,'BU_LOANTAPE_WORK.LT002_INSTRUMENT' AS TABELA_SIMUL,'dt_frbrnc_stts'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 AS CAMPO_IT FROM CD_LOAN_TAPES_BCE.LT002_INSTRUMENT WHERE ref_date='${ref_date}' AND nome_perimetro='Individual Local' AND segmento='ESTR' AND ambito='PM' AND entidade='00100')X INNER JOIN (SELECT instrmnt_id AS CHAVE_SIMUL, dt_frbrnc_stts AS CAMPO_SIMUL FROM BU_LOANTAPE_WORK.LT002_INSTRUMENT WHERE ref_date='${ref_date}' AND nome_perimetro='Individual Local' AND segmento='ESTR' AND ambito='PM' AND entidade='00100')Y ON X.CHAVE_IT=Y.CHAVE_SIMUL</v>
      </c>
      <c r="O69" s="35" t="s">
        <v>35</v>
      </c>
    </row>
    <row r="70" spans="1:15">
      <c r="A70" s="57" t="str">
        <f t="shared" si="0"/>
        <v>Instrumentdt_frbrnc_stts_prvs</v>
      </c>
      <c r="B70" s="32" t="s">
        <v>9</v>
      </c>
      <c r="C70" s="32" t="s">
        <v>265</v>
      </c>
      <c r="D70" s="32" t="s">
        <v>5</v>
      </c>
      <c r="E70" s="32" t="str">
        <f>+UPPER('0. Instruções'!$D$35&amp;"."&amp;VLOOKUP(B70,'0. Instruções'!$C$27:$D$32,2,FALSE))</f>
        <v>CD_LOAN_TAPES_BCE.LT002_INSTRUMENT</v>
      </c>
      <c r="F70" s="32" t="str">
        <f>+UPPER('0. Instruções'!$D$36&amp;"."&amp;VLOOKUP(B70,'0. Instruções'!$C$27:$E$32,3,FALSE))</f>
        <v>BU_LOANTAPE_WORK.LT002_INSTRUMENT</v>
      </c>
      <c r="H70" s="32"/>
      <c r="I70" s="32"/>
      <c r="J70" s="32" t="str">
        <f>IF(VLOOKUP(B70,'0. Instruções'!$C$27:$G$32,5,FALSE)=0,
"(SELECT "&amp;VLOOKUP(B70,'0. Instruções'!$C$27:$G$32,4,FALSE)&amp;" AS CHAVE_IT, "&amp;C70&amp;" AS CAMPO_IT FROM "&amp;E70&amp;" WHERE "&amp;'0. Instruções'!$D$43&amp;")X",
"(SELECT "&amp;VLOOKUP(B70,'0. Instruções'!$C$27:$G$32,4,FALSE)&amp;" AS CHAVE_IT1, "&amp;VLOOKUP(B70,'0. Instruções'!$C$27:$G$32,5,FALSE)&amp;" AS CHAVE_IT2, "&amp;C70&amp;" AS CAMPO_IT FROM "&amp;E70&amp;" WHERE "&amp;'0. Instruções'!$D$43&amp;")X")</f>
        <v>(SELECT instrmnt_id AS CHAVE_IT, dt_frbrnc_stts_prvs AS CAMPO_IT FROM CD_LOAN_TAPES_BCE.LT002_INSTRUMENT WHERE ref_date='${ref_date}' AND nome_perimetro='Individual Local' AND segmento='ESTR' AND ambito='PM' AND entidade='00100')X</v>
      </c>
      <c r="K70" s="32" t="str">
        <f>IF(VLOOKUP(B70,'0. Instruções'!$C$27:$G$32,5,FALSE)=0,
"(SELECT "&amp;VLOOKUP(B70,'0. Instruções'!$C$27:$G$32,4,FALSE)&amp;" AS CHAVE_SIMUL, "&amp;C70&amp;" AS CAMPO_SIMUL FROM "&amp;F70&amp;" WHERE "&amp;'0. Instruções'!$D$42&amp;")Y",
"(SELECT "&amp;VLOOKUP(B70,'0. Instruções'!$C$27:$G$32,4,FALSE)&amp;" AS CHAVE_SIMUL1, "&amp;VLOOKUP(B70,'0. Instruções'!$C$27:$G$32,5,FALSE)&amp;" AS CHAVE_SIMUL2, "&amp;C70&amp;" AS CAMPO_SIMUL FROM "&amp;F70&amp;" WHERE "&amp;'0. Instruções'!$D$42&amp;")Y")</f>
        <v>(SELECT instrmnt_id AS CHAVE_SIMUL, dt_frbrnc_stts_prvs AS CAMPO_SIMUL FROM BU_LOANTAPE_WORK.LT002_INSTRUMENT WHERE ref_date='${ref_date}' AND nome_perimetro='Individual Local' AND segmento='ESTR' AND ambito='PM' AND entidade='00100')Y</v>
      </c>
      <c r="L70" s="32" t="str">
        <f>IF(VLOOKUP(B70,'0. Instruções'!$C$27:$G$32,5,FALSE)=0,
"ON X.CHAVE_IT=Y.CHAVE_SIMUL",
"ON X.CHAVE_IT1=Y.CHAVE_SIMUL1 AND X.CHAVE_IT2=Y.CHAVE_SIMUL2")</f>
        <v>ON X.CHAVE_IT=Y.CHAVE_SIMUL</v>
      </c>
      <c r="M70" s="32" t="str">
        <f>+IF(D70="Coerência",+IF(LEFT(H70,5)="FLOAT","SELECT '"&amp;UPPER(B70)&amp;"' AS TABELA, '"&amp;UPPER(D70)&amp;"' AS TIPOLOGIA_TESTE,'"&amp;E70&amp;"' AS TABELA_LT,'"&amp;F70&amp;"' AS TABELA_SIMUL,'"&amp;C70&amp;"'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"&amp;J70&amp;" INNER JOIN "&amp;K70&amp;" "&amp;L70,"SELECT '"&amp;UPPER(B70)&amp;"' AS TABELA, '"&amp;UPPER(D70)&amp;"' AS TIPOLOGIA_TESTE,'"&amp;E70&amp;"' AS TABELA_LT,'"&amp;F70&amp;"' AS TABELA_SIMUL,'"&amp;C70&amp;"'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"&amp;J70&amp;" INNER JOIN "&amp;K70&amp;" "&amp;L70))</f>
        <v>SELECT 'INSTRUMENT' AS TABELA, 'COERÊNCIA' AS TIPOLOGIA_TESTE,'CD_LOAN_TAPES_BCE.LT002_INSTRUMENT' AS TABELA_LT,'BU_LOANTAPE_WORK.LT002_INSTRUMENT' AS TABELA_SIMUL,'dt_frbrnc_stts_prvs'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 AS CAMPO_IT FROM CD_LOAN_TAPES_BCE.LT002_INSTRUMENT WHERE ref_date='${ref_date}' AND nome_perimetro='Individual Local' AND segmento='ESTR' AND ambito='PM' AND entidade='00100')X INNER JOIN (SELECT instrmnt_id AS CHAVE_SIMUL, dt_frbrnc_stts_prvs AS CAMPO_SIMUL FROM BU_LOANTAPE_WORK.LT002_INSTRUMENT WHERE ref_date='${ref_date}' AND nome_perimetro='Individual Local' AND segmento='ESTR' AND ambito='PM' AND entidade='00100')Y ON X.CHAVE_IT=Y.CHAVE_SIMUL</v>
      </c>
      <c r="N70" s="33" t="str">
        <f t="shared" si="3"/>
        <v>UNION ALL SELECT 'INSTRUMENT' AS TABELA, 'COERÊNCIA' AS TIPOLOGIA_TESTE,'CD_LOAN_TAPES_BCE.LT002_INSTRUMENT' AS TABELA_LT,'BU_LOANTAPE_WORK.LT002_INSTRUMENT' AS TABELA_SIMUL,'dt_frbrnc_stts_prvs'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 AS CAMPO_IT FROM CD_LOAN_TAPES_BCE.LT002_INSTRUMENT WHERE ref_date='${ref_date}' AND nome_perimetro='Individual Local' AND segmento='ESTR' AND ambito='PM' AND entidade='00100')X INNER JOIN (SELECT instrmnt_id AS CHAVE_SIMUL, dt_frbrnc_stts_prvs AS CAMPO_SIMUL FROM BU_LOANTAPE_WORK.LT002_INSTRUMENT WHERE ref_date='${ref_date}' AND nome_perimetro='Individual Local' AND segmento='ESTR' AND ambito='PM' AND entidade='00100')Y ON X.CHAVE_IT=Y.CHAVE_SIMUL</v>
      </c>
      <c r="O70" s="35" t="s">
        <v>35</v>
      </c>
    </row>
    <row r="71" spans="1:15">
      <c r="A71" s="57" t="str">
        <f t="shared" si="0"/>
        <v>Instrumentdt_intrnl_rtng</v>
      </c>
      <c r="B71" s="32" t="s">
        <v>9</v>
      </c>
      <c r="C71" s="32" t="s">
        <v>266</v>
      </c>
      <c r="D71" s="32" t="s">
        <v>5</v>
      </c>
      <c r="E71" s="32" t="str">
        <f>+UPPER('0. Instruções'!$D$35&amp;"."&amp;VLOOKUP(B71,'0. Instruções'!$C$27:$D$32,2,FALSE))</f>
        <v>CD_LOAN_TAPES_BCE.LT002_INSTRUMENT</v>
      </c>
      <c r="F71" s="32" t="str">
        <f>+UPPER('0. Instruções'!$D$36&amp;"."&amp;VLOOKUP(B71,'0. Instruções'!$C$27:$E$32,3,FALSE))</f>
        <v>BU_LOANTAPE_WORK.LT002_INSTRUMENT</v>
      </c>
      <c r="H71" s="32"/>
      <c r="I71" s="32"/>
      <c r="J71" s="32" t="str">
        <f>IF(VLOOKUP(B71,'0. Instruções'!$C$27:$G$32,5,FALSE)=0,
"(SELECT "&amp;VLOOKUP(B71,'0. Instruções'!$C$27:$G$32,4,FALSE)&amp;" AS CHAVE_IT, "&amp;C71&amp;" AS CAMPO_IT FROM "&amp;E71&amp;" WHERE "&amp;'0. Instruções'!$D$43&amp;")X",
"(SELECT "&amp;VLOOKUP(B71,'0. Instruções'!$C$27:$G$32,4,FALSE)&amp;" AS CHAVE_IT1, "&amp;VLOOKUP(B71,'0. Instruções'!$C$27:$G$32,5,FALSE)&amp;" AS CHAVE_IT2, "&amp;C71&amp;" AS CAMPO_IT FROM "&amp;E71&amp;" WHERE "&amp;'0. Instruções'!$D$43&amp;")X")</f>
        <v>(SELECT instrmnt_id AS CHAVE_IT, dt_intrnl_rtng AS CAMPO_IT FROM CD_LOAN_TAPES_BCE.LT002_INSTRUMENT WHERE ref_date='${ref_date}' AND nome_perimetro='Individual Local' AND segmento='ESTR' AND ambito='PM' AND entidade='00100')X</v>
      </c>
      <c r="K71" s="32" t="str">
        <f>IF(VLOOKUP(B71,'0. Instruções'!$C$27:$G$32,5,FALSE)=0,
"(SELECT "&amp;VLOOKUP(B71,'0. Instruções'!$C$27:$G$32,4,FALSE)&amp;" AS CHAVE_SIMUL, "&amp;C71&amp;" AS CAMPO_SIMUL FROM "&amp;F71&amp;" WHERE "&amp;'0. Instruções'!$D$42&amp;")Y",
"(SELECT "&amp;VLOOKUP(B71,'0. Instruções'!$C$27:$G$32,4,FALSE)&amp;" AS CHAVE_SIMUL1, "&amp;VLOOKUP(B71,'0. Instruções'!$C$27:$G$32,5,FALSE)&amp;" AS CHAVE_SIMUL2, "&amp;C71&amp;" AS CAMPO_SIMUL FROM "&amp;F71&amp;" WHERE "&amp;'0. Instruções'!$D$42&amp;")Y")</f>
        <v>(SELECT instrmnt_id AS CHAVE_SIMUL, dt_intrnl_rtng AS CAMPO_SIMUL FROM BU_LOANTAPE_WORK.LT002_INSTRUMENT WHERE ref_date='${ref_date}' AND nome_perimetro='Individual Local' AND segmento='ESTR' AND ambito='PM' AND entidade='00100')Y</v>
      </c>
      <c r="L71" s="32" t="str">
        <f>IF(VLOOKUP(B71,'0. Instruções'!$C$27:$G$32,5,FALSE)=0,
"ON X.CHAVE_IT=Y.CHAVE_SIMUL",
"ON X.CHAVE_IT1=Y.CHAVE_SIMUL1 AND X.CHAVE_IT2=Y.CHAVE_SIMUL2")</f>
        <v>ON X.CHAVE_IT=Y.CHAVE_SIMUL</v>
      </c>
      <c r="M71" s="32" t="str">
        <f>+IF(D71="Coerência",+IF(LEFT(H71,5)="FLOAT","SELECT '"&amp;UPPER(B71)&amp;"' AS TABELA, '"&amp;UPPER(D71)&amp;"' AS TIPOLOGIA_TESTE,'"&amp;E71&amp;"' AS TABELA_LT,'"&amp;F71&amp;"' AS TABELA_SIMUL,'"&amp;C71&amp;"'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"&amp;J71&amp;" INNER JOIN "&amp;K71&amp;" "&amp;L71,"SELECT '"&amp;UPPER(B71)&amp;"' AS TABELA, '"&amp;UPPER(D71)&amp;"' AS TIPOLOGIA_TESTE,'"&amp;E71&amp;"' AS TABELA_LT,'"&amp;F71&amp;"' AS TABELA_SIMUL,'"&amp;C71&amp;"'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"&amp;J71&amp;" INNER JOIN "&amp;K71&amp;" "&amp;L71))</f>
        <v>SELECT 'INSTRUMENT' AS TABELA, 'COERÊNCIA' AS TIPOLOGIA_TESTE,'CD_LOAN_TAPES_BCE.LT002_INSTRUMENT' AS TABELA_LT,'BU_LOANTAPE_WORK.LT002_INSTRUMENT'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dt_intrnl_rtng AS CAMPO_IT FROM CD_LOAN_TAPES_BCE.LT002_INSTRUMENT WHERE ref_date='${ref_date}' AND nome_perimetro='Individual Local' AND segmento='ESTR' AND ambito='PM' AND entidade='00100')X INNER JOIN (SELECT instrmnt_id AS CHAVE_SIMUL, dt_intrnl_rtng AS CAMPO_SIMUL FROM BU_LOANTAPE_WORK.LT002_INSTRUMENT WHERE ref_date='${ref_date}' AND nome_perimetro='Individual Local' AND segmento='ESTR' AND ambito='PM' AND entidade='00100')Y ON X.CHAVE_IT=Y.CHAVE_SIMUL</v>
      </c>
      <c r="N71" s="33" t="str">
        <f t="shared" si="3"/>
        <v>UNION ALL SELECT 'INSTRUMENT' AS TABELA, 'COERÊNCIA' AS TIPOLOGIA_TESTE,'CD_LOAN_TAPES_BCE.LT002_INSTRUMENT' AS TABELA_LT,'BU_LOANTAPE_WORK.LT002_INSTRUMENT'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dt_intrnl_rtng AS CAMPO_IT FROM CD_LOAN_TAPES_BCE.LT002_INSTRUMENT WHERE ref_date='${ref_date}' AND nome_perimetro='Individual Local' AND segmento='ESTR' AND ambito='PM' AND entidade='00100')X INNER JOIN (SELECT instrmnt_id AS CHAVE_SIMUL, dt_intrnl_rtng AS CAMPO_SIMUL FROM BU_LOANTAPE_WORK.LT002_INSTRUMENT WHERE ref_date='${ref_date}' AND nome_perimetro='Individual Local' AND segmento='ESTR' AND ambito='PM' AND entidade='00100')Y ON X.CHAVE_IT=Y.CHAVE_SIMUL</v>
      </c>
      <c r="O71" s="35" t="s">
        <v>35</v>
      </c>
    </row>
    <row r="72" spans="1:15">
      <c r="A72" s="57" t="str">
        <f t="shared" si="0"/>
        <v>Instrumentdt_prfrmng_stts</v>
      </c>
      <c r="B72" s="32" t="s">
        <v>9</v>
      </c>
      <c r="C72" s="32" t="s">
        <v>79</v>
      </c>
      <c r="D72" s="32" t="s">
        <v>5</v>
      </c>
      <c r="E72" s="32" t="str">
        <f>+UPPER('0. Instruções'!$D$35&amp;"."&amp;VLOOKUP(B72,'0. Instruções'!$C$27:$D$32,2,FALSE))</f>
        <v>CD_LOAN_TAPES_BCE.LT002_INSTRUMENT</v>
      </c>
      <c r="F72" s="32" t="str">
        <f>+UPPER('0. Instruções'!$D$36&amp;"."&amp;VLOOKUP(B72,'0. Instruções'!$C$27:$E$32,3,FALSE))</f>
        <v>BU_LOANTAPE_WORK.LT002_INSTRUMENT</v>
      </c>
      <c r="H72" s="32"/>
      <c r="I72" s="32"/>
      <c r="J72" s="32" t="str">
        <f>IF(VLOOKUP(B72,'0. Instruções'!$C$27:$G$32,5,FALSE)=0,
"(SELECT "&amp;VLOOKUP(B72,'0. Instruções'!$C$27:$G$32,4,FALSE)&amp;" AS CHAVE_IT, "&amp;C72&amp;" AS CAMPO_IT FROM "&amp;E72&amp;" WHERE "&amp;'0. Instruções'!$D$43&amp;")X",
"(SELECT "&amp;VLOOKUP(B72,'0. Instruções'!$C$27:$G$32,4,FALSE)&amp;" AS CHAVE_IT1, "&amp;VLOOKUP(B72,'0. Instruções'!$C$27:$G$32,5,FALSE)&amp;" AS CHAVE_IT2, "&amp;C72&amp;" AS CAMPO_IT FROM "&amp;E72&amp;" WHERE "&amp;'0. Instruções'!$D$43&amp;")X")</f>
        <v>(SELECT instrmnt_id AS CHAVE_IT, dt_prfrmng_stts AS CAMPO_IT FROM CD_LOAN_TAPES_BCE.LT002_INSTRUMENT WHERE ref_date='${ref_date}' AND nome_perimetro='Individual Local' AND segmento='ESTR' AND ambito='PM' AND entidade='00100')X</v>
      </c>
      <c r="K72" s="32" t="str">
        <f>IF(VLOOKUP(B72,'0. Instruções'!$C$27:$G$32,5,FALSE)=0,
"(SELECT "&amp;VLOOKUP(B72,'0. Instruções'!$C$27:$G$32,4,FALSE)&amp;" AS CHAVE_SIMUL, "&amp;C72&amp;" AS CAMPO_SIMUL FROM "&amp;F72&amp;" WHERE "&amp;'0. Instruções'!$D$42&amp;")Y",
"(SELECT "&amp;VLOOKUP(B72,'0. Instruções'!$C$27:$G$32,4,FALSE)&amp;" AS CHAVE_SIMUL1, "&amp;VLOOKUP(B72,'0. Instruções'!$C$27:$G$32,5,FALSE)&amp;" AS CHAVE_SIMUL2, "&amp;C72&amp;" AS CAMPO_SIMUL FROM "&amp;F72&amp;" WHERE "&amp;'0. Instruções'!$D$42&amp;")Y")</f>
        <v>(SELECT instrmnt_id AS CHAVE_SIMUL, dt_prfrmng_stts AS CAMPO_SIMUL FROM BU_LOANTAPE_WORK.LT002_INSTRUMENT WHERE ref_date='${ref_date}' AND nome_perimetro='Individual Local' AND segmento='ESTR' AND ambito='PM' AND entidade='00100')Y</v>
      </c>
      <c r="L72" s="32" t="str">
        <f>IF(VLOOKUP(B72,'0. Instruções'!$C$27:$G$32,5,FALSE)=0,
"ON X.CHAVE_IT=Y.CHAVE_SIMUL",
"ON X.CHAVE_IT1=Y.CHAVE_SIMUL1 AND X.CHAVE_IT2=Y.CHAVE_SIMUL2")</f>
        <v>ON X.CHAVE_IT=Y.CHAVE_SIMUL</v>
      </c>
      <c r="M72" s="32" t="str">
        <f>+IF(D72="Coerência",+IF(LEFT(H72,5)="FLOAT","SELECT '"&amp;UPPER(B72)&amp;"' AS TABELA, '"&amp;UPPER(D72)&amp;"' AS TIPOLOGIA_TESTE,'"&amp;E72&amp;"' AS TABELA_LT,'"&amp;F72&amp;"' AS TABELA_SIMUL,'"&amp;C72&amp;"'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"&amp;J72&amp;" INNER JOIN "&amp;K72&amp;" "&amp;L72,"SELECT '"&amp;UPPER(B72)&amp;"' AS TABELA, '"&amp;UPPER(D72)&amp;"' AS TIPOLOGIA_TESTE,'"&amp;E72&amp;"' AS TABELA_LT,'"&amp;F72&amp;"' AS TABELA_SIMUL,'"&amp;C72&amp;"'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"&amp;J72&amp;" INNER JOIN "&amp;K72&amp;" "&amp;L72))</f>
        <v>SELECT 'INSTRUMENT' AS TABELA, 'COERÊNCIA' AS TIPOLOGIA_TESTE,'CD_LOAN_TAPES_BCE.LT002_INSTRUMENT' AS TABELA_LT,'BU_LOANTAPE_WORK.LT002_INSTRUMENT' AS TABELA_SIMUL,'dt_prfrmng_stts'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 AS CAMPO_IT FROM CD_LOAN_TAPES_BCE.LT002_INSTRUMENT WHERE ref_date='${ref_date}' AND nome_perimetro='Individual Local' AND segmento='ESTR' AND ambito='PM' AND entidade='00100')X INNER JOIN (SELECT instrmnt_id AS CHAVE_SIMUL, dt_prfrmng_stts AS CAMPO_SIMUL FROM BU_LOANTAPE_WORK.LT002_INSTRUMENT WHERE ref_date='${ref_date}' AND nome_perimetro='Individual Local' AND segmento='ESTR' AND ambito='PM' AND entidade='00100')Y ON X.CHAVE_IT=Y.CHAVE_SIMUL</v>
      </c>
      <c r="N72" s="33" t="str">
        <f t="shared" si="3"/>
        <v>UNION ALL SELECT 'INSTRUMENT' AS TABELA, 'COERÊNCIA' AS TIPOLOGIA_TESTE,'CD_LOAN_TAPES_BCE.LT002_INSTRUMENT' AS TABELA_LT,'BU_LOANTAPE_WORK.LT002_INSTRUMENT' AS TABELA_SIMUL,'dt_prfrmng_stts'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 AS CAMPO_IT FROM CD_LOAN_TAPES_BCE.LT002_INSTRUMENT WHERE ref_date='${ref_date}' AND nome_perimetro='Individual Local' AND segmento='ESTR' AND ambito='PM' AND entidade='00100')X INNER JOIN (SELECT instrmnt_id AS CHAVE_SIMUL, dt_prfrmng_stts AS CAMPO_SIMUL FROM BU_LOANTAPE_WORK.LT002_INSTRUMENT WHERE ref_date='${ref_date}' AND nome_perimetro='Individual Local' AND segmento='ESTR' AND ambito='PM' AND entidade='00100')Y ON X.CHAVE_IT=Y.CHAVE_SIMUL</v>
      </c>
      <c r="O72" s="35" t="s">
        <v>35</v>
      </c>
    </row>
    <row r="73" spans="1:15">
      <c r="A73" s="57" t="str">
        <f t="shared" ref="A73:A136" si="4">+B73&amp;C73</f>
        <v>Instrumentdt_prfrmng_stts_prvs</v>
      </c>
      <c r="B73" s="32" t="s">
        <v>9</v>
      </c>
      <c r="C73" s="32" t="s">
        <v>80</v>
      </c>
      <c r="D73" s="32" t="s">
        <v>5</v>
      </c>
      <c r="E73" s="32" t="str">
        <f>+UPPER('0. Instruções'!$D$35&amp;"."&amp;VLOOKUP(B73,'0. Instruções'!$C$27:$D$32,2,FALSE))</f>
        <v>CD_LOAN_TAPES_BCE.LT002_INSTRUMENT</v>
      </c>
      <c r="F73" s="32" t="str">
        <f>+UPPER('0. Instruções'!$D$36&amp;"."&amp;VLOOKUP(B73,'0. Instruções'!$C$27:$E$32,3,FALSE))</f>
        <v>BU_LOANTAPE_WORK.LT002_INSTRUMENT</v>
      </c>
      <c r="H73" s="32"/>
      <c r="I73" s="32"/>
      <c r="J73" s="32" t="str">
        <f>IF(VLOOKUP(B73,'0. Instruções'!$C$27:$G$32,5,FALSE)=0,
"(SELECT "&amp;VLOOKUP(B73,'0. Instruções'!$C$27:$G$32,4,FALSE)&amp;" AS CHAVE_IT, "&amp;C73&amp;" AS CAMPO_IT FROM "&amp;E73&amp;" WHERE "&amp;'0. Instruções'!$D$43&amp;")X",
"(SELECT "&amp;VLOOKUP(B73,'0. Instruções'!$C$27:$G$32,4,FALSE)&amp;" AS CHAVE_IT1, "&amp;VLOOKUP(B73,'0. Instruções'!$C$27:$G$32,5,FALSE)&amp;" AS CHAVE_IT2, "&amp;C73&amp;" AS CAMPO_IT FROM "&amp;E73&amp;" WHERE "&amp;'0. Instruções'!$D$43&amp;")X")</f>
        <v>(SELECT instrmnt_id AS CHAVE_IT, dt_prfrmng_stts_prvs AS CAMPO_IT FROM CD_LOAN_TAPES_BCE.LT002_INSTRUMENT WHERE ref_date='${ref_date}' AND nome_perimetro='Individual Local' AND segmento='ESTR' AND ambito='PM' AND entidade='00100')X</v>
      </c>
      <c r="K73" s="32" t="str">
        <f>IF(VLOOKUP(B73,'0. Instruções'!$C$27:$G$32,5,FALSE)=0,
"(SELECT "&amp;VLOOKUP(B73,'0. Instruções'!$C$27:$G$32,4,FALSE)&amp;" AS CHAVE_SIMUL, "&amp;C73&amp;" AS CAMPO_SIMUL FROM "&amp;F73&amp;" WHERE "&amp;'0. Instruções'!$D$42&amp;")Y",
"(SELECT "&amp;VLOOKUP(B73,'0. Instruções'!$C$27:$G$32,4,FALSE)&amp;" AS CHAVE_SIMUL1, "&amp;VLOOKUP(B73,'0. Instruções'!$C$27:$G$32,5,FALSE)&amp;" AS CHAVE_SIMUL2, "&amp;C73&amp;" AS CAMPO_SIMUL FROM "&amp;F73&amp;" WHERE "&amp;'0. Instruções'!$D$42&amp;")Y")</f>
        <v>(SELECT instrmnt_id AS CHAVE_SIMUL, dt_prfrmng_stts_prvs AS CAMPO_SIMUL FROM BU_LOANTAPE_WORK.LT002_INSTRUMENT WHERE ref_date='${ref_date}' AND nome_perimetro='Individual Local' AND segmento='ESTR' AND ambito='PM' AND entidade='00100')Y</v>
      </c>
      <c r="L73" s="32" t="str">
        <f>IF(VLOOKUP(B73,'0. Instruções'!$C$27:$G$32,5,FALSE)=0,
"ON X.CHAVE_IT=Y.CHAVE_SIMUL",
"ON X.CHAVE_IT1=Y.CHAVE_SIMUL1 AND X.CHAVE_IT2=Y.CHAVE_SIMUL2")</f>
        <v>ON X.CHAVE_IT=Y.CHAVE_SIMUL</v>
      </c>
      <c r="M73" s="32" t="str">
        <f>+IF(D73="Coerência",+IF(LEFT(H73,5)="FLOAT","SELECT '"&amp;UPPER(B73)&amp;"' AS TABELA, '"&amp;UPPER(D73)&amp;"' AS TIPOLOGIA_TESTE,'"&amp;E73&amp;"' AS TABELA_LT,'"&amp;F73&amp;"' AS TABELA_SIMUL,'"&amp;C73&amp;"'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"&amp;J73&amp;" INNER JOIN "&amp;K73&amp;" "&amp;L73,"SELECT '"&amp;UPPER(B73)&amp;"' AS TABELA, '"&amp;UPPER(D73)&amp;"' AS TIPOLOGIA_TESTE,'"&amp;E73&amp;"' AS TABELA_LT,'"&amp;F73&amp;"' AS TABELA_SIMUL,'"&amp;C73&amp;"'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"&amp;J73&amp;" INNER JOIN "&amp;K73&amp;" "&amp;L73))</f>
        <v>SELECT 'INSTRUMENT' AS TABELA, 'COERÊNCIA' AS TIPOLOGIA_TESTE,'CD_LOAN_TAPES_BCE.LT002_INSTRUMENT' AS TABELA_LT,'BU_LOANTAPE_WORK.LT002_INSTRUMENT' AS TABELA_SIMUL,'dt_prfrmng_stts_prvs'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dt_prfrmng_stts_prvs AS CAMPO_IT FROM CD_LOAN_TAPES_BCE.LT002_INSTRUMENT WHERE ref_date='${ref_date}' AND nome_perimetro='Individual Local' AND segmento='ESTR' AND ambito='PM' AND entidade='00100')X INNER JOIN (SELECT instrmnt_id AS CHAVE_SIMUL, dt_prfrmng_stts_prvs AS CAMPO_SIMUL FROM BU_LOANTAPE_WORK.LT002_INSTRUMENT WHERE ref_date='${ref_date}' AND nome_perimetro='Individual Local' AND segmento='ESTR' AND ambito='PM' AND entidade='00100')Y ON X.CHAVE_IT=Y.CHAVE_SIMUL</v>
      </c>
      <c r="N73" s="33" t="str">
        <f t="shared" si="3"/>
        <v>UNION ALL SELECT 'INSTRUMENT' AS TABELA, 'COERÊNCIA' AS TIPOLOGIA_TESTE,'CD_LOAN_TAPES_BCE.LT002_INSTRUMENT' AS TABELA_LT,'BU_LOANTAPE_WORK.LT002_INSTRUMENT' AS TABELA_SIMUL,'dt_prfrmng_stts_prvs'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dt_prfrmng_stts_prvs AS CAMPO_IT FROM CD_LOAN_TAPES_BCE.LT002_INSTRUMENT WHERE ref_date='${ref_date}' AND nome_perimetro='Individual Local' AND segmento='ESTR' AND ambito='PM' AND entidade='00100')X INNER JOIN (SELECT instrmnt_id AS CHAVE_SIMUL, dt_prfrmng_stts_prvs AS CAMPO_SIMUL FROM BU_LOANTAPE_WORK.LT002_INSTRUMENT WHERE ref_date='${ref_date}' AND nome_perimetro='Individual Local' AND segmento='ESTR' AND ambito='PM' AND entidade='00100')Y ON X.CHAVE_IT=Y.CHAVE_SIMUL</v>
      </c>
      <c r="O73" s="35" t="s">
        <v>35</v>
      </c>
    </row>
    <row r="74" spans="1:15">
      <c r="A74" s="57" t="str">
        <f t="shared" si="4"/>
        <v>Instrumentdt_strt_intrst_only</v>
      </c>
      <c r="B74" s="32" t="s">
        <v>9</v>
      </c>
      <c r="C74" s="32" t="s">
        <v>267</v>
      </c>
      <c r="D74" s="32" t="s">
        <v>5</v>
      </c>
      <c r="E74" s="32" t="str">
        <f>+UPPER('0. Instruções'!$D$35&amp;"."&amp;VLOOKUP(B74,'0. Instruções'!$C$27:$D$32,2,FALSE))</f>
        <v>CD_LOAN_TAPES_BCE.LT002_INSTRUMENT</v>
      </c>
      <c r="F74" s="32" t="str">
        <f>+UPPER('0. Instruções'!$D$36&amp;"."&amp;VLOOKUP(B74,'0. Instruções'!$C$27:$E$32,3,FALSE))</f>
        <v>BU_LOANTAPE_WORK.LT002_INSTRUMENT</v>
      </c>
      <c r="H74" s="32"/>
      <c r="I74" s="32"/>
      <c r="J74" s="32" t="str">
        <f>IF(VLOOKUP(B74,'0. Instruções'!$C$27:$G$32,5,FALSE)=0,
"(SELECT "&amp;VLOOKUP(B74,'0. Instruções'!$C$27:$G$32,4,FALSE)&amp;" AS CHAVE_IT, "&amp;C74&amp;" AS CAMPO_IT FROM "&amp;E74&amp;" WHERE "&amp;'0. Instruções'!$D$43&amp;")X",
"(SELECT "&amp;VLOOKUP(B74,'0. Instruções'!$C$27:$G$32,4,FALSE)&amp;" AS CHAVE_IT1, "&amp;VLOOKUP(B74,'0. Instruções'!$C$27:$G$32,5,FALSE)&amp;" AS CHAVE_IT2, "&amp;C74&amp;" AS CAMPO_IT FROM "&amp;E74&amp;" WHERE "&amp;'0. Instruções'!$D$43&amp;")X")</f>
        <v>(SELECT instrmnt_id AS CHAVE_IT, dt_strt_intrst_only AS CAMPO_IT FROM CD_LOAN_TAPES_BCE.LT002_INSTRUMENT WHERE ref_date='${ref_date}' AND nome_perimetro='Individual Local' AND segmento='ESTR' AND ambito='PM' AND entidade='00100')X</v>
      </c>
      <c r="K74" s="32" t="str">
        <f>IF(VLOOKUP(B74,'0. Instruções'!$C$27:$G$32,5,FALSE)=0,
"(SELECT "&amp;VLOOKUP(B74,'0. Instruções'!$C$27:$G$32,4,FALSE)&amp;" AS CHAVE_SIMUL, "&amp;C74&amp;" AS CAMPO_SIMUL FROM "&amp;F74&amp;" WHERE "&amp;'0. Instruções'!$D$42&amp;")Y",
"(SELECT "&amp;VLOOKUP(B74,'0. Instruções'!$C$27:$G$32,4,FALSE)&amp;" AS CHAVE_SIMUL1, "&amp;VLOOKUP(B74,'0. Instruções'!$C$27:$G$32,5,FALSE)&amp;" AS CHAVE_SIMUL2, "&amp;C74&amp;" AS CAMPO_SIMUL FROM "&amp;F74&amp;" WHERE "&amp;'0. Instruções'!$D$42&amp;")Y")</f>
        <v>(SELECT instrmnt_id AS CHAVE_SIMUL, dt_strt_intrst_only AS CAMPO_SIMUL FROM BU_LOANTAPE_WORK.LT002_INSTRUMENT WHERE ref_date='${ref_date}' AND nome_perimetro='Individual Local' AND segmento='ESTR' AND ambito='PM' AND entidade='00100')Y</v>
      </c>
      <c r="L74" s="32" t="str">
        <f>IF(VLOOKUP(B74,'0. Instruções'!$C$27:$G$32,5,FALSE)=0,
"ON X.CHAVE_IT=Y.CHAVE_SIMUL",
"ON X.CHAVE_IT1=Y.CHAVE_SIMUL1 AND X.CHAVE_IT2=Y.CHAVE_SIMUL2")</f>
        <v>ON X.CHAVE_IT=Y.CHAVE_SIMUL</v>
      </c>
      <c r="M74" s="32" t="str">
        <f>+IF(D74="Coerência",+IF(LEFT(H74,5)="FLOAT","SELECT '"&amp;UPPER(B74)&amp;"' AS TABELA, '"&amp;UPPER(D74)&amp;"' AS TIPOLOGIA_TESTE,'"&amp;E74&amp;"' AS TABELA_LT,'"&amp;F74&amp;"' AS TABELA_SIMUL,'"&amp;C74&amp;"'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"&amp;J74&amp;" INNER JOIN "&amp;K74&amp;" "&amp;L74,"SELECT '"&amp;UPPER(B74)&amp;"' AS TABELA, '"&amp;UPPER(D74)&amp;"' AS TIPOLOGIA_TESTE,'"&amp;E74&amp;"' AS TABELA_LT,'"&amp;F74&amp;"' AS TABELA_SIMUL,'"&amp;C74&amp;"'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"&amp;J74&amp;" INNER JOIN "&amp;K74&amp;" "&amp;L74))</f>
        <v>SELECT 'INSTRUMENT' AS TABELA, 'COERÊNCIA' AS TIPOLOGIA_TESTE,'CD_LOAN_TAPES_BCE.LT002_INSTRUMENT' AS TABELA_LT,'BU_LOANTAPE_WORK.LT002_INSTRUMENT' AS TABELA_SIMUL,'dt_strt_intrst_only'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dt_strt_intrst_only AS CAMPO_IT FROM CD_LOAN_TAPES_BCE.LT002_INSTRUMENT WHERE ref_date='${ref_date}' AND nome_perimetro='Individual Local' AND segmento='ESTR' AND ambito='PM' AND entidade='00100')X INNER JOIN (SELECT instrmnt_id AS CHAVE_SIMUL, dt_strt_intrst_only AS CAMPO_SIMUL FROM BU_LOANTAPE_WORK.LT002_INSTRUMENT WHERE ref_date='${ref_date}' AND nome_perimetro='Individual Local' AND segmento='ESTR' AND ambito='PM' AND entidade='00100')Y ON X.CHAVE_IT=Y.CHAVE_SIMUL</v>
      </c>
      <c r="N74" s="33" t="str">
        <f t="shared" si="3"/>
        <v>UNION ALL SELECT 'INSTRUMENT' AS TABELA, 'COERÊNCIA' AS TIPOLOGIA_TESTE,'CD_LOAN_TAPES_BCE.LT002_INSTRUMENT' AS TABELA_LT,'BU_LOANTAPE_WORK.LT002_INSTRUMENT' AS TABELA_SIMUL,'dt_strt_intrst_only'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dt_strt_intrst_only AS CAMPO_IT FROM CD_LOAN_TAPES_BCE.LT002_INSTRUMENT WHERE ref_date='${ref_date}' AND nome_perimetro='Individual Local' AND segmento='ESTR' AND ambito='PM' AND entidade='00100')X INNER JOIN (SELECT instrmnt_id AS CHAVE_SIMUL, dt_strt_intrst_only AS CAMPO_SIMUL FROM BU_LOANTAPE_WORK.LT002_INSTRUMENT WHERE ref_date='${ref_date}' AND nome_perimetro='Individual Local' AND segmento='ESTR' AND ambito='PM' AND entidade='00100')Y ON X.CHAVE_IT=Y.CHAVE_SIMUL</v>
      </c>
      <c r="O74" s="35" t="s">
        <v>35</v>
      </c>
    </row>
    <row r="75" spans="1:15">
      <c r="A75" s="57" t="str">
        <f t="shared" si="4"/>
        <v>Instrumentexpsr_in_scp</v>
      </c>
      <c r="B75" s="32" t="s">
        <v>9</v>
      </c>
      <c r="C75" s="32" t="s">
        <v>268</v>
      </c>
      <c r="D75" s="32" t="s">
        <v>5</v>
      </c>
      <c r="E75" s="32" t="str">
        <f>+UPPER('0. Instruções'!$D$35&amp;"."&amp;VLOOKUP(B75,'0. Instruções'!$C$27:$D$32,2,FALSE))</f>
        <v>CD_LOAN_TAPES_BCE.LT002_INSTRUMENT</v>
      </c>
      <c r="F75" s="32" t="str">
        <f>+UPPER('0. Instruções'!$D$36&amp;"."&amp;VLOOKUP(B75,'0. Instruções'!$C$27:$E$32,3,FALSE))</f>
        <v>BU_LOANTAPE_WORK.LT002_INSTRUMENT</v>
      </c>
      <c r="H75" s="32"/>
      <c r="I75" s="32"/>
      <c r="J75" s="32" t="str">
        <f>IF(VLOOKUP(B75,'0. Instruções'!$C$27:$G$32,5,FALSE)=0,
"(SELECT "&amp;VLOOKUP(B75,'0. Instruções'!$C$27:$G$32,4,FALSE)&amp;" AS CHAVE_IT, "&amp;C75&amp;" AS CAMPO_IT FROM "&amp;E75&amp;" WHERE "&amp;'0. Instruções'!$D$43&amp;")X",
"(SELECT "&amp;VLOOKUP(B75,'0. Instruções'!$C$27:$G$32,4,FALSE)&amp;" AS CHAVE_IT1, "&amp;VLOOKUP(B75,'0. Instruções'!$C$27:$G$32,5,FALSE)&amp;" AS CHAVE_IT2, "&amp;C75&amp;" AS CAMPO_IT FROM "&amp;E75&amp;" WHERE "&amp;'0. Instruções'!$D$43&amp;")X")</f>
        <v>(SELECT instrmnt_id AS CHAVE_IT, expsr_in_scp AS CAMPO_IT FROM CD_LOAN_TAPES_BCE.LT002_INSTRUMENT WHERE ref_date='${ref_date}' AND nome_perimetro='Individual Local' AND segmento='ESTR' AND ambito='PM' AND entidade='00100')X</v>
      </c>
      <c r="K75" s="32" t="str">
        <f>IF(VLOOKUP(B75,'0. Instruções'!$C$27:$G$32,5,FALSE)=0,
"(SELECT "&amp;VLOOKUP(B75,'0. Instruções'!$C$27:$G$32,4,FALSE)&amp;" AS CHAVE_SIMUL, "&amp;C75&amp;" AS CAMPO_SIMUL FROM "&amp;F75&amp;" WHERE "&amp;'0. Instruções'!$D$42&amp;")Y",
"(SELECT "&amp;VLOOKUP(B75,'0. Instruções'!$C$27:$G$32,4,FALSE)&amp;" AS CHAVE_SIMUL1, "&amp;VLOOKUP(B75,'0. Instruções'!$C$27:$G$32,5,FALSE)&amp;" AS CHAVE_SIMUL2, "&amp;C75&amp;" AS CAMPO_SIMUL FROM "&amp;F75&amp;" WHERE "&amp;'0. Instruções'!$D$42&amp;")Y")</f>
        <v>(SELECT instrmnt_id AS CHAVE_SIMUL, expsr_in_scp AS CAMPO_SIMUL FROM BU_LOANTAPE_WORK.LT002_INSTRUMENT WHERE ref_date='${ref_date}' AND nome_perimetro='Individual Local' AND segmento='ESTR' AND ambito='PM' AND entidade='00100')Y</v>
      </c>
      <c r="L75" s="32" t="str">
        <f>IF(VLOOKUP(B75,'0. Instruções'!$C$27:$G$32,5,FALSE)=0,
"ON X.CHAVE_IT=Y.CHAVE_SIMUL",
"ON X.CHAVE_IT1=Y.CHAVE_SIMUL1 AND X.CHAVE_IT2=Y.CHAVE_SIMUL2")</f>
        <v>ON X.CHAVE_IT=Y.CHAVE_SIMUL</v>
      </c>
      <c r="M75" s="32" t="str">
        <f>+IF(D75="Coerência",+IF(LEFT(H75,5)="FLOAT","SELECT '"&amp;UPPER(B75)&amp;"' AS TABELA, '"&amp;UPPER(D75)&amp;"' AS TIPOLOGIA_TESTE,'"&amp;E75&amp;"' AS TABELA_LT,'"&amp;F75&amp;"' AS TABELA_SIMUL,'"&amp;C75&amp;"'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"&amp;J75&amp;" INNER JOIN "&amp;K75&amp;" "&amp;L75,"SELECT '"&amp;UPPER(B75)&amp;"' AS TABELA, '"&amp;UPPER(D75)&amp;"' AS TIPOLOGIA_TESTE,'"&amp;E75&amp;"' AS TABELA_LT,'"&amp;F75&amp;"' AS TABELA_SIMUL,'"&amp;C75&amp;"'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"&amp;J75&amp;" INNER JOIN "&amp;K75&amp;" "&amp;L75))</f>
        <v>SELECT 'INSTRUMENT' AS TABELA, 'COERÊNCIA' AS TIPOLOGIA_TESTE,'CD_LOAN_TAPES_BCE.LT002_INSTRUMENT' AS TABELA_LT,'BU_LOANTAPE_WORK.LT002_INSTRUMENT' AS TABELA_SIMUL,'expsr_in_scp'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expsr_in_scp AS CAMPO_IT FROM CD_LOAN_TAPES_BCE.LT002_INSTRUMENT WHERE ref_date='${ref_date}' AND nome_perimetro='Individual Local' AND segmento='ESTR' AND ambito='PM' AND entidade='00100')X INNER JOIN (SELECT instrmnt_id AS CHAVE_SIMUL, expsr_in_scp AS CAMPO_SIMUL FROM BU_LOANTAPE_WORK.LT002_INSTRUMENT WHERE ref_date='${ref_date}' AND nome_perimetro='Individual Local' AND segmento='ESTR' AND ambito='PM' AND entidade='00100')Y ON X.CHAVE_IT=Y.CHAVE_SIMUL</v>
      </c>
      <c r="N75" s="33" t="str">
        <f t="shared" si="3"/>
        <v>UNION ALL SELECT 'INSTRUMENT' AS TABELA, 'COERÊNCIA' AS TIPOLOGIA_TESTE,'CD_LOAN_TAPES_BCE.LT002_INSTRUMENT' AS TABELA_LT,'BU_LOANTAPE_WORK.LT002_INSTRUMENT' AS TABELA_SIMUL,'expsr_in_scp'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expsr_in_scp AS CAMPO_IT FROM CD_LOAN_TAPES_BCE.LT002_INSTRUMENT WHERE ref_date='${ref_date}' AND nome_perimetro='Individual Local' AND segmento='ESTR' AND ambito='PM' AND entidade='00100')X INNER JOIN (SELECT instrmnt_id AS CHAVE_SIMUL, expsr_in_scp AS CAMPO_SIMUL FROM BU_LOANTAPE_WORK.LT002_INSTRUMENT WHERE ref_date='${ref_date}' AND nome_perimetro='Individual Local' AND segmento='ESTR' AND ambito='PM' AND entidade='00100')Y ON X.CHAVE_IT=Y.CHAVE_SIMUL</v>
      </c>
      <c r="O75" s="35" t="s">
        <v>35</v>
      </c>
    </row>
    <row r="76" spans="1:15">
      <c r="A76" s="57" t="str">
        <f t="shared" si="4"/>
        <v>Instrumentfld_syndctn</v>
      </c>
      <c r="B76" s="32" t="s">
        <v>9</v>
      </c>
      <c r="C76" s="32" t="s">
        <v>269</v>
      </c>
      <c r="D76" s="32" t="s">
        <v>5</v>
      </c>
      <c r="E76" s="32" t="str">
        <f>+UPPER('0. Instruções'!$D$35&amp;"."&amp;VLOOKUP(B76,'0. Instruções'!$C$27:$D$32,2,FALSE))</f>
        <v>CD_LOAN_TAPES_BCE.LT002_INSTRUMENT</v>
      </c>
      <c r="F76" s="32" t="str">
        <f>+UPPER('0. Instruções'!$D$36&amp;"."&amp;VLOOKUP(B76,'0. Instruções'!$C$27:$E$32,3,FALSE))</f>
        <v>BU_LOANTAPE_WORK.LT002_INSTRUMENT</v>
      </c>
      <c r="H76" s="32"/>
      <c r="I76" s="32"/>
      <c r="J76" s="32" t="str">
        <f>IF(VLOOKUP(B76,'0. Instruções'!$C$27:$G$32,5,FALSE)=0,
"(SELECT "&amp;VLOOKUP(B76,'0. Instruções'!$C$27:$G$32,4,FALSE)&amp;" AS CHAVE_IT, "&amp;C76&amp;" AS CAMPO_IT FROM "&amp;E76&amp;" WHERE "&amp;'0. Instruções'!$D$43&amp;")X",
"(SELECT "&amp;VLOOKUP(B76,'0. Instruções'!$C$27:$G$32,4,FALSE)&amp;" AS CHAVE_IT1, "&amp;VLOOKUP(B76,'0. Instruções'!$C$27:$G$32,5,FALSE)&amp;" AS CHAVE_IT2, "&amp;C76&amp;" AS CAMPO_IT FROM "&amp;E76&amp;" WHERE "&amp;'0. Instruções'!$D$43&amp;")X")</f>
        <v>(SELECT instrmnt_id AS CHAVE_IT, fld_syndctn AS CAMPO_IT FROM CD_LOAN_TAPES_BCE.LT002_INSTRUMENT WHERE ref_date='${ref_date}' AND nome_perimetro='Individual Local' AND segmento='ESTR' AND ambito='PM' AND entidade='00100')X</v>
      </c>
      <c r="K76" s="32" t="str">
        <f>IF(VLOOKUP(B76,'0. Instruções'!$C$27:$G$32,5,FALSE)=0,
"(SELECT "&amp;VLOOKUP(B76,'0. Instruções'!$C$27:$G$32,4,FALSE)&amp;" AS CHAVE_SIMUL, "&amp;C76&amp;" AS CAMPO_SIMUL FROM "&amp;F76&amp;" WHERE "&amp;'0. Instruções'!$D$42&amp;")Y",
"(SELECT "&amp;VLOOKUP(B76,'0. Instruções'!$C$27:$G$32,4,FALSE)&amp;" AS CHAVE_SIMUL1, "&amp;VLOOKUP(B76,'0. Instruções'!$C$27:$G$32,5,FALSE)&amp;" AS CHAVE_SIMUL2, "&amp;C76&amp;" AS CAMPO_SIMUL FROM "&amp;F76&amp;" WHERE "&amp;'0. Instruções'!$D$42&amp;")Y")</f>
        <v>(SELECT instrmnt_id AS CHAVE_SIMUL, fld_syndctn AS CAMPO_SIMUL FROM BU_LOANTAPE_WORK.LT002_INSTRUMENT WHERE ref_date='${ref_date}' AND nome_perimetro='Individual Local' AND segmento='ESTR' AND ambito='PM' AND entidade='00100')Y</v>
      </c>
      <c r="L76" s="32" t="str">
        <f>IF(VLOOKUP(B76,'0. Instruções'!$C$27:$G$32,5,FALSE)=0,
"ON X.CHAVE_IT=Y.CHAVE_SIMUL",
"ON X.CHAVE_IT1=Y.CHAVE_SIMUL1 AND X.CHAVE_IT2=Y.CHAVE_SIMUL2")</f>
        <v>ON X.CHAVE_IT=Y.CHAVE_SIMUL</v>
      </c>
      <c r="M76" s="32" t="str">
        <f>+IF(D76="Coerência",+IF(LEFT(H76,5)="FLOAT","SELECT '"&amp;UPPER(B76)&amp;"' AS TABELA, '"&amp;UPPER(D76)&amp;"' AS TIPOLOGIA_TESTE,'"&amp;E76&amp;"' AS TABELA_LT,'"&amp;F76&amp;"' AS TABELA_SIMUL,'"&amp;C76&amp;"'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"&amp;J76&amp;" INNER JOIN "&amp;K76&amp;" "&amp;L76,"SELECT '"&amp;UPPER(B76)&amp;"' AS TABELA, '"&amp;UPPER(D76)&amp;"' AS TIPOLOGIA_TESTE,'"&amp;E76&amp;"' AS TABELA_LT,'"&amp;F76&amp;"' AS TABELA_SIMUL,'"&amp;C76&amp;"'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"&amp;J76&amp;" INNER JOIN "&amp;K76&amp;" "&amp;L76))</f>
        <v>SELECT 'INSTRUMENT' AS TABELA, 'COERÊNCIA' AS TIPOLOGIA_TESTE,'CD_LOAN_TAPES_BCE.LT002_INSTRUMENT' AS TABELA_LT,'BU_LOANTAPE_WORK.LT002_INSTRUMENT' AS TABELA_SIMUL,'fld_syndctn'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fld_syndctn AS CAMPO_IT FROM CD_LOAN_TAPES_BCE.LT002_INSTRUMENT WHERE ref_date='${ref_date}' AND nome_perimetro='Individual Local' AND segmento='ESTR' AND ambito='PM' AND entidade='00100')X INNER JOIN (SELECT instrmnt_id AS CHAVE_SIMUL, fld_syndctn AS CAMPO_SIMUL FROM BU_LOANTAPE_WORK.LT002_INSTRUMENT WHERE ref_date='${ref_date}' AND nome_perimetro='Individual Local' AND segmento='ESTR' AND ambito='PM' AND entidade='00100')Y ON X.CHAVE_IT=Y.CHAVE_SIMUL</v>
      </c>
      <c r="N76" s="33" t="str">
        <f t="shared" si="3"/>
        <v>UNION ALL SELECT 'INSTRUMENT' AS TABELA, 'COERÊNCIA' AS TIPOLOGIA_TESTE,'CD_LOAN_TAPES_BCE.LT002_INSTRUMENT' AS TABELA_LT,'BU_LOANTAPE_WORK.LT002_INSTRUMENT' AS TABELA_SIMUL,'fld_syndctn'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fld_syndctn AS CAMPO_IT FROM CD_LOAN_TAPES_BCE.LT002_INSTRUMENT WHERE ref_date='${ref_date}' AND nome_perimetro='Individual Local' AND segmento='ESTR' AND ambito='PM' AND entidade='00100')X INNER JOIN (SELECT instrmnt_id AS CHAVE_SIMUL, fld_syndctn AS CAMPO_SIMUL FROM BU_LOANTAPE_WORK.LT002_INSTRUMENT WHERE ref_date='${ref_date}' AND nome_perimetro='Individual Local' AND segmento='ESTR' AND ambito='PM' AND entidade='00100')Y ON X.CHAVE_IT=Y.CHAVE_SIMUL</v>
      </c>
      <c r="O76" s="35" t="s">
        <v>35</v>
      </c>
    </row>
    <row r="77" spans="1:15">
      <c r="A77" s="57" t="str">
        <f t="shared" si="4"/>
        <v>Instrumentflg_lbo</v>
      </c>
      <c r="B77" s="32" t="s">
        <v>9</v>
      </c>
      <c r="C77" s="32" t="s">
        <v>270</v>
      </c>
      <c r="D77" s="32" t="s">
        <v>5</v>
      </c>
      <c r="E77" s="32" t="str">
        <f>+UPPER('0. Instruções'!$D$35&amp;"."&amp;VLOOKUP(B77,'0. Instruções'!$C$27:$D$32,2,FALSE))</f>
        <v>CD_LOAN_TAPES_BCE.LT002_INSTRUMENT</v>
      </c>
      <c r="F77" s="32" t="str">
        <f>+UPPER('0. Instruções'!$D$36&amp;"."&amp;VLOOKUP(B77,'0. Instruções'!$C$27:$E$32,3,FALSE))</f>
        <v>BU_LOANTAPE_WORK.LT002_INSTRUMENT</v>
      </c>
      <c r="H77" s="32"/>
      <c r="I77" s="32"/>
      <c r="J77" s="32" t="str">
        <f>IF(VLOOKUP(B77,'0. Instruções'!$C$27:$G$32,5,FALSE)=0,
"(SELECT "&amp;VLOOKUP(B77,'0. Instruções'!$C$27:$G$32,4,FALSE)&amp;" AS CHAVE_IT, "&amp;C77&amp;" AS CAMPO_IT FROM "&amp;E77&amp;" WHERE "&amp;'0. Instruções'!$D$43&amp;")X",
"(SELECT "&amp;VLOOKUP(B77,'0. Instruções'!$C$27:$G$32,4,FALSE)&amp;" AS CHAVE_IT1, "&amp;VLOOKUP(B77,'0. Instruções'!$C$27:$G$32,5,FALSE)&amp;" AS CHAVE_IT2, "&amp;C77&amp;" AS CAMPO_IT FROM "&amp;E77&amp;" WHERE "&amp;'0. Instruções'!$D$43&amp;")X")</f>
        <v>(SELECT instrmnt_id AS CHAVE_IT, flg_lbo AS CAMPO_IT FROM CD_LOAN_TAPES_BCE.LT002_INSTRUMENT WHERE ref_date='${ref_date}' AND nome_perimetro='Individual Local' AND segmento='ESTR' AND ambito='PM' AND entidade='00100')X</v>
      </c>
      <c r="K77" s="32" t="str">
        <f>IF(VLOOKUP(B77,'0. Instruções'!$C$27:$G$32,5,FALSE)=0,
"(SELECT "&amp;VLOOKUP(B77,'0. Instruções'!$C$27:$G$32,4,FALSE)&amp;" AS CHAVE_SIMUL, "&amp;C77&amp;" AS CAMPO_SIMUL FROM "&amp;F77&amp;" WHERE "&amp;'0. Instruções'!$D$42&amp;")Y",
"(SELECT "&amp;VLOOKUP(B77,'0. Instruções'!$C$27:$G$32,4,FALSE)&amp;" AS CHAVE_SIMUL1, "&amp;VLOOKUP(B77,'0. Instruções'!$C$27:$G$32,5,FALSE)&amp;" AS CHAVE_SIMUL2, "&amp;C77&amp;" AS CAMPO_SIMUL FROM "&amp;F77&amp;" WHERE "&amp;'0. Instruções'!$D$42&amp;")Y")</f>
        <v>(SELECT instrmnt_id AS CHAVE_SIMUL, flg_lbo AS CAMPO_SIMUL FROM BU_LOANTAPE_WORK.LT002_INSTRUMENT WHERE ref_date='${ref_date}' AND nome_perimetro='Individual Local' AND segmento='ESTR' AND ambito='PM' AND entidade='00100')Y</v>
      </c>
      <c r="L77" s="32" t="str">
        <f>IF(VLOOKUP(B77,'0. Instruções'!$C$27:$G$32,5,FALSE)=0,
"ON X.CHAVE_IT=Y.CHAVE_SIMUL",
"ON X.CHAVE_IT1=Y.CHAVE_SIMUL1 AND X.CHAVE_IT2=Y.CHAVE_SIMUL2")</f>
        <v>ON X.CHAVE_IT=Y.CHAVE_SIMUL</v>
      </c>
      <c r="M77" s="32" t="str">
        <f>+IF(D77="Coerência",+IF(LEFT(H77,5)="FLOAT","SELECT '"&amp;UPPER(B77)&amp;"' AS TABELA, '"&amp;UPPER(D77)&amp;"' AS TIPOLOGIA_TESTE,'"&amp;E77&amp;"' AS TABELA_LT,'"&amp;F77&amp;"' AS TABELA_SIMUL,'"&amp;C77&amp;"'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"&amp;J77&amp;" INNER JOIN "&amp;K77&amp;" "&amp;L77,"SELECT '"&amp;UPPER(B77)&amp;"' AS TABELA, '"&amp;UPPER(D77)&amp;"' AS TIPOLOGIA_TESTE,'"&amp;E77&amp;"' AS TABELA_LT,'"&amp;F77&amp;"' AS TABELA_SIMUL,'"&amp;C77&amp;"'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"&amp;J77&amp;" INNER JOIN "&amp;K77&amp;" "&amp;L77))</f>
        <v>SELECT 'INSTRUMENT' AS TABELA, 'COERÊNCIA' AS TIPOLOGIA_TESTE,'CD_LOAN_TAPES_BCE.LT002_INSTRUMENT' AS TABELA_LT,'BU_LOANTAPE_WORK.LT002_INSTRUMENT' AS TABELA_SIMUL,'flg_lbo'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flg_lbo AS CAMPO_IT FROM CD_LOAN_TAPES_BCE.LT002_INSTRUMENT WHERE ref_date='${ref_date}' AND nome_perimetro='Individual Local' AND segmento='ESTR' AND ambito='PM' AND entidade='00100')X INNER JOIN (SELECT instrmnt_id AS CHAVE_SIMUL, flg_lbo AS CAMPO_SIMUL FROM BU_LOANTAPE_WORK.LT002_INSTRUMENT WHERE ref_date='${ref_date}' AND nome_perimetro='Individual Local' AND segmento='ESTR' AND ambito='PM' AND entidade='00100')Y ON X.CHAVE_IT=Y.CHAVE_SIMUL</v>
      </c>
      <c r="N77" s="33" t="str">
        <f t="shared" si="3"/>
        <v>UNION ALL SELECT 'INSTRUMENT' AS TABELA, 'COERÊNCIA' AS TIPOLOGIA_TESTE,'CD_LOAN_TAPES_BCE.LT002_INSTRUMENT' AS TABELA_LT,'BU_LOANTAPE_WORK.LT002_INSTRUMENT' AS TABELA_SIMUL,'flg_lbo'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flg_lbo AS CAMPO_IT FROM CD_LOAN_TAPES_BCE.LT002_INSTRUMENT WHERE ref_date='${ref_date}' AND nome_perimetro='Individual Local' AND segmento='ESTR' AND ambito='PM' AND entidade='00100')X INNER JOIN (SELECT instrmnt_id AS CHAVE_SIMUL, flg_lbo AS CAMPO_SIMUL FROM BU_LOANTAPE_WORK.LT002_INSTRUMENT WHERE ref_date='${ref_date}' AND nome_perimetro='Individual Local' AND segmento='ESTR' AND ambito='PM' AND entidade='00100')Y ON X.CHAVE_IT=Y.CHAVE_SIMUL</v>
      </c>
      <c r="O77" s="35" t="s">
        <v>35</v>
      </c>
    </row>
    <row r="78" spans="1:15">
      <c r="A78" s="57" t="str">
        <f t="shared" si="4"/>
        <v>Instrumentfrbrnc_stts_instrmnt</v>
      </c>
      <c r="B78" s="32" t="s">
        <v>9</v>
      </c>
      <c r="C78" s="32" t="s">
        <v>81</v>
      </c>
      <c r="D78" s="32" t="s">
        <v>5</v>
      </c>
      <c r="E78" s="32" t="str">
        <f>+UPPER('0. Instruções'!$D$35&amp;"."&amp;VLOOKUP(B78,'0. Instruções'!$C$27:$D$32,2,FALSE))</f>
        <v>CD_LOAN_TAPES_BCE.LT002_INSTRUMENT</v>
      </c>
      <c r="F78" s="32" t="str">
        <f>+UPPER('0. Instruções'!$D$36&amp;"."&amp;VLOOKUP(B78,'0. Instruções'!$C$27:$E$32,3,FALSE))</f>
        <v>BU_LOANTAPE_WORK.LT002_INSTRUMENT</v>
      </c>
      <c r="H78" s="32"/>
      <c r="I78" s="32"/>
      <c r="J78" s="32" t="str">
        <f>IF(VLOOKUP(B78,'0. Instruções'!$C$27:$G$32,5,FALSE)=0,
"(SELECT "&amp;VLOOKUP(B78,'0. Instruções'!$C$27:$G$32,4,FALSE)&amp;" AS CHAVE_IT, "&amp;C78&amp;" AS CAMPO_IT FROM "&amp;E78&amp;" WHERE "&amp;'0. Instruções'!$D$43&amp;")X",
"(SELECT "&amp;VLOOKUP(B78,'0. Instruções'!$C$27:$G$32,4,FALSE)&amp;" AS CHAVE_IT1, "&amp;VLOOKUP(B78,'0. Instruções'!$C$27:$G$32,5,FALSE)&amp;" AS CHAVE_IT2, "&amp;C78&amp;" AS CAMPO_IT FROM "&amp;E78&amp;" WHERE "&amp;'0. Instruções'!$D$43&amp;")X")</f>
        <v>(SELECT instrmnt_id AS CHAVE_IT, frbrnc_stts_instrmnt AS CAMPO_IT FROM CD_LOAN_TAPES_BCE.LT002_INSTRUMENT WHERE ref_date='${ref_date}' AND nome_perimetro='Individual Local' AND segmento='ESTR' AND ambito='PM' AND entidade='00100')X</v>
      </c>
      <c r="K78" s="32" t="str">
        <f>IF(VLOOKUP(B78,'0. Instruções'!$C$27:$G$32,5,FALSE)=0,
"(SELECT "&amp;VLOOKUP(B78,'0. Instruções'!$C$27:$G$32,4,FALSE)&amp;" AS CHAVE_SIMUL, "&amp;C78&amp;" AS CAMPO_SIMUL FROM "&amp;F78&amp;" WHERE "&amp;'0. Instruções'!$D$42&amp;")Y",
"(SELECT "&amp;VLOOKUP(B78,'0. Instruções'!$C$27:$G$32,4,FALSE)&amp;" AS CHAVE_SIMUL1, "&amp;VLOOKUP(B78,'0. Instruções'!$C$27:$G$32,5,FALSE)&amp;" AS CHAVE_SIMUL2, "&amp;C78&amp;" AS CAMPO_SIMUL FROM "&amp;F78&amp;" WHERE "&amp;'0. Instruções'!$D$42&amp;")Y")</f>
        <v>(SELECT instrmnt_id AS CHAVE_SIMUL, frbrnc_stts_instrmnt AS CAMPO_SIMUL FROM BU_LOANTAPE_WORK.LT002_INSTRUMENT WHERE ref_date='${ref_date}' AND nome_perimetro='Individual Local' AND segmento='ESTR' AND ambito='PM' AND entidade='00100')Y</v>
      </c>
      <c r="L78" s="32" t="str">
        <f>IF(VLOOKUP(B78,'0. Instruções'!$C$27:$G$32,5,FALSE)=0,
"ON X.CHAVE_IT=Y.CHAVE_SIMUL",
"ON X.CHAVE_IT1=Y.CHAVE_SIMUL1 AND X.CHAVE_IT2=Y.CHAVE_SIMUL2")</f>
        <v>ON X.CHAVE_IT=Y.CHAVE_SIMUL</v>
      </c>
      <c r="M78" s="32" t="str">
        <f>+IF(D78="Coerência",+IF(LEFT(H78,5)="FLOAT","SELECT '"&amp;UPPER(B78)&amp;"' AS TABELA, '"&amp;UPPER(D78)&amp;"' AS TIPOLOGIA_TESTE,'"&amp;E78&amp;"' AS TABELA_LT,'"&amp;F78&amp;"' AS TABELA_SIMUL,'"&amp;C78&amp;"'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"&amp;J78&amp;" INNER JOIN "&amp;K78&amp;" "&amp;L78,"SELECT '"&amp;UPPER(B78)&amp;"' AS TABELA, '"&amp;UPPER(D78)&amp;"' AS TIPOLOGIA_TESTE,'"&amp;E78&amp;"' AS TABELA_LT,'"&amp;F78&amp;"' AS TABELA_SIMUL,'"&amp;C78&amp;"'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"&amp;J78&amp;" INNER JOIN "&amp;K78&amp;" "&amp;L78))</f>
        <v>SELECT 'INSTRUMENT' AS TABELA, 'COERÊNCIA' AS TIPOLOGIA_TESTE,'CD_LOAN_TAPES_BCE.LT002_INSTRUMENT' AS TABELA_LT,'BU_LOANTAPE_WORK.LT002_INSTRUMENT' AS TABELA_SIMUL,'frbrnc_stts_instrmnt'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frbrnc_stts_instrmnt AS CAMPO_IT FROM CD_LOAN_TAPES_BCE.LT002_INSTRUMENT WHERE ref_date='${ref_date}' AND nome_perimetro='Individual Local' AND segmento='ESTR' AND ambito='PM' AND entidade='00100')X INNER JOIN (SELECT instrmnt_id AS CHAVE_SIMUL, frbrnc_stts_instrmnt AS CAMPO_SIMUL FROM BU_LOANTAPE_WORK.LT002_INSTRUMENT WHERE ref_date='${ref_date}' AND nome_perimetro='Individual Local' AND segmento='ESTR' AND ambito='PM' AND entidade='00100')Y ON X.CHAVE_IT=Y.CHAVE_SIMUL</v>
      </c>
      <c r="N78" s="33" t="str">
        <f t="shared" si="3"/>
        <v>UNION ALL SELECT 'INSTRUMENT' AS TABELA, 'COERÊNCIA' AS TIPOLOGIA_TESTE,'CD_LOAN_TAPES_BCE.LT002_INSTRUMENT' AS TABELA_LT,'BU_LOANTAPE_WORK.LT002_INSTRUMENT' AS TABELA_SIMUL,'frbrnc_stts_instrmnt'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frbrnc_stts_instrmnt AS CAMPO_IT FROM CD_LOAN_TAPES_BCE.LT002_INSTRUMENT WHERE ref_date='${ref_date}' AND nome_perimetro='Individual Local' AND segmento='ESTR' AND ambito='PM' AND entidade='00100')X INNER JOIN (SELECT instrmnt_id AS CHAVE_SIMUL, frbrnc_stts_instrmnt AS CAMPO_SIMUL FROM BU_LOANTAPE_WORK.LT002_INSTRUMENT WHERE ref_date='${ref_date}' AND nome_perimetro='Individual Local' AND segmento='ESTR' AND ambito='PM' AND entidade='00100')Y ON X.CHAVE_IT=Y.CHAVE_SIMUL</v>
      </c>
      <c r="O78" s="35" t="s">
        <v>35</v>
      </c>
    </row>
    <row r="79" spans="1:15">
      <c r="A79" s="57" t="str">
        <f t="shared" si="4"/>
        <v>Instrumentimprmnt_stts</v>
      </c>
      <c r="B79" s="32" t="s">
        <v>9</v>
      </c>
      <c r="C79" s="32" t="s">
        <v>136</v>
      </c>
      <c r="D79" s="32" t="s">
        <v>5</v>
      </c>
      <c r="E79" s="32" t="str">
        <f>+UPPER('0. Instruções'!$D$35&amp;"."&amp;VLOOKUP(B79,'0. Instruções'!$C$27:$D$32,2,FALSE))</f>
        <v>CD_LOAN_TAPES_BCE.LT002_INSTRUMENT</v>
      </c>
      <c r="F79" s="32" t="str">
        <f>+UPPER('0. Instruções'!$D$36&amp;"."&amp;VLOOKUP(B79,'0. Instruções'!$C$27:$E$32,3,FALSE))</f>
        <v>BU_LOANTAPE_WORK.LT002_INSTRUMENT</v>
      </c>
      <c r="H79" s="32"/>
      <c r="I79" s="32"/>
      <c r="J79" s="32" t="str">
        <f>IF(VLOOKUP(B79,'0. Instruções'!$C$27:$G$32,5,FALSE)=0,
"(SELECT "&amp;VLOOKUP(B79,'0. Instruções'!$C$27:$G$32,4,FALSE)&amp;" AS CHAVE_IT, "&amp;C79&amp;" AS CAMPO_IT FROM "&amp;E79&amp;" WHERE "&amp;'0. Instruções'!$D$43&amp;")X",
"(SELECT "&amp;VLOOKUP(B79,'0. Instruções'!$C$27:$G$32,4,FALSE)&amp;" AS CHAVE_IT1, "&amp;VLOOKUP(B79,'0. Instruções'!$C$27:$G$32,5,FALSE)&amp;" AS CHAVE_IT2, "&amp;C79&amp;" AS CAMPO_IT FROM "&amp;E79&amp;" WHERE "&amp;'0. Instruções'!$D$43&amp;")X")</f>
        <v>(SELECT instrmnt_id AS CHAVE_IT, imprmnt_stts AS CAMPO_IT FROM CD_LOAN_TAPES_BCE.LT002_INSTRUMENT WHERE ref_date='${ref_date}' AND nome_perimetro='Individual Local' AND segmento='ESTR' AND ambito='PM' AND entidade='00100')X</v>
      </c>
      <c r="K79" s="32" t="str">
        <f>IF(VLOOKUP(B79,'0. Instruções'!$C$27:$G$32,5,FALSE)=0,
"(SELECT "&amp;VLOOKUP(B79,'0. Instruções'!$C$27:$G$32,4,FALSE)&amp;" AS CHAVE_SIMUL, "&amp;C79&amp;" AS CAMPO_SIMUL FROM "&amp;F79&amp;" WHERE "&amp;'0. Instruções'!$D$42&amp;")Y",
"(SELECT "&amp;VLOOKUP(B79,'0. Instruções'!$C$27:$G$32,4,FALSE)&amp;" AS CHAVE_SIMUL1, "&amp;VLOOKUP(B79,'0. Instruções'!$C$27:$G$32,5,FALSE)&amp;" AS CHAVE_SIMUL2, "&amp;C79&amp;" AS CAMPO_SIMUL FROM "&amp;F79&amp;" WHERE "&amp;'0. Instruções'!$D$42&amp;")Y")</f>
        <v>(SELECT instrmnt_id AS CHAVE_SIMUL, imprmnt_stts AS CAMPO_SIMUL FROM BU_LOANTAPE_WORK.LT002_INSTRUMENT WHERE ref_date='${ref_date}' AND nome_perimetro='Individual Local' AND segmento='ESTR' AND ambito='PM' AND entidade='00100')Y</v>
      </c>
      <c r="L79" s="32" t="str">
        <f>IF(VLOOKUP(B79,'0. Instruções'!$C$27:$G$32,5,FALSE)=0,
"ON X.CHAVE_IT=Y.CHAVE_SIMUL",
"ON X.CHAVE_IT1=Y.CHAVE_SIMUL1 AND X.CHAVE_IT2=Y.CHAVE_SIMUL2")</f>
        <v>ON X.CHAVE_IT=Y.CHAVE_SIMUL</v>
      </c>
      <c r="M79" s="32" t="str">
        <f>+IF(D79="Coerência",+IF(LEFT(H79,5)="FLOAT","SELECT '"&amp;UPPER(B79)&amp;"' AS TABELA, '"&amp;UPPER(D79)&amp;"' AS TIPOLOGIA_TESTE,'"&amp;E79&amp;"' AS TABELA_LT,'"&amp;F79&amp;"' AS TABELA_SIMUL,'"&amp;C79&amp;"'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"&amp;J79&amp;" INNER JOIN "&amp;K79&amp;" "&amp;L79,"SELECT '"&amp;UPPER(B79)&amp;"' AS TABELA, '"&amp;UPPER(D79)&amp;"' AS TIPOLOGIA_TESTE,'"&amp;E79&amp;"' AS TABELA_LT,'"&amp;F79&amp;"' AS TABELA_SIMUL,'"&amp;C79&amp;"'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"&amp;J79&amp;" INNER JOIN "&amp;K79&amp;" "&amp;L79))</f>
        <v>SELECT 'INSTRUMENT' AS TABELA, 'COERÊNCIA' AS TIPOLOGIA_TESTE,'CD_LOAN_TAPES_BCE.LT002_INSTRUMENT' AS TABELA_LT,'BU_LOANTAPE_WORK.LT002_INSTRUMENT' AS TABELA_SIMUL,'imprmnt_stts'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 AS CAMPO_IT FROM CD_LOAN_TAPES_BCE.LT002_INSTRUMENT WHERE ref_date='${ref_date}' AND nome_perimetro='Individual Local' AND segmento='ESTR' AND ambito='PM' AND entidade='00100')X INNER JOIN (SELECT instrmnt_id AS CHAVE_SIMUL, imprmnt_stts AS CAMPO_SIMUL FROM BU_LOANTAPE_WORK.LT002_INSTRUMENT WHERE ref_date='${ref_date}' AND nome_perimetro='Individual Local' AND segmento='ESTR' AND ambito='PM' AND entidade='00100')Y ON X.CHAVE_IT=Y.CHAVE_SIMUL</v>
      </c>
      <c r="N79" s="33" t="str">
        <f t="shared" si="3"/>
        <v>UNION ALL SELECT 'INSTRUMENT' AS TABELA, 'COERÊNCIA' AS TIPOLOGIA_TESTE,'CD_LOAN_TAPES_BCE.LT002_INSTRUMENT' AS TABELA_LT,'BU_LOANTAPE_WORK.LT002_INSTRUMENT' AS TABELA_SIMUL,'imprmnt_stts'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 AS CAMPO_IT FROM CD_LOAN_TAPES_BCE.LT002_INSTRUMENT WHERE ref_date='${ref_date}' AND nome_perimetro='Individual Local' AND segmento='ESTR' AND ambito='PM' AND entidade='00100')X INNER JOIN (SELECT instrmnt_id AS CHAVE_SIMUL, imprmnt_stts AS CAMPO_SIMUL FROM BU_LOANTAPE_WORK.LT002_INSTRUMENT WHERE ref_date='${ref_date}' AND nome_perimetro='Individual Local' AND segmento='ESTR' AND ambito='PM' AND entidade='00100')Y ON X.CHAVE_IT=Y.CHAVE_SIMUL</v>
      </c>
      <c r="O79" s="35" t="s">
        <v>35</v>
      </c>
    </row>
    <row r="80" spans="1:15">
      <c r="A80" s="57" t="str">
        <f t="shared" si="4"/>
        <v>Instrumentimprmnt_stts_prvs</v>
      </c>
      <c r="B80" s="32" t="s">
        <v>9</v>
      </c>
      <c r="C80" s="32" t="s">
        <v>82</v>
      </c>
      <c r="D80" s="32" t="s">
        <v>5</v>
      </c>
      <c r="E80" s="32" t="str">
        <f>+UPPER('0. Instruções'!$D$35&amp;"."&amp;VLOOKUP(B80,'0. Instruções'!$C$27:$D$32,2,FALSE))</f>
        <v>CD_LOAN_TAPES_BCE.LT002_INSTRUMENT</v>
      </c>
      <c r="F80" s="32" t="str">
        <f>+UPPER('0. Instruções'!$D$36&amp;"."&amp;VLOOKUP(B80,'0. Instruções'!$C$27:$E$32,3,FALSE))</f>
        <v>BU_LOANTAPE_WORK.LT002_INSTRUMENT</v>
      </c>
      <c r="H80" s="32"/>
      <c r="I80" s="32"/>
      <c r="J80" s="32" t="str">
        <f>IF(VLOOKUP(B80,'0. Instruções'!$C$27:$G$32,5,FALSE)=0,
"(SELECT "&amp;VLOOKUP(B80,'0. Instruções'!$C$27:$G$32,4,FALSE)&amp;" AS CHAVE_IT, "&amp;C80&amp;" AS CAMPO_IT FROM "&amp;E80&amp;" WHERE "&amp;'0. Instruções'!$D$43&amp;")X",
"(SELECT "&amp;VLOOKUP(B80,'0. Instruções'!$C$27:$G$32,4,FALSE)&amp;" AS CHAVE_IT1, "&amp;VLOOKUP(B80,'0. Instruções'!$C$27:$G$32,5,FALSE)&amp;" AS CHAVE_IT2, "&amp;C80&amp;" AS CAMPO_IT FROM "&amp;E80&amp;" WHERE "&amp;'0. Instruções'!$D$43&amp;")X")</f>
        <v>(SELECT instrmnt_id AS CHAVE_IT, imprmnt_stts_prvs AS CAMPO_IT FROM CD_LOAN_TAPES_BCE.LT002_INSTRUMENT WHERE ref_date='${ref_date}' AND nome_perimetro='Individual Local' AND segmento='ESTR' AND ambito='PM' AND entidade='00100')X</v>
      </c>
      <c r="K80" s="32" t="str">
        <f>IF(VLOOKUP(B80,'0. Instruções'!$C$27:$G$32,5,FALSE)=0,
"(SELECT "&amp;VLOOKUP(B80,'0. Instruções'!$C$27:$G$32,4,FALSE)&amp;" AS CHAVE_SIMUL, "&amp;C80&amp;" AS CAMPO_SIMUL FROM "&amp;F80&amp;" WHERE "&amp;'0. Instruções'!$D$42&amp;")Y",
"(SELECT "&amp;VLOOKUP(B80,'0. Instruções'!$C$27:$G$32,4,FALSE)&amp;" AS CHAVE_SIMUL1, "&amp;VLOOKUP(B80,'0. Instruções'!$C$27:$G$32,5,FALSE)&amp;" AS CHAVE_SIMUL2, "&amp;C80&amp;" AS CAMPO_SIMUL FROM "&amp;F80&amp;" WHERE "&amp;'0. Instruções'!$D$42&amp;")Y")</f>
        <v>(SELECT instrmnt_id AS CHAVE_SIMUL, imprmnt_stts_prvs AS CAMPO_SIMUL FROM BU_LOANTAPE_WORK.LT002_INSTRUMENT WHERE ref_date='${ref_date}' AND nome_perimetro='Individual Local' AND segmento='ESTR' AND ambito='PM' AND entidade='00100')Y</v>
      </c>
      <c r="L80" s="32" t="str">
        <f>IF(VLOOKUP(B80,'0. Instruções'!$C$27:$G$32,5,FALSE)=0,
"ON X.CHAVE_IT=Y.CHAVE_SIMUL",
"ON X.CHAVE_IT1=Y.CHAVE_SIMUL1 AND X.CHAVE_IT2=Y.CHAVE_SIMUL2")</f>
        <v>ON X.CHAVE_IT=Y.CHAVE_SIMUL</v>
      </c>
      <c r="M80" s="32" t="str">
        <f>+IF(D80="Coerência",+IF(LEFT(H80,5)="FLOAT","SELECT '"&amp;UPPER(B80)&amp;"' AS TABELA, '"&amp;UPPER(D80)&amp;"' AS TIPOLOGIA_TESTE,'"&amp;E80&amp;"' AS TABELA_LT,'"&amp;F80&amp;"' AS TABELA_SIMUL,'"&amp;C80&amp;"'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"&amp;J80&amp;" INNER JOIN "&amp;K80&amp;" "&amp;L80,"SELECT '"&amp;UPPER(B80)&amp;"' AS TABELA, '"&amp;UPPER(D80)&amp;"' AS TIPOLOGIA_TESTE,'"&amp;E80&amp;"' AS TABELA_LT,'"&amp;F80&amp;"' AS TABELA_SIMUL,'"&amp;C80&amp;"'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"&amp;J80&amp;" INNER JOIN "&amp;K80&amp;" "&amp;L80))</f>
        <v>SELECT 'INSTRUMENT' AS TABELA, 'COERÊNCIA' AS TIPOLOGIA_TESTE,'CD_LOAN_TAPES_BCE.LT002_INSTRUMENT' AS TABELA_LT,'BU_LOANTAPE_WORK.LT002_INSTRUMENT' AS TABELA_SIMUL,'imprmnt_stts_prvs'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imprmnt_stts_prvs AS CAMPO_IT FROM CD_LOAN_TAPES_BCE.LT002_INSTRUMENT WHERE ref_date='${ref_date}' AND nome_perimetro='Individual Local' AND segmento='ESTR' AND ambito='PM' AND entidade='00100')X INNER JOIN (SELECT instrmnt_id AS CHAVE_SIMUL, imprmnt_stts_prvs AS CAMPO_SIMUL FROM BU_LOANTAPE_WORK.LT002_INSTRUMENT WHERE ref_date='${ref_date}' AND nome_perimetro='Individual Local' AND segmento='ESTR' AND ambito='PM' AND entidade='00100')Y ON X.CHAVE_IT=Y.CHAVE_SIMUL</v>
      </c>
      <c r="N80" s="33" t="str">
        <f t="shared" si="3"/>
        <v>UNION ALL SELECT 'INSTRUMENT' AS TABELA, 'COERÊNCIA' AS TIPOLOGIA_TESTE,'CD_LOAN_TAPES_BCE.LT002_INSTRUMENT' AS TABELA_LT,'BU_LOANTAPE_WORK.LT002_INSTRUMENT' AS TABELA_SIMUL,'imprmnt_stts_prvs'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imprmnt_stts_prvs AS CAMPO_IT FROM CD_LOAN_TAPES_BCE.LT002_INSTRUMENT WHERE ref_date='${ref_date}' AND nome_perimetro='Individual Local' AND segmento='ESTR' AND ambito='PM' AND entidade='00100')X INNER JOIN (SELECT instrmnt_id AS CHAVE_SIMUL, imprmnt_stts_prvs AS CAMPO_SIMUL FROM BU_LOANTAPE_WORK.LT002_INSTRUMENT WHERE ref_date='${ref_date}' AND nome_perimetro='Individual Local' AND segmento='ESTR' AND ambito='PM' AND entidade='00100')Y ON X.CHAVE_IT=Y.CHAVE_SIMUL</v>
      </c>
      <c r="O80" s="35" t="s">
        <v>35</v>
      </c>
    </row>
    <row r="81" spans="1:15">
      <c r="A81" s="57" t="str">
        <f t="shared" si="4"/>
        <v>Instrumentintrnl_rtng</v>
      </c>
      <c r="B81" s="32" t="s">
        <v>9</v>
      </c>
      <c r="C81" s="32" t="s">
        <v>271</v>
      </c>
      <c r="D81" s="32" t="s">
        <v>5</v>
      </c>
      <c r="E81" s="32" t="str">
        <f>+UPPER('0. Instruções'!$D$35&amp;"."&amp;VLOOKUP(B81,'0. Instruções'!$C$27:$D$32,2,FALSE))</f>
        <v>CD_LOAN_TAPES_BCE.LT002_INSTRUMENT</v>
      </c>
      <c r="F81" s="32" t="str">
        <f>+UPPER('0. Instruções'!$D$36&amp;"."&amp;VLOOKUP(B81,'0. Instruções'!$C$27:$E$32,3,FALSE))</f>
        <v>BU_LOANTAPE_WORK.LT002_INSTRUMENT</v>
      </c>
      <c r="H81" s="32"/>
      <c r="I81" s="32"/>
      <c r="J81" s="32" t="str">
        <f>IF(VLOOKUP(B81,'0. Instruções'!$C$27:$G$32,5,FALSE)=0,
"(SELECT "&amp;VLOOKUP(B81,'0. Instruções'!$C$27:$G$32,4,FALSE)&amp;" AS CHAVE_IT, "&amp;C81&amp;" AS CAMPO_IT FROM "&amp;E81&amp;" WHERE "&amp;'0. Instruções'!$D$43&amp;")X",
"(SELECT "&amp;VLOOKUP(B81,'0. Instruções'!$C$27:$G$32,4,FALSE)&amp;" AS CHAVE_IT1, "&amp;VLOOKUP(B81,'0. Instruções'!$C$27:$G$32,5,FALSE)&amp;" AS CHAVE_IT2, "&amp;C81&amp;" AS CAMPO_IT FROM "&amp;E81&amp;" WHERE "&amp;'0. Instruções'!$D$43&amp;")X")</f>
        <v>(SELECT instrmnt_id AS CHAVE_IT, intrnl_rtng AS CAMPO_IT FROM CD_LOAN_TAPES_BCE.LT002_INSTRUMENT WHERE ref_date='${ref_date}' AND nome_perimetro='Individual Local' AND segmento='ESTR' AND ambito='PM' AND entidade='00100')X</v>
      </c>
      <c r="K81" s="32" t="str">
        <f>IF(VLOOKUP(B81,'0. Instruções'!$C$27:$G$32,5,FALSE)=0,
"(SELECT "&amp;VLOOKUP(B81,'0. Instruções'!$C$27:$G$32,4,FALSE)&amp;" AS CHAVE_SIMUL, "&amp;C81&amp;" AS CAMPO_SIMUL FROM "&amp;F81&amp;" WHERE "&amp;'0. Instruções'!$D$42&amp;")Y",
"(SELECT "&amp;VLOOKUP(B81,'0. Instruções'!$C$27:$G$32,4,FALSE)&amp;" AS CHAVE_SIMUL1, "&amp;VLOOKUP(B81,'0. Instruções'!$C$27:$G$32,5,FALSE)&amp;" AS CHAVE_SIMUL2, "&amp;C81&amp;" AS CAMPO_SIMUL FROM "&amp;F81&amp;" WHERE "&amp;'0. Instruções'!$D$42&amp;")Y")</f>
        <v>(SELECT instrmnt_id AS CHAVE_SIMUL, intrnl_rtng AS CAMPO_SIMUL FROM BU_LOANTAPE_WORK.LT002_INSTRUMENT WHERE ref_date='${ref_date}' AND nome_perimetro='Individual Local' AND segmento='ESTR' AND ambito='PM' AND entidade='00100')Y</v>
      </c>
      <c r="L81" s="32" t="str">
        <f>IF(VLOOKUP(B81,'0. Instruções'!$C$27:$G$32,5,FALSE)=0,
"ON X.CHAVE_IT=Y.CHAVE_SIMUL",
"ON X.CHAVE_IT1=Y.CHAVE_SIMUL1 AND X.CHAVE_IT2=Y.CHAVE_SIMUL2")</f>
        <v>ON X.CHAVE_IT=Y.CHAVE_SIMUL</v>
      </c>
      <c r="M81" s="32" t="str">
        <f>+IF(D81="Coerência",+IF(LEFT(H81,5)="FLOAT","SELECT '"&amp;UPPER(B81)&amp;"' AS TABELA, '"&amp;UPPER(D81)&amp;"' AS TIPOLOGIA_TESTE,'"&amp;E81&amp;"' AS TABELA_LT,'"&amp;F81&amp;"' AS TABELA_SIMUL,'"&amp;C81&amp;"'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"&amp;J81&amp;" INNER JOIN "&amp;K81&amp;" "&amp;L81,"SELECT '"&amp;UPPER(B81)&amp;"' AS TABELA, '"&amp;UPPER(D81)&amp;"' AS TIPOLOGIA_TESTE,'"&amp;E81&amp;"' AS TABELA_LT,'"&amp;F81&amp;"' AS TABELA_SIMUL,'"&amp;C81&amp;"'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"&amp;J81&amp;" INNER JOIN "&amp;K81&amp;" "&amp;L81))</f>
        <v>SELECT 'INSTRUMENT' AS TABELA, 'COERÊNCIA' AS TIPOLOGIA_TESTE,'CD_LOAN_TAPES_BCE.LT002_INSTRUMENT' AS TABELA_LT,'BU_LOANTAPE_WORK.LT002_INSTRUMENT'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 AS CAMPO_IT FROM CD_LOAN_TAPES_BCE.LT002_INSTRUMENT WHERE ref_date='${ref_date}' AND nome_perimetro='Individual Local' AND segmento='ESTR' AND ambito='PM' AND entidade='00100')X INNER JOIN (SELECT instrmnt_id AS CHAVE_SIMUL, intrnl_rtng AS CAMPO_SIMUL FROM BU_LOANTAPE_WORK.LT002_INSTRUMENT WHERE ref_date='${ref_date}' AND nome_perimetro='Individual Local' AND segmento='ESTR' AND ambito='PM' AND entidade='00100')Y ON X.CHAVE_IT=Y.CHAVE_SIMUL</v>
      </c>
      <c r="N81" s="33" t="str">
        <f t="shared" si="3"/>
        <v>UNION ALL SELECT 'INSTRUMENT' AS TABELA, 'COERÊNCIA' AS TIPOLOGIA_TESTE,'CD_LOAN_TAPES_BCE.LT002_INSTRUMENT' AS TABELA_LT,'BU_LOANTAPE_WORK.LT002_INSTRUMENT'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 AS CAMPO_IT FROM CD_LOAN_TAPES_BCE.LT002_INSTRUMENT WHERE ref_date='${ref_date}' AND nome_perimetro='Individual Local' AND segmento='ESTR' AND ambito='PM' AND entidade='00100')X INNER JOIN (SELECT instrmnt_id AS CHAVE_SIMUL, intrnl_rtng AS CAMPO_SIMUL FROM BU_LOANTAPE_WORK.LT002_INSTRUMENT WHERE ref_date='${ref_date}' AND nome_perimetro='Individual Local' AND segmento='ESTR' AND ambito='PM' AND entidade='00100')Y ON X.CHAVE_IT=Y.CHAVE_SIMUL</v>
      </c>
      <c r="O81" s="35" t="s">
        <v>35</v>
      </c>
    </row>
    <row r="82" spans="1:15">
      <c r="A82" s="57" t="str">
        <f t="shared" si="4"/>
        <v>Instrumentintrnl_rtng_incptn</v>
      </c>
      <c r="B82" s="32" t="s">
        <v>9</v>
      </c>
      <c r="C82" s="32" t="s">
        <v>272</v>
      </c>
      <c r="D82" s="32" t="s">
        <v>5</v>
      </c>
      <c r="E82" s="32" t="str">
        <f>+UPPER('0. Instruções'!$D$35&amp;"."&amp;VLOOKUP(B82,'0. Instruções'!$C$27:$D$32,2,FALSE))</f>
        <v>CD_LOAN_TAPES_BCE.LT002_INSTRUMENT</v>
      </c>
      <c r="F82" s="32" t="str">
        <f>+UPPER('0. Instruções'!$D$36&amp;"."&amp;VLOOKUP(B82,'0. Instruções'!$C$27:$E$32,3,FALSE))</f>
        <v>BU_LOANTAPE_WORK.LT002_INSTRUMENT</v>
      </c>
      <c r="H82" s="32"/>
      <c r="I82" s="32"/>
      <c r="J82" s="32" t="str">
        <f>IF(VLOOKUP(B82,'0. Instruções'!$C$27:$G$32,5,FALSE)=0,
"(SELECT "&amp;VLOOKUP(B82,'0. Instruções'!$C$27:$G$32,4,FALSE)&amp;" AS CHAVE_IT, "&amp;C82&amp;" AS CAMPO_IT FROM "&amp;E82&amp;" WHERE "&amp;'0. Instruções'!$D$43&amp;")X",
"(SELECT "&amp;VLOOKUP(B82,'0. Instruções'!$C$27:$G$32,4,FALSE)&amp;" AS CHAVE_IT1, "&amp;VLOOKUP(B82,'0. Instruções'!$C$27:$G$32,5,FALSE)&amp;" AS CHAVE_IT2, "&amp;C82&amp;" AS CAMPO_IT FROM "&amp;E82&amp;" WHERE "&amp;'0. Instruções'!$D$43&amp;")X")</f>
        <v>(SELECT instrmnt_id AS CHAVE_IT, intrnl_rtng_incptn AS CAMPO_IT FROM CD_LOAN_TAPES_BCE.LT002_INSTRUMENT WHERE ref_date='${ref_date}' AND nome_perimetro='Individual Local' AND segmento='ESTR' AND ambito='PM' AND entidade='00100')X</v>
      </c>
      <c r="K82" s="32" t="str">
        <f>IF(VLOOKUP(B82,'0. Instruções'!$C$27:$G$32,5,FALSE)=0,
"(SELECT "&amp;VLOOKUP(B82,'0. Instruções'!$C$27:$G$32,4,FALSE)&amp;" AS CHAVE_SIMUL, "&amp;C82&amp;" AS CAMPO_SIMUL FROM "&amp;F82&amp;" WHERE "&amp;'0. Instruções'!$D$42&amp;")Y",
"(SELECT "&amp;VLOOKUP(B82,'0. Instruções'!$C$27:$G$32,4,FALSE)&amp;" AS CHAVE_SIMUL1, "&amp;VLOOKUP(B82,'0. Instruções'!$C$27:$G$32,5,FALSE)&amp;" AS CHAVE_SIMUL2, "&amp;C82&amp;" AS CAMPO_SIMUL FROM "&amp;F82&amp;" WHERE "&amp;'0. Instruções'!$D$42&amp;")Y")</f>
        <v>(SELECT instrmnt_id AS CHAVE_SIMUL, intrnl_rtng_incptn AS CAMPO_SIMUL FROM BU_LOANTAPE_WORK.LT002_INSTRUMENT WHERE ref_date='${ref_date}' AND nome_perimetro='Individual Local' AND segmento='ESTR' AND ambito='PM' AND entidade='00100')Y</v>
      </c>
      <c r="L82" s="32" t="str">
        <f>IF(VLOOKUP(B82,'0. Instruções'!$C$27:$G$32,5,FALSE)=0,
"ON X.CHAVE_IT=Y.CHAVE_SIMUL",
"ON X.CHAVE_IT1=Y.CHAVE_SIMUL1 AND X.CHAVE_IT2=Y.CHAVE_SIMUL2")</f>
        <v>ON X.CHAVE_IT=Y.CHAVE_SIMUL</v>
      </c>
      <c r="M82" s="32" t="str">
        <f>+IF(D82="Coerência",+IF(LEFT(H82,5)="FLOAT","SELECT '"&amp;UPPER(B82)&amp;"' AS TABELA, '"&amp;UPPER(D82)&amp;"' AS TIPOLOGIA_TESTE,'"&amp;E82&amp;"' AS TABELA_LT,'"&amp;F82&amp;"' AS TABELA_SIMUL,'"&amp;C82&amp;"'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"&amp;J82&amp;" INNER JOIN "&amp;K82&amp;" "&amp;L82,"SELECT '"&amp;UPPER(B82)&amp;"' AS TABELA, '"&amp;UPPER(D82)&amp;"' AS TIPOLOGIA_TESTE,'"&amp;E82&amp;"' AS TABELA_LT,'"&amp;F82&amp;"' AS TABELA_SIMUL,'"&amp;C82&amp;"'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"&amp;J82&amp;" INNER JOIN "&amp;K82&amp;" "&amp;L82))</f>
        <v>SELECT 'INSTRUMENT' AS TABELA, 'COERÊNCIA' AS TIPOLOGIA_TESTE,'CD_LOAN_TAPES_BCE.LT002_INSTRUMENT' AS TABELA_LT,'BU_LOANTAPE_WORK.LT002_INSTRUMENT' AS TABELA_SIMUL,'intrnl_rtng_incptn'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intrnl_rtng_incptn AS CAMPO_IT FROM CD_LOAN_TAPES_BCE.LT002_INSTRUMENT WHERE ref_date='${ref_date}' AND nome_perimetro='Individual Local' AND segmento='ESTR' AND ambito='PM' AND entidade='00100')X INNER JOIN (SELECT instrmnt_id AS CHAVE_SIMUL, intrnl_rtng_incptn AS CAMPO_SIMUL FROM BU_LOANTAPE_WORK.LT002_INSTRUMENT WHERE ref_date='${ref_date}' AND nome_perimetro='Individual Local' AND segmento='ESTR' AND ambito='PM' AND entidade='00100')Y ON X.CHAVE_IT=Y.CHAVE_SIMUL</v>
      </c>
      <c r="N82" s="33" t="str">
        <f t="shared" si="3"/>
        <v>UNION ALL SELECT 'INSTRUMENT' AS TABELA, 'COERÊNCIA' AS TIPOLOGIA_TESTE,'CD_LOAN_TAPES_BCE.LT002_INSTRUMENT' AS TABELA_LT,'BU_LOANTAPE_WORK.LT002_INSTRUMENT' AS TABELA_SIMUL,'intrnl_rtng_incptn'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intrnl_rtng_incptn AS CAMPO_IT FROM CD_LOAN_TAPES_BCE.LT002_INSTRUMENT WHERE ref_date='${ref_date}' AND nome_perimetro='Individual Local' AND segmento='ESTR' AND ambito='PM' AND entidade='00100')X INNER JOIN (SELECT instrmnt_id AS CHAVE_SIMUL, intrnl_rtng_incptn AS CAMPO_SIMUL FROM BU_LOANTAPE_WORK.LT002_INSTRUMENT WHERE ref_date='${ref_date}' AND nome_perimetro='Individual Local' AND segmento='ESTR' AND ambito='PM' AND entidade='00100')Y ON X.CHAVE_IT=Y.CHAVE_SIMUL</v>
      </c>
      <c r="O82" s="35" t="s">
        <v>35</v>
      </c>
    </row>
    <row r="83" spans="1:15">
      <c r="A83" s="57" t="str">
        <f t="shared" si="4"/>
        <v>Instrumentintrnl_sgmnt</v>
      </c>
      <c r="B83" s="32" t="s">
        <v>9</v>
      </c>
      <c r="C83" s="32" t="s">
        <v>273</v>
      </c>
      <c r="D83" s="32" t="s">
        <v>5</v>
      </c>
      <c r="E83" s="32" t="str">
        <f>+UPPER('0. Instruções'!$D$35&amp;"."&amp;VLOOKUP(B83,'0. Instruções'!$C$27:$D$32,2,FALSE))</f>
        <v>CD_LOAN_TAPES_BCE.LT002_INSTRUMENT</v>
      </c>
      <c r="F83" s="32" t="str">
        <f>+UPPER('0. Instruções'!$D$36&amp;"."&amp;VLOOKUP(B83,'0. Instruções'!$C$27:$E$32,3,FALSE))</f>
        <v>BU_LOANTAPE_WORK.LT002_INSTRUMENT</v>
      </c>
      <c r="H83" s="32"/>
      <c r="I83" s="32"/>
      <c r="J83" s="32" t="str">
        <f>IF(VLOOKUP(B83,'0. Instruções'!$C$27:$G$32,5,FALSE)=0,
"(SELECT "&amp;VLOOKUP(B83,'0. Instruções'!$C$27:$G$32,4,FALSE)&amp;" AS CHAVE_IT, "&amp;C83&amp;" AS CAMPO_IT FROM "&amp;E83&amp;" WHERE "&amp;'0. Instruções'!$D$43&amp;")X",
"(SELECT "&amp;VLOOKUP(B83,'0. Instruções'!$C$27:$G$32,4,FALSE)&amp;" AS CHAVE_IT1, "&amp;VLOOKUP(B83,'0. Instruções'!$C$27:$G$32,5,FALSE)&amp;" AS CHAVE_IT2, "&amp;C83&amp;" AS CAMPO_IT FROM "&amp;E83&amp;" WHERE "&amp;'0. Instruções'!$D$43&amp;")X")</f>
        <v>(SELECT instrmnt_id AS CHAVE_IT, intrnl_sgmnt AS CAMPO_IT FROM CD_LOAN_TAPES_BCE.LT002_INSTRUMENT WHERE ref_date='${ref_date}' AND nome_perimetro='Individual Local' AND segmento='ESTR' AND ambito='PM' AND entidade='00100')X</v>
      </c>
      <c r="K83" s="32" t="str">
        <f>IF(VLOOKUP(B83,'0. Instruções'!$C$27:$G$32,5,FALSE)=0,
"(SELECT "&amp;VLOOKUP(B83,'0. Instruções'!$C$27:$G$32,4,FALSE)&amp;" AS CHAVE_SIMUL, "&amp;C83&amp;" AS CAMPO_SIMUL FROM "&amp;F83&amp;" WHERE "&amp;'0. Instruções'!$D$42&amp;")Y",
"(SELECT "&amp;VLOOKUP(B83,'0. Instruções'!$C$27:$G$32,4,FALSE)&amp;" AS CHAVE_SIMUL1, "&amp;VLOOKUP(B83,'0. Instruções'!$C$27:$G$32,5,FALSE)&amp;" AS CHAVE_SIMUL2, "&amp;C83&amp;" AS CAMPO_SIMUL FROM "&amp;F83&amp;" WHERE "&amp;'0. Instruções'!$D$42&amp;")Y")</f>
        <v>(SELECT instrmnt_id AS CHAVE_SIMUL, intrnl_sgmnt AS CAMPO_SIMUL FROM BU_LOANTAPE_WORK.LT002_INSTRUMENT WHERE ref_date='${ref_date}' AND nome_perimetro='Individual Local' AND segmento='ESTR' AND ambito='PM' AND entidade='00100')Y</v>
      </c>
      <c r="L83" s="32" t="str">
        <f>IF(VLOOKUP(B83,'0. Instruções'!$C$27:$G$32,5,FALSE)=0,
"ON X.CHAVE_IT=Y.CHAVE_SIMUL",
"ON X.CHAVE_IT1=Y.CHAVE_SIMUL1 AND X.CHAVE_IT2=Y.CHAVE_SIMUL2")</f>
        <v>ON X.CHAVE_IT=Y.CHAVE_SIMUL</v>
      </c>
      <c r="M83" s="32" t="str">
        <f>+IF(D83="Coerência",+IF(LEFT(H83,5)="FLOAT","SELECT '"&amp;UPPER(B83)&amp;"' AS TABELA, '"&amp;UPPER(D83)&amp;"' AS TIPOLOGIA_TESTE,'"&amp;E83&amp;"' AS TABELA_LT,'"&amp;F83&amp;"' AS TABELA_SIMUL,'"&amp;C83&amp;"'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"&amp;J83&amp;" INNER JOIN "&amp;K83&amp;" "&amp;L83,"SELECT '"&amp;UPPER(B83)&amp;"' AS TABELA, '"&amp;UPPER(D83)&amp;"' AS TIPOLOGIA_TESTE,'"&amp;E83&amp;"' AS TABELA_LT,'"&amp;F83&amp;"' AS TABELA_SIMUL,'"&amp;C83&amp;"'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"&amp;J83&amp;" INNER JOIN "&amp;K83&amp;" "&amp;L83))</f>
        <v>SELECT 'INSTRUMENT' AS TABELA, 'COERÊNCIA' AS TIPOLOGIA_TESTE,'CD_LOAN_TAPES_BCE.LT002_INSTRUMENT' AS TABELA_LT,'BU_LOANTAPE_WORK.LT002_INSTRUMENT'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 AS CAMPO_IT FROM CD_LOAN_TAPES_BCE.LT002_INSTRUMENT WHERE ref_date='${ref_date}' AND nome_perimetro='Individual Local' AND segmento='ESTR' AND ambito='PM' AND entidade='00100')X INNER JOIN (SELECT instrmnt_id AS CHAVE_SIMUL, intrnl_sgmnt AS CAMPO_SIMUL FROM BU_LOANTAPE_WORK.LT002_INSTRUMENT WHERE ref_date='${ref_date}' AND nome_perimetro='Individual Local' AND segmento='ESTR' AND ambito='PM' AND entidade='00100')Y ON X.CHAVE_IT=Y.CHAVE_SIMUL</v>
      </c>
      <c r="N83" s="33" t="str">
        <f t="shared" si="3"/>
        <v>UNION ALL SELECT 'INSTRUMENT' AS TABELA, 'COERÊNCIA' AS TIPOLOGIA_TESTE,'CD_LOAN_TAPES_BCE.LT002_INSTRUMENT' AS TABELA_LT,'BU_LOANTAPE_WORK.LT002_INSTRUMENT'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 AS CAMPO_IT FROM CD_LOAN_TAPES_BCE.LT002_INSTRUMENT WHERE ref_date='${ref_date}' AND nome_perimetro='Individual Local' AND segmento='ESTR' AND ambito='PM' AND entidade='00100')X INNER JOIN (SELECT instrmnt_id AS CHAVE_SIMUL, intrnl_sgmnt AS CAMPO_SIMUL FROM BU_LOANTAPE_WORK.LT002_INSTRUMENT WHERE ref_date='${ref_date}' AND nome_perimetro='Individual Local' AND segmento='ESTR' AND ambito='PM' AND entidade='00100')Y ON X.CHAVE_IT=Y.CHAVE_SIMUL</v>
      </c>
      <c r="O83" s="35" t="s">
        <v>35</v>
      </c>
    </row>
    <row r="84" spans="1:15">
      <c r="A84" s="57" t="str">
        <f t="shared" si="4"/>
        <v>Instrumentintrnl_unt</v>
      </c>
      <c r="B84" s="32" t="s">
        <v>9</v>
      </c>
      <c r="C84" s="32" t="s">
        <v>274</v>
      </c>
      <c r="D84" s="32" t="s">
        <v>5</v>
      </c>
      <c r="E84" s="32" t="str">
        <f>+UPPER('0. Instruções'!$D$35&amp;"."&amp;VLOOKUP(B84,'0. Instruções'!$C$27:$D$32,2,FALSE))</f>
        <v>CD_LOAN_TAPES_BCE.LT002_INSTRUMENT</v>
      </c>
      <c r="F84" s="32" t="str">
        <f>+UPPER('0. Instruções'!$D$36&amp;"."&amp;VLOOKUP(B84,'0. Instruções'!$C$27:$E$32,3,FALSE))</f>
        <v>BU_LOANTAPE_WORK.LT002_INSTRUMENT</v>
      </c>
      <c r="H84" s="32"/>
      <c r="I84" s="32"/>
      <c r="J84" s="32" t="str">
        <f>IF(VLOOKUP(B84,'0. Instruções'!$C$27:$G$32,5,FALSE)=0,
"(SELECT "&amp;VLOOKUP(B84,'0. Instruções'!$C$27:$G$32,4,FALSE)&amp;" AS CHAVE_IT, "&amp;C84&amp;" AS CAMPO_IT FROM "&amp;E84&amp;" WHERE "&amp;'0. Instruções'!$D$43&amp;")X",
"(SELECT "&amp;VLOOKUP(B84,'0. Instruções'!$C$27:$G$32,4,FALSE)&amp;" AS CHAVE_IT1, "&amp;VLOOKUP(B84,'0. Instruções'!$C$27:$G$32,5,FALSE)&amp;" AS CHAVE_IT2, "&amp;C84&amp;" AS CAMPO_IT FROM "&amp;E84&amp;" WHERE "&amp;'0. Instruções'!$D$43&amp;")X")</f>
        <v>(SELECT instrmnt_id AS CHAVE_IT, intrnl_unt AS CAMPO_IT FROM CD_LOAN_TAPES_BCE.LT002_INSTRUMENT WHERE ref_date='${ref_date}' AND nome_perimetro='Individual Local' AND segmento='ESTR' AND ambito='PM' AND entidade='00100')X</v>
      </c>
      <c r="K84" s="32" t="str">
        <f>IF(VLOOKUP(B84,'0. Instruções'!$C$27:$G$32,5,FALSE)=0,
"(SELECT "&amp;VLOOKUP(B84,'0. Instruções'!$C$27:$G$32,4,FALSE)&amp;" AS CHAVE_SIMUL, "&amp;C84&amp;" AS CAMPO_SIMUL FROM "&amp;F84&amp;" WHERE "&amp;'0. Instruções'!$D$42&amp;")Y",
"(SELECT "&amp;VLOOKUP(B84,'0. Instruções'!$C$27:$G$32,4,FALSE)&amp;" AS CHAVE_SIMUL1, "&amp;VLOOKUP(B84,'0. Instruções'!$C$27:$G$32,5,FALSE)&amp;" AS CHAVE_SIMUL2, "&amp;C84&amp;" AS CAMPO_SIMUL FROM "&amp;F84&amp;" WHERE "&amp;'0. Instruções'!$D$42&amp;")Y")</f>
        <v>(SELECT instrmnt_id AS CHAVE_SIMUL, intrnl_unt AS CAMPO_SIMUL FROM BU_LOANTAPE_WORK.LT002_INSTRUMENT WHERE ref_date='${ref_date}' AND nome_perimetro='Individual Local' AND segmento='ESTR' AND ambito='PM' AND entidade='00100')Y</v>
      </c>
      <c r="L84" s="32" t="str">
        <f>IF(VLOOKUP(B84,'0. Instruções'!$C$27:$G$32,5,FALSE)=0,
"ON X.CHAVE_IT=Y.CHAVE_SIMUL",
"ON X.CHAVE_IT1=Y.CHAVE_SIMUL1 AND X.CHAVE_IT2=Y.CHAVE_SIMUL2")</f>
        <v>ON X.CHAVE_IT=Y.CHAVE_SIMUL</v>
      </c>
      <c r="M84" s="32" t="str">
        <f>+IF(D84="Coerência",+IF(LEFT(H84,5)="FLOAT","SELECT '"&amp;UPPER(B84)&amp;"' AS TABELA, '"&amp;UPPER(D84)&amp;"' AS TIPOLOGIA_TESTE,'"&amp;E84&amp;"' AS TABELA_LT,'"&amp;F84&amp;"' AS TABELA_SIMUL,'"&amp;C84&amp;"'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"&amp;J84&amp;" INNER JOIN "&amp;K84&amp;" "&amp;L84,"SELECT '"&amp;UPPER(B84)&amp;"' AS TABELA, '"&amp;UPPER(D84)&amp;"' AS TIPOLOGIA_TESTE,'"&amp;E84&amp;"' AS TABELA_LT,'"&amp;F84&amp;"' AS TABELA_SIMUL,'"&amp;C84&amp;"'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"&amp;J84&amp;" INNER JOIN "&amp;K84&amp;" "&amp;L84))</f>
        <v>SELECT 'INSTRUMENT' AS TABELA, 'COERÊNCIA' AS TIPOLOGIA_TESTE,'CD_LOAN_TAPES_BCE.LT002_INSTRUMENT' AS TABELA_LT,'BU_LOANTAPE_WORK.LT002_INSTRUMENT'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intrnl_unt AS CAMPO_IT FROM CD_LOAN_TAPES_BCE.LT002_INSTRUMENT WHERE ref_date='${ref_date}' AND nome_perimetro='Individual Local' AND segmento='ESTR' AND ambito='PM' AND entidade='00100')X INNER JOIN (SELECT instrmnt_id AS CHAVE_SIMUL, intrnl_unt AS CAMPO_SIMUL FROM BU_LOANTAPE_WORK.LT002_INSTRUMENT WHERE ref_date='${ref_date}' AND nome_perimetro='Individual Local' AND segmento='ESTR' AND ambito='PM' AND entidade='00100')Y ON X.CHAVE_IT=Y.CHAVE_SIMUL</v>
      </c>
      <c r="N84" s="33" t="str">
        <f t="shared" si="3"/>
        <v>UNION ALL SELECT 'INSTRUMENT' AS TABELA, 'COERÊNCIA' AS TIPOLOGIA_TESTE,'CD_LOAN_TAPES_BCE.LT002_INSTRUMENT' AS TABELA_LT,'BU_LOANTAPE_WORK.LT002_INSTRUMENT'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intrnl_unt AS CAMPO_IT FROM CD_LOAN_TAPES_BCE.LT002_INSTRUMENT WHERE ref_date='${ref_date}' AND nome_perimetro='Individual Local' AND segmento='ESTR' AND ambito='PM' AND entidade='00100')X INNER JOIN (SELECT instrmnt_id AS CHAVE_SIMUL, intrnl_unt AS CAMPO_SIMUL FROM BU_LOANTAPE_WORK.LT002_INSTRUMENT WHERE ref_date='${ref_date}' AND nome_perimetro='Individual Local' AND segmento='ESTR' AND ambito='PM' AND entidade='00100')Y ON X.CHAVE_IT=Y.CHAVE_SIMUL</v>
      </c>
      <c r="O84" s="35" t="s">
        <v>35</v>
      </c>
    </row>
    <row r="85" spans="1:15">
      <c r="A85" s="57" t="str">
        <f t="shared" si="4"/>
        <v>Instrumentlcre</v>
      </c>
      <c r="B85" s="32" t="s">
        <v>9</v>
      </c>
      <c r="C85" s="32" t="s">
        <v>275</v>
      </c>
      <c r="D85" s="32" t="s">
        <v>5</v>
      </c>
      <c r="E85" s="32" t="str">
        <f>+UPPER('0. Instruções'!$D$35&amp;"."&amp;VLOOKUP(B85,'0. Instruções'!$C$27:$D$32,2,FALSE))</f>
        <v>CD_LOAN_TAPES_BCE.LT002_INSTRUMENT</v>
      </c>
      <c r="F85" s="32" t="str">
        <f>+UPPER('0. Instruções'!$D$36&amp;"."&amp;VLOOKUP(B85,'0. Instruções'!$C$27:$E$32,3,FALSE))</f>
        <v>BU_LOANTAPE_WORK.LT002_INSTRUMENT</v>
      </c>
      <c r="H85" s="32"/>
      <c r="I85" s="32"/>
      <c r="J85" s="32" t="str">
        <f>IF(VLOOKUP(B85,'0. Instruções'!$C$27:$G$32,5,FALSE)=0,
"(SELECT "&amp;VLOOKUP(B85,'0. Instruções'!$C$27:$G$32,4,FALSE)&amp;" AS CHAVE_IT, "&amp;C85&amp;" AS CAMPO_IT FROM "&amp;E85&amp;" WHERE "&amp;'0. Instruções'!$D$43&amp;")X",
"(SELECT "&amp;VLOOKUP(B85,'0. Instruções'!$C$27:$G$32,4,FALSE)&amp;" AS CHAVE_IT1, "&amp;VLOOKUP(B85,'0. Instruções'!$C$27:$G$32,5,FALSE)&amp;" AS CHAVE_IT2, "&amp;C85&amp;" AS CAMPO_IT FROM "&amp;E85&amp;" WHERE "&amp;'0. Instruções'!$D$43&amp;")X")</f>
        <v>(SELECT instrmnt_id AS CHAVE_IT, lcre AS CAMPO_IT FROM CD_LOAN_TAPES_BCE.LT002_INSTRUMENT WHERE ref_date='${ref_date}' AND nome_perimetro='Individual Local' AND segmento='ESTR' AND ambito='PM' AND entidade='00100')X</v>
      </c>
      <c r="K85" s="32" t="str">
        <f>IF(VLOOKUP(B85,'0. Instruções'!$C$27:$G$32,5,FALSE)=0,
"(SELECT "&amp;VLOOKUP(B85,'0. Instruções'!$C$27:$G$32,4,FALSE)&amp;" AS CHAVE_SIMUL, "&amp;C85&amp;" AS CAMPO_SIMUL FROM "&amp;F85&amp;" WHERE "&amp;'0. Instruções'!$D$42&amp;")Y",
"(SELECT "&amp;VLOOKUP(B85,'0. Instruções'!$C$27:$G$32,4,FALSE)&amp;" AS CHAVE_SIMUL1, "&amp;VLOOKUP(B85,'0. Instruções'!$C$27:$G$32,5,FALSE)&amp;" AS CHAVE_SIMUL2, "&amp;C85&amp;" AS CAMPO_SIMUL FROM "&amp;F85&amp;" WHERE "&amp;'0. Instruções'!$D$42&amp;")Y")</f>
        <v>(SELECT instrmnt_id AS CHAVE_SIMUL, lcre AS CAMPO_SIMUL FROM BU_LOANTAPE_WORK.LT002_INSTRUMENT WHERE ref_date='${ref_date}' AND nome_perimetro='Individual Local' AND segmento='ESTR' AND ambito='PM' AND entidade='00100')Y</v>
      </c>
      <c r="L85" s="32" t="str">
        <f>IF(VLOOKUP(B85,'0. Instruções'!$C$27:$G$32,5,FALSE)=0,
"ON X.CHAVE_IT=Y.CHAVE_SIMUL",
"ON X.CHAVE_IT1=Y.CHAVE_SIMUL1 AND X.CHAVE_IT2=Y.CHAVE_SIMUL2")</f>
        <v>ON X.CHAVE_IT=Y.CHAVE_SIMUL</v>
      </c>
      <c r="M85" s="32" t="str">
        <f>+IF(D85="Coerência",+IF(LEFT(H85,5)="FLOAT","SELECT '"&amp;UPPER(B85)&amp;"' AS TABELA, '"&amp;UPPER(D85)&amp;"' AS TIPOLOGIA_TESTE,'"&amp;E85&amp;"' AS TABELA_LT,'"&amp;F85&amp;"' AS TABELA_SIMUL,'"&amp;C85&amp;"'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"&amp;J85&amp;" INNER JOIN "&amp;K85&amp;" "&amp;L85,"SELECT '"&amp;UPPER(B85)&amp;"' AS TABELA, '"&amp;UPPER(D85)&amp;"' AS TIPOLOGIA_TESTE,'"&amp;E85&amp;"' AS TABELA_LT,'"&amp;F85&amp;"' AS TABELA_SIMUL,'"&amp;C85&amp;"'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"&amp;J85&amp;" INNER JOIN "&amp;K85&amp;" "&amp;L85))</f>
        <v>SELECT 'INSTRUMENT' AS TABELA, 'COERÊNCIA' AS TIPOLOGIA_TESTE,'CD_LOAN_TAPES_BCE.LT002_INSTRUMENT' AS TABELA_LT,'BU_LOANTAPE_WORK.LT002_INSTRUMENT' AS TABELA_SIMUL,'lcre'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lcre AS CAMPO_IT FROM CD_LOAN_TAPES_BCE.LT002_INSTRUMENT WHERE ref_date='${ref_date}' AND nome_perimetro='Individual Local' AND segmento='ESTR' AND ambito='PM' AND entidade='00100')X INNER JOIN (SELECT instrmnt_id AS CHAVE_SIMUL, lcre AS CAMPO_SIMUL FROM BU_LOANTAPE_WORK.LT002_INSTRUMENT WHERE ref_date='${ref_date}' AND nome_perimetro='Individual Local' AND segmento='ESTR' AND ambito='PM' AND entidade='00100')Y ON X.CHAVE_IT=Y.CHAVE_SIMUL</v>
      </c>
      <c r="N85" s="33" t="str">
        <f t="shared" si="3"/>
        <v>UNION ALL SELECT 'INSTRUMENT' AS TABELA, 'COERÊNCIA' AS TIPOLOGIA_TESTE,'CD_LOAN_TAPES_BCE.LT002_INSTRUMENT' AS TABELA_LT,'BU_LOANTAPE_WORK.LT002_INSTRUMENT' AS TABELA_SIMUL,'lcre'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lcre AS CAMPO_IT FROM CD_LOAN_TAPES_BCE.LT002_INSTRUMENT WHERE ref_date='${ref_date}' AND nome_perimetro='Individual Local' AND segmento='ESTR' AND ambito='PM' AND entidade='00100')X INNER JOIN (SELECT instrmnt_id AS CHAVE_SIMUL, lcre AS CAMPO_SIMUL FROM BU_LOANTAPE_WORK.LT002_INSTRUMENT WHERE ref_date='${ref_date}' AND nome_perimetro='Individual Local' AND segmento='ESTR' AND ambito='PM' AND entidade='00100')Y ON X.CHAVE_IT=Y.CHAVE_SIMUL</v>
      </c>
      <c r="O85" s="35" t="s">
        <v>35</v>
      </c>
    </row>
    <row r="86" spans="1:15">
      <c r="A86" s="57" t="str">
        <f t="shared" si="4"/>
        <v>Instrumentlgl_prcdng_stts</v>
      </c>
      <c r="B86" s="32" t="s">
        <v>9</v>
      </c>
      <c r="C86" s="32" t="s">
        <v>276</v>
      </c>
      <c r="D86" s="32" t="s">
        <v>5</v>
      </c>
      <c r="E86" s="32" t="str">
        <f>+UPPER('0. Instruções'!$D$35&amp;"."&amp;VLOOKUP(B86,'0. Instruções'!$C$27:$D$32,2,FALSE))</f>
        <v>CD_LOAN_TAPES_BCE.LT002_INSTRUMENT</v>
      </c>
      <c r="F86" s="32" t="str">
        <f>+UPPER('0. Instruções'!$D$36&amp;"."&amp;VLOOKUP(B86,'0. Instruções'!$C$27:$E$32,3,FALSE))</f>
        <v>BU_LOANTAPE_WORK.LT002_INSTRUMENT</v>
      </c>
      <c r="H86" s="32"/>
      <c r="I86" s="32"/>
      <c r="J86" s="32" t="str">
        <f>IF(VLOOKUP(B86,'0. Instruções'!$C$27:$G$32,5,FALSE)=0,
"(SELECT "&amp;VLOOKUP(B86,'0. Instruções'!$C$27:$G$32,4,FALSE)&amp;" AS CHAVE_IT, "&amp;C86&amp;" AS CAMPO_IT FROM "&amp;E86&amp;" WHERE "&amp;'0. Instruções'!$D$43&amp;")X",
"(SELECT "&amp;VLOOKUP(B86,'0. Instruções'!$C$27:$G$32,4,FALSE)&amp;" AS CHAVE_IT1, "&amp;VLOOKUP(B86,'0. Instruções'!$C$27:$G$32,5,FALSE)&amp;" AS CHAVE_IT2, "&amp;C86&amp;" AS CAMPO_IT FROM "&amp;E86&amp;" WHERE "&amp;'0. Instruções'!$D$43&amp;")X")</f>
        <v>(SELECT instrmnt_id AS CHAVE_IT, lgl_prcdng_stts AS CAMPO_IT FROM CD_LOAN_TAPES_BCE.LT002_INSTRUMENT WHERE ref_date='${ref_date}' AND nome_perimetro='Individual Local' AND segmento='ESTR' AND ambito='PM' AND entidade='00100')X</v>
      </c>
      <c r="K86" s="32" t="str">
        <f>IF(VLOOKUP(B86,'0. Instruções'!$C$27:$G$32,5,FALSE)=0,
"(SELECT "&amp;VLOOKUP(B86,'0. Instruções'!$C$27:$G$32,4,FALSE)&amp;" AS CHAVE_SIMUL, "&amp;C86&amp;" AS CAMPO_SIMUL FROM "&amp;F86&amp;" WHERE "&amp;'0. Instruções'!$D$42&amp;")Y",
"(SELECT "&amp;VLOOKUP(B86,'0. Instruções'!$C$27:$G$32,4,FALSE)&amp;" AS CHAVE_SIMUL1, "&amp;VLOOKUP(B86,'0. Instruções'!$C$27:$G$32,5,FALSE)&amp;" AS CHAVE_SIMUL2, "&amp;C86&amp;" AS CAMPO_SIMUL FROM "&amp;F86&amp;" WHERE "&amp;'0. Instruções'!$D$42&amp;")Y")</f>
        <v>(SELECT instrmnt_id AS CHAVE_SIMUL, lgl_prcdng_stts AS CAMPO_SIMUL FROM BU_LOANTAPE_WORK.LT002_INSTRUMENT WHERE ref_date='${ref_date}' AND nome_perimetro='Individual Local' AND segmento='ESTR' AND ambito='PM' AND entidade='00100')Y</v>
      </c>
      <c r="L86" s="32" t="str">
        <f>IF(VLOOKUP(B86,'0. Instruções'!$C$27:$G$32,5,FALSE)=0,
"ON X.CHAVE_IT=Y.CHAVE_SIMUL",
"ON X.CHAVE_IT1=Y.CHAVE_SIMUL1 AND X.CHAVE_IT2=Y.CHAVE_SIMUL2")</f>
        <v>ON X.CHAVE_IT=Y.CHAVE_SIMUL</v>
      </c>
      <c r="M86" s="32" t="str">
        <f>+IF(D86="Coerência",+IF(LEFT(H86,5)="FLOAT","SELECT '"&amp;UPPER(B86)&amp;"' AS TABELA, '"&amp;UPPER(D86)&amp;"' AS TIPOLOGIA_TESTE,'"&amp;E86&amp;"' AS TABELA_LT,'"&amp;F86&amp;"' AS TABELA_SIMUL,'"&amp;C86&amp;"'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"&amp;J86&amp;" INNER JOIN "&amp;K86&amp;" "&amp;L86,"SELECT '"&amp;UPPER(B86)&amp;"' AS TABELA, '"&amp;UPPER(D86)&amp;"' AS TIPOLOGIA_TESTE,'"&amp;E86&amp;"' AS TABELA_LT,'"&amp;F86&amp;"' AS TABELA_SIMUL,'"&amp;C86&amp;"'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"&amp;J86&amp;" INNER JOIN "&amp;K86&amp;" "&amp;L86))</f>
        <v>SELECT 'INSTRUMENT' AS TABELA, 'COERÊNCIA' AS TIPOLOGIA_TESTE,'CD_LOAN_TAPES_BCE.LT002_INSTRUMENT' AS TABELA_LT,'BU_LOANTAPE_WORK.LT002_INSTRUMENT' AS TABELA_SIMUL,'lgl_prcdng_stts'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lgl_prcdng_stts AS CAMPO_IT FROM CD_LOAN_TAPES_BCE.LT002_INSTRUMENT WHERE ref_date='${ref_date}' AND nome_perimetro='Individual Local' AND segmento='ESTR' AND ambito='PM' AND entidade='00100')X INNER JOIN (SELECT instrmnt_id AS CHAVE_SIMUL, lgl_prcdng_stts AS CAMPO_SIMUL FROM BU_LOANTAPE_WORK.LT002_INSTRUMENT WHERE ref_date='${ref_date}' AND nome_perimetro='Individual Local' AND segmento='ESTR' AND ambito='PM' AND entidade='00100')Y ON X.CHAVE_IT=Y.CHAVE_SIMUL</v>
      </c>
      <c r="N86" s="33" t="str">
        <f t="shared" si="3"/>
        <v>UNION ALL SELECT 'INSTRUMENT' AS TABELA, 'COERÊNCIA' AS TIPOLOGIA_TESTE,'CD_LOAN_TAPES_BCE.LT002_INSTRUMENT' AS TABELA_LT,'BU_LOANTAPE_WORK.LT002_INSTRUMENT' AS TABELA_SIMUL,'lgl_prcdng_stts'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lgl_prcdng_stts AS CAMPO_IT FROM CD_LOAN_TAPES_BCE.LT002_INSTRUMENT WHERE ref_date='${ref_date}' AND nome_perimetro='Individual Local' AND segmento='ESTR' AND ambito='PM' AND entidade='00100')X INNER JOIN (SELECT instrmnt_id AS CHAVE_SIMUL, lgl_prcdng_stts AS CAMPO_SIMUL FROM BU_LOANTAPE_WORK.LT002_INSTRUMENT WHERE ref_date='${ref_date}' AND nome_perimetro='Individual Local' AND segmento='ESTR' AND ambito='PM' AND entidade='00100')Y ON X.CHAVE_IT=Y.CHAVE_SIMUL</v>
      </c>
      <c r="O86" s="35" t="s">
        <v>35</v>
      </c>
    </row>
    <row r="87" spans="1:15">
      <c r="A87" s="57" t="str">
        <f t="shared" si="4"/>
        <v>Instrumentlnd_drgtn</v>
      </c>
      <c r="B87" s="32" t="s">
        <v>9</v>
      </c>
      <c r="C87" s="32" t="s">
        <v>277</v>
      </c>
      <c r="D87" s="32" t="s">
        <v>5</v>
      </c>
      <c r="E87" s="32" t="str">
        <f>+UPPER('0. Instruções'!$D$35&amp;"."&amp;VLOOKUP(B87,'0. Instruções'!$C$27:$D$32,2,FALSE))</f>
        <v>CD_LOAN_TAPES_BCE.LT002_INSTRUMENT</v>
      </c>
      <c r="F87" s="32" t="str">
        <f>+UPPER('0. Instruções'!$D$36&amp;"."&amp;VLOOKUP(B87,'0. Instruções'!$C$27:$E$32,3,FALSE))</f>
        <v>BU_LOANTAPE_WORK.LT002_INSTRUMENT</v>
      </c>
      <c r="H87" s="32"/>
      <c r="I87" s="32"/>
      <c r="J87" s="32" t="str">
        <f>IF(VLOOKUP(B87,'0. Instruções'!$C$27:$G$32,5,FALSE)=0,
"(SELECT "&amp;VLOOKUP(B87,'0. Instruções'!$C$27:$G$32,4,FALSE)&amp;" AS CHAVE_IT, "&amp;C87&amp;" AS CAMPO_IT FROM "&amp;E87&amp;" WHERE "&amp;'0. Instruções'!$D$43&amp;")X",
"(SELECT "&amp;VLOOKUP(B87,'0. Instruções'!$C$27:$G$32,4,FALSE)&amp;" AS CHAVE_IT1, "&amp;VLOOKUP(B87,'0. Instruções'!$C$27:$G$32,5,FALSE)&amp;" AS CHAVE_IT2, "&amp;C87&amp;" AS CAMPO_IT FROM "&amp;E87&amp;" WHERE "&amp;'0. Instruções'!$D$43&amp;")X")</f>
        <v>(SELECT instrmnt_id AS CHAVE_IT, lnd_drgtn AS CAMPO_IT FROM CD_LOAN_TAPES_BCE.LT002_INSTRUMENT WHERE ref_date='${ref_date}' AND nome_perimetro='Individual Local' AND segmento='ESTR' AND ambito='PM' AND entidade='00100')X</v>
      </c>
      <c r="K87" s="32" t="str">
        <f>IF(VLOOKUP(B87,'0. Instruções'!$C$27:$G$32,5,FALSE)=0,
"(SELECT "&amp;VLOOKUP(B87,'0. Instruções'!$C$27:$G$32,4,FALSE)&amp;" AS CHAVE_SIMUL, "&amp;C87&amp;" AS CAMPO_SIMUL FROM "&amp;F87&amp;" WHERE "&amp;'0. Instruções'!$D$42&amp;")Y",
"(SELECT "&amp;VLOOKUP(B87,'0. Instruções'!$C$27:$G$32,4,FALSE)&amp;" AS CHAVE_SIMUL1, "&amp;VLOOKUP(B87,'0. Instruções'!$C$27:$G$32,5,FALSE)&amp;" AS CHAVE_SIMUL2, "&amp;C87&amp;" AS CAMPO_SIMUL FROM "&amp;F87&amp;" WHERE "&amp;'0. Instruções'!$D$42&amp;")Y")</f>
        <v>(SELECT instrmnt_id AS CHAVE_SIMUL, lnd_drgtn AS CAMPO_SIMUL FROM BU_LOANTAPE_WORK.LT002_INSTRUMENT WHERE ref_date='${ref_date}' AND nome_perimetro='Individual Local' AND segmento='ESTR' AND ambito='PM' AND entidade='00100')Y</v>
      </c>
      <c r="L87" s="32" t="str">
        <f>IF(VLOOKUP(B87,'0. Instruções'!$C$27:$G$32,5,FALSE)=0,
"ON X.CHAVE_IT=Y.CHAVE_SIMUL",
"ON X.CHAVE_IT1=Y.CHAVE_SIMUL1 AND X.CHAVE_IT2=Y.CHAVE_SIMUL2")</f>
        <v>ON X.CHAVE_IT=Y.CHAVE_SIMUL</v>
      </c>
      <c r="M87" s="32" t="str">
        <f>+IF(D87="Coerência",+IF(LEFT(H87,5)="FLOAT","SELECT '"&amp;UPPER(B87)&amp;"' AS TABELA, '"&amp;UPPER(D87)&amp;"' AS TIPOLOGIA_TESTE,'"&amp;E87&amp;"' AS TABELA_LT,'"&amp;F87&amp;"' AS TABELA_SIMUL,'"&amp;C87&amp;"'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"&amp;J87&amp;" INNER JOIN "&amp;K87&amp;" "&amp;L87,"SELECT '"&amp;UPPER(B87)&amp;"' AS TABELA, '"&amp;UPPER(D87)&amp;"' AS TIPOLOGIA_TESTE,'"&amp;E87&amp;"' AS TABELA_LT,'"&amp;F87&amp;"' AS TABELA_SIMUL,'"&amp;C87&amp;"'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"&amp;J87&amp;" INNER JOIN "&amp;K87&amp;" "&amp;L87))</f>
        <v>SELECT 'INSTRUMENT' AS TABELA, 'COERÊNCIA' AS TIPOLOGIA_TESTE,'CD_LOAN_TAPES_BCE.LT002_INSTRUMENT' AS TABELA_LT,'BU_LOANTAPE_WORK.LT002_INSTRUMENT' AS TABELA_SIMUL,'lnd_drgtn'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lnd_drgtn AS CAMPO_IT FROM CD_LOAN_TAPES_BCE.LT002_INSTRUMENT WHERE ref_date='${ref_date}' AND nome_perimetro='Individual Local' AND segmento='ESTR' AND ambito='PM' AND entidade='00100')X INNER JOIN (SELECT instrmnt_id AS CHAVE_SIMUL, lnd_drgtn AS CAMPO_SIMUL FROM BU_LOANTAPE_WORK.LT002_INSTRUMENT WHERE ref_date='${ref_date}' AND nome_perimetro='Individual Local' AND segmento='ESTR' AND ambito='PM' AND entidade='00100')Y ON X.CHAVE_IT=Y.CHAVE_SIMUL</v>
      </c>
      <c r="N87" s="33" t="str">
        <f t="shared" si="3"/>
        <v>UNION ALL SELECT 'INSTRUMENT' AS TABELA, 'COERÊNCIA' AS TIPOLOGIA_TESTE,'CD_LOAN_TAPES_BCE.LT002_INSTRUMENT' AS TABELA_LT,'BU_LOANTAPE_WORK.LT002_INSTRUMENT' AS TABELA_SIMUL,'lnd_drgtn'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lnd_drgtn AS CAMPO_IT FROM CD_LOAN_TAPES_BCE.LT002_INSTRUMENT WHERE ref_date='${ref_date}' AND nome_perimetro='Individual Local' AND segmento='ESTR' AND ambito='PM' AND entidade='00100')X INNER JOIN (SELECT instrmnt_id AS CHAVE_SIMUL, lnd_drgtn AS CAMPO_SIMUL FROM BU_LOANTAPE_WORK.LT002_INSTRUMENT WHERE ref_date='${ref_date}' AND nome_perimetro='Individual Local' AND segmento='ESTR' AND ambito='PM' AND entidade='00100')Y ON X.CHAVE_IT=Y.CHAVE_SIMUL</v>
      </c>
      <c r="O87" s="35" t="s">
        <v>35</v>
      </c>
    </row>
    <row r="88" spans="1:15">
      <c r="A88" s="57" t="str">
        <f t="shared" si="4"/>
        <v>Instrumentpoci</v>
      </c>
      <c r="B88" s="32" t="s">
        <v>9</v>
      </c>
      <c r="C88" s="32" t="s">
        <v>278</v>
      </c>
      <c r="D88" s="32" t="s">
        <v>5</v>
      </c>
      <c r="E88" s="32" t="str">
        <f>+UPPER('0. Instruções'!$D$35&amp;"."&amp;VLOOKUP(B88,'0. Instruções'!$C$27:$D$32,2,FALSE))</f>
        <v>CD_LOAN_TAPES_BCE.LT002_INSTRUMENT</v>
      </c>
      <c r="F88" s="32" t="str">
        <f>+UPPER('0. Instruções'!$D$36&amp;"."&amp;VLOOKUP(B88,'0. Instruções'!$C$27:$E$32,3,FALSE))</f>
        <v>BU_LOANTAPE_WORK.LT002_INSTRUMENT</v>
      </c>
      <c r="H88" s="32"/>
      <c r="I88" s="32"/>
      <c r="J88" s="32" t="str">
        <f>IF(VLOOKUP(B88,'0. Instruções'!$C$27:$G$32,5,FALSE)=0,
"(SELECT "&amp;VLOOKUP(B88,'0. Instruções'!$C$27:$G$32,4,FALSE)&amp;" AS CHAVE_IT, "&amp;C88&amp;" AS CAMPO_IT FROM "&amp;E88&amp;" WHERE "&amp;'0. Instruções'!$D$43&amp;")X",
"(SELECT "&amp;VLOOKUP(B88,'0. Instruções'!$C$27:$G$32,4,FALSE)&amp;" AS CHAVE_IT1, "&amp;VLOOKUP(B88,'0. Instruções'!$C$27:$G$32,5,FALSE)&amp;" AS CHAVE_IT2, "&amp;C88&amp;" AS CAMPO_IT FROM "&amp;E88&amp;" WHERE "&amp;'0. Instruções'!$D$43&amp;")X")</f>
        <v>(SELECT instrmnt_id AS CHAVE_IT, poci AS CAMPO_IT FROM CD_LOAN_TAPES_BCE.LT002_INSTRUMENT WHERE ref_date='${ref_date}' AND nome_perimetro='Individual Local' AND segmento='ESTR' AND ambito='PM' AND entidade='00100')X</v>
      </c>
      <c r="K88" s="32" t="str">
        <f>IF(VLOOKUP(B88,'0. Instruções'!$C$27:$G$32,5,FALSE)=0,
"(SELECT "&amp;VLOOKUP(B88,'0. Instruções'!$C$27:$G$32,4,FALSE)&amp;" AS CHAVE_SIMUL, "&amp;C88&amp;" AS CAMPO_SIMUL FROM "&amp;F88&amp;" WHERE "&amp;'0. Instruções'!$D$42&amp;")Y",
"(SELECT "&amp;VLOOKUP(B88,'0. Instruções'!$C$27:$G$32,4,FALSE)&amp;" AS CHAVE_SIMUL1, "&amp;VLOOKUP(B88,'0. Instruções'!$C$27:$G$32,5,FALSE)&amp;" AS CHAVE_SIMUL2, "&amp;C88&amp;" AS CAMPO_SIMUL FROM "&amp;F88&amp;" WHERE "&amp;'0. Instruções'!$D$42&amp;")Y")</f>
        <v>(SELECT instrmnt_id AS CHAVE_SIMUL, poci AS CAMPO_SIMUL FROM BU_LOANTAPE_WORK.LT002_INSTRUMENT WHERE ref_date='${ref_date}' AND nome_perimetro='Individual Local' AND segmento='ESTR' AND ambito='PM' AND entidade='00100')Y</v>
      </c>
      <c r="L88" s="32" t="str">
        <f>IF(VLOOKUP(B88,'0. Instruções'!$C$27:$G$32,5,FALSE)=0,
"ON X.CHAVE_IT=Y.CHAVE_SIMUL",
"ON X.CHAVE_IT1=Y.CHAVE_SIMUL1 AND X.CHAVE_IT2=Y.CHAVE_SIMUL2")</f>
        <v>ON X.CHAVE_IT=Y.CHAVE_SIMUL</v>
      </c>
      <c r="M88" s="32" t="str">
        <f>+IF(D88="Coerência",+IF(LEFT(H88,5)="FLOAT","SELECT '"&amp;UPPER(B88)&amp;"' AS TABELA, '"&amp;UPPER(D88)&amp;"' AS TIPOLOGIA_TESTE,'"&amp;E88&amp;"' AS TABELA_LT,'"&amp;F88&amp;"' AS TABELA_SIMUL,'"&amp;C88&amp;"'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"&amp;J88&amp;" INNER JOIN "&amp;K88&amp;" "&amp;L88,"SELECT '"&amp;UPPER(B88)&amp;"' AS TABELA, '"&amp;UPPER(D88)&amp;"' AS TIPOLOGIA_TESTE,'"&amp;E88&amp;"' AS TABELA_LT,'"&amp;F88&amp;"' AS TABELA_SIMUL,'"&amp;C88&amp;"'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"&amp;J88&amp;" INNER JOIN "&amp;K88&amp;" "&amp;L88))</f>
        <v>SELECT 'INSTRUMENT' AS TABELA, 'COERÊNCIA' AS TIPOLOGIA_TESTE,'CD_LOAN_TAPES_BCE.LT002_INSTRUMENT' AS TABELA_LT,'BU_LOANTAPE_WORK.LT002_INSTRUMENT' AS TABELA_SIMUL,'poci'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poci AS CAMPO_IT FROM CD_LOAN_TAPES_BCE.LT002_INSTRUMENT WHERE ref_date='${ref_date}' AND nome_perimetro='Individual Local' AND segmento='ESTR' AND ambito='PM' AND entidade='00100')X INNER JOIN (SELECT instrmnt_id AS CHAVE_SIMUL, poci AS CAMPO_SIMUL FROM BU_LOANTAPE_WORK.LT002_INSTRUMENT WHERE ref_date='${ref_date}' AND nome_perimetro='Individual Local' AND segmento='ESTR' AND ambito='PM' AND entidade='00100')Y ON X.CHAVE_IT=Y.CHAVE_SIMUL</v>
      </c>
      <c r="N88" s="33" t="str">
        <f t="shared" si="3"/>
        <v>UNION ALL SELECT 'INSTRUMENT' AS TABELA, 'COERÊNCIA' AS TIPOLOGIA_TESTE,'CD_LOAN_TAPES_BCE.LT002_INSTRUMENT' AS TABELA_LT,'BU_LOANTAPE_WORK.LT002_INSTRUMENT' AS TABELA_SIMUL,'poci'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poci AS CAMPO_IT FROM CD_LOAN_TAPES_BCE.LT002_INSTRUMENT WHERE ref_date='${ref_date}' AND nome_perimetro='Individual Local' AND segmento='ESTR' AND ambito='PM' AND entidade='00100')X INNER JOIN (SELECT instrmnt_id AS CHAVE_SIMUL, poci AS CAMPO_SIMUL FROM BU_LOANTAPE_WORK.LT002_INSTRUMENT WHERE ref_date='${ref_date}' AND nome_perimetro='Individual Local' AND segmento='ESTR' AND ambito='PM' AND entidade='00100')Y ON X.CHAVE_IT=Y.CHAVE_SIMUL</v>
      </c>
      <c r="O88" s="35" t="s">
        <v>35</v>
      </c>
    </row>
    <row r="89" spans="1:15">
      <c r="A89" s="57" t="str">
        <f t="shared" si="4"/>
        <v>Instrumentprfrmng_stts</v>
      </c>
      <c r="B89" s="32" t="s">
        <v>9</v>
      </c>
      <c r="C89" s="32" t="s">
        <v>137</v>
      </c>
      <c r="D89" s="32" t="s">
        <v>5</v>
      </c>
      <c r="E89" s="32" t="str">
        <f>+UPPER('0. Instruções'!$D$35&amp;"."&amp;VLOOKUP(B89,'0. Instruções'!$C$27:$D$32,2,FALSE))</f>
        <v>CD_LOAN_TAPES_BCE.LT002_INSTRUMENT</v>
      </c>
      <c r="F89" s="32" t="str">
        <f>+UPPER('0. Instruções'!$D$36&amp;"."&amp;VLOOKUP(B89,'0. Instruções'!$C$27:$E$32,3,FALSE))</f>
        <v>BU_LOANTAPE_WORK.LT002_INSTRUMENT</v>
      </c>
      <c r="H89" s="32"/>
      <c r="I89" s="32"/>
      <c r="J89" s="32" t="str">
        <f>IF(VLOOKUP(B89,'0. Instruções'!$C$27:$G$32,5,FALSE)=0,
"(SELECT "&amp;VLOOKUP(B89,'0. Instruções'!$C$27:$G$32,4,FALSE)&amp;" AS CHAVE_IT, "&amp;C89&amp;" AS CAMPO_IT FROM "&amp;E89&amp;" WHERE "&amp;'0. Instruções'!$D$43&amp;")X",
"(SELECT "&amp;VLOOKUP(B89,'0. Instruções'!$C$27:$G$32,4,FALSE)&amp;" AS CHAVE_IT1, "&amp;VLOOKUP(B89,'0. Instruções'!$C$27:$G$32,5,FALSE)&amp;" AS CHAVE_IT2, "&amp;C89&amp;" AS CAMPO_IT FROM "&amp;E89&amp;" WHERE "&amp;'0. Instruções'!$D$43&amp;")X")</f>
        <v>(SELECT instrmnt_id AS CHAVE_IT, prfrmng_stts AS CAMPO_IT FROM CD_LOAN_TAPES_BCE.LT002_INSTRUMENT WHERE ref_date='${ref_date}' AND nome_perimetro='Individual Local' AND segmento='ESTR' AND ambito='PM' AND entidade='00100')X</v>
      </c>
      <c r="K89" s="32" t="str">
        <f>IF(VLOOKUP(B89,'0. Instruções'!$C$27:$G$32,5,FALSE)=0,
"(SELECT "&amp;VLOOKUP(B89,'0. Instruções'!$C$27:$G$32,4,FALSE)&amp;" AS CHAVE_SIMUL, "&amp;C89&amp;" AS CAMPO_SIMUL FROM "&amp;F89&amp;" WHERE "&amp;'0. Instruções'!$D$42&amp;")Y",
"(SELECT "&amp;VLOOKUP(B89,'0. Instruções'!$C$27:$G$32,4,FALSE)&amp;" AS CHAVE_SIMUL1, "&amp;VLOOKUP(B89,'0. Instruções'!$C$27:$G$32,5,FALSE)&amp;" AS CHAVE_SIMUL2, "&amp;C89&amp;" AS CAMPO_SIMUL FROM "&amp;F89&amp;" WHERE "&amp;'0. Instruções'!$D$42&amp;")Y")</f>
        <v>(SELECT instrmnt_id AS CHAVE_SIMUL, prfrmng_stts AS CAMPO_SIMUL FROM BU_LOANTAPE_WORK.LT002_INSTRUMENT WHERE ref_date='${ref_date}' AND nome_perimetro='Individual Local' AND segmento='ESTR' AND ambito='PM' AND entidade='00100')Y</v>
      </c>
      <c r="L89" s="32" t="str">
        <f>IF(VLOOKUP(B89,'0. Instruções'!$C$27:$G$32,5,FALSE)=0,
"ON X.CHAVE_IT=Y.CHAVE_SIMUL",
"ON X.CHAVE_IT1=Y.CHAVE_SIMUL1 AND X.CHAVE_IT2=Y.CHAVE_SIMUL2")</f>
        <v>ON X.CHAVE_IT=Y.CHAVE_SIMUL</v>
      </c>
      <c r="M89" s="32" t="str">
        <f>+IF(D89="Coerência",+IF(LEFT(H89,5)="FLOAT","SELECT '"&amp;UPPER(B89)&amp;"' AS TABELA, '"&amp;UPPER(D89)&amp;"' AS TIPOLOGIA_TESTE,'"&amp;E89&amp;"' AS TABELA_LT,'"&amp;F89&amp;"' AS TABELA_SIMUL,'"&amp;C89&amp;"'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"&amp;J89&amp;" INNER JOIN "&amp;K89&amp;" "&amp;L89,"SELECT '"&amp;UPPER(B89)&amp;"' AS TABELA, '"&amp;UPPER(D89)&amp;"' AS TIPOLOGIA_TESTE,'"&amp;E89&amp;"' AS TABELA_LT,'"&amp;F89&amp;"' AS TABELA_SIMUL,'"&amp;C89&amp;"'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"&amp;J89&amp;" INNER JOIN "&amp;K89&amp;" "&amp;L89))</f>
        <v>SELECT 'INSTRUMENT' AS TABELA, 'COERÊNCIA' AS TIPOLOGIA_TESTE,'CD_LOAN_TAPES_BCE.LT002_INSTRUMENT' AS TABELA_LT,'BU_LOANTAPE_WORK.LT002_INSTRUMENT' AS TABELA_SIMUL,'prfrmng_stts'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 AS CAMPO_IT FROM CD_LOAN_TAPES_BCE.LT002_INSTRUMENT WHERE ref_date='${ref_date}' AND nome_perimetro='Individual Local' AND segmento='ESTR' AND ambito='PM' AND entidade='00100')X INNER JOIN (SELECT instrmnt_id AS CHAVE_SIMUL, prfrmng_stts AS CAMPO_SIMUL FROM BU_LOANTAPE_WORK.LT002_INSTRUMENT WHERE ref_date='${ref_date}' AND nome_perimetro='Individual Local' AND segmento='ESTR' AND ambito='PM' AND entidade='00100')Y ON X.CHAVE_IT=Y.CHAVE_SIMUL</v>
      </c>
      <c r="N89" s="33" t="str">
        <f t="shared" si="3"/>
        <v>UNION ALL SELECT 'INSTRUMENT' AS TABELA, 'COERÊNCIA' AS TIPOLOGIA_TESTE,'CD_LOAN_TAPES_BCE.LT002_INSTRUMENT' AS TABELA_LT,'BU_LOANTAPE_WORK.LT002_INSTRUMENT' AS TABELA_SIMUL,'prfrmng_stts'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 AS CAMPO_IT FROM CD_LOAN_TAPES_BCE.LT002_INSTRUMENT WHERE ref_date='${ref_date}' AND nome_perimetro='Individual Local' AND segmento='ESTR' AND ambito='PM' AND entidade='00100')X INNER JOIN (SELECT instrmnt_id AS CHAVE_SIMUL, prfrmng_stts AS CAMPO_SIMUL FROM BU_LOANTAPE_WORK.LT002_INSTRUMENT WHERE ref_date='${ref_date}' AND nome_perimetro='Individual Local' AND segmento='ESTR' AND ambito='PM' AND entidade='00100')Y ON X.CHAVE_IT=Y.CHAVE_SIMUL</v>
      </c>
      <c r="O89" s="35" t="s">
        <v>35</v>
      </c>
    </row>
    <row r="90" spans="1:15">
      <c r="A90" s="57" t="str">
        <f t="shared" si="4"/>
        <v>Instrumentprfrmng_stts_prvs</v>
      </c>
      <c r="B90" s="32" t="s">
        <v>9</v>
      </c>
      <c r="C90" s="32" t="s">
        <v>84</v>
      </c>
      <c r="D90" s="32" t="s">
        <v>5</v>
      </c>
      <c r="E90" s="32" t="str">
        <f>+UPPER('0. Instruções'!$D$35&amp;"."&amp;VLOOKUP(B90,'0. Instruções'!$C$27:$D$32,2,FALSE))</f>
        <v>CD_LOAN_TAPES_BCE.LT002_INSTRUMENT</v>
      </c>
      <c r="F90" s="32" t="str">
        <f>+UPPER('0. Instruções'!$D$36&amp;"."&amp;VLOOKUP(B90,'0. Instruções'!$C$27:$E$32,3,FALSE))</f>
        <v>BU_LOANTAPE_WORK.LT002_INSTRUMENT</v>
      </c>
      <c r="H90" s="32"/>
      <c r="I90" s="32"/>
      <c r="J90" s="32" t="str">
        <f>IF(VLOOKUP(B90,'0. Instruções'!$C$27:$G$32,5,FALSE)=0,
"(SELECT "&amp;VLOOKUP(B90,'0. Instruções'!$C$27:$G$32,4,FALSE)&amp;" AS CHAVE_IT, "&amp;C90&amp;" AS CAMPO_IT FROM "&amp;E90&amp;" WHERE "&amp;'0. Instruções'!$D$43&amp;")X",
"(SELECT "&amp;VLOOKUP(B90,'0. Instruções'!$C$27:$G$32,4,FALSE)&amp;" AS CHAVE_IT1, "&amp;VLOOKUP(B90,'0. Instruções'!$C$27:$G$32,5,FALSE)&amp;" AS CHAVE_IT2, "&amp;C90&amp;" AS CAMPO_IT FROM "&amp;E90&amp;" WHERE "&amp;'0. Instruções'!$D$43&amp;")X")</f>
        <v>(SELECT instrmnt_id AS CHAVE_IT, prfrmng_stts_prvs AS CAMPO_IT FROM CD_LOAN_TAPES_BCE.LT002_INSTRUMENT WHERE ref_date='${ref_date}' AND nome_perimetro='Individual Local' AND segmento='ESTR' AND ambito='PM' AND entidade='00100')X</v>
      </c>
      <c r="K90" s="32" t="str">
        <f>IF(VLOOKUP(B90,'0. Instruções'!$C$27:$G$32,5,FALSE)=0,
"(SELECT "&amp;VLOOKUP(B90,'0. Instruções'!$C$27:$G$32,4,FALSE)&amp;" AS CHAVE_SIMUL, "&amp;C90&amp;" AS CAMPO_SIMUL FROM "&amp;F90&amp;" WHERE "&amp;'0. Instruções'!$D$42&amp;")Y",
"(SELECT "&amp;VLOOKUP(B90,'0. Instruções'!$C$27:$G$32,4,FALSE)&amp;" AS CHAVE_SIMUL1, "&amp;VLOOKUP(B90,'0. Instruções'!$C$27:$G$32,5,FALSE)&amp;" AS CHAVE_SIMUL2, "&amp;C90&amp;" AS CAMPO_SIMUL FROM "&amp;F90&amp;" WHERE "&amp;'0. Instruções'!$D$42&amp;")Y")</f>
        <v>(SELECT instrmnt_id AS CHAVE_SIMUL, prfrmng_stts_prvs AS CAMPO_SIMUL FROM BU_LOANTAPE_WORK.LT002_INSTRUMENT WHERE ref_date='${ref_date}' AND nome_perimetro='Individual Local' AND segmento='ESTR' AND ambito='PM' AND entidade='00100')Y</v>
      </c>
      <c r="L90" s="32" t="str">
        <f>IF(VLOOKUP(B90,'0. Instruções'!$C$27:$G$32,5,FALSE)=0,
"ON X.CHAVE_IT=Y.CHAVE_SIMUL",
"ON X.CHAVE_IT1=Y.CHAVE_SIMUL1 AND X.CHAVE_IT2=Y.CHAVE_SIMUL2")</f>
        <v>ON X.CHAVE_IT=Y.CHAVE_SIMUL</v>
      </c>
      <c r="M90" s="32" t="str">
        <f>+IF(D90="Coerência",+IF(LEFT(H90,5)="FLOAT","SELECT '"&amp;UPPER(B90)&amp;"' AS TABELA, '"&amp;UPPER(D90)&amp;"' AS TIPOLOGIA_TESTE,'"&amp;E90&amp;"' AS TABELA_LT,'"&amp;F90&amp;"' AS TABELA_SIMUL,'"&amp;C90&amp;"'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"&amp;J90&amp;" INNER JOIN "&amp;K90&amp;" "&amp;L90,"SELECT '"&amp;UPPER(B90)&amp;"' AS TABELA, '"&amp;UPPER(D90)&amp;"' AS TIPOLOGIA_TESTE,'"&amp;E90&amp;"' AS TABELA_LT,'"&amp;F90&amp;"' AS TABELA_SIMUL,'"&amp;C90&amp;"'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"&amp;J90&amp;" INNER JOIN "&amp;K90&amp;" "&amp;L90))</f>
        <v>SELECT 'INSTRUMENT' AS TABELA, 'COERÊNCIA' AS TIPOLOGIA_TESTE,'CD_LOAN_TAPES_BCE.LT002_INSTRUMENT' AS TABELA_LT,'BU_LOANTAPE_WORK.LT002_INSTRUMENT' AS TABELA_SIMUL,'prfrmng_stts_prvs'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prfrmng_stts_prvs AS CAMPO_IT FROM CD_LOAN_TAPES_BCE.LT002_INSTRUMENT WHERE ref_date='${ref_date}' AND nome_perimetro='Individual Local' AND segmento='ESTR' AND ambito='PM' AND entidade='00100')X INNER JOIN (SELECT instrmnt_id AS CHAVE_SIMUL, prfrmng_stts_prvs AS CAMPO_SIMUL FROM BU_LOANTAPE_WORK.LT002_INSTRUMENT WHERE ref_date='${ref_date}' AND nome_perimetro='Individual Local' AND segmento='ESTR' AND ambito='PM' AND entidade='00100')Y ON X.CHAVE_IT=Y.CHAVE_SIMUL</v>
      </c>
      <c r="N90" s="33" t="str">
        <f t="shared" si="3"/>
        <v>UNION ALL SELECT 'INSTRUMENT' AS TABELA, 'COERÊNCIA' AS TIPOLOGIA_TESTE,'CD_LOAN_TAPES_BCE.LT002_INSTRUMENT' AS TABELA_LT,'BU_LOANTAPE_WORK.LT002_INSTRUMENT' AS TABELA_SIMUL,'prfrmng_stts_prvs'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prfrmng_stts_prvs AS CAMPO_IT FROM CD_LOAN_TAPES_BCE.LT002_INSTRUMENT WHERE ref_date='${ref_date}' AND nome_perimetro='Individual Local' AND segmento='ESTR' AND ambito='PM' AND entidade='00100')X INNER JOIN (SELECT instrmnt_id AS CHAVE_SIMUL, prfrmng_stts_prvs AS CAMPO_SIMUL FROM BU_LOANTAPE_WORK.LT002_INSTRUMENT WHERE ref_date='${ref_date}' AND nome_perimetro='Individual Local' AND segmento='ESTR' AND ambito='PM' AND entidade='00100')Y ON X.CHAVE_IT=Y.CHAVE_SIMUL</v>
      </c>
      <c r="O90" s="35" t="s">
        <v>35</v>
      </c>
    </row>
    <row r="91" spans="1:15">
      <c r="A91" s="57" t="str">
        <f t="shared" si="4"/>
        <v>Instrumentprjct_fnnc_ln</v>
      </c>
      <c r="B91" s="32" t="s">
        <v>9</v>
      </c>
      <c r="C91" s="32" t="s">
        <v>138</v>
      </c>
      <c r="D91" s="32" t="s">
        <v>5</v>
      </c>
      <c r="E91" s="32" t="str">
        <f>+UPPER('0. Instruções'!$D$35&amp;"."&amp;VLOOKUP(B91,'0. Instruções'!$C$27:$D$32,2,FALSE))</f>
        <v>CD_LOAN_TAPES_BCE.LT002_INSTRUMENT</v>
      </c>
      <c r="F91" s="32" t="str">
        <f>+UPPER('0. Instruções'!$D$36&amp;"."&amp;VLOOKUP(B91,'0. Instruções'!$C$27:$E$32,3,FALSE))</f>
        <v>BU_LOANTAPE_WORK.LT002_INSTRUMENT</v>
      </c>
      <c r="H91" s="32"/>
      <c r="I91" s="32"/>
      <c r="J91" s="32" t="str">
        <f>IF(VLOOKUP(B91,'0. Instruções'!$C$27:$G$32,5,FALSE)=0,
"(SELECT "&amp;VLOOKUP(B91,'0. Instruções'!$C$27:$G$32,4,FALSE)&amp;" AS CHAVE_IT, "&amp;C91&amp;" AS CAMPO_IT FROM "&amp;E91&amp;" WHERE "&amp;'0. Instruções'!$D$43&amp;")X",
"(SELECT "&amp;VLOOKUP(B91,'0. Instruções'!$C$27:$G$32,4,FALSE)&amp;" AS CHAVE_IT1, "&amp;VLOOKUP(B91,'0. Instruções'!$C$27:$G$32,5,FALSE)&amp;" AS CHAVE_IT2, "&amp;C91&amp;" AS CAMPO_IT FROM "&amp;E91&amp;" WHERE "&amp;'0. Instruções'!$D$43&amp;")X")</f>
        <v>(SELECT instrmnt_id AS CHAVE_IT, prjct_fnnc_ln AS CAMPO_IT FROM CD_LOAN_TAPES_BCE.LT002_INSTRUMENT WHERE ref_date='${ref_date}' AND nome_perimetro='Individual Local' AND segmento='ESTR' AND ambito='PM' AND entidade='00100')X</v>
      </c>
      <c r="K91" s="32" t="str">
        <f>IF(VLOOKUP(B91,'0. Instruções'!$C$27:$G$32,5,FALSE)=0,
"(SELECT "&amp;VLOOKUP(B91,'0. Instruções'!$C$27:$G$32,4,FALSE)&amp;" AS CHAVE_SIMUL, "&amp;C91&amp;" AS CAMPO_SIMUL FROM "&amp;F91&amp;" WHERE "&amp;'0. Instruções'!$D$42&amp;")Y",
"(SELECT "&amp;VLOOKUP(B91,'0. Instruções'!$C$27:$G$32,4,FALSE)&amp;" AS CHAVE_SIMUL1, "&amp;VLOOKUP(B91,'0. Instruções'!$C$27:$G$32,5,FALSE)&amp;" AS CHAVE_SIMUL2, "&amp;C91&amp;" AS CAMPO_SIMUL FROM "&amp;F91&amp;" WHERE "&amp;'0. Instruções'!$D$42&amp;")Y")</f>
        <v>(SELECT instrmnt_id AS CHAVE_SIMUL, prjct_fnnc_ln AS CAMPO_SIMUL FROM BU_LOANTAPE_WORK.LT002_INSTRUMENT WHERE ref_date='${ref_date}' AND nome_perimetro='Individual Local' AND segmento='ESTR' AND ambito='PM' AND entidade='00100')Y</v>
      </c>
      <c r="L91" s="32" t="str">
        <f>IF(VLOOKUP(B91,'0. Instruções'!$C$27:$G$32,5,FALSE)=0,
"ON X.CHAVE_IT=Y.CHAVE_SIMUL",
"ON X.CHAVE_IT1=Y.CHAVE_SIMUL1 AND X.CHAVE_IT2=Y.CHAVE_SIMUL2")</f>
        <v>ON X.CHAVE_IT=Y.CHAVE_SIMUL</v>
      </c>
      <c r="M91" s="32" t="str">
        <f>+IF(D91="Coerência",+IF(LEFT(H91,5)="FLOAT","SELECT '"&amp;UPPER(B91)&amp;"' AS TABELA, '"&amp;UPPER(D91)&amp;"' AS TIPOLOGIA_TESTE,'"&amp;E91&amp;"' AS TABELA_LT,'"&amp;F91&amp;"' AS TABELA_SIMUL,'"&amp;C91&amp;"'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"&amp;J91&amp;" INNER JOIN "&amp;K91&amp;" "&amp;L91,"SELECT '"&amp;UPPER(B91)&amp;"' AS TABELA, '"&amp;UPPER(D91)&amp;"' AS TIPOLOGIA_TESTE,'"&amp;E91&amp;"' AS TABELA_LT,'"&amp;F91&amp;"' AS TABELA_SIMUL,'"&amp;C91&amp;"'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"&amp;J91&amp;" INNER JOIN "&amp;K91&amp;" "&amp;L91))</f>
        <v>SELECT 'INSTRUMENT' AS TABELA, 'COERÊNCIA' AS TIPOLOGIA_TESTE,'CD_LOAN_TAPES_BCE.LT002_INSTRUMENT' AS TABELA_LT,'BU_LOANTAPE_WORK.LT002_INSTRUMENT' AS TABELA_SIMUL,'prjct_fnnc_ln'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prjct_fnnc_ln AS CAMPO_IT FROM CD_LOAN_TAPES_BCE.LT002_INSTRUMENT WHERE ref_date='${ref_date}' AND nome_perimetro='Individual Local' AND segmento='ESTR' AND ambito='PM' AND entidade='00100')X INNER JOIN (SELECT instrmnt_id AS CHAVE_SIMUL, prjct_fnnc_ln AS CAMPO_SIMUL FROM BU_LOANTAPE_WORK.LT002_INSTRUMENT WHERE ref_date='${ref_date}' AND nome_perimetro='Individual Local' AND segmento='ESTR' AND ambito='PM' AND entidade='00100')Y ON X.CHAVE_IT=Y.CHAVE_SIMUL</v>
      </c>
      <c r="N91" s="33" t="str">
        <f t="shared" si="3"/>
        <v>UNION ALL SELECT 'INSTRUMENT' AS TABELA, 'COERÊNCIA' AS TIPOLOGIA_TESTE,'CD_LOAN_TAPES_BCE.LT002_INSTRUMENT' AS TABELA_LT,'BU_LOANTAPE_WORK.LT002_INSTRUMENT' AS TABELA_SIMUL,'prjct_fnnc_ln'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prjct_fnnc_ln AS CAMPO_IT FROM CD_LOAN_TAPES_BCE.LT002_INSTRUMENT WHERE ref_date='${ref_date}' AND nome_perimetro='Individual Local' AND segmento='ESTR' AND ambito='PM' AND entidade='00100')X INNER JOIN (SELECT instrmnt_id AS CHAVE_SIMUL, prjct_fnnc_ln AS CAMPO_SIMUL FROM BU_LOANTAPE_WORK.LT002_INSTRUMENT WHERE ref_date='${ref_date}' AND nome_perimetro='Individual Local' AND segmento='ESTR' AND ambito='PM' AND entidade='00100')Y ON X.CHAVE_IT=Y.CHAVE_SIMUL</v>
      </c>
      <c r="O91" s="35" t="s">
        <v>35</v>
      </c>
    </row>
    <row r="92" spans="1:15">
      <c r="A92" s="57" t="str">
        <f t="shared" si="4"/>
        <v>Instrumentprps</v>
      </c>
      <c r="B92" s="32" t="s">
        <v>9</v>
      </c>
      <c r="C92" s="32" t="s">
        <v>279</v>
      </c>
      <c r="D92" s="32" t="s">
        <v>5</v>
      </c>
      <c r="E92" s="32" t="str">
        <f>+UPPER('0. Instruções'!$D$35&amp;"."&amp;VLOOKUP(B92,'0. Instruções'!$C$27:$D$32,2,FALSE))</f>
        <v>CD_LOAN_TAPES_BCE.LT002_INSTRUMENT</v>
      </c>
      <c r="F92" s="32" t="str">
        <f>+UPPER('0. Instruções'!$D$36&amp;"."&amp;VLOOKUP(B92,'0. Instruções'!$C$27:$E$32,3,FALSE))</f>
        <v>BU_LOANTAPE_WORK.LT002_INSTRUMENT</v>
      </c>
      <c r="H92" s="32"/>
      <c r="I92" s="32"/>
      <c r="J92" s="32" t="str">
        <f>IF(VLOOKUP(B92,'0. Instruções'!$C$27:$G$32,5,FALSE)=0,
"(SELECT "&amp;VLOOKUP(B92,'0. Instruções'!$C$27:$G$32,4,FALSE)&amp;" AS CHAVE_IT, "&amp;C92&amp;" AS CAMPO_IT FROM "&amp;E92&amp;" WHERE "&amp;'0. Instruções'!$D$43&amp;")X",
"(SELECT "&amp;VLOOKUP(B92,'0. Instruções'!$C$27:$G$32,4,FALSE)&amp;" AS CHAVE_IT1, "&amp;VLOOKUP(B92,'0. Instruções'!$C$27:$G$32,5,FALSE)&amp;" AS CHAVE_IT2, "&amp;C92&amp;" AS CAMPO_IT FROM "&amp;E92&amp;" WHERE "&amp;'0. Instruções'!$D$43&amp;")X")</f>
        <v>(SELECT instrmnt_id AS CHAVE_IT, prps AS CAMPO_IT FROM CD_LOAN_TAPES_BCE.LT002_INSTRUMENT WHERE ref_date='${ref_date}' AND nome_perimetro='Individual Local' AND segmento='ESTR' AND ambito='PM' AND entidade='00100')X</v>
      </c>
      <c r="K92" s="32" t="str">
        <f>IF(VLOOKUP(B92,'0. Instruções'!$C$27:$G$32,5,FALSE)=0,
"(SELECT "&amp;VLOOKUP(B92,'0. Instruções'!$C$27:$G$32,4,FALSE)&amp;" AS CHAVE_SIMUL, "&amp;C92&amp;" AS CAMPO_SIMUL FROM "&amp;F92&amp;" WHERE "&amp;'0. Instruções'!$D$42&amp;")Y",
"(SELECT "&amp;VLOOKUP(B92,'0. Instruções'!$C$27:$G$32,4,FALSE)&amp;" AS CHAVE_SIMUL1, "&amp;VLOOKUP(B92,'0. Instruções'!$C$27:$G$32,5,FALSE)&amp;" AS CHAVE_SIMUL2, "&amp;C92&amp;" AS CAMPO_SIMUL FROM "&amp;F92&amp;" WHERE "&amp;'0. Instruções'!$D$42&amp;")Y")</f>
        <v>(SELECT instrmnt_id AS CHAVE_SIMUL, prps AS CAMPO_SIMUL FROM BU_LOANTAPE_WORK.LT002_INSTRUMENT WHERE ref_date='${ref_date}' AND nome_perimetro='Individual Local' AND segmento='ESTR' AND ambito='PM' AND entidade='00100')Y</v>
      </c>
      <c r="L92" s="32" t="str">
        <f>IF(VLOOKUP(B92,'0. Instruções'!$C$27:$G$32,5,FALSE)=0,
"ON X.CHAVE_IT=Y.CHAVE_SIMUL",
"ON X.CHAVE_IT1=Y.CHAVE_SIMUL1 AND X.CHAVE_IT2=Y.CHAVE_SIMUL2")</f>
        <v>ON X.CHAVE_IT=Y.CHAVE_SIMUL</v>
      </c>
      <c r="M92" s="32" t="str">
        <f>+IF(D92="Coerência",+IF(LEFT(H92,5)="FLOAT","SELECT '"&amp;UPPER(B92)&amp;"' AS TABELA, '"&amp;UPPER(D92)&amp;"' AS TIPOLOGIA_TESTE,'"&amp;E92&amp;"' AS TABELA_LT,'"&amp;F92&amp;"' AS TABELA_SIMUL,'"&amp;C92&amp;"'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"&amp;J92&amp;" INNER JOIN "&amp;K92&amp;" "&amp;L92,"SELECT '"&amp;UPPER(B92)&amp;"' AS TABELA, '"&amp;UPPER(D92)&amp;"' AS TIPOLOGIA_TESTE,'"&amp;E92&amp;"' AS TABELA_LT,'"&amp;F92&amp;"' AS TABELA_SIMUL,'"&amp;C92&amp;"'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"&amp;J92&amp;" INNER JOIN "&amp;K92&amp;" "&amp;L92))</f>
        <v>SELECT 'INSTRUMENT' AS TABELA, 'COERÊNCIA' AS TIPOLOGIA_TESTE,'CD_LOAN_TAPES_BCE.LT002_INSTRUMENT' AS TABELA_LT,'BU_LOANTAPE_WORK.LT002_INSTRUMENT' AS TABELA_SIMUL,'prps'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prps AS CAMPO_IT FROM CD_LOAN_TAPES_BCE.LT002_INSTRUMENT WHERE ref_date='${ref_date}' AND nome_perimetro='Individual Local' AND segmento='ESTR' AND ambito='PM' AND entidade='00100')X INNER JOIN (SELECT instrmnt_id AS CHAVE_SIMUL, prps AS CAMPO_SIMUL FROM BU_LOANTAPE_WORK.LT002_INSTRUMENT WHERE ref_date='${ref_date}' AND nome_perimetro='Individual Local' AND segmento='ESTR' AND ambito='PM' AND entidade='00100')Y ON X.CHAVE_IT=Y.CHAVE_SIMUL</v>
      </c>
      <c r="N92" s="33" t="str">
        <f t="shared" si="3"/>
        <v>UNION ALL SELECT 'INSTRUMENT' AS TABELA, 'COERÊNCIA' AS TIPOLOGIA_TESTE,'CD_LOAN_TAPES_BCE.LT002_INSTRUMENT' AS TABELA_LT,'BU_LOANTAPE_WORK.LT002_INSTRUMENT' AS TABELA_SIMUL,'prps'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prps AS CAMPO_IT FROM CD_LOAN_TAPES_BCE.LT002_INSTRUMENT WHERE ref_date='${ref_date}' AND nome_perimetro='Individual Local' AND segmento='ESTR' AND ambito='PM' AND entidade='00100')X INNER JOIN (SELECT instrmnt_id AS CHAVE_SIMUL, prps AS CAMPO_SIMUL FROM BU_LOANTAPE_WORK.LT002_INSTRUMENT WHERE ref_date='${ref_date}' AND nome_perimetro='Individual Local' AND segmento='ESTR' AND ambito='PM' AND entidade='00100')Y ON X.CHAVE_IT=Y.CHAVE_SIMUL</v>
      </c>
      <c r="O92" s="35" t="s">
        <v>35</v>
      </c>
    </row>
    <row r="93" spans="1:15">
      <c r="A93" s="57" t="str">
        <f t="shared" si="4"/>
        <v>Instrumentpymnt_intrst_only</v>
      </c>
      <c r="B93" s="32" t="s">
        <v>9</v>
      </c>
      <c r="C93" s="32" t="s">
        <v>280</v>
      </c>
      <c r="D93" s="32" t="s">
        <v>5</v>
      </c>
      <c r="E93" s="32" t="str">
        <f>+UPPER('0. Instruções'!$D$35&amp;"."&amp;VLOOKUP(B93,'0. Instruções'!$C$27:$D$32,2,FALSE))</f>
        <v>CD_LOAN_TAPES_BCE.LT002_INSTRUMENT</v>
      </c>
      <c r="F93" s="32" t="str">
        <f>+UPPER('0. Instruções'!$D$36&amp;"."&amp;VLOOKUP(B93,'0. Instruções'!$C$27:$E$32,3,FALSE))</f>
        <v>BU_LOANTAPE_WORK.LT002_INSTRUMENT</v>
      </c>
      <c r="H93" s="32"/>
      <c r="I93" s="32"/>
      <c r="J93" s="32" t="str">
        <f>IF(VLOOKUP(B93,'0. Instruções'!$C$27:$G$32,5,FALSE)=0,
"(SELECT "&amp;VLOOKUP(B93,'0. Instruções'!$C$27:$G$32,4,FALSE)&amp;" AS CHAVE_IT, "&amp;C93&amp;" AS CAMPO_IT FROM "&amp;E93&amp;" WHERE "&amp;'0. Instruções'!$D$43&amp;")X",
"(SELECT "&amp;VLOOKUP(B93,'0. Instruções'!$C$27:$G$32,4,FALSE)&amp;" AS CHAVE_IT1, "&amp;VLOOKUP(B93,'0. Instruções'!$C$27:$G$32,5,FALSE)&amp;" AS CHAVE_IT2, "&amp;C93&amp;" AS CAMPO_IT FROM "&amp;E93&amp;" WHERE "&amp;'0. Instruções'!$D$43&amp;")X")</f>
        <v>(SELECT instrmnt_id AS CHAVE_IT, pymnt_intrst_only AS CAMPO_IT FROM CD_LOAN_TAPES_BCE.LT002_INSTRUMENT WHERE ref_date='${ref_date}' AND nome_perimetro='Individual Local' AND segmento='ESTR' AND ambito='PM' AND entidade='00100')X</v>
      </c>
      <c r="K93" s="32" t="str">
        <f>IF(VLOOKUP(B93,'0. Instruções'!$C$27:$G$32,5,FALSE)=0,
"(SELECT "&amp;VLOOKUP(B93,'0. Instruções'!$C$27:$G$32,4,FALSE)&amp;" AS CHAVE_SIMUL, "&amp;C93&amp;" AS CAMPO_SIMUL FROM "&amp;F93&amp;" WHERE "&amp;'0. Instruções'!$D$42&amp;")Y",
"(SELECT "&amp;VLOOKUP(B93,'0. Instruções'!$C$27:$G$32,4,FALSE)&amp;" AS CHAVE_SIMUL1, "&amp;VLOOKUP(B93,'0. Instruções'!$C$27:$G$32,5,FALSE)&amp;" AS CHAVE_SIMUL2, "&amp;C93&amp;" AS CAMPO_SIMUL FROM "&amp;F93&amp;" WHERE "&amp;'0. Instruções'!$D$42&amp;")Y")</f>
        <v>(SELECT instrmnt_id AS CHAVE_SIMUL, pymnt_intrst_only AS CAMPO_SIMUL FROM BU_LOANTAPE_WORK.LT002_INSTRUMENT WHERE ref_date='${ref_date}' AND nome_perimetro='Individual Local' AND segmento='ESTR' AND ambito='PM' AND entidade='00100')Y</v>
      </c>
      <c r="L93" s="32" t="str">
        <f>IF(VLOOKUP(B93,'0. Instruções'!$C$27:$G$32,5,FALSE)=0,
"ON X.CHAVE_IT=Y.CHAVE_SIMUL",
"ON X.CHAVE_IT1=Y.CHAVE_SIMUL1 AND X.CHAVE_IT2=Y.CHAVE_SIMUL2")</f>
        <v>ON X.CHAVE_IT=Y.CHAVE_SIMUL</v>
      </c>
      <c r="M93" s="32" t="str">
        <f>+IF(D93="Coerência",+IF(LEFT(H93,5)="FLOAT","SELECT '"&amp;UPPER(B93)&amp;"' AS TABELA, '"&amp;UPPER(D93)&amp;"' AS TIPOLOGIA_TESTE,'"&amp;E93&amp;"' AS TABELA_LT,'"&amp;F93&amp;"' AS TABELA_SIMUL,'"&amp;C93&amp;"'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"&amp;J93&amp;" INNER JOIN "&amp;K93&amp;" "&amp;L93,"SELECT '"&amp;UPPER(B93)&amp;"' AS TABELA, '"&amp;UPPER(D93)&amp;"' AS TIPOLOGIA_TESTE,'"&amp;E93&amp;"' AS TABELA_LT,'"&amp;F93&amp;"' AS TABELA_SIMUL,'"&amp;C93&amp;"'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"&amp;J93&amp;" INNER JOIN "&amp;K93&amp;" "&amp;L93))</f>
        <v>SELECT 'INSTRUMENT' AS TABELA, 'COERÊNCIA' AS TIPOLOGIA_TESTE,'CD_LOAN_TAPES_BCE.LT002_INSTRUMENT' AS TABELA_LT,'BU_LOANTAPE_WORK.LT002_INSTRUMENT' AS TABELA_SIMUL,'pymnt_intrst_only'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pymnt_intrst_only AS CAMPO_IT FROM CD_LOAN_TAPES_BCE.LT002_INSTRUMENT WHERE ref_date='${ref_date}' AND nome_perimetro='Individual Local' AND segmento='ESTR' AND ambito='PM' AND entidade='00100')X INNER JOIN (SELECT instrmnt_id AS CHAVE_SIMUL, pymnt_intrst_only AS CAMPO_SIMUL FROM BU_LOANTAPE_WORK.LT002_INSTRUMENT WHERE ref_date='${ref_date}' AND nome_perimetro='Individual Local' AND segmento='ESTR' AND ambito='PM' AND entidade='00100')Y ON X.CHAVE_IT=Y.CHAVE_SIMUL</v>
      </c>
      <c r="N93" s="33" t="str">
        <f t="shared" si="3"/>
        <v>UNION ALL SELECT 'INSTRUMENT' AS TABELA, 'COERÊNCIA' AS TIPOLOGIA_TESTE,'CD_LOAN_TAPES_BCE.LT002_INSTRUMENT' AS TABELA_LT,'BU_LOANTAPE_WORK.LT002_INSTRUMENT' AS TABELA_SIMUL,'pymnt_intrst_only'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pymnt_intrst_only AS CAMPO_IT FROM CD_LOAN_TAPES_BCE.LT002_INSTRUMENT WHERE ref_date='${ref_date}' AND nome_perimetro='Individual Local' AND segmento='ESTR' AND ambito='PM' AND entidade='00100')X INNER JOIN (SELECT instrmnt_id AS CHAVE_SIMUL, pymnt_intrst_only AS CAMPO_SIMUL FROM BU_LOANTAPE_WORK.LT002_INSTRUMENT WHERE ref_date='${ref_date}' AND nome_perimetro='Individual Local' AND segmento='ESTR' AND ambito='PM' AND entidade='00100')Y ON X.CHAVE_IT=Y.CHAVE_SIMUL</v>
      </c>
      <c r="O93" s="35" t="s">
        <v>35</v>
      </c>
    </row>
    <row r="94" spans="1:15">
      <c r="A94" s="57" t="str">
        <f t="shared" si="4"/>
        <v>Instrumentrcrs</v>
      </c>
      <c r="B94" s="32" t="s">
        <v>9</v>
      </c>
      <c r="C94" s="32" t="s">
        <v>281</v>
      </c>
      <c r="D94" s="32" t="s">
        <v>5</v>
      </c>
      <c r="E94" s="32" t="str">
        <f>+UPPER('0. Instruções'!$D$35&amp;"."&amp;VLOOKUP(B94,'0. Instruções'!$C$27:$D$32,2,FALSE))</f>
        <v>CD_LOAN_TAPES_BCE.LT002_INSTRUMENT</v>
      </c>
      <c r="F94" s="32" t="str">
        <f>+UPPER('0. Instruções'!$D$36&amp;"."&amp;VLOOKUP(B94,'0. Instruções'!$C$27:$E$32,3,FALSE))</f>
        <v>BU_LOANTAPE_WORK.LT002_INSTRUMENT</v>
      </c>
      <c r="H94" s="32"/>
      <c r="I94" s="32"/>
      <c r="J94" s="32" t="str">
        <f>IF(VLOOKUP(B94,'0. Instruções'!$C$27:$G$32,5,FALSE)=0,
"(SELECT "&amp;VLOOKUP(B94,'0. Instruções'!$C$27:$G$32,4,FALSE)&amp;" AS CHAVE_IT, "&amp;C94&amp;" AS CAMPO_IT FROM "&amp;E94&amp;" WHERE "&amp;'0. Instruções'!$D$43&amp;")X",
"(SELECT "&amp;VLOOKUP(B94,'0. Instruções'!$C$27:$G$32,4,FALSE)&amp;" AS CHAVE_IT1, "&amp;VLOOKUP(B94,'0. Instruções'!$C$27:$G$32,5,FALSE)&amp;" AS CHAVE_IT2, "&amp;C94&amp;" AS CAMPO_IT FROM "&amp;E94&amp;" WHERE "&amp;'0. Instruções'!$D$43&amp;")X")</f>
        <v>(SELECT instrmnt_id AS CHAVE_IT, rcrs AS CAMPO_IT FROM CD_LOAN_TAPES_BCE.LT002_INSTRUMENT WHERE ref_date='${ref_date}' AND nome_perimetro='Individual Local' AND segmento='ESTR' AND ambito='PM' AND entidade='00100')X</v>
      </c>
      <c r="K94" s="32" t="str">
        <f>IF(VLOOKUP(B94,'0. Instruções'!$C$27:$G$32,5,FALSE)=0,
"(SELECT "&amp;VLOOKUP(B94,'0. Instruções'!$C$27:$G$32,4,FALSE)&amp;" AS CHAVE_SIMUL, "&amp;C94&amp;" AS CAMPO_SIMUL FROM "&amp;F94&amp;" WHERE "&amp;'0. Instruções'!$D$42&amp;")Y",
"(SELECT "&amp;VLOOKUP(B94,'0. Instruções'!$C$27:$G$32,4,FALSE)&amp;" AS CHAVE_SIMUL1, "&amp;VLOOKUP(B94,'0. Instruções'!$C$27:$G$32,5,FALSE)&amp;" AS CHAVE_SIMUL2, "&amp;C94&amp;" AS CAMPO_SIMUL FROM "&amp;F94&amp;" WHERE "&amp;'0. Instruções'!$D$42&amp;")Y")</f>
        <v>(SELECT instrmnt_id AS CHAVE_SIMUL, rcrs AS CAMPO_SIMUL FROM BU_LOANTAPE_WORK.LT002_INSTRUMENT WHERE ref_date='${ref_date}' AND nome_perimetro='Individual Local' AND segmento='ESTR' AND ambito='PM' AND entidade='00100')Y</v>
      </c>
      <c r="L94" s="32" t="str">
        <f>IF(VLOOKUP(B94,'0. Instruções'!$C$27:$G$32,5,FALSE)=0,
"ON X.CHAVE_IT=Y.CHAVE_SIMUL",
"ON X.CHAVE_IT1=Y.CHAVE_SIMUL1 AND X.CHAVE_IT2=Y.CHAVE_SIMUL2")</f>
        <v>ON X.CHAVE_IT=Y.CHAVE_SIMUL</v>
      </c>
      <c r="M94" s="32" t="str">
        <f>+IF(D94="Coerência",+IF(LEFT(H94,5)="FLOAT","SELECT '"&amp;UPPER(B94)&amp;"' AS TABELA, '"&amp;UPPER(D94)&amp;"' AS TIPOLOGIA_TESTE,'"&amp;E94&amp;"' AS TABELA_LT,'"&amp;F94&amp;"' AS TABELA_SIMUL,'"&amp;C94&amp;"'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"&amp;J94&amp;" INNER JOIN "&amp;K94&amp;" "&amp;L94,"SELECT '"&amp;UPPER(B94)&amp;"' AS TABELA, '"&amp;UPPER(D94)&amp;"' AS TIPOLOGIA_TESTE,'"&amp;E94&amp;"' AS TABELA_LT,'"&amp;F94&amp;"' AS TABELA_SIMUL,'"&amp;C94&amp;"'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"&amp;J94&amp;" INNER JOIN "&amp;K94&amp;" "&amp;L94))</f>
        <v>SELECT 'INSTRUMENT' AS TABELA, 'COERÊNCIA' AS TIPOLOGIA_TESTE,'CD_LOAN_TAPES_BCE.LT002_INSTRUMENT' AS TABELA_LT,'BU_LOANTAPE_WORK.LT002_INSTRUMENT' AS TABELA_SIMUL,'rcrs'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rcrs AS CAMPO_IT FROM CD_LOAN_TAPES_BCE.LT002_INSTRUMENT WHERE ref_date='${ref_date}' AND nome_perimetro='Individual Local' AND segmento='ESTR' AND ambito='PM' AND entidade='00100')X INNER JOIN (SELECT instrmnt_id AS CHAVE_SIMUL, rcrs AS CAMPO_SIMUL FROM BU_LOANTAPE_WORK.LT002_INSTRUMENT WHERE ref_date='${ref_date}' AND nome_perimetro='Individual Local' AND segmento='ESTR' AND ambito='PM' AND entidade='00100')Y ON X.CHAVE_IT=Y.CHAVE_SIMUL</v>
      </c>
      <c r="N94" s="33" t="str">
        <f t="shared" si="3"/>
        <v>UNION ALL SELECT 'INSTRUMENT' AS TABELA, 'COERÊNCIA' AS TIPOLOGIA_TESTE,'CD_LOAN_TAPES_BCE.LT002_INSTRUMENT' AS TABELA_LT,'BU_LOANTAPE_WORK.LT002_INSTRUMENT' AS TABELA_SIMUL,'rcrs'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rcrs AS CAMPO_IT FROM CD_LOAN_TAPES_BCE.LT002_INSTRUMENT WHERE ref_date='${ref_date}' AND nome_perimetro='Individual Local' AND segmento='ESTR' AND ambito='PM' AND entidade='00100')X INNER JOIN (SELECT instrmnt_id AS CHAVE_SIMUL, rcrs AS CAMPO_SIMUL FROM BU_LOANTAPE_WORK.LT002_INSTRUMENT WHERE ref_date='${ref_date}' AND nome_perimetro='Individual Local' AND segmento='ESTR' AND ambito='PM' AND entidade='00100')Y ON X.CHAVE_IT=Y.CHAVE_SIMUL</v>
      </c>
      <c r="O94" s="35" t="s">
        <v>35</v>
      </c>
    </row>
    <row r="95" spans="1:15">
      <c r="A95" s="57" t="str">
        <f t="shared" si="4"/>
        <v>Instrumentrfnnc_prps</v>
      </c>
      <c r="B95" s="32" t="s">
        <v>9</v>
      </c>
      <c r="C95" s="32" t="s">
        <v>85</v>
      </c>
      <c r="D95" s="32" t="s">
        <v>5</v>
      </c>
      <c r="E95" s="32" t="str">
        <f>+UPPER('0. Instruções'!$D$35&amp;"."&amp;VLOOKUP(B95,'0. Instruções'!$C$27:$D$32,2,FALSE))</f>
        <v>CD_LOAN_TAPES_BCE.LT002_INSTRUMENT</v>
      </c>
      <c r="F95" s="32" t="str">
        <f>+UPPER('0. Instruções'!$D$36&amp;"."&amp;VLOOKUP(B95,'0. Instruções'!$C$27:$E$32,3,FALSE))</f>
        <v>BU_LOANTAPE_WORK.LT002_INSTRUMENT</v>
      </c>
      <c r="H95" s="32"/>
      <c r="I95" s="32"/>
      <c r="J95" s="32" t="str">
        <f>IF(VLOOKUP(B95,'0. Instruções'!$C$27:$G$32,5,FALSE)=0,
"(SELECT "&amp;VLOOKUP(B95,'0. Instruções'!$C$27:$G$32,4,FALSE)&amp;" AS CHAVE_IT, "&amp;C95&amp;" AS CAMPO_IT FROM "&amp;E95&amp;" WHERE "&amp;'0. Instruções'!$D$43&amp;")X",
"(SELECT "&amp;VLOOKUP(B95,'0. Instruções'!$C$27:$G$32,4,FALSE)&amp;" AS CHAVE_IT1, "&amp;VLOOKUP(B95,'0. Instruções'!$C$27:$G$32,5,FALSE)&amp;" AS CHAVE_IT2, "&amp;C95&amp;" AS CAMPO_IT FROM "&amp;E95&amp;" WHERE "&amp;'0. Instruções'!$D$43&amp;")X")</f>
        <v>(SELECT instrmnt_id AS CHAVE_IT, rfnnc_prps AS CAMPO_IT FROM CD_LOAN_TAPES_BCE.LT002_INSTRUMENT WHERE ref_date='${ref_date}' AND nome_perimetro='Individual Local' AND segmento='ESTR' AND ambito='PM' AND entidade='00100')X</v>
      </c>
      <c r="K95" s="32" t="str">
        <f>IF(VLOOKUP(B95,'0. Instruções'!$C$27:$G$32,5,FALSE)=0,
"(SELECT "&amp;VLOOKUP(B95,'0. Instruções'!$C$27:$G$32,4,FALSE)&amp;" AS CHAVE_SIMUL, "&amp;C95&amp;" AS CAMPO_SIMUL FROM "&amp;F95&amp;" WHERE "&amp;'0. Instruções'!$D$42&amp;")Y",
"(SELECT "&amp;VLOOKUP(B95,'0. Instruções'!$C$27:$G$32,4,FALSE)&amp;" AS CHAVE_SIMUL1, "&amp;VLOOKUP(B95,'0. Instruções'!$C$27:$G$32,5,FALSE)&amp;" AS CHAVE_SIMUL2, "&amp;C95&amp;" AS CAMPO_SIMUL FROM "&amp;F95&amp;" WHERE "&amp;'0. Instruções'!$D$42&amp;")Y")</f>
        <v>(SELECT instrmnt_id AS CHAVE_SIMUL, rfnnc_prps AS CAMPO_SIMUL FROM BU_LOANTAPE_WORK.LT002_INSTRUMENT WHERE ref_date='${ref_date}' AND nome_perimetro='Individual Local' AND segmento='ESTR' AND ambito='PM' AND entidade='00100')Y</v>
      </c>
      <c r="L95" s="32" t="str">
        <f>IF(VLOOKUP(B95,'0. Instruções'!$C$27:$G$32,5,FALSE)=0,
"ON X.CHAVE_IT=Y.CHAVE_SIMUL",
"ON X.CHAVE_IT1=Y.CHAVE_SIMUL1 AND X.CHAVE_IT2=Y.CHAVE_SIMUL2")</f>
        <v>ON X.CHAVE_IT=Y.CHAVE_SIMUL</v>
      </c>
      <c r="M95" s="32" t="str">
        <f>+IF(D95="Coerência",+IF(LEFT(H95,5)="FLOAT","SELECT '"&amp;UPPER(B95)&amp;"' AS TABELA, '"&amp;UPPER(D95)&amp;"' AS TIPOLOGIA_TESTE,'"&amp;E95&amp;"' AS TABELA_LT,'"&amp;F95&amp;"' AS TABELA_SIMUL,'"&amp;C95&amp;"'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"&amp;J95&amp;" INNER JOIN "&amp;K95&amp;" "&amp;L95,"SELECT '"&amp;UPPER(B95)&amp;"' AS TABELA, '"&amp;UPPER(D95)&amp;"' AS TIPOLOGIA_TESTE,'"&amp;E95&amp;"' AS TABELA_LT,'"&amp;F95&amp;"' AS TABELA_SIMUL,'"&amp;C95&amp;"'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"&amp;J95&amp;" INNER JOIN "&amp;K95&amp;" "&amp;L95))</f>
        <v>SELECT 'INSTRUMENT' AS TABELA, 'COERÊNCIA' AS TIPOLOGIA_TESTE,'CD_LOAN_TAPES_BCE.LT002_INSTRUMENT' AS TABELA_LT,'BU_LOANTAPE_WORK.LT002_INSTRUMENT' AS TABELA_SIMUL,'rfnnc_prps'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rfnnc_prps AS CAMPO_IT FROM CD_LOAN_TAPES_BCE.LT002_INSTRUMENT WHERE ref_date='${ref_date}' AND nome_perimetro='Individual Local' AND segmento='ESTR' AND ambito='PM' AND entidade='00100')X INNER JOIN (SELECT instrmnt_id AS CHAVE_SIMUL, rfnnc_prps AS CAMPO_SIMUL FROM BU_LOANTAPE_WORK.LT002_INSTRUMENT WHERE ref_date='${ref_date}' AND nome_perimetro='Individual Local' AND segmento='ESTR' AND ambito='PM' AND entidade='00100')Y ON X.CHAVE_IT=Y.CHAVE_SIMUL</v>
      </c>
      <c r="N95" s="33" t="str">
        <f t="shared" si="3"/>
        <v>UNION ALL SELECT 'INSTRUMENT' AS TABELA, 'COERÊNCIA' AS TIPOLOGIA_TESTE,'CD_LOAN_TAPES_BCE.LT002_INSTRUMENT' AS TABELA_LT,'BU_LOANTAPE_WORK.LT002_INSTRUMENT' AS TABELA_SIMUL,'rfnnc_prps'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rfnnc_prps AS CAMPO_IT FROM CD_LOAN_TAPES_BCE.LT002_INSTRUMENT WHERE ref_date='${ref_date}' AND nome_perimetro='Individual Local' AND segmento='ESTR' AND ambito='PM' AND entidade='00100')X INNER JOIN (SELECT instrmnt_id AS CHAVE_SIMUL, rfnnc_prps AS CAMPO_SIMUL FROM BU_LOANTAPE_WORK.LT002_INSTRUMENT WHERE ref_date='${ref_date}' AND nome_perimetro='Individual Local' AND segmento='ESTR' AND ambito='PM' AND entidade='00100')Y ON X.CHAVE_IT=Y.CHAVE_SIMUL</v>
      </c>
      <c r="O95" s="35" t="s">
        <v>35</v>
      </c>
    </row>
    <row r="96" spans="1:15">
      <c r="A96" s="57" t="str">
        <f t="shared" si="4"/>
        <v>Instrumentspcltv_lndng</v>
      </c>
      <c r="B96" s="32" t="s">
        <v>9</v>
      </c>
      <c r="C96" s="32" t="s">
        <v>282</v>
      </c>
      <c r="D96" s="32" t="s">
        <v>5</v>
      </c>
      <c r="E96" s="32" t="str">
        <f>+UPPER('0. Instruções'!$D$35&amp;"."&amp;VLOOKUP(B96,'0. Instruções'!$C$27:$D$32,2,FALSE))</f>
        <v>CD_LOAN_TAPES_BCE.LT002_INSTRUMENT</v>
      </c>
      <c r="F96" s="32" t="str">
        <f>+UPPER('0. Instruções'!$D$36&amp;"."&amp;VLOOKUP(B96,'0. Instruções'!$C$27:$E$32,3,FALSE))</f>
        <v>BU_LOANTAPE_WORK.LT002_INSTRUMENT</v>
      </c>
      <c r="H96" s="32"/>
      <c r="I96" s="32"/>
      <c r="J96" s="32" t="str">
        <f>IF(VLOOKUP(B96,'0. Instruções'!$C$27:$G$32,5,FALSE)=0,
"(SELECT "&amp;VLOOKUP(B96,'0. Instruções'!$C$27:$G$32,4,FALSE)&amp;" AS CHAVE_IT, "&amp;C96&amp;" AS CAMPO_IT FROM "&amp;E96&amp;" WHERE "&amp;'0. Instruções'!$D$43&amp;")X",
"(SELECT "&amp;VLOOKUP(B96,'0. Instruções'!$C$27:$G$32,4,FALSE)&amp;" AS CHAVE_IT1, "&amp;VLOOKUP(B96,'0. Instruções'!$C$27:$G$32,5,FALSE)&amp;" AS CHAVE_IT2, "&amp;C96&amp;" AS CAMPO_IT FROM "&amp;E96&amp;" WHERE "&amp;'0. Instruções'!$D$43&amp;")X")</f>
        <v>(SELECT instrmnt_id AS CHAVE_IT, spcltv_lndng AS CAMPO_IT FROM CD_LOAN_TAPES_BCE.LT002_INSTRUMENT WHERE ref_date='${ref_date}' AND nome_perimetro='Individual Local' AND segmento='ESTR' AND ambito='PM' AND entidade='00100')X</v>
      </c>
      <c r="K96" s="32" t="str">
        <f>IF(VLOOKUP(B96,'0. Instruções'!$C$27:$G$32,5,FALSE)=0,
"(SELECT "&amp;VLOOKUP(B96,'0. Instruções'!$C$27:$G$32,4,FALSE)&amp;" AS CHAVE_SIMUL, "&amp;C96&amp;" AS CAMPO_SIMUL FROM "&amp;F96&amp;" WHERE "&amp;'0. Instruções'!$D$42&amp;")Y",
"(SELECT "&amp;VLOOKUP(B96,'0. Instruções'!$C$27:$G$32,4,FALSE)&amp;" AS CHAVE_SIMUL1, "&amp;VLOOKUP(B96,'0. Instruções'!$C$27:$G$32,5,FALSE)&amp;" AS CHAVE_SIMUL2, "&amp;C96&amp;" AS CAMPO_SIMUL FROM "&amp;F96&amp;" WHERE "&amp;'0. Instruções'!$D$42&amp;")Y")</f>
        <v>(SELECT instrmnt_id AS CHAVE_SIMUL, spcltv_lndng AS CAMPO_SIMUL FROM BU_LOANTAPE_WORK.LT002_INSTRUMENT WHERE ref_date='${ref_date}' AND nome_perimetro='Individual Local' AND segmento='ESTR' AND ambito='PM' AND entidade='00100')Y</v>
      </c>
      <c r="L96" s="32" t="str">
        <f>IF(VLOOKUP(B96,'0. Instruções'!$C$27:$G$32,5,FALSE)=0,
"ON X.CHAVE_IT=Y.CHAVE_SIMUL",
"ON X.CHAVE_IT1=Y.CHAVE_SIMUL1 AND X.CHAVE_IT2=Y.CHAVE_SIMUL2")</f>
        <v>ON X.CHAVE_IT=Y.CHAVE_SIMUL</v>
      </c>
      <c r="M96" s="32" t="str">
        <f>+IF(D96="Coerência",+IF(LEFT(H96,5)="FLOAT","SELECT '"&amp;UPPER(B96)&amp;"' AS TABELA, '"&amp;UPPER(D96)&amp;"' AS TIPOLOGIA_TESTE,'"&amp;E96&amp;"' AS TABELA_LT,'"&amp;F96&amp;"' AS TABELA_SIMUL,'"&amp;C96&amp;"'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"&amp;J96&amp;" INNER JOIN "&amp;K96&amp;" "&amp;L96,"SELECT '"&amp;UPPER(B96)&amp;"' AS TABELA, '"&amp;UPPER(D96)&amp;"' AS TIPOLOGIA_TESTE,'"&amp;E96&amp;"' AS TABELA_LT,'"&amp;F96&amp;"' AS TABELA_SIMUL,'"&amp;C96&amp;"'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"&amp;J96&amp;" INNER JOIN "&amp;K96&amp;" "&amp;L96))</f>
        <v>SELECT 'INSTRUMENT' AS TABELA, 'COERÊNCIA' AS TIPOLOGIA_TESTE,'CD_LOAN_TAPES_BCE.LT002_INSTRUMENT' AS TABELA_LT,'BU_LOANTAPE_WORK.LT002_INSTRUMENT' AS TABELA_SIMUL,'spcltv_lndng'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spcltv_lndng AS CAMPO_IT FROM CD_LOAN_TAPES_BCE.LT002_INSTRUMENT WHERE ref_date='${ref_date}' AND nome_perimetro='Individual Local' AND segmento='ESTR' AND ambito='PM' AND entidade='00100')X INNER JOIN (SELECT instrmnt_id AS CHAVE_SIMUL, spcltv_lndng AS CAMPO_SIMUL FROM BU_LOANTAPE_WORK.LT002_INSTRUMENT WHERE ref_date='${ref_date}' AND nome_perimetro='Individual Local' AND segmento='ESTR' AND ambito='PM' AND entidade='00100')Y ON X.CHAVE_IT=Y.CHAVE_SIMUL</v>
      </c>
      <c r="N96" s="33" t="str">
        <f t="shared" si="3"/>
        <v>UNION ALL SELECT 'INSTRUMENT' AS TABELA, 'COERÊNCIA' AS TIPOLOGIA_TESTE,'CD_LOAN_TAPES_BCE.LT002_INSTRUMENT' AS TABELA_LT,'BU_LOANTAPE_WORK.LT002_INSTRUMENT' AS TABELA_SIMUL,'spcltv_lndng'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spcltv_lndng AS CAMPO_IT FROM CD_LOAN_TAPES_BCE.LT002_INSTRUMENT WHERE ref_date='${ref_date}' AND nome_perimetro='Individual Local' AND segmento='ESTR' AND ambito='PM' AND entidade='00100')X INNER JOIN (SELECT instrmnt_id AS CHAVE_SIMUL, spcltv_lndng AS CAMPO_SIMUL FROM BU_LOANTAPE_WORK.LT002_INSTRUMENT WHERE ref_date='${ref_date}' AND nome_perimetro='Individual Local' AND segmento='ESTR' AND ambito='PM' AND entidade='00100')Y ON X.CHAVE_IT=Y.CHAVE_SIMUL</v>
      </c>
      <c r="O96" s="35" t="s">
        <v>35</v>
      </c>
    </row>
    <row r="97" spans="1:15">
      <c r="A97" s="57" t="str">
        <f t="shared" si="4"/>
        <v>Instrumentstts_undrwrttn_trnsctn</v>
      </c>
      <c r="B97" s="32" t="s">
        <v>9</v>
      </c>
      <c r="C97" s="32" t="s">
        <v>283</v>
      </c>
      <c r="D97" s="32" t="s">
        <v>5</v>
      </c>
      <c r="E97" s="32" t="str">
        <f>+UPPER('0. Instruções'!$D$35&amp;"."&amp;VLOOKUP(B97,'0. Instruções'!$C$27:$D$32,2,FALSE))</f>
        <v>CD_LOAN_TAPES_BCE.LT002_INSTRUMENT</v>
      </c>
      <c r="F97" s="32" t="str">
        <f>+UPPER('0. Instruções'!$D$36&amp;"."&amp;VLOOKUP(B97,'0. Instruções'!$C$27:$E$32,3,FALSE))</f>
        <v>BU_LOANTAPE_WORK.LT002_INSTRUMENT</v>
      </c>
      <c r="H97" s="32"/>
      <c r="I97" s="32"/>
      <c r="J97" s="32" t="str">
        <f>IF(VLOOKUP(B97,'0. Instruções'!$C$27:$G$32,5,FALSE)=0,
"(SELECT "&amp;VLOOKUP(B97,'0. Instruções'!$C$27:$G$32,4,FALSE)&amp;" AS CHAVE_IT, "&amp;C97&amp;" AS CAMPO_IT FROM "&amp;E97&amp;" WHERE "&amp;'0. Instruções'!$D$43&amp;")X",
"(SELECT "&amp;VLOOKUP(B97,'0. Instruções'!$C$27:$G$32,4,FALSE)&amp;" AS CHAVE_IT1, "&amp;VLOOKUP(B97,'0. Instruções'!$C$27:$G$32,5,FALSE)&amp;" AS CHAVE_IT2, "&amp;C97&amp;" AS CAMPO_IT FROM "&amp;E97&amp;" WHERE "&amp;'0. Instruções'!$D$43&amp;")X")</f>
        <v>(SELECT instrmnt_id AS CHAVE_IT, stts_undrwrttn_trnsctn AS CAMPO_IT FROM CD_LOAN_TAPES_BCE.LT002_INSTRUMENT WHERE ref_date='${ref_date}' AND nome_perimetro='Individual Local' AND segmento='ESTR' AND ambito='PM' AND entidade='00100')X</v>
      </c>
      <c r="K97" s="32" t="str">
        <f>IF(VLOOKUP(B97,'0. Instruções'!$C$27:$G$32,5,FALSE)=0,
"(SELECT "&amp;VLOOKUP(B97,'0. Instruções'!$C$27:$G$32,4,FALSE)&amp;" AS CHAVE_SIMUL, "&amp;C97&amp;" AS CAMPO_SIMUL FROM "&amp;F97&amp;" WHERE "&amp;'0. Instruções'!$D$42&amp;")Y",
"(SELECT "&amp;VLOOKUP(B97,'0. Instruções'!$C$27:$G$32,4,FALSE)&amp;" AS CHAVE_SIMUL1, "&amp;VLOOKUP(B97,'0. Instruções'!$C$27:$G$32,5,FALSE)&amp;" AS CHAVE_SIMUL2, "&amp;C97&amp;" AS CAMPO_SIMUL FROM "&amp;F97&amp;" WHERE "&amp;'0. Instruções'!$D$42&amp;")Y")</f>
        <v>(SELECT instrmnt_id AS CHAVE_SIMUL, stts_undrwrttn_trnsctn AS CAMPO_SIMUL FROM BU_LOANTAPE_WORK.LT002_INSTRUMENT WHERE ref_date='${ref_date}' AND nome_perimetro='Individual Local' AND segmento='ESTR' AND ambito='PM' AND entidade='00100')Y</v>
      </c>
      <c r="L97" s="32" t="str">
        <f>IF(VLOOKUP(B97,'0. Instruções'!$C$27:$G$32,5,FALSE)=0,
"ON X.CHAVE_IT=Y.CHAVE_SIMUL",
"ON X.CHAVE_IT1=Y.CHAVE_SIMUL1 AND X.CHAVE_IT2=Y.CHAVE_SIMUL2")</f>
        <v>ON X.CHAVE_IT=Y.CHAVE_SIMUL</v>
      </c>
      <c r="M97" s="32" t="str">
        <f>+IF(D97="Coerência",+IF(LEFT(H97,5)="FLOAT","SELECT '"&amp;UPPER(B97)&amp;"' AS TABELA, '"&amp;UPPER(D97)&amp;"' AS TIPOLOGIA_TESTE,'"&amp;E97&amp;"' AS TABELA_LT,'"&amp;F97&amp;"' AS TABELA_SIMUL,'"&amp;C97&amp;"'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"&amp;J97&amp;" INNER JOIN "&amp;K97&amp;" "&amp;L97,"SELECT '"&amp;UPPER(B97)&amp;"' AS TABELA, '"&amp;UPPER(D97)&amp;"' AS TIPOLOGIA_TESTE,'"&amp;E97&amp;"' AS TABELA_LT,'"&amp;F97&amp;"' AS TABELA_SIMUL,'"&amp;C97&amp;"'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"&amp;J97&amp;" INNER JOIN "&amp;K97&amp;" "&amp;L97))</f>
        <v>SELECT 'INSTRUMENT' AS TABELA, 'COERÊNCIA' AS TIPOLOGIA_TESTE,'CD_LOAN_TAPES_BCE.LT002_INSTRUMENT' AS TABELA_LT,'BU_LOANTAPE_WORK.LT002_INSTRUMENT' AS TABELA_SIMUL,'stts_undrwrttn_trnsctn'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stts_undrwrttn_trnsctn AS CAMPO_IT FROM CD_LOAN_TAPES_BCE.LT002_INSTRUMENT WHERE ref_date='${ref_date}' AND nome_perimetro='Individual Local' AND segmento='ESTR' AND ambito='PM' AND entidade='00100')X INNER JOIN (SELECT instrmnt_id AS CHAVE_SIMUL, stts_undrwrttn_trnsctn AS CAMPO_SIMUL FROM BU_LOANTAPE_WORK.LT002_INSTRUMENT WHERE ref_date='${ref_date}' AND nome_perimetro='Individual Local' AND segmento='ESTR' AND ambito='PM' AND entidade='00100')Y ON X.CHAVE_IT=Y.CHAVE_SIMUL</v>
      </c>
      <c r="N97" s="33" t="str">
        <f t="shared" si="3"/>
        <v>UNION ALL SELECT 'INSTRUMENT' AS TABELA, 'COERÊNCIA' AS TIPOLOGIA_TESTE,'CD_LOAN_TAPES_BCE.LT002_INSTRUMENT' AS TABELA_LT,'BU_LOANTAPE_WORK.LT002_INSTRUMENT' AS TABELA_SIMUL,'stts_undrwrttn_trnsctn'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stts_undrwrttn_trnsctn AS CAMPO_IT FROM CD_LOAN_TAPES_BCE.LT002_INSTRUMENT WHERE ref_date='${ref_date}' AND nome_perimetro='Individual Local' AND segmento='ESTR' AND ambito='PM' AND entidade='00100')X INNER JOIN (SELECT instrmnt_id AS CHAVE_SIMUL, stts_undrwrttn_trnsctn AS CAMPO_SIMUL FROM BU_LOANTAPE_WORK.LT002_INSTRUMENT WHERE ref_date='${ref_date}' AND nome_perimetro='Individual Local' AND segmento='ESTR' AND ambito='PM' AND entidade='00100')Y ON X.CHAVE_IT=Y.CHAVE_SIMUL</v>
      </c>
      <c r="O97" s="35" t="s">
        <v>35</v>
      </c>
    </row>
    <row r="98" spans="1:15">
      <c r="A98" s="57" t="str">
        <f t="shared" si="4"/>
        <v>Instrumenttrnch</v>
      </c>
      <c r="B98" s="32" t="s">
        <v>9</v>
      </c>
      <c r="C98" s="32" t="s">
        <v>284</v>
      </c>
      <c r="D98" s="32" t="s">
        <v>5</v>
      </c>
      <c r="E98" s="32" t="str">
        <f>+UPPER('0. Instruções'!$D$35&amp;"."&amp;VLOOKUP(B98,'0. Instruções'!$C$27:$D$32,2,FALSE))</f>
        <v>CD_LOAN_TAPES_BCE.LT002_INSTRUMENT</v>
      </c>
      <c r="F98" s="32" t="str">
        <f>+UPPER('0. Instruções'!$D$36&amp;"."&amp;VLOOKUP(B98,'0. Instruções'!$C$27:$E$32,3,FALSE))</f>
        <v>BU_LOANTAPE_WORK.LT002_INSTRUMENT</v>
      </c>
      <c r="H98" s="32"/>
      <c r="I98" s="32"/>
      <c r="J98" s="32" t="str">
        <f>IF(VLOOKUP(B98,'0. Instruções'!$C$27:$G$32,5,FALSE)=0,
"(SELECT "&amp;VLOOKUP(B98,'0. Instruções'!$C$27:$G$32,4,FALSE)&amp;" AS CHAVE_IT, "&amp;C98&amp;" AS CAMPO_IT FROM "&amp;E98&amp;" WHERE "&amp;'0. Instruções'!$D$43&amp;")X",
"(SELECT "&amp;VLOOKUP(B98,'0. Instruções'!$C$27:$G$32,4,FALSE)&amp;" AS CHAVE_IT1, "&amp;VLOOKUP(B98,'0. Instruções'!$C$27:$G$32,5,FALSE)&amp;" AS CHAVE_IT2, "&amp;C98&amp;" AS CAMPO_IT FROM "&amp;E98&amp;" WHERE "&amp;'0. Instruções'!$D$43&amp;")X")</f>
        <v>(SELECT instrmnt_id AS CHAVE_IT, trnch AS CAMPO_IT FROM CD_LOAN_TAPES_BCE.LT002_INSTRUMENT WHERE ref_date='${ref_date}' AND nome_perimetro='Individual Local' AND segmento='ESTR' AND ambito='PM' AND entidade='00100')X</v>
      </c>
      <c r="K98" s="32" t="str">
        <f>IF(VLOOKUP(B98,'0. Instruções'!$C$27:$G$32,5,FALSE)=0,
"(SELECT "&amp;VLOOKUP(B98,'0. Instruções'!$C$27:$G$32,4,FALSE)&amp;" AS CHAVE_SIMUL, "&amp;C98&amp;" AS CAMPO_SIMUL FROM "&amp;F98&amp;" WHERE "&amp;'0. Instruções'!$D$42&amp;")Y",
"(SELECT "&amp;VLOOKUP(B98,'0. Instruções'!$C$27:$G$32,4,FALSE)&amp;" AS CHAVE_SIMUL1, "&amp;VLOOKUP(B98,'0. Instruções'!$C$27:$G$32,5,FALSE)&amp;" AS CHAVE_SIMUL2, "&amp;C98&amp;" AS CAMPO_SIMUL FROM "&amp;F98&amp;" WHERE "&amp;'0. Instruções'!$D$42&amp;")Y")</f>
        <v>(SELECT instrmnt_id AS CHAVE_SIMUL, trnch AS CAMPO_SIMUL FROM BU_LOANTAPE_WORK.LT002_INSTRUMENT WHERE ref_date='${ref_date}' AND nome_perimetro='Individual Local' AND segmento='ESTR' AND ambito='PM' AND entidade='00100')Y</v>
      </c>
      <c r="L98" s="32" t="str">
        <f>IF(VLOOKUP(B98,'0. Instruções'!$C$27:$G$32,5,FALSE)=0,
"ON X.CHAVE_IT=Y.CHAVE_SIMUL",
"ON X.CHAVE_IT1=Y.CHAVE_SIMUL1 AND X.CHAVE_IT2=Y.CHAVE_SIMUL2")</f>
        <v>ON X.CHAVE_IT=Y.CHAVE_SIMUL</v>
      </c>
      <c r="M98" s="32" t="str">
        <f>+IF(D98="Coerência",+IF(LEFT(H98,5)="FLOAT","SELECT '"&amp;UPPER(B98)&amp;"' AS TABELA, '"&amp;UPPER(D98)&amp;"' AS TIPOLOGIA_TESTE,'"&amp;E98&amp;"' AS TABELA_LT,'"&amp;F98&amp;"' AS TABELA_SIMUL,'"&amp;C98&amp;"'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"&amp;J98&amp;" INNER JOIN "&amp;K98&amp;" "&amp;L98,"SELECT '"&amp;UPPER(B98)&amp;"' AS TABELA, '"&amp;UPPER(D98)&amp;"' AS TIPOLOGIA_TESTE,'"&amp;E98&amp;"' AS TABELA_LT,'"&amp;F98&amp;"' AS TABELA_SIMUL,'"&amp;C98&amp;"'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"&amp;J98&amp;" INNER JOIN "&amp;K98&amp;" "&amp;L98))</f>
        <v>SELECT 'INSTRUMENT' AS TABELA, 'COERÊNCIA' AS TIPOLOGIA_TESTE,'CD_LOAN_TAPES_BCE.LT002_INSTRUMENT' AS TABELA_LT,'BU_LOANTAPE_WORK.LT002_INSTRUMENT' AS TABELA_SIMUL,'trnch'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trnch AS CAMPO_IT FROM CD_LOAN_TAPES_BCE.LT002_INSTRUMENT WHERE ref_date='${ref_date}' AND nome_perimetro='Individual Local' AND segmento='ESTR' AND ambito='PM' AND entidade='00100')X INNER JOIN (SELECT instrmnt_id AS CHAVE_SIMUL, trnch AS CAMPO_SIMUL FROM BU_LOANTAPE_WORK.LT002_INSTRUMENT WHERE ref_date='${ref_date}' AND nome_perimetro='Individual Local' AND segmento='ESTR' AND ambito='PM' AND entidade='00100')Y ON X.CHAVE_IT=Y.CHAVE_SIMUL</v>
      </c>
      <c r="N98" s="33" t="str">
        <f t="shared" si="3"/>
        <v>UNION ALL SELECT 'INSTRUMENT' AS TABELA, 'COERÊNCIA' AS TIPOLOGIA_TESTE,'CD_LOAN_TAPES_BCE.LT002_INSTRUMENT' AS TABELA_LT,'BU_LOANTAPE_WORK.LT002_INSTRUMENT' AS TABELA_SIMUL,'trnch'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trnch AS CAMPO_IT FROM CD_LOAN_TAPES_BCE.LT002_INSTRUMENT WHERE ref_date='${ref_date}' AND nome_perimetro='Individual Local' AND segmento='ESTR' AND ambito='PM' AND entidade='00100')X INNER JOIN (SELECT instrmnt_id AS CHAVE_SIMUL, trnch AS CAMPO_SIMUL FROM BU_LOANTAPE_WORK.LT002_INSTRUMENT WHERE ref_date='${ref_date}' AND nome_perimetro='Individual Local' AND segmento='ESTR' AND ambito='PM' AND entidade='00100')Y ON X.CHAVE_IT=Y.CHAVE_SIMUL</v>
      </c>
      <c r="O98" s="35" t="s">
        <v>35</v>
      </c>
    </row>
    <row r="99" spans="1:15">
      <c r="A99" s="57" t="str">
        <f t="shared" si="4"/>
        <v>Instrumenttyp_amrtstn</v>
      </c>
      <c r="B99" s="32" t="s">
        <v>9</v>
      </c>
      <c r="C99" s="32" t="s">
        <v>285</v>
      </c>
      <c r="D99" s="32" t="s">
        <v>5</v>
      </c>
      <c r="E99" s="32" t="str">
        <f>+UPPER('0. Instruções'!$D$35&amp;"."&amp;VLOOKUP(B99,'0. Instruções'!$C$27:$D$32,2,FALSE))</f>
        <v>CD_LOAN_TAPES_BCE.LT002_INSTRUMENT</v>
      </c>
      <c r="F99" s="32" t="str">
        <f>+UPPER('0. Instruções'!$D$36&amp;"."&amp;VLOOKUP(B99,'0. Instruções'!$C$27:$E$32,3,FALSE))</f>
        <v>BU_LOANTAPE_WORK.LT002_INSTRUMENT</v>
      </c>
      <c r="H99" s="32"/>
      <c r="I99" s="32"/>
      <c r="J99" s="32" t="str">
        <f>IF(VLOOKUP(B99,'0. Instruções'!$C$27:$G$32,5,FALSE)=0,
"(SELECT "&amp;VLOOKUP(B99,'0. Instruções'!$C$27:$G$32,4,FALSE)&amp;" AS CHAVE_IT, "&amp;C99&amp;" AS CAMPO_IT FROM "&amp;E99&amp;" WHERE "&amp;'0. Instruções'!$D$43&amp;")X",
"(SELECT "&amp;VLOOKUP(B99,'0. Instruções'!$C$27:$G$32,4,FALSE)&amp;" AS CHAVE_IT1, "&amp;VLOOKUP(B99,'0. Instruções'!$C$27:$G$32,5,FALSE)&amp;" AS CHAVE_IT2, "&amp;C99&amp;" AS CAMPO_IT FROM "&amp;E99&amp;" WHERE "&amp;'0. Instruções'!$D$43&amp;")X")</f>
        <v>(SELECT instrmnt_id AS CHAVE_IT, typ_amrtstn AS CAMPO_IT FROM CD_LOAN_TAPES_BCE.LT002_INSTRUMENT WHERE ref_date='${ref_date}' AND nome_perimetro='Individual Local' AND segmento='ESTR' AND ambito='PM' AND entidade='00100')X</v>
      </c>
      <c r="K99" s="32" t="str">
        <f>IF(VLOOKUP(B99,'0. Instruções'!$C$27:$G$32,5,FALSE)=0,
"(SELECT "&amp;VLOOKUP(B99,'0. Instruções'!$C$27:$G$32,4,FALSE)&amp;" AS CHAVE_SIMUL, "&amp;C99&amp;" AS CAMPO_SIMUL FROM "&amp;F99&amp;" WHERE "&amp;'0. Instruções'!$D$42&amp;")Y",
"(SELECT "&amp;VLOOKUP(B99,'0. Instruções'!$C$27:$G$32,4,FALSE)&amp;" AS CHAVE_SIMUL1, "&amp;VLOOKUP(B99,'0. Instruções'!$C$27:$G$32,5,FALSE)&amp;" AS CHAVE_SIMUL2, "&amp;C99&amp;" AS CAMPO_SIMUL FROM "&amp;F99&amp;" WHERE "&amp;'0. Instruções'!$D$42&amp;")Y")</f>
        <v>(SELECT instrmnt_id AS CHAVE_SIMUL, typ_amrtstn AS CAMPO_SIMUL FROM BU_LOANTAPE_WORK.LT002_INSTRUMENT WHERE ref_date='${ref_date}' AND nome_perimetro='Individual Local' AND segmento='ESTR' AND ambito='PM' AND entidade='00100')Y</v>
      </c>
      <c r="L99" s="32" t="str">
        <f>IF(VLOOKUP(B99,'0. Instruções'!$C$27:$G$32,5,FALSE)=0,
"ON X.CHAVE_IT=Y.CHAVE_SIMUL",
"ON X.CHAVE_IT1=Y.CHAVE_SIMUL1 AND X.CHAVE_IT2=Y.CHAVE_SIMUL2")</f>
        <v>ON X.CHAVE_IT=Y.CHAVE_SIMUL</v>
      </c>
      <c r="M99" s="32" t="str">
        <f>+IF(D99="Coerência",+IF(LEFT(H99,5)="FLOAT","SELECT '"&amp;UPPER(B99)&amp;"' AS TABELA, '"&amp;UPPER(D99)&amp;"' AS TIPOLOGIA_TESTE,'"&amp;E99&amp;"' AS TABELA_LT,'"&amp;F99&amp;"' AS TABELA_SIMUL,'"&amp;C99&amp;"'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"&amp;J99&amp;" INNER JOIN "&amp;K99&amp;" "&amp;L99,"SELECT '"&amp;UPPER(B99)&amp;"' AS TABELA, '"&amp;UPPER(D99)&amp;"' AS TIPOLOGIA_TESTE,'"&amp;E99&amp;"' AS TABELA_LT,'"&amp;F99&amp;"' AS TABELA_SIMUL,'"&amp;C99&amp;"'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"&amp;J99&amp;" INNER JOIN "&amp;K99&amp;" "&amp;L99))</f>
        <v>SELECT 'INSTRUMENT' AS TABELA, 'COERÊNCIA' AS TIPOLOGIA_TESTE,'CD_LOAN_TAPES_BCE.LT002_INSTRUMENT' AS TABELA_LT,'BU_LOANTAPE_WORK.LT002_INSTRUMENT' AS TABELA_SIMUL,'typ_amrtstn'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typ_amrtstn AS CAMPO_IT FROM CD_LOAN_TAPES_BCE.LT002_INSTRUMENT WHERE ref_date='${ref_date}' AND nome_perimetro='Individual Local' AND segmento='ESTR' AND ambito='PM' AND entidade='00100')X INNER JOIN (SELECT instrmnt_id AS CHAVE_SIMUL, typ_amrtstn AS CAMPO_SIMUL FROM BU_LOANTAPE_WORK.LT002_INSTRUMENT WHERE ref_date='${ref_date}' AND nome_perimetro='Individual Local' AND segmento='ESTR' AND ambito='PM' AND entidade='00100')Y ON X.CHAVE_IT=Y.CHAVE_SIMUL</v>
      </c>
      <c r="N99" s="33" t="str">
        <f t="shared" si="3"/>
        <v>UNION ALL SELECT 'INSTRUMENT' AS TABELA, 'COERÊNCIA' AS TIPOLOGIA_TESTE,'CD_LOAN_TAPES_BCE.LT002_INSTRUMENT' AS TABELA_LT,'BU_LOANTAPE_WORK.LT002_INSTRUMENT' AS TABELA_SIMUL,'typ_amrtstn'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typ_amrtstn AS CAMPO_IT FROM CD_LOAN_TAPES_BCE.LT002_INSTRUMENT WHERE ref_date='${ref_date}' AND nome_perimetro='Individual Local' AND segmento='ESTR' AND ambito='PM' AND entidade='00100')X INNER JOIN (SELECT instrmnt_id AS CHAVE_SIMUL, typ_amrtstn AS CAMPO_SIMUL FROM BU_LOANTAPE_WORK.LT002_INSTRUMENT WHERE ref_date='${ref_date}' AND nome_perimetro='Individual Local' AND segmento='ESTR' AND ambito='PM' AND entidade='00100')Y ON X.CHAVE_IT=Y.CHAVE_SIMUL</v>
      </c>
      <c r="O99" s="35" t="s">
        <v>35</v>
      </c>
    </row>
    <row r="100" spans="1:15">
      <c r="A100" s="57" t="str">
        <f t="shared" si="4"/>
        <v>Instrumenttyp_instrmnt</v>
      </c>
      <c r="B100" s="32" t="s">
        <v>9</v>
      </c>
      <c r="C100" s="32" t="s">
        <v>139</v>
      </c>
      <c r="D100" s="32" t="s">
        <v>5</v>
      </c>
      <c r="E100" s="32" t="str">
        <f>+UPPER('0. Instruções'!$D$35&amp;"."&amp;VLOOKUP(B100,'0. Instruções'!$C$27:$D$32,2,FALSE))</f>
        <v>CD_LOAN_TAPES_BCE.LT002_INSTRUMENT</v>
      </c>
      <c r="F100" s="32" t="str">
        <f>+UPPER('0. Instruções'!$D$36&amp;"."&amp;VLOOKUP(B100,'0. Instruções'!$C$27:$E$32,3,FALSE))</f>
        <v>BU_LOANTAPE_WORK.LT002_INSTRUMENT</v>
      </c>
      <c r="H100" s="32"/>
      <c r="I100" s="32"/>
      <c r="J100" s="32" t="str">
        <f>IF(VLOOKUP(B100,'0. Instruções'!$C$27:$G$32,5,FALSE)=0,
"(SELECT "&amp;VLOOKUP(B100,'0. Instruções'!$C$27:$G$32,4,FALSE)&amp;" AS CHAVE_IT, "&amp;C100&amp;" AS CAMPO_IT FROM "&amp;E100&amp;" WHERE "&amp;'0. Instruções'!$D$43&amp;")X",
"(SELECT "&amp;VLOOKUP(B100,'0. Instruções'!$C$27:$G$32,4,FALSE)&amp;" AS CHAVE_IT1, "&amp;VLOOKUP(B100,'0. Instruções'!$C$27:$G$32,5,FALSE)&amp;" AS CHAVE_IT2, "&amp;C100&amp;" AS CAMPO_IT FROM "&amp;E100&amp;" WHERE "&amp;'0. Instruções'!$D$43&amp;")X")</f>
        <v>(SELECT instrmnt_id AS CHAVE_IT, typ_instrmnt AS CAMPO_IT FROM CD_LOAN_TAPES_BCE.LT002_INSTRUMENT WHERE ref_date='${ref_date}' AND nome_perimetro='Individual Local' AND segmento='ESTR' AND ambito='PM' AND entidade='00100')X</v>
      </c>
      <c r="K100" s="32" t="str">
        <f>IF(VLOOKUP(B100,'0. Instruções'!$C$27:$G$32,5,FALSE)=0,
"(SELECT "&amp;VLOOKUP(B100,'0. Instruções'!$C$27:$G$32,4,FALSE)&amp;" AS CHAVE_SIMUL, "&amp;C100&amp;" AS CAMPO_SIMUL FROM "&amp;F100&amp;" WHERE "&amp;'0. Instruções'!$D$42&amp;")Y",
"(SELECT "&amp;VLOOKUP(B100,'0. Instruções'!$C$27:$G$32,4,FALSE)&amp;" AS CHAVE_SIMUL1, "&amp;VLOOKUP(B100,'0. Instruções'!$C$27:$G$32,5,FALSE)&amp;" AS CHAVE_SIMUL2, "&amp;C100&amp;" AS CAMPO_SIMUL FROM "&amp;F100&amp;" WHERE "&amp;'0. Instruções'!$D$42&amp;")Y")</f>
        <v>(SELECT instrmnt_id AS CHAVE_SIMUL, typ_instrmnt AS CAMPO_SIMUL FROM BU_LOANTAPE_WORK.LT002_INSTRUMENT WHERE ref_date='${ref_date}' AND nome_perimetro='Individual Local' AND segmento='ESTR' AND ambito='PM' AND entidade='00100')Y</v>
      </c>
      <c r="L100" s="32" t="str">
        <f>IF(VLOOKUP(B100,'0. Instruções'!$C$27:$G$32,5,FALSE)=0,
"ON X.CHAVE_IT=Y.CHAVE_SIMUL",
"ON X.CHAVE_IT1=Y.CHAVE_SIMUL1 AND X.CHAVE_IT2=Y.CHAVE_SIMUL2")</f>
        <v>ON X.CHAVE_IT=Y.CHAVE_SIMUL</v>
      </c>
      <c r="M100" s="32" t="str">
        <f>+IF(D100="Coerência",+IF(LEFT(H100,5)="FLOAT","SELECT '"&amp;UPPER(B100)&amp;"' AS TABELA, '"&amp;UPPER(D100)&amp;"' AS TIPOLOGIA_TESTE,'"&amp;E100&amp;"' AS TABELA_LT,'"&amp;F100&amp;"' AS TABELA_SIMUL,'"&amp;C100&amp;"'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"&amp;J100&amp;" INNER JOIN "&amp;K100&amp;" "&amp;L100,"SELECT '"&amp;UPPER(B100)&amp;"' AS TABELA, '"&amp;UPPER(D100)&amp;"' AS TIPOLOGIA_TESTE,'"&amp;E100&amp;"' AS TABELA_LT,'"&amp;F100&amp;"' AS TABELA_SIMUL,'"&amp;C100&amp;"'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"&amp;J100&amp;" INNER JOIN "&amp;K100&amp;" "&amp;L100))</f>
        <v>SELECT 'INSTRUMENT' AS TABELA, 'COERÊNCIA' AS TIPOLOGIA_TESTE,'CD_LOAN_TAPES_BCE.LT002_INSTRUMENT' AS TABELA_LT,'BU_LOANTAPE_WORK.LT002_INSTRUMENT' AS TABELA_SIMUL,'typ_instrmnt'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typ_instrmnt AS CAMPO_IT FROM CD_LOAN_TAPES_BCE.LT002_INSTRUMENT WHERE ref_date='${ref_date}' AND nome_perimetro='Individual Local' AND segmento='ESTR' AND ambito='PM' AND entidade='00100')X INNER JOIN (SELECT instrmnt_id AS CHAVE_SIMUL, typ_instrmnt AS CAMPO_SIMUL FROM BU_LOANTAPE_WORK.LT002_INSTRUMENT WHERE ref_date='${ref_date}' AND nome_perimetro='Individual Local' AND segmento='ESTR' AND ambito='PM' AND entidade='00100')Y ON X.CHAVE_IT=Y.CHAVE_SIMUL</v>
      </c>
      <c r="N100" s="33" t="str">
        <f t="shared" si="3"/>
        <v>UNION ALL SELECT 'INSTRUMENT' AS TABELA, 'COERÊNCIA' AS TIPOLOGIA_TESTE,'CD_LOAN_TAPES_BCE.LT002_INSTRUMENT' AS TABELA_LT,'BU_LOANTAPE_WORK.LT002_INSTRUMENT' AS TABELA_SIMUL,'typ_instrmnt'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typ_instrmnt AS CAMPO_IT FROM CD_LOAN_TAPES_BCE.LT002_INSTRUMENT WHERE ref_date='${ref_date}' AND nome_perimetro='Individual Local' AND segmento='ESTR' AND ambito='PM' AND entidade='00100')X INNER JOIN (SELECT instrmnt_id AS CHAVE_SIMUL, typ_instrmnt AS CAMPO_SIMUL FROM BU_LOANTAPE_WORK.LT002_INSTRUMENT WHERE ref_date='${ref_date}' AND nome_perimetro='Individual Local' AND segmento='ESTR' AND ambito='PM' AND entidade='00100')Y ON X.CHAVE_IT=Y.CHAVE_SIMUL</v>
      </c>
      <c r="O100" s="35" t="s">
        <v>35</v>
      </c>
    </row>
    <row r="101" spans="1:15">
      <c r="A101" s="57" t="str">
        <f t="shared" si="4"/>
        <v>Instrumenttyp_intrst_rt</v>
      </c>
      <c r="B101" s="32" t="s">
        <v>9</v>
      </c>
      <c r="C101" s="32" t="s">
        <v>286</v>
      </c>
      <c r="D101" s="32" t="s">
        <v>5</v>
      </c>
      <c r="E101" s="32" t="str">
        <f>+UPPER('0. Instruções'!$D$35&amp;"."&amp;VLOOKUP(B101,'0. Instruções'!$C$27:$D$32,2,FALSE))</f>
        <v>CD_LOAN_TAPES_BCE.LT002_INSTRUMENT</v>
      </c>
      <c r="F101" s="32" t="str">
        <f>+UPPER('0. Instruções'!$D$36&amp;"."&amp;VLOOKUP(B101,'0. Instruções'!$C$27:$E$32,3,FALSE))</f>
        <v>BU_LOANTAPE_WORK.LT002_INSTRUMENT</v>
      </c>
      <c r="H101" s="32"/>
      <c r="I101" s="32"/>
      <c r="J101" s="32" t="str">
        <f>IF(VLOOKUP(B101,'0. Instruções'!$C$27:$G$32,5,FALSE)=0,
"(SELECT "&amp;VLOOKUP(B101,'0. Instruções'!$C$27:$G$32,4,FALSE)&amp;" AS CHAVE_IT, "&amp;C101&amp;" AS CAMPO_IT FROM "&amp;E101&amp;" WHERE "&amp;'0. Instruções'!$D$43&amp;")X",
"(SELECT "&amp;VLOOKUP(B101,'0. Instruções'!$C$27:$G$32,4,FALSE)&amp;" AS CHAVE_IT1, "&amp;VLOOKUP(B101,'0. Instruções'!$C$27:$G$32,5,FALSE)&amp;" AS CHAVE_IT2, "&amp;C101&amp;" AS CAMPO_IT FROM "&amp;E101&amp;" WHERE "&amp;'0. Instruções'!$D$43&amp;")X")</f>
        <v>(SELECT instrmnt_id AS CHAVE_IT, typ_intrst_rt AS CAMPO_IT FROM CD_LOAN_TAPES_BCE.LT002_INSTRUMENT WHERE ref_date='${ref_date}' AND nome_perimetro='Individual Local' AND segmento='ESTR' AND ambito='PM' AND entidade='00100')X</v>
      </c>
      <c r="K101" s="32" t="str">
        <f>IF(VLOOKUP(B101,'0. Instruções'!$C$27:$G$32,5,FALSE)=0,
"(SELECT "&amp;VLOOKUP(B101,'0. Instruções'!$C$27:$G$32,4,FALSE)&amp;" AS CHAVE_SIMUL, "&amp;C101&amp;" AS CAMPO_SIMUL FROM "&amp;F101&amp;" WHERE "&amp;'0. Instruções'!$D$42&amp;")Y",
"(SELECT "&amp;VLOOKUP(B101,'0. Instruções'!$C$27:$G$32,4,FALSE)&amp;" AS CHAVE_SIMUL1, "&amp;VLOOKUP(B101,'0. Instruções'!$C$27:$G$32,5,FALSE)&amp;" AS CHAVE_SIMUL2, "&amp;C101&amp;" AS CAMPO_SIMUL FROM "&amp;F101&amp;" WHERE "&amp;'0. Instruções'!$D$42&amp;")Y")</f>
        <v>(SELECT instrmnt_id AS CHAVE_SIMUL, typ_intrst_rt AS CAMPO_SIMUL FROM BU_LOANTAPE_WORK.LT002_INSTRUMENT WHERE ref_date='${ref_date}' AND nome_perimetro='Individual Local' AND segmento='ESTR' AND ambito='PM' AND entidade='00100')Y</v>
      </c>
      <c r="L101" s="32" t="str">
        <f>IF(VLOOKUP(B101,'0. Instruções'!$C$27:$G$32,5,FALSE)=0,
"ON X.CHAVE_IT=Y.CHAVE_SIMUL",
"ON X.CHAVE_IT1=Y.CHAVE_SIMUL1 AND X.CHAVE_IT2=Y.CHAVE_SIMUL2")</f>
        <v>ON X.CHAVE_IT=Y.CHAVE_SIMUL</v>
      </c>
      <c r="M101" s="32" t="str">
        <f>+IF(D101="Coerência",+IF(LEFT(H101,5)="FLOAT","SELECT '"&amp;UPPER(B101)&amp;"' AS TABELA, '"&amp;UPPER(D101)&amp;"' AS TIPOLOGIA_TESTE,'"&amp;E101&amp;"' AS TABELA_LT,'"&amp;F101&amp;"' AS TABELA_SIMUL,'"&amp;C101&amp;"'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"&amp;J101&amp;" INNER JOIN "&amp;K101&amp;" "&amp;L101,"SELECT '"&amp;UPPER(B101)&amp;"' AS TABELA, '"&amp;UPPER(D101)&amp;"' AS TIPOLOGIA_TESTE,'"&amp;E101&amp;"' AS TABELA_LT,'"&amp;F101&amp;"' AS TABELA_SIMUL,'"&amp;C101&amp;"'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"&amp;J101&amp;" INNER JOIN "&amp;K101&amp;" "&amp;L101))</f>
        <v>SELECT 'INSTRUMENT' AS TABELA, 'COERÊNCIA' AS TIPOLOGIA_TESTE,'CD_LOAN_TAPES_BCE.LT002_INSTRUMENT' AS TABELA_LT,'BU_LOANTAPE_WORK.LT002_INSTRUMENT' AS TABELA_SIMUL,'typ_intrst_rt'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typ_intrst_rt AS CAMPO_IT FROM CD_LOAN_TAPES_BCE.LT002_INSTRUMENT WHERE ref_date='${ref_date}' AND nome_perimetro='Individual Local' AND segmento='ESTR' AND ambito='PM' AND entidade='00100')X INNER JOIN (SELECT instrmnt_id AS CHAVE_SIMUL, typ_intrst_rt AS CAMPO_SIMUL FROM BU_LOANTAPE_WORK.LT002_INSTRUMENT WHERE ref_date='${ref_date}' AND nome_perimetro='Individual Local' AND segmento='ESTR' AND ambito='PM' AND entidade='00100')Y ON X.CHAVE_IT=Y.CHAVE_SIMUL</v>
      </c>
      <c r="N101" s="33" t="str">
        <f t="shared" si="3"/>
        <v>UNION ALL SELECT 'INSTRUMENT' AS TABELA, 'COERÊNCIA' AS TIPOLOGIA_TESTE,'CD_LOAN_TAPES_BCE.LT002_INSTRUMENT' AS TABELA_LT,'BU_LOANTAPE_WORK.LT002_INSTRUMENT' AS TABELA_SIMUL,'typ_intrst_rt'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typ_intrst_rt AS CAMPO_IT FROM CD_LOAN_TAPES_BCE.LT002_INSTRUMENT WHERE ref_date='${ref_date}' AND nome_perimetro='Individual Local' AND segmento='ESTR' AND ambito='PM' AND entidade='00100')X INNER JOIN (SELECT instrmnt_id AS CHAVE_SIMUL, typ_intrst_rt AS CAMPO_SIMUL FROM BU_LOANTAPE_WORK.LT002_INSTRUMENT WHERE ref_date='${ref_date}' AND nome_perimetro='Individual Local' AND segmento='ESTR' AND ambito='PM' AND entidade='00100')Y ON X.CHAVE_IT=Y.CHAVE_SIMUL</v>
      </c>
      <c r="O101" s="35" t="s">
        <v>35</v>
      </c>
    </row>
    <row r="102" spans="1:15">
      <c r="A102" s="57" t="str">
        <f t="shared" si="4"/>
        <v>Instrumenttyp_mrtgg</v>
      </c>
      <c r="B102" s="32" t="s">
        <v>9</v>
      </c>
      <c r="C102" s="32" t="s">
        <v>287</v>
      </c>
      <c r="D102" s="32" t="s">
        <v>5</v>
      </c>
      <c r="E102" s="32" t="str">
        <f>+UPPER('0. Instruções'!$D$35&amp;"."&amp;VLOOKUP(B102,'0. Instruções'!$C$27:$D$32,2,FALSE))</f>
        <v>CD_LOAN_TAPES_BCE.LT002_INSTRUMENT</v>
      </c>
      <c r="F102" s="32" t="str">
        <f>+UPPER('0. Instruções'!$D$36&amp;"."&amp;VLOOKUP(B102,'0. Instruções'!$C$27:$E$32,3,FALSE))</f>
        <v>BU_LOANTAPE_WORK.LT002_INSTRUMENT</v>
      </c>
      <c r="H102" s="32"/>
      <c r="I102" s="32"/>
      <c r="J102" s="32" t="str">
        <f>IF(VLOOKUP(B102,'0. Instruções'!$C$27:$G$32,5,FALSE)=0,
"(SELECT "&amp;VLOOKUP(B102,'0. Instruções'!$C$27:$G$32,4,FALSE)&amp;" AS CHAVE_IT, "&amp;C102&amp;" AS CAMPO_IT FROM "&amp;E102&amp;" WHERE "&amp;'0. Instruções'!$D$43&amp;")X",
"(SELECT "&amp;VLOOKUP(B102,'0. Instruções'!$C$27:$G$32,4,FALSE)&amp;" AS CHAVE_IT1, "&amp;VLOOKUP(B102,'0. Instruções'!$C$27:$G$32,5,FALSE)&amp;" AS CHAVE_IT2, "&amp;C102&amp;" AS CAMPO_IT FROM "&amp;E102&amp;" WHERE "&amp;'0. Instruções'!$D$43&amp;")X")</f>
        <v>(SELECT instrmnt_id AS CHAVE_IT, typ_mrtgg AS CAMPO_IT FROM CD_LOAN_TAPES_BCE.LT002_INSTRUMENT WHERE ref_date='${ref_date}' AND nome_perimetro='Individual Local' AND segmento='ESTR' AND ambito='PM' AND entidade='00100')X</v>
      </c>
      <c r="K102" s="32" t="str">
        <f>IF(VLOOKUP(B102,'0. Instruções'!$C$27:$G$32,5,FALSE)=0,
"(SELECT "&amp;VLOOKUP(B102,'0. Instruções'!$C$27:$G$32,4,FALSE)&amp;" AS CHAVE_SIMUL, "&amp;C102&amp;" AS CAMPO_SIMUL FROM "&amp;F102&amp;" WHERE "&amp;'0. Instruções'!$D$42&amp;")Y",
"(SELECT "&amp;VLOOKUP(B102,'0. Instruções'!$C$27:$G$32,4,FALSE)&amp;" AS CHAVE_SIMUL1, "&amp;VLOOKUP(B102,'0. Instruções'!$C$27:$G$32,5,FALSE)&amp;" AS CHAVE_SIMUL2, "&amp;C102&amp;" AS CAMPO_SIMUL FROM "&amp;F102&amp;" WHERE "&amp;'0. Instruções'!$D$42&amp;")Y")</f>
        <v>(SELECT instrmnt_id AS CHAVE_SIMUL, typ_mrtgg AS CAMPO_SIMUL FROM BU_LOANTAPE_WORK.LT002_INSTRUMENT WHERE ref_date='${ref_date}' AND nome_perimetro='Individual Local' AND segmento='ESTR' AND ambito='PM' AND entidade='00100')Y</v>
      </c>
      <c r="L102" s="32" t="str">
        <f>IF(VLOOKUP(B102,'0. Instruções'!$C$27:$G$32,5,FALSE)=0,
"ON X.CHAVE_IT=Y.CHAVE_SIMUL",
"ON X.CHAVE_IT1=Y.CHAVE_SIMUL1 AND X.CHAVE_IT2=Y.CHAVE_SIMUL2")</f>
        <v>ON X.CHAVE_IT=Y.CHAVE_SIMUL</v>
      </c>
      <c r="M102" s="32" t="str">
        <f>+IF(D102="Coerência",+IF(LEFT(H102,5)="FLOAT","SELECT '"&amp;UPPER(B102)&amp;"' AS TABELA, '"&amp;UPPER(D102)&amp;"' AS TIPOLOGIA_TESTE,'"&amp;E102&amp;"' AS TABELA_LT,'"&amp;F102&amp;"' AS TABELA_SIMUL,'"&amp;C102&amp;"'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"&amp;J102&amp;" INNER JOIN "&amp;K102&amp;" "&amp;L102,"SELECT '"&amp;UPPER(B102)&amp;"' AS TABELA, '"&amp;UPPER(D102)&amp;"' AS TIPOLOGIA_TESTE,'"&amp;E102&amp;"' AS TABELA_LT,'"&amp;F102&amp;"' AS TABELA_SIMUL,'"&amp;C102&amp;"'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"&amp;J102&amp;" INNER JOIN "&amp;K102&amp;" "&amp;L102))</f>
        <v>SELECT 'INSTRUMENT' AS TABELA, 'COERÊNCIA' AS TIPOLOGIA_TESTE,'CD_LOAN_TAPES_BCE.LT002_INSTRUMENT' AS TABELA_LT,'BU_LOANTAPE_WORK.LT002_INSTRUMENT' AS TABELA_SIMUL,'typ_mrtgg'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typ_mrtgg AS CAMPO_IT FROM CD_LOAN_TAPES_BCE.LT002_INSTRUMENT WHERE ref_date='${ref_date}' AND nome_perimetro='Individual Local' AND segmento='ESTR' AND ambito='PM' AND entidade='00100')X INNER JOIN (SELECT instrmnt_id AS CHAVE_SIMUL, typ_mrtgg AS CAMPO_SIMUL FROM BU_LOANTAPE_WORK.LT002_INSTRUMENT WHERE ref_date='${ref_date}' AND nome_perimetro='Individual Local' AND segmento='ESTR' AND ambito='PM' AND entidade='00100')Y ON X.CHAVE_IT=Y.CHAVE_SIMUL</v>
      </c>
      <c r="N102" s="33" t="str">
        <f t="shared" ref="N102:N165" si="5">+"UNION ALL "&amp;M102</f>
        <v>UNION ALL SELECT 'INSTRUMENT' AS TABELA, 'COERÊNCIA' AS TIPOLOGIA_TESTE,'CD_LOAN_TAPES_BCE.LT002_INSTRUMENT' AS TABELA_LT,'BU_LOANTAPE_WORK.LT002_INSTRUMENT' AS TABELA_SIMUL,'typ_mrtgg'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typ_mrtgg AS CAMPO_IT FROM CD_LOAN_TAPES_BCE.LT002_INSTRUMENT WHERE ref_date='${ref_date}' AND nome_perimetro='Individual Local' AND segmento='ESTR' AND ambito='PM' AND entidade='00100')X INNER JOIN (SELECT instrmnt_id AS CHAVE_SIMUL, typ_mrtgg AS CAMPO_SIMUL FROM BU_LOANTAPE_WORK.LT002_INSTRUMENT WHERE ref_date='${ref_date}' AND nome_perimetro='Individual Local' AND segmento='ESTR' AND ambito='PM' AND entidade='00100')Y ON X.CHAVE_IT=Y.CHAVE_SIMUL</v>
      </c>
      <c r="O102" s="35" t="s">
        <v>35</v>
      </c>
    </row>
    <row r="103" spans="1:15">
      <c r="A103" s="57" t="str">
        <f t="shared" si="4"/>
        <v>Instrumenttyp_cre_oprtn</v>
      </c>
      <c r="B103" s="32" t="s">
        <v>9</v>
      </c>
      <c r="C103" s="32" t="s">
        <v>288</v>
      </c>
      <c r="D103" s="32" t="s">
        <v>5</v>
      </c>
      <c r="E103" s="32" t="str">
        <f>+UPPER('0. Instruções'!$D$35&amp;"."&amp;VLOOKUP(B103,'0. Instruções'!$C$27:$D$32,2,FALSE))</f>
        <v>CD_LOAN_TAPES_BCE.LT002_INSTRUMENT</v>
      </c>
      <c r="F103" s="32" t="str">
        <f>+UPPER('0. Instruções'!$D$36&amp;"."&amp;VLOOKUP(B103,'0. Instruções'!$C$27:$E$32,3,FALSE))</f>
        <v>BU_LOANTAPE_WORK.LT002_INSTRUMENT</v>
      </c>
      <c r="H103" s="32"/>
      <c r="I103" s="32"/>
      <c r="J103" s="32" t="str">
        <f>IF(VLOOKUP(B103,'0. Instruções'!$C$27:$G$32,5,FALSE)=0,
"(SELECT "&amp;VLOOKUP(B103,'0. Instruções'!$C$27:$G$32,4,FALSE)&amp;" AS CHAVE_IT, "&amp;C103&amp;" AS CAMPO_IT FROM "&amp;E103&amp;" WHERE "&amp;'0. Instruções'!$D$43&amp;")X",
"(SELECT "&amp;VLOOKUP(B103,'0. Instruções'!$C$27:$G$32,4,FALSE)&amp;" AS CHAVE_IT1, "&amp;VLOOKUP(B103,'0. Instruções'!$C$27:$G$32,5,FALSE)&amp;" AS CHAVE_IT2, "&amp;C103&amp;" AS CAMPO_IT FROM "&amp;E103&amp;" WHERE "&amp;'0. Instruções'!$D$43&amp;")X")</f>
        <v>(SELECT instrmnt_id AS CHAVE_IT, typ_cre_oprtn AS CAMPO_IT FROM CD_LOAN_TAPES_BCE.LT002_INSTRUMENT WHERE ref_date='${ref_date}' AND nome_perimetro='Individual Local' AND segmento='ESTR' AND ambito='PM' AND entidade='00100')X</v>
      </c>
      <c r="K103" s="32" t="str">
        <f>IF(VLOOKUP(B103,'0. Instruções'!$C$27:$G$32,5,FALSE)=0,
"(SELECT "&amp;VLOOKUP(B103,'0. Instruções'!$C$27:$G$32,4,FALSE)&amp;" AS CHAVE_SIMUL, "&amp;C103&amp;" AS CAMPO_SIMUL FROM "&amp;F103&amp;" WHERE "&amp;'0. Instruções'!$D$42&amp;")Y",
"(SELECT "&amp;VLOOKUP(B103,'0. Instruções'!$C$27:$G$32,4,FALSE)&amp;" AS CHAVE_SIMUL1, "&amp;VLOOKUP(B103,'0. Instruções'!$C$27:$G$32,5,FALSE)&amp;" AS CHAVE_SIMUL2, "&amp;C103&amp;" AS CAMPO_SIMUL FROM "&amp;F103&amp;" WHERE "&amp;'0. Instruções'!$D$42&amp;")Y")</f>
        <v>(SELECT instrmnt_id AS CHAVE_SIMUL, typ_cre_oprtn AS CAMPO_SIMUL FROM BU_LOANTAPE_WORK.LT002_INSTRUMENT WHERE ref_date='${ref_date}' AND nome_perimetro='Individual Local' AND segmento='ESTR' AND ambito='PM' AND entidade='00100')Y</v>
      </c>
      <c r="L103" s="32" t="str">
        <f>IF(VLOOKUP(B103,'0. Instruções'!$C$27:$G$32,5,FALSE)=0,
"ON X.CHAVE_IT=Y.CHAVE_SIMUL",
"ON X.CHAVE_IT1=Y.CHAVE_SIMUL1 AND X.CHAVE_IT2=Y.CHAVE_SIMUL2")</f>
        <v>ON X.CHAVE_IT=Y.CHAVE_SIMUL</v>
      </c>
      <c r="M103" s="32" t="str">
        <f>+IF(D103="Coerência",+IF(LEFT(H103,5)="FLOAT","SELECT '"&amp;UPPER(B103)&amp;"' AS TABELA, '"&amp;UPPER(D103)&amp;"' AS TIPOLOGIA_TESTE,'"&amp;E103&amp;"' AS TABELA_LT,'"&amp;F103&amp;"' AS TABELA_SIMUL,'"&amp;C103&amp;"'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"&amp;J103&amp;" INNER JOIN "&amp;K103&amp;" "&amp;L103,"SELECT '"&amp;UPPER(B103)&amp;"' AS TABELA, '"&amp;UPPER(D103)&amp;"' AS TIPOLOGIA_TESTE,'"&amp;E103&amp;"' AS TABELA_LT,'"&amp;F103&amp;"' AS TABELA_SIMUL,'"&amp;C103&amp;"'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"&amp;J103&amp;" INNER JOIN "&amp;K103&amp;" "&amp;L103))</f>
        <v>SELECT 'INSTRUMENT' AS TABELA, 'COERÊNCIA' AS TIPOLOGIA_TESTE,'CD_LOAN_TAPES_BCE.LT002_INSTRUMENT' AS TABELA_LT,'BU_LOANTAPE_WORK.LT002_INSTRUMENT' AS TABELA_SIMUL,'typ_cre_oprtn'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typ_cre_oprtn AS CAMPO_IT FROM CD_LOAN_TAPES_BCE.LT002_INSTRUMENT WHERE ref_date='${ref_date}' AND nome_perimetro='Individual Local' AND segmento='ESTR' AND ambito='PM' AND entidade='00100')X INNER JOIN (SELECT instrmnt_id AS CHAVE_SIMUL, typ_cre_oprtn AS CAMPO_SIMUL FROM BU_LOANTAPE_WORK.LT002_INSTRUMENT WHERE ref_date='${ref_date}' AND nome_perimetro='Individual Local' AND segmento='ESTR' AND ambito='PM' AND entidade='00100')Y ON X.CHAVE_IT=Y.CHAVE_SIMUL</v>
      </c>
      <c r="N103" s="33" t="str">
        <f t="shared" si="5"/>
        <v>UNION ALL SELECT 'INSTRUMENT' AS TABELA, 'COERÊNCIA' AS TIPOLOGIA_TESTE,'CD_LOAN_TAPES_BCE.LT002_INSTRUMENT' AS TABELA_LT,'BU_LOANTAPE_WORK.LT002_INSTRUMENT' AS TABELA_SIMUL,'typ_cre_oprtn'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typ_cre_oprtn AS CAMPO_IT FROM CD_LOAN_TAPES_BCE.LT002_INSTRUMENT WHERE ref_date='${ref_date}' AND nome_perimetro='Individual Local' AND segmento='ESTR' AND ambito='PM' AND entidade='00100')X INNER JOIN (SELECT instrmnt_id AS CHAVE_SIMUL, typ_cre_oprtn AS CAMPO_SIMUL FROM BU_LOANTAPE_WORK.LT002_INSTRUMENT WHERE ref_date='${ref_date}' AND nome_perimetro='Individual Local' AND segmento='ESTR' AND ambito='PM' AND entidade='00100')Y ON X.CHAVE_IT=Y.CHAVE_SIMUL</v>
      </c>
      <c r="O103" s="35" t="s">
        <v>35</v>
      </c>
    </row>
    <row r="104" spans="1:15">
      <c r="A104" s="57" t="str">
        <f t="shared" si="4"/>
        <v>Instrumentdt_strt_gp_ppal</v>
      </c>
      <c r="B104" s="32" t="s">
        <v>9</v>
      </c>
      <c r="C104" s="32" t="s">
        <v>289</v>
      </c>
      <c r="D104" s="32" t="s">
        <v>5</v>
      </c>
      <c r="E104" s="32" t="str">
        <f>+UPPER('0. Instruções'!$D$35&amp;"."&amp;VLOOKUP(B104,'0. Instruções'!$C$27:$D$32,2,FALSE))</f>
        <v>CD_LOAN_TAPES_BCE.LT002_INSTRUMENT</v>
      </c>
      <c r="F104" s="32" t="str">
        <f>+UPPER('0. Instruções'!$D$36&amp;"."&amp;VLOOKUP(B104,'0. Instruções'!$C$27:$E$32,3,FALSE))</f>
        <v>BU_LOANTAPE_WORK.LT002_INSTRUMENT</v>
      </c>
      <c r="H104" s="32"/>
      <c r="I104" s="32"/>
      <c r="J104" s="32" t="str">
        <f>IF(VLOOKUP(B104,'0. Instruções'!$C$27:$G$32,5,FALSE)=0,
"(SELECT "&amp;VLOOKUP(B104,'0. Instruções'!$C$27:$G$32,4,FALSE)&amp;" AS CHAVE_IT, "&amp;C104&amp;" AS CAMPO_IT FROM "&amp;E104&amp;" WHERE "&amp;'0. Instruções'!$D$43&amp;")X",
"(SELECT "&amp;VLOOKUP(B104,'0. Instruções'!$C$27:$G$32,4,FALSE)&amp;" AS CHAVE_IT1, "&amp;VLOOKUP(B104,'0. Instruções'!$C$27:$G$32,5,FALSE)&amp;" AS CHAVE_IT2, "&amp;C104&amp;" AS CAMPO_IT FROM "&amp;E104&amp;" WHERE "&amp;'0. Instruções'!$D$43&amp;")X")</f>
        <v>(SELECT instrmnt_id AS CHAVE_IT, dt_strt_gp_ppal AS CAMPO_IT FROM CD_LOAN_TAPES_BCE.LT002_INSTRUMENT WHERE ref_date='${ref_date}' AND nome_perimetro='Individual Local' AND segmento='ESTR' AND ambito='PM' AND entidade='00100')X</v>
      </c>
      <c r="K104" s="32" t="str">
        <f>IF(VLOOKUP(B104,'0. Instruções'!$C$27:$G$32,5,FALSE)=0,
"(SELECT "&amp;VLOOKUP(B104,'0. Instruções'!$C$27:$G$32,4,FALSE)&amp;" AS CHAVE_SIMUL, "&amp;C104&amp;" AS CAMPO_SIMUL FROM "&amp;F104&amp;" WHERE "&amp;'0. Instruções'!$D$42&amp;")Y",
"(SELECT "&amp;VLOOKUP(B104,'0. Instruções'!$C$27:$G$32,4,FALSE)&amp;" AS CHAVE_SIMUL1, "&amp;VLOOKUP(B104,'0. Instruções'!$C$27:$G$32,5,FALSE)&amp;" AS CHAVE_SIMUL2, "&amp;C104&amp;" AS CAMPO_SIMUL FROM "&amp;F104&amp;" WHERE "&amp;'0. Instruções'!$D$42&amp;")Y")</f>
        <v>(SELECT instrmnt_id AS CHAVE_SIMUL, dt_strt_gp_ppal AS CAMPO_SIMUL FROM BU_LOANTAPE_WORK.LT002_INSTRUMENT WHERE ref_date='${ref_date}' AND nome_perimetro='Individual Local' AND segmento='ESTR' AND ambito='PM' AND entidade='00100')Y</v>
      </c>
      <c r="L104" s="32" t="str">
        <f>IF(VLOOKUP(B104,'0. Instruções'!$C$27:$G$32,5,FALSE)=0,
"ON X.CHAVE_IT=Y.CHAVE_SIMUL",
"ON X.CHAVE_IT1=Y.CHAVE_SIMUL1 AND X.CHAVE_IT2=Y.CHAVE_SIMUL2")</f>
        <v>ON X.CHAVE_IT=Y.CHAVE_SIMUL</v>
      </c>
      <c r="M104" s="32" t="str">
        <f>+IF(D104="Coerência",+IF(LEFT(H104,5)="FLOAT","SELECT '"&amp;UPPER(B104)&amp;"' AS TABELA, '"&amp;UPPER(D104)&amp;"' AS TIPOLOGIA_TESTE,'"&amp;E104&amp;"' AS TABELA_LT,'"&amp;F104&amp;"' AS TABELA_SIMUL,'"&amp;C104&amp;"'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"&amp;J104&amp;" INNER JOIN "&amp;K104&amp;" "&amp;L104,"SELECT '"&amp;UPPER(B104)&amp;"' AS TABELA, '"&amp;UPPER(D104)&amp;"' AS TIPOLOGIA_TESTE,'"&amp;E104&amp;"' AS TABELA_LT,'"&amp;F104&amp;"' AS TABELA_SIMUL,'"&amp;C104&amp;"'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"&amp;J104&amp;" INNER JOIN "&amp;K104&amp;" "&amp;L104))</f>
        <v>SELECT 'INSTRUMENT' AS TABELA, 'COERÊNCIA' AS TIPOLOGIA_TESTE,'CD_LOAN_TAPES_BCE.LT002_INSTRUMENT' AS TABELA_LT,'BU_LOANTAPE_WORK.LT002_INSTRUMENT' AS TABELA_SIMUL,'dt_strt_gp_ppal'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dt_strt_gp_ppal AS CAMPO_IT FROM CD_LOAN_TAPES_BCE.LT002_INSTRUMENT WHERE ref_date='${ref_date}' AND nome_perimetro='Individual Local' AND segmento='ESTR' AND ambito='PM' AND entidade='00100')X INNER JOIN (SELECT instrmnt_id AS CHAVE_SIMUL, dt_strt_gp_ppal AS CAMPO_SIMUL FROM BU_LOANTAPE_WORK.LT002_INSTRUMENT WHERE ref_date='${ref_date}' AND nome_perimetro='Individual Local' AND segmento='ESTR' AND ambito='PM' AND entidade='00100')Y ON X.CHAVE_IT=Y.CHAVE_SIMUL</v>
      </c>
      <c r="N104" s="33" t="str">
        <f t="shared" si="5"/>
        <v>UNION ALL SELECT 'INSTRUMENT' AS TABELA, 'COERÊNCIA' AS TIPOLOGIA_TESTE,'CD_LOAN_TAPES_BCE.LT002_INSTRUMENT' AS TABELA_LT,'BU_LOANTAPE_WORK.LT002_INSTRUMENT' AS TABELA_SIMUL,'dt_strt_gp_ppal'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dt_strt_gp_ppal AS CAMPO_IT FROM CD_LOAN_TAPES_BCE.LT002_INSTRUMENT WHERE ref_date='${ref_date}' AND nome_perimetro='Individual Local' AND segmento='ESTR' AND ambito='PM' AND entidade='00100')X INNER JOIN (SELECT instrmnt_id AS CHAVE_SIMUL, dt_strt_gp_ppal AS CAMPO_SIMUL FROM BU_LOANTAPE_WORK.LT002_INSTRUMENT WHERE ref_date='${ref_date}' AND nome_perimetro='Individual Local' AND segmento='ESTR' AND ambito='PM' AND entidade='00100')Y ON X.CHAVE_IT=Y.CHAVE_SIMUL</v>
      </c>
      <c r="O104" s="35" t="s">
        <v>35</v>
      </c>
    </row>
    <row r="105" spans="1:15">
      <c r="A105" s="57" t="str">
        <f t="shared" si="4"/>
        <v>Instrumentgrss_crryng_amnt_instrmnt</v>
      </c>
      <c r="B105" s="32" t="s">
        <v>9</v>
      </c>
      <c r="C105" s="32" t="s">
        <v>140</v>
      </c>
      <c r="D105" s="32" t="s">
        <v>5</v>
      </c>
      <c r="E105" s="32" t="str">
        <f>+UPPER('0. Instruções'!$D$35&amp;"."&amp;VLOOKUP(B105,'0. Instruções'!$C$27:$D$32,2,FALSE))</f>
        <v>CD_LOAN_TAPES_BCE.LT002_INSTRUMENT</v>
      </c>
      <c r="F105" s="32" t="str">
        <f>+UPPER('0. Instruções'!$D$36&amp;"."&amp;VLOOKUP(B105,'0. Instruções'!$C$27:$E$32,3,FALSE))</f>
        <v>BU_LOANTAPE_WORK.LT002_INSTRUMENT</v>
      </c>
      <c r="H105" s="32"/>
      <c r="I105" s="32"/>
      <c r="J105" s="32" t="str">
        <f>IF(VLOOKUP(B105,'0. Instruções'!$C$27:$G$32,5,FALSE)=0,
"(SELECT "&amp;VLOOKUP(B105,'0. Instruções'!$C$27:$G$32,4,FALSE)&amp;" AS CHAVE_IT, "&amp;C105&amp;" AS CAMPO_IT FROM "&amp;E105&amp;" WHERE "&amp;'0. Instruções'!$D$43&amp;")X",
"(SELECT "&amp;VLOOKUP(B105,'0. Instruções'!$C$27:$G$32,4,FALSE)&amp;" AS CHAVE_IT1, "&amp;VLOOKUP(B105,'0. Instruções'!$C$27:$G$32,5,FALSE)&amp;" AS CHAVE_IT2, "&amp;C105&amp;" AS CAMPO_IT FROM "&amp;E105&amp;" WHERE "&amp;'0. Instruções'!$D$43&amp;")X")</f>
        <v>(SELECT instrmnt_id AS CHAVE_IT, grss_crryng_amnt_instrmnt AS CAMPO_IT FROM CD_LOAN_TAPES_BCE.LT002_INSTRUMENT WHERE ref_date='${ref_date}' AND nome_perimetro='Individual Local' AND segmento='ESTR' AND ambito='PM' AND entidade='00100')X</v>
      </c>
      <c r="K105" s="32" t="str">
        <f>IF(VLOOKUP(B105,'0. Instruções'!$C$27:$G$32,5,FALSE)=0,
"(SELECT "&amp;VLOOKUP(B105,'0. Instruções'!$C$27:$G$32,4,FALSE)&amp;" AS CHAVE_SIMUL, "&amp;C105&amp;" AS CAMPO_SIMUL FROM "&amp;F105&amp;" WHERE "&amp;'0. Instruções'!$D$42&amp;")Y",
"(SELECT "&amp;VLOOKUP(B105,'0. Instruções'!$C$27:$G$32,4,FALSE)&amp;" AS CHAVE_SIMUL1, "&amp;VLOOKUP(B105,'0. Instruções'!$C$27:$G$32,5,FALSE)&amp;" AS CHAVE_SIMUL2, "&amp;C105&amp;" AS CAMPO_SIMUL FROM "&amp;F105&amp;" WHERE "&amp;'0. Instruções'!$D$42&amp;")Y")</f>
        <v>(SELECT instrmnt_id AS CHAVE_SIMUL, grss_crryng_amnt_instrmnt AS CAMPO_SIMUL FROM BU_LOANTAPE_WORK.LT002_INSTRUMENT WHERE ref_date='${ref_date}' AND nome_perimetro='Individual Local' AND segmento='ESTR' AND ambito='PM' AND entidade='00100')Y</v>
      </c>
      <c r="L105" s="32" t="str">
        <f>IF(VLOOKUP(B105,'0. Instruções'!$C$27:$G$32,5,FALSE)=0,
"ON X.CHAVE_IT=Y.CHAVE_SIMUL",
"ON X.CHAVE_IT1=Y.CHAVE_SIMUL1 AND X.CHAVE_IT2=Y.CHAVE_SIMUL2")</f>
        <v>ON X.CHAVE_IT=Y.CHAVE_SIMUL</v>
      </c>
      <c r="M105" s="32" t="str">
        <f>+IF(D105="Coerência",+IF(LEFT(H105,5)="FLOAT","SELECT '"&amp;UPPER(B105)&amp;"' AS TABELA, '"&amp;UPPER(D105)&amp;"' AS TIPOLOGIA_TESTE,'"&amp;E105&amp;"' AS TABELA_LT,'"&amp;F105&amp;"' AS TABELA_SIMUL,'"&amp;C105&amp;"'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"&amp;J105&amp;" INNER JOIN "&amp;K105&amp;" "&amp;L105,"SELECT '"&amp;UPPER(B105)&amp;"' AS TABELA, '"&amp;UPPER(D105)&amp;"' AS TIPOLOGIA_TESTE,'"&amp;E105&amp;"' AS TABELA_LT,'"&amp;F105&amp;"' AS TABELA_SIMUL,'"&amp;C105&amp;"'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"&amp;J105&amp;" INNER JOIN "&amp;K105&amp;" "&amp;L105))</f>
        <v>SELECT 'INSTRUMENT' AS TABELA, 'COERÊNCIA' AS TIPOLOGIA_TESTE,'CD_LOAN_TAPES_BCE.LT002_INSTRUMENT' AS TABELA_LT,'BU_LOANTAPE_WORK.LT002_INSTRUMENT' AS TABELA_SIMUL,'grss_crryng_amnt_instrmnt'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grss_crryng_amnt_instrmnt AS CAMPO_IT FROM CD_LOAN_TAPES_BCE.LT002_INSTRUMENT WHERE ref_date='${ref_date}' AND nome_perimetro='Individual Local' AND segmento='ESTR' AND ambito='PM' AND entidade='00100')X INNER JOIN (SELECT instrmnt_id AS CHAVE_SIMUL, grss_crryng_amnt_instrmnt AS CAMPO_SIMUL FROM BU_LOANTAPE_WORK.LT002_INSTRUMENT WHERE ref_date='${ref_date}' AND nome_perimetro='Individual Local' AND segmento='ESTR' AND ambito='PM' AND entidade='00100')Y ON X.CHAVE_IT=Y.CHAVE_SIMUL</v>
      </c>
      <c r="N105" s="33" t="str">
        <f t="shared" si="5"/>
        <v>UNION ALL SELECT 'INSTRUMENT' AS TABELA, 'COERÊNCIA' AS TIPOLOGIA_TESTE,'CD_LOAN_TAPES_BCE.LT002_INSTRUMENT' AS TABELA_LT,'BU_LOANTAPE_WORK.LT002_INSTRUMENT' AS TABELA_SIMUL,'grss_crryng_amnt_instrmnt'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grss_crryng_amnt_instrmnt AS CAMPO_IT FROM CD_LOAN_TAPES_BCE.LT002_INSTRUMENT WHERE ref_date='${ref_date}' AND nome_perimetro='Individual Local' AND segmento='ESTR' AND ambito='PM' AND entidade='00100')X INNER JOIN (SELECT instrmnt_id AS CHAVE_SIMUL, grss_crryng_amnt_instrmnt AS CAMPO_SIMUL FROM BU_LOANTAPE_WORK.LT002_INSTRUMENT WHERE ref_date='${ref_date}' AND nome_perimetro='Individual Local' AND segmento='ESTR' AND ambito='PM' AND entidade='00100')Y ON X.CHAVE_IT=Y.CHAVE_SIMUL</v>
      </c>
      <c r="O105" s="35" t="s">
        <v>35</v>
      </c>
    </row>
    <row r="106" spans="1:15">
      <c r="A106" s="57" t="str">
        <f t="shared" si="4"/>
        <v>Instrumentaccmltd_chngs_fv_cr_instrmnt</v>
      </c>
      <c r="B106" s="32" t="s">
        <v>9</v>
      </c>
      <c r="C106" s="32" t="s">
        <v>141</v>
      </c>
      <c r="D106" s="32" t="s">
        <v>5</v>
      </c>
      <c r="E106" s="32" t="str">
        <f>+UPPER('0. Instruções'!$D$35&amp;"."&amp;VLOOKUP(B106,'0. Instruções'!$C$27:$D$32,2,FALSE))</f>
        <v>CD_LOAN_TAPES_BCE.LT002_INSTRUMENT</v>
      </c>
      <c r="F106" s="32" t="str">
        <f>+UPPER('0. Instruções'!$D$36&amp;"."&amp;VLOOKUP(B106,'0. Instruções'!$C$27:$E$32,3,FALSE))</f>
        <v>BU_LOANTAPE_WORK.LT002_INSTRUMENT</v>
      </c>
      <c r="H106" s="32"/>
      <c r="I106" s="32"/>
      <c r="J106" s="32" t="str">
        <f>IF(VLOOKUP(B106,'0. Instruções'!$C$27:$G$32,5,FALSE)=0,
"(SELECT "&amp;VLOOKUP(B106,'0. Instruções'!$C$27:$G$32,4,FALSE)&amp;" AS CHAVE_IT, "&amp;C106&amp;" AS CAMPO_IT FROM "&amp;E106&amp;" WHERE "&amp;'0. Instruções'!$D$43&amp;")X",
"(SELECT "&amp;VLOOKUP(B106,'0. Instruções'!$C$27:$G$32,4,FALSE)&amp;" AS CHAVE_IT1, "&amp;VLOOKUP(B106,'0. Instruções'!$C$27:$G$32,5,FALSE)&amp;" AS CHAVE_IT2, "&amp;C106&amp;" AS CAMPO_IT FROM "&amp;E106&amp;" WHERE "&amp;'0. Instruções'!$D$43&amp;")X")</f>
        <v>(SELECT instrmnt_id AS CHAVE_IT, accmltd_chngs_fv_cr_instrmnt AS CAMPO_IT FROM CD_LOAN_TAPES_BCE.LT002_INSTRUMENT WHERE ref_date='${ref_date}' AND nome_perimetro='Individual Local' AND segmento='ESTR' AND ambito='PM' AND entidade='00100')X</v>
      </c>
      <c r="K106" s="32" t="str">
        <f>IF(VLOOKUP(B106,'0. Instruções'!$C$27:$G$32,5,FALSE)=0,
"(SELECT "&amp;VLOOKUP(B106,'0. Instruções'!$C$27:$G$32,4,FALSE)&amp;" AS CHAVE_SIMUL, "&amp;C106&amp;" AS CAMPO_SIMUL FROM "&amp;F106&amp;" WHERE "&amp;'0. Instruções'!$D$42&amp;")Y",
"(SELECT "&amp;VLOOKUP(B106,'0. Instruções'!$C$27:$G$32,4,FALSE)&amp;" AS CHAVE_SIMUL1, "&amp;VLOOKUP(B106,'0. Instruções'!$C$27:$G$32,5,FALSE)&amp;" AS CHAVE_SIMUL2, "&amp;C106&amp;" AS CAMPO_SIMUL FROM "&amp;F106&amp;" WHERE "&amp;'0. Instruções'!$D$42&amp;")Y")</f>
        <v>(SELECT instrmnt_id AS CHAVE_SIMUL, accmltd_chngs_fv_cr_instrmnt AS CAMPO_SIMUL FROM BU_LOANTAPE_WORK.LT002_INSTRUMENT WHERE ref_date='${ref_date}' AND nome_perimetro='Individual Local' AND segmento='ESTR' AND ambito='PM' AND entidade='00100')Y</v>
      </c>
      <c r="L106" s="32" t="str">
        <f>IF(VLOOKUP(B106,'0. Instruções'!$C$27:$G$32,5,FALSE)=0,
"ON X.CHAVE_IT=Y.CHAVE_SIMUL",
"ON X.CHAVE_IT1=Y.CHAVE_SIMUL1 AND X.CHAVE_IT2=Y.CHAVE_SIMUL2")</f>
        <v>ON X.CHAVE_IT=Y.CHAVE_SIMUL</v>
      </c>
      <c r="M106" s="32" t="str">
        <f>+IF(D106="Coerência",+IF(LEFT(H106,5)="FLOAT","SELECT '"&amp;UPPER(B106)&amp;"' AS TABELA, '"&amp;UPPER(D106)&amp;"' AS TIPOLOGIA_TESTE,'"&amp;E106&amp;"' AS TABELA_LT,'"&amp;F106&amp;"' AS TABELA_SIMUL,'"&amp;C106&amp;"'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"&amp;J106&amp;" INNER JOIN "&amp;K106&amp;" "&amp;L106,"SELECT '"&amp;UPPER(B106)&amp;"' AS TABELA, '"&amp;UPPER(D106)&amp;"' AS TIPOLOGIA_TESTE,'"&amp;E106&amp;"' AS TABELA_LT,'"&amp;F106&amp;"' AS TABELA_SIMUL,'"&amp;C106&amp;"'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"&amp;J106&amp;" INNER JOIN "&amp;K106&amp;" "&amp;L106))</f>
        <v>SELECT 'INSTRUMENT' AS TABELA, 'COERÊNCIA' AS TIPOLOGIA_TESTE,'CD_LOAN_TAPES_BCE.LT002_INSTRUMENT' AS TABELA_LT,'BU_LOANTAPE_WORK.LT002_INSTRUMENT' AS TABELA_SIMUL,'accmltd_chngs_fv_cr_instrmnt'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accmltd_chngs_fv_cr_instrmnt AS CAMPO_IT FROM CD_LOAN_TAPES_BCE.LT002_INSTRUMENT WHERE ref_date='${ref_date}' AND nome_perimetro='Individual Local' AND segmento='ESTR' AND ambito='PM' AND entidade='00100')X INNER JOIN (SELECT instrmnt_id AS CHAVE_SIMUL, accmltd_chngs_fv_cr_instrmnt AS CAMPO_SIMUL FROM BU_LOANTAPE_WORK.LT002_INSTRUMENT WHERE ref_date='${ref_date}' AND nome_perimetro='Individual Local' AND segmento='ESTR' AND ambito='PM' AND entidade='00100')Y ON X.CHAVE_IT=Y.CHAVE_SIMUL</v>
      </c>
      <c r="N106" s="33" t="str">
        <f t="shared" si="5"/>
        <v>UNION ALL SELECT 'INSTRUMENT' AS TABELA, 'COERÊNCIA' AS TIPOLOGIA_TESTE,'CD_LOAN_TAPES_BCE.LT002_INSTRUMENT' AS TABELA_LT,'BU_LOANTAPE_WORK.LT002_INSTRUMENT' AS TABELA_SIMUL,'accmltd_chngs_fv_cr_instrmnt'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accmltd_chngs_fv_cr_instrmnt AS CAMPO_IT FROM CD_LOAN_TAPES_BCE.LT002_INSTRUMENT WHERE ref_date='${ref_date}' AND nome_perimetro='Individual Local' AND segmento='ESTR' AND ambito='PM' AND entidade='00100')X INNER JOIN (SELECT instrmnt_id AS CHAVE_SIMUL, accmltd_chngs_fv_cr_instrmnt AS CAMPO_SIMUL FROM BU_LOANTAPE_WORK.LT002_INSTRUMENT WHERE ref_date='${ref_date}' AND nome_perimetro='Individual Local' AND segmento='ESTR' AND ambito='PM' AND entidade='00100')Y ON X.CHAVE_IT=Y.CHAVE_SIMUL</v>
      </c>
      <c r="O106" s="35" t="s">
        <v>35</v>
      </c>
    </row>
    <row r="107" spans="1:15">
      <c r="A107" s="57" t="str">
        <f t="shared" si="4"/>
        <v>Instrumentaccntng_clssfctn</v>
      </c>
      <c r="B107" s="32" t="s">
        <v>9</v>
      </c>
      <c r="C107" s="32" t="s">
        <v>142</v>
      </c>
      <c r="D107" s="32" t="s">
        <v>5</v>
      </c>
      <c r="E107" s="32" t="str">
        <f>+UPPER('0. Instruções'!$D$35&amp;"."&amp;VLOOKUP(B107,'0. Instruções'!$C$27:$D$32,2,FALSE))</f>
        <v>CD_LOAN_TAPES_BCE.LT002_INSTRUMENT</v>
      </c>
      <c r="F107" s="32" t="str">
        <f>+UPPER('0. Instruções'!$D$36&amp;"."&amp;VLOOKUP(B107,'0. Instruções'!$C$27:$E$32,3,FALSE))</f>
        <v>BU_LOANTAPE_WORK.LT002_INSTRUMENT</v>
      </c>
      <c r="H107" s="32"/>
      <c r="I107" s="32"/>
      <c r="J107" s="32" t="str">
        <f>IF(VLOOKUP(B107,'0. Instruções'!$C$27:$G$32,5,FALSE)=0,
"(SELECT "&amp;VLOOKUP(B107,'0. Instruções'!$C$27:$G$32,4,FALSE)&amp;" AS CHAVE_IT, "&amp;C107&amp;" AS CAMPO_IT FROM "&amp;E107&amp;" WHERE "&amp;'0. Instruções'!$D$43&amp;")X",
"(SELECT "&amp;VLOOKUP(B107,'0. Instruções'!$C$27:$G$32,4,FALSE)&amp;" AS CHAVE_IT1, "&amp;VLOOKUP(B107,'0. Instruções'!$C$27:$G$32,5,FALSE)&amp;" AS CHAVE_IT2, "&amp;C107&amp;" AS CAMPO_IT FROM "&amp;E107&amp;" WHERE "&amp;'0. Instruções'!$D$43&amp;")X")</f>
        <v>(SELECT instrmnt_id AS CHAVE_IT, accntng_clssfctn AS CAMPO_IT FROM CD_LOAN_TAPES_BCE.LT002_INSTRUMENT WHERE ref_date='${ref_date}' AND nome_perimetro='Individual Local' AND segmento='ESTR' AND ambito='PM' AND entidade='00100')X</v>
      </c>
      <c r="K107" s="32" t="str">
        <f>IF(VLOOKUP(B107,'0. Instruções'!$C$27:$G$32,5,FALSE)=0,
"(SELECT "&amp;VLOOKUP(B107,'0. Instruções'!$C$27:$G$32,4,FALSE)&amp;" AS CHAVE_SIMUL, "&amp;C107&amp;" AS CAMPO_SIMUL FROM "&amp;F107&amp;" WHERE "&amp;'0. Instruções'!$D$42&amp;")Y",
"(SELECT "&amp;VLOOKUP(B107,'0. Instruções'!$C$27:$G$32,4,FALSE)&amp;" AS CHAVE_SIMUL1, "&amp;VLOOKUP(B107,'0. Instruções'!$C$27:$G$32,5,FALSE)&amp;" AS CHAVE_SIMUL2, "&amp;C107&amp;" AS CAMPO_SIMUL FROM "&amp;F107&amp;" WHERE "&amp;'0. Instruções'!$D$42&amp;")Y")</f>
        <v>(SELECT instrmnt_id AS CHAVE_SIMUL, accntng_clssfctn AS CAMPO_SIMUL FROM BU_LOANTAPE_WORK.LT002_INSTRUMENT WHERE ref_date='${ref_date}' AND nome_perimetro='Individual Local' AND segmento='ESTR' AND ambito='PM' AND entidade='00100')Y</v>
      </c>
      <c r="L107" s="32" t="str">
        <f>IF(VLOOKUP(B107,'0. Instruções'!$C$27:$G$32,5,FALSE)=0,
"ON X.CHAVE_IT=Y.CHAVE_SIMUL",
"ON X.CHAVE_IT1=Y.CHAVE_SIMUL1 AND X.CHAVE_IT2=Y.CHAVE_SIMUL2")</f>
        <v>ON X.CHAVE_IT=Y.CHAVE_SIMUL</v>
      </c>
      <c r="M107" s="32" t="str">
        <f>+IF(D107="Coerência",+IF(LEFT(H107,5)="FLOAT","SELECT '"&amp;UPPER(B107)&amp;"' AS TABELA, '"&amp;UPPER(D107)&amp;"' AS TIPOLOGIA_TESTE,'"&amp;E107&amp;"' AS TABELA_LT,'"&amp;F107&amp;"' AS TABELA_SIMUL,'"&amp;C107&amp;"'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"&amp;J107&amp;" INNER JOIN "&amp;K107&amp;" "&amp;L107,"SELECT '"&amp;UPPER(B107)&amp;"' AS TABELA, '"&amp;UPPER(D107)&amp;"' AS TIPOLOGIA_TESTE,'"&amp;E107&amp;"' AS TABELA_LT,'"&amp;F107&amp;"' AS TABELA_SIMUL,'"&amp;C107&amp;"'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"&amp;J107&amp;" INNER JOIN "&amp;K107&amp;" "&amp;L107))</f>
        <v>SELECT 'INSTRUMENT' AS TABELA, 'COERÊNCIA' AS TIPOLOGIA_TESTE,'CD_LOAN_TAPES_BCE.LT002_INSTRUMENT' AS TABELA_LT,'BU_LOANTAPE_WORK.LT002_INSTRUMENT' AS TABELA_SIMUL,'accntng_clssfctn'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accntng_clssfctn AS CAMPO_IT FROM CD_LOAN_TAPES_BCE.LT002_INSTRUMENT WHERE ref_date='${ref_date}' AND nome_perimetro='Individual Local' AND segmento='ESTR' AND ambito='PM' AND entidade='00100')X INNER JOIN (SELECT instrmnt_id AS CHAVE_SIMUL, accntng_clssfctn AS CAMPO_SIMUL FROM BU_LOANTAPE_WORK.LT002_INSTRUMENT WHERE ref_date='${ref_date}' AND nome_perimetro='Individual Local' AND segmento='ESTR' AND ambito='PM' AND entidade='00100')Y ON X.CHAVE_IT=Y.CHAVE_SIMUL</v>
      </c>
      <c r="N107" s="33" t="str">
        <f t="shared" si="5"/>
        <v>UNION ALL SELECT 'INSTRUMENT' AS TABELA, 'COERÊNCIA' AS TIPOLOGIA_TESTE,'CD_LOAN_TAPES_BCE.LT002_INSTRUMENT' AS TABELA_LT,'BU_LOANTAPE_WORK.LT002_INSTRUMENT' AS TABELA_SIMUL,'accntng_clssfctn'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accntng_clssfctn AS CAMPO_IT FROM CD_LOAN_TAPES_BCE.LT002_INSTRUMENT WHERE ref_date='${ref_date}' AND nome_perimetro='Individual Local' AND segmento='ESTR' AND ambito='PM' AND entidade='00100')X INNER JOIN (SELECT instrmnt_id AS CHAVE_SIMUL, accntng_clssfctn AS CAMPO_SIMUL FROM BU_LOANTAPE_WORK.LT002_INSTRUMENT WHERE ref_date='${ref_date}' AND nome_perimetro='Individual Local' AND segmento='ESTR' AND ambito='PM' AND entidade='00100')Y ON X.CHAVE_IT=Y.CHAVE_SIMUL</v>
      </c>
      <c r="O107" s="35" t="s">
        <v>35</v>
      </c>
    </row>
    <row r="108" spans="1:15">
      <c r="A108" s="57" t="str">
        <f t="shared" si="4"/>
        <v>Instrumentaccrd_intrst_instrmnt</v>
      </c>
      <c r="B108" s="32" t="s">
        <v>9</v>
      </c>
      <c r="C108" s="32" t="s">
        <v>290</v>
      </c>
      <c r="D108" s="32" t="s">
        <v>5</v>
      </c>
      <c r="E108" s="32" t="str">
        <f>+UPPER('0. Instruções'!$D$35&amp;"."&amp;VLOOKUP(B108,'0. Instruções'!$C$27:$D$32,2,FALSE))</f>
        <v>CD_LOAN_TAPES_BCE.LT002_INSTRUMENT</v>
      </c>
      <c r="F108" s="32" t="str">
        <f>+UPPER('0. Instruções'!$D$36&amp;"."&amp;VLOOKUP(B108,'0. Instruções'!$C$27:$E$32,3,FALSE))</f>
        <v>BU_LOANTAPE_WORK.LT002_INSTRUMENT</v>
      </c>
      <c r="H108" s="32"/>
      <c r="I108" s="32"/>
      <c r="J108" s="32" t="str">
        <f>IF(VLOOKUP(B108,'0. Instruções'!$C$27:$G$32,5,FALSE)=0,
"(SELECT "&amp;VLOOKUP(B108,'0. Instruções'!$C$27:$G$32,4,FALSE)&amp;" AS CHAVE_IT, "&amp;C108&amp;" AS CAMPO_IT FROM "&amp;E108&amp;" WHERE "&amp;'0. Instruções'!$D$43&amp;")X",
"(SELECT "&amp;VLOOKUP(B108,'0. Instruções'!$C$27:$G$32,4,FALSE)&amp;" AS CHAVE_IT1, "&amp;VLOOKUP(B108,'0. Instruções'!$C$27:$G$32,5,FALSE)&amp;" AS CHAVE_IT2, "&amp;C108&amp;" AS CAMPO_IT FROM "&amp;E108&amp;" WHERE "&amp;'0. Instruções'!$D$43&amp;")X")</f>
        <v>(SELECT instrmnt_id AS CHAVE_IT, accrd_intrst_instrmnt AS CAMPO_IT FROM CD_LOAN_TAPES_BCE.LT002_INSTRUMENT WHERE ref_date='${ref_date}' AND nome_perimetro='Individual Local' AND segmento='ESTR' AND ambito='PM' AND entidade='00100')X</v>
      </c>
      <c r="K108" s="32" t="str">
        <f>IF(VLOOKUP(B108,'0. Instruções'!$C$27:$G$32,5,FALSE)=0,
"(SELECT "&amp;VLOOKUP(B108,'0. Instruções'!$C$27:$G$32,4,FALSE)&amp;" AS CHAVE_SIMUL, "&amp;C108&amp;" AS CAMPO_SIMUL FROM "&amp;F108&amp;" WHERE "&amp;'0. Instruções'!$D$42&amp;")Y",
"(SELECT "&amp;VLOOKUP(B108,'0. Instruções'!$C$27:$G$32,4,FALSE)&amp;" AS CHAVE_SIMUL1, "&amp;VLOOKUP(B108,'0. Instruções'!$C$27:$G$32,5,FALSE)&amp;" AS CHAVE_SIMUL2, "&amp;C108&amp;" AS CAMPO_SIMUL FROM "&amp;F108&amp;" WHERE "&amp;'0. Instruções'!$D$42&amp;")Y")</f>
        <v>(SELECT instrmnt_id AS CHAVE_SIMUL, accrd_intrst_instrmnt AS CAMPO_SIMUL FROM BU_LOANTAPE_WORK.LT002_INSTRUMENT WHERE ref_date='${ref_date}' AND nome_perimetro='Individual Local' AND segmento='ESTR' AND ambito='PM' AND entidade='00100')Y</v>
      </c>
      <c r="L108" s="32" t="str">
        <f>IF(VLOOKUP(B108,'0. Instruções'!$C$27:$G$32,5,FALSE)=0,
"ON X.CHAVE_IT=Y.CHAVE_SIMUL",
"ON X.CHAVE_IT1=Y.CHAVE_SIMUL1 AND X.CHAVE_IT2=Y.CHAVE_SIMUL2")</f>
        <v>ON X.CHAVE_IT=Y.CHAVE_SIMUL</v>
      </c>
      <c r="M108" s="32" t="str">
        <f>+IF(D108="Coerência",+IF(LEFT(H108,5)="FLOAT","SELECT '"&amp;UPPER(B108)&amp;"' AS TABELA, '"&amp;UPPER(D108)&amp;"' AS TIPOLOGIA_TESTE,'"&amp;E108&amp;"' AS TABELA_LT,'"&amp;F108&amp;"' AS TABELA_SIMUL,'"&amp;C108&amp;"'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"&amp;J108&amp;" INNER JOIN "&amp;K108&amp;" "&amp;L108,"SELECT '"&amp;UPPER(B108)&amp;"' AS TABELA, '"&amp;UPPER(D108)&amp;"' AS TIPOLOGIA_TESTE,'"&amp;E108&amp;"' AS TABELA_LT,'"&amp;F108&amp;"' AS TABELA_SIMUL,'"&amp;C108&amp;"'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"&amp;J108&amp;" INNER JOIN "&amp;K108&amp;" "&amp;L108))</f>
        <v>SELECT 'INSTRUMENT' AS TABELA, 'COERÊNCIA' AS TIPOLOGIA_TESTE,'CD_LOAN_TAPES_BCE.LT002_INSTRUMENT' AS TABELA_LT,'BU_LOANTAPE_WORK.LT002_INSTRUMENT'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accrd_intrst_instrmnt AS CAMPO_IT FROM CD_LOAN_TAPES_BCE.LT002_INSTRUMENT WHERE ref_date='${ref_date}' AND nome_perimetro='Individual Local' AND segmento='ESTR' AND ambito='PM' AND entidade='00100')X INNER JOIN (SELECT instrmnt_id AS CHAVE_SIMUL, accrd_intrst_instrmnt AS CAMPO_SIMUL FROM BU_LOANTAPE_WORK.LT002_INSTRUMENT WHERE ref_date='${ref_date}' AND nome_perimetro='Individual Local' AND segmento='ESTR' AND ambito='PM' AND entidade='00100')Y ON X.CHAVE_IT=Y.CHAVE_SIMUL</v>
      </c>
      <c r="N108" s="33" t="str">
        <f t="shared" si="5"/>
        <v>UNION ALL SELECT 'INSTRUMENT' AS TABELA, 'COERÊNCIA' AS TIPOLOGIA_TESTE,'CD_LOAN_TAPES_BCE.LT002_INSTRUMENT' AS TABELA_LT,'BU_LOANTAPE_WORK.LT002_INSTRUMENT'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accrd_intrst_instrmnt AS CAMPO_IT FROM CD_LOAN_TAPES_BCE.LT002_INSTRUMENT WHERE ref_date='${ref_date}' AND nome_perimetro='Individual Local' AND segmento='ESTR' AND ambito='PM' AND entidade='00100')X INNER JOIN (SELECT instrmnt_id AS CHAVE_SIMUL, accrd_intrst_instrmnt AS CAMPO_SIMUL FROM BU_LOANTAPE_WORK.LT002_INSTRUMENT WHERE ref_date='${ref_date}' AND nome_perimetro='Individual Local' AND segmento='ESTR' AND ambito='PM' AND entidade='00100')Y ON X.CHAVE_IT=Y.CHAVE_SIMUL</v>
      </c>
      <c r="O108" s="35" t="s">
        <v>35</v>
      </c>
    </row>
    <row r="109" spans="1:15">
      <c r="A109" s="57" t="str">
        <f t="shared" si="4"/>
        <v>Instrumentamnt_d_at_mtrty</v>
      </c>
      <c r="B109" s="32" t="s">
        <v>9</v>
      </c>
      <c r="C109" s="32" t="s">
        <v>291</v>
      </c>
      <c r="D109" s="32" t="s">
        <v>5</v>
      </c>
      <c r="E109" s="32" t="str">
        <f>+UPPER('0. Instruções'!$D$35&amp;"."&amp;VLOOKUP(B109,'0. Instruções'!$C$27:$D$32,2,FALSE))</f>
        <v>CD_LOAN_TAPES_BCE.LT002_INSTRUMENT</v>
      </c>
      <c r="F109" s="32" t="str">
        <f>+UPPER('0. Instruções'!$D$36&amp;"."&amp;VLOOKUP(B109,'0. Instruções'!$C$27:$E$32,3,FALSE))</f>
        <v>BU_LOANTAPE_WORK.LT002_INSTRUMENT</v>
      </c>
      <c r="H109" s="32"/>
      <c r="I109" s="32"/>
      <c r="J109" s="32" t="str">
        <f>IF(VLOOKUP(B109,'0. Instruções'!$C$27:$G$32,5,FALSE)=0,
"(SELECT "&amp;VLOOKUP(B109,'0. Instruções'!$C$27:$G$32,4,FALSE)&amp;" AS CHAVE_IT, "&amp;C109&amp;" AS CAMPO_IT FROM "&amp;E109&amp;" WHERE "&amp;'0. Instruções'!$D$43&amp;")X",
"(SELECT "&amp;VLOOKUP(B109,'0. Instruções'!$C$27:$G$32,4,FALSE)&amp;" AS CHAVE_IT1, "&amp;VLOOKUP(B109,'0. Instruções'!$C$27:$G$32,5,FALSE)&amp;" AS CHAVE_IT2, "&amp;C109&amp;" AS CAMPO_IT FROM "&amp;E109&amp;" WHERE "&amp;'0. Instruções'!$D$43&amp;")X")</f>
        <v>(SELECT instrmnt_id AS CHAVE_IT, amnt_d_at_mtrty AS CAMPO_IT FROM CD_LOAN_TAPES_BCE.LT002_INSTRUMENT WHERE ref_date='${ref_date}' AND nome_perimetro='Individual Local' AND segmento='ESTR' AND ambito='PM' AND entidade='00100')X</v>
      </c>
      <c r="K109" s="32" t="str">
        <f>IF(VLOOKUP(B109,'0. Instruções'!$C$27:$G$32,5,FALSE)=0,
"(SELECT "&amp;VLOOKUP(B109,'0. Instruções'!$C$27:$G$32,4,FALSE)&amp;" AS CHAVE_SIMUL, "&amp;C109&amp;" AS CAMPO_SIMUL FROM "&amp;F109&amp;" WHERE "&amp;'0. Instruções'!$D$42&amp;")Y",
"(SELECT "&amp;VLOOKUP(B109,'0. Instruções'!$C$27:$G$32,4,FALSE)&amp;" AS CHAVE_SIMUL1, "&amp;VLOOKUP(B109,'0. Instruções'!$C$27:$G$32,5,FALSE)&amp;" AS CHAVE_SIMUL2, "&amp;C109&amp;" AS CAMPO_SIMUL FROM "&amp;F109&amp;" WHERE "&amp;'0. Instruções'!$D$42&amp;")Y")</f>
        <v>(SELECT instrmnt_id AS CHAVE_SIMUL, amnt_d_at_mtrty AS CAMPO_SIMUL FROM BU_LOANTAPE_WORK.LT002_INSTRUMENT WHERE ref_date='${ref_date}' AND nome_perimetro='Individual Local' AND segmento='ESTR' AND ambito='PM' AND entidade='00100')Y</v>
      </c>
      <c r="L109" s="32" t="str">
        <f>IF(VLOOKUP(B109,'0. Instruções'!$C$27:$G$32,5,FALSE)=0,
"ON X.CHAVE_IT=Y.CHAVE_SIMUL",
"ON X.CHAVE_IT1=Y.CHAVE_SIMUL1 AND X.CHAVE_IT2=Y.CHAVE_SIMUL2")</f>
        <v>ON X.CHAVE_IT=Y.CHAVE_SIMUL</v>
      </c>
      <c r="M109" s="32" t="str">
        <f>+IF(D109="Coerência",+IF(LEFT(H109,5)="FLOAT","SELECT '"&amp;UPPER(B109)&amp;"' AS TABELA, '"&amp;UPPER(D109)&amp;"' AS TIPOLOGIA_TESTE,'"&amp;E109&amp;"' AS TABELA_LT,'"&amp;F109&amp;"' AS TABELA_SIMUL,'"&amp;C109&amp;"'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"&amp;J109&amp;" INNER JOIN "&amp;K109&amp;" "&amp;L109,"SELECT '"&amp;UPPER(B109)&amp;"' AS TABELA, '"&amp;UPPER(D109)&amp;"' AS TIPOLOGIA_TESTE,'"&amp;E109&amp;"' AS TABELA_LT,'"&amp;F109&amp;"' AS TABELA_SIMUL,'"&amp;C109&amp;"'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"&amp;J109&amp;" INNER JOIN "&amp;K109&amp;" "&amp;L109))</f>
        <v>SELECT 'INSTRUMENT' AS TABELA, 'COERÊNCIA' AS TIPOLOGIA_TESTE,'CD_LOAN_TAPES_BCE.LT002_INSTRUMENT' AS TABELA_LT,'BU_LOANTAPE_WORK.LT002_INSTRUMENT' AS TABELA_SIMUL,'amnt_d_at_mtrty'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amnt_d_at_mtrty AS CAMPO_IT FROM CD_LOAN_TAPES_BCE.LT002_INSTRUMENT WHERE ref_date='${ref_date}' AND nome_perimetro='Individual Local' AND segmento='ESTR' AND ambito='PM' AND entidade='00100')X INNER JOIN (SELECT instrmnt_id AS CHAVE_SIMUL, amnt_d_at_mtrty AS CAMPO_SIMUL FROM BU_LOANTAPE_WORK.LT002_INSTRUMENT WHERE ref_date='${ref_date}' AND nome_perimetro='Individual Local' AND segmento='ESTR' AND ambito='PM' AND entidade='00100')Y ON X.CHAVE_IT=Y.CHAVE_SIMUL</v>
      </c>
      <c r="N109" s="33" t="str">
        <f t="shared" si="5"/>
        <v>UNION ALL SELECT 'INSTRUMENT' AS TABELA, 'COERÊNCIA' AS TIPOLOGIA_TESTE,'CD_LOAN_TAPES_BCE.LT002_INSTRUMENT' AS TABELA_LT,'BU_LOANTAPE_WORK.LT002_INSTRUMENT' AS TABELA_SIMUL,'amnt_d_at_mtrty'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amnt_d_at_mtrty AS CAMPO_IT FROM CD_LOAN_TAPES_BCE.LT002_INSTRUMENT WHERE ref_date='${ref_date}' AND nome_perimetro='Individual Local' AND segmento='ESTR' AND ambito='PM' AND entidade='00100')X INNER JOIN (SELECT instrmnt_id AS CHAVE_SIMUL, amnt_d_at_mtrty AS CAMPO_SIMUL FROM BU_LOANTAPE_WORK.LT002_INSTRUMENT WHERE ref_date='${ref_date}' AND nome_perimetro='Individual Local' AND segmento='ESTR' AND ambito='PM' AND entidade='00100')Y ON X.CHAVE_IT=Y.CHAVE_SIMUL</v>
      </c>
      <c r="O109" s="35" t="s">
        <v>35</v>
      </c>
    </row>
    <row r="110" spans="1:15">
      <c r="A110" s="57" t="str">
        <f t="shared" si="4"/>
        <v>Instrumentccf</v>
      </c>
      <c r="B110" s="32" t="s">
        <v>9</v>
      </c>
      <c r="C110" s="32" t="s">
        <v>292</v>
      </c>
      <c r="D110" s="32" t="s">
        <v>5</v>
      </c>
      <c r="E110" s="32" t="str">
        <f>+UPPER('0. Instruções'!$D$35&amp;"."&amp;VLOOKUP(B110,'0. Instruções'!$C$27:$D$32,2,FALSE))</f>
        <v>CD_LOAN_TAPES_BCE.LT002_INSTRUMENT</v>
      </c>
      <c r="F110" s="32" t="str">
        <f>+UPPER('0. Instruções'!$D$36&amp;"."&amp;VLOOKUP(B110,'0. Instruções'!$C$27:$E$32,3,FALSE))</f>
        <v>BU_LOANTAPE_WORK.LT002_INSTRUMENT</v>
      </c>
      <c r="H110" s="32"/>
      <c r="I110" s="32"/>
      <c r="J110" s="32" t="str">
        <f>IF(VLOOKUP(B110,'0. Instruções'!$C$27:$G$32,5,FALSE)=0,
"(SELECT "&amp;VLOOKUP(B110,'0. Instruções'!$C$27:$G$32,4,FALSE)&amp;" AS CHAVE_IT, "&amp;C110&amp;" AS CAMPO_IT FROM "&amp;E110&amp;" WHERE "&amp;'0. Instruções'!$D$43&amp;")X",
"(SELECT "&amp;VLOOKUP(B110,'0. Instruções'!$C$27:$G$32,4,FALSE)&amp;" AS CHAVE_IT1, "&amp;VLOOKUP(B110,'0. Instruções'!$C$27:$G$32,5,FALSE)&amp;" AS CHAVE_IT2, "&amp;C110&amp;" AS CAMPO_IT FROM "&amp;E110&amp;" WHERE "&amp;'0. Instruções'!$D$43&amp;")X")</f>
        <v>(SELECT instrmnt_id AS CHAVE_IT, ccf AS CAMPO_IT FROM CD_LOAN_TAPES_BCE.LT002_INSTRUMENT WHERE ref_date='${ref_date}' AND nome_perimetro='Individual Local' AND segmento='ESTR' AND ambito='PM' AND entidade='00100')X</v>
      </c>
      <c r="K110" s="32" t="str">
        <f>IF(VLOOKUP(B110,'0. Instruções'!$C$27:$G$32,5,FALSE)=0,
"(SELECT "&amp;VLOOKUP(B110,'0. Instruções'!$C$27:$G$32,4,FALSE)&amp;" AS CHAVE_SIMUL, "&amp;C110&amp;" AS CAMPO_SIMUL FROM "&amp;F110&amp;" WHERE "&amp;'0. Instruções'!$D$42&amp;")Y",
"(SELECT "&amp;VLOOKUP(B110,'0. Instruções'!$C$27:$G$32,4,FALSE)&amp;" AS CHAVE_SIMUL1, "&amp;VLOOKUP(B110,'0. Instruções'!$C$27:$G$32,5,FALSE)&amp;" AS CHAVE_SIMUL2, "&amp;C110&amp;" AS CAMPO_SIMUL FROM "&amp;F110&amp;" WHERE "&amp;'0. Instruções'!$D$42&amp;")Y")</f>
        <v>(SELECT instrmnt_id AS CHAVE_SIMUL, ccf AS CAMPO_SIMUL FROM BU_LOANTAPE_WORK.LT002_INSTRUMENT WHERE ref_date='${ref_date}' AND nome_perimetro='Individual Local' AND segmento='ESTR' AND ambito='PM' AND entidade='00100')Y</v>
      </c>
      <c r="L110" s="32" t="str">
        <f>IF(VLOOKUP(B110,'0. Instruções'!$C$27:$G$32,5,FALSE)=0,
"ON X.CHAVE_IT=Y.CHAVE_SIMUL",
"ON X.CHAVE_IT1=Y.CHAVE_SIMUL1 AND X.CHAVE_IT2=Y.CHAVE_SIMUL2")</f>
        <v>ON X.CHAVE_IT=Y.CHAVE_SIMUL</v>
      </c>
      <c r="M110" s="32" t="str">
        <f>+IF(D110="Coerência",+IF(LEFT(H110,5)="FLOAT","SELECT '"&amp;UPPER(B110)&amp;"' AS TABELA, '"&amp;UPPER(D110)&amp;"' AS TIPOLOGIA_TESTE,'"&amp;E110&amp;"' AS TABELA_LT,'"&amp;F110&amp;"' AS TABELA_SIMUL,'"&amp;C110&amp;"'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"&amp;J110&amp;" INNER JOIN "&amp;K110&amp;" "&amp;L110,"SELECT '"&amp;UPPER(B110)&amp;"' AS TABELA, '"&amp;UPPER(D110)&amp;"' AS TIPOLOGIA_TESTE,'"&amp;E110&amp;"' AS TABELA_LT,'"&amp;F110&amp;"' AS TABELA_SIMUL,'"&amp;C110&amp;"'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"&amp;J110&amp;" INNER JOIN "&amp;K110&amp;" "&amp;L110))</f>
        <v>SELECT 'INSTRUMENT' AS TABELA, 'COERÊNCIA' AS TIPOLOGIA_TESTE,'CD_LOAN_TAPES_BCE.LT002_INSTRUMENT' AS TABELA_LT,'BU_LOANTAPE_WORK.LT002_INSTRUMENT' AS TABELA_SIMUL,'ccf'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ccf AS CAMPO_IT FROM CD_LOAN_TAPES_BCE.LT002_INSTRUMENT WHERE ref_date='${ref_date}' AND nome_perimetro='Individual Local' AND segmento='ESTR' AND ambito='PM' AND entidade='00100')X INNER JOIN (SELECT instrmnt_id AS CHAVE_SIMUL, ccf AS CAMPO_SIMUL FROM BU_LOANTAPE_WORK.LT002_INSTRUMENT WHERE ref_date='${ref_date}' AND nome_perimetro='Individual Local' AND segmento='ESTR' AND ambito='PM' AND entidade='00100')Y ON X.CHAVE_IT=Y.CHAVE_SIMUL</v>
      </c>
      <c r="N110" s="33" t="str">
        <f t="shared" si="5"/>
        <v>UNION ALL SELECT 'INSTRUMENT' AS TABELA, 'COERÊNCIA' AS TIPOLOGIA_TESTE,'CD_LOAN_TAPES_BCE.LT002_INSTRUMENT' AS TABELA_LT,'BU_LOANTAPE_WORK.LT002_INSTRUMENT' AS TABELA_SIMUL,'ccf'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ccf AS CAMPO_IT FROM CD_LOAN_TAPES_BCE.LT002_INSTRUMENT WHERE ref_date='${ref_date}' AND nome_perimetro='Individual Local' AND segmento='ESTR' AND ambito='PM' AND entidade='00100')X INNER JOIN (SELECT instrmnt_id AS CHAVE_SIMUL, ccf AS CAMPO_SIMUL FROM BU_LOANTAPE_WORK.LT002_INSTRUMENT WHERE ref_date='${ref_date}' AND nome_perimetro='Individual Local' AND segmento='ESTR' AND ambito='PM' AND entidade='00100')Y ON X.CHAVE_IT=Y.CHAVE_SIMUL</v>
      </c>
      <c r="O110" s="35" t="s">
        <v>35</v>
      </c>
    </row>
    <row r="111" spans="1:15">
      <c r="A111" s="57" t="str">
        <f t="shared" si="4"/>
        <v>Instrumentcmmtmnt_incptn_instrmnt</v>
      </c>
      <c r="B111" s="32" t="s">
        <v>9</v>
      </c>
      <c r="C111" s="32" t="s">
        <v>293</v>
      </c>
      <c r="D111" s="32" t="s">
        <v>5</v>
      </c>
      <c r="E111" s="32" t="str">
        <f>+UPPER('0. Instruções'!$D$35&amp;"."&amp;VLOOKUP(B111,'0. Instruções'!$C$27:$D$32,2,FALSE))</f>
        <v>CD_LOAN_TAPES_BCE.LT002_INSTRUMENT</v>
      </c>
      <c r="F111" s="32" t="str">
        <f>+UPPER('0. Instruções'!$D$36&amp;"."&amp;VLOOKUP(B111,'0. Instruções'!$C$27:$E$32,3,FALSE))</f>
        <v>BU_LOANTAPE_WORK.LT002_INSTRUMENT</v>
      </c>
      <c r="H111" s="32"/>
      <c r="I111" s="32"/>
      <c r="J111" s="32" t="str">
        <f>IF(VLOOKUP(B111,'0. Instruções'!$C$27:$G$32,5,FALSE)=0,
"(SELECT "&amp;VLOOKUP(B111,'0. Instruções'!$C$27:$G$32,4,FALSE)&amp;" AS CHAVE_IT, "&amp;C111&amp;" AS CAMPO_IT FROM "&amp;E111&amp;" WHERE "&amp;'0. Instruções'!$D$43&amp;")X",
"(SELECT "&amp;VLOOKUP(B111,'0. Instruções'!$C$27:$G$32,4,FALSE)&amp;" AS CHAVE_IT1, "&amp;VLOOKUP(B111,'0. Instruções'!$C$27:$G$32,5,FALSE)&amp;" AS CHAVE_IT2, "&amp;C111&amp;" AS CAMPO_IT FROM "&amp;E111&amp;" WHERE "&amp;'0. Instruções'!$D$43&amp;")X")</f>
        <v>(SELECT instrmnt_id AS CHAVE_IT, cmmtmnt_incptn_instrmnt AS CAMPO_IT FROM CD_LOAN_TAPES_BCE.LT002_INSTRUMENT WHERE ref_date='${ref_date}' AND nome_perimetro='Individual Local' AND segmento='ESTR' AND ambito='PM' AND entidade='00100')X</v>
      </c>
      <c r="K111" s="32" t="str">
        <f>IF(VLOOKUP(B111,'0. Instruções'!$C$27:$G$32,5,FALSE)=0,
"(SELECT "&amp;VLOOKUP(B111,'0. Instruções'!$C$27:$G$32,4,FALSE)&amp;" AS CHAVE_SIMUL, "&amp;C111&amp;" AS CAMPO_SIMUL FROM "&amp;F111&amp;" WHERE "&amp;'0. Instruções'!$D$42&amp;")Y",
"(SELECT "&amp;VLOOKUP(B111,'0. Instruções'!$C$27:$G$32,4,FALSE)&amp;" AS CHAVE_SIMUL1, "&amp;VLOOKUP(B111,'0. Instruções'!$C$27:$G$32,5,FALSE)&amp;" AS CHAVE_SIMUL2, "&amp;C111&amp;" AS CAMPO_SIMUL FROM "&amp;F111&amp;" WHERE "&amp;'0. Instruções'!$D$42&amp;")Y")</f>
        <v>(SELECT instrmnt_id AS CHAVE_SIMUL, cmmtmnt_incptn_instrmnt AS CAMPO_SIMUL FROM BU_LOANTAPE_WORK.LT002_INSTRUMENT WHERE ref_date='${ref_date}' AND nome_perimetro='Individual Local' AND segmento='ESTR' AND ambito='PM' AND entidade='00100')Y</v>
      </c>
      <c r="L111" s="32" t="str">
        <f>IF(VLOOKUP(B111,'0. Instruções'!$C$27:$G$32,5,FALSE)=0,
"ON X.CHAVE_IT=Y.CHAVE_SIMUL",
"ON X.CHAVE_IT1=Y.CHAVE_SIMUL1 AND X.CHAVE_IT2=Y.CHAVE_SIMUL2")</f>
        <v>ON X.CHAVE_IT=Y.CHAVE_SIMUL</v>
      </c>
      <c r="M111" s="32" t="str">
        <f>+IF(D111="Coerência",+IF(LEFT(H111,5)="FLOAT","SELECT '"&amp;UPPER(B111)&amp;"' AS TABELA, '"&amp;UPPER(D111)&amp;"' AS TIPOLOGIA_TESTE,'"&amp;E111&amp;"' AS TABELA_LT,'"&amp;F111&amp;"' AS TABELA_SIMUL,'"&amp;C111&amp;"'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"&amp;J111&amp;" INNER JOIN "&amp;K111&amp;" "&amp;L111,"SELECT '"&amp;UPPER(B111)&amp;"' AS TABELA, '"&amp;UPPER(D111)&amp;"' AS TIPOLOGIA_TESTE,'"&amp;E111&amp;"' AS TABELA_LT,'"&amp;F111&amp;"' AS TABELA_SIMUL,'"&amp;C111&amp;"'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"&amp;J111&amp;" INNER JOIN "&amp;K111&amp;" "&amp;L111))</f>
        <v>SELECT 'INSTRUMENT' AS TABELA, 'COERÊNCIA' AS TIPOLOGIA_TESTE,'CD_LOAN_TAPES_BCE.LT002_INSTRUMENT' AS TABELA_LT,'BU_LOANTAPE_WORK.LT002_INSTRUMENT' AS TABELA_SIMUL,'cmmtmnt_incptn_instrmnt'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cmmtmnt_incptn_instrmnt AS CAMPO_IT FROM CD_LOAN_TAPES_BCE.LT002_INSTRUMENT WHERE ref_date='${ref_date}' AND nome_perimetro='Individual Local' AND segmento='ESTR' AND ambito='PM' AND entidade='00100')X INNER JOIN (SELECT instrmnt_id AS CHAVE_SIMUL, cmmtmnt_incptn_instrmnt AS CAMPO_SIMUL FROM BU_LOANTAPE_WORK.LT002_INSTRUMENT WHERE ref_date='${ref_date}' AND nome_perimetro='Individual Local' AND segmento='ESTR' AND ambito='PM' AND entidade='00100')Y ON X.CHAVE_IT=Y.CHAVE_SIMUL</v>
      </c>
      <c r="N111" s="33" t="str">
        <f t="shared" si="5"/>
        <v>UNION ALL SELECT 'INSTRUMENT' AS TABELA, 'COERÊNCIA' AS TIPOLOGIA_TESTE,'CD_LOAN_TAPES_BCE.LT002_INSTRUMENT' AS TABELA_LT,'BU_LOANTAPE_WORK.LT002_INSTRUMENT' AS TABELA_SIMUL,'cmmtmnt_incptn_instrmnt'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cmmtmnt_incptn_instrmnt AS CAMPO_IT FROM CD_LOAN_TAPES_BCE.LT002_INSTRUMENT WHERE ref_date='${ref_date}' AND nome_perimetro='Individual Local' AND segmento='ESTR' AND ambito='PM' AND entidade='00100')X INNER JOIN (SELECT instrmnt_id AS CHAVE_SIMUL, cmmtmnt_incptn_instrmnt AS CAMPO_SIMUL FROM BU_LOANTAPE_WORK.LT002_INSTRUMENT WHERE ref_date='${ref_date}' AND nome_perimetro='Individual Local' AND segmento='ESTR' AND ambito='PM' AND entidade='00100')Y ON X.CHAVE_IT=Y.CHAVE_SIMUL</v>
      </c>
      <c r="O111" s="35" t="s">
        <v>35</v>
      </c>
    </row>
    <row r="112" spans="1:15">
      <c r="A112" s="57" t="str">
        <f t="shared" si="4"/>
        <v>Instrumentcmmtmnt_instrmnt</v>
      </c>
      <c r="B112" s="32" t="s">
        <v>9</v>
      </c>
      <c r="C112" s="32" t="s">
        <v>294</v>
      </c>
      <c r="D112" s="32" t="s">
        <v>5</v>
      </c>
      <c r="E112" s="32" t="str">
        <f>+UPPER('0. Instruções'!$D$35&amp;"."&amp;VLOOKUP(B112,'0. Instruções'!$C$27:$D$32,2,FALSE))</f>
        <v>CD_LOAN_TAPES_BCE.LT002_INSTRUMENT</v>
      </c>
      <c r="F112" s="32" t="str">
        <f>+UPPER('0. Instruções'!$D$36&amp;"."&amp;VLOOKUP(B112,'0. Instruções'!$C$27:$E$32,3,FALSE))</f>
        <v>BU_LOANTAPE_WORK.LT002_INSTRUMENT</v>
      </c>
      <c r="H112" s="32"/>
      <c r="I112" s="32"/>
      <c r="J112" s="32" t="str">
        <f>IF(VLOOKUP(B112,'0. Instruções'!$C$27:$G$32,5,FALSE)=0,
"(SELECT "&amp;VLOOKUP(B112,'0. Instruções'!$C$27:$G$32,4,FALSE)&amp;" AS CHAVE_IT, "&amp;C112&amp;" AS CAMPO_IT FROM "&amp;E112&amp;" WHERE "&amp;'0. Instruções'!$D$43&amp;")X",
"(SELECT "&amp;VLOOKUP(B112,'0. Instruções'!$C$27:$G$32,4,FALSE)&amp;" AS CHAVE_IT1, "&amp;VLOOKUP(B112,'0. Instruções'!$C$27:$G$32,5,FALSE)&amp;" AS CHAVE_IT2, "&amp;C112&amp;" AS CAMPO_IT FROM "&amp;E112&amp;" WHERE "&amp;'0. Instruções'!$D$43&amp;")X")</f>
        <v>(SELECT instrmnt_id AS CHAVE_IT, cmmtmnt_instrmnt AS CAMPO_IT FROM CD_LOAN_TAPES_BCE.LT002_INSTRUMENT WHERE ref_date='${ref_date}' AND nome_perimetro='Individual Local' AND segmento='ESTR' AND ambito='PM' AND entidade='00100')X</v>
      </c>
      <c r="K112" s="32" t="str">
        <f>IF(VLOOKUP(B112,'0. Instruções'!$C$27:$G$32,5,FALSE)=0,
"(SELECT "&amp;VLOOKUP(B112,'0. Instruções'!$C$27:$G$32,4,FALSE)&amp;" AS CHAVE_SIMUL, "&amp;C112&amp;" AS CAMPO_SIMUL FROM "&amp;F112&amp;" WHERE "&amp;'0. Instruções'!$D$42&amp;")Y",
"(SELECT "&amp;VLOOKUP(B112,'0. Instruções'!$C$27:$G$32,4,FALSE)&amp;" AS CHAVE_SIMUL1, "&amp;VLOOKUP(B112,'0. Instruções'!$C$27:$G$32,5,FALSE)&amp;" AS CHAVE_SIMUL2, "&amp;C112&amp;" AS CAMPO_SIMUL FROM "&amp;F112&amp;" WHERE "&amp;'0. Instruções'!$D$42&amp;")Y")</f>
        <v>(SELECT instrmnt_id AS CHAVE_SIMUL, cmmtmnt_instrmnt AS CAMPO_SIMUL FROM BU_LOANTAPE_WORK.LT002_INSTRUMENT WHERE ref_date='${ref_date}' AND nome_perimetro='Individual Local' AND segmento='ESTR' AND ambito='PM' AND entidade='00100')Y</v>
      </c>
      <c r="L112" s="32" t="str">
        <f>IF(VLOOKUP(B112,'0. Instruções'!$C$27:$G$32,5,FALSE)=0,
"ON X.CHAVE_IT=Y.CHAVE_SIMUL",
"ON X.CHAVE_IT1=Y.CHAVE_SIMUL1 AND X.CHAVE_IT2=Y.CHAVE_SIMUL2")</f>
        <v>ON X.CHAVE_IT=Y.CHAVE_SIMUL</v>
      </c>
      <c r="M112" s="32" t="str">
        <f>+IF(D112="Coerência",+IF(LEFT(H112,5)="FLOAT","SELECT '"&amp;UPPER(B112)&amp;"' AS TABELA, '"&amp;UPPER(D112)&amp;"' AS TIPOLOGIA_TESTE,'"&amp;E112&amp;"' AS TABELA_LT,'"&amp;F112&amp;"' AS TABELA_SIMUL,'"&amp;C112&amp;"'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"&amp;J112&amp;" INNER JOIN "&amp;K112&amp;" "&amp;L112,"SELECT '"&amp;UPPER(B112)&amp;"' AS TABELA, '"&amp;UPPER(D112)&amp;"' AS TIPOLOGIA_TESTE,'"&amp;E112&amp;"' AS TABELA_LT,'"&amp;F112&amp;"' AS TABELA_SIMUL,'"&amp;C112&amp;"'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"&amp;J112&amp;" INNER JOIN "&amp;K112&amp;" "&amp;L112))</f>
        <v>SELECT 'INSTRUMENT' AS TABELA, 'COERÊNCIA' AS TIPOLOGIA_TESTE,'CD_LOAN_TAPES_BCE.LT002_INSTRUMENT' AS TABELA_LT,'BU_LOANTAPE_WORK.LT002_INSTRUMENT' AS TABELA_SIMUL,'cmmtmnt_instrmnt'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cmmtmnt_instrmnt AS CAMPO_IT FROM CD_LOAN_TAPES_BCE.LT002_INSTRUMENT WHERE ref_date='${ref_date}' AND nome_perimetro='Individual Local' AND segmento='ESTR' AND ambito='PM' AND entidade='00100')X INNER JOIN (SELECT instrmnt_id AS CHAVE_SIMUL, cmmtmnt_instrmnt AS CAMPO_SIMUL FROM BU_LOANTAPE_WORK.LT002_INSTRUMENT WHERE ref_date='${ref_date}' AND nome_perimetro='Individual Local' AND segmento='ESTR' AND ambito='PM' AND entidade='00100')Y ON X.CHAVE_IT=Y.CHAVE_SIMUL</v>
      </c>
      <c r="N112" s="33" t="str">
        <f t="shared" si="5"/>
        <v>UNION ALL SELECT 'INSTRUMENT' AS TABELA, 'COERÊNCIA' AS TIPOLOGIA_TESTE,'CD_LOAN_TAPES_BCE.LT002_INSTRUMENT' AS TABELA_LT,'BU_LOANTAPE_WORK.LT002_INSTRUMENT' AS TABELA_SIMUL,'cmmtmnt_instrmnt'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cmmtmnt_instrmnt AS CAMPO_IT FROM CD_LOAN_TAPES_BCE.LT002_INSTRUMENT WHERE ref_date='${ref_date}' AND nome_perimetro='Individual Local' AND segmento='ESTR' AND ambito='PM' AND entidade='00100')X INNER JOIN (SELECT instrmnt_id AS CHAVE_SIMUL, cmmtmnt_instrmnt AS CAMPO_SIMUL FROM BU_LOANTAPE_WORK.LT002_INSTRUMENT WHERE ref_date='${ref_date}' AND nome_perimetro='Individual Local' AND segmento='ESTR' AND ambito='PM' AND entidade='00100')Y ON X.CHAVE_IT=Y.CHAVE_SIMUL</v>
      </c>
      <c r="O112" s="35" t="s">
        <v>35</v>
      </c>
    </row>
    <row r="113" spans="1:15">
      <c r="A113" s="57" t="str">
        <f t="shared" si="4"/>
        <v>Instrumentcrryng_amnt_instrmnt</v>
      </c>
      <c r="B113" s="32" t="s">
        <v>9</v>
      </c>
      <c r="C113" s="32" t="s">
        <v>295</v>
      </c>
      <c r="D113" s="32" t="s">
        <v>5</v>
      </c>
      <c r="E113" s="32" t="str">
        <f>+UPPER('0. Instruções'!$D$35&amp;"."&amp;VLOOKUP(B113,'0. Instruções'!$C$27:$D$32,2,FALSE))</f>
        <v>CD_LOAN_TAPES_BCE.LT002_INSTRUMENT</v>
      </c>
      <c r="F113" s="32" t="str">
        <f>+UPPER('0. Instruções'!$D$36&amp;"."&amp;VLOOKUP(B113,'0. Instruções'!$C$27:$E$32,3,FALSE))</f>
        <v>BU_LOANTAPE_WORK.LT002_INSTRUMENT</v>
      </c>
      <c r="H113" s="32"/>
      <c r="I113" s="32"/>
      <c r="J113" s="32" t="str">
        <f>IF(VLOOKUP(B113,'0. Instruções'!$C$27:$G$32,5,FALSE)=0,
"(SELECT "&amp;VLOOKUP(B113,'0. Instruções'!$C$27:$G$32,4,FALSE)&amp;" AS CHAVE_IT, "&amp;C113&amp;" AS CAMPO_IT FROM "&amp;E113&amp;" WHERE "&amp;'0. Instruções'!$D$43&amp;")X",
"(SELECT "&amp;VLOOKUP(B113,'0. Instruções'!$C$27:$G$32,4,FALSE)&amp;" AS CHAVE_IT1, "&amp;VLOOKUP(B113,'0. Instruções'!$C$27:$G$32,5,FALSE)&amp;" AS CHAVE_IT2, "&amp;C113&amp;" AS CAMPO_IT FROM "&amp;E113&amp;" WHERE "&amp;'0. Instruções'!$D$43&amp;")X")</f>
        <v>(SELECT instrmnt_id AS CHAVE_IT, crryng_amnt_instrmnt AS CAMPO_IT FROM CD_LOAN_TAPES_BCE.LT002_INSTRUMENT WHERE ref_date='${ref_date}' AND nome_perimetro='Individual Local' AND segmento='ESTR' AND ambito='PM' AND entidade='00100')X</v>
      </c>
      <c r="K113" s="32" t="str">
        <f>IF(VLOOKUP(B113,'0. Instruções'!$C$27:$G$32,5,FALSE)=0,
"(SELECT "&amp;VLOOKUP(B113,'0. Instruções'!$C$27:$G$32,4,FALSE)&amp;" AS CHAVE_SIMUL, "&amp;C113&amp;" AS CAMPO_SIMUL FROM "&amp;F113&amp;" WHERE "&amp;'0. Instruções'!$D$42&amp;")Y",
"(SELECT "&amp;VLOOKUP(B113,'0. Instruções'!$C$27:$G$32,4,FALSE)&amp;" AS CHAVE_SIMUL1, "&amp;VLOOKUP(B113,'0. Instruções'!$C$27:$G$32,5,FALSE)&amp;" AS CHAVE_SIMUL2, "&amp;C113&amp;" AS CAMPO_SIMUL FROM "&amp;F113&amp;" WHERE "&amp;'0. Instruções'!$D$42&amp;")Y")</f>
        <v>(SELECT instrmnt_id AS CHAVE_SIMUL, crryng_amnt_instrmnt AS CAMPO_SIMUL FROM BU_LOANTAPE_WORK.LT002_INSTRUMENT WHERE ref_date='${ref_date}' AND nome_perimetro='Individual Local' AND segmento='ESTR' AND ambito='PM' AND entidade='00100')Y</v>
      </c>
      <c r="L113" s="32" t="str">
        <f>IF(VLOOKUP(B113,'0. Instruções'!$C$27:$G$32,5,FALSE)=0,
"ON X.CHAVE_IT=Y.CHAVE_SIMUL",
"ON X.CHAVE_IT1=Y.CHAVE_SIMUL1 AND X.CHAVE_IT2=Y.CHAVE_SIMUL2")</f>
        <v>ON X.CHAVE_IT=Y.CHAVE_SIMUL</v>
      </c>
      <c r="M113" s="32" t="str">
        <f>+IF(D113="Coerência",+IF(LEFT(H113,5)="FLOAT","SELECT '"&amp;UPPER(B113)&amp;"' AS TABELA, '"&amp;UPPER(D113)&amp;"' AS TIPOLOGIA_TESTE,'"&amp;E113&amp;"' AS TABELA_LT,'"&amp;F113&amp;"' AS TABELA_SIMUL,'"&amp;C113&amp;"'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"&amp;J113&amp;" INNER JOIN "&amp;K113&amp;" "&amp;L113,"SELECT '"&amp;UPPER(B113)&amp;"' AS TABELA, '"&amp;UPPER(D113)&amp;"' AS TIPOLOGIA_TESTE,'"&amp;E113&amp;"' AS TABELA_LT,'"&amp;F113&amp;"' AS TABELA_SIMUL,'"&amp;C113&amp;"'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"&amp;J113&amp;" INNER JOIN "&amp;K113&amp;" "&amp;L113))</f>
        <v>SELECT 'INSTRUMENT' AS TABELA, 'COERÊNCIA' AS TIPOLOGIA_TESTE,'CD_LOAN_TAPES_BCE.LT002_INSTRUMENT' AS TABELA_LT,'BU_LOANTAPE_WORK.LT002_INSTRUMENT' AS TABELA_SIMUL,'crryng_amnt_instrmnt'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crryng_amnt_instrmnt AS CAMPO_IT FROM CD_LOAN_TAPES_BCE.LT002_INSTRUMENT WHERE ref_date='${ref_date}' AND nome_perimetro='Individual Local' AND segmento='ESTR' AND ambito='PM' AND entidade='00100')X INNER JOIN (SELECT instrmnt_id AS CHAVE_SIMUL, crryng_amnt_instrmnt AS CAMPO_SIMUL FROM BU_LOANTAPE_WORK.LT002_INSTRUMENT WHERE ref_date='${ref_date}' AND nome_perimetro='Individual Local' AND segmento='ESTR' AND ambito='PM' AND entidade='00100')Y ON X.CHAVE_IT=Y.CHAVE_SIMUL</v>
      </c>
      <c r="N113" s="33" t="str">
        <f t="shared" si="5"/>
        <v>UNION ALL SELECT 'INSTRUMENT' AS TABELA, 'COERÊNCIA' AS TIPOLOGIA_TESTE,'CD_LOAN_TAPES_BCE.LT002_INSTRUMENT' AS TABELA_LT,'BU_LOANTAPE_WORK.LT002_INSTRUMENT' AS TABELA_SIMUL,'crryng_amnt_instrmnt'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crryng_amnt_instrmnt AS CAMPO_IT FROM CD_LOAN_TAPES_BCE.LT002_INSTRUMENT WHERE ref_date='${ref_date}' AND nome_perimetro='Individual Local' AND segmento='ESTR' AND ambito='PM' AND entidade='00100')X INNER JOIN (SELECT instrmnt_id AS CHAVE_SIMUL, crryng_amnt_instrmnt AS CAMPO_SIMUL FROM BU_LOANTAPE_WORK.LT002_INSTRUMENT WHERE ref_date='${ref_date}' AND nome_perimetro='Individual Local' AND segmento='ESTR' AND ambito='PM' AND entidade='00100')Y ON X.CHAVE_IT=Y.CHAVE_SIMUL</v>
      </c>
      <c r="O113" s="35" t="s">
        <v>35</v>
      </c>
    </row>
    <row r="114" spans="1:15">
      <c r="A114" s="57" t="str">
        <f t="shared" si="4"/>
        <v>Instrumentdbt_yld</v>
      </c>
      <c r="B114" s="32" t="s">
        <v>9</v>
      </c>
      <c r="C114" s="32" t="s">
        <v>296</v>
      </c>
      <c r="D114" s="32" t="s">
        <v>5</v>
      </c>
      <c r="E114" s="32" t="str">
        <f>+UPPER('0. Instruções'!$D$35&amp;"."&amp;VLOOKUP(B114,'0. Instruções'!$C$27:$D$32,2,FALSE))</f>
        <v>CD_LOAN_TAPES_BCE.LT002_INSTRUMENT</v>
      </c>
      <c r="F114" s="32" t="str">
        <f>+UPPER('0. Instruções'!$D$36&amp;"."&amp;VLOOKUP(B114,'0. Instruções'!$C$27:$E$32,3,FALSE))</f>
        <v>BU_LOANTAPE_WORK.LT002_INSTRUMENT</v>
      </c>
      <c r="H114" s="32"/>
      <c r="I114" s="32"/>
      <c r="J114" s="32" t="str">
        <f>IF(VLOOKUP(B114,'0. Instruções'!$C$27:$G$32,5,FALSE)=0,
"(SELECT "&amp;VLOOKUP(B114,'0. Instruções'!$C$27:$G$32,4,FALSE)&amp;" AS CHAVE_IT, "&amp;C114&amp;" AS CAMPO_IT FROM "&amp;E114&amp;" WHERE "&amp;'0. Instruções'!$D$43&amp;")X",
"(SELECT "&amp;VLOOKUP(B114,'0. Instruções'!$C$27:$G$32,4,FALSE)&amp;" AS CHAVE_IT1, "&amp;VLOOKUP(B114,'0. Instruções'!$C$27:$G$32,5,FALSE)&amp;" AS CHAVE_IT2, "&amp;C114&amp;" AS CAMPO_IT FROM "&amp;E114&amp;" WHERE "&amp;'0. Instruções'!$D$43&amp;")X")</f>
        <v>(SELECT instrmnt_id AS CHAVE_IT, dbt_yld AS CAMPO_IT FROM CD_LOAN_TAPES_BCE.LT002_INSTRUMENT WHERE ref_date='${ref_date}' AND nome_perimetro='Individual Local' AND segmento='ESTR' AND ambito='PM' AND entidade='00100')X</v>
      </c>
      <c r="K114" s="32" t="str">
        <f>IF(VLOOKUP(B114,'0. Instruções'!$C$27:$G$32,5,FALSE)=0,
"(SELECT "&amp;VLOOKUP(B114,'0. Instruções'!$C$27:$G$32,4,FALSE)&amp;" AS CHAVE_SIMUL, "&amp;C114&amp;" AS CAMPO_SIMUL FROM "&amp;F114&amp;" WHERE "&amp;'0. Instruções'!$D$42&amp;")Y",
"(SELECT "&amp;VLOOKUP(B114,'0. Instruções'!$C$27:$G$32,4,FALSE)&amp;" AS CHAVE_SIMUL1, "&amp;VLOOKUP(B114,'0. Instruções'!$C$27:$G$32,5,FALSE)&amp;" AS CHAVE_SIMUL2, "&amp;C114&amp;" AS CAMPO_SIMUL FROM "&amp;F114&amp;" WHERE "&amp;'0. Instruções'!$D$42&amp;")Y")</f>
        <v>(SELECT instrmnt_id AS CHAVE_SIMUL, dbt_yld AS CAMPO_SIMUL FROM BU_LOANTAPE_WORK.LT002_INSTRUMENT WHERE ref_date='${ref_date}' AND nome_perimetro='Individual Local' AND segmento='ESTR' AND ambito='PM' AND entidade='00100')Y</v>
      </c>
      <c r="L114" s="32" t="str">
        <f>IF(VLOOKUP(B114,'0. Instruções'!$C$27:$G$32,5,FALSE)=0,
"ON X.CHAVE_IT=Y.CHAVE_SIMUL",
"ON X.CHAVE_IT1=Y.CHAVE_SIMUL1 AND X.CHAVE_IT2=Y.CHAVE_SIMUL2")</f>
        <v>ON X.CHAVE_IT=Y.CHAVE_SIMUL</v>
      </c>
      <c r="M114" s="32" t="str">
        <f>+IF(D114="Coerência",+IF(LEFT(H114,5)="FLOAT","SELECT '"&amp;UPPER(B114)&amp;"' AS TABELA, '"&amp;UPPER(D114)&amp;"' AS TIPOLOGIA_TESTE,'"&amp;E114&amp;"' AS TABELA_LT,'"&amp;F114&amp;"' AS TABELA_SIMUL,'"&amp;C114&amp;"'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"&amp;J114&amp;" INNER JOIN "&amp;K114&amp;" "&amp;L114,"SELECT '"&amp;UPPER(B114)&amp;"' AS TABELA, '"&amp;UPPER(D114)&amp;"' AS TIPOLOGIA_TESTE,'"&amp;E114&amp;"' AS TABELA_LT,'"&amp;F114&amp;"' AS TABELA_SIMUL,'"&amp;C114&amp;"'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"&amp;J114&amp;" INNER JOIN "&amp;K114&amp;" "&amp;L114))</f>
        <v>SELECT 'INSTRUMENT' AS TABELA, 'COERÊNCIA' AS TIPOLOGIA_TESTE,'CD_LOAN_TAPES_BCE.LT002_INSTRUMENT' AS TABELA_LT,'BU_LOANTAPE_WORK.LT002_INSTRUMENT' AS TABELA_SIMUL,'dbt_yld'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dbt_yld AS CAMPO_IT FROM CD_LOAN_TAPES_BCE.LT002_INSTRUMENT WHERE ref_date='${ref_date}' AND nome_perimetro='Individual Local' AND segmento='ESTR' AND ambito='PM' AND entidade='00100')X INNER JOIN (SELECT instrmnt_id AS CHAVE_SIMUL, dbt_yld AS CAMPO_SIMUL FROM BU_LOANTAPE_WORK.LT002_INSTRUMENT WHERE ref_date='${ref_date}' AND nome_perimetro='Individual Local' AND segmento='ESTR' AND ambito='PM' AND entidade='00100')Y ON X.CHAVE_IT=Y.CHAVE_SIMUL</v>
      </c>
      <c r="N114" s="33" t="str">
        <f t="shared" si="5"/>
        <v>UNION ALL SELECT 'INSTRUMENT' AS TABELA, 'COERÊNCIA' AS TIPOLOGIA_TESTE,'CD_LOAN_TAPES_BCE.LT002_INSTRUMENT' AS TABELA_LT,'BU_LOANTAPE_WORK.LT002_INSTRUMENT' AS TABELA_SIMUL,'dbt_yld'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dbt_yld AS CAMPO_IT FROM CD_LOAN_TAPES_BCE.LT002_INSTRUMENT WHERE ref_date='${ref_date}' AND nome_perimetro='Individual Local' AND segmento='ESTR' AND ambito='PM' AND entidade='00100')X INNER JOIN (SELECT instrmnt_id AS CHAVE_SIMUL, dbt_yld AS CAMPO_SIMUL FROM BU_LOANTAPE_WORK.LT002_INSTRUMENT WHERE ref_date='${ref_date}' AND nome_perimetro='Individual Local' AND segmento='ESTR' AND ambito='PM' AND entidade='00100')Y ON X.CHAVE_IT=Y.CHAVE_SIMUL</v>
      </c>
      <c r="O114" s="35" t="s">
        <v>35</v>
      </c>
    </row>
    <row r="115" spans="1:15">
      <c r="A115" s="57" t="str">
        <f t="shared" si="4"/>
        <v>Instrumentdt_lgl_fnl_mtrty</v>
      </c>
      <c r="B115" s="32" t="s">
        <v>9</v>
      </c>
      <c r="C115" s="32" t="s">
        <v>143</v>
      </c>
      <c r="D115" s="32" t="s">
        <v>5</v>
      </c>
      <c r="E115" s="32" t="str">
        <f>+UPPER('0. Instruções'!$D$35&amp;"."&amp;VLOOKUP(B115,'0. Instruções'!$C$27:$D$32,2,FALSE))</f>
        <v>CD_LOAN_TAPES_BCE.LT002_INSTRUMENT</v>
      </c>
      <c r="F115" s="32" t="str">
        <f>+UPPER('0. Instruções'!$D$36&amp;"."&amp;VLOOKUP(B115,'0. Instruções'!$C$27:$E$32,3,FALSE))</f>
        <v>BU_LOANTAPE_WORK.LT002_INSTRUMENT</v>
      </c>
      <c r="H115" s="32"/>
      <c r="I115" s="32"/>
      <c r="J115" s="32" t="str">
        <f>IF(VLOOKUP(B115,'0. Instruções'!$C$27:$G$32,5,FALSE)=0,
"(SELECT "&amp;VLOOKUP(B115,'0. Instruções'!$C$27:$G$32,4,FALSE)&amp;" AS CHAVE_IT, "&amp;C115&amp;" AS CAMPO_IT FROM "&amp;E115&amp;" WHERE "&amp;'0. Instruções'!$D$43&amp;")X",
"(SELECT "&amp;VLOOKUP(B115,'0. Instruções'!$C$27:$G$32,4,FALSE)&amp;" AS CHAVE_IT1, "&amp;VLOOKUP(B115,'0. Instruções'!$C$27:$G$32,5,FALSE)&amp;" AS CHAVE_IT2, "&amp;C115&amp;" AS CAMPO_IT FROM "&amp;E115&amp;" WHERE "&amp;'0. Instruções'!$D$43&amp;")X")</f>
        <v>(SELECT instrmnt_id AS CHAVE_IT, dt_lgl_fnl_mtrty AS CAMPO_IT FROM CD_LOAN_TAPES_BCE.LT002_INSTRUMENT WHERE ref_date='${ref_date}' AND nome_perimetro='Individual Local' AND segmento='ESTR' AND ambito='PM' AND entidade='00100')X</v>
      </c>
      <c r="K115" s="32" t="str">
        <f>IF(VLOOKUP(B115,'0. Instruções'!$C$27:$G$32,5,FALSE)=0,
"(SELECT "&amp;VLOOKUP(B115,'0. Instruções'!$C$27:$G$32,4,FALSE)&amp;" AS CHAVE_SIMUL, "&amp;C115&amp;" AS CAMPO_SIMUL FROM "&amp;F115&amp;" WHERE "&amp;'0. Instruções'!$D$42&amp;")Y",
"(SELECT "&amp;VLOOKUP(B115,'0. Instruções'!$C$27:$G$32,4,FALSE)&amp;" AS CHAVE_SIMUL1, "&amp;VLOOKUP(B115,'0. Instruções'!$C$27:$G$32,5,FALSE)&amp;" AS CHAVE_SIMUL2, "&amp;C115&amp;" AS CAMPO_SIMUL FROM "&amp;F115&amp;" WHERE "&amp;'0. Instruções'!$D$42&amp;")Y")</f>
        <v>(SELECT instrmnt_id AS CHAVE_SIMUL, dt_lgl_fnl_mtrty AS CAMPO_SIMUL FROM BU_LOANTAPE_WORK.LT002_INSTRUMENT WHERE ref_date='${ref_date}' AND nome_perimetro='Individual Local' AND segmento='ESTR' AND ambito='PM' AND entidade='00100')Y</v>
      </c>
      <c r="L115" s="32" t="str">
        <f>IF(VLOOKUP(B115,'0. Instruções'!$C$27:$G$32,5,FALSE)=0,
"ON X.CHAVE_IT=Y.CHAVE_SIMUL",
"ON X.CHAVE_IT1=Y.CHAVE_SIMUL1 AND X.CHAVE_IT2=Y.CHAVE_SIMUL2")</f>
        <v>ON X.CHAVE_IT=Y.CHAVE_SIMUL</v>
      </c>
      <c r="M115" s="32" t="str">
        <f>+IF(D115="Coerência",+IF(LEFT(H115,5)="FLOAT","SELECT '"&amp;UPPER(B115)&amp;"' AS TABELA, '"&amp;UPPER(D115)&amp;"' AS TIPOLOGIA_TESTE,'"&amp;E115&amp;"' AS TABELA_LT,'"&amp;F115&amp;"' AS TABELA_SIMUL,'"&amp;C115&amp;"'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"&amp;J115&amp;" INNER JOIN "&amp;K115&amp;" "&amp;L115,"SELECT '"&amp;UPPER(B115)&amp;"' AS TABELA, '"&amp;UPPER(D115)&amp;"' AS TIPOLOGIA_TESTE,'"&amp;E115&amp;"' AS TABELA_LT,'"&amp;F115&amp;"' AS TABELA_SIMUL,'"&amp;C115&amp;"'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"&amp;J115&amp;" INNER JOIN "&amp;K115&amp;" "&amp;L115))</f>
        <v>SELECT 'INSTRUMENT' AS TABELA, 'COERÊNCIA' AS TIPOLOGIA_TESTE,'CD_LOAN_TAPES_BCE.LT002_INSTRUMENT' AS TABELA_LT,'BU_LOANTAPE_WORK.LT002_INSTRUMENT' AS TABELA_SIMUL,'dt_lgl_fnl_mtrty'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dt_lgl_fnl_mtrty AS CAMPO_IT FROM CD_LOAN_TAPES_BCE.LT002_INSTRUMENT WHERE ref_date='${ref_date}' AND nome_perimetro='Individual Local' AND segmento='ESTR' AND ambito='PM' AND entidade='00100')X INNER JOIN (SELECT instrmnt_id AS CHAVE_SIMUL, dt_lgl_fnl_mtrty AS CAMPO_SIMUL FROM BU_LOANTAPE_WORK.LT002_INSTRUMENT WHERE ref_date='${ref_date}' AND nome_perimetro='Individual Local' AND segmento='ESTR' AND ambito='PM' AND entidade='00100')Y ON X.CHAVE_IT=Y.CHAVE_SIMUL</v>
      </c>
      <c r="N115" s="33" t="str">
        <f t="shared" si="5"/>
        <v>UNION ALL SELECT 'INSTRUMENT' AS TABELA, 'COERÊNCIA' AS TIPOLOGIA_TESTE,'CD_LOAN_TAPES_BCE.LT002_INSTRUMENT' AS TABELA_LT,'BU_LOANTAPE_WORK.LT002_INSTRUMENT' AS TABELA_SIMUL,'dt_lgl_fnl_mtrty'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dt_lgl_fnl_mtrty AS CAMPO_IT FROM CD_LOAN_TAPES_BCE.LT002_INSTRUMENT WHERE ref_date='${ref_date}' AND nome_perimetro='Individual Local' AND segmento='ESTR' AND ambito='PM' AND entidade='00100')X INNER JOIN (SELECT instrmnt_id AS CHAVE_SIMUL, dt_lgl_fnl_mtrty AS CAMPO_SIMUL FROM BU_LOANTAPE_WORK.LT002_INSTRUMENT WHERE ref_date='${ref_date}' AND nome_perimetro='Individual Local' AND segmento='ESTR' AND ambito='PM' AND entidade='00100')Y ON X.CHAVE_IT=Y.CHAVE_SIMUL</v>
      </c>
      <c r="O115" s="35" t="s">
        <v>35</v>
      </c>
    </row>
    <row r="116" spans="1:15">
      <c r="A116" s="57" t="str">
        <f t="shared" si="4"/>
        <v>Instrumentdt_nxt_intrst_rt_rst</v>
      </c>
      <c r="B116" s="32" t="s">
        <v>9</v>
      </c>
      <c r="C116" s="32" t="s">
        <v>297</v>
      </c>
      <c r="D116" s="32" t="s">
        <v>5</v>
      </c>
      <c r="E116" s="32" t="str">
        <f>+UPPER('0. Instruções'!$D$35&amp;"."&amp;VLOOKUP(B116,'0. Instruções'!$C$27:$D$32,2,FALSE))</f>
        <v>CD_LOAN_TAPES_BCE.LT002_INSTRUMENT</v>
      </c>
      <c r="F116" s="32" t="str">
        <f>+UPPER('0. Instruções'!$D$36&amp;"."&amp;VLOOKUP(B116,'0. Instruções'!$C$27:$E$32,3,FALSE))</f>
        <v>BU_LOANTAPE_WORK.LT002_INSTRUMENT</v>
      </c>
      <c r="H116" s="32"/>
      <c r="I116" s="32"/>
      <c r="J116" s="32" t="str">
        <f>IF(VLOOKUP(B116,'0. Instruções'!$C$27:$G$32,5,FALSE)=0,
"(SELECT "&amp;VLOOKUP(B116,'0. Instruções'!$C$27:$G$32,4,FALSE)&amp;" AS CHAVE_IT, "&amp;C116&amp;" AS CAMPO_IT FROM "&amp;E116&amp;" WHERE "&amp;'0. Instruções'!$D$43&amp;")X",
"(SELECT "&amp;VLOOKUP(B116,'0. Instruções'!$C$27:$G$32,4,FALSE)&amp;" AS CHAVE_IT1, "&amp;VLOOKUP(B116,'0. Instruções'!$C$27:$G$32,5,FALSE)&amp;" AS CHAVE_IT2, "&amp;C116&amp;" AS CAMPO_IT FROM "&amp;E116&amp;" WHERE "&amp;'0. Instruções'!$D$43&amp;")X")</f>
        <v>(SELECT instrmnt_id AS CHAVE_IT, dt_nxt_intrst_rt_rst AS CAMPO_IT FROM CD_LOAN_TAPES_BCE.LT002_INSTRUMENT WHERE ref_date='${ref_date}' AND nome_perimetro='Individual Local' AND segmento='ESTR' AND ambito='PM' AND entidade='00100')X</v>
      </c>
      <c r="K116" s="32" t="str">
        <f>IF(VLOOKUP(B116,'0. Instruções'!$C$27:$G$32,5,FALSE)=0,
"(SELECT "&amp;VLOOKUP(B116,'0. Instruções'!$C$27:$G$32,4,FALSE)&amp;" AS CHAVE_SIMUL, "&amp;C116&amp;" AS CAMPO_SIMUL FROM "&amp;F116&amp;" WHERE "&amp;'0. Instruções'!$D$42&amp;")Y",
"(SELECT "&amp;VLOOKUP(B116,'0. Instruções'!$C$27:$G$32,4,FALSE)&amp;" AS CHAVE_SIMUL1, "&amp;VLOOKUP(B116,'0. Instruções'!$C$27:$G$32,5,FALSE)&amp;" AS CHAVE_SIMUL2, "&amp;C116&amp;" AS CAMPO_SIMUL FROM "&amp;F116&amp;" WHERE "&amp;'0. Instruções'!$D$42&amp;")Y")</f>
        <v>(SELECT instrmnt_id AS CHAVE_SIMUL, dt_nxt_intrst_rt_rst AS CAMPO_SIMUL FROM BU_LOANTAPE_WORK.LT002_INSTRUMENT WHERE ref_date='${ref_date}' AND nome_perimetro='Individual Local' AND segmento='ESTR' AND ambito='PM' AND entidade='00100')Y</v>
      </c>
      <c r="L116" s="32" t="str">
        <f>IF(VLOOKUP(B116,'0. Instruções'!$C$27:$G$32,5,FALSE)=0,
"ON X.CHAVE_IT=Y.CHAVE_SIMUL",
"ON X.CHAVE_IT1=Y.CHAVE_SIMUL1 AND X.CHAVE_IT2=Y.CHAVE_SIMUL2")</f>
        <v>ON X.CHAVE_IT=Y.CHAVE_SIMUL</v>
      </c>
      <c r="M116" s="32" t="str">
        <f>+IF(D116="Coerência",+IF(LEFT(H116,5)="FLOAT","SELECT '"&amp;UPPER(B116)&amp;"' AS TABELA, '"&amp;UPPER(D116)&amp;"' AS TIPOLOGIA_TESTE,'"&amp;E116&amp;"' AS TABELA_LT,'"&amp;F116&amp;"' AS TABELA_SIMUL,'"&amp;C116&amp;"'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"&amp;J116&amp;" INNER JOIN "&amp;K116&amp;" "&amp;L116,"SELECT '"&amp;UPPER(B116)&amp;"' AS TABELA, '"&amp;UPPER(D116)&amp;"' AS TIPOLOGIA_TESTE,'"&amp;E116&amp;"' AS TABELA_LT,'"&amp;F116&amp;"' AS TABELA_SIMUL,'"&amp;C116&amp;"'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"&amp;J116&amp;" INNER JOIN "&amp;K116&amp;" "&amp;L116))</f>
        <v>SELECT 'INSTRUMENT' AS TABELA, 'COERÊNCIA' AS TIPOLOGIA_TESTE,'CD_LOAN_TAPES_BCE.LT002_INSTRUMENT' AS TABELA_LT,'BU_LOANTAPE_WORK.LT002_INSTRUMENT' AS TABELA_SIMUL,'dt_nxt_intrst_rt_rst'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dt_nxt_intrst_rt_rst AS CAMPO_IT FROM CD_LOAN_TAPES_BCE.LT002_INSTRUMENT WHERE ref_date='${ref_date}' AND nome_perimetro='Individual Local' AND segmento='ESTR' AND ambito='PM' AND entidade='00100')X INNER JOIN (SELECT instrmnt_id AS CHAVE_SIMUL, dt_nxt_intrst_rt_rst AS CAMPO_SIMUL FROM BU_LOANTAPE_WORK.LT002_INSTRUMENT WHERE ref_date='${ref_date}' AND nome_perimetro='Individual Local' AND segmento='ESTR' AND ambito='PM' AND entidade='00100')Y ON X.CHAVE_IT=Y.CHAVE_SIMUL</v>
      </c>
      <c r="N116" s="33" t="str">
        <f t="shared" si="5"/>
        <v>UNION ALL SELECT 'INSTRUMENT' AS TABELA, 'COERÊNCIA' AS TIPOLOGIA_TESTE,'CD_LOAN_TAPES_BCE.LT002_INSTRUMENT' AS TABELA_LT,'BU_LOANTAPE_WORK.LT002_INSTRUMENT' AS TABELA_SIMUL,'dt_nxt_intrst_rt_rst'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dt_nxt_intrst_rt_rst AS CAMPO_IT FROM CD_LOAN_TAPES_BCE.LT002_INSTRUMENT WHERE ref_date='${ref_date}' AND nome_perimetro='Individual Local' AND segmento='ESTR' AND ambito='PM' AND entidade='00100')X INNER JOIN (SELECT instrmnt_id AS CHAVE_SIMUL, dt_nxt_intrst_rt_rst AS CAMPO_SIMUL FROM BU_LOANTAPE_WORK.LT002_INSTRUMENT WHERE ref_date='${ref_date}' AND nome_perimetro='Individual Local' AND segmento='ESTR' AND ambito='PM' AND entidade='00100')Y ON X.CHAVE_IT=Y.CHAVE_SIMUL</v>
      </c>
      <c r="O116" s="35" t="s">
        <v>35</v>
      </c>
    </row>
    <row r="117" spans="1:15">
      <c r="A117" s="57" t="str">
        <f t="shared" si="4"/>
        <v>Instrumentdt_orgnl_mtrty</v>
      </c>
      <c r="B117" s="32" t="s">
        <v>9</v>
      </c>
      <c r="C117" s="32" t="s">
        <v>298</v>
      </c>
      <c r="D117" s="32" t="s">
        <v>5</v>
      </c>
      <c r="E117" s="32" t="str">
        <f>+UPPER('0. Instruções'!$D$35&amp;"."&amp;VLOOKUP(B117,'0. Instruções'!$C$27:$D$32,2,FALSE))</f>
        <v>CD_LOAN_TAPES_BCE.LT002_INSTRUMENT</v>
      </c>
      <c r="F117" s="32" t="str">
        <f>+UPPER('0. Instruções'!$D$36&amp;"."&amp;VLOOKUP(B117,'0. Instruções'!$C$27:$E$32,3,FALSE))</f>
        <v>BU_LOANTAPE_WORK.LT002_INSTRUMENT</v>
      </c>
      <c r="H117" s="32"/>
      <c r="I117" s="32"/>
      <c r="J117" s="32" t="str">
        <f>IF(VLOOKUP(B117,'0. Instruções'!$C$27:$G$32,5,FALSE)=0,
"(SELECT "&amp;VLOOKUP(B117,'0. Instruções'!$C$27:$G$32,4,FALSE)&amp;" AS CHAVE_IT, "&amp;C117&amp;" AS CAMPO_IT FROM "&amp;E117&amp;" WHERE "&amp;'0. Instruções'!$D$43&amp;")X",
"(SELECT "&amp;VLOOKUP(B117,'0. Instruções'!$C$27:$G$32,4,FALSE)&amp;" AS CHAVE_IT1, "&amp;VLOOKUP(B117,'0. Instruções'!$C$27:$G$32,5,FALSE)&amp;" AS CHAVE_IT2, "&amp;C117&amp;" AS CAMPO_IT FROM "&amp;E117&amp;" WHERE "&amp;'0. Instruções'!$D$43&amp;")X")</f>
        <v>(SELECT instrmnt_id AS CHAVE_IT, dt_orgnl_mtrty AS CAMPO_IT FROM CD_LOAN_TAPES_BCE.LT002_INSTRUMENT WHERE ref_date='${ref_date}' AND nome_perimetro='Individual Local' AND segmento='ESTR' AND ambito='PM' AND entidade='00100')X</v>
      </c>
      <c r="K117" s="32" t="str">
        <f>IF(VLOOKUP(B117,'0. Instruções'!$C$27:$G$32,5,FALSE)=0,
"(SELECT "&amp;VLOOKUP(B117,'0. Instruções'!$C$27:$G$32,4,FALSE)&amp;" AS CHAVE_SIMUL, "&amp;C117&amp;" AS CAMPO_SIMUL FROM "&amp;F117&amp;" WHERE "&amp;'0. Instruções'!$D$42&amp;")Y",
"(SELECT "&amp;VLOOKUP(B117,'0. Instruções'!$C$27:$G$32,4,FALSE)&amp;" AS CHAVE_SIMUL1, "&amp;VLOOKUP(B117,'0. Instruções'!$C$27:$G$32,5,FALSE)&amp;" AS CHAVE_SIMUL2, "&amp;C117&amp;" AS CAMPO_SIMUL FROM "&amp;F117&amp;" WHERE "&amp;'0. Instruções'!$D$42&amp;")Y")</f>
        <v>(SELECT instrmnt_id AS CHAVE_SIMUL, dt_orgnl_mtrty AS CAMPO_SIMUL FROM BU_LOANTAPE_WORK.LT002_INSTRUMENT WHERE ref_date='${ref_date}' AND nome_perimetro='Individual Local' AND segmento='ESTR' AND ambito='PM' AND entidade='00100')Y</v>
      </c>
      <c r="L117" s="32" t="str">
        <f>IF(VLOOKUP(B117,'0. Instruções'!$C$27:$G$32,5,FALSE)=0,
"ON X.CHAVE_IT=Y.CHAVE_SIMUL",
"ON X.CHAVE_IT1=Y.CHAVE_SIMUL1 AND X.CHAVE_IT2=Y.CHAVE_SIMUL2")</f>
        <v>ON X.CHAVE_IT=Y.CHAVE_SIMUL</v>
      </c>
      <c r="M117" s="32" t="str">
        <f>+IF(D117="Coerência",+IF(LEFT(H117,5)="FLOAT","SELECT '"&amp;UPPER(B117)&amp;"' AS TABELA, '"&amp;UPPER(D117)&amp;"' AS TIPOLOGIA_TESTE,'"&amp;E117&amp;"' AS TABELA_LT,'"&amp;F117&amp;"' AS TABELA_SIMUL,'"&amp;C117&amp;"'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"&amp;J117&amp;" INNER JOIN "&amp;K117&amp;" "&amp;L117,"SELECT '"&amp;UPPER(B117)&amp;"' AS TABELA, '"&amp;UPPER(D117)&amp;"' AS TIPOLOGIA_TESTE,'"&amp;E117&amp;"' AS TABELA_LT,'"&amp;F117&amp;"' AS TABELA_SIMUL,'"&amp;C117&amp;"'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"&amp;J117&amp;" INNER JOIN "&amp;K117&amp;" "&amp;L117))</f>
        <v>SELECT 'INSTRUMENT' AS TABELA, 'COERÊNCIA' AS TIPOLOGIA_TESTE,'CD_LOAN_TAPES_BCE.LT002_INSTRUMENT' AS TABELA_LT,'BU_LOANTAPE_WORK.LT002_INSTRUMENT' AS TABELA_SIMUL,'dt_orgnl_mtrty'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dt_orgnl_mtrty AS CAMPO_IT FROM CD_LOAN_TAPES_BCE.LT002_INSTRUMENT WHERE ref_date='${ref_date}' AND nome_perimetro='Individual Local' AND segmento='ESTR' AND ambito='PM' AND entidade='00100')X INNER JOIN (SELECT instrmnt_id AS CHAVE_SIMUL, dt_orgnl_mtrty AS CAMPO_SIMUL FROM BU_LOANTAPE_WORK.LT002_INSTRUMENT WHERE ref_date='${ref_date}' AND nome_perimetro='Individual Local' AND segmento='ESTR' AND ambito='PM' AND entidade='00100')Y ON X.CHAVE_IT=Y.CHAVE_SIMUL</v>
      </c>
      <c r="N117" s="33" t="str">
        <f t="shared" si="5"/>
        <v>UNION ALL SELECT 'INSTRUMENT' AS TABELA, 'COERÊNCIA' AS TIPOLOGIA_TESTE,'CD_LOAN_TAPES_BCE.LT002_INSTRUMENT' AS TABELA_LT,'BU_LOANTAPE_WORK.LT002_INSTRUMENT' AS TABELA_SIMUL,'dt_orgnl_mtrty'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dt_orgnl_mtrty AS CAMPO_IT FROM CD_LOAN_TAPES_BCE.LT002_INSTRUMENT WHERE ref_date='${ref_date}' AND nome_perimetro='Individual Local' AND segmento='ESTR' AND ambito='PM' AND entidade='00100')X INNER JOIN (SELECT instrmnt_id AS CHAVE_SIMUL, dt_orgnl_mtrty AS CAMPO_SIMUL FROM BU_LOANTAPE_WORK.LT002_INSTRUMENT WHERE ref_date='${ref_date}' AND nome_perimetro='Individual Local' AND segmento='ESTR' AND ambito='PM' AND entidade='00100')Y ON X.CHAVE_IT=Y.CHAVE_SIMUL</v>
      </c>
      <c r="O117" s="35" t="s">
        <v>35</v>
      </c>
    </row>
    <row r="118" spans="1:15">
      <c r="A118" s="57" t="str">
        <f t="shared" si="4"/>
        <v>Instrumentifrs9_bhvrl_mtrty</v>
      </c>
      <c r="B118" s="32" t="s">
        <v>9</v>
      </c>
      <c r="C118" s="32" t="s">
        <v>76</v>
      </c>
      <c r="D118" s="32" t="s">
        <v>5</v>
      </c>
      <c r="E118" s="32" t="str">
        <f>+UPPER('0. Instruções'!$D$35&amp;"."&amp;VLOOKUP(B118,'0. Instruções'!$C$27:$D$32,2,FALSE))</f>
        <v>CD_LOAN_TAPES_BCE.LT002_INSTRUMENT</v>
      </c>
      <c r="F118" s="32" t="str">
        <f>+UPPER('0. Instruções'!$D$36&amp;"."&amp;VLOOKUP(B118,'0. Instruções'!$C$27:$E$32,3,FALSE))</f>
        <v>BU_LOANTAPE_WORK.LT002_INSTRUMENT</v>
      </c>
      <c r="H118" s="32"/>
      <c r="I118" s="32"/>
      <c r="J118" s="32" t="str">
        <f>IF(VLOOKUP(B118,'0. Instruções'!$C$27:$G$32,5,FALSE)=0,
"(SELECT "&amp;VLOOKUP(B118,'0. Instruções'!$C$27:$G$32,4,FALSE)&amp;" AS CHAVE_IT, "&amp;C118&amp;" AS CAMPO_IT FROM "&amp;E118&amp;" WHERE "&amp;'0. Instruções'!$D$43&amp;")X",
"(SELECT "&amp;VLOOKUP(B118,'0. Instruções'!$C$27:$G$32,4,FALSE)&amp;" AS CHAVE_IT1, "&amp;VLOOKUP(B118,'0. Instruções'!$C$27:$G$32,5,FALSE)&amp;" AS CHAVE_IT2, "&amp;C118&amp;" AS CAMPO_IT FROM "&amp;E118&amp;" WHERE "&amp;'0. Instruções'!$D$43&amp;")X")</f>
        <v>(SELECT instrmnt_id AS CHAVE_IT, ifrs9_bhvrl_mtrty AS CAMPO_IT FROM CD_LOAN_TAPES_BCE.LT002_INSTRUMENT WHERE ref_date='${ref_date}' AND nome_perimetro='Individual Local' AND segmento='ESTR' AND ambito='PM' AND entidade='00100')X</v>
      </c>
      <c r="K118" s="32" t="str">
        <f>IF(VLOOKUP(B118,'0. Instruções'!$C$27:$G$32,5,FALSE)=0,
"(SELECT "&amp;VLOOKUP(B118,'0. Instruções'!$C$27:$G$32,4,FALSE)&amp;" AS CHAVE_SIMUL, "&amp;C118&amp;" AS CAMPO_SIMUL FROM "&amp;F118&amp;" WHERE "&amp;'0. Instruções'!$D$42&amp;")Y",
"(SELECT "&amp;VLOOKUP(B118,'0. Instruções'!$C$27:$G$32,4,FALSE)&amp;" AS CHAVE_SIMUL1, "&amp;VLOOKUP(B118,'0. Instruções'!$C$27:$G$32,5,FALSE)&amp;" AS CHAVE_SIMUL2, "&amp;C118&amp;" AS CAMPO_SIMUL FROM "&amp;F118&amp;" WHERE "&amp;'0. Instruções'!$D$42&amp;")Y")</f>
        <v>(SELECT instrmnt_id AS CHAVE_SIMUL, ifrs9_bhvrl_mtrty AS CAMPO_SIMUL FROM BU_LOANTAPE_WORK.LT002_INSTRUMENT WHERE ref_date='${ref_date}' AND nome_perimetro='Individual Local' AND segmento='ESTR' AND ambito='PM' AND entidade='00100')Y</v>
      </c>
      <c r="L118" s="32" t="str">
        <f>IF(VLOOKUP(B118,'0. Instruções'!$C$27:$G$32,5,FALSE)=0,
"ON X.CHAVE_IT=Y.CHAVE_SIMUL",
"ON X.CHAVE_IT1=Y.CHAVE_SIMUL1 AND X.CHAVE_IT2=Y.CHAVE_SIMUL2")</f>
        <v>ON X.CHAVE_IT=Y.CHAVE_SIMUL</v>
      </c>
      <c r="M118" s="32" t="str">
        <f>+IF(D118="Coerência",+IF(LEFT(H118,5)="FLOAT","SELECT '"&amp;UPPER(B118)&amp;"' AS TABELA, '"&amp;UPPER(D118)&amp;"' AS TIPOLOGIA_TESTE,'"&amp;E118&amp;"' AS TABELA_LT,'"&amp;F118&amp;"' AS TABELA_SIMUL,'"&amp;C118&amp;"'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"&amp;J118&amp;" INNER JOIN "&amp;K118&amp;" "&amp;L118,"SELECT '"&amp;UPPER(B118)&amp;"' AS TABELA, '"&amp;UPPER(D118)&amp;"' AS TIPOLOGIA_TESTE,'"&amp;E118&amp;"' AS TABELA_LT,'"&amp;F118&amp;"' AS TABELA_SIMUL,'"&amp;C118&amp;"'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"&amp;J118&amp;" INNER JOIN "&amp;K118&amp;" "&amp;L118))</f>
        <v>SELECT 'INSTRUMENT' AS TABELA, 'COERÊNCIA' AS TIPOLOGIA_TESTE,'CD_LOAN_TAPES_BCE.LT002_INSTRUMENT' AS TABELA_LT,'BU_LOANTAPE_WORK.LT002_INSTRUMENT' AS TABELA_SIMUL,'ifrs9_bhvrl_mtrty'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ifrs9_bhvrl_mtrty AS CAMPO_IT FROM CD_LOAN_TAPES_BCE.LT002_INSTRUMENT WHERE ref_date='${ref_date}' AND nome_perimetro='Individual Local' AND segmento='ESTR' AND ambito='PM' AND entidade='00100')X INNER JOIN (SELECT instrmnt_id AS CHAVE_SIMUL, ifrs9_bhvrl_mtrty AS CAMPO_SIMUL FROM BU_LOANTAPE_WORK.LT002_INSTRUMENT WHERE ref_date='${ref_date}' AND nome_perimetro='Individual Local' AND segmento='ESTR' AND ambito='PM' AND entidade='00100')Y ON X.CHAVE_IT=Y.CHAVE_SIMUL</v>
      </c>
      <c r="N118" s="33" t="str">
        <f t="shared" si="5"/>
        <v>UNION ALL SELECT 'INSTRUMENT' AS TABELA, 'COERÊNCIA' AS TIPOLOGIA_TESTE,'CD_LOAN_TAPES_BCE.LT002_INSTRUMENT' AS TABELA_LT,'BU_LOANTAPE_WORK.LT002_INSTRUMENT' AS TABELA_SIMUL,'ifrs9_bhvrl_mtrty'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ifrs9_bhvrl_mtrty AS CAMPO_IT FROM CD_LOAN_TAPES_BCE.LT002_INSTRUMENT WHERE ref_date='${ref_date}' AND nome_perimetro='Individual Local' AND segmento='ESTR' AND ambito='PM' AND entidade='00100')X INNER JOIN (SELECT instrmnt_id AS CHAVE_SIMUL, ifrs9_bhvrl_mtrty AS CAMPO_SIMUL FROM BU_LOANTAPE_WORK.LT002_INSTRUMENT WHERE ref_date='${ref_date}' AND nome_perimetro='Individual Local' AND segmento='ESTR' AND ambito='PM' AND entidade='00100')Y ON X.CHAVE_IT=Y.CHAVE_SIMUL</v>
      </c>
      <c r="O118" s="35" t="s">
        <v>35</v>
      </c>
    </row>
    <row r="119" spans="1:15">
      <c r="A119" s="57" t="str">
        <f t="shared" si="4"/>
        <v>Instrumentead</v>
      </c>
      <c r="B119" s="32" t="s">
        <v>9</v>
      </c>
      <c r="C119" s="32" t="s">
        <v>299</v>
      </c>
      <c r="D119" s="32" t="s">
        <v>5</v>
      </c>
      <c r="E119" s="32" t="str">
        <f>+UPPER('0. Instruções'!$D$35&amp;"."&amp;VLOOKUP(B119,'0. Instruções'!$C$27:$D$32,2,FALSE))</f>
        <v>CD_LOAN_TAPES_BCE.LT002_INSTRUMENT</v>
      </c>
      <c r="F119" s="32" t="str">
        <f>+UPPER('0. Instruções'!$D$36&amp;"."&amp;VLOOKUP(B119,'0. Instruções'!$C$27:$E$32,3,FALSE))</f>
        <v>BU_LOANTAPE_WORK.LT002_INSTRUMENT</v>
      </c>
      <c r="H119" s="32"/>
      <c r="I119" s="32"/>
      <c r="J119" s="32" t="str">
        <f>IF(VLOOKUP(B119,'0. Instruções'!$C$27:$G$32,5,FALSE)=0,
"(SELECT "&amp;VLOOKUP(B119,'0. Instruções'!$C$27:$G$32,4,FALSE)&amp;" AS CHAVE_IT, "&amp;C119&amp;" AS CAMPO_IT FROM "&amp;E119&amp;" WHERE "&amp;'0. Instruções'!$D$43&amp;")X",
"(SELECT "&amp;VLOOKUP(B119,'0. Instruções'!$C$27:$G$32,4,FALSE)&amp;" AS CHAVE_IT1, "&amp;VLOOKUP(B119,'0. Instruções'!$C$27:$G$32,5,FALSE)&amp;" AS CHAVE_IT2, "&amp;C119&amp;" AS CAMPO_IT FROM "&amp;E119&amp;" WHERE "&amp;'0. Instruções'!$D$43&amp;")X")</f>
        <v>(SELECT instrmnt_id AS CHAVE_IT, ead AS CAMPO_IT FROM CD_LOAN_TAPES_BCE.LT002_INSTRUMENT WHERE ref_date='${ref_date}' AND nome_perimetro='Individual Local' AND segmento='ESTR' AND ambito='PM' AND entidade='00100')X</v>
      </c>
      <c r="K119" s="32" t="str">
        <f>IF(VLOOKUP(B119,'0. Instruções'!$C$27:$G$32,5,FALSE)=0,
"(SELECT "&amp;VLOOKUP(B119,'0. Instruções'!$C$27:$G$32,4,FALSE)&amp;" AS CHAVE_SIMUL, "&amp;C119&amp;" AS CAMPO_SIMUL FROM "&amp;F119&amp;" WHERE "&amp;'0. Instruções'!$D$42&amp;")Y",
"(SELECT "&amp;VLOOKUP(B119,'0. Instruções'!$C$27:$G$32,4,FALSE)&amp;" AS CHAVE_SIMUL1, "&amp;VLOOKUP(B119,'0. Instruções'!$C$27:$G$32,5,FALSE)&amp;" AS CHAVE_SIMUL2, "&amp;C119&amp;" AS CAMPO_SIMUL FROM "&amp;F119&amp;" WHERE "&amp;'0. Instruções'!$D$42&amp;")Y")</f>
        <v>(SELECT instrmnt_id AS CHAVE_SIMUL, ead AS CAMPO_SIMUL FROM BU_LOANTAPE_WORK.LT002_INSTRUMENT WHERE ref_date='${ref_date}' AND nome_perimetro='Individual Local' AND segmento='ESTR' AND ambito='PM' AND entidade='00100')Y</v>
      </c>
      <c r="L119" s="32" t="str">
        <f>IF(VLOOKUP(B119,'0. Instruções'!$C$27:$G$32,5,FALSE)=0,
"ON X.CHAVE_IT=Y.CHAVE_SIMUL",
"ON X.CHAVE_IT1=Y.CHAVE_SIMUL1 AND X.CHAVE_IT2=Y.CHAVE_SIMUL2")</f>
        <v>ON X.CHAVE_IT=Y.CHAVE_SIMUL</v>
      </c>
      <c r="M119" s="32" t="str">
        <f>+IF(D119="Coerência",+IF(LEFT(H119,5)="FLOAT","SELECT '"&amp;UPPER(B119)&amp;"' AS TABELA, '"&amp;UPPER(D119)&amp;"' AS TIPOLOGIA_TESTE,'"&amp;E119&amp;"' AS TABELA_LT,'"&amp;F119&amp;"' AS TABELA_SIMUL,'"&amp;C119&amp;"'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"&amp;J119&amp;" INNER JOIN "&amp;K119&amp;" "&amp;L119,"SELECT '"&amp;UPPER(B119)&amp;"' AS TABELA, '"&amp;UPPER(D119)&amp;"' AS TIPOLOGIA_TESTE,'"&amp;E119&amp;"' AS TABELA_LT,'"&amp;F119&amp;"' AS TABELA_SIMUL,'"&amp;C119&amp;"'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"&amp;J119&amp;" INNER JOIN "&amp;K119&amp;" "&amp;L119))</f>
        <v>SELECT 'INSTRUMENT' AS TABELA, 'COERÊNCIA' AS TIPOLOGIA_TESTE,'CD_LOAN_TAPES_BCE.LT002_INSTRUMENT' AS TABELA_LT,'BU_LOANTAPE_WORK.LT002_INSTRUMENT' AS TABELA_SIMUL,'ead'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ead AS CAMPO_IT FROM CD_LOAN_TAPES_BCE.LT002_INSTRUMENT WHERE ref_date='${ref_date}' AND nome_perimetro='Individual Local' AND segmento='ESTR' AND ambito='PM' AND entidade='00100')X INNER JOIN (SELECT instrmnt_id AS CHAVE_SIMUL, ead AS CAMPO_SIMUL FROM BU_LOANTAPE_WORK.LT002_INSTRUMENT WHERE ref_date='${ref_date}' AND nome_perimetro='Individual Local' AND segmento='ESTR' AND ambito='PM' AND entidade='00100')Y ON X.CHAVE_IT=Y.CHAVE_SIMUL</v>
      </c>
      <c r="N119" s="33" t="str">
        <f t="shared" si="5"/>
        <v>UNION ALL SELECT 'INSTRUMENT' AS TABELA, 'COERÊNCIA' AS TIPOLOGIA_TESTE,'CD_LOAN_TAPES_BCE.LT002_INSTRUMENT' AS TABELA_LT,'BU_LOANTAPE_WORK.LT002_INSTRUMENT' AS TABELA_SIMUL,'ead'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ead AS CAMPO_IT FROM CD_LOAN_TAPES_BCE.LT002_INSTRUMENT WHERE ref_date='${ref_date}' AND nome_perimetro='Individual Local' AND segmento='ESTR' AND ambito='PM' AND entidade='00100')X INNER JOIN (SELECT instrmnt_id AS CHAVE_SIMUL, ead AS CAMPO_SIMUL FROM BU_LOANTAPE_WORK.LT002_INSTRUMENT WHERE ref_date='${ref_date}' AND nome_perimetro='Individual Local' AND segmento='ESTR' AND ambito='PM' AND entidade='00100')Y ON X.CHAVE_IT=Y.CHAVE_SIMUL</v>
      </c>
      <c r="O119" s="35" t="s">
        <v>35</v>
      </c>
    </row>
    <row r="120" spans="1:15">
      <c r="A120" s="57" t="str">
        <f t="shared" si="4"/>
        <v>Instrumentifrs9_ccf</v>
      </c>
      <c r="B120" s="32" t="s">
        <v>9</v>
      </c>
      <c r="C120" s="32" t="s">
        <v>300</v>
      </c>
      <c r="D120" s="32" t="s">
        <v>5</v>
      </c>
      <c r="E120" s="32" t="str">
        <f>+UPPER('0. Instruções'!$D$35&amp;"."&amp;VLOOKUP(B120,'0. Instruções'!$C$27:$D$32,2,FALSE))</f>
        <v>CD_LOAN_TAPES_BCE.LT002_INSTRUMENT</v>
      </c>
      <c r="F120" s="32" t="str">
        <f>+UPPER('0. Instruções'!$D$36&amp;"."&amp;VLOOKUP(B120,'0. Instruções'!$C$27:$E$32,3,FALSE))</f>
        <v>BU_LOANTAPE_WORK.LT002_INSTRUMENT</v>
      </c>
      <c r="H120" s="32"/>
      <c r="I120" s="32"/>
      <c r="J120" s="32" t="str">
        <f>IF(VLOOKUP(B120,'0. Instruções'!$C$27:$G$32,5,FALSE)=0,
"(SELECT "&amp;VLOOKUP(B120,'0. Instruções'!$C$27:$G$32,4,FALSE)&amp;" AS CHAVE_IT, "&amp;C120&amp;" AS CAMPO_IT FROM "&amp;E120&amp;" WHERE "&amp;'0. Instruções'!$D$43&amp;")X",
"(SELECT "&amp;VLOOKUP(B120,'0. Instruções'!$C$27:$G$32,4,FALSE)&amp;" AS CHAVE_IT1, "&amp;VLOOKUP(B120,'0. Instruções'!$C$27:$G$32,5,FALSE)&amp;" AS CHAVE_IT2, "&amp;C120&amp;" AS CAMPO_IT FROM "&amp;E120&amp;" WHERE "&amp;'0. Instruções'!$D$43&amp;")X")</f>
        <v>(SELECT instrmnt_id AS CHAVE_IT, ifrs9_ccf AS CAMPO_IT FROM CD_LOAN_TAPES_BCE.LT002_INSTRUMENT WHERE ref_date='${ref_date}' AND nome_perimetro='Individual Local' AND segmento='ESTR' AND ambito='PM' AND entidade='00100')X</v>
      </c>
      <c r="K120" s="32" t="str">
        <f>IF(VLOOKUP(B120,'0. Instruções'!$C$27:$G$32,5,FALSE)=0,
"(SELECT "&amp;VLOOKUP(B120,'0. Instruções'!$C$27:$G$32,4,FALSE)&amp;" AS CHAVE_SIMUL, "&amp;C120&amp;" AS CAMPO_SIMUL FROM "&amp;F120&amp;" WHERE "&amp;'0. Instruções'!$D$42&amp;")Y",
"(SELECT "&amp;VLOOKUP(B120,'0. Instruções'!$C$27:$G$32,4,FALSE)&amp;" AS CHAVE_SIMUL1, "&amp;VLOOKUP(B120,'0. Instruções'!$C$27:$G$32,5,FALSE)&amp;" AS CHAVE_SIMUL2, "&amp;C120&amp;" AS CAMPO_SIMUL FROM "&amp;F120&amp;" WHERE "&amp;'0. Instruções'!$D$42&amp;")Y")</f>
        <v>(SELECT instrmnt_id AS CHAVE_SIMUL, ifrs9_ccf AS CAMPO_SIMUL FROM BU_LOANTAPE_WORK.LT002_INSTRUMENT WHERE ref_date='${ref_date}' AND nome_perimetro='Individual Local' AND segmento='ESTR' AND ambito='PM' AND entidade='00100')Y</v>
      </c>
      <c r="L120" s="32" t="str">
        <f>IF(VLOOKUP(B120,'0. Instruções'!$C$27:$G$32,5,FALSE)=0,
"ON X.CHAVE_IT=Y.CHAVE_SIMUL",
"ON X.CHAVE_IT1=Y.CHAVE_SIMUL1 AND X.CHAVE_IT2=Y.CHAVE_SIMUL2")</f>
        <v>ON X.CHAVE_IT=Y.CHAVE_SIMUL</v>
      </c>
      <c r="M120" s="32" t="str">
        <f>+IF(D120="Coerência",+IF(LEFT(H120,5)="FLOAT","SELECT '"&amp;UPPER(B120)&amp;"' AS TABELA, '"&amp;UPPER(D120)&amp;"' AS TIPOLOGIA_TESTE,'"&amp;E120&amp;"' AS TABELA_LT,'"&amp;F120&amp;"' AS TABELA_SIMUL,'"&amp;C120&amp;"'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"&amp;J120&amp;" INNER JOIN "&amp;K120&amp;" "&amp;L120,"SELECT '"&amp;UPPER(B120)&amp;"' AS TABELA, '"&amp;UPPER(D120)&amp;"' AS TIPOLOGIA_TESTE,'"&amp;E120&amp;"' AS TABELA_LT,'"&amp;F120&amp;"' AS TABELA_SIMUL,'"&amp;C120&amp;"'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"&amp;J120&amp;" INNER JOIN "&amp;K120&amp;" "&amp;L120))</f>
        <v>SELECT 'INSTRUMENT' AS TABELA, 'COERÊNCIA' AS TIPOLOGIA_TESTE,'CD_LOAN_TAPES_BCE.LT002_INSTRUMENT' AS TABELA_LT,'BU_LOANTAPE_WORK.LT002_INSTRUMENT' AS TABELA_SIMUL,'ifrs9_ccf'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ifrs9_ccf AS CAMPO_IT FROM CD_LOAN_TAPES_BCE.LT002_INSTRUMENT WHERE ref_date='${ref_date}' AND nome_perimetro='Individual Local' AND segmento='ESTR' AND ambito='PM' AND entidade='00100')X INNER JOIN (SELECT instrmnt_id AS CHAVE_SIMUL, ifrs9_ccf AS CAMPO_SIMUL FROM BU_LOANTAPE_WORK.LT002_INSTRUMENT WHERE ref_date='${ref_date}' AND nome_perimetro='Individual Local' AND segmento='ESTR' AND ambito='PM' AND entidade='00100')Y ON X.CHAVE_IT=Y.CHAVE_SIMUL</v>
      </c>
      <c r="N120" s="33" t="str">
        <f t="shared" si="5"/>
        <v>UNION ALL SELECT 'INSTRUMENT' AS TABELA, 'COERÊNCIA' AS TIPOLOGIA_TESTE,'CD_LOAN_TAPES_BCE.LT002_INSTRUMENT' AS TABELA_LT,'BU_LOANTAPE_WORK.LT002_INSTRUMENT' AS TABELA_SIMUL,'ifrs9_ccf'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ifrs9_ccf AS CAMPO_IT FROM CD_LOAN_TAPES_BCE.LT002_INSTRUMENT WHERE ref_date='${ref_date}' AND nome_perimetro='Individual Local' AND segmento='ESTR' AND ambito='PM' AND entidade='00100')X INNER JOIN (SELECT instrmnt_id AS CHAVE_SIMUL, ifrs9_ccf AS CAMPO_SIMUL FROM BU_LOANTAPE_WORK.LT002_INSTRUMENT WHERE ref_date='${ref_date}' AND nome_perimetro='Individual Local' AND segmento='ESTR' AND ambito='PM' AND entidade='00100')Y ON X.CHAVE_IT=Y.CHAVE_SIMUL</v>
      </c>
      <c r="O120" s="35" t="s">
        <v>35</v>
      </c>
    </row>
    <row r="121" spans="1:15">
      <c r="A121" s="57" t="str">
        <f t="shared" si="4"/>
        <v>Instrumentifrs9_ead</v>
      </c>
      <c r="B121" s="32" t="s">
        <v>9</v>
      </c>
      <c r="C121" s="32" t="s">
        <v>301</v>
      </c>
      <c r="D121" s="32" t="s">
        <v>5</v>
      </c>
      <c r="E121" s="32" t="str">
        <f>+UPPER('0. Instruções'!$D$35&amp;"."&amp;VLOOKUP(B121,'0. Instruções'!$C$27:$D$32,2,FALSE))</f>
        <v>CD_LOAN_TAPES_BCE.LT002_INSTRUMENT</v>
      </c>
      <c r="F121" s="32" t="str">
        <f>+UPPER('0. Instruções'!$D$36&amp;"."&amp;VLOOKUP(B121,'0. Instruções'!$C$27:$E$32,3,FALSE))</f>
        <v>BU_LOANTAPE_WORK.LT002_INSTRUMENT</v>
      </c>
      <c r="H121" s="32"/>
      <c r="I121" s="32"/>
      <c r="J121" s="32" t="str">
        <f>IF(VLOOKUP(B121,'0. Instruções'!$C$27:$G$32,5,FALSE)=0,
"(SELECT "&amp;VLOOKUP(B121,'0. Instruções'!$C$27:$G$32,4,FALSE)&amp;" AS CHAVE_IT, "&amp;C121&amp;" AS CAMPO_IT FROM "&amp;E121&amp;" WHERE "&amp;'0. Instruções'!$D$43&amp;")X",
"(SELECT "&amp;VLOOKUP(B121,'0. Instruções'!$C$27:$G$32,4,FALSE)&amp;" AS CHAVE_IT1, "&amp;VLOOKUP(B121,'0. Instruções'!$C$27:$G$32,5,FALSE)&amp;" AS CHAVE_IT2, "&amp;C121&amp;" AS CAMPO_IT FROM "&amp;E121&amp;" WHERE "&amp;'0. Instruções'!$D$43&amp;")X")</f>
        <v>(SELECT instrmnt_id AS CHAVE_IT, ifrs9_ead AS CAMPO_IT FROM CD_LOAN_TAPES_BCE.LT002_INSTRUMENT WHERE ref_date='${ref_date}' AND nome_perimetro='Individual Local' AND segmento='ESTR' AND ambito='PM' AND entidade='00100')X</v>
      </c>
      <c r="K121" s="32" t="str">
        <f>IF(VLOOKUP(B121,'0. Instruções'!$C$27:$G$32,5,FALSE)=0,
"(SELECT "&amp;VLOOKUP(B121,'0. Instruções'!$C$27:$G$32,4,FALSE)&amp;" AS CHAVE_SIMUL, "&amp;C121&amp;" AS CAMPO_SIMUL FROM "&amp;F121&amp;" WHERE "&amp;'0. Instruções'!$D$42&amp;")Y",
"(SELECT "&amp;VLOOKUP(B121,'0. Instruções'!$C$27:$G$32,4,FALSE)&amp;" AS CHAVE_SIMUL1, "&amp;VLOOKUP(B121,'0. Instruções'!$C$27:$G$32,5,FALSE)&amp;" AS CHAVE_SIMUL2, "&amp;C121&amp;" AS CAMPO_SIMUL FROM "&amp;F121&amp;" WHERE "&amp;'0. Instruções'!$D$42&amp;")Y")</f>
        <v>(SELECT instrmnt_id AS CHAVE_SIMUL, ifrs9_ead AS CAMPO_SIMUL FROM BU_LOANTAPE_WORK.LT002_INSTRUMENT WHERE ref_date='${ref_date}' AND nome_perimetro='Individual Local' AND segmento='ESTR' AND ambito='PM' AND entidade='00100')Y</v>
      </c>
      <c r="L121" s="32" t="str">
        <f>IF(VLOOKUP(B121,'0. Instruções'!$C$27:$G$32,5,FALSE)=0,
"ON X.CHAVE_IT=Y.CHAVE_SIMUL",
"ON X.CHAVE_IT1=Y.CHAVE_SIMUL1 AND X.CHAVE_IT2=Y.CHAVE_SIMUL2")</f>
        <v>ON X.CHAVE_IT=Y.CHAVE_SIMUL</v>
      </c>
      <c r="M121" s="32" t="str">
        <f>+IF(D121="Coerência",+IF(LEFT(H121,5)="FLOAT","SELECT '"&amp;UPPER(B121)&amp;"' AS TABELA, '"&amp;UPPER(D121)&amp;"' AS TIPOLOGIA_TESTE,'"&amp;E121&amp;"' AS TABELA_LT,'"&amp;F121&amp;"' AS TABELA_SIMUL,'"&amp;C121&amp;"'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"&amp;J121&amp;" INNER JOIN "&amp;K121&amp;" "&amp;L121,"SELECT '"&amp;UPPER(B121)&amp;"' AS TABELA, '"&amp;UPPER(D121)&amp;"' AS TIPOLOGIA_TESTE,'"&amp;E121&amp;"' AS TABELA_LT,'"&amp;F121&amp;"' AS TABELA_SIMUL,'"&amp;C121&amp;"'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"&amp;J121&amp;" INNER JOIN "&amp;K121&amp;" "&amp;L121))</f>
        <v>SELECT 'INSTRUMENT' AS TABELA, 'COERÊNCIA' AS TIPOLOGIA_TESTE,'CD_LOAN_TAPES_BCE.LT002_INSTRUMENT' AS TABELA_LT,'BU_LOANTAPE_WORK.LT002_INSTRUMENT' AS TABELA_SIMUL,'ifrs9_ead'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ifrs9_ead AS CAMPO_IT FROM CD_LOAN_TAPES_BCE.LT002_INSTRUMENT WHERE ref_date='${ref_date}' AND nome_perimetro='Individual Local' AND segmento='ESTR' AND ambito='PM' AND entidade='00100')X INNER JOIN (SELECT instrmnt_id AS CHAVE_SIMUL, ifrs9_ead AS CAMPO_SIMUL FROM BU_LOANTAPE_WORK.LT002_INSTRUMENT WHERE ref_date='${ref_date}' AND nome_perimetro='Individual Local' AND segmento='ESTR' AND ambito='PM' AND entidade='00100')Y ON X.CHAVE_IT=Y.CHAVE_SIMUL</v>
      </c>
      <c r="N121" s="33" t="str">
        <f t="shared" si="5"/>
        <v>UNION ALL SELECT 'INSTRUMENT' AS TABELA, 'COERÊNCIA' AS TIPOLOGIA_TESTE,'CD_LOAN_TAPES_BCE.LT002_INSTRUMENT' AS TABELA_LT,'BU_LOANTAPE_WORK.LT002_INSTRUMENT' AS TABELA_SIMUL,'ifrs9_ead'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ifrs9_ead AS CAMPO_IT FROM CD_LOAN_TAPES_BCE.LT002_INSTRUMENT WHERE ref_date='${ref_date}' AND nome_perimetro='Individual Local' AND segmento='ESTR' AND ambito='PM' AND entidade='00100')X INNER JOIN (SELECT instrmnt_id AS CHAVE_SIMUL, ifrs9_ead AS CAMPO_SIMUL FROM BU_LOANTAPE_WORK.LT002_INSTRUMENT WHERE ref_date='${ref_date}' AND nome_perimetro='Individual Local' AND segmento='ESTR' AND ambito='PM' AND entidade='00100')Y ON X.CHAVE_IT=Y.CHAVE_SIMUL</v>
      </c>
      <c r="O121" s="35" t="s">
        <v>35</v>
      </c>
    </row>
    <row r="122" spans="1:15">
      <c r="A122" s="57" t="str">
        <f t="shared" si="4"/>
        <v>Instrumentinstlmnt_pay</v>
      </c>
      <c r="B122" s="32" t="s">
        <v>9</v>
      </c>
      <c r="C122" s="32" t="s">
        <v>302</v>
      </c>
      <c r="D122" s="32" t="s">
        <v>5</v>
      </c>
      <c r="E122" s="32" t="str">
        <f>+UPPER('0. Instruções'!$D$35&amp;"."&amp;VLOOKUP(B122,'0. Instruções'!$C$27:$D$32,2,FALSE))</f>
        <v>CD_LOAN_TAPES_BCE.LT002_INSTRUMENT</v>
      </c>
      <c r="F122" s="32" t="str">
        <f>+UPPER('0. Instruções'!$D$36&amp;"."&amp;VLOOKUP(B122,'0. Instruções'!$C$27:$E$32,3,FALSE))</f>
        <v>BU_LOANTAPE_WORK.LT002_INSTRUMENT</v>
      </c>
      <c r="H122" s="32"/>
      <c r="I122" s="32"/>
      <c r="J122" s="32" t="str">
        <f>IF(VLOOKUP(B122,'0. Instruções'!$C$27:$G$32,5,FALSE)=0,
"(SELECT "&amp;VLOOKUP(B122,'0. Instruções'!$C$27:$G$32,4,FALSE)&amp;" AS CHAVE_IT, "&amp;C122&amp;" AS CAMPO_IT FROM "&amp;E122&amp;" WHERE "&amp;'0. Instruções'!$D$43&amp;")X",
"(SELECT "&amp;VLOOKUP(B122,'0. Instruções'!$C$27:$G$32,4,FALSE)&amp;" AS CHAVE_IT1, "&amp;VLOOKUP(B122,'0. Instruções'!$C$27:$G$32,5,FALSE)&amp;" AS CHAVE_IT2, "&amp;C122&amp;" AS CAMPO_IT FROM "&amp;E122&amp;" WHERE "&amp;'0. Instruções'!$D$43&amp;")X")</f>
        <v>(SELECT instrmnt_id AS CHAVE_IT, instlmnt_pay AS CAMPO_IT FROM CD_LOAN_TAPES_BCE.LT002_INSTRUMENT WHERE ref_date='${ref_date}' AND nome_perimetro='Individual Local' AND segmento='ESTR' AND ambito='PM' AND entidade='00100')X</v>
      </c>
      <c r="K122" s="32" t="str">
        <f>IF(VLOOKUP(B122,'0. Instruções'!$C$27:$G$32,5,FALSE)=0,
"(SELECT "&amp;VLOOKUP(B122,'0. Instruções'!$C$27:$G$32,4,FALSE)&amp;" AS CHAVE_SIMUL, "&amp;C122&amp;" AS CAMPO_SIMUL FROM "&amp;F122&amp;" WHERE "&amp;'0. Instruções'!$D$42&amp;")Y",
"(SELECT "&amp;VLOOKUP(B122,'0. Instruções'!$C$27:$G$32,4,FALSE)&amp;" AS CHAVE_SIMUL1, "&amp;VLOOKUP(B122,'0. Instruções'!$C$27:$G$32,5,FALSE)&amp;" AS CHAVE_SIMUL2, "&amp;C122&amp;" AS CAMPO_SIMUL FROM "&amp;F122&amp;" WHERE "&amp;'0. Instruções'!$D$42&amp;")Y")</f>
        <v>(SELECT instrmnt_id AS CHAVE_SIMUL, instlmnt_pay AS CAMPO_SIMUL FROM BU_LOANTAPE_WORK.LT002_INSTRUMENT WHERE ref_date='${ref_date}' AND nome_perimetro='Individual Local' AND segmento='ESTR' AND ambito='PM' AND entidade='00100')Y</v>
      </c>
      <c r="L122" s="32" t="str">
        <f>IF(VLOOKUP(B122,'0. Instruções'!$C$27:$G$32,5,FALSE)=0,
"ON X.CHAVE_IT=Y.CHAVE_SIMUL",
"ON X.CHAVE_IT1=Y.CHAVE_SIMUL1 AND X.CHAVE_IT2=Y.CHAVE_SIMUL2")</f>
        <v>ON X.CHAVE_IT=Y.CHAVE_SIMUL</v>
      </c>
      <c r="M122" s="32" t="str">
        <f>+IF(D122="Coerência",+IF(LEFT(H122,5)="FLOAT","SELECT '"&amp;UPPER(B122)&amp;"' AS TABELA, '"&amp;UPPER(D122)&amp;"' AS TIPOLOGIA_TESTE,'"&amp;E122&amp;"' AS TABELA_LT,'"&amp;F122&amp;"' AS TABELA_SIMUL,'"&amp;C122&amp;"'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"&amp;J122&amp;" INNER JOIN "&amp;K122&amp;" "&amp;L122,"SELECT '"&amp;UPPER(B122)&amp;"' AS TABELA, '"&amp;UPPER(D122)&amp;"' AS TIPOLOGIA_TESTE,'"&amp;E122&amp;"' AS TABELA_LT,'"&amp;F122&amp;"' AS TABELA_SIMUL,'"&amp;C122&amp;"'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"&amp;J122&amp;" INNER JOIN "&amp;K122&amp;" "&amp;L122))</f>
        <v>SELECT 'INSTRUMENT' AS TABELA, 'COERÊNCIA' AS TIPOLOGIA_TESTE,'CD_LOAN_TAPES_BCE.LT002_INSTRUMENT' AS TABELA_LT,'BU_LOANTAPE_WORK.LT002_INSTRUMENT' AS TABELA_SIMUL,'instlmnt_pay'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instlmnt_pay AS CAMPO_IT FROM CD_LOAN_TAPES_BCE.LT002_INSTRUMENT WHERE ref_date='${ref_date}' AND nome_perimetro='Individual Local' AND segmento='ESTR' AND ambito='PM' AND entidade='00100')X INNER JOIN (SELECT instrmnt_id AS CHAVE_SIMUL, instlmnt_pay AS CAMPO_SIMUL FROM BU_LOANTAPE_WORK.LT002_INSTRUMENT WHERE ref_date='${ref_date}' AND nome_perimetro='Individual Local' AND segmento='ESTR' AND ambito='PM' AND entidade='00100')Y ON X.CHAVE_IT=Y.CHAVE_SIMUL</v>
      </c>
      <c r="N122" s="33" t="str">
        <f t="shared" si="5"/>
        <v>UNION ALL SELECT 'INSTRUMENT' AS TABELA, 'COERÊNCIA' AS TIPOLOGIA_TESTE,'CD_LOAN_TAPES_BCE.LT002_INSTRUMENT' AS TABELA_LT,'BU_LOANTAPE_WORK.LT002_INSTRUMENT' AS TABELA_SIMUL,'instlmnt_pay'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instlmnt_pay AS CAMPO_IT FROM CD_LOAN_TAPES_BCE.LT002_INSTRUMENT WHERE ref_date='${ref_date}' AND nome_perimetro='Individual Local' AND segmento='ESTR' AND ambito='PM' AND entidade='00100')X INNER JOIN (SELECT instrmnt_id AS CHAVE_SIMUL, instlmnt_pay AS CAMPO_SIMUL FROM BU_LOANTAPE_WORK.LT002_INSTRUMENT WHERE ref_date='${ref_date}' AND nome_perimetro='Individual Local' AND segmento='ESTR' AND ambito='PM' AND entidade='00100')Y ON X.CHAVE_IT=Y.CHAVE_SIMUL</v>
      </c>
      <c r="O122" s="35" t="s">
        <v>35</v>
      </c>
    </row>
    <row r="123" spans="1:15">
      <c r="A123" s="57" t="str">
        <f t="shared" si="4"/>
        <v>Instrumentoff_blnc_sht_amnt_instrmnt</v>
      </c>
      <c r="B123" s="32" t="s">
        <v>9</v>
      </c>
      <c r="C123" s="32" t="s">
        <v>303</v>
      </c>
      <c r="D123" s="32" t="s">
        <v>5</v>
      </c>
      <c r="E123" s="32" t="str">
        <f>+UPPER('0. Instruções'!$D$35&amp;"."&amp;VLOOKUP(B123,'0. Instruções'!$C$27:$D$32,2,FALSE))</f>
        <v>CD_LOAN_TAPES_BCE.LT002_INSTRUMENT</v>
      </c>
      <c r="F123" s="32" t="str">
        <f>+UPPER('0. Instruções'!$D$36&amp;"."&amp;VLOOKUP(B123,'0. Instruções'!$C$27:$E$32,3,FALSE))</f>
        <v>BU_LOANTAPE_WORK.LT002_INSTRUMENT</v>
      </c>
      <c r="H123" s="32"/>
      <c r="I123" s="32"/>
      <c r="J123" s="32" t="str">
        <f>IF(VLOOKUP(B123,'0. Instruções'!$C$27:$G$32,5,FALSE)=0,
"(SELECT "&amp;VLOOKUP(B123,'0. Instruções'!$C$27:$G$32,4,FALSE)&amp;" AS CHAVE_IT, "&amp;C123&amp;" AS CAMPO_IT FROM "&amp;E123&amp;" WHERE "&amp;'0. Instruções'!$D$43&amp;")X",
"(SELECT "&amp;VLOOKUP(B123,'0. Instruções'!$C$27:$G$32,4,FALSE)&amp;" AS CHAVE_IT1, "&amp;VLOOKUP(B123,'0. Instruções'!$C$27:$G$32,5,FALSE)&amp;" AS CHAVE_IT2, "&amp;C123&amp;" AS CAMPO_IT FROM "&amp;E123&amp;" WHERE "&amp;'0. Instruções'!$D$43&amp;")X")</f>
        <v>(SELECT instrmnt_id AS CHAVE_IT, off_blnc_sht_amnt_instrmnt AS CAMPO_IT FROM CD_LOAN_TAPES_BCE.LT002_INSTRUMENT WHERE ref_date='${ref_date}' AND nome_perimetro='Individual Local' AND segmento='ESTR' AND ambito='PM' AND entidade='00100')X</v>
      </c>
      <c r="K123" s="32" t="str">
        <f>IF(VLOOKUP(B123,'0. Instruções'!$C$27:$G$32,5,FALSE)=0,
"(SELECT "&amp;VLOOKUP(B123,'0. Instruções'!$C$27:$G$32,4,FALSE)&amp;" AS CHAVE_SIMUL, "&amp;C123&amp;" AS CAMPO_SIMUL FROM "&amp;F123&amp;" WHERE "&amp;'0. Instruções'!$D$42&amp;")Y",
"(SELECT "&amp;VLOOKUP(B123,'0. Instruções'!$C$27:$G$32,4,FALSE)&amp;" AS CHAVE_SIMUL1, "&amp;VLOOKUP(B123,'0. Instruções'!$C$27:$G$32,5,FALSE)&amp;" AS CHAVE_SIMUL2, "&amp;C123&amp;" AS CAMPO_SIMUL FROM "&amp;F123&amp;" WHERE "&amp;'0. Instruções'!$D$42&amp;")Y")</f>
        <v>(SELECT instrmnt_id AS CHAVE_SIMUL, off_blnc_sht_amnt_instrmnt AS CAMPO_SIMUL FROM BU_LOANTAPE_WORK.LT002_INSTRUMENT WHERE ref_date='${ref_date}' AND nome_perimetro='Individual Local' AND segmento='ESTR' AND ambito='PM' AND entidade='00100')Y</v>
      </c>
      <c r="L123" s="32" t="str">
        <f>IF(VLOOKUP(B123,'0. Instruções'!$C$27:$G$32,5,FALSE)=0,
"ON X.CHAVE_IT=Y.CHAVE_SIMUL",
"ON X.CHAVE_IT1=Y.CHAVE_SIMUL1 AND X.CHAVE_IT2=Y.CHAVE_SIMUL2")</f>
        <v>ON X.CHAVE_IT=Y.CHAVE_SIMUL</v>
      </c>
      <c r="M123" s="32" t="str">
        <f>+IF(D123="Coerência",+IF(LEFT(H123,5)="FLOAT","SELECT '"&amp;UPPER(B123)&amp;"' AS TABELA, '"&amp;UPPER(D123)&amp;"' AS TIPOLOGIA_TESTE,'"&amp;E123&amp;"' AS TABELA_LT,'"&amp;F123&amp;"' AS TABELA_SIMUL,'"&amp;C123&amp;"'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"&amp;J123&amp;" INNER JOIN "&amp;K123&amp;" "&amp;L123,"SELECT '"&amp;UPPER(B123)&amp;"' AS TABELA, '"&amp;UPPER(D123)&amp;"' AS TIPOLOGIA_TESTE,'"&amp;E123&amp;"' AS TABELA_LT,'"&amp;F123&amp;"' AS TABELA_SIMUL,'"&amp;C123&amp;"'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"&amp;J123&amp;" INNER JOIN "&amp;K123&amp;" "&amp;L123))</f>
        <v>SELECT 'INSTRUMENT' AS TABELA, 'COERÊNCIA' AS TIPOLOGIA_TESTE,'CD_LOAN_TAPES_BCE.LT002_INSTRUMENT' AS TABELA_LT,'BU_LOANTAPE_WORK.LT002_INSTRUMENT' AS TABELA_SIMUL,'off_blnc_sht_amnt_instrmnt'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 AS CAMPO_IT FROM CD_LOAN_TAPES_BCE.LT002_INSTRUMENT WHERE ref_date='${ref_date}' AND nome_perimetro='Individual Local' AND segmento='ESTR' AND ambito='PM' AND entidade='00100')X INNER JOIN (SELECT instrmnt_id AS CHAVE_SIMUL, off_blnc_sht_amnt_instrmnt AS CAMPO_SIMUL FROM BU_LOANTAPE_WORK.LT002_INSTRUMENT WHERE ref_date='${ref_date}' AND nome_perimetro='Individual Local' AND segmento='ESTR' AND ambito='PM' AND entidade='00100')Y ON X.CHAVE_IT=Y.CHAVE_SIMUL</v>
      </c>
      <c r="N123" s="33" t="str">
        <f t="shared" si="5"/>
        <v>UNION ALL SELECT 'INSTRUMENT' AS TABELA, 'COERÊNCIA' AS TIPOLOGIA_TESTE,'CD_LOAN_TAPES_BCE.LT002_INSTRUMENT' AS TABELA_LT,'BU_LOANTAPE_WORK.LT002_INSTRUMENT' AS TABELA_SIMUL,'off_blnc_sht_amnt_instrmnt'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 AS CAMPO_IT FROM CD_LOAN_TAPES_BCE.LT002_INSTRUMENT WHERE ref_date='${ref_date}' AND nome_perimetro='Individual Local' AND segmento='ESTR' AND ambito='PM' AND entidade='00100')X INNER JOIN (SELECT instrmnt_id AS CHAVE_SIMUL, off_blnc_sht_amnt_instrmnt AS CAMPO_SIMUL FROM BU_LOANTAPE_WORK.LT002_INSTRUMENT WHERE ref_date='${ref_date}' AND nome_perimetro='Individual Local' AND segmento='ESTR' AND ambito='PM' AND entidade='00100')Y ON X.CHAVE_IT=Y.CHAVE_SIMUL</v>
      </c>
      <c r="O123" s="35" t="s">
        <v>35</v>
      </c>
    </row>
    <row r="124" spans="1:15">
      <c r="A124" s="57" t="str">
        <f t="shared" si="4"/>
        <v>Instrumentoff_blnc_sht_amnt_instrmnt_prvs</v>
      </c>
      <c r="B124" s="32" t="s">
        <v>9</v>
      </c>
      <c r="C124" s="32" t="s">
        <v>83</v>
      </c>
      <c r="D124" s="32" t="s">
        <v>5</v>
      </c>
      <c r="E124" s="32" t="str">
        <f>+UPPER('0. Instruções'!$D$35&amp;"."&amp;VLOOKUP(B124,'0. Instruções'!$C$27:$D$32,2,FALSE))</f>
        <v>CD_LOAN_TAPES_BCE.LT002_INSTRUMENT</v>
      </c>
      <c r="F124" s="32" t="str">
        <f>+UPPER('0. Instruções'!$D$36&amp;"."&amp;VLOOKUP(B124,'0. Instruções'!$C$27:$E$32,3,FALSE))</f>
        <v>BU_LOANTAPE_WORK.LT002_INSTRUMENT</v>
      </c>
      <c r="H124" s="32"/>
      <c r="I124" s="32"/>
      <c r="J124" s="32" t="str">
        <f>IF(VLOOKUP(B124,'0. Instruções'!$C$27:$G$32,5,FALSE)=0,
"(SELECT "&amp;VLOOKUP(B124,'0. Instruções'!$C$27:$G$32,4,FALSE)&amp;" AS CHAVE_IT, "&amp;C124&amp;" AS CAMPO_IT FROM "&amp;E124&amp;" WHERE "&amp;'0. Instruções'!$D$43&amp;")X",
"(SELECT "&amp;VLOOKUP(B124,'0. Instruções'!$C$27:$G$32,4,FALSE)&amp;" AS CHAVE_IT1, "&amp;VLOOKUP(B124,'0. Instruções'!$C$27:$G$32,5,FALSE)&amp;" AS CHAVE_IT2, "&amp;C124&amp;" AS CAMPO_IT FROM "&amp;E124&amp;" WHERE "&amp;'0. Instruções'!$D$43&amp;")X")</f>
        <v>(SELECT instrmnt_id AS CHAVE_IT, off_blnc_sht_amnt_instrmnt_prvs AS CAMPO_IT FROM CD_LOAN_TAPES_BCE.LT002_INSTRUMENT WHERE ref_date='${ref_date}' AND nome_perimetro='Individual Local' AND segmento='ESTR' AND ambito='PM' AND entidade='00100')X</v>
      </c>
      <c r="K124" s="32" t="str">
        <f>IF(VLOOKUP(B124,'0. Instruções'!$C$27:$G$32,5,FALSE)=0,
"(SELECT "&amp;VLOOKUP(B124,'0. Instruções'!$C$27:$G$32,4,FALSE)&amp;" AS CHAVE_SIMUL, "&amp;C124&amp;" AS CAMPO_SIMUL FROM "&amp;F124&amp;" WHERE "&amp;'0. Instruções'!$D$42&amp;")Y",
"(SELECT "&amp;VLOOKUP(B124,'0. Instruções'!$C$27:$G$32,4,FALSE)&amp;" AS CHAVE_SIMUL1, "&amp;VLOOKUP(B124,'0. Instruções'!$C$27:$G$32,5,FALSE)&amp;" AS CHAVE_SIMUL2, "&amp;C124&amp;" AS CAMPO_SIMUL FROM "&amp;F124&amp;" WHERE "&amp;'0. Instruções'!$D$42&amp;")Y")</f>
        <v>(SELECT instrmnt_id AS CHAVE_SIMUL, off_blnc_sht_amnt_instrmnt_prvs AS CAMPO_SIMUL FROM BU_LOANTAPE_WORK.LT002_INSTRUMENT WHERE ref_date='${ref_date}' AND nome_perimetro='Individual Local' AND segmento='ESTR' AND ambito='PM' AND entidade='00100')Y</v>
      </c>
      <c r="L124" s="32" t="str">
        <f>IF(VLOOKUP(B124,'0. Instruções'!$C$27:$G$32,5,FALSE)=0,
"ON X.CHAVE_IT=Y.CHAVE_SIMUL",
"ON X.CHAVE_IT1=Y.CHAVE_SIMUL1 AND X.CHAVE_IT2=Y.CHAVE_SIMUL2")</f>
        <v>ON X.CHAVE_IT=Y.CHAVE_SIMUL</v>
      </c>
      <c r="M124" s="32" t="str">
        <f>+IF(D124="Coerência",+IF(LEFT(H124,5)="FLOAT","SELECT '"&amp;UPPER(B124)&amp;"' AS TABELA, '"&amp;UPPER(D124)&amp;"' AS TIPOLOGIA_TESTE,'"&amp;E124&amp;"' AS TABELA_LT,'"&amp;F124&amp;"' AS TABELA_SIMUL,'"&amp;C124&amp;"'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"&amp;J124&amp;" INNER JOIN "&amp;K124&amp;" "&amp;L124,"SELECT '"&amp;UPPER(B124)&amp;"' AS TABELA, '"&amp;UPPER(D124)&amp;"' AS TIPOLOGIA_TESTE,'"&amp;E124&amp;"' AS TABELA_LT,'"&amp;F124&amp;"' AS TABELA_SIMUL,'"&amp;C124&amp;"'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"&amp;J124&amp;" INNER JOIN "&amp;K124&amp;" "&amp;L124))</f>
        <v>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off_blnc_sht_amnt_instrmnt_prvs AS CAMPO_IT FROM CD_LOAN_TAPES_BCE.LT002_INSTRUMENT WHERE ref_date='${ref_date}' AND nome_perimetro='Individual Local' AND segmento='ESTR' AND ambito='PM' AND entidade='00100')X INNER JOIN (SELECT instrmnt_id AS CHAVE_SIMUL, off_blnc_sht_amnt_instrmnt_prvs AS CAMPO_SIMUL FROM BU_LOANTAPE_WORK.LT002_INSTRUMENT WHERE ref_date='${ref_date}' AND nome_perimetro='Individual Local' AND segmento='ESTR' AND ambito='PM' AND entidade='00100')Y ON X.CHAVE_IT=Y.CHAVE_SIMUL</v>
      </c>
      <c r="N124" s="33" t="str">
        <f t="shared" si="5"/>
        <v>UNION ALL 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off_blnc_sht_amnt_instrmnt_prvs AS CAMPO_IT FROM CD_LOAN_TAPES_BCE.LT002_INSTRUMENT WHERE ref_date='${ref_date}' AND nome_perimetro='Individual Local' AND segmento='ESTR' AND ambito='PM' AND entidade='00100')X INNER JOIN (SELECT instrmnt_id AS CHAVE_SIMUL, off_blnc_sht_amnt_instrmnt_prvs AS CAMPO_SIMUL FROM BU_LOANTAPE_WORK.LT002_INSTRUMENT WHERE ref_date='${ref_date}' AND nome_perimetro='Individual Local' AND segmento='ESTR' AND ambito='PM' AND entidade='00100')Y ON X.CHAVE_IT=Y.CHAVE_SIMUL</v>
      </c>
      <c r="O124" s="35" t="s">
        <v>35</v>
      </c>
    </row>
    <row r="125" spans="1:15">
      <c r="A125" s="57" t="str">
        <f t="shared" si="4"/>
        <v>Instrumentotstndng_nmnl_amnt_instrmnt</v>
      </c>
      <c r="B125" s="32" t="s">
        <v>9</v>
      </c>
      <c r="C125" s="32" t="s">
        <v>304</v>
      </c>
      <c r="D125" s="32" t="s">
        <v>5</v>
      </c>
      <c r="E125" s="32" t="str">
        <f>+UPPER('0. Instruções'!$D$35&amp;"."&amp;VLOOKUP(B125,'0. Instruções'!$C$27:$D$32,2,FALSE))</f>
        <v>CD_LOAN_TAPES_BCE.LT002_INSTRUMENT</v>
      </c>
      <c r="F125" s="32" t="str">
        <f>+UPPER('0. Instruções'!$D$36&amp;"."&amp;VLOOKUP(B125,'0. Instruções'!$C$27:$E$32,3,FALSE))</f>
        <v>BU_LOANTAPE_WORK.LT002_INSTRUMENT</v>
      </c>
      <c r="H125" s="32"/>
      <c r="I125" s="32"/>
      <c r="J125" s="32" t="str">
        <f>IF(VLOOKUP(B125,'0. Instruções'!$C$27:$G$32,5,FALSE)=0,
"(SELECT "&amp;VLOOKUP(B125,'0. Instruções'!$C$27:$G$32,4,FALSE)&amp;" AS CHAVE_IT, "&amp;C125&amp;" AS CAMPO_IT FROM "&amp;E125&amp;" WHERE "&amp;'0. Instruções'!$D$43&amp;")X",
"(SELECT "&amp;VLOOKUP(B125,'0. Instruções'!$C$27:$G$32,4,FALSE)&amp;" AS CHAVE_IT1, "&amp;VLOOKUP(B125,'0. Instruções'!$C$27:$G$32,5,FALSE)&amp;" AS CHAVE_IT2, "&amp;C125&amp;" AS CAMPO_IT FROM "&amp;E125&amp;" WHERE "&amp;'0. Instruções'!$D$43&amp;")X")</f>
        <v>(SELECT instrmnt_id AS CHAVE_IT, otstndng_nmnl_amnt_instrmnt AS CAMPO_IT FROM CD_LOAN_TAPES_BCE.LT002_INSTRUMENT WHERE ref_date='${ref_date}' AND nome_perimetro='Individual Local' AND segmento='ESTR' AND ambito='PM' AND entidade='00100')X</v>
      </c>
      <c r="K125" s="32" t="str">
        <f>IF(VLOOKUP(B125,'0. Instruções'!$C$27:$G$32,5,FALSE)=0,
"(SELECT "&amp;VLOOKUP(B125,'0. Instruções'!$C$27:$G$32,4,FALSE)&amp;" AS CHAVE_SIMUL, "&amp;C125&amp;" AS CAMPO_SIMUL FROM "&amp;F125&amp;" WHERE "&amp;'0. Instruções'!$D$42&amp;")Y",
"(SELECT "&amp;VLOOKUP(B125,'0. Instruções'!$C$27:$G$32,4,FALSE)&amp;" AS CHAVE_SIMUL1, "&amp;VLOOKUP(B125,'0. Instruções'!$C$27:$G$32,5,FALSE)&amp;" AS CHAVE_SIMUL2, "&amp;C125&amp;" AS CAMPO_SIMUL FROM "&amp;F125&amp;" WHERE "&amp;'0. Instruções'!$D$42&amp;")Y")</f>
        <v>(SELECT instrmnt_id AS CHAVE_SIMUL, otstndng_nmnl_amnt_instrmnt AS CAMPO_SIMUL FROM BU_LOANTAPE_WORK.LT002_INSTRUMENT WHERE ref_date='${ref_date}' AND nome_perimetro='Individual Local' AND segmento='ESTR' AND ambito='PM' AND entidade='00100')Y</v>
      </c>
      <c r="L125" s="32" t="str">
        <f>IF(VLOOKUP(B125,'0. Instruções'!$C$27:$G$32,5,FALSE)=0,
"ON X.CHAVE_IT=Y.CHAVE_SIMUL",
"ON X.CHAVE_IT1=Y.CHAVE_SIMUL1 AND X.CHAVE_IT2=Y.CHAVE_SIMUL2")</f>
        <v>ON X.CHAVE_IT=Y.CHAVE_SIMUL</v>
      </c>
      <c r="M125" s="32" t="str">
        <f>+IF(D125="Coerência",+IF(LEFT(H125,5)="FLOAT","SELECT '"&amp;UPPER(B125)&amp;"' AS TABELA, '"&amp;UPPER(D125)&amp;"' AS TIPOLOGIA_TESTE,'"&amp;E125&amp;"' AS TABELA_LT,'"&amp;F125&amp;"' AS TABELA_SIMUL,'"&amp;C125&amp;"'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"&amp;J125&amp;" INNER JOIN "&amp;K125&amp;" "&amp;L125,"SELECT '"&amp;UPPER(B125)&amp;"' AS TABELA, '"&amp;UPPER(D125)&amp;"' AS TIPOLOGIA_TESTE,'"&amp;E125&amp;"' AS TABELA_LT,'"&amp;F125&amp;"' AS TABELA_SIMUL,'"&amp;C125&amp;"'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"&amp;J125&amp;" INNER JOIN "&amp;K125&amp;" "&amp;L125))</f>
        <v>SELECT 'INSTRUMENT' AS TABELA, 'COERÊNCIA' AS TIPOLOGIA_TESTE,'CD_LOAN_TAPES_BCE.LT002_INSTRUMENT' AS TABELA_LT,'BU_LOANTAPE_WORK.LT002_INSTRUMENT' AS TABELA_SIMUL,'otstndng_nmnl_amnt_instrmnt'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 AS CAMPO_IT FROM CD_LOAN_TAPES_BCE.LT002_INSTRUMENT WHERE ref_date='${ref_date}' AND nome_perimetro='Individual Local' AND segmento='ESTR' AND ambito='PM' AND entidade='00100')X INNER JOIN (SELECT instrmnt_id AS CHAVE_SIMUL, otstndng_nmnl_amnt_instrmnt AS CAMPO_SIMUL FROM BU_LOANTAPE_WORK.LT002_INSTRUMENT WHERE ref_date='${ref_date}' AND nome_perimetro='Individual Local' AND segmento='ESTR' AND ambito='PM' AND entidade='00100')Y ON X.CHAVE_IT=Y.CHAVE_SIMUL</v>
      </c>
      <c r="N125" s="33" t="str">
        <f t="shared" si="5"/>
        <v>UNION ALL SELECT 'INSTRUMENT' AS TABELA, 'COERÊNCIA' AS TIPOLOGIA_TESTE,'CD_LOAN_TAPES_BCE.LT002_INSTRUMENT' AS TABELA_LT,'BU_LOANTAPE_WORK.LT002_INSTRUMENT' AS TABELA_SIMUL,'otstndng_nmnl_amnt_instrmnt'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 AS CAMPO_IT FROM CD_LOAN_TAPES_BCE.LT002_INSTRUMENT WHERE ref_date='${ref_date}' AND nome_perimetro='Individual Local' AND segmento='ESTR' AND ambito='PM' AND entidade='00100')X INNER JOIN (SELECT instrmnt_id AS CHAVE_SIMUL, otstndng_nmnl_amnt_instrmnt AS CAMPO_SIMUL FROM BU_LOANTAPE_WORK.LT002_INSTRUMENT WHERE ref_date='${ref_date}' AND nome_perimetro='Individual Local' AND segmento='ESTR' AND ambito='PM' AND entidade='00100')Y ON X.CHAVE_IT=Y.CHAVE_SIMUL</v>
      </c>
      <c r="O125" s="35" t="s">
        <v>35</v>
      </c>
    </row>
    <row r="126" spans="1:15">
      <c r="A126" s="57" t="str">
        <f t="shared" si="4"/>
        <v>Instrumentotstndng_nmnl_amnt_instrmnt_prvs</v>
      </c>
      <c r="B126" s="32" t="s">
        <v>9</v>
      </c>
      <c r="C126" s="32" t="s">
        <v>305</v>
      </c>
      <c r="D126" s="32" t="s">
        <v>5</v>
      </c>
      <c r="E126" s="32" t="str">
        <f>+UPPER('0. Instruções'!$D$35&amp;"."&amp;VLOOKUP(B126,'0. Instruções'!$C$27:$D$32,2,FALSE))</f>
        <v>CD_LOAN_TAPES_BCE.LT002_INSTRUMENT</v>
      </c>
      <c r="F126" s="32" t="str">
        <f>+UPPER('0. Instruções'!$D$36&amp;"."&amp;VLOOKUP(B126,'0. Instruções'!$C$27:$E$32,3,FALSE))</f>
        <v>BU_LOANTAPE_WORK.LT002_INSTRUMENT</v>
      </c>
      <c r="H126" s="32"/>
      <c r="I126" s="32"/>
      <c r="J126" s="32" t="str">
        <f>IF(VLOOKUP(B126,'0. Instruções'!$C$27:$G$32,5,FALSE)=0,
"(SELECT "&amp;VLOOKUP(B126,'0. Instruções'!$C$27:$G$32,4,FALSE)&amp;" AS CHAVE_IT, "&amp;C126&amp;" AS CAMPO_IT FROM "&amp;E126&amp;" WHERE "&amp;'0. Instruções'!$D$43&amp;")X",
"(SELECT "&amp;VLOOKUP(B126,'0. Instruções'!$C$27:$G$32,4,FALSE)&amp;" AS CHAVE_IT1, "&amp;VLOOKUP(B126,'0. Instruções'!$C$27:$G$32,5,FALSE)&amp;" AS CHAVE_IT2, "&amp;C126&amp;" AS CAMPO_IT FROM "&amp;E126&amp;" WHERE "&amp;'0. Instruções'!$D$43&amp;")X")</f>
        <v>(SELECT instrmnt_id AS CHAVE_IT, otstndng_nmnl_amnt_instrmnt_prvs AS CAMPO_IT FROM CD_LOAN_TAPES_BCE.LT002_INSTRUMENT WHERE ref_date='${ref_date}' AND nome_perimetro='Individual Local' AND segmento='ESTR' AND ambito='PM' AND entidade='00100')X</v>
      </c>
      <c r="K126" s="32" t="str">
        <f>IF(VLOOKUP(B126,'0. Instruções'!$C$27:$G$32,5,FALSE)=0,
"(SELECT "&amp;VLOOKUP(B126,'0. Instruções'!$C$27:$G$32,4,FALSE)&amp;" AS CHAVE_SIMUL, "&amp;C126&amp;" AS CAMPO_SIMUL FROM "&amp;F126&amp;" WHERE "&amp;'0. Instruções'!$D$42&amp;")Y",
"(SELECT "&amp;VLOOKUP(B126,'0. Instruções'!$C$27:$G$32,4,FALSE)&amp;" AS CHAVE_SIMUL1, "&amp;VLOOKUP(B126,'0. Instruções'!$C$27:$G$32,5,FALSE)&amp;" AS CHAVE_SIMUL2, "&amp;C126&amp;" AS CAMPO_SIMUL FROM "&amp;F126&amp;" WHERE "&amp;'0. Instruções'!$D$42&amp;")Y")</f>
        <v>(SELECT instrmnt_id AS CHAVE_SIMUL, otstndng_nmnl_amnt_instrmnt_prvs AS CAMPO_SIMUL FROM BU_LOANTAPE_WORK.LT002_INSTRUMENT WHERE ref_date='${ref_date}' AND nome_perimetro='Individual Local' AND segmento='ESTR' AND ambito='PM' AND entidade='00100')Y</v>
      </c>
      <c r="L126" s="32" t="str">
        <f>IF(VLOOKUP(B126,'0. Instruções'!$C$27:$G$32,5,FALSE)=0,
"ON X.CHAVE_IT=Y.CHAVE_SIMUL",
"ON X.CHAVE_IT1=Y.CHAVE_SIMUL1 AND X.CHAVE_IT2=Y.CHAVE_SIMUL2")</f>
        <v>ON X.CHAVE_IT=Y.CHAVE_SIMUL</v>
      </c>
      <c r="M126" s="32" t="str">
        <f>+IF(D126="Coerência",+IF(LEFT(H126,5)="FLOAT","SELECT '"&amp;UPPER(B126)&amp;"' AS TABELA, '"&amp;UPPER(D126)&amp;"' AS TIPOLOGIA_TESTE,'"&amp;E126&amp;"' AS TABELA_LT,'"&amp;F126&amp;"' AS TABELA_SIMUL,'"&amp;C126&amp;"'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"&amp;J126&amp;" INNER JOIN "&amp;K126&amp;" "&amp;L126,"SELECT '"&amp;UPPER(B126)&amp;"' AS TABELA, '"&amp;UPPER(D126)&amp;"' AS TIPOLOGIA_TESTE,'"&amp;E126&amp;"' AS TABELA_LT,'"&amp;F126&amp;"' AS TABELA_SIMUL,'"&amp;C126&amp;"'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"&amp;J126&amp;" INNER JOIN "&amp;K126&amp;" "&amp;L126))</f>
        <v>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otstndng_nmnl_amnt_instrmnt_prvs AS CAMPO_IT FROM CD_LOAN_TAPES_BCE.LT002_INSTRUMENT WHERE ref_date='${ref_date}' AND nome_perimetro='Individual Local' AND segmento='ESTR' AND ambito='PM' AND entidade='00100')X INNER JOIN (SELECT instrmnt_id AS CHAVE_SIMUL, otstndng_nmnl_amnt_instrmnt_prvs AS CAMPO_SIMUL FROM BU_LOANTAPE_WORK.LT002_INSTRUMENT WHERE ref_date='${ref_date}' AND nome_perimetro='Individual Local' AND segmento='ESTR' AND ambito='PM' AND entidade='00100')Y ON X.CHAVE_IT=Y.CHAVE_SIMUL</v>
      </c>
      <c r="N126" s="33" t="str">
        <f t="shared" si="5"/>
        <v>UNION ALL 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otstndng_nmnl_amnt_instrmnt_prvs AS CAMPO_IT FROM CD_LOAN_TAPES_BCE.LT002_INSTRUMENT WHERE ref_date='${ref_date}' AND nome_perimetro='Individual Local' AND segmento='ESTR' AND ambito='PM' AND entidade='00100')X INNER JOIN (SELECT instrmnt_id AS CHAVE_SIMUL, otstndng_nmnl_amnt_instrmnt_prvs AS CAMPO_SIMUL FROM BU_LOANTAPE_WORK.LT002_INSTRUMENT WHERE ref_date='${ref_date}' AND nome_perimetro='Individual Local' AND segmento='ESTR' AND ambito='PM' AND entidade='00100')Y ON X.CHAVE_IT=Y.CHAVE_SIMUL</v>
      </c>
      <c r="O126" s="35" t="s">
        <v>35</v>
      </c>
    </row>
    <row r="127" spans="1:15">
      <c r="A127" s="57" t="str">
        <f t="shared" si="4"/>
        <v>Instrumentprvsns_off_blnc_sht</v>
      </c>
      <c r="B127" s="32" t="s">
        <v>9</v>
      </c>
      <c r="C127" s="32" t="s">
        <v>306</v>
      </c>
      <c r="D127" s="32" t="s">
        <v>5</v>
      </c>
      <c r="E127" s="32" t="str">
        <f>+UPPER('0. Instruções'!$D$35&amp;"."&amp;VLOOKUP(B127,'0. Instruções'!$C$27:$D$32,2,FALSE))</f>
        <v>CD_LOAN_TAPES_BCE.LT002_INSTRUMENT</v>
      </c>
      <c r="F127" s="32" t="str">
        <f>+UPPER('0. Instruções'!$D$36&amp;"."&amp;VLOOKUP(B127,'0. Instruções'!$C$27:$E$32,3,FALSE))</f>
        <v>BU_LOANTAPE_WORK.LT002_INSTRUMENT</v>
      </c>
      <c r="H127" s="32"/>
      <c r="I127" s="32"/>
      <c r="J127" s="32" t="str">
        <f>IF(VLOOKUP(B127,'0. Instruções'!$C$27:$G$32,5,FALSE)=0,
"(SELECT "&amp;VLOOKUP(B127,'0. Instruções'!$C$27:$G$32,4,FALSE)&amp;" AS CHAVE_IT, "&amp;C127&amp;" AS CAMPO_IT FROM "&amp;E127&amp;" WHERE "&amp;'0. Instruções'!$D$43&amp;")X",
"(SELECT "&amp;VLOOKUP(B127,'0. Instruções'!$C$27:$G$32,4,FALSE)&amp;" AS CHAVE_IT1, "&amp;VLOOKUP(B127,'0. Instruções'!$C$27:$G$32,5,FALSE)&amp;" AS CHAVE_IT2, "&amp;C127&amp;" AS CAMPO_IT FROM "&amp;E127&amp;" WHERE "&amp;'0. Instruções'!$D$43&amp;")X")</f>
        <v>(SELECT instrmnt_id AS CHAVE_IT, prvsns_off_blnc_sht AS CAMPO_IT FROM CD_LOAN_TAPES_BCE.LT002_INSTRUMENT WHERE ref_date='${ref_date}' AND nome_perimetro='Individual Local' AND segmento='ESTR' AND ambito='PM' AND entidade='00100')X</v>
      </c>
      <c r="K127" s="32" t="str">
        <f>IF(VLOOKUP(B127,'0. Instruções'!$C$27:$G$32,5,FALSE)=0,
"(SELECT "&amp;VLOOKUP(B127,'0. Instruções'!$C$27:$G$32,4,FALSE)&amp;" AS CHAVE_SIMUL, "&amp;C127&amp;" AS CAMPO_SIMUL FROM "&amp;F127&amp;" WHERE "&amp;'0. Instruções'!$D$42&amp;")Y",
"(SELECT "&amp;VLOOKUP(B127,'0. Instruções'!$C$27:$G$32,4,FALSE)&amp;" AS CHAVE_SIMUL1, "&amp;VLOOKUP(B127,'0. Instruções'!$C$27:$G$32,5,FALSE)&amp;" AS CHAVE_SIMUL2, "&amp;C127&amp;" AS CAMPO_SIMUL FROM "&amp;F127&amp;" WHERE "&amp;'0. Instruções'!$D$42&amp;")Y")</f>
        <v>(SELECT instrmnt_id AS CHAVE_SIMUL, prvsns_off_blnc_sht AS CAMPO_SIMUL FROM BU_LOANTAPE_WORK.LT002_INSTRUMENT WHERE ref_date='${ref_date}' AND nome_perimetro='Individual Local' AND segmento='ESTR' AND ambito='PM' AND entidade='00100')Y</v>
      </c>
      <c r="L127" s="32" t="str">
        <f>IF(VLOOKUP(B127,'0. Instruções'!$C$27:$G$32,5,FALSE)=0,
"ON X.CHAVE_IT=Y.CHAVE_SIMUL",
"ON X.CHAVE_IT1=Y.CHAVE_SIMUL1 AND X.CHAVE_IT2=Y.CHAVE_SIMUL2")</f>
        <v>ON X.CHAVE_IT=Y.CHAVE_SIMUL</v>
      </c>
      <c r="M127" s="32" t="str">
        <f>+IF(D127="Coerência",+IF(LEFT(H127,5)="FLOAT","SELECT '"&amp;UPPER(B127)&amp;"' AS TABELA, '"&amp;UPPER(D127)&amp;"' AS TIPOLOGIA_TESTE,'"&amp;E127&amp;"' AS TABELA_LT,'"&amp;F127&amp;"' AS TABELA_SIMUL,'"&amp;C127&amp;"'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"&amp;J127&amp;" INNER JOIN "&amp;K127&amp;" "&amp;L127,"SELECT '"&amp;UPPER(B127)&amp;"' AS TABELA, '"&amp;UPPER(D127)&amp;"' AS TIPOLOGIA_TESTE,'"&amp;E127&amp;"' AS TABELA_LT,'"&amp;F127&amp;"' AS TABELA_SIMUL,'"&amp;C127&amp;"'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"&amp;J127&amp;" INNER JOIN "&amp;K127&amp;" "&amp;L127))</f>
        <v>SELECT 'INSTRUMENT' AS TABELA, 'COERÊNCIA' AS TIPOLOGIA_TESTE,'CD_LOAN_TAPES_BCE.LT002_INSTRUMENT' AS TABELA_LT,'BU_LOANTAPE_WORK.LT002_INSTRUMENT' AS TABELA_SIMUL,'prvsns_off_blnc_sht'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prvsns_off_blnc_sht AS CAMPO_IT FROM CD_LOAN_TAPES_BCE.LT002_INSTRUMENT WHERE ref_date='${ref_date}' AND nome_perimetro='Individual Local' AND segmento='ESTR' AND ambito='PM' AND entidade='00100')X INNER JOIN (SELECT instrmnt_id AS CHAVE_SIMUL, prvsns_off_blnc_sht AS CAMPO_SIMUL FROM BU_LOANTAPE_WORK.LT002_INSTRUMENT WHERE ref_date='${ref_date}' AND nome_perimetro='Individual Local' AND segmento='ESTR' AND ambito='PM' AND entidade='00100')Y ON X.CHAVE_IT=Y.CHAVE_SIMUL</v>
      </c>
      <c r="N127" s="33" t="str">
        <f t="shared" si="5"/>
        <v>UNION ALL SELECT 'INSTRUMENT' AS TABELA, 'COERÊNCIA' AS TIPOLOGIA_TESTE,'CD_LOAN_TAPES_BCE.LT002_INSTRUMENT' AS TABELA_LT,'BU_LOANTAPE_WORK.LT002_INSTRUMENT' AS TABELA_SIMUL,'prvsns_off_blnc_sht'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prvsns_off_blnc_sht AS CAMPO_IT FROM CD_LOAN_TAPES_BCE.LT002_INSTRUMENT WHERE ref_date='${ref_date}' AND nome_perimetro='Individual Local' AND segmento='ESTR' AND ambito='PM' AND entidade='00100')X INNER JOIN (SELECT instrmnt_id AS CHAVE_SIMUL, prvsns_off_blnc_sht AS CAMPO_SIMUL FROM BU_LOANTAPE_WORK.LT002_INSTRUMENT WHERE ref_date='${ref_date}' AND nome_perimetro='Individual Local' AND segmento='ESTR' AND ambito='PM' AND entidade='00100')Y ON X.CHAVE_IT=Y.CHAVE_SIMUL</v>
      </c>
      <c r="O127" s="35" t="s">
        <v>35</v>
      </c>
    </row>
    <row r="128" spans="1:15">
      <c r="A128" s="57" t="str">
        <f t="shared" si="4"/>
        <v>Instrumentpymnt_frqncy</v>
      </c>
      <c r="B128" s="32" t="s">
        <v>9</v>
      </c>
      <c r="C128" s="32" t="s">
        <v>307</v>
      </c>
      <c r="D128" s="32" t="s">
        <v>5</v>
      </c>
      <c r="E128" s="32" t="str">
        <f>+UPPER('0. Instruções'!$D$35&amp;"."&amp;VLOOKUP(B128,'0. Instruções'!$C$27:$D$32,2,FALSE))</f>
        <v>CD_LOAN_TAPES_BCE.LT002_INSTRUMENT</v>
      </c>
      <c r="F128" s="32" t="str">
        <f>+UPPER('0. Instruções'!$D$36&amp;"."&amp;VLOOKUP(B128,'0. Instruções'!$C$27:$E$32,3,FALSE))</f>
        <v>BU_LOANTAPE_WORK.LT002_INSTRUMENT</v>
      </c>
      <c r="H128" s="32"/>
      <c r="I128" s="32"/>
      <c r="J128" s="32" t="str">
        <f>IF(VLOOKUP(B128,'0. Instruções'!$C$27:$G$32,5,FALSE)=0,
"(SELECT "&amp;VLOOKUP(B128,'0. Instruções'!$C$27:$G$32,4,FALSE)&amp;" AS CHAVE_IT, "&amp;C128&amp;" AS CAMPO_IT FROM "&amp;E128&amp;" WHERE "&amp;'0. Instruções'!$D$43&amp;")X",
"(SELECT "&amp;VLOOKUP(B128,'0. Instruções'!$C$27:$G$32,4,FALSE)&amp;" AS CHAVE_IT1, "&amp;VLOOKUP(B128,'0. Instruções'!$C$27:$G$32,5,FALSE)&amp;" AS CHAVE_IT2, "&amp;C128&amp;" AS CAMPO_IT FROM "&amp;E128&amp;" WHERE "&amp;'0. Instruções'!$D$43&amp;")X")</f>
        <v>(SELECT instrmnt_id AS CHAVE_IT, pymnt_frqncy AS CAMPO_IT FROM CD_LOAN_TAPES_BCE.LT002_INSTRUMENT WHERE ref_date='${ref_date}' AND nome_perimetro='Individual Local' AND segmento='ESTR' AND ambito='PM' AND entidade='00100')X</v>
      </c>
      <c r="K128" s="32" t="str">
        <f>IF(VLOOKUP(B128,'0. Instruções'!$C$27:$G$32,5,FALSE)=0,
"(SELECT "&amp;VLOOKUP(B128,'0. Instruções'!$C$27:$G$32,4,FALSE)&amp;" AS CHAVE_SIMUL, "&amp;C128&amp;" AS CAMPO_SIMUL FROM "&amp;F128&amp;" WHERE "&amp;'0. Instruções'!$D$42&amp;")Y",
"(SELECT "&amp;VLOOKUP(B128,'0. Instruções'!$C$27:$G$32,4,FALSE)&amp;" AS CHAVE_SIMUL1, "&amp;VLOOKUP(B128,'0. Instruções'!$C$27:$G$32,5,FALSE)&amp;" AS CHAVE_SIMUL2, "&amp;C128&amp;" AS CAMPO_SIMUL FROM "&amp;F128&amp;" WHERE "&amp;'0. Instruções'!$D$42&amp;")Y")</f>
        <v>(SELECT instrmnt_id AS CHAVE_SIMUL, pymnt_frqncy AS CAMPO_SIMUL FROM BU_LOANTAPE_WORK.LT002_INSTRUMENT WHERE ref_date='${ref_date}' AND nome_perimetro='Individual Local' AND segmento='ESTR' AND ambito='PM' AND entidade='00100')Y</v>
      </c>
      <c r="L128" s="32" t="str">
        <f>IF(VLOOKUP(B128,'0. Instruções'!$C$27:$G$32,5,FALSE)=0,
"ON X.CHAVE_IT=Y.CHAVE_SIMUL",
"ON X.CHAVE_IT1=Y.CHAVE_SIMUL1 AND X.CHAVE_IT2=Y.CHAVE_SIMUL2")</f>
        <v>ON X.CHAVE_IT=Y.CHAVE_SIMUL</v>
      </c>
      <c r="M128" s="32" t="str">
        <f>+IF(D128="Coerência",+IF(LEFT(H128,5)="FLOAT","SELECT '"&amp;UPPER(B128)&amp;"' AS TABELA, '"&amp;UPPER(D128)&amp;"' AS TIPOLOGIA_TESTE,'"&amp;E128&amp;"' AS TABELA_LT,'"&amp;F128&amp;"' AS TABELA_SIMUL,'"&amp;C128&amp;"'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"&amp;J128&amp;" INNER JOIN "&amp;K128&amp;" "&amp;L128,"SELECT '"&amp;UPPER(B128)&amp;"' AS TABELA, '"&amp;UPPER(D128)&amp;"' AS TIPOLOGIA_TESTE,'"&amp;E128&amp;"' AS TABELA_LT,'"&amp;F128&amp;"' AS TABELA_SIMUL,'"&amp;C128&amp;"'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"&amp;J128&amp;" INNER JOIN "&amp;K128&amp;" "&amp;L128))</f>
        <v>SELECT 'INSTRUMENT' AS TABELA, 'COERÊNCIA' AS TIPOLOGIA_TESTE,'CD_LOAN_TAPES_BCE.LT002_INSTRUMENT' AS TABELA_LT,'BU_LOANTAPE_WORK.LT002_INSTRUMENT' AS TABELA_SIMUL,'pymnt_frqncy'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pymnt_frqncy AS CAMPO_IT FROM CD_LOAN_TAPES_BCE.LT002_INSTRUMENT WHERE ref_date='${ref_date}' AND nome_perimetro='Individual Local' AND segmento='ESTR' AND ambito='PM' AND entidade='00100')X INNER JOIN (SELECT instrmnt_id AS CHAVE_SIMUL, pymnt_frqncy AS CAMPO_SIMUL FROM BU_LOANTAPE_WORK.LT002_INSTRUMENT WHERE ref_date='${ref_date}' AND nome_perimetro='Individual Local' AND segmento='ESTR' AND ambito='PM' AND entidade='00100')Y ON X.CHAVE_IT=Y.CHAVE_SIMUL</v>
      </c>
      <c r="N128" s="33" t="str">
        <f t="shared" si="5"/>
        <v>UNION ALL SELECT 'INSTRUMENT' AS TABELA, 'COERÊNCIA' AS TIPOLOGIA_TESTE,'CD_LOAN_TAPES_BCE.LT002_INSTRUMENT' AS TABELA_LT,'BU_LOANTAPE_WORK.LT002_INSTRUMENT' AS TABELA_SIMUL,'pymnt_frqncy'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pymnt_frqncy AS CAMPO_IT FROM CD_LOAN_TAPES_BCE.LT002_INSTRUMENT WHERE ref_date='${ref_date}' AND nome_perimetro='Individual Local' AND segmento='ESTR' AND ambito='PM' AND entidade='00100')X INNER JOIN (SELECT instrmnt_id AS CHAVE_SIMUL, pymnt_frqncy AS CAMPO_SIMUL FROM BU_LOANTAPE_WORK.LT002_INSTRUMENT WHERE ref_date='${ref_date}' AND nome_perimetro='Individual Local' AND segmento='ESTR' AND ambito='PM' AND entidade='00100')Y ON X.CHAVE_IT=Y.CHAVE_SIMUL</v>
      </c>
      <c r="O128" s="35" t="s">
        <v>35</v>
      </c>
    </row>
    <row r="129" spans="1:15">
      <c r="A129" s="57" t="str">
        <f t="shared" si="4"/>
        <v>Instrumentrtntn_shr</v>
      </c>
      <c r="B129" s="32" t="s">
        <v>9</v>
      </c>
      <c r="C129" s="32" t="s">
        <v>308</v>
      </c>
      <c r="D129" s="32" t="s">
        <v>5</v>
      </c>
      <c r="E129" s="32" t="str">
        <f>+UPPER('0. Instruções'!$D$35&amp;"."&amp;VLOOKUP(B129,'0. Instruções'!$C$27:$D$32,2,FALSE))</f>
        <v>CD_LOAN_TAPES_BCE.LT002_INSTRUMENT</v>
      </c>
      <c r="F129" s="32" t="str">
        <f>+UPPER('0. Instruções'!$D$36&amp;"."&amp;VLOOKUP(B129,'0. Instruções'!$C$27:$E$32,3,FALSE))</f>
        <v>BU_LOANTAPE_WORK.LT002_INSTRUMENT</v>
      </c>
      <c r="H129" s="32"/>
      <c r="I129" s="32"/>
      <c r="J129" s="32" t="str">
        <f>IF(VLOOKUP(B129,'0. Instruções'!$C$27:$G$32,5,FALSE)=0,
"(SELECT "&amp;VLOOKUP(B129,'0. Instruções'!$C$27:$G$32,4,FALSE)&amp;" AS CHAVE_IT, "&amp;C129&amp;" AS CAMPO_IT FROM "&amp;E129&amp;" WHERE "&amp;'0. Instruções'!$D$43&amp;")X",
"(SELECT "&amp;VLOOKUP(B129,'0. Instruções'!$C$27:$G$32,4,FALSE)&amp;" AS CHAVE_IT1, "&amp;VLOOKUP(B129,'0. Instruções'!$C$27:$G$32,5,FALSE)&amp;" AS CHAVE_IT2, "&amp;C129&amp;" AS CAMPO_IT FROM "&amp;E129&amp;" WHERE "&amp;'0. Instruções'!$D$43&amp;")X")</f>
        <v>(SELECT instrmnt_id AS CHAVE_IT, rtntn_shr AS CAMPO_IT FROM CD_LOAN_TAPES_BCE.LT002_INSTRUMENT WHERE ref_date='${ref_date}' AND nome_perimetro='Individual Local' AND segmento='ESTR' AND ambito='PM' AND entidade='00100')X</v>
      </c>
      <c r="K129" s="32" t="str">
        <f>IF(VLOOKUP(B129,'0. Instruções'!$C$27:$G$32,5,FALSE)=0,
"(SELECT "&amp;VLOOKUP(B129,'0. Instruções'!$C$27:$G$32,4,FALSE)&amp;" AS CHAVE_SIMUL, "&amp;C129&amp;" AS CAMPO_SIMUL FROM "&amp;F129&amp;" WHERE "&amp;'0. Instruções'!$D$42&amp;")Y",
"(SELECT "&amp;VLOOKUP(B129,'0. Instruções'!$C$27:$G$32,4,FALSE)&amp;" AS CHAVE_SIMUL1, "&amp;VLOOKUP(B129,'0. Instruções'!$C$27:$G$32,5,FALSE)&amp;" AS CHAVE_SIMUL2, "&amp;C129&amp;" AS CAMPO_SIMUL FROM "&amp;F129&amp;" WHERE "&amp;'0. Instruções'!$D$42&amp;")Y")</f>
        <v>(SELECT instrmnt_id AS CHAVE_SIMUL, rtntn_shr AS CAMPO_SIMUL FROM BU_LOANTAPE_WORK.LT002_INSTRUMENT WHERE ref_date='${ref_date}' AND nome_perimetro='Individual Local' AND segmento='ESTR' AND ambito='PM' AND entidade='00100')Y</v>
      </c>
      <c r="L129" s="32" t="str">
        <f>IF(VLOOKUP(B129,'0. Instruções'!$C$27:$G$32,5,FALSE)=0,
"ON X.CHAVE_IT=Y.CHAVE_SIMUL",
"ON X.CHAVE_IT1=Y.CHAVE_SIMUL1 AND X.CHAVE_IT2=Y.CHAVE_SIMUL2")</f>
        <v>ON X.CHAVE_IT=Y.CHAVE_SIMUL</v>
      </c>
      <c r="M129" s="32" t="str">
        <f>+IF(D129="Coerência",+IF(LEFT(H129,5)="FLOAT","SELECT '"&amp;UPPER(B129)&amp;"' AS TABELA, '"&amp;UPPER(D129)&amp;"' AS TIPOLOGIA_TESTE,'"&amp;E129&amp;"' AS TABELA_LT,'"&amp;F129&amp;"' AS TABELA_SIMUL,'"&amp;C129&amp;"'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"&amp;J129&amp;" INNER JOIN "&amp;K129&amp;" "&amp;L129,"SELECT '"&amp;UPPER(B129)&amp;"' AS TABELA, '"&amp;UPPER(D129)&amp;"' AS TIPOLOGIA_TESTE,'"&amp;E129&amp;"' AS TABELA_LT,'"&amp;F129&amp;"' AS TABELA_SIMUL,'"&amp;C129&amp;"'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"&amp;J129&amp;" INNER JOIN "&amp;K129&amp;" "&amp;L129))</f>
        <v>SELECT 'INSTRUMENT' AS TABELA, 'COERÊNCIA' AS TIPOLOGIA_TESTE,'CD_LOAN_TAPES_BCE.LT002_INSTRUMENT' AS TABELA_LT,'BU_LOANTAPE_WORK.LT002_INSTRUMENT' AS TABELA_SIMUL,'rtntn_shr'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rtntn_shr AS CAMPO_IT FROM CD_LOAN_TAPES_BCE.LT002_INSTRUMENT WHERE ref_date='${ref_date}' AND nome_perimetro='Individual Local' AND segmento='ESTR' AND ambito='PM' AND entidade='00100')X INNER JOIN (SELECT instrmnt_id AS CHAVE_SIMUL, rtntn_shr AS CAMPO_SIMUL FROM BU_LOANTAPE_WORK.LT002_INSTRUMENT WHERE ref_date='${ref_date}' AND nome_perimetro='Individual Local' AND segmento='ESTR' AND ambito='PM' AND entidade='00100')Y ON X.CHAVE_IT=Y.CHAVE_SIMUL</v>
      </c>
      <c r="N129" s="33" t="str">
        <f t="shared" si="5"/>
        <v>UNION ALL SELECT 'INSTRUMENT' AS TABELA, 'COERÊNCIA' AS TIPOLOGIA_TESTE,'CD_LOAN_TAPES_BCE.LT002_INSTRUMENT' AS TABELA_LT,'BU_LOANTAPE_WORK.LT002_INSTRUMENT' AS TABELA_SIMUL,'rtntn_shr'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rtntn_shr AS CAMPO_IT FROM CD_LOAN_TAPES_BCE.LT002_INSTRUMENT WHERE ref_date='${ref_date}' AND nome_perimetro='Individual Local' AND segmento='ESTR' AND ambito='PM' AND entidade='00100')X INNER JOIN (SELECT instrmnt_id AS CHAVE_SIMUL, rtntn_shr AS CAMPO_SIMUL FROM BU_LOANTAPE_WORK.LT002_INSTRUMENT WHERE ref_date='${ref_date}' AND nome_perimetro='Individual Local' AND segmento='ESTR' AND ambito='PM' AND entidade='00100')Y ON X.CHAVE_IT=Y.CHAVE_SIMUL</v>
      </c>
      <c r="O129" s="35" t="s">
        <v>35</v>
      </c>
    </row>
    <row r="130" spans="1:15">
      <c r="A130" s="57" t="str">
        <f t="shared" si="4"/>
        <v>Instrumentrwa</v>
      </c>
      <c r="B130" s="32" t="s">
        <v>9</v>
      </c>
      <c r="C130" s="32" t="s">
        <v>309</v>
      </c>
      <c r="D130" s="32" t="s">
        <v>5</v>
      </c>
      <c r="E130" s="32" t="str">
        <f>+UPPER('0. Instruções'!$D$35&amp;"."&amp;VLOOKUP(B130,'0. Instruções'!$C$27:$D$32,2,FALSE))</f>
        <v>CD_LOAN_TAPES_BCE.LT002_INSTRUMENT</v>
      </c>
      <c r="F130" s="32" t="str">
        <f>+UPPER('0. Instruções'!$D$36&amp;"."&amp;VLOOKUP(B130,'0. Instruções'!$C$27:$E$32,3,FALSE))</f>
        <v>BU_LOANTAPE_WORK.LT002_INSTRUMENT</v>
      </c>
      <c r="H130" s="32"/>
      <c r="I130" s="32"/>
      <c r="J130" s="32" t="str">
        <f>IF(VLOOKUP(B130,'0. Instruções'!$C$27:$G$32,5,FALSE)=0,
"(SELECT "&amp;VLOOKUP(B130,'0. Instruções'!$C$27:$G$32,4,FALSE)&amp;" AS CHAVE_IT, "&amp;C130&amp;" AS CAMPO_IT FROM "&amp;E130&amp;" WHERE "&amp;'0. Instruções'!$D$43&amp;")X",
"(SELECT "&amp;VLOOKUP(B130,'0. Instruções'!$C$27:$G$32,4,FALSE)&amp;" AS CHAVE_IT1, "&amp;VLOOKUP(B130,'0. Instruções'!$C$27:$G$32,5,FALSE)&amp;" AS CHAVE_IT2, "&amp;C130&amp;" AS CAMPO_IT FROM "&amp;E130&amp;" WHERE "&amp;'0. Instruções'!$D$43&amp;")X")</f>
        <v>(SELECT instrmnt_id AS CHAVE_IT, rwa AS CAMPO_IT FROM CD_LOAN_TAPES_BCE.LT002_INSTRUMENT WHERE ref_date='${ref_date}' AND nome_perimetro='Individual Local' AND segmento='ESTR' AND ambito='PM' AND entidade='00100')X</v>
      </c>
      <c r="K130" s="32" t="str">
        <f>IF(VLOOKUP(B130,'0. Instruções'!$C$27:$G$32,5,FALSE)=0,
"(SELECT "&amp;VLOOKUP(B130,'0. Instruções'!$C$27:$G$32,4,FALSE)&amp;" AS CHAVE_SIMUL, "&amp;C130&amp;" AS CAMPO_SIMUL FROM "&amp;F130&amp;" WHERE "&amp;'0. Instruções'!$D$42&amp;")Y",
"(SELECT "&amp;VLOOKUP(B130,'0. Instruções'!$C$27:$G$32,4,FALSE)&amp;" AS CHAVE_SIMUL1, "&amp;VLOOKUP(B130,'0. Instruções'!$C$27:$G$32,5,FALSE)&amp;" AS CHAVE_SIMUL2, "&amp;C130&amp;" AS CAMPO_SIMUL FROM "&amp;F130&amp;" WHERE "&amp;'0. Instruções'!$D$42&amp;")Y")</f>
        <v>(SELECT instrmnt_id AS CHAVE_SIMUL, rwa AS CAMPO_SIMUL FROM BU_LOANTAPE_WORK.LT002_INSTRUMENT WHERE ref_date='${ref_date}' AND nome_perimetro='Individual Local' AND segmento='ESTR' AND ambito='PM' AND entidade='00100')Y</v>
      </c>
      <c r="L130" s="32" t="str">
        <f>IF(VLOOKUP(B130,'0. Instruções'!$C$27:$G$32,5,FALSE)=0,
"ON X.CHAVE_IT=Y.CHAVE_SIMUL",
"ON X.CHAVE_IT1=Y.CHAVE_SIMUL1 AND X.CHAVE_IT2=Y.CHAVE_SIMUL2")</f>
        <v>ON X.CHAVE_IT=Y.CHAVE_SIMUL</v>
      </c>
      <c r="M130" s="32" t="str">
        <f>+IF(D130="Coerência",+IF(LEFT(H130,5)="FLOAT","SELECT '"&amp;UPPER(B130)&amp;"' AS TABELA, '"&amp;UPPER(D130)&amp;"' AS TIPOLOGIA_TESTE,'"&amp;E130&amp;"' AS TABELA_LT,'"&amp;F130&amp;"' AS TABELA_SIMUL,'"&amp;C130&amp;"'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"&amp;J130&amp;" INNER JOIN "&amp;K130&amp;" "&amp;L130,"SELECT '"&amp;UPPER(B130)&amp;"' AS TABELA, '"&amp;UPPER(D130)&amp;"' AS TIPOLOGIA_TESTE,'"&amp;E130&amp;"' AS TABELA_LT,'"&amp;F130&amp;"' AS TABELA_SIMUL,'"&amp;C130&amp;"'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"&amp;J130&amp;" INNER JOIN "&amp;K130&amp;" "&amp;L130))</f>
        <v>SELECT 'INSTRUMENT' AS TABELA, 'COERÊNCIA' AS TIPOLOGIA_TESTE,'CD_LOAN_TAPES_BCE.LT002_INSTRUMENT' AS TABELA_LT,'BU_LOANTAPE_WORK.LT002_INSTRUMENT' AS TABELA_SIMUL,'rwa'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 AS CAMPO_IT FROM CD_LOAN_TAPES_BCE.LT002_INSTRUMENT WHERE ref_date='${ref_date}' AND nome_perimetro='Individual Local' AND segmento='ESTR' AND ambito='PM' AND entidade='00100')X INNER JOIN (SELECT instrmnt_id AS CHAVE_SIMUL, rwa AS CAMPO_SIMUL FROM BU_LOANTAPE_WORK.LT002_INSTRUMENT WHERE ref_date='${ref_date}' AND nome_perimetro='Individual Local' AND segmento='ESTR' AND ambito='PM' AND entidade='00100')Y ON X.CHAVE_IT=Y.CHAVE_SIMUL</v>
      </c>
      <c r="N130" s="33" t="str">
        <f t="shared" si="5"/>
        <v>UNION ALL SELECT 'INSTRUMENT' AS TABELA, 'COERÊNCIA' AS TIPOLOGIA_TESTE,'CD_LOAN_TAPES_BCE.LT002_INSTRUMENT' AS TABELA_LT,'BU_LOANTAPE_WORK.LT002_INSTRUMENT' AS TABELA_SIMUL,'rwa'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 AS CAMPO_IT FROM CD_LOAN_TAPES_BCE.LT002_INSTRUMENT WHERE ref_date='${ref_date}' AND nome_perimetro='Individual Local' AND segmento='ESTR' AND ambito='PM' AND entidade='00100')X INNER JOIN (SELECT instrmnt_id AS CHAVE_SIMUL, rwa AS CAMPO_SIMUL FROM BU_LOANTAPE_WORK.LT002_INSTRUMENT WHERE ref_date='${ref_date}' AND nome_perimetro='Individual Local' AND segmento='ESTR' AND ambito='PM' AND entidade='00100')Y ON X.CHAVE_IT=Y.CHAVE_SIMUL</v>
      </c>
      <c r="O130" s="35" t="s">
        <v>35</v>
      </c>
    </row>
    <row r="131" spans="1:15">
      <c r="A131" s="57" t="str">
        <f t="shared" si="4"/>
        <v>Instrumentrwa_mthd</v>
      </c>
      <c r="B131" s="32" t="s">
        <v>9</v>
      </c>
      <c r="C131" s="32" t="s">
        <v>310</v>
      </c>
      <c r="D131" s="32" t="s">
        <v>5</v>
      </c>
      <c r="E131" s="32" t="str">
        <f>+UPPER('0. Instruções'!$D$35&amp;"."&amp;VLOOKUP(B131,'0. Instruções'!$C$27:$D$32,2,FALSE))</f>
        <v>CD_LOAN_TAPES_BCE.LT002_INSTRUMENT</v>
      </c>
      <c r="F131" s="32" t="str">
        <f>+UPPER('0. Instruções'!$D$36&amp;"."&amp;VLOOKUP(B131,'0. Instruções'!$C$27:$E$32,3,FALSE))</f>
        <v>BU_LOANTAPE_WORK.LT002_INSTRUMENT</v>
      </c>
      <c r="H131" s="32"/>
      <c r="I131" s="32"/>
      <c r="J131" s="32" t="str">
        <f>IF(VLOOKUP(B131,'0. Instruções'!$C$27:$G$32,5,FALSE)=0,
"(SELECT "&amp;VLOOKUP(B131,'0. Instruções'!$C$27:$G$32,4,FALSE)&amp;" AS CHAVE_IT, "&amp;C131&amp;" AS CAMPO_IT FROM "&amp;E131&amp;" WHERE "&amp;'0. Instruções'!$D$43&amp;")X",
"(SELECT "&amp;VLOOKUP(B131,'0. Instruções'!$C$27:$G$32,4,FALSE)&amp;" AS CHAVE_IT1, "&amp;VLOOKUP(B131,'0. Instruções'!$C$27:$G$32,5,FALSE)&amp;" AS CHAVE_IT2, "&amp;C131&amp;" AS CAMPO_IT FROM "&amp;E131&amp;" WHERE "&amp;'0. Instruções'!$D$43&amp;")X")</f>
        <v>(SELECT instrmnt_id AS CHAVE_IT, rwa_mthd AS CAMPO_IT FROM CD_LOAN_TAPES_BCE.LT002_INSTRUMENT WHERE ref_date='${ref_date}' AND nome_perimetro='Individual Local' AND segmento='ESTR' AND ambito='PM' AND entidade='00100')X</v>
      </c>
      <c r="K131" s="32" t="str">
        <f>IF(VLOOKUP(B131,'0. Instruções'!$C$27:$G$32,5,FALSE)=0,
"(SELECT "&amp;VLOOKUP(B131,'0. Instruções'!$C$27:$G$32,4,FALSE)&amp;" AS CHAVE_SIMUL, "&amp;C131&amp;" AS CAMPO_SIMUL FROM "&amp;F131&amp;" WHERE "&amp;'0. Instruções'!$D$42&amp;")Y",
"(SELECT "&amp;VLOOKUP(B131,'0. Instruções'!$C$27:$G$32,4,FALSE)&amp;" AS CHAVE_SIMUL1, "&amp;VLOOKUP(B131,'0. Instruções'!$C$27:$G$32,5,FALSE)&amp;" AS CHAVE_SIMUL2, "&amp;C131&amp;" AS CAMPO_SIMUL FROM "&amp;F131&amp;" WHERE "&amp;'0. Instruções'!$D$42&amp;")Y")</f>
        <v>(SELECT instrmnt_id AS CHAVE_SIMUL, rwa_mthd AS CAMPO_SIMUL FROM BU_LOANTAPE_WORK.LT002_INSTRUMENT WHERE ref_date='${ref_date}' AND nome_perimetro='Individual Local' AND segmento='ESTR' AND ambito='PM' AND entidade='00100')Y</v>
      </c>
      <c r="L131" s="32" t="str">
        <f>IF(VLOOKUP(B131,'0. Instruções'!$C$27:$G$32,5,FALSE)=0,
"ON X.CHAVE_IT=Y.CHAVE_SIMUL",
"ON X.CHAVE_IT1=Y.CHAVE_SIMUL1 AND X.CHAVE_IT2=Y.CHAVE_SIMUL2")</f>
        <v>ON X.CHAVE_IT=Y.CHAVE_SIMUL</v>
      </c>
      <c r="M131" s="32" t="str">
        <f>+IF(D131="Coerência",+IF(LEFT(H131,5)="FLOAT","SELECT '"&amp;UPPER(B131)&amp;"' AS TABELA, '"&amp;UPPER(D131)&amp;"' AS TIPOLOGIA_TESTE,'"&amp;E131&amp;"' AS TABELA_LT,'"&amp;F131&amp;"' AS TABELA_SIMUL,'"&amp;C131&amp;"'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"&amp;J131&amp;" INNER JOIN "&amp;K131&amp;" "&amp;L131,"SELECT '"&amp;UPPER(B131)&amp;"' AS TABELA, '"&amp;UPPER(D131)&amp;"' AS TIPOLOGIA_TESTE,'"&amp;E131&amp;"' AS TABELA_LT,'"&amp;F131&amp;"' AS TABELA_SIMUL,'"&amp;C131&amp;"'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"&amp;J131&amp;" INNER JOIN "&amp;K131&amp;" "&amp;L131))</f>
        <v>SELECT 'INSTRUMENT' AS TABELA, 'COERÊNCIA' AS TIPOLOGIA_TESTE,'CD_LOAN_TAPES_BCE.LT002_INSTRUMENT' AS TABELA_LT,'BU_LOANTAPE_WORK.LT002_INSTRUMENT' AS TABELA_SIMUL,'rwa_mthd'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rwa_mthd AS CAMPO_IT FROM CD_LOAN_TAPES_BCE.LT002_INSTRUMENT WHERE ref_date='${ref_date}' AND nome_perimetro='Individual Local' AND segmento='ESTR' AND ambito='PM' AND entidade='00100')X INNER JOIN (SELECT instrmnt_id AS CHAVE_SIMUL, rwa_mthd AS CAMPO_SIMUL FROM BU_LOANTAPE_WORK.LT002_INSTRUMENT WHERE ref_date='${ref_date}' AND nome_perimetro='Individual Local' AND segmento='ESTR' AND ambito='PM' AND entidade='00100')Y ON X.CHAVE_IT=Y.CHAVE_SIMUL</v>
      </c>
      <c r="N131" s="33" t="str">
        <f t="shared" si="5"/>
        <v>UNION ALL SELECT 'INSTRUMENT' AS TABELA, 'COERÊNCIA' AS TIPOLOGIA_TESTE,'CD_LOAN_TAPES_BCE.LT002_INSTRUMENT' AS TABELA_LT,'BU_LOANTAPE_WORK.LT002_INSTRUMENT' AS TABELA_SIMUL,'rwa_mthd'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rwa_mthd AS CAMPO_IT FROM CD_LOAN_TAPES_BCE.LT002_INSTRUMENT WHERE ref_date='${ref_date}' AND nome_perimetro='Individual Local' AND segmento='ESTR' AND ambito='PM' AND entidade='00100')X INNER JOIN (SELECT instrmnt_id AS CHAVE_SIMUL, rwa_mthd AS CAMPO_SIMUL FROM BU_LOANTAPE_WORK.LT002_INSTRUMENT WHERE ref_date='${ref_date}' AND nome_perimetro='Individual Local' AND segmento='ESTR' AND ambito='PM' AND entidade='00100')Y ON X.CHAVE_IT=Y.CHAVE_SIMUL</v>
      </c>
      <c r="O131" s="35" t="s">
        <v>35</v>
      </c>
    </row>
    <row r="132" spans="1:15">
      <c r="A132" s="57" t="str">
        <f t="shared" si="4"/>
        <v>Instrumentspnsr_nm</v>
      </c>
      <c r="B132" s="32" t="s">
        <v>9</v>
      </c>
      <c r="C132" s="32" t="s">
        <v>311</v>
      </c>
      <c r="D132" s="32" t="s">
        <v>5</v>
      </c>
      <c r="E132" s="32" t="str">
        <f>+UPPER('0. Instruções'!$D$35&amp;"."&amp;VLOOKUP(B132,'0. Instruções'!$C$27:$D$32,2,FALSE))</f>
        <v>CD_LOAN_TAPES_BCE.LT002_INSTRUMENT</v>
      </c>
      <c r="F132" s="32" t="str">
        <f>+UPPER('0. Instruções'!$D$36&amp;"."&amp;VLOOKUP(B132,'0. Instruções'!$C$27:$E$32,3,FALSE))</f>
        <v>BU_LOANTAPE_WORK.LT002_INSTRUMENT</v>
      </c>
      <c r="H132" s="32"/>
      <c r="I132" s="32"/>
      <c r="J132" s="32" t="str">
        <f>IF(VLOOKUP(B132,'0. Instruções'!$C$27:$G$32,5,FALSE)=0,
"(SELECT "&amp;VLOOKUP(B132,'0. Instruções'!$C$27:$G$32,4,FALSE)&amp;" AS CHAVE_IT, "&amp;C132&amp;" AS CAMPO_IT FROM "&amp;E132&amp;" WHERE "&amp;'0. Instruções'!$D$43&amp;")X",
"(SELECT "&amp;VLOOKUP(B132,'0. Instruções'!$C$27:$G$32,4,FALSE)&amp;" AS CHAVE_IT1, "&amp;VLOOKUP(B132,'0. Instruções'!$C$27:$G$32,5,FALSE)&amp;" AS CHAVE_IT2, "&amp;C132&amp;" AS CAMPO_IT FROM "&amp;E132&amp;" WHERE "&amp;'0. Instruções'!$D$43&amp;")X")</f>
        <v>(SELECT instrmnt_id AS CHAVE_IT, spnsr_nm AS CAMPO_IT FROM CD_LOAN_TAPES_BCE.LT002_INSTRUMENT WHERE ref_date='${ref_date}' AND nome_perimetro='Individual Local' AND segmento='ESTR' AND ambito='PM' AND entidade='00100')X</v>
      </c>
      <c r="K132" s="32" t="str">
        <f>IF(VLOOKUP(B132,'0. Instruções'!$C$27:$G$32,5,FALSE)=0,
"(SELECT "&amp;VLOOKUP(B132,'0. Instruções'!$C$27:$G$32,4,FALSE)&amp;" AS CHAVE_SIMUL, "&amp;C132&amp;" AS CAMPO_SIMUL FROM "&amp;F132&amp;" WHERE "&amp;'0. Instruções'!$D$42&amp;")Y",
"(SELECT "&amp;VLOOKUP(B132,'0. Instruções'!$C$27:$G$32,4,FALSE)&amp;" AS CHAVE_SIMUL1, "&amp;VLOOKUP(B132,'0. Instruções'!$C$27:$G$32,5,FALSE)&amp;" AS CHAVE_SIMUL2, "&amp;C132&amp;" AS CAMPO_SIMUL FROM "&amp;F132&amp;" WHERE "&amp;'0. Instruções'!$D$42&amp;")Y")</f>
        <v>(SELECT instrmnt_id AS CHAVE_SIMUL, spnsr_nm AS CAMPO_SIMUL FROM BU_LOANTAPE_WORK.LT002_INSTRUMENT WHERE ref_date='${ref_date}' AND nome_perimetro='Individual Local' AND segmento='ESTR' AND ambito='PM' AND entidade='00100')Y</v>
      </c>
      <c r="L132" s="32" t="str">
        <f>IF(VLOOKUP(B132,'0. Instruções'!$C$27:$G$32,5,FALSE)=0,
"ON X.CHAVE_IT=Y.CHAVE_SIMUL",
"ON X.CHAVE_IT1=Y.CHAVE_SIMUL1 AND X.CHAVE_IT2=Y.CHAVE_SIMUL2")</f>
        <v>ON X.CHAVE_IT=Y.CHAVE_SIMUL</v>
      </c>
      <c r="M132" s="32" t="str">
        <f>+IF(D132="Coerência",+IF(LEFT(H132,5)="FLOAT","SELECT '"&amp;UPPER(B132)&amp;"' AS TABELA, '"&amp;UPPER(D132)&amp;"' AS TIPOLOGIA_TESTE,'"&amp;E132&amp;"' AS TABELA_LT,'"&amp;F132&amp;"' AS TABELA_SIMUL,'"&amp;C132&amp;"'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"&amp;J132&amp;" INNER JOIN "&amp;K132&amp;" "&amp;L132,"SELECT '"&amp;UPPER(B132)&amp;"' AS TABELA, '"&amp;UPPER(D132)&amp;"' AS TIPOLOGIA_TESTE,'"&amp;E132&amp;"' AS TABELA_LT,'"&amp;F132&amp;"' AS TABELA_SIMUL,'"&amp;C132&amp;"'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"&amp;J132&amp;" INNER JOIN "&amp;K132&amp;" "&amp;L132))</f>
        <v>SELECT 'INSTRUMENT' AS TABELA, 'COERÊNCIA' AS TIPOLOGIA_TESTE,'CD_LOAN_TAPES_BCE.LT002_INSTRUMENT' AS TABELA_LT,'BU_LOANTAPE_WORK.LT002_INSTRUMENT' AS TABELA_SIMUL,'spnsr_nm'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spnsr_nm AS CAMPO_IT FROM CD_LOAN_TAPES_BCE.LT002_INSTRUMENT WHERE ref_date='${ref_date}' AND nome_perimetro='Individual Local' AND segmento='ESTR' AND ambito='PM' AND entidade='00100')X INNER JOIN (SELECT instrmnt_id AS CHAVE_SIMUL, spnsr_nm AS CAMPO_SIMUL FROM BU_LOANTAPE_WORK.LT002_INSTRUMENT WHERE ref_date='${ref_date}' AND nome_perimetro='Individual Local' AND segmento='ESTR' AND ambito='PM' AND entidade='00100')Y ON X.CHAVE_IT=Y.CHAVE_SIMUL</v>
      </c>
      <c r="N132" s="33" t="str">
        <f t="shared" si="5"/>
        <v>UNION ALL SELECT 'INSTRUMENT' AS TABELA, 'COERÊNCIA' AS TIPOLOGIA_TESTE,'CD_LOAN_TAPES_BCE.LT002_INSTRUMENT' AS TABELA_LT,'BU_LOANTAPE_WORK.LT002_INSTRUMENT' AS TABELA_SIMUL,'spnsr_nm'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spnsr_nm AS CAMPO_IT FROM CD_LOAN_TAPES_BCE.LT002_INSTRUMENT WHERE ref_date='${ref_date}' AND nome_perimetro='Individual Local' AND segmento='ESTR' AND ambito='PM' AND entidade='00100')X INNER JOIN (SELECT instrmnt_id AS CHAVE_SIMUL, spnsr_nm AS CAMPO_SIMUL FROM BU_LOANTAPE_WORK.LT002_INSTRUMENT WHERE ref_date='${ref_date}' AND nome_perimetro='Individual Local' AND segmento='ESTR' AND ambito='PM' AND entidade='00100')Y ON X.CHAVE_IT=Y.CHAVE_SIMUL</v>
      </c>
      <c r="O132" s="35" t="s">
        <v>35</v>
      </c>
    </row>
    <row r="133" spans="1:15">
      <c r="A133" s="57" t="str">
        <f t="shared" si="4"/>
        <v>Instrumentaccmltd_imprmnt_instrmnt</v>
      </c>
      <c r="B133" s="32" t="s">
        <v>9</v>
      </c>
      <c r="C133" s="32" t="s">
        <v>144</v>
      </c>
      <c r="D133" s="32" t="s">
        <v>5</v>
      </c>
      <c r="E133" s="32" t="str">
        <f>+UPPER('0. Instruções'!$D$35&amp;"."&amp;VLOOKUP(B133,'0. Instruções'!$C$27:$D$32,2,FALSE))</f>
        <v>CD_LOAN_TAPES_BCE.LT002_INSTRUMENT</v>
      </c>
      <c r="F133" s="32" t="str">
        <f>+UPPER('0. Instruções'!$D$36&amp;"."&amp;VLOOKUP(B133,'0. Instruções'!$C$27:$E$32,3,FALSE))</f>
        <v>BU_LOANTAPE_WORK.LT002_INSTRUMENT</v>
      </c>
      <c r="H133" s="32"/>
      <c r="I133" s="32"/>
      <c r="J133" s="32" t="str">
        <f>IF(VLOOKUP(B133,'0. Instruções'!$C$27:$G$32,5,FALSE)=0,
"(SELECT "&amp;VLOOKUP(B133,'0. Instruções'!$C$27:$G$32,4,FALSE)&amp;" AS CHAVE_IT, "&amp;C133&amp;" AS CAMPO_IT FROM "&amp;E133&amp;" WHERE "&amp;'0. Instruções'!$D$43&amp;")X",
"(SELECT "&amp;VLOOKUP(B133,'0. Instruções'!$C$27:$G$32,4,FALSE)&amp;" AS CHAVE_IT1, "&amp;VLOOKUP(B133,'0. Instruções'!$C$27:$G$32,5,FALSE)&amp;" AS CHAVE_IT2, "&amp;C133&amp;" AS CAMPO_IT FROM "&amp;E133&amp;" WHERE "&amp;'0. Instruções'!$D$43&amp;")X")</f>
        <v>(SELECT instrmnt_id AS CHAVE_IT, accmltd_imprmnt_instrmnt AS CAMPO_IT FROM CD_LOAN_TAPES_BCE.LT002_INSTRUMENT WHERE ref_date='${ref_date}' AND nome_perimetro='Individual Local' AND segmento='ESTR' AND ambito='PM' AND entidade='00100')X</v>
      </c>
      <c r="K133" s="32" t="str">
        <f>IF(VLOOKUP(B133,'0. Instruções'!$C$27:$G$32,5,FALSE)=0,
"(SELECT "&amp;VLOOKUP(B133,'0. Instruções'!$C$27:$G$32,4,FALSE)&amp;" AS CHAVE_SIMUL, "&amp;C133&amp;" AS CAMPO_SIMUL FROM "&amp;F133&amp;" WHERE "&amp;'0. Instruções'!$D$42&amp;")Y",
"(SELECT "&amp;VLOOKUP(B133,'0. Instruções'!$C$27:$G$32,4,FALSE)&amp;" AS CHAVE_SIMUL1, "&amp;VLOOKUP(B133,'0. Instruções'!$C$27:$G$32,5,FALSE)&amp;" AS CHAVE_SIMUL2, "&amp;C133&amp;" AS CAMPO_SIMUL FROM "&amp;F133&amp;" WHERE "&amp;'0. Instruções'!$D$42&amp;")Y")</f>
        <v>(SELECT instrmnt_id AS CHAVE_SIMUL, accmltd_imprmnt_instrmnt AS CAMPO_SIMUL FROM BU_LOANTAPE_WORK.LT002_INSTRUMENT WHERE ref_date='${ref_date}' AND nome_perimetro='Individual Local' AND segmento='ESTR' AND ambito='PM' AND entidade='00100')Y</v>
      </c>
      <c r="L133" s="32" t="str">
        <f>IF(VLOOKUP(B133,'0. Instruções'!$C$27:$G$32,5,FALSE)=0,
"ON X.CHAVE_IT=Y.CHAVE_SIMUL",
"ON X.CHAVE_IT1=Y.CHAVE_SIMUL1 AND X.CHAVE_IT2=Y.CHAVE_SIMUL2")</f>
        <v>ON X.CHAVE_IT=Y.CHAVE_SIMUL</v>
      </c>
      <c r="M133" s="32" t="str">
        <f>+IF(D133="Coerência",+IF(LEFT(H133,5)="FLOAT","SELECT '"&amp;UPPER(B133)&amp;"' AS TABELA, '"&amp;UPPER(D133)&amp;"' AS TIPOLOGIA_TESTE,'"&amp;E133&amp;"' AS TABELA_LT,'"&amp;F133&amp;"' AS TABELA_SIMUL,'"&amp;C133&amp;"'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"&amp;J133&amp;" INNER JOIN "&amp;K133&amp;" "&amp;L133,"SELECT '"&amp;UPPER(B133)&amp;"' AS TABELA, '"&amp;UPPER(D133)&amp;"' AS TIPOLOGIA_TESTE,'"&amp;E133&amp;"' AS TABELA_LT,'"&amp;F133&amp;"' AS TABELA_SIMUL,'"&amp;C133&amp;"'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"&amp;J133&amp;" INNER JOIN "&amp;K133&amp;" "&amp;L133))</f>
        <v>SELECT 'INSTRUMENT' AS TABELA, 'COERÊNCIA' AS TIPOLOGIA_TESTE,'CD_LOAN_TAPES_BCE.LT002_INSTRUMENT' AS TABELA_LT,'BU_LOANTAPE_WORK.LT002_INSTRUMENT' AS TABELA_SIMUL,'accmltd_imprmnt_instrmnt'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 AS CAMPO_IT FROM CD_LOAN_TAPES_BCE.LT002_INSTRUMENT WHERE ref_date='${ref_date}' AND nome_perimetro='Individual Local' AND segmento='ESTR' AND ambito='PM' AND entidade='00100')X INNER JOIN (SELECT instrmnt_id AS CHAVE_SIMUL, accmltd_imprmnt_instrmnt AS CAMPO_SIMUL FROM BU_LOANTAPE_WORK.LT002_INSTRUMENT WHERE ref_date='${ref_date}' AND nome_perimetro='Individual Local' AND segmento='ESTR' AND ambito='PM' AND entidade='00100')Y ON X.CHAVE_IT=Y.CHAVE_SIMUL</v>
      </c>
      <c r="N133" s="33" t="str">
        <f t="shared" si="5"/>
        <v>UNION ALL SELECT 'INSTRUMENT' AS TABELA, 'COERÊNCIA' AS TIPOLOGIA_TESTE,'CD_LOAN_TAPES_BCE.LT002_INSTRUMENT' AS TABELA_LT,'BU_LOANTAPE_WORK.LT002_INSTRUMENT' AS TABELA_SIMUL,'accmltd_imprmnt_instrmnt'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 AS CAMPO_IT FROM CD_LOAN_TAPES_BCE.LT002_INSTRUMENT WHERE ref_date='${ref_date}' AND nome_perimetro='Individual Local' AND segmento='ESTR' AND ambito='PM' AND entidade='00100')X INNER JOIN (SELECT instrmnt_id AS CHAVE_SIMUL, accmltd_imprmnt_instrmnt AS CAMPO_SIMUL FROM BU_LOANTAPE_WORK.LT002_INSTRUMENT WHERE ref_date='${ref_date}' AND nome_perimetro='Individual Local' AND segmento='ESTR' AND ambito='PM' AND entidade='00100')Y ON X.CHAVE_IT=Y.CHAVE_SIMUL</v>
      </c>
      <c r="O133" s="35" t="s">
        <v>35</v>
      </c>
    </row>
    <row r="134" spans="1:15">
      <c r="A134" s="57" t="str">
        <f t="shared" si="4"/>
        <v>Instrumentaccmltd_imprmnt_instrmnt_prvs</v>
      </c>
      <c r="B134" s="32" t="s">
        <v>9</v>
      </c>
      <c r="C134" s="32" t="s">
        <v>312</v>
      </c>
      <c r="D134" s="32" t="s">
        <v>5</v>
      </c>
      <c r="E134" s="32" t="str">
        <f>+UPPER('0. Instruções'!$D$35&amp;"."&amp;VLOOKUP(B134,'0. Instruções'!$C$27:$D$32,2,FALSE))</f>
        <v>CD_LOAN_TAPES_BCE.LT002_INSTRUMENT</v>
      </c>
      <c r="F134" s="32" t="str">
        <f>+UPPER('0. Instruções'!$D$36&amp;"."&amp;VLOOKUP(B134,'0. Instruções'!$C$27:$E$32,3,FALSE))</f>
        <v>BU_LOANTAPE_WORK.LT002_INSTRUMENT</v>
      </c>
      <c r="H134" s="32"/>
      <c r="I134" s="32"/>
      <c r="J134" s="32" t="str">
        <f>IF(VLOOKUP(B134,'0. Instruções'!$C$27:$G$32,5,FALSE)=0,
"(SELECT "&amp;VLOOKUP(B134,'0. Instruções'!$C$27:$G$32,4,FALSE)&amp;" AS CHAVE_IT, "&amp;C134&amp;" AS CAMPO_IT FROM "&amp;E134&amp;" WHERE "&amp;'0. Instruções'!$D$43&amp;")X",
"(SELECT "&amp;VLOOKUP(B134,'0. Instruções'!$C$27:$G$32,4,FALSE)&amp;" AS CHAVE_IT1, "&amp;VLOOKUP(B134,'0. Instruções'!$C$27:$G$32,5,FALSE)&amp;" AS CHAVE_IT2, "&amp;C134&amp;" AS CAMPO_IT FROM "&amp;E134&amp;" WHERE "&amp;'0. Instruções'!$D$43&amp;")X")</f>
        <v>(SELECT instrmnt_id AS CHAVE_IT, accmltd_imprmnt_instrmnt_prvs AS CAMPO_IT FROM CD_LOAN_TAPES_BCE.LT002_INSTRUMENT WHERE ref_date='${ref_date}' AND nome_perimetro='Individual Local' AND segmento='ESTR' AND ambito='PM' AND entidade='00100')X</v>
      </c>
      <c r="K134" s="32" t="str">
        <f>IF(VLOOKUP(B134,'0. Instruções'!$C$27:$G$32,5,FALSE)=0,
"(SELECT "&amp;VLOOKUP(B134,'0. Instruções'!$C$27:$G$32,4,FALSE)&amp;" AS CHAVE_SIMUL, "&amp;C134&amp;" AS CAMPO_SIMUL FROM "&amp;F134&amp;" WHERE "&amp;'0. Instruções'!$D$42&amp;")Y",
"(SELECT "&amp;VLOOKUP(B134,'0. Instruções'!$C$27:$G$32,4,FALSE)&amp;" AS CHAVE_SIMUL1, "&amp;VLOOKUP(B134,'0. Instruções'!$C$27:$G$32,5,FALSE)&amp;" AS CHAVE_SIMUL2, "&amp;C134&amp;" AS CAMPO_SIMUL FROM "&amp;F134&amp;" WHERE "&amp;'0. Instruções'!$D$42&amp;")Y")</f>
        <v>(SELECT instrmnt_id AS CHAVE_SIMUL, accmltd_imprmnt_instrmnt_prvs AS CAMPO_SIMUL FROM BU_LOANTAPE_WORK.LT002_INSTRUMENT WHERE ref_date='${ref_date}' AND nome_perimetro='Individual Local' AND segmento='ESTR' AND ambito='PM' AND entidade='00100')Y</v>
      </c>
      <c r="L134" s="32" t="str">
        <f>IF(VLOOKUP(B134,'0. Instruções'!$C$27:$G$32,5,FALSE)=0,
"ON X.CHAVE_IT=Y.CHAVE_SIMUL",
"ON X.CHAVE_IT1=Y.CHAVE_SIMUL1 AND X.CHAVE_IT2=Y.CHAVE_SIMUL2")</f>
        <v>ON X.CHAVE_IT=Y.CHAVE_SIMUL</v>
      </c>
      <c r="M134" s="32" t="str">
        <f>+IF(D134="Coerência",+IF(LEFT(H134,5)="FLOAT","SELECT '"&amp;UPPER(B134)&amp;"' AS TABELA, '"&amp;UPPER(D134)&amp;"' AS TIPOLOGIA_TESTE,'"&amp;E134&amp;"' AS TABELA_LT,'"&amp;F134&amp;"' AS TABELA_SIMUL,'"&amp;C134&amp;"'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"&amp;J134&amp;" INNER JOIN "&amp;K134&amp;" "&amp;L134,"SELECT '"&amp;UPPER(B134)&amp;"' AS TABELA, '"&amp;UPPER(D134)&amp;"' AS TIPOLOGIA_TESTE,'"&amp;E134&amp;"' AS TABELA_LT,'"&amp;F134&amp;"' AS TABELA_SIMUL,'"&amp;C134&amp;"'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"&amp;J134&amp;" INNER JOIN "&amp;K134&amp;" "&amp;L134))</f>
        <v>SELECT 'INSTRUMENT' AS TABELA, 'COERÊNCIA' AS TIPOLOGIA_TESTE,'CD_LOAN_TAPES_BCE.LT002_INSTRUMENT' AS TABELA_LT,'BU_LOANTAPE_WORK.LT002_INSTRUMENT' AS TABELA_SIMUL,'accmltd_imprmnt_instrmnt_prvs'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accmltd_imprmnt_instrmnt_prvs AS CAMPO_IT FROM CD_LOAN_TAPES_BCE.LT002_INSTRUMENT WHERE ref_date='${ref_date}' AND nome_perimetro='Individual Local' AND segmento='ESTR' AND ambito='PM' AND entidade='00100')X INNER JOIN (SELECT instrmnt_id AS CHAVE_SIMUL, accmltd_imprmnt_instrmnt_prvs AS CAMPO_SIMUL FROM BU_LOANTAPE_WORK.LT002_INSTRUMENT WHERE ref_date='${ref_date}' AND nome_perimetro='Individual Local' AND segmento='ESTR' AND ambito='PM' AND entidade='00100')Y ON X.CHAVE_IT=Y.CHAVE_SIMUL</v>
      </c>
      <c r="N134" s="33" t="str">
        <f t="shared" si="5"/>
        <v>UNION ALL SELECT 'INSTRUMENT' AS TABELA, 'COERÊNCIA' AS TIPOLOGIA_TESTE,'CD_LOAN_TAPES_BCE.LT002_INSTRUMENT' AS TABELA_LT,'BU_LOANTAPE_WORK.LT002_INSTRUMENT' AS TABELA_SIMUL,'accmltd_imprmnt_instrmnt_prvs'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accmltd_imprmnt_instrmnt_prvs AS CAMPO_IT FROM CD_LOAN_TAPES_BCE.LT002_INSTRUMENT WHERE ref_date='${ref_date}' AND nome_perimetro='Individual Local' AND segmento='ESTR' AND ambito='PM' AND entidade='00100')X INNER JOIN (SELECT instrmnt_id AS CHAVE_SIMUL, accmltd_imprmnt_instrmnt_prvs AS CAMPO_SIMUL FROM BU_LOANTAPE_WORK.LT002_INSTRUMENT WHERE ref_date='${ref_date}' AND nome_perimetro='Individual Local' AND segmento='ESTR' AND ambito='PM' AND entidade='00100')Y ON X.CHAVE_IT=Y.CHAVE_SIMUL</v>
      </c>
      <c r="O134" s="35" t="s">
        <v>35</v>
      </c>
    </row>
    <row r="135" spans="1:15">
      <c r="A135" s="57" t="str">
        <f t="shared" si="4"/>
        <v>Instrumentaccmltd_wrtffs_instrmnt</v>
      </c>
      <c r="B135" s="32" t="s">
        <v>9</v>
      </c>
      <c r="C135" s="32" t="s">
        <v>313</v>
      </c>
      <c r="D135" s="32" t="s">
        <v>5</v>
      </c>
      <c r="E135" s="32" t="str">
        <f>+UPPER('0. Instruções'!$D$35&amp;"."&amp;VLOOKUP(B135,'0. Instruções'!$C$27:$D$32,2,FALSE))</f>
        <v>CD_LOAN_TAPES_BCE.LT002_INSTRUMENT</v>
      </c>
      <c r="F135" s="32" t="str">
        <f>+UPPER('0. Instruções'!$D$36&amp;"."&amp;VLOOKUP(B135,'0. Instruções'!$C$27:$E$32,3,FALSE))</f>
        <v>BU_LOANTAPE_WORK.LT002_INSTRUMENT</v>
      </c>
      <c r="H135" s="32"/>
      <c r="I135" s="32"/>
      <c r="J135" s="32" t="str">
        <f>IF(VLOOKUP(B135,'0. Instruções'!$C$27:$G$32,5,FALSE)=0,
"(SELECT "&amp;VLOOKUP(B135,'0. Instruções'!$C$27:$G$32,4,FALSE)&amp;" AS CHAVE_IT, "&amp;C135&amp;" AS CAMPO_IT FROM "&amp;E135&amp;" WHERE "&amp;'0. Instruções'!$D$43&amp;")X",
"(SELECT "&amp;VLOOKUP(B135,'0. Instruções'!$C$27:$G$32,4,FALSE)&amp;" AS CHAVE_IT1, "&amp;VLOOKUP(B135,'0. Instruções'!$C$27:$G$32,5,FALSE)&amp;" AS CHAVE_IT2, "&amp;C135&amp;" AS CAMPO_IT FROM "&amp;E135&amp;" WHERE "&amp;'0. Instruções'!$D$43&amp;")X")</f>
        <v>(SELECT instrmnt_id AS CHAVE_IT, accmltd_wrtffs_instrmnt AS CAMPO_IT FROM CD_LOAN_TAPES_BCE.LT002_INSTRUMENT WHERE ref_date='${ref_date}' AND nome_perimetro='Individual Local' AND segmento='ESTR' AND ambito='PM' AND entidade='00100')X</v>
      </c>
      <c r="K135" s="32" t="str">
        <f>IF(VLOOKUP(B135,'0. Instruções'!$C$27:$G$32,5,FALSE)=0,
"(SELECT "&amp;VLOOKUP(B135,'0. Instruções'!$C$27:$G$32,4,FALSE)&amp;" AS CHAVE_SIMUL, "&amp;C135&amp;" AS CAMPO_SIMUL FROM "&amp;F135&amp;" WHERE "&amp;'0. Instruções'!$D$42&amp;")Y",
"(SELECT "&amp;VLOOKUP(B135,'0. Instruções'!$C$27:$G$32,4,FALSE)&amp;" AS CHAVE_SIMUL1, "&amp;VLOOKUP(B135,'0. Instruções'!$C$27:$G$32,5,FALSE)&amp;" AS CHAVE_SIMUL2, "&amp;C135&amp;" AS CAMPO_SIMUL FROM "&amp;F135&amp;" WHERE "&amp;'0. Instruções'!$D$42&amp;")Y")</f>
        <v>(SELECT instrmnt_id AS CHAVE_SIMUL, accmltd_wrtffs_instrmnt AS CAMPO_SIMUL FROM BU_LOANTAPE_WORK.LT002_INSTRUMENT WHERE ref_date='${ref_date}' AND nome_perimetro='Individual Local' AND segmento='ESTR' AND ambito='PM' AND entidade='00100')Y</v>
      </c>
      <c r="L135" s="32" t="str">
        <f>IF(VLOOKUP(B135,'0. Instruções'!$C$27:$G$32,5,FALSE)=0,
"ON X.CHAVE_IT=Y.CHAVE_SIMUL",
"ON X.CHAVE_IT1=Y.CHAVE_SIMUL1 AND X.CHAVE_IT2=Y.CHAVE_SIMUL2")</f>
        <v>ON X.CHAVE_IT=Y.CHAVE_SIMUL</v>
      </c>
      <c r="M135" s="32" t="str">
        <f>+IF(D135="Coerência",+IF(LEFT(H135,5)="FLOAT","SELECT '"&amp;UPPER(B135)&amp;"' AS TABELA, '"&amp;UPPER(D135)&amp;"' AS TIPOLOGIA_TESTE,'"&amp;E135&amp;"' AS TABELA_LT,'"&amp;F135&amp;"' AS TABELA_SIMUL,'"&amp;C135&amp;"'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"&amp;J135&amp;" INNER JOIN "&amp;K135&amp;" "&amp;L135,"SELECT '"&amp;UPPER(B135)&amp;"' AS TABELA, '"&amp;UPPER(D135)&amp;"' AS TIPOLOGIA_TESTE,'"&amp;E135&amp;"' AS TABELA_LT,'"&amp;F135&amp;"' AS TABELA_SIMUL,'"&amp;C135&amp;"'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"&amp;J135&amp;" INNER JOIN "&amp;K135&amp;" "&amp;L135))</f>
        <v>SELECT 'INSTRUMENT' AS TABELA, 'COERÊNCIA' AS TIPOLOGIA_TESTE,'CD_LOAN_TAPES_BCE.LT002_INSTRUMENT' AS TABELA_LT,'BU_LOANTAPE_WORK.LT002_INSTRUMENT' AS TABELA_SIMUL,'accmltd_wrtffs_instrmnt'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accmltd_wrtffs_instrmnt AS CAMPO_IT FROM CD_LOAN_TAPES_BCE.LT002_INSTRUMENT WHERE ref_date='${ref_date}' AND nome_perimetro='Individual Local' AND segmento='ESTR' AND ambito='PM' AND entidade='00100')X INNER JOIN (SELECT instrmnt_id AS CHAVE_SIMUL, accmltd_wrtffs_instrmnt AS CAMPO_SIMUL FROM BU_LOANTAPE_WORK.LT002_INSTRUMENT WHERE ref_date='${ref_date}' AND nome_perimetro='Individual Local' AND segmento='ESTR' AND ambito='PM' AND entidade='00100')Y ON X.CHAVE_IT=Y.CHAVE_SIMUL</v>
      </c>
      <c r="N135" s="33" t="str">
        <f t="shared" si="5"/>
        <v>UNION ALL SELECT 'INSTRUMENT' AS TABELA, 'COERÊNCIA' AS TIPOLOGIA_TESTE,'CD_LOAN_TAPES_BCE.LT002_INSTRUMENT' AS TABELA_LT,'BU_LOANTAPE_WORK.LT002_INSTRUMENT' AS TABELA_SIMUL,'accmltd_wrtffs_instrmnt'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accmltd_wrtffs_instrmnt AS CAMPO_IT FROM CD_LOAN_TAPES_BCE.LT002_INSTRUMENT WHERE ref_date='${ref_date}' AND nome_perimetro='Individual Local' AND segmento='ESTR' AND ambito='PM' AND entidade='00100')X INNER JOIN (SELECT instrmnt_id AS CHAVE_SIMUL, accmltd_wrtffs_instrmnt AS CAMPO_SIMUL FROM BU_LOANTAPE_WORK.LT002_INSTRUMENT WHERE ref_date='${ref_date}' AND nome_perimetro='Individual Local' AND segmento='ESTR' AND ambito='PM' AND entidade='00100')Y ON X.CHAVE_IT=Y.CHAVE_SIMUL</v>
      </c>
      <c r="O135" s="35" t="s">
        <v>35</v>
      </c>
    </row>
    <row r="136" spans="1:15">
      <c r="A136" s="57" t="str">
        <f t="shared" si="4"/>
        <v>Instrumentarrrs_instrmnt</v>
      </c>
      <c r="B136" s="32" t="s">
        <v>9</v>
      </c>
      <c r="C136" s="32" t="s">
        <v>314</v>
      </c>
      <c r="D136" s="32" t="s">
        <v>5</v>
      </c>
      <c r="E136" s="32" t="str">
        <f>+UPPER('0. Instruções'!$D$35&amp;"."&amp;VLOOKUP(B136,'0. Instruções'!$C$27:$D$32,2,FALSE))</f>
        <v>CD_LOAN_TAPES_BCE.LT002_INSTRUMENT</v>
      </c>
      <c r="F136" s="32" t="str">
        <f>+UPPER('0. Instruções'!$D$36&amp;"."&amp;VLOOKUP(B136,'0. Instruções'!$C$27:$E$32,3,FALSE))</f>
        <v>BU_LOANTAPE_WORK.LT002_INSTRUMENT</v>
      </c>
      <c r="H136" s="32"/>
      <c r="I136" s="32"/>
      <c r="J136" s="32" t="str">
        <f>IF(VLOOKUP(B136,'0. Instruções'!$C$27:$G$32,5,FALSE)=0,
"(SELECT "&amp;VLOOKUP(B136,'0. Instruções'!$C$27:$G$32,4,FALSE)&amp;" AS CHAVE_IT, "&amp;C136&amp;" AS CAMPO_IT FROM "&amp;E136&amp;" WHERE "&amp;'0. Instruções'!$D$43&amp;")X",
"(SELECT "&amp;VLOOKUP(B136,'0. Instruções'!$C$27:$G$32,4,FALSE)&amp;" AS CHAVE_IT1, "&amp;VLOOKUP(B136,'0. Instruções'!$C$27:$G$32,5,FALSE)&amp;" AS CHAVE_IT2, "&amp;C136&amp;" AS CAMPO_IT FROM "&amp;E136&amp;" WHERE "&amp;'0. Instruções'!$D$43&amp;")X")</f>
        <v>(SELECT instrmnt_id AS CHAVE_IT, arrrs_instrmnt AS CAMPO_IT FROM CD_LOAN_TAPES_BCE.LT002_INSTRUMENT WHERE ref_date='${ref_date}' AND nome_perimetro='Individual Local' AND segmento='ESTR' AND ambito='PM' AND entidade='00100')X</v>
      </c>
      <c r="K136" s="32" t="str">
        <f>IF(VLOOKUP(B136,'0. Instruções'!$C$27:$G$32,5,FALSE)=0,
"(SELECT "&amp;VLOOKUP(B136,'0. Instruções'!$C$27:$G$32,4,FALSE)&amp;" AS CHAVE_SIMUL, "&amp;C136&amp;" AS CAMPO_SIMUL FROM "&amp;F136&amp;" WHERE "&amp;'0. Instruções'!$D$42&amp;")Y",
"(SELECT "&amp;VLOOKUP(B136,'0. Instruções'!$C$27:$G$32,4,FALSE)&amp;" AS CHAVE_SIMUL1, "&amp;VLOOKUP(B136,'0. Instruções'!$C$27:$G$32,5,FALSE)&amp;" AS CHAVE_SIMUL2, "&amp;C136&amp;" AS CAMPO_SIMUL FROM "&amp;F136&amp;" WHERE "&amp;'0. Instruções'!$D$42&amp;")Y")</f>
        <v>(SELECT instrmnt_id AS CHAVE_SIMUL, arrrs_instrmnt AS CAMPO_SIMUL FROM BU_LOANTAPE_WORK.LT002_INSTRUMENT WHERE ref_date='${ref_date}' AND nome_perimetro='Individual Local' AND segmento='ESTR' AND ambito='PM' AND entidade='00100')Y</v>
      </c>
      <c r="L136" s="32" t="str">
        <f>IF(VLOOKUP(B136,'0. Instruções'!$C$27:$G$32,5,FALSE)=0,
"ON X.CHAVE_IT=Y.CHAVE_SIMUL",
"ON X.CHAVE_IT1=Y.CHAVE_SIMUL1 AND X.CHAVE_IT2=Y.CHAVE_SIMUL2")</f>
        <v>ON X.CHAVE_IT=Y.CHAVE_SIMUL</v>
      </c>
      <c r="M136" s="32" t="str">
        <f>+IF(D136="Coerência",+IF(LEFT(H136,5)="FLOAT","SELECT '"&amp;UPPER(B136)&amp;"' AS TABELA, '"&amp;UPPER(D136)&amp;"' AS TIPOLOGIA_TESTE,'"&amp;E136&amp;"' AS TABELA_LT,'"&amp;F136&amp;"' AS TABELA_SIMUL,'"&amp;C136&amp;"'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"&amp;J136&amp;" INNER JOIN "&amp;K136&amp;" "&amp;L136,"SELECT '"&amp;UPPER(B136)&amp;"' AS TABELA, '"&amp;UPPER(D136)&amp;"' AS TIPOLOGIA_TESTE,'"&amp;E136&amp;"' AS TABELA_LT,'"&amp;F136&amp;"' AS TABELA_SIMUL,'"&amp;C136&amp;"'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"&amp;J136&amp;" INNER JOIN "&amp;K136&amp;" "&amp;L136))</f>
        <v>SELECT 'INSTRUMENT' AS TABELA, 'COERÊNCIA' AS TIPOLOGIA_TESTE,'CD_LOAN_TAPES_BCE.LT002_INSTRUMENT' AS TABELA_LT,'BU_LOANTAPE_WORK.LT002_INSTRUMENT' AS TABELA_SIMUL,'arrrs_instrmnt'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 AS CAMPO_IT FROM CD_LOAN_TAPES_BCE.LT002_INSTRUMENT WHERE ref_date='${ref_date}' AND nome_perimetro='Individual Local' AND segmento='ESTR' AND ambito='PM' AND entidade='00100')X INNER JOIN (SELECT instrmnt_id AS CHAVE_SIMUL, arrrs_instrmnt AS CAMPO_SIMUL FROM BU_LOANTAPE_WORK.LT002_INSTRUMENT WHERE ref_date='${ref_date}' AND nome_perimetro='Individual Local' AND segmento='ESTR' AND ambito='PM' AND entidade='00100')Y ON X.CHAVE_IT=Y.CHAVE_SIMUL</v>
      </c>
      <c r="N136" s="33" t="str">
        <f t="shared" si="5"/>
        <v>UNION ALL SELECT 'INSTRUMENT' AS TABELA, 'COERÊNCIA' AS TIPOLOGIA_TESTE,'CD_LOAN_TAPES_BCE.LT002_INSTRUMENT' AS TABELA_LT,'BU_LOANTAPE_WORK.LT002_INSTRUMENT' AS TABELA_SIMUL,'arrrs_instrmnt'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 AS CAMPO_IT FROM CD_LOAN_TAPES_BCE.LT002_INSTRUMENT WHERE ref_date='${ref_date}' AND nome_perimetro='Individual Local' AND segmento='ESTR' AND ambito='PM' AND entidade='00100')X INNER JOIN (SELECT instrmnt_id AS CHAVE_SIMUL, arrrs_instrmnt AS CAMPO_SIMUL FROM BU_LOANTAPE_WORK.LT002_INSTRUMENT WHERE ref_date='${ref_date}' AND nome_perimetro='Individual Local' AND segmento='ESTR' AND ambito='PM' AND entidade='00100')Y ON X.CHAVE_IT=Y.CHAVE_SIMUL</v>
      </c>
      <c r="O136" s="35" t="s">
        <v>35</v>
      </c>
    </row>
    <row r="137" spans="1:15">
      <c r="A137" s="57" t="str">
        <f t="shared" ref="A137:A200" si="6">+B137&amp;C137</f>
        <v>Instrumentarrrs_instrmnt_12m</v>
      </c>
      <c r="B137" s="32" t="s">
        <v>9</v>
      </c>
      <c r="C137" s="32" t="s">
        <v>315</v>
      </c>
      <c r="D137" s="32" t="s">
        <v>5</v>
      </c>
      <c r="E137" s="32" t="str">
        <f>+UPPER('0. Instruções'!$D$35&amp;"."&amp;VLOOKUP(B137,'0. Instruções'!$C$27:$D$32,2,FALSE))</f>
        <v>CD_LOAN_TAPES_BCE.LT002_INSTRUMENT</v>
      </c>
      <c r="F137" s="32" t="str">
        <f>+UPPER('0. Instruções'!$D$36&amp;"."&amp;VLOOKUP(B137,'0. Instruções'!$C$27:$E$32,3,FALSE))</f>
        <v>BU_LOANTAPE_WORK.LT002_INSTRUMENT</v>
      </c>
      <c r="H137" s="32"/>
      <c r="I137" s="32"/>
      <c r="J137" s="32" t="str">
        <f>IF(VLOOKUP(B137,'0. Instruções'!$C$27:$G$32,5,FALSE)=0,
"(SELECT "&amp;VLOOKUP(B137,'0. Instruções'!$C$27:$G$32,4,FALSE)&amp;" AS CHAVE_IT, "&amp;C137&amp;" AS CAMPO_IT FROM "&amp;E137&amp;" WHERE "&amp;'0. Instruções'!$D$43&amp;")X",
"(SELECT "&amp;VLOOKUP(B137,'0. Instruções'!$C$27:$G$32,4,FALSE)&amp;" AS CHAVE_IT1, "&amp;VLOOKUP(B137,'0. Instruções'!$C$27:$G$32,5,FALSE)&amp;" AS CHAVE_IT2, "&amp;C137&amp;" AS CAMPO_IT FROM "&amp;E137&amp;" WHERE "&amp;'0. Instruções'!$D$43&amp;")X")</f>
        <v>(SELECT instrmnt_id AS CHAVE_IT, arrrs_instrmnt_12m AS CAMPO_IT FROM CD_LOAN_TAPES_BCE.LT002_INSTRUMENT WHERE ref_date='${ref_date}' AND nome_perimetro='Individual Local' AND segmento='ESTR' AND ambito='PM' AND entidade='00100')X</v>
      </c>
      <c r="K137" s="32" t="str">
        <f>IF(VLOOKUP(B137,'0. Instruções'!$C$27:$G$32,5,FALSE)=0,
"(SELECT "&amp;VLOOKUP(B137,'0. Instruções'!$C$27:$G$32,4,FALSE)&amp;" AS CHAVE_SIMUL, "&amp;C137&amp;" AS CAMPO_SIMUL FROM "&amp;F137&amp;" WHERE "&amp;'0. Instruções'!$D$42&amp;")Y",
"(SELECT "&amp;VLOOKUP(B137,'0. Instruções'!$C$27:$G$32,4,FALSE)&amp;" AS CHAVE_SIMUL1, "&amp;VLOOKUP(B137,'0. Instruções'!$C$27:$G$32,5,FALSE)&amp;" AS CHAVE_SIMUL2, "&amp;C137&amp;" AS CAMPO_SIMUL FROM "&amp;F137&amp;" WHERE "&amp;'0. Instruções'!$D$42&amp;")Y")</f>
        <v>(SELECT instrmnt_id AS CHAVE_SIMUL, arrrs_instrmnt_12m AS CAMPO_SIMUL FROM BU_LOANTAPE_WORK.LT002_INSTRUMENT WHERE ref_date='${ref_date}' AND nome_perimetro='Individual Local' AND segmento='ESTR' AND ambito='PM' AND entidade='00100')Y</v>
      </c>
      <c r="L137" s="32" t="str">
        <f>IF(VLOOKUP(B137,'0. Instruções'!$C$27:$G$32,5,FALSE)=0,
"ON X.CHAVE_IT=Y.CHAVE_SIMUL",
"ON X.CHAVE_IT1=Y.CHAVE_SIMUL1 AND X.CHAVE_IT2=Y.CHAVE_SIMUL2")</f>
        <v>ON X.CHAVE_IT=Y.CHAVE_SIMUL</v>
      </c>
      <c r="M137" s="32" t="str">
        <f>+IF(D137="Coerência",+IF(LEFT(H137,5)="FLOAT","SELECT '"&amp;UPPER(B137)&amp;"' AS TABELA, '"&amp;UPPER(D137)&amp;"' AS TIPOLOGIA_TESTE,'"&amp;E137&amp;"' AS TABELA_LT,'"&amp;F137&amp;"' AS TABELA_SIMUL,'"&amp;C137&amp;"'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"&amp;J137&amp;" INNER JOIN "&amp;K137&amp;" "&amp;L137,"SELECT '"&amp;UPPER(B137)&amp;"' AS TABELA, '"&amp;UPPER(D137)&amp;"' AS TIPOLOGIA_TESTE,'"&amp;E137&amp;"' AS TABELA_LT,'"&amp;F137&amp;"' AS TABELA_SIMUL,'"&amp;C137&amp;"'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"&amp;J137&amp;" INNER JOIN "&amp;K137&amp;" "&amp;L137))</f>
        <v>SELECT 'INSTRUMENT' AS TABELA, 'COERÊNCIA' AS TIPOLOGIA_TESTE,'CD_LOAN_TAPES_BCE.LT002_INSTRUMENT' AS TABELA_LT,'BU_LOANTAPE_WORK.LT002_INSTRUMENT' AS TABELA_SIMUL,'arrrs_instrmnt_12m'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arrrs_instrmnt_12m AS CAMPO_IT FROM CD_LOAN_TAPES_BCE.LT002_INSTRUMENT WHERE ref_date='${ref_date}' AND nome_perimetro='Individual Local' AND segmento='ESTR' AND ambito='PM' AND entidade='00100')X INNER JOIN (SELECT instrmnt_id AS CHAVE_SIMUL, arrrs_instrmnt_12m AS CAMPO_SIMUL FROM BU_LOANTAPE_WORK.LT002_INSTRUMENT WHERE ref_date='${ref_date}' AND nome_perimetro='Individual Local' AND segmento='ESTR' AND ambito='PM' AND entidade='00100')Y ON X.CHAVE_IT=Y.CHAVE_SIMUL</v>
      </c>
      <c r="N137" s="33" t="str">
        <f t="shared" si="5"/>
        <v>UNION ALL SELECT 'INSTRUMENT' AS TABELA, 'COERÊNCIA' AS TIPOLOGIA_TESTE,'CD_LOAN_TAPES_BCE.LT002_INSTRUMENT' AS TABELA_LT,'BU_LOANTAPE_WORK.LT002_INSTRUMENT' AS TABELA_SIMUL,'arrrs_instrmnt_12m'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arrrs_instrmnt_12m AS CAMPO_IT FROM CD_LOAN_TAPES_BCE.LT002_INSTRUMENT WHERE ref_date='${ref_date}' AND nome_perimetro='Individual Local' AND segmento='ESTR' AND ambito='PM' AND entidade='00100')X INNER JOIN (SELECT instrmnt_id AS CHAVE_SIMUL, arrrs_instrmnt_12m AS CAMPO_SIMUL FROM BU_LOANTAPE_WORK.LT002_INSTRUMENT WHERE ref_date='${ref_date}' AND nome_perimetro='Individual Local' AND segmento='ESTR' AND ambito='PM' AND entidade='00100')Y ON X.CHAVE_IT=Y.CHAVE_SIMUL</v>
      </c>
      <c r="O137" s="35" t="s">
        <v>35</v>
      </c>
    </row>
    <row r="138" spans="1:15">
      <c r="A138" s="57" t="str">
        <f t="shared" si="6"/>
        <v>Instrumentcmltv_rcvrs_snc_dflt_instrmnt</v>
      </c>
      <c r="B138" s="32" t="s">
        <v>9</v>
      </c>
      <c r="C138" s="32" t="s">
        <v>316</v>
      </c>
      <c r="D138" s="32" t="s">
        <v>5</v>
      </c>
      <c r="E138" s="32" t="str">
        <f>+UPPER('0. Instruções'!$D$35&amp;"."&amp;VLOOKUP(B138,'0. Instruções'!$C$27:$D$32,2,FALSE))</f>
        <v>CD_LOAN_TAPES_BCE.LT002_INSTRUMENT</v>
      </c>
      <c r="F138" s="32" t="str">
        <f>+UPPER('0. Instruções'!$D$36&amp;"."&amp;VLOOKUP(B138,'0. Instruções'!$C$27:$E$32,3,FALSE))</f>
        <v>BU_LOANTAPE_WORK.LT002_INSTRUMENT</v>
      </c>
      <c r="H138" s="32"/>
      <c r="I138" s="32"/>
      <c r="J138" s="32" t="str">
        <f>IF(VLOOKUP(B138,'0. Instruções'!$C$27:$G$32,5,FALSE)=0,
"(SELECT "&amp;VLOOKUP(B138,'0. Instruções'!$C$27:$G$32,4,FALSE)&amp;" AS CHAVE_IT, "&amp;C138&amp;" AS CAMPO_IT FROM "&amp;E138&amp;" WHERE "&amp;'0. Instruções'!$D$43&amp;")X",
"(SELECT "&amp;VLOOKUP(B138,'0. Instruções'!$C$27:$G$32,4,FALSE)&amp;" AS CHAVE_IT1, "&amp;VLOOKUP(B138,'0. Instruções'!$C$27:$G$32,5,FALSE)&amp;" AS CHAVE_IT2, "&amp;C138&amp;" AS CAMPO_IT FROM "&amp;E138&amp;" WHERE "&amp;'0. Instruções'!$D$43&amp;")X")</f>
        <v>(SELECT instrmnt_id AS CHAVE_IT, cmltv_rcvrs_snc_dflt_instrmnt AS CAMPO_IT FROM CD_LOAN_TAPES_BCE.LT002_INSTRUMENT WHERE ref_date='${ref_date}' AND nome_perimetro='Individual Local' AND segmento='ESTR' AND ambito='PM' AND entidade='00100')X</v>
      </c>
      <c r="K138" s="32" t="str">
        <f>IF(VLOOKUP(B138,'0. Instruções'!$C$27:$G$32,5,FALSE)=0,
"(SELECT "&amp;VLOOKUP(B138,'0. Instruções'!$C$27:$G$32,4,FALSE)&amp;" AS CHAVE_SIMUL, "&amp;C138&amp;" AS CAMPO_SIMUL FROM "&amp;F138&amp;" WHERE "&amp;'0. Instruções'!$D$42&amp;")Y",
"(SELECT "&amp;VLOOKUP(B138,'0. Instruções'!$C$27:$G$32,4,FALSE)&amp;" AS CHAVE_SIMUL1, "&amp;VLOOKUP(B138,'0. Instruções'!$C$27:$G$32,5,FALSE)&amp;" AS CHAVE_SIMUL2, "&amp;C138&amp;" AS CAMPO_SIMUL FROM "&amp;F138&amp;" WHERE "&amp;'0. Instruções'!$D$42&amp;")Y")</f>
        <v>(SELECT instrmnt_id AS CHAVE_SIMUL, cmltv_rcvrs_snc_dflt_instrmnt AS CAMPO_SIMUL FROM BU_LOANTAPE_WORK.LT002_INSTRUMENT WHERE ref_date='${ref_date}' AND nome_perimetro='Individual Local' AND segmento='ESTR' AND ambito='PM' AND entidade='00100')Y</v>
      </c>
      <c r="L138" s="32" t="str">
        <f>IF(VLOOKUP(B138,'0. Instruções'!$C$27:$G$32,5,FALSE)=0,
"ON X.CHAVE_IT=Y.CHAVE_SIMUL",
"ON X.CHAVE_IT1=Y.CHAVE_SIMUL1 AND X.CHAVE_IT2=Y.CHAVE_SIMUL2")</f>
        <v>ON X.CHAVE_IT=Y.CHAVE_SIMUL</v>
      </c>
      <c r="M138" s="32" t="str">
        <f>+IF(D138="Coerência",+IF(LEFT(H138,5)="FLOAT","SELECT '"&amp;UPPER(B138)&amp;"' AS TABELA, '"&amp;UPPER(D138)&amp;"' AS TIPOLOGIA_TESTE,'"&amp;E138&amp;"' AS TABELA_LT,'"&amp;F138&amp;"' AS TABELA_SIMUL,'"&amp;C138&amp;"'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"&amp;J138&amp;" INNER JOIN "&amp;K138&amp;" "&amp;L138,"SELECT '"&amp;UPPER(B138)&amp;"' AS TABELA, '"&amp;UPPER(D138)&amp;"' AS TIPOLOGIA_TESTE,'"&amp;E138&amp;"' AS TABELA_LT,'"&amp;F138&amp;"' AS TABELA_SIMUL,'"&amp;C138&amp;"'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"&amp;J138&amp;" INNER JOIN "&amp;K138&amp;" "&amp;L138))</f>
        <v>SELECT 'INSTRUMENT' AS TABELA, 'COERÊNCIA' AS TIPOLOGIA_TESTE,'CD_LOAN_TAPES_BCE.LT002_INSTRUMENT' AS TABELA_LT,'BU_LOANTAPE_WORK.LT002_INSTRUMENT' AS TABELA_SIMUL,'cmltv_rcvrs_snc_dflt_instrmnt'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cmltv_rcvrs_snc_dflt_instrmnt AS CAMPO_IT FROM CD_LOAN_TAPES_BCE.LT002_INSTRUMENT WHERE ref_date='${ref_date}' AND nome_perimetro='Individual Local' AND segmento='ESTR' AND ambito='PM' AND entidade='00100')X INNER JOIN (SELECT instrmnt_id AS CHAVE_SIMUL, cmltv_rcvrs_snc_dflt_instrmnt AS CAMPO_SIMUL FROM BU_LOANTAPE_WORK.LT002_INSTRUMENT WHERE ref_date='${ref_date}' AND nome_perimetro='Individual Local' AND segmento='ESTR' AND ambito='PM' AND entidade='00100')Y ON X.CHAVE_IT=Y.CHAVE_SIMUL</v>
      </c>
      <c r="N138" s="33" t="str">
        <f t="shared" si="5"/>
        <v>UNION ALL SELECT 'INSTRUMENT' AS TABELA, 'COERÊNCIA' AS TIPOLOGIA_TESTE,'CD_LOAN_TAPES_BCE.LT002_INSTRUMENT' AS TABELA_LT,'BU_LOANTAPE_WORK.LT002_INSTRUMENT' AS TABELA_SIMUL,'cmltv_rcvrs_snc_dflt_instrmnt'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cmltv_rcvrs_snc_dflt_instrmnt AS CAMPO_IT FROM CD_LOAN_TAPES_BCE.LT002_INSTRUMENT WHERE ref_date='${ref_date}' AND nome_perimetro='Individual Local' AND segmento='ESTR' AND ambito='PM' AND entidade='00100')X INNER JOIN (SELECT instrmnt_id AS CHAVE_SIMUL, cmltv_rcvrs_snc_dflt_instrmnt AS CAMPO_SIMUL FROM BU_LOANTAPE_WORK.LT002_INSTRUMENT WHERE ref_date='${ref_date}' AND nome_perimetro='Individual Local' AND segmento='ESTR' AND ambito='PM' AND entidade='00100')Y ON X.CHAVE_IT=Y.CHAVE_SIMUL</v>
      </c>
      <c r="O138" s="35" t="s">
        <v>35</v>
      </c>
    </row>
    <row r="139" spans="1:15">
      <c r="A139" s="57" t="str">
        <f t="shared" si="6"/>
        <v>Instrumentdpd</v>
      </c>
      <c r="B139" s="32" t="s">
        <v>9</v>
      </c>
      <c r="C139" s="32" t="s">
        <v>317</v>
      </c>
      <c r="D139" s="32" t="s">
        <v>5</v>
      </c>
      <c r="E139" s="32" t="str">
        <f>+UPPER('0. Instruções'!$D$35&amp;"."&amp;VLOOKUP(B139,'0. Instruções'!$C$27:$D$32,2,FALSE))</f>
        <v>CD_LOAN_TAPES_BCE.LT002_INSTRUMENT</v>
      </c>
      <c r="F139" s="32" t="str">
        <f>+UPPER('0. Instruções'!$D$36&amp;"."&amp;VLOOKUP(B139,'0. Instruções'!$C$27:$E$32,3,FALSE))</f>
        <v>BU_LOANTAPE_WORK.LT002_INSTRUMENT</v>
      </c>
      <c r="H139" s="32"/>
      <c r="I139" s="32"/>
      <c r="J139" s="32" t="str">
        <f>IF(VLOOKUP(B139,'0. Instruções'!$C$27:$G$32,5,FALSE)=0,
"(SELECT "&amp;VLOOKUP(B139,'0. Instruções'!$C$27:$G$32,4,FALSE)&amp;" AS CHAVE_IT, "&amp;C139&amp;" AS CAMPO_IT FROM "&amp;E139&amp;" WHERE "&amp;'0. Instruções'!$D$43&amp;")X",
"(SELECT "&amp;VLOOKUP(B139,'0. Instruções'!$C$27:$G$32,4,FALSE)&amp;" AS CHAVE_IT1, "&amp;VLOOKUP(B139,'0. Instruções'!$C$27:$G$32,5,FALSE)&amp;" AS CHAVE_IT2, "&amp;C139&amp;" AS CAMPO_IT FROM "&amp;E139&amp;" WHERE "&amp;'0. Instruções'!$D$43&amp;")X")</f>
        <v>(SELECT instrmnt_id AS CHAVE_IT, dpd AS CAMPO_IT FROM CD_LOAN_TAPES_BCE.LT002_INSTRUMENT WHERE ref_date='${ref_date}' AND nome_perimetro='Individual Local' AND segmento='ESTR' AND ambito='PM' AND entidade='00100')X</v>
      </c>
      <c r="K139" s="32" t="str">
        <f>IF(VLOOKUP(B139,'0. Instruções'!$C$27:$G$32,5,FALSE)=0,
"(SELECT "&amp;VLOOKUP(B139,'0. Instruções'!$C$27:$G$32,4,FALSE)&amp;" AS CHAVE_SIMUL, "&amp;C139&amp;" AS CAMPO_SIMUL FROM "&amp;F139&amp;" WHERE "&amp;'0. Instruções'!$D$42&amp;")Y",
"(SELECT "&amp;VLOOKUP(B139,'0. Instruções'!$C$27:$G$32,4,FALSE)&amp;" AS CHAVE_SIMUL1, "&amp;VLOOKUP(B139,'0. Instruções'!$C$27:$G$32,5,FALSE)&amp;" AS CHAVE_SIMUL2, "&amp;C139&amp;" AS CAMPO_SIMUL FROM "&amp;F139&amp;" WHERE "&amp;'0. Instruções'!$D$42&amp;")Y")</f>
        <v>(SELECT instrmnt_id AS CHAVE_SIMUL, dpd AS CAMPO_SIMUL FROM BU_LOANTAPE_WORK.LT002_INSTRUMENT WHERE ref_date='${ref_date}' AND nome_perimetro='Individual Local' AND segmento='ESTR' AND ambito='PM' AND entidade='00100')Y</v>
      </c>
      <c r="L139" s="32" t="str">
        <f>IF(VLOOKUP(B139,'0. Instruções'!$C$27:$G$32,5,FALSE)=0,
"ON X.CHAVE_IT=Y.CHAVE_SIMUL",
"ON X.CHAVE_IT1=Y.CHAVE_SIMUL1 AND X.CHAVE_IT2=Y.CHAVE_SIMUL2")</f>
        <v>ON X.CHAVE_IT=Y.CHAVE_SIMUL</v>
      </c>
      <c r="M139" s="32" t="str">
        <f>+IF(D139="Coerência",+IF(LEFT(H139,5)="FLOAT","SELECT '"&amp;UPPER(B139)&amp;"' AS TABELA, '"&amp;UPPER(D139)&amp;"' AS TIPOLOGIA_TESTE,'"&amp;E139&amp;"' AS TABELA_LT,'"&amp;F139&amp;"' AS TABELA_SIMUL,'"&amp;C139&amp;"'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"&amp;J139&amp;" INNER JOIN "&amp;K139&amp;" "&amp;L139,"SELECT '"&amp;UPPER(B139)&amp;"' AS TABELA, '"&amp;UPPER(D139)&amp;"' AS TIPOLOGIA_TESTE,'"&amp;E139&amp;"' AS TABELA_LT,'"&amp;F139&amp;"' AS TABELA_SIMUL,'"&amp;C139&amp;"'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"&amp;J139&amp;" INNER JOIN "&amp;K139&amp;" "&amp;L139))</f>
        <v>SELECT 'INSTRUMENT' AS TABELA, 'COERÊNCIA' AS TIPOLOGIA_TESTE,'CD_LOAN_TAPES_BCE.LT002_INSTRUMENT' AS TABELA_LT,'BU_LOANTAPE_WORK.LT002_INSTRUMENT' AS TABELA_SIMUL,'dpd'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 AS CAMPO_IT FROM CD_LOAN_TAPES_BCE.LT002_INSTRUMENT WHERE ref_date='${ref_date}' AND nome_perimetro='Individual Local' AND segmento='ESTR' AND ambito='PM' AND entidade='00100')X INNER JOIN (SELECT instrmnt_id AS CHAVE_SIMUL, dpd AS CAMPO_SIMUL FROM BU_LOANTAPE_WORK.LT002_INSTRUMENT WHERE ref_date='${ref_date}' AND nome_perimetro='Individual Local' AND segmento='ESTR' AND ambito='PM' AND entidade='00100')Y ON X.CHAVE_IT=Y.CHAVE_SIMUL</v>
      </c>
      <c r="N139" s="33" t="str">
        <f t="shared" si="5"/>
        <v>UNION ALL SELECT 'INSTRUMENT' AS TABELA, 'COERÊNCIA' AS TIPOLOGIA_TESTE,'CD_LOAN_TAPES_BCE.LT002_INSTRUMENT' AS TABELA_LT,'BU_LOANTAPE_WORK.LT002_INSTRUMENT' AS TABELA_SIMUL,'dpd'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 AS CAMPO_IT FROM CD_LOAN_TAPES_BCE.LT002_INSTRUMENT WHERE ref_date='${ref_date}' AND nome_perimetro='Individual Local' AND segmento='ESTR' AND ambito='PM' AND entidade='00100')X INNER JOIN (SELECT instrmnt_id AS CHAVE_SIMUL, dpd AS CAMPO_SIMUL FROM BU_LOANTAPE_WORK.LT002_INSTRUMENT WHERE ref_date='${ref_date}' AND nome_perimetro='Individual Local' AND segmento='ESTR' AND ambito='PM' AND entidade='00100')Y ON X.CHAVE_IT=Y.CHAVE_SIMUL</v>
      </c>
      <c r="O139" s="35" t="s">
        <v>35</v>
      </c>
    </row>
    <row r="140" spans="1:15">
      <c r="A140" s="57" t="str">
        <f t="shared" si="6"/>
        <v>Instrumentdpd_12m</v>
      </c>
      <c r="B140" s="32" t="s">
        <v>9</v>
      </c>
      <c r="C140" s="32" t="s">
        <v>318</v>
      </c>
      <c r="D140" s="32" t="s">
        <v>5</v>
      </c>
      <c r="E140" s="32" t="str">
        <f>+UPPER('0. Instruções'!$D$35&amp;"."&amp;VLOOKUP(B140,'0. Instruções'!$C$27:$D$32,2,FALSE))</f>
        <v>CD_LOAN_TAPES_BCE.LT002_INSTRUMENT</v>
      </c>
      <c r="F140" s="32" t="str">
        <f>+UPPER('0. Instruções'!$D$36&amp;"."&amp;VLOOKUP(B140,'0. Instruções'!$C$27:$E$32,3,FALSE))</f>
        <v>BU_LOANTAPE_WORK.LT002_INSTRUMENT</v>
      </c>
      <c r="H140" s="32"/>
      <c r="I140" s="32"/>
      <c r="J140" s="32" t="str">
        <f>IF(VLOOKUP(B140,'0. Instruções'!$C$27:$G$32,5,FALSE)=0,
"(SELECT "&amp;VLOOKUP(B140,'0. Instruções'!$C$27:$G$32,4,FALSE)&amp;" AS CHAVE_IT, "&amp;C140&amp;" AS CAMPO_IT FROM "&amp;E140&amp;" WHERE "&amp;'0. Instruções'!$D$43&amp;")X",
"(SELECT "&amp;VLOOKUP(B140,'0. Instruções'!$C$27:$G$32,4,FALSE)&amp;" AS CHAVE_IT1, "&amp;VLOOKUP(B140,'0. Instruções'!$C$27:$G$32,5,FALSE)&amp;" AS CHAVE_IT2, "&amp;C140&amp;" AS CAMPO_IT FROM "&amp;E140&amp;" WHERE "&amp;'0. Instruções'!$D$43&amp;")X")</f>
        <v>(SELECT instrmnt_id AS CHAVE_IT, dpd_12m AS CAMPO_IT FROM CD_LOAN_TAPES_BCE.LT002_INSTRUMENT WHERE ref_date='${ref_date}' AND nome_perimetro='Individual Local' AND segmento='ESTR' AND ambito='PM' AND entidade='00100')X</v>
      </c>
      <c r="K140" s="32" t="str">
        <f>IF(VLOOKUP(B140,'0. Instruções'!$C$27:$G$32,5,FALSE)=0,
"(SELECT "&amp;VLOOKUP(B140,'0. Instruções'!$C$27:$G$32,4,FALSE)&amp;" AS CHAVE_SIMUL, "&amp;C140&amp;" AS CAMPO_SIMUL FROM "&amp;F140&amp;" WHERE "&amp;'0. Instruções'!$D$42&amp;")Y",
"(SELECT "&amp;VLOOKUP(B140,'0. Instruções'!$C$27:$G$32,4,FALSE)&amp;" AS CHAVE_SIMUL1, "&amp;VLOOKUP(B140,'0. Instruções'!$C$27:$G$32,5,FALSE)&amp;" AS CHAVE_SIMUL2, "&amp;C140&amp;" AS CAMPO_SIMUL FROM "&amp;F140&amp;" WHERE "&amp;'0. Instruções'!$D$42&amp;")Y")</f>
        <v>(SELECT instrmnt_id AS CHAVE_SIMUL, dpd_12m AS CAMPO_SIMUL FROM BU_LOANTAPE_WORK.LT002_INSTRUMENT WHERE ref_date='${ref_date}' AND nome_perimetro='Individual Local' AND segmento='ESTR' AND ambito='PM' AND entidade='00100')Y</v>
      </c>
      <c r="L140" s="32" t="str">
        <f>IF(VLOOKUP(B140,'0. Instruções'!$C$27:$G$32,5,FALSE)=0,
"ON X.CHAVE_IT=Y.CHAVE_SIMUL",
"ON X.CHAVE_IT1=Y.CHAVE_SIMUL1 AND X.CHAVE_IT2=Y.CHAVE_SIMUL2")</f>
        <v>ON X.CHAVE_IT=Y.CHAVE_SIMUL</v>
      </c>
      <c r="M140" s="32" t="str">
        <f>+IF(D140="Coerência",+IF(LEFT(H140,5)="FLOAT","SELECT '"&amp;UPPER(B140)&amp;"' AS TABELA, '"&amp;UPPER(D140)&amp;"' AS TIPOLOGIA_TESTE,'"&amp;E140&amp;"' AS TABELA_LT,'"&amp;F140&amp;"' AS TABELA_SIMUL,'"&amp;C140&amp;"'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"&amp;J140&amp;" INNER JOIN "&amp;K140&amp;" "&amp;L140,"SELECT '"&amp;UPPER(B140)&amp;"' AS TABELA, '"&amp;UPPER(D140)&amp;"' AS TIPOLOGIA_TESTE,'"&amp;E140&amp;"' AS TABELA_LT,'"&amp;F140&amp;"' AS TABELA_SIMUL,'"&amp;C140&amp;"'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"&amp;J140&amp;" INNER JOIN "&amp;K140&amp;" "&amp;L140))</f>
        <v>SELECT 'INSTRUMENT' AS TABELA, 'COERÊNCIA' AS TIPOLOGIA_TESTE,'CD_LOAN_TAPES_BCE.LT002_INSTRUMENT' AS TABELA_LT,'BU_LOANTAPE_WORK.LT002_INSTRUMENT' AS TABELA_SIMUL,'dpd_12m'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 AS CAMPO_IT FROM CD_LOAN_TAPES_BCE.LT002_INSTRUMENT WHERE ref_date='${ref_date}' AND nome_perimetro='Individual Local' AND segmento='ESTR' AND ambito='PM' AND entidade='00100')X INNER JOIN (SELECT instrmnt_id AS CHAVE_SIMUL, dpd_12m AS CAMPO_SIMUL FROM BU_LOANTAPE_WORK.LT002_INSTRUMENT WHERE ref_date='${ref_date}' AND nome_perimetro='Individual Local' AND segmento='ESTR' AND ambito='PM' AND entidade='00100')Y ON X.CHAVE_IT=Y.CHAVE_SIMUL</v>
      </c>
      <c r="N140" s="33" t="str">
        <f t="shared" si="5"/>
        <v>UNION ALL SELECT 'INSTRUMENT' AS TABELA, 'COERÊNCIA' AS TIPOLOGIA_TESTE,'CD_LOAN_TAPES_BCE.LT002_INSTRUMENT' AS TABELA_LT,'BU_LOANTAPE_WORK.LT002_INSTRUMENT' AS TABELA_SIMUL,'dpd_12m'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 AS CAMPO_IT FROM CD_LOAN_TAPES_BCE.LT002_INSTRUMENT WHERE ref_date='${ref_date}' AND nome_perimetro='Individual Local' AND segmento='ESTR' AND ambito='PM' AND entidade='00100')X INNER JOIN (SELECT instrmnt_id AS CHAVE_SIMUL, dpd_12m AS CAMPO_SIMUL FROM BU_LOANTAPE_WORK.LT002_INSTRUMENT WHERE ref_date='${ref_date}' AND nome_perimetro='Individual Local' AND segmento='ESTR' AND ambito='PM' AND entidade='00100')Y ON X.CHAVE_IT=Y.CHAVE_SIMUL</v>
      </c>
      <c r="O140" s="35" t="s">
        <v>35</v>
      </c>
    </row>
    <row r="141" spans="1:15">
      <c r="A141" s="57" t="str">
        <f t="shared" si="6"/>
        <v>Instrumentdpd_12m_frbrnc_stts</v>
      </c>
      <c r="B141" s="32" t="s">
        <v>9</v>
      </c>
      <c r="C141" s="32" t="s">
        <v>319</v>
      </c>
      <c r="D141" s="32" t="s">
        <v>5</v>
      </c>
      <c r="E141" s="32" t="str">
        <f>+UPPER('0. Instruções'!$D$35&amp;"."&amp;VLOOKUP(B141,'0. Instruções'!$C$27:$D$32,2,FALSE))</f>
        <v>CD_LOAN_TAPES_BCE.LT002_INSTRUMENT</v>
      </c>
      <c r="F141" s="32" t="str">
        <f>+UPPER('0. Instruções'!$D$36&amp;"."&amp;VLOOKUP(B141,'0. Instruções'!$C$27:$E$32,3,FALSE))</f>
        <v>BU_LOANTAPE_WORK.LT002_INSTRUMENT</v>
      </c>
      <c r="H141" s="32"/>
      <c r="I141" s="32"/>
      <c r="J141" s="32" t="str">
        <f>IF(VLOOKUP(B141,'0. Instruções'!$C$27:$G$32,5,FALSE)=0,
"(SELECT "&amp;VLOOKUP(B141,'0. Instruções'!$C$27:$G$32,4,FALSE)&amp;" AS CHAVE_IT, "&amp;C141&amp;" AS CAMPO_IT FROM "&amp;E141&amp;" WHERE "&amp;'0. Instruções'!$D$43&amp;")X",
"(SELECT "&amp;VLOOKUP(B141,'0. Instruções'!$C$27:$G$32,4,FALSE)&amp;" AS CHAVE_IT1, "&amp;VLOOKUP(B141,'0. Instruções'!$C$27:$G$32,5,FALSE)&amp;" AS CHAVE_IT2, "&amp;C141&amp;" AS CAMPO_IT FROM "&amp;E141&amp;" WHERE "&amp;'0. Instruções'!$D$43&amp;")X")</f>
        <v>(SELECT instrmnt_id AS CHAVE_IT, dpd_12m_frbrnc_stts AS CAMPO_IT FROM CD_LOAN_TAPES_BCE.LT002_INSTRUMENT WHERE ref_date='${ref_date}' AND nome_perimetro='Individual Local' AND segmento='ESTR' AND ambito='PM' AND entidade='00100')X</v>
      </c>
      <c r="K141" s="32" t="str">
        <f>IF(VLOOKUP(B141,'0. Instruções'!$C$27:$G$32,5,FALSE)=0,
"(SELECT "&amp;VLOOKUP(B141,'0. Instruções'!$C$27:$G$32,4,FALSE)&amp;" AS CHAVE_SIMUL, "&amp;C141&amp;" AS CAMPO_SIMUL FROM "&amp;F141&amp;" WHERE "&amp;'0. Instruções'!$D$42&amp;")Y",
"(SELECT "&amp;VLOOKUP(B141,'0. Instruções'!$C$27:$G$32,4,FALSE)&amp;" AS CHAVE_SIMUL1, "&amp;VLOOKUP(B141,'0. Instruções'!$C$27:$G$32,5,FALSE)&amp;" AS CHAVE_SIMUL2, "&amp;C141&amp;" AS CAMPO_SIMUL FROM "&amp;F141&amp;" WHERE "&amp;'0. Instruções'!$D$42&amp;")Y")</f>
        <v>(SELECT instrmnt_id AS CHAVE_SIMUL, dpd_12m_frbrnc_stts AS CAMPO_SIMUL FROM BU_LOANTAPE_WORK.LT002_INSTRUMENT WHERE ref_date='${ref_date}' AND nome_perimetro='Individual Local' AND segmento='ESTR' AND ambito='PM' AND entidade='00100')Y</v>
      </c>
      <c r="L141" s="32" t="str">
        <f>IF(VLOOKUP(B141,'0. Instruções'!$C$27:$G$32,5,FALSE)=0,
"ON X.CHAVE_IT=Y.CHAVE_SIMUL",
"ON X.CHAVE_IT1=Y.CHAVE_SIMUL1 AND X.CHAVE_IT2=Y.CHAVE_SIMUL2")</f>
        <v>ON X.CHAVE_IT=Y.CHAVE_SIMUL</v>
      </c>
      <c r="M141" s="32" t="str">
        <f>+IF(D141="Coerência",+IF(LEFT(H141,5)="FLOAT","SELECT '"&amp;UPPER(B141)&amp;"' AS TABELA, '"&amp;UPPER(D141)&amp;"' AS TIPOLOGIA_TESTE,'"&amp;E141&amp;"' AS TABELA_LT,'"&amp;F141&amp;"' AS TABELA_SIMUL,'"&amp;C141&amp;"'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"&amp;J141&amp;" INNER JOIN "&amp;K141&amp;" "&amp;L141,"SELECT '"&amp;UPPER(B141)&amp;"' AS TABELA, '"&amp;UPPER(D141)&amp;"' AS TIPOLOGIA_TESTE,'"&amp;E141&amp;"' AS TABELA_LT,'"&amp;F141&amp;"' AS TABELA_SIMUL,'"&amp;C141&amp;"'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"&amp;J141&amp;" INNER JOIN "&amp;K141&amp;" "&amp;L141))</f>
        <v>SELECT 'INSTRUMENT' AS TABELA, 'COERÊNCIA' AS TIPOLOGIA_TESTE,'CD_LOAN_TAPES_BCE.LT002_INSTRUMENT' AS TABELA_LT,'BU_LOANTAPE_WORK.LT002_INSTRUMENT' AS TABELA_SIMUL,'dpd_12m_frbrnc_stts'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dpd_12m_frbrnc_stts AS CAMPO_IT FROM CD_LOAN_TAPES_BCE.LT002_INSTRUMENT WHERE ref_date='${ref_date}' AND nome_perimetro='Individual Local' AND segmento='ESTR' AND ambito='PM' AND entidade='00100')X INNER JOIN (SELECT instrmnt_id AS CHAVE_SIMUL, dpd_12m_frbrnc_stts AS CAMPO_SIMUL FROM BU_LOANTAPE_WORK.LT002_INSTRUMENT WHERE ref_date='${ref_date}' AND nome_perimetro='Individual Local' AND segmento='ESTR' AND ambito='PM' AND entidade='00100')Y ON X.CHAVE_IT=Y.CHAVE_SIMUL</v>
      </c>
      <c r="N141" s="33" t="str">
        <f t="shared" si="5"/>
        <v>UNION ALL SELECT 'INSTRUMENT' AS TABELA, 'COERÊNCIA' AS TIPOLOGIA_TESTE,'CD_LOAN_TAPES_BCE.LT002_INSTRUMENT' AS TABELA_LT,'BU_LOANTAPE_WORK.LT002_INSTRUMENT' AS TABELA_SIMUL,'dpd_12m_frbrnc_stts'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dpd_12m_frbrnc_stts AS CAMPO_IT FROM CD_LOAN_TAPES_BCE.LT002_INSTRUMENT WHERE ref_date='${ref_date}' AND nome_perimetro='Individual Local' AND segmento='ESTR' AND ambito='PM' AND entidade='00100')X INNER JOIN (SELECT instrmnt_id AS CHAVE_SIMUL, dpd_12m_frbrnc_stts AS CAMPO_SIMUL FROM BU_LOANTAPE_WORK.LT002_INSTRUMENT WHERE ref_date='${ref_date}' AND nome_perimetro='Individual Local' AND segmento='ESTR' AND ambito='PM' AND entidade='00100')Y ON X.CHAVE_IT=Y.CHAVE_SIMUL</v>
      </c>
      <c r="O141" s="35" t="s">
        <v>35</v>
      </c>
    </row>
    <row r="142" spans="1:15">
      <c r="A142" s="57" t="str">
        <f t="shared" si="6"/>
        <v>Instrumentdpd_12m_prfrmng_stts</v>
      </c>
      <c r="B142" s="32" t="s">
        <v>9</v>
      </c>
      <c r="C142" s="32" t="s">
        <v>73</v>
      </c>
      <c r="D142" s="32" t="s">
        <v>5</v>
      </c>
      <c r="E142" s="32" t="str">
        <f>+UPPER('0. Instruções'!$D$35&amp;"."&amp;VLOOKUP(B142,'0. Instruções'!$C$27:$D$32,2,FALSE))</f>
        <v>CD_LOAN_TAPES_BCE.LT002_INSTRUMENT</v>
      </c>
      <c r="F142" s="32" t="str">
        <f>+UPPER('0. Instruções'!$D$36&amp;"."&amp;VLOOKUP(B142,'0. Instruções'!$C$27:$E$32,3,FALSE))</f>
        <v>BU_LOANTAPE_WORK.LT002_INSTRUMENT</v>
      </c>
      <c r="H142" s="32"/>
      <c r="I142" s="32"/>
      <c r="J142" s="32" t="str">
        <f>IF(VLOOKUP(B142,'0. Instruções'!$C$27:$G$32,5,FALSE)=0,
"(SELECT "&amp;VLOOKUP(B142,'0. Instruções'!$C$27:$G$32,4,FALSE)&amp;" AS CHAVE_IT, "&amp;C142&amp;" AS CAMPO_IT FROM "&amp;E142&amp;" WHERE "&amp;'0. Instruções'!$D$43&amp;")X",
"(SELECT "&amp;VLOOKUP(B142,'0. Instruções'!$C$27:$G$32,4,FALSE)&amp;" AS CHAVE_IT1, "&amp;VLOOKUP(B142,'0. Instruções'!$C$27:$G$32,5,FALSE)&amp;" AS CHAVE_IT2, "&amp;C142&amp;" AS CAMPO_IT FROM "&amp;E142&amp;" WHERE "&amp;'0. Instruções'!$D$43&amp;")X")</f>
        <v>(SELECT instrmnt_id AS CHAVE_IT, dpd_12m_prfrmng_stts AS CAMPO_IT FROM CD_LOAN_TAPES_BCE.LT002_INSTRUMENT WHERE ref_date='${ref_date}' AND nome_perimetro='Individual Local' AND segmento='ESTR' AND ambito='PM' AND entidade='00100')X</v>
      </c>
      <c r="K142" s="32" t="str">
        <f>IF(VLOOKUP(B142,'0. Instruções'!$C$27:$G$32,5,FALSE)=0,
"(SELECT "&amp;VLOOKUP(B142,'0. Instruções'!$C$27:$G$32,4,FALSE)&amp;" AS CHAVE_SIMUL, "&amp;C142&amp;" AS CAMPO_SIMUL FROM "&amp;F142&amp;" WHERE "&amp;'0. Instruções'!$D$42&amp;")Y",
"(SELECT "&amp;VLOOKUP(B142,'0. Instruções'!$C$27:$G$32,4,FALSE)&amp;" AS CHAVE_SIMUL1, "&amp;VLOOKUP(B142,'0. Instruções'!$C$27:$G$32,5,FALSE)&amp;" AS CHAVE_SIMUL2, "&amp;C142&amp;" AS CAMPO_SIMUL FROM "&amp;F142&amp;" WHERE "&amp;'0. Instruções'!$D$42&amp;")Y")</f>
        <v>(SELECT instrmnt_id AS CHAVE_SIMUL, dpd_12m_prfrmng_stts AS CAMPO_SIMUL FROM BU_LOANTAPE_WORK.LT002_INSTRUMENT WHERE ref_date='${ref_date}' AND nome_perimetro='Individual Local' AND segmento='ESTR' AND ambito='PM' AND entidade='00100')Y</v>
      </c>
      <c r="L142" s="32" t="str">
        <f>IF(VLOOKUP(B142,'0. Instruções'!$C$27:$G$32,5,FALSE)=0,
"ON X.CHAVE_IT=Y.CHAVE_SIMUL",
"ON X.CHAVE_IT1=Y.CHAVE_SIMUL1 AND X.CHAVE_IT2=Y.CHAVE_SIMUL2")</f>
        <v>ON X.CHAVE_IT=Y.CHAVE_SIMUL</v>
      </c>
      <c r="M142" s="32" t="str">
        <f>+IF(D142="Coerência",+IF(LEFT(H142,5)="FLOAT","SELECT '"&amp;UPPER(B142)&amp;"' AS TABELA, '"&amp;UPPER(D142)&amp;"' AS TIPOLOGIA_TESTE,'"&amp;E142&amp;"' AS TABELA_LT,'"&amp;F142&amp;"' AS TABELA_SIMUL,'"&amp;C142&amp;"'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"&amp;J142&amp;" INNER JOIN "&amp;K142&amp;" "&amp;L142,"SELECT '"&amp;UPPER(B142)&amp;"' AS TABELA, '"&amp;UPPER(D142)&amp;"' AS TIPOLOGIA_TESTE,'"&amp;E142&amp;"' AS TABELA_LT,'"&amp;F142&amp;"' AS TABELA_SIMUL,'"&amp;C142&amp;"'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"&amp;J142&amp;" INNER JOIN "&amp;K142&amp;" "&amp;L142))</f>
        <v>SELECT 'INSTRUMENT' AS TABELA, 'COERÊNCIA' AS TIPOLOGIA_TESTE,'CD_LOAN_TAPES_BCE.LT002_INSTRUMENT' AS TABELA_LT,'BU_LOANTAPE_WORK.LT002_INSTRUMENT' AS TABELA_SIMUL,'dpd_12m_prfrmng_stts'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dpd_12m_prfrmng_stts AS CAMPO_IT FROM CD_LOAN_TAPES_BCE.LT002_INSTRUMENT WHERE ref_date='${ref_date}' AND nome_perimetro='Individual Local' AND segmento='ESTR' AND ambito='PM' AND entidade='00100')X INNER JOIN (SELECT instrmnt_id AS CHAVE_SIMUL, dpd_12m_prfrmng_stts AS CAMPO_SIMUL FROM BU_LOANTAPE_WORK.LT002_INSTRUMENT WHERE ref_date='${ref_date}' AND nome_perimetro='Individual Local' AND segmento='ESTR' AND ambito='PM' AND entidade='00100')Y ON X.CHAVE_IT=Y.CHAVE_SIMUL</v>
      </c>
      <c r="N142" s="33" t="str">
        <f t="shared" si="5"/>
        <v>UNION ALL SELECT 'INSTRUMENT' AS TABELA, 'COERÊNCIA' AS TIPOLOGIA_TESTE,'CD_LOAN_TAPES_BCE.LT002_INSTRUMENT' AS TABELA_LT,'BU_LOANTAPE_WORK.LT002_INSTRUMENT' AS TABELA_SIMUL,'dpd_12m_prfrmng_stts'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dpd_12m_prfrmng_stts AS CAMPO_IT FROM CD_LOAN_TAPES_BCE.LT002_INSTRUMENT WHERE ref_date='${ref_date}' AND nome_perimetro='Individual Local' AND segmento='ESTR' AND ambito='PM' AND entidade='00100')X INNER JOIN (SELECT instrmnt_id AS CHAVE_SIMUL, dpd_12m_prfrmng_stts AS CAMPO_SIMUL FROM BU_LOANTAPE_WORK.LT002_INSTRUMENT WHERE ref_date='${ref_date}' AND nome_perimetro='Individual Local' AND segmento='ESTR' AND ambito='PM' AND entidade='00100')Y ON X.CHAVE_IT=Y.CHAVE_SIMUL</v>
      </c>
      <c r="O142" s="35" t="s">
        <v>35</v>
      </c>
    </row>
    <row r="143" spans="1:15">
      <c r="A143" s="57" t="str">
        <f t="shared" si="6"/>
        <v>Instrumentdpd_24m_frbrnc_stts</v>
      </c>
      <c r="B143" s="32" t="s">
        <v>9</v>
      </c>
      <c r="C143" s="32" t="s">
        <v>320</v>
      </c>
      <c r="D143" s="32" t="s">
        <v>5</v>
      </c>
      <c r="E143" s="32" t="str">
        <f>+UPPER('0. Instruções'!$D$35&amp;"."&amp;VLOOKUP(B143,'0. Instruções'!$C$27:$D$32,2,FALSE))</f>
        <v>CD_LOAN_TAPES_BCE.LT002_INSTRUMENT</v>
      </c>
      <c r="F143" s="32" t="str">
        <f>+UPPER('0. Instruções'!$D$36&amp;"."&amp;VLOOKUP(B143,'0. Instruções'!$C$27:$E$32,3,FALSE))</f>
        <v>BU_LOANTAPE_WORK.LT002_INSTRUMENT</v>
      </c>
      <c r="H143" s="32"/>
      <c r="I143" s="32"/>
      <c r="J143" s="32" t="str">
        <f>IF(VLOOKUP(B143,'0. Instruções'!$C$27:$G$32,5,FALSE)=0,
"(SELECT "&amp;VLOOKUP(B143,'0. Instruções'!$C$27:$G$32,4,FALSE)&amp;" AS CHAVE_IT, "&amp;C143&amp;" AS CAMPO_IT FROM "&amp;E143&amp;" WHERE "&amp;'0. Instruções'!$D$43&amp;")X",
"(SELECT "&amp;VLOOKUP(B143,'0. Instruções'!$C$27:$G$32,4,FALSE)&amp;" AS CHAVE_IT1, "&amp;VLOOKUP(B143,'0. Instruções'!$C$27:$G$32,5,FALSE)&amp;" AS CHAVE_IT2, "&amp;C143&amp;" AS CAMPO_IT FROM "&amp;E143&amp;" WHERE "&amp;'0. Instruções'!$D$43&amp;")X")</f>
        <v>(SELECT instrmnt_id AS CHAVE_IT, dpd_24m_frbrnc_stts AS CAMPO_IT FROM CD_LOAN_TAPES_BCE.LT002_INSTRUMENT WHERE ref_date='${ref_date}' AND nome_perimetro='Individual Local' AND segmento='ESTR' AND ambito='PM' AND entidade='00100')X</v>
      </c>
      <c r="K143" s="32" t="str">
        <f>IF(VLOOKUP(B143,'0. Instruções'!$C$27:$G$32,5,FALSE)=0,
"(SELECT "&amp;VLOOKUP(B143,'0. Instruções'!$C$27:$G$32,4,FALSE)&amp;" AS CHAVE_SIMUL, "&amp;C143&amp;" AS CAMPO_SIMUL FROM "&amp;F143&amp;" WHERE "&amp;'0. Instruções'!$D$42&amp;")Y",
"(SELECT "&amp;VLOOKUP(B143,'0. Instruções'!$C$27:$G$32,4,FALSE)&amp;" AS CHAVE_SIMUL1, "&amp;VLOOKUP(B143,'0. Instruções'!$C$27:$G$32,5,FALSE)&amp;" AS CHAVE_SIMUL2, "&amp;C143&amp;" AS CAMPO_SIMUL FROM "&amp;F143&amp;" WHERE "&amp;'0. Instruções'!$D$42&amp;")Y")</f>
        <v>(SELECT instrmnt_id AS CHAVE_SIMUL, dpd_24m_frbrnc_stts AS CAMPO_SIMUL FROM BU_LOANTAPE_WORK.LT002_INSTRUMENT WHERE ref_date='${ref_date}' AND nome_perimetro='Individual Local' AND segmento='ESTR' AND ambito='PM' AND entidade='00100')Y</v>
      </c>
      <c r="L143" s="32" t="str">
        <f>IF(VLOOKUP(B143,'0. Instruções'!$C$27:$G$32,5,FALSE)=0,
"ON X.CHAVE_IT=Y.CHAVE_SIMUL",
"ON X.CHAVE_IT1=Y.CHAVE_SIMUL1 AND X.CHAVE_IT2=Y.CHAVE_SIMUL2")</f>
        <v>ON X.CHAVE_IT=Y.CHAVE_SIMUL</v>
      </c>
      <c r="M143" s="32" t="str">
        <f>+IF(D143="Coerência",+IF(LEFT(H143,5)="FLOAT","SELECT '"&amp;UPPER(B143)&amp;"' AS TABELA, '"&amp;UPPER(D143)&amp;"' AS TIPOLOGIA_TESTE,'"&amp;E143&amp;"' AS TABELA_LT,'"&amp;F143&amp;"' AS TABELA_SIMUL,'"&amp;C143&amp;"'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"&amp;J143&amp;" INNER JOIN "&amp;K143&amp;" "&amp;L143,"SELECT '"&amp;UPPER(B143)&amp;"' AS TABELA, '"&amp;UPPER(D143)&amp;"' AS TIPOLOGIA_TESTE,'"&amp;E143&amp;"' AS TABELA_LT,'"&amp;F143&amp;"' AS TABELA_SIMUL,'"&amp;C143&amp;"'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"&amp;J143&amp;" INNER JOIN "&amp;K143&amp;" "&amp;L143))</f>
        <v>SELECT 'INSTRUMENT' AS TABELA, 'COERÊNCIA' AS TIPOLOGIA_TESTE,'CD_LOAN_TAPES_BCE.LT002_INSTRUMENT' AS TABELA_LT,'BU_LOANTAPE_WORK.LT002_INSTRUMENT' AS TABELA_SIMUL,'dpd_24m_frbrnc_stts'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dpd_24m_frbrnc_stts AS CAMPO_IT FROM CD_LOAN_TAPES_BCE.LT002_INSTRUMENT WHERE ref_date='${ref_date}' AND nome_perimetro='Individual Local' AND segmento='ESTR' AND ambito='PM' AND entidade='00100')X INNER JOIN (SELECT instrmnt_id AS CHAVE_SIMUL, dpd_24m_frbrnc_stts AS CAMPO_SIMUL FROM BU_LOANTAPE_WORK.LT002_INSTRUMENT WHERE ref_date='${ref_date}' AND nome_perimetro='Individual Local' AND segmento='ESTR' AND ambito='PM' AND entidade='00100')Y ON X.CHAVE_IT=Y.CHAVE_SIMUL</v>
      </c>
      <c r="N143" s="33" t="str">
        <f t="shared" si="5"/>
        <v>UNION ALL SELECT 'INSTRUMENT' AS TABELA, 'COERÊNCIA' AS TIPOLOGIA_TESTE,'CD_LOAN_TAPES_BCE.LT002_INSTRUMENT' AS TABELA_LT,'BU_LOANTAPE_WORK.LT002_INSTRUMENT' AS TABELA_SIMUL,'dpd_24m_frbrnc_stts'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dpd_24m_frbrnc_stts AS CAMPO_IT FROM CD_LOAN_TAPES_BCE.LT002_INSTRUMENT WHERE ref_date='${ref_date}' AND nome_perimetro='Individual Local' AND segmento='ESTR' AND ambito='PM' AND entidade='00100')X INNER JOIN (SELECT instrmnt_id AS CHAVE_SIMUL, dpd_24m_frbrnc_stts AS CAMPO_SIMUL FROM BU_LOANTAPE_WORK.LT002_INSTRUMENT WHERE ref_date='${ref_date}' AND nome_perimetro='Individual Local' AND segmento='ESTR' AND ambito='PM' AND entidade='00100')Y ON X.CHAVE_IT=Y.CHAVE_SIMUL</v>
      </c>
      <c r="O143" s="35" t="s">
        <v>35</v>
      </c>
    </row>
    <row r="144" spans="1:15">
      <c r="A144" s="57" t="str">
        <f t="shared" si="6"/>
        <v>Instrumentdpd_24m_prfrmng_stts</v>
      </c>
      <c r="B144" s="32" t="s">
        <v>9</v>
      </c>
      <c r="C144" s="32" t="s">
        <v>74</v>
      </c>
      <c r="D144" s="32" t="s">
        <v>5</v>
      </c>
      <c r="E144" s="32" t="str">
        <f>+UPPER('0. Instruções'!$D$35&amp;"."&amp;VLOOKUP(B144,'0. Instruções'!$C$27:$D$32,2,FALSE))</f>
        <v>CD_LOAN_TAPES_BCE.LT002_INSTRUMENT</v>
      </c>
      <c r="F144" s="32" t="str">
        <f>+UPPER('0. Instruções'!$D$36&amp;"."&amp;VLOOKUP(B144,'0. Instruções'!$C$27:$E$32,3,FALSE))</f>
        <v>BU_LOANTAPE_WORK.LT002_INSTRUMENT</v>
      </c>
      <c r="H144" s="32"/>
      <c r="I144" s="32"/>
      <c r="J144" s="32" t="str">
        <f>IF(VLOOKUP(B144,'0. Instruções'!$C$27:$G$32,5,FALSE)=0,
"(SELECT "&amp;VLOOKUP(B144,'0. Instruções'!$C$27:$G$32,4,FALSE)&amp;" AS CHAVE_IT, "&amp;C144&amp;" AS CAMPO_IT FROM "&amp;E144&amp;" WHERE "&amp;'0. Instruções'!$D$43&amp;")X",
"(SELECT "&amp;VLOOKUP(B144,'0. Instruções'!$C$27:$G$32,4,FALSE)&amp;" AS CHAVE_IT1, "&amp;VLOOKUP(B144,'0. Instruções'!$C$27:$G$32,5,FALSE)&amp;" AS CHAVE_IT2, "&amp;C144&amp;" AS CAMPO_IT FROM "&amp;E144&amp;" WHERE "&amp;'0. Instruções'!$D$43&amp;")X")</f>
        <v>(SELECT instrmnt_id AS CHAVE_IT, dpd_24m_prfrmng_stts AS CAMPO_IT FROM CD_LOAN_TAPES_BCE.LT002_INSTRUMENT WHERE ref_date='${ref_date}' AND nome_perimetro='Individual Local' AND segmento='ESTR' AND ambito='PM' AND entidade='00100')X</v>
      </c>
      <c r="K144" s="32" t="str">
        <f>IF(VLOOKUP(B144,'0. Instruções'!$C$27:$G$32,5,FALSE)=0,
"(SELECT "&amp;VLOOKUP(B144,'0. Instruções'!$C$27:$G$32,4,FALSE)&amp;" AS CHAVE_SIMUL, "&amp;C144&amp;" AS CAMPO_SIMUL FROM "&amp;F144&amp;" WHERE "&amp;'0. Instruções'!$D$42&amp;")Y",
"(SELECT "&amp;VLOOKUP(B144,'0. Instruções'!$C$27:$G$32,4,FALSE)&amp;" AS CHAVE_SIMUL1, "&amp;VLOOKUP(B144,'0. Instruções'!$C$27:$G$32,5,FALSE)&amp;" AS CHAVE_SIMUL2, "&amp;C144&amp;" AS CAMPO_SIMUL FROM "&amp;F144&amp;" WHERE "&amp;'0. Instruções'!$D$42&amp;")Y")</f>
        <v>(SELECT instrmnt_id AS CHAVE_SIMUL, dpd_24m_prfrmng_stts AS CAMPO_SIMUL FROM BU_LOANTAPE_WORK.LT002_INSTRUMENT WHERE ref_date='${ref_date}' AND nome_perimetro='Individual Local' AND segmento='ESTR' AND ambito='PM' AND entidade='00100')Y</v>
      </c>
      <c r="L144" s="32" t="str">
        <f>IF(VLOOKUP(B144,'0. Instruções'!$C$27:$G$32,5,FALSE)=0,
"ON X.CHAVE_IT=Y.CHAVE_SIMUL",
"ON X.CHAVE_IT1=Y.CHAVE_SIMUL1 AND X.CHAVE_IT2=Y.CHAVE_SIMUL2")</f>
        <v>ON X.CHAVE_IT=Y.CHAVE_SIMUL</v>
      </c>
      <c r="M144" s="32" t="str">
        <f>+IF(D144="Coerência",+IF(LEFT(H144,5)="FLOAT","SELECT '"&amp;UPPER(B144)&amp;"' AS TABELA, '"&amp;UPPER(D144)&amp;"' AS TIPOLOGIA_TESTE,'"&amp;E144&amp;"' AS TABELA_LT,'"&amp;F144&amp;"' AS TABELA_SIMUL,'"&amp;C144&amp;"'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"&amp;J144&amp;" INNER JOIN "&amp;K144&amp;" "&amp;L144,"SELECT '"&amp;UPPER(B144)&amp;"' AS TABELA, '"&amp;UPPER(D144)&amp;"' AS TIPOLOGIA_TESTE,'"&amp;E144&amp;"' AS TABELA_LT,'"&amp;F144&amp;"' AS TABELA_SIMUL,'"&amp;C144&amp;"'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"&amp;J144&amp;" INNER JOIN "&amp;K144&amp;" "&amp;L144))</f>
        <v>SELECT 'INSTRUMENT' AS TABELA, 'COERÊNCIA' AS TIPOLOGIA_TESTE,'CD_LOAN_TAPES_BCE.LT002_INSTRUMENT' AS TABELA_LT,'BU_LOANTAPE_WORK.LT002_INSTRUMENT' AS TABELA_SIMUL,'dpd_24m_prfrmng_stts'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dpd_24m_prfrmng_stts AS CAMPO_IT FROM CD_LOAN_TAPES_BCE.LT002_INSTRUMENT WHERE ref_date='${ref_date}' AND nome_perimetro='Individual Local' AND segmento='ESTR' AND ambito='PM' AND entidade='00100')X INNER JOIN (SELECT instrmnt_id AS CHAVE_SIMUL, dpd_24m_prfrmng_stts AS CAMPO_SIMUL FROM BU_LOANTAPE_WORK.LT002_INSTRUMENT WHERE ref_date='${ref_date}' AND nome_perimetro='Individual Local' AND segmento='ESTR' AND ambito='PM' AND entidade='00100')Y ON X.CHAVE_IT=Y.CHAVE_SIMUL</v>
      </c>
      <c r="N144" s="33" t="str">
        <f t="shared" si="5"/>
        <v>UNION ALL SELECT 'INSTRUMENT' AS TABELA, 'COERÊNCIA' AS TIPOLOGIA_TESTE,'CD_LOAN_TAPES_BCE.LT002_INSTRUMENT' AS TABELA_LT,'BU_LOANTAPE_WORK.LT002_INSTRUMENT' AS TABELA_SIMUL,'dpd_24m_prfrmng_stts'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dpd_24m_prfrmng_stts AS CAMPO_IT FROM CD_LOAN_TAPES_BCE.LT002_INSTRUMENT WHERE ref_date='${ref_date}' AND nome_perimetro='Individual Local' AND segmento='ESTR' AND ambito='PM' AND entidade='00100')X INNER JOIN (SELECT instrmnt_id AS CHAVE_SIMUL, dpd_24m_prfrmng_stts AS CAMPO_SIMUL FROM BU_LOANTAPE_WORK.LT002_INSTRUMENT WHERE ref_date='${ref_date}' AND nome_perimetro='Individual Local' AND segmento='ESTR' AND ambito='PM' AND entidade='00100')Y ON X.CHAVE_IT=Y.CHAVE_SIMUL</v>
      </c>
      <c r="O144" s="35" t="s">
        <v>35</v>
      </c>
    </row>
    <row r="145" spans="1:15">
      <c r="A145" s="57" t="str">
        <f t="shared" si="6"/>
        <v>Instrumentdpd_frbrnc_stts</v>
      </c>
      <c r="B145" s="32" t="s">
        <v>9</v>
      </c>
      <c r="C145" s="32" t="s">
        <v>321</v>
      </c>
      <c r="D145" s="32" t="s">
        <v>5</v>
      </c>
      <c r="E145" s="32" t="str">
        <f>+UPPER('0. Instruções'!$D$35&amp;"."&amp;VLOOKUP(B145,'0. Instruções'!$C$27:$D$32,2,FALSE))</f>
        <v>CD_LOAN_TAPES_BCE.LT002_INSTRUMENT</v>
      </c>
      <c r="F145" s="32" t="str">
        <f>+UPPER('0. Instruções'!$D$36&amp;"."&amp;VLOOKUP(B145,'0. Instruções'!$C$27:$E$32,3,FALSE))</f>
        <v>BU_LOANTAPE_WORK.LT002_INSTRUMENT</v>
      </c>
      <c r="H145" s="32"/>
      <c r="I145" s="32"/>
      <c r="J145" s="32" t="str">
        <f>IF(VLOOKUP(B145,'0. Instruções'!$C$27:$G$32,5,FALSE)=0,
"(SELECT "&amp;VLOOKUP(B145,'0. Instruções'!$C$27:$G$32,4,FALSE)&amp;" AS CHAVE_IT, "&amp;C145&amp;" AS CAMPO_IT FROM "&amp;E145&amp;" WHERE "&amp;'0. Instruções'!$D$43&amp;")X",
"(SELECT "&amp;VLOOKUP(B145,'0. Instruções'!$C$27:$G$32,4,FALSE)&amp;" AS CHAVE_IT1, "&amp;VLOOKUP(B145,'0. Instruções'!$C$27:$G$32,5,FALSE)&amp;" AS CHAVE_IT2, "&amp;C145&amp;" AS CAMPO_IT FROM "&amp;E145&amp;" WHERE "&amp;'0. Instruções'!$D$43&amp;")X")</f>
        <v>(SELECT instrmnt_id AS CHAVE_IT, dpd_frbrnc_stts AS CAMPO_IT FROM CD_LOAN_TAPES_BCE.LT002_INSTRUMENT WHERE ref_date='${ref_date}' AND nome_perimetro='Individual Local' AND segmento='ESTR' AND ambito='PM' AND entidade='00100')X</v>
      </c>
      <c r="K145" s="32" t="str">
        <f>IF(VLOOKUP(B145,'0. Instruções'!$C$27:$G$32,5,FALSE)=0,
"(SELECT "&amp;VLOOKUP(B145,'0. Instruções'!$C$27:$G$32,4,FALSE)&amp;" AS CHAVE_SIMUL, "&amp;C145&amp;" AS CAMPO_SIMUL FROM "&amp;F145&amp;" WHERE "&amp;'0. Instruções'!$D$42&amp;")Y",
"(SELECT "&amp;VLOOKUP(B145,'0. Instruções'!$C$27:$G$32,4,FALSE)&amp;" AS CHAVE_SIMUL1, "&amp;VLOOKUP(B145,'0. Instruções'!$C$27:$G$32,5,FALSE)&amp;" AS CHAVE_SIMUL2, "&amp;C145&amp;" AS CAMPO_SIMUL FROM "&amp;F145&amp;" WHERE "&amp;'0. Instruções'!$D$42&amp;")Y")</f>
        <v>(SELECT instrmnt_id AS CHAVE_SIMUL, dpd_frbrnc_stts AS CAMPO_SIMUL FROM BU_LOANTAPE_WORK.LT002_INSTRUMENT WHERE ref_date='${ref_date}' AND nome_perimetro='Individual Local' AND segmento='ESTR' AND ambito='PM' AND entidade='00100')Y</v>
      </c>
      <c r="L145" s="32" t="str">
        <f>IF(VLOOKUP(B145,'0. Instruções'!$C$27:$G$32,5,FALSE)=0,
"ON X.CHAVE_IT=Y.CHAVE_SIMUL",
"ON X.CHAVE_IT1=Y.CHAVE_SIMUL1 AND X.CHAVE_IT2=Y.CHAVE_SIMUL2")</f>
        <v>ON X.CHAVE_IT=Y.CHAVE_SIMUL</v>
      </c>
      <c r="M145" s="32" t="str">
        <f>+IF(D145="Coerência",+IF(LEFT(H145,5)="FLOAT","SELECT '"&amp;UPPER(B145)&amp;"' AS TABELA, '"&amp;UPPER(D145)&amp;"' AS TIPOLOGIA_TESTE,'"&amp;E145&amp;"' AS TABELA_LT,'"&amp;F145&amp;"' AS TABELA_SIMUL,'"&amp;C145&amp;"'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"&amp;J145&amp;" INNER JOIN "&amp;K145&amp;" "&amp;L145,"SELECT '"&amp;UPPER(B145)&amp;"' AS TABELA, '"&amp;UPPER(D145)&amp;"' AS TIPOLOGIA_TESTE,'"&amp;E145&amp;"' AS TABELA_LT,'"&amp;F145&amp;"' AS TABELA_SIMUL,'"&amp;C145&amp;"'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"&amp;J145&amp;" INNER JOIN "&amp;K145&amp;" "&amp;L145))</f>
        <v>SELECT 'INSTRUMENT' AS TABELA, 'COERÊNCIA' AS TIPOLOGIA_TESTE,'CD_LOAN_TAPES_BCE.LT002_INSTRUMENT' AS TABELA_LT,'BU_LOANTAPE_WORK.LT002_INSTRUMENT' AS TABELA_SIMUL,'dpd_frbrnc_stts'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dpd_frbrnc_stts AS CAMPO_IT FROM CD_LOAN_TAPES_BCE.LT002_INSTRUMENT WHERE ref_date='${ref_date}' AND nome_perimetro='Individual Local' AND segmento='ESTR' AND ambito='PM' AND entidade='00100')X INNER JOIN (SELECT instrmnt_id AS CHAVE_SIMUL, dpd_frbrnc_stts AS CAMPO_SIMUL FROM BU_LOANTAPE_WORK.LT002_INSTRUMENT WHERE ref_date='${ref_date}' AND nome_perimetro='Individual Local' AND segmento='ESTR' AND ambito='PM' AND entidade='00100')Y ON X.CHAVE_IT=Y.CHAVE_SIMUL</v>
      </c>
      <c r="N145" s="33" t="str">
        <f t="shared" si="5"/>
        <v>UNION ALL SELECT 'INSTRUMENT' AS TABELA, 'COERÊNCIA' AS TIPOLOGIA_TESTE,'CD_LOAN_TAPES_BCE.LT002_INSTRUMENT' AS TABELA_LT,'BU_LOANTAPE_WORK.LT002_INSTRUMENT' AS TABELA_SIMUL,'dpd_frbrnc_stts'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dpd_frbrnc_stts AS CAMPO_IT FROM CD_LOAN_TAPES_BCE.LT002_INSTRUMENT WHERE ref_date='${ref_date}' AND nome_perimetro='Individual Local' AND segmento='ESTR' AND ambito='PM' AND entidade='00100')X INNER JOIN (SELECT instrmnt_id AS CHAVE_SIMUL, dpd_frbrnc_stts AS CAMPO_SIMUL FROM BU_LOANTAPE_WORK.LT002_INSTRUMENT WHERE ref_date='${ref_date}' AND nome_perimetro='Individual Local' AND segmento='ESTR' AND ambito='PM' AND entidade='00100')Y ON X.CHAVE_IT=Y.CHAVE_SIMUL</v>
      </c>
      <c r="O145" s="35" t="s">
        <v>35</v>
      </c>
    </row>
    <row r="146" spans="1:15">
      <c r="A146" s="57" t="str">
        <f t="shared" si="6"/>
        <v>Instrumentdpd_prfrmng_stts</v>
      </c>
      <c r="B146" s="32" t="s">
        <v>9</v>
      </c>
      <c r="C146" s="32" t="s">
        <v>75</v>
      </c>
      <c r="D146" s="32" t="s">
        <v>5</v>
      </c>
      <c r="E146" s="32" t="str">
        <f>+UPPER('0. Instruções'!$D$35&amp;"."&amp;VLOOKUP(B146,'0. Instruções'!$C$27:$D$32,2,FALSE))</f>
        <v>CD_LOAN_TAPES_BCE.LT002_INSTRUMENT</v>
      </c>
      <c r="F146" s="32" t="str">
        <f>+UPPER('0. Instruções'!$D$36&amp;"."&amp;VLOOKUP(B146,'0. Instruções'!$C$27:$E$32,3,FALSE))</f>
        <v>BU_LOANTAPE_WORK.LT002_INSTRUMENT</v>
      </c>
      <c r="H146" s="32"/>
      <c r="I146" s="32"/>
      <c r="J146" s="32" t="str">
        <f>IF(VLOOKUP(B146,'0. Instruções'!$C$27:$G$32,5,FALSE)=0,
"(SELECT "&amp;VLOOKUP(B146,'0. Instruções'!$C$27:$G$32,4,FALSE)&amp;" AS CHAVE_IT, "&amp;C146&amp;" AS CAMPO_IT FROM "&amp;E146&amp;" WHERE "&amp;'0. Instruções'!$D$43&amp;")X",
"(SELECT "&amp;VLOOKUP(B146,'0. Instruções'!$C$27:$G$32,4,FALSE)&amp;" AS CHAVE_IT1, "&amp;VLOOKUP(B146,'0. Instruções'!$C$27:$G$32,5,FALSE)&amp;" AS CHAVE_IT2, "&amp;C146&amp;" AS CAMPO_IT FROM "&amp;E146&amp;" WHERE "&amp;'0. Instruções'!$D$43&amp;")X")</f>
        <v>(SELECT instrmnt_id AS CHAVE_IT, dpd_prfrmng_stts AS CAMPO_IT FROM CD_LOAN_TAPES_BCE.LT002_INSTRUMENT WHERE ref_date='${ref_date}' AND nome_perimetro='Individual Local' AND segmento='ESTR' AND ambito='PM' AND entidade='00100')X</v>
      </c>
      <c r="K146" s="32" t="str">
        <f>IF(VLOOKUP(B146,'0. Instruções'!$C$27:$G$32,5,FALSE)=0,
"(SELECT "&amp;VLOOKUP(B146,'0. Instruções'!$C$27:$G$32,4,FALSE)&amp;" AS CHAVE_SIMUL, "&amp;C146&amp;" AS CAMPO_SIMUL FROM "&amp;F146&amp;" WHERE "&amp;'0. Instruções'!$D$42&amp;")Y",
"(SELECT "&amp;VLOOKUP(B146,'0. Instruções'!$C$27:$G$32,4,FALSE)&amp;" AS CHAVE_SIMUL1, "&amp;VLOOKUP(B146,'0. Instruções'!$C$27:$G$32,5,FALSE)&amp;" AS CHAVE_SIMUL2, "&amp;C146&amp;" AS CAMPO_SIMUL FROM "&amp;F146&amp;" WHERE "&amp;'0. Instruções'!$D$42&amp;")Y")</f>
        <v>(SELECT instrmnt_id AS CHAVE_SIMUL, dpd_prfrmng_stts AS CAMPO_SIMUL FROM BU_LOANTAPE_WORK.LT002_INSTRUMENT WHERE ref_date='${ref_date}' AND nome_perimetro='Individual Local' AND segmento='ESTR' AND ambito='PM' AND entidade='00100')Y</v>
      </c>
      <c r="L146" s="32" t="str">
        <f>IF(VLOOKUP(B146,'0. Instruções'!$C$27:$G$32,5,FALSE)=0,
"ON X.CHAVE_IT=Y.CHAVE_SIMUL",
"ON X.CHAVE_IT1=Y.CHAVE_SIMUL1 AND X.CHAVE_IT2=Y.CHAVE_SIMUL2")</f>
        <v>ON X.CHAVE_IT=Y.CHAVE_SIMUL</v>
      </c>
      <c r="M146" s="32" t="str">
        <f>+IF(D146="Coerência",+IF(LEFT(H146,5)="FLOAT","SELECT '"&amp;UPPER(B146)&amp;"' AS TABELA, '"&amp;UPPER(D146)&amp;"' AS TIPOLOGIA_TESTE,'"&amp;E146&amp;"' AS TABELA_LT,'"&amp;F146&amp;"' AS TABELA_SIMUL,'"&amp;C146&amp;"'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"&amp;J146&amp;" INNER JOIN "&amp;K146&amp;" "&amp;L146,"SELECT '"&amp;UPPER(B146)&amp;"' AS TABELA, '"&amp;UPPER(D146)&amp;"' AS TIPOLOGIA_TESTE,'"&amp;E146&amp;"' AS TABELA_LT,'"&amp;F146&amp;"' AS TABELA_SIMUL,'"&amp;C146&amp;"'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"&amp;J146&amp;" INNER JOIN "&amp;K146&amp;" "&amp;L146))</f>
        <v>SELECT 'INSTRUMENT' AS TABELA, 'COERÊNCIA' AS TIPOLOGIA_TESTE,'CD_LOAN_TAPES_BCE.LT002_INSTRUMENT' AS TABELA_LT,'BU_LOANTAPE_WORK.LT002_INSTRUMENT' AS TABELA_SIMUL,'dpd_prfrmng_stts'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dpd_prfrmng_stts AS CAMPO_IT FROM CD_LOAN_TAPES_BCE.LT002_INSTRUMENT WHERE ref_date='${ref_date}' AND nome_perimetro='Individual Local' AND segmento='ESTR' AND ambito='PM' AND entidade='00100')X INNER JOIN (SELECT instrmnt_id AS CHAVE_SIMUL, dpd_prfrmng_stts AS CAMPO_SIMUL FROM BU_LOANTAPE_WORK.LT002_INSTRUMENT WHERE ref_date='${ref_date}' AND nome_perimetro='Individual Local' AND segmento='ESTR' AND ambito='PM' AND entidade='00100')Y ON X.CHAVE_IT=Y.CHAVE_SIMUL</v>
      </c>
      <c r="N146" s="33" t="str">
        <f t="shared" si="5"/>
        <v>UNION ALL SELECT 'INSTRUMENT' AS TABELA, 'COERÊNCIA' AS TIPOLOGIA_TESTE,'CD_LOAN_TAPES_BCE.LT002_INSTRUMENT' AS TABELA_LT,'BU_LOANTAPE_WORK.LT002_INSTRUMENT' AS TABELA_SIMUL,'dpd_prfrmng_stts'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dpd_prfrmng_stts AS CAMPO_IT FROM CD_LOAN_TAPES_BCE.LT002_INSTRUMENT WHERE ref_date='${ref_date}' AND nome_perimetro='Individual Local' AND segmento='ESTR' AND ambito='PM' AND entidade='00100')X INNER JOIN (SELECT instrmnt_id AS CHAVE_SIMUL, dpd_prfrmng_stts AS CAMPO_SIMUL FROM BU_LOANTAPE_WORK.LT002_INSTRUMENT WHERE ref_date='${ref_date}' AND nome_perimetro='Individual Local' AND segmento='ESTR' AND ambito='PM' AND entidade='00100')Y ON X.CHAVE_IT=Y.CHAVE_SIMUL</v>
      </c>
      <c r="O146" s="35" t="s">
        <v>35</v>
      </c>
    </row>
    <row r="147" spans="1:15">
      <c r="A147" s="57" t="str">
        <f t="shared" si="6"/>
        <v>Instrumentdt_imprmnt_stts</v>
      </c>
      <c r="B147" s="32" t="s">
        <v>9</v>
      </c>
      <c r="C147" s="32" t="s">
        <v>77</v>
      </c>
      <c r="D147" s="32" t="s">
        <v>5</v>
      </c>
      <c r="E147" s="32" t="str">
        <f>+UPPER('0. Instruções'!$D$35&amp;"."&amp;VLOOKUP(B147,'0. Instruções'!$C$27:$D$32,2,FALSE))</f>
        <v>CD_LOAN_TAPES_BCE.LT002_INSTRUMENT</v>
      </c>
      <c r="F147" s="32" t="str">
        <f>+UPPER('0. Instruções'!$D$36&amp;"."&amp;VLOOKUP(B147,'0. Instruções'!$C$27:$E$32,3,FALSE))</f>
        <v>BU_LOANTAPE_WORK.LT002_INSTRUMENT</v>
      </c>
      <c r="H147" s="32"/>
      <c r="I147" s="32"/>
      <c r="J147" s="32" t="str">
        <f>IF(VLOOKUP(B147,'0. Instruções'!$C$27:$G$32,5,FALSE)=0,
"(SELECT "&amp;VLOOKUP(B147,'0. Instruções'!$C$27:$G$32,4,FALSE)&amp;" AS CHAVE_IT, "&amp;C147&amp;" AS CAMPO_IT FROM "&amp;E147&amp;" WHERE "&amp;'0. Instruções'!$D$43&amp;")X",
"(SELECT "&amp;VLOOKUP(B147,'0. Instruções'!$C$27:$G$32,4,FALSE)&amp;" AS CHAVE_IT1, "&amp;VLOOKUP(B147,'0. Instruções'!$C$27:$G$32,5,FALSE)&amp;" AS CHAVE_IT2, "&amp;C147&amp;" AS CAMPO_IT FROM "&amp;E147&amp;" WHERE "&amp;'0. Instruções'!$D$43&amp;")X")</f>
        <v>(SELECT instrmnt_id AS CHAVE_IT, dt_imprmnt_stts AS CAMPO_IT FROM CD_LOAN_TAPES_BCE.LT002_INSTRUMENT WHERE ref_date='${ref_date}' AND nome_perimetro='Individual Local' AND segmento='ESTR' AND ambito='PM' AND entidade='00100')X</v>
      </c>
      <c r="K147" s="32" t="str">
        <f>IF(VLOOKUP(B147,'0. Instruções'!$C$27:$G$32,5,FALSE)=0,
"(SELECT "&amp;VLOOKUP(B147,'0. Instruções'!$C$27:$G$32,4,FALSE)&amp;" AS CHAVE_SIMUL, "&amp;C147&amp;" AS CAMPO_SIMUL FROM "&amp;F147&amp;" WHERE "&amp;'0. Instruções'!$D$42&amp;")Y",
"(SELECT "&amp;VLOOKUP(B147,'0. Instruções'!$C$27:$G$32,4,FALSE)&amp;" AS CHAVE_SIMUL1, "&amp;VLOOKUP(B147,'0. Instruções'!$C$27:$G$32,5,FALSE)&amp;" AS CHAVE_SIMUL2, "&amp;C147&amp;" AS CAMPO_SIMUL FROM "&amp;F147&amp;" WHERE "&amp;'0. Instruções'!$D$42&amp;")Y")</f>
        <v>(SELECT instrmnt_id AS CHAVE_SIMUL, dt_imprmnt_stts AS CAMPO_SIMUL FROM BU_LOANTAPE_WORK.LT002_INSTRUMENT WHERE ref_date='${ref_date}' AND nome_perimetro='Individual Local' AND segmento='ESTR' AND ambito='PM' AND entidade='00100')Y</v>
      </c>
      <c r="L147" s="32" t="str">
        <f>IF(VLOOKUP(B147,'0. Instruções'!$C$27:$G$32,5,FALSE)=0,
"ON X.CHAVE_IT=Y.CHAVE_SIMUL",
"ON X.CHAVE_IT1=Y.CHAVE_SIMUL1 AND X.CHAVE_IT2=Y.CHAVE_SIMUL2")</f>
        <v>ON X.CHAVE_IT=Y.CHAVE_SIMUL</v>
      </c>
      <c r="M147" s="32" t="str">
        <f>+IF(D147="Coerência",+IF(LEFT(H147,5)="FLOAT","SELECT '"&amp;UPPER(B147)&amp;"' AS TABELA, '"&amp;UPPER(D147)&amp;"' AS TIPOLOGIA_TESTE,'"&amp;E147&amp;"' AS TABELA_LT,'"&amp;F147&amp;"' AS TABELA_SIMUL,'"&amp;C147&amp;"'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"&amp;J147&amp;" INNER JOIN "&amp;K147&amp;" "&amp;L147,"SELECT '"&amp;UPPER(B147)&amp;"' AS TABELA, '"&amp;UPPER(D147)&amp;"' AS TIPOLOGIA_TESTE,'"&amp;E147&amp;"' AS TABELA_LT,'"&amp;F147&amp;"' AS TABELA_SIMUL,'"&amp;C147&amp;"'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"&amp;J147&amp;" INNER JOIN "&amp;K147&amp;" "&amp;L147))</f>
        <v>SELECT 'INSTRUMENT' AS TABELA, 'COERÊNCIA' AS TIPOLOGIA_TESTE,'CD_LOAN_TAPES_BCE.LT002_INSTRUMENT' AS TABELA_LT,'BU_LOANTAPE_WORK.LT002_INSTRUMENT' AS TABELA_SIMUL,'dt_imprmnt_stts'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 AS CAMPO_IT FROM CD_LOAN_TAPES_BCE.LT002_INSTRUMENT WHERE ref_date='${ref_date}' AND nome_perimetro='Individual Local' AND segmento='ESTR' AND ambito='PM' AND entidade='00100')X INNER JOIN (SELECT instrmnt_id AS CHAVE_SIMUL, dt_imprmnt_stts AS CAMPO_SIMUL FROM BU_LOANTAPE_WORK.LT002_INSTRUMENT WHERE ref_date='${ref_date}' AND nome_perimetro='Individual Local' AND segmento='ESTR' AND ambito='PM' AND entidade='00100')Y ON X.CHAVE_IT=Y.CHAVE_SIMUL</v>
      </c>
      <c r="N147" s="33" t="str">
        <f t="shared" si="5"/>
        <v>UNION ALL SELECT 'INSTRUMENT' AS TABELA, 'COERÊNCIA' AS TIPOLOGIA_TESTE,'CD_LOAN_TAPES_BCE.LT002_INSTRUMENT' AS TABELA_LT,'BU_LOANTAPE_WORK.LT002_INSTRUMENT' AS TABELA_SIMUL,'dt_imprmnt_stts'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 AS CAMPO_IT FROM CD_LOAN_TAPES_BCE.LT002_INSTRUMENT WHERE ref_date='${ref_date}' AND nome_perimetro='Individual Local' AND segmento='ESTR' AND ambito='PM' AND entidade='00100')X INNER JOIN (SELECT instrmnt_id AS CHAVE_SIMUL, dt_imprmnt_stts AS CAMPO_SIMUL FROM BU_LOANTAPE_WORK.LT002_INSTRUMENT WHERE ref_date='${ref_date}' AND nome_perimetro='Individual Local' AND segmento='ESTR' AND ambito='PM' AND entidade='00100')Y ON X.CHAVE_IT=Y.CHAVE_SIMUL</v>
      </c>
      <c r="O147" s="35" t="s">
        <v>35</v>
      </c>
    </row>
    <row r="148" spans="1:15">
      <c r="A148" s="57" t="str">
        <f t="shared" si="6"/>
        <v>Instrumentdt_imprmnt_stts_prvs</v>
      </c>
      <c r="B148" s="32" t="s">
        <v>9</v>
      </c>
      <c r="C148" s="32" t="s">
        <v>78</v>
      </c>
      <c r="D148" s="32" t="s">
        <v>5</v>
      </c>
      <c r="E148" s="32" t="str">
        <f>+UPPER('0. Instruções'!$D$35&amp;"."&amp;VLOOKUP(B148,'0. Instruções'!$C$27:$D$32,2,FALSE))</f>
        <v>CD_LOAN_TAPES_BCE.LT002_INSTRUMENT</v>
      </c>
      <c r="F148" s="32" t="str">
        <f>+UPPER('0. Instruções'!$D$36&amp;"."&amp;VLOOKUP(B148,'0. Instruções'!$C$27:$E$32,3,FALSE))</f>
        <v>BU_LOANTAPE_WORK.LT002_INSTRUMENT</v>
      </c>
      <c r="H148" s="32"/>
      <c r="I148" s="32"/>
      <c r="J148" s="32" t="str">
        <f>IF(VLOOKUP(B148,'0. Instruções'!$C$27:$G$32,5,FALSE)=0,
"(SELECT "&amp;VLOOKUP(B148,'0. Instruções'!$C$27:$G$32,4,FALSE)&amp;" AS CHAVE_IT, "&amp;C148&amp;" AS CAMPO_IT FROM "&amp;E148&amp;" WHERE "&amp;'0. Instruções'!$D$43&amp;")X",
"(SELECT "&amp;VLOOKUP(B148,'0. Instruções'!$C$27:$G$32,4,FALSE)&amp;" AS CHAVE_IT1, "&amp;VLOOKUP(B148,'0. Instruções'!$C$27:$G$32,5,FALSE)&amp;" AS CHAVE_IT2, "&amp;C148&amp;" AS CAMPO_IT FROM "&amp;E148&amp;" WHERE "&amp;'0. Instruções'!$D$43&amp;")X")</f>
        <v>(SELECT instrmnt_id AS CHAVE_IT, dt_imprmnt_stts_prvs AS CAMPO_IT FROM CD_LOAN_TAPES_BCE.LT002_INSTRUMENT WHERE ref_date='${ref_date}' AND nome_perimetro='Individual Local' AND segmento='ESTR' AND ambito='PM' AND entidade='00100')X</v>
      </c>
      <c r="K148" s="32" t="str">
        <f>IF(VLOOKUP(B148,'0. Instruções'!$C$27:$G$32,5,FALSE)=0,
"(SELECT "&amp;VLOOKUP(B148,'0. Instruções'!$C$27:$G$32,4,FALSE)&amp;" AS CHAVE_SIMUL, "&amp;C148&amp;" AS CAMPO_SIMUL FROM "&amp;F148&amp;" WHERE "&amp;'0. Instruções'!$D$42&amp;")Y",
"(SELECT "&amp;VLOOKUP(B148,'0. Instruções'!$C$27:$G$32,4,FALSE)&amp;" AS CHAVE_SIMUL1, "&amp;VLOOKUP(B148,'0. Instruções'!$C$27:$G$32,5,FALSE)&amp;" AS CHAVE_SIMUL2, "&amp;C148&amp;" AS CAMPO_SIMUL FROM "&amp;F148&amp;" WHERE "&amp;'0. Instruções'!$D$42&amp;")Y")</f>
        <v>(SELECT instrmnt_id AS CHAVE_SIMUL, dt_imprmnt_stts_prvs AS CAMPO_SIMUL FROM BU_LOANTAPE_WORK.LT002_INSTRUMENT WHERE ref_date='${ref_date}' AND nome_perimetro='Individual Local' AND segmento='ESTR' AND ambito='PM' AND entidade='00100')Y</v>
      </c>
      <c r="L148" s="32" t="str">
        <f>IF(VLOOKUP(B148,'0. Instruções'!$C$27:$G$32,5,FALSE)=0,
"ON X.CHAVE_IT=Y.CHAVE_SIMUL",
"ON X.CHAVE_IT1=Y.CHAVE_SIMUL1 AND X.CHAVE_IT2=Y.CHAVE_SIMUL2")</f>
        <v>ON X.CHAVE_IT=Y.CHAVE_SIMUL</v>
      </c>
      <c r="M148" s="32" t="str">
        <f>+IF(D148="Coerência",+IF(LEFT(H148,5)="FLOAT","SELECT '"&amp;UPPER(B148)&amp;"' AS TABELA, '"&amp;UPPER(D148)&amp;"' AS TIPOLOGIA_TESTE,'"&amp;E148&amp;"' AS TABELA_LT,'"&amp;F148&amp;"' AS TABELA_SIMUL,'"&amp;C148&amp;"'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"&amp;J148&amp;" INNER JOIN "&amp;K148&amp;" "&amp;L148,"SELECT '"&amp;UPPER(B148)&amp;"' AS TABELA, '"&amp;UPPER(D148)&amp;"' AS TIPOLOGIA_TESTE,'"&amp;E148&amp;"' AS TABELA_LT,'"&amp;F148&amp;"' AS TABELA_SIMUL,'"&amp;C148&amp;"'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"&amp;J148&amp;" INNER JOIN "&amp;K148&amp;" "&amp;L148))</f>
        <v>SELECT 'INSTRUMENT' AS TABELA, 'COERÊNCIA' AS TIPOLOGIA_TESTE,'CD_LOAN_TAPES_BCE.LT002_INSTRUMENT' AS TABELA_LT,'BU_LOANTAPE_WORK.LT002_INSTRUMENT' AS TABELA_SIMUL,'dt_imprmnt_stts_prvs'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dt_imprmnt_stts_prvs AS CAMPO_IT FROM CD_LOAN_TAPES_BCE.LT002_INSTRUMENT WHERE ref_date='${ref_date}' AND nome_perimetro='Individual Local' AND segmento='ESTR' AND ambito='PM' AND entidade='00100')X INNER JOIN (SELECT instrmnt_id AS CHAVE_SIMUL, dt_imprmnt_stts_prvs AS CAMPO_SIMUL FROM BU_LOANTAPE_WORK.LT002_INSTRUMENT WHERE ref_date='${ref_date}' AND nome_perimetro='Individual Local' AND segmento='ESTR' AND ambito='PM' AND entidade='00100')Y ON X.CHAVE_IT=Y.CHAVE_SIMUL</v>
      </c>
      <c r="N148" s="33" t="str">
        <f t="shared" si="5"/>
        <v>UNION ALL SELECT 'INSTRUMENT' AS TABELA, 'COERÊNCIA' AS TIPOLOGIA_TESTE,'CD_LOAN_TAPES_BCE.LT002_INSTRUMENT' AS TABELA_LT,'BU_LOANTAPE_WORK.LT002_INSTRUMENT' AS TABELA_SIMUL,'dt_imprmnt_stts_prvs'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dt_imprmnt_stts_prvs AS CAMPO_IT FROM CD_LOAN_TAPES_BCE.LT002_INSTRUMENT WHERE ref_date='${ref_date}' AND nome_perimetro='Individual Local' AND segmento='ESTR' AND ambito='PM' AND entidade='00100')X INNER JOIN (SELECT instrmnt_id AS CHAVE_SIMUL, dt_imprmnt_stts_prvs AS CAMPO_SIMUL FROM BU_LOANTAPE_WORK.LT002_INSTRUMENT WHERE ref_date='${ref_date}' AND nome_perimetro='Individual Local' AND segmento='ESTR' AND ambito='PM' AND entidade='00100')Y ON X.CHAVE_IT=Y.CHAVE_SIMUL</v>
      </c>
      <c r="O148" s="35" t="s">
        <v>35</v>
      </c>
    </row>
    <row r="149" spans="1:15">
      <c r="A149" s="57" t="str">
        <f t="shared" si="6"/>
        <v>Instrumentdt_pst_d</v>
      </c>
      <c r="B149" s="32" t="s">
        <v>9</v>
      </c>
      <c r="C149" s="32" t="s">
        <v>322</v>
      </c>
      <c r="D149" s="32" t="s">
        <v>5</v>
      </c>
      <c r="E149" s="32" t="str">
        <f>+UPPER('0. Instruções'!$D$35&amp;"."&amp;VLOOKUP(B149,'0. Instruções'!$C$27:$D$32,2,FALSE))</f>
        <v>CD_LOAN_TAPES_BCE.LT002_INSTRUMENT</v>
      </c>
      <c r="F149" s="32" t="str">
        <f>+UPPER('0. Instruções'!$D$36&amp;"."&amp;VLOOKUP(B149,'0. Instruções'!$C$27:$E$32,3,FALSE))</f>
        <v>BU_LOANTAPE_WORK.LT002_INSTRUMENT</v>
      </c>
      <c r="H149" s="32"/>
      <c r="I149" s="32"/>
      <c r="J149" s="32" t="str">
        <f>IF(VLOOKUP(B149,'0. Instruções'!$C$27:$G$32,5,FALSE)=0,
"(SELECT "&amp;VLOOKUP(B149,'0. Instruções'!$C$27:$G$32,4,FALSE)&amp;" AS CHAVE_IT, "&amp;C149&amp;" AS CAMPO_IT FROM "&amp;E149&amp;" WHERE "&amp;'0. Instruções'!$D$43&amp;")X",
"(SELECT "&amp;VLOOKUP(B149,'0. Instruções'!$C$27:$G$32,4,FALSE)&amp;" AS CHAVE_IT1, "&amp;VLOOKUP(B149,'0. Instruções'!$C$27:$G$32,5,FALSE)&amp;" AS CHAVE_IT2, "&amp;C149&amp;" AS CAMPO_IT FROM "&amp;E149&amp;" WHERE "&amp;'0. Instruções'!$D$43&amp;")X")</f>
        <v>(SELECT instrmnt_id AS CHAVE_IT, dt_pst_d AS CAMPO_IT FROM CD_LOAN_TAPES_BCE.LT002_INSTRUMENT WHERE ref_date='${ref_date}' AND nome_perimetro='Individual Local' AND segmento='ESTR' AND ambito='PM' AND entidade='00100')X</v>
      </c>
      <c r="K149" s="32" t="str">
        <f>IF(VLOOKUP(B149,'0. Instruções'!$C$27:$G$32,5,FALSE)=0,
"(SELECT "&amp;VLOOKUP(B149,'0. Instruções'!$C$27:$G$32,4,FALSE)&amp;" AS CHAVE_SIMUL, "&amp;C149&amp;" AS CAMPO_SIMUL FROM "&amp;F149&amp;" WHERE "&amp;'0. Instruções'!$D$42&amp;")Y",
"(SELECT "&amp;VLOOKUP(B149,'0. Instruções'!$C$27:$G$32,4,FALSE)&amp;" AS CHAVE_SIMUL1, "&amp;VLOOKUP(B149,'0. Instruções'!$C$27:$G$32,5,FALSE)&amp;" AS CHAVE_SIMUL2, "&amp;C149&amp;" AS CAMPO_SIMUL FROM "&amp;F149&amp;" WHERE "&amp;'0. Instruções'!$D$42&amp;")Y")</f>
        <v>(SELECT instrmnt_id AS CHAVE_SIMUL, dt_pst_d AS CAMPO_SIMUL FROM BU_LOANTAPE_WORK.LT002_INSTRUMENT WHERE ref_date='${ref_date}' AND nome_perimetro='Individual Local' AND segmento='ESTR' AND ambito='PM' AND entidade='00100')Y</v>
      </c>
      <c r="L149" s="32" t="str">
        <f>IF(VLOOKUP(B149,'0. Instruções'!$C$27:$G$32,5,FALSE)=0,
"ON X.CHAVE_IT=Y.CHAVE_SIMUL",
"ON X.CHAVE_IT1=Y.CHAVE_SIMUL1 AND X.CHAVE_IT2=Y.CHAVE_SIMUL2")</f>
        <v>ON X.CHAVE_IT=Y.CHAVE_SIMUL</v>
      </c>
      <c r="M149" s="32" t="str">
        <f>+IF(D149="Coerência",+IF(LEFT(H149,5)="FLOAT","SELECT '"&amp;UPPER(B149)&amp;"' AS TABELA, '"&amp;UPPER(D149)&amp;"' AS TIPOLOGIA_TESTE,'"&amp;E149&amp;"' AS TABELA_LT,'"&amp;F149&amp;"' AS TABELA_SIMUL,'"&amp;C149&amp;"'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"&amp;J149&amp;" INNER JOIN "&amp;K149&amp;" "&amp;L149,"SELECT '"&amp;UPPER(B149)&amp;"' AS TABELA, '"&amp;UPPER(D149)&amp;"' AS TIPOLOGIA_TESTE,'"&amp;E149&amp;"' AS TABELA_LT,'"&amp;F149&amp;"' AS TABELA_SIMUL,'"&amp;C149&amp;"'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"&amp;J149&amp;" INNER JOIN "&amp;K149&amp;" "&amp;L149))</f>
        <v>SELECT 'INSTRUMENT' AS TABELA, 'COERÊNCIA' AS TIPOLOGIA_TESTE,'CD_LOAN_TAPES_BCE.LT002_INSTRUMENT' AS TABELA_LT,'BU_LOANTAPE_WORK.LT002_INSTRUMENT' AS TABELA_SIMUL,'dt_pst_d'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dt_pst_d AS CAMPO_IT FROM CD_LOAN_TAPES_BCE.LT002_INSTRUMENT WHERE ref_date='${ref_date}' AND nome_perimetro='Individual Local' AND segmento='ESTR' AND ambito='PM' AND entidade='00100')X INNER JOIN (SELECT instrmnt_id AS CHAVE_SIMUL, dt_pst_d AS CAMPO_SIMUL FROM BU_LOANTAPE_WORK.LT002_INSTRUMENT WHERE ref_date='${ref_date}' AND nome_perimetro='Individual Local' AND segmento='ESTR' AND ambito='PM' AND entidade='00100')Y ON X.CHAVE_IT=Y.CHAVE_SIMUL</v>
      </c>
      <c r="N149" s="33" t="str">
        <f t="shared" si="5"/>
        <v>UNION ALL SELECT 'INSTRUMENT' AS TABELA, 'COERÊNCIA' AS TIPOLOGIA_TESTE,'CD_LOAN_TAPES_BCE.LT002_INSTRUMENT' AS TABELA_LT,'BU_LOANTAPE_WORK.LT002_INSTRUMENT' AS TABELA_SIMUL,'dt_pst_d'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dt_pst_d AS CAMPO_IT FROM CD_LOAN_TAPES_BCE.LT002_INSTRUMENT WHERE ref_date='${ref_date}' AND nome_perimetro='Individual Local' AND segmento='ESTR' AND ambito='PM' AND entidade='00100')X INNER JOIN (SELECT instrmnt_id AS CHAVE_SIMUL, dt_pst_d AS CAMPO_SIMUL FROM BU_LOANTAPE_WORK.LT002_INSTRUMENT WHERE ref_date='${ref_date}' AND nome_perimetro='Individual Local' AND segmento='ESTR' AND ambito='PM' AND entidade='00100')Y ON X.CHAVE_IT=Y.CHAVE_SIMUL</v>
      </c>
      <c r="O149" s="35" t="s">
        <v>35</v>
      </c>
    </row>
    <row r="150" spans="1:15">
      <c r="A150" s="57" t="str">
        <f t="shared" si="6"/>
        <v>Instrumentimprmnt_assssmnt_mthd</v>
      </c>
      <c r="B150" s="32" t="s">
        <v>9</v>
      </c>
      <c r="C150" s="32" t="s">
        <v>323</v>
      </c>
      <c r="D150" s="32" t="s">
        <v>5</v>
      </c>
      <c r="E150" s="32" t="str">
        <f>+UPPER('0. Instruções'!$D$35&amp;"."&amp;VLOOKUP(B150,'0. Instruções'!$C$27:$D$32,2,FALSE))</f>
        <v>CD_LOAN_TAPES_BCE.LT002_INSTRUMENT</v>
      </c>
      <c r="F150" s="32" t="str">
        <f>+UPPER('0. Instruções'!$D$36&amp;"."&amp;VLOOKUP(B150,'0. Instruções'!$C$27:$E$32,3,FALSE))</f>
        <v>BU_LOANTAPE_WORK.LT002_INSTRUMENT</v>
      </c>
      <c r="H150" s="32"/>
      <c r="I150" s="32"/>
      <c r="J150" s="32" t="str">
        <f>IF(VLOOKUP(B150,'0. Instruções'!$C$27:$G$32,5,FALSE)=0,
"(SELECT "&amp;VLOOKUP(B150,'0. Instruções'!$C$27:$G$32,4,FALSE)&amp;" AS CHAVE_IT, "&amp;C150&amp;" AS CAMPO_IT FROM "&amp;E150&amp;" WHERE "&amp;'0. Instruções'!$D$43&amp;")X",
"(SELECT "&amp;VLOOKUP(B150,'0. Instruções'!$C$27:$G$32,4,FALSE)&amp;" AS CHAVE_IT1, "&amp;VLOOKUP(B150,'0. Instruções'!$C$27:$G$32,5,FALSE)&amp;" AS CHAVE_IT2, "&amp;C150&amp;" AS CAMPO_IT FROM "&amp;E150&amp;" WHERE "&amp;'0. Instruções'!$D$43&amp;")X")</f>
        <v>(SELECT instrmnt_id AS CHAVE_IT, imprmnt_assssmnt_mthd AS CAMPO_IT FROM CD_LOAN_TAPES_BCE.LT002_INSTRUMENT WHERE ref_date='${ref_date}' AND nome_perimetro='Individual Local' AND segmento='ESTR' AND ambito='PM' AND entidade='00100')X</v>
      </c>
      <c r="K150" s="32" t="str">
        <f>IF(VLOOKUP(B150,'0. Instruções'!$C$27:$G$32,5,FALSE)=0,
"(SELECT "&amp;VLOOKUP(B150,'0. Instruções'!$C$27:$G$32,4,FALSE)&amp;" AS CHAVE_SIMUL, "&amp;C150&amp;" AS CAMPO_SIMUL FROM "&amp;F150&amp;" WHERE "&amp;'0. Instruções'!$D$42&amp;")Y",
"(SELECT "&amp;VLOOKUP(B150,'0. Instruções'!$C$27:$G$32,4,FALSE)&amp;" AS CHAVE_SIMUL1, "&amp;VLOOKUP(B150,'0. Instruções'!$C$27:$G$32,5,FALSE)&amp;" AS CHAVE_SIMUL2, "&amp;C150&amp;" AS CAMPO_SIMUL FROM "&amp;F150&amp;" WHERE "&amp;'0. Instruções'!$D$42&amp;")Y")</f>
        <v>(SELECT instrmnt_id AS CHAVE_SIMUL, imprmnt_assssmnt_mthd AS CAMPO_SIMUL FROM BU_LOANTAPE_WORK.LT002_INSTRUMENT WHERE ref_date='${ref_date}' AND nome_perimetro='Individual Local' AND segmento='ESTR' AND ambito='PM' AND entidade='00100')Y</v>
      </c>
      <c r="L150" s="32" t="str">
        <f>IF(VLOOKUP(B150,'0. Instruções'!$C$27:$G$32,5,FALSE)=0,
"ON X.CHAVE_IT=Y.CHAVE_SIMUL",
"ON X.CHAVE_IT1=Y.CHAVE_SIMUL1 AND X.CHAVE_IT2=Y.CHAVE_SIMUL2")</f>
        <v>ON X.CHAVE_IT=Y.CHAVE_SIMUL</v>
      </c>
      <c r="M150" s="32" t="str">
        <f>+IF(D150="Coerência",+IF(LEFT(H150,5)="FLOAT","SELECT '"&amp;UPPER(B150)&amp;"' AS TABELA, '"&amp;UPPER(D150)&amp;"' AS TIPOLOGIA_TESTE,'"&amp;E150&amp;"' AS TABELA_LT,'"&amp;F150&amp;"' AS TABELA_SIMUL,'"&amp;C150&amp;"'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"&amp;J150&amp;" INNER JOIN "&amp;K150&amp;" "&amp;L150,"SELECT '"&amp;UPPER(B150)&amp;"' AS TABELA, '"&amp;UPPER(D150)&amp;"' AS TIPOLOGIA_TESTE,'"&amp;E150&amp;"' AS TABELA_LT,'"&amp;F150&amp;"' AS TABELA_SIMUL,'"&amp;C150&amp;"'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"&amp;J150&amp;" INNER JOIN "&amp;K150&amp;" "&amp;L150))</f>
        <v>SELECT 'INSTRUMENT' AS TABELA, 'COERÊNCIA' AS TIPOLOGIA_TESTE,'CD_LOAN_TAPES_BCE.LT002_INSTRUMENT' AS TABELA_LT,'BU_LOANTAPE_WORK.LT002_INSTRUMENT' AS TABELA_SIMUL,'imprmnt_assssmnt_mthd'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imprmnt_assssmnt_mthd AS CAMPO_IT FROM CD_LOAN_TAPES_BCE.LT002_INSTRUMENT WHERE ref_date='${ref_date}' AND nome_perimetro='Individual Local' AND segmento='ESTR' AND ambito='PM' AND entidade='00100')X INNER JOIN (SELECT instrmnt_id AS CHAVE_SIMUL, imprmnt_assssmnt_mthd AS CAMPO_SIMUL FROM BU_LOANTAPE_WORK.LT002_INSTRUMENT WHERE ref_date='${ref_date}' AND nome_perimetro='Individual Local' AND segmento='ESTR' AND ambito='PM' AND entidade='00100')Y ON X.CHAVE_IT=Y.CHAVE_SIMUL</v>
      </c>
      <c r="N150" s="33" t="str">
        <f t="shared" si="5"/>
        <v>UNION ALL SELECT 'INSTRUMENT' AS TABELA, 'COERÊNCIA' AS TIPOLOGIA_TESTE,'CD_LOAN_TAPES_BCE.LT002_INSTRUMENT' AS TABELA_LT,'BU_LOANTAPE_WORK.LT002_INSTRUMENT' AS TABELA_SIMUL,'imprmnt_assssmnt_mthd'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imprmnt_assssmnt_mthd AS CAMPO_IT FROM CD_LOAN_TAPES_BCE.LT002_INSTRUMENT WHERE ref_date='${ref_date}' AND nome_perimetro='Individual Local' AND segmento='ESTR' AND ambito='PM' AND entidade='00100')X INNER JOIN (SELECT instrmnt_id AS CHAVE_SIMUL, imprmnt_assssmnt_mthd AS CAMPO_SIMUL FROM BU_LOANTAPE_WORK.LT002_INSTRUMENT WHERE ref_date='${ref_date}' AND nome_perimetro='Individual Local' AND segmento='ESTR' AND ambito='PM' AND entidade='00100')Y ON X.CHAVE_IT=Y.CHAVE_SIMUL</v>
      </c>
      <c r="O150" s="35" t="s">
        <v>35</v>
      </c>
    </row>
    <row r="151" spans="1:15">
      <c r="A151" s="57" t="str">
        <f t="shared" si="6"/>
        <v>Instrumentimprmnt_clcltn_mthd</v>
      </c>
      <c r="B151" s="32" t="s">
        <v>9</v>
      </c>
      <c r="C151" s="32" t="s">
        <v>324</v>
      </c>
      <c r="D151" s="32" t="s">
        <v>5</v>
      </c>
      <c r="E151" s="32" t="str">
        <f>+UPPER('0. Instruções'!$D$35&amp;"."&amp;VLOOKUP(B151,'0. Instruções'!$C$27:$D$32,2,FALSE))</f>
        <v>CD_LOAN_TAPES_BCE.LT002_INSTRUMENT</v>
      </c>
      <c r="F151" s="32" t="str">
        <f>+UPPER('0. Instruções'!$D$36&amp;"."&amp;VLOOKUP(B151,'0. Instruções'!$C$27:$E$32,3,FALSE))</f>
        <v>BU_LOANTAPE_WORK.LT002_INSTRUMENT</v>
      </c>
      <c r="H151" s="32"/>
      <c r="I151" s="32"/>
      <c r="J151" s="32" t="str">
        <f>IF(VLOOKUP(B151,'0. Instruções'!$C$27:$G$32,5,FALSE)=0,
"(SELECT "&amp;VLOOKUP(B151,'0. Instruções'!$C$27:$G$32,4,FALSE)&amp;" AS CHAVE_IT, "&amp;C151&amp;" AS CAMPO_IT FROM "&amp;E151&amp;" WHERE "&amp;'0. Instruções'!$D$43&amp;")X",
"(SELECT "&amp;VLOOKUP(B151,'0. Instruções'!$C$27:$G$32,4,FALSE)&amp;" AS CHAVE_IT1, "&amp;VLOOKUP(B151,'0. Instruções'!$C$27:$G$32,5,FALSE)&amp;" AS CHAVE_IT2, "&amp;C151&amp;" AS CAMPO_IT FROM "&amp;E151&amp;" WHERE "&amp;'0. Instruções'!$D$43&amp;")X")</f>
        <v>(SELECT instrmnt_id AS CHAVE_IT, imprmnt_clcltn_mthd AS CAMPO_IT FROM CD_LOAN_TAPES_BCE.LT002_INSTRUMENT WHERE ref_date='${ref_date}' AND nome_perimetro='Individual Local' AND segmento='ESTR' AND ambito='PM' AND entidade='00100')X</v>
      </c>
      <c r="K151" s="32" t="str">
        <f>IF(VLOOKUP(B151,'0. Instruções'!$C$27:$G$32,5,FALSE)=0,
"(SELECT "&amp;VLOOKUP(B151,'0. Instruções'!$C$27:$G$32,4,FALSE)&amp;" AS CHAVE_SIMUL, "&amp;C151&amp;" AS CAMPO_SIMUL FROM "&amp;F151&amp;" WHERE "&amp;'0. Instruções'!$D$42&amp;")Y",
"(SELECT "&amp;VLOOKUP(B151,'0. Instruções'!$C$27:$G$32,4,FALSE)&amp;" AS CHAVE_SIMUL1, "&amp;VLOOKUP(B151,'0. Instruções'!$C$27:$G$32,5,FALSE)&amp;" AS CHAVE_SIMUL2, "&amp;C151&amp;" AS CAMPO_SIMUL FROM "&amp;F151&amp;" WHERE "&amp;'0. Instruções'!$D$42&amp;")Y")</f>
        <v>(SELECT instrmnt_id AS CHAVE_SIMUL, imprmnt_clcltn_mthd AS CAMPO_SIMUL FROM BU_LOANTAPE_WORK.LT002_INSTRUMENT WHERE ref_date='${ref_date}' AND nome_perimetro='Individual Local' AND segmento='ESTR' AND ambito='PM' AND entidade='00100')Y</v>
      </c>
      <c r="L151" s="32" t="str">
        <f>IF(VLOOKUP(B151,'0. Instruções'!$C$27:$G$32,5,FALSE)=0,
"ON X.CHAVE_IT=Y.CHAVE_SIMUL",
"ON X.CHAVE_IT1=Y.CHAVE_SIMUL1 AND X.CHAVE_IT2=Y.CHAVE_SIMUL2")</f>
        <v>ON X.CHAVE_IT=Y.CHAVE_SIMUL</v>
      </c>
      <c r="M151" s="32" t="str">
        <f>+IF(D151="Coerência",+IF(LEFT(H151,5)="FLOAT","SELECT '"&amp;UPPER(B151)&amp;"' AS TABELA, '"&amp;UPPER(D151)&amp;"' AS TIPOLOGIA_TESTE,'"&amp;E151&amp;"' AS TABELA_LT,'"&amp;F151&amp;"' AS TABELA_SIMUL,'"&amp;C151&amp;"'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"&amp;J151&amp;" INNER JOIN "&amp;K151&amp;" "&amp;L151,"SELECT '"&amp;UPPER(B151)&amp;"' AS TABELA, '"&amp;UPPER(D151)&amp;"' AS TIPOLOGIA_TESTE,'"&amp;E151&amp;"' AS TABELA_LT,'"&amp;F151&amp;"' AS TABELA_SIMUL,'"&amp;C151&amp;"'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"&amp;J151&amp;" INNER JOIN "&amp;K151&amp;" "&amp;L151))</f>
        <v>SELECT 'INSTRUMENT' AS TABELA, 'COERÊNCIA' AS TIPOLOGIA_TESTE,'CD_LOAN_TAPES_BCE.LT002_INSTRUMENT' AS TABELA_LT,'BU_LOANTAPE_WORK.LT002_INSTRUMENT' AS TABELA_SIMUL,'imprmnt_clcltn_mthd'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imprmnt_clcltn_mthd AS CAMPO_IT FROM CD_LOAN_TAPES_BCE.LT002_INSTRUMENT WHERE ref_date='${ref_date}' AND nome_perimetro='Individual Local' AND segmento='ESTR' AND ambito='PM' AND entidade='00100')X INNER JOIN (SELECT instrmnt_id AS CHAVE_SIMUL, imprmnt_clcltn_mthd AS CAMPO_SIMUL FROM BU_LOANTAPE_WORK.LT002_INSTRUMENT WHERE ref_date='${ref_date}' AND nome_perimetro='Individual Local' AND segmento='ESTR' AND ambito='PM' AND entidade='00100')Y ON X.CHAVE_IT=Y.CHAVE_SIMUL</v>
      </c>
      <c r="N151" s="33" t="str">
        <f t="shared" si="5"/>
        <v>UNION ALL SELECT 'INSTRUMENT' AS TABELA, 'COERÊNCIA' AS TIPOLOGIA_TESTE,'CD_LOAN_TAPES_BCE.LT002_INSTRUMENT' AS TABELA_LT,'BU_LOANTAPE_WORK.LT002_INSTRUMENT' AS TABELA_SIMUL,'imprmnt_clcltn_mthd'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imprmnt_clcltn_mthd AS CAMPO_IT FROM CD_LOAN_TAPES_BCE.LT002_INSTRUMENT WHERE ref_date='${ref_date}' AND nome_perimetro='Individual Local' AND segmento='ESTR' AND ambito='PM' AND entidade='00100')X INNER JOIN (SELECT instrmnt_id AS CHAVE_SIMUL, imprmnt_clcltn_mthd AS CAMPO_SIMUL FROM BU_LOANTAPE_WORK.LT002_INSTRUMENT WHERE ref_date='${ref_date}' AND nome_perimetro='Individual Local' AND segmento='ESTR' AND ambito='PM' AND entidade='00100')Y ON X.CHAVE_IT=Y.CHAVE_SIMUL</v>
      </c>
      <c r="O151" s="35" t="s">
        <v>35</v>
      </c>
    </row>
    <row r="152" spans="1:15">
      <c r="A152" s="57" t="str">
        <f t="shared" si="6"/>
        <v>Instrumentnmbr_frbrnc_msrs</v>
      </c>
      <c r="B152" s="32" t="s">
        <v>9</v>
      </c>
      <c r="C152" s="32" t="s">
        <v>325</v>
      </c>
      <c r="D152" s="32" t="s">
        <v>5</v>
      </c>
      <c r="E152" s="32" t="str">
        <f>+UPPER('0. Instruções'!$D$35&amp;"."&amp;VLOOKUP(B152,'0. Instruções'!$C$27:$D$32,2,FALSE))</f>
        <v>CD_LOAN_TAPES_BCE.LT002_INSTRUMENT</v>
      </c>
      <c r="F152" s="32" t="str">
        <f>+UPPER('0. Instruções'!$D$36&amp;"."&amp;VLOOKUP(B152,'0. Instruções'!$C$27:$E$32,3,FALSE))</f>
        <v>BU_LOANTAPE_WORK.LT002_INSTRUMENT</v>
      </c>
      <c r="H152" s="32"/>
      <c r="I152" s="32"/>
      <c r="J152" s="32" t="str">
        <f>IF(VLOOKUP(B152,'0. Instruções'!$C$27:$G$32,5,FALSE)=0,
"(SELECT "&amp;VLOOKUP(B152,'0. Instruções'!$C$27:$G$32,4,FALSE)&amp;" AS CHAVE_IT, "&amp;C152&amp;" AS CAMPO_IT FROM "&amp;E152&amp;" WHERE "&amp;'0. Instruções'!$D$43&amp;")X",
"(SELECT "&amp;VLOOKUP(B152,'0. Instruções'!$C$27:$G$32,4,FALSE)&amp;" AS CHAVE_IT1, "&amp;VLOOKUP(B152,'0. Instruções'!$C$27:$G$32,5,FALSE)&amp;" AS CHAVE_IT2, "&amp;C152&amp;" AS CAMPO_IT FROM "&amp;E152&amp;" WHERE "&amp;'0. Instruções'!$D$43&amp;")X")</f>
        <v>(SELECT instrmnt_id AS CHAVE_IT, nmbr_frbrnc_msrs AS CAMPO_IT FROM CD_LOAN_TAPES_BCE.LT002_INSTRUMENT WHERE ref_date='${ref_date}' AND nome_perimetro='Individual Local' AND segmento='ESTR' AND ambito='PM' AND entidade='00100')X</v>
      </c>
      <c r="K152" s="32" t="str">
        <f>IF(VLOOKUP(B152,'0. Instruções'!$C$27:$G$32,5,FALSE)=0,
"(SELECT "&amp;VLOOKUP(B152,'0. Instruções'!$C$27:$G$32,4,FALSE)&amp;" AS CHAVE_SIMUL, "&amp;C152&amp;" AS CAMPO_SIMUL FROM "&amp;F152&amp;" WHERE "&amp;'0. Instruções'!$D$42&amp;")Y",
"(SELECT "&amp;VLOOKUP(B152,'0. Instruções'!$C$27:$G$32,4,FALSE)&amp;" AS CHAVE_SIMUL1, "&amp;VLOOKUP(B152,'0. Instruções'!$C$27:$G$32,5,FALSE)&amp;" AS CHAVE_SIMUL2, "&amp;C152&amp;" AS CAMPO_SIMUL FROM "&amp;F152&amp;" WHERE "&amp;'0. Instruções'!$D$42&amp;")Y")</f>
        <v>(SELECT instrmnt_id AS CHAVE_SIMUL, nmbr_frbrnc_msrs AS CAMPO_SIMUL FROM BU_LOANTAPE_WORK.LT002_INSTRUMENT WHERE ref_date='${ref_date}' AND nome_perimetro='Individual Local' AND segmento='ESTR' AND ambito='PM' AND entidade='00100')Y</v>
      </c>
      <c r="L152" s="32" t="str">
        <f>IF(VLOOKUP(B152,'0. Instruções'!$C$27:$G$32,5,FALSE)=0,
"ON X.CHAVE_IT=Y.CHAVE_SIMUL",
"ON X.CHAVE_IT1=Y.CHAVE_SIMUL1 AND X.CHAVE_IT2=Y.CHAVE_SIMUL2")</f>
        <v>ON X.CHAVE_IT=Y.CHAVE_SIMUL</v>
      </c>
      <c r="M152" s="32" t="str">
        <f>+IF(D152="Coerência",+IF(LEFT(H152,5)="FLOAT","SELECT '"&amp;UPPER(B152)&amp;"' AS TABELA, '"&amp;UPPER(D152)&amp;"' AS TIPOLOGIA_TESTE,'"&amp;E152&amp;"' AS TABELA_LT,'"&amp;F152&amp;"' AS TABELA_SIMUL,'"&amp;C152&amp;"'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"&amp;J152&amp;" INNER JOIN "&amp;K152&amp;" "&amp;L152,"SELECT '"&amp;UPPER(B152)&amp;"' AS TABELA, '"&amp;UPPER(D152)&amp;"' AS TIPOLOGIA_TESTE,'"&amp;E152&amp;"' AS TABELA_LT,'"&amp;F152&amp;"' AS TABELA_SIMUL,'"&amp;C152&amp;"'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"&amp;J152&amp;" INNER JOIN "&amp;K152&amp;" "&amp;L152))</f>
        <v>SELECT 'INSTRUMENT' AS TABELA, 'COERÊNCIA' AS TIPOLOGIA_TESTE,'CD_LOAN_TAPES_BCE.LT002_INSTRUMENT' AS TABELA_LT,'BU_LOANTAPE_WORK.LT002_INSTRUMENT' AS TABELA_SIMUL,'nmbr_frbrnc_msrs'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nmbr_frbrnc_msrs AS CAMPO_IT FROM CD_LOAN_TAPES_BCE.LT002_INSTRUMENT WHERE ref_date='${ref_date}' AND nome_perimetro='Individual Local' AND segmento='ESTR' AND ambito='PM' AND entidade='00100')X INNER JOIN (SELECT instrmnt_id AS CHAVE_SIMUL, nmbr_frbrnc_msrs AS CAMPO_SIMUL FROM BU_LOANTAPE_WORK.LT002_INSTRUMENT WHERE ref_date='${ref_date}' AND nome_perimetro='Individual Local' AND segmento='ESTR' AND ambito='PM' AND entidade='00100')Y ON X.CHAVE_IT=Y.CHAVE_SIMUL</v>
      </c>
      <c r="N152" s="33" t="str">
        <f t="shared" si="5"/>
        <v>UNION ALL SELECT 'INSTRUMENT' AS TABELA, 'COERÊNCIA' AS TIPOLOGIA_TESTE,'CD_LOAN_TAPES_BCE.LT002_INSTRUMENT' AS TABELA_LT,'BU_LOANTAPE_WORK.LT002_INSTRUMENT' AS TABELA_SIMUL,'nmbr_frbrnc_msrs'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nmbr_frbrnc_msrs AS CAMPO_IT FROM CD_LOAN_TAPES_BCE.LT002_INSTRUMENT WHERE ref_date='${ref_date}' AND nome_perimetro='Individual Local' AND segmento='ESTR' AND ambito='PM' AND entidade='00100')X INNER JOIN (SELECT instrmnt_id AS CHAVE_SIMUL, nmbr_frbrnc_msrs AS CAMPO_SIMUL FROM BU_LOANTAPE_WORK.LT002_INSTRUMENT WHERE ref_date='${ref_date}' AND nome_perimetro='Individual Local' AND segmento='ESTR' AND ambito='PM' AND entidade='00100')Y ON X.CHAVE_IT=Y.CHAVE_SIMUL</v>
      </c>
      <c r="O152" s="35" t="s">
        <v>35</v>
      </c>
    </row>
    <row r="153" spans="1:15">
      <c r="A153" s="57" t="str">
        <f t="shared" si="6"/>
        <v>Instrumentifrs9_lgd</v>
      </c>
      <c r="B153" s="32" t="s">
        <v>9</v>
      </c>
      <c r="C153" s="32" t="s">
        <v>326</v>
      </c>
      <c r="D153" s="32" t="s">
        <v>5</v>
      </c>
      <c r="E153" s="32" t="str">
        <f>+UPPER('0. Instruções'!$D$35&amp;"."&amp;VLOOKUP(B153,'0. Instruções'!$C$27:$D$32,2,FALSE))</f>
        <v>CD_LOAN_TAPES_BCE.LT002_INSTRUMENT</v>
      </c>
      <c r="F153" s="32" t="str">
        <f>+UPPER('0. Instruções'!$D$36&amp;"."&amp;VLOOKUP(B153,'0. Instruções'!$C$27:$E$32,3,FALSE))</f>
        <v>BU_LOANTAPE_WORK.LT002_INSTRUMENT</v>
      </c>
      <c r="H153" s="32"/>
      <c r="I153" s="32"/>
      <c r="J153" s="32" t="str">
        <f>IF(VLOOKUP(B153,'0. Instruções'!$C$27:$G$32,5,FALSE)=0,
"(SELECT "&amp;VLOOKUP(B153,'0. Instruções'!$C$27:$G$32,4,FALSE)&amp;" AS CHAVE_IT, "&amp;C153&amp;" AS CAMPO_IT FROM "&amp;E153&amp;" WHERE "&amp;'0. Instruções'!$D$43&amp;")X",
"(SELECT "&amp;VLOOKUP(B153,'0. Instruções'!$C$27:$G$32,4,FALSE)&amp;" AS CHAVE_IT1, "&amp;VLOOKUP(B153,'0. Instruções'!$C$27:$G$32,5,FALSE)&amp;" AS CHAVE_IT2, "&amp;C153&amp;" AS CAMPO_IT FROM "&amp;E153&amp;" WHERE "&amp;'0. Instruções'!$D$43&amp;")X")</f>
        <v>(SELECT instrmnt_id AS CHAVE_IT, ifrs9_lgd AS CAMPO_IT FROM CD_LOAN_TAPES_BCE.LT002_INSTRUMENT WHERE ref_date='${ref_date}' AND nome_perimetro='Individual Local' AND segmento='ESTR' AND ambito='PM' AND entidade='00100')X</v>
      </c>
      <c r="K153" s="32" t="str">
        <f>IF(VLOOKUP(B153,'0. Instruções'!$C$27:$G$32,5,FALSE)=0,
"(SELECT "&amp;VLOOKUP(B153,'0. Instruções'!$C$27:$G$32,4,FALSE)&amp;" AS CHAVE_SIMUL, "&amp;C153&amp;" AS CAMPO_SIMUL FROM "&amp;F153&amp;" WHERE "&amp;'0. Instruções'!$D$42&amp;")Y",
"(SELECT "&amp;VLOOKUP(B153,'0. Instruções'!$C$27:$G$32,4,FALSE)&amp;" AS CHAVE_SIMUL1, "&amp;VLOOKUP(B153,'0. Instruções'!$C$27:$G$32,5,FALSE)&amp;" AS CHAVE_SIMUL2, "&amp;C153&amp;" AS CAMPO_SIMUL FROM "&amp;F153&amp;" WHERE "&amp;'0. Instruções'!$D$42&amp;")Y")</f>
        <v>(SELECT instrmnt_id AS CHAVE_SIMUL, ifrs9_lgd AS CAMPO_SIMUL FROM BU_LOANTAPE_WORK.LT002_INSTRUMENT WHERE ref_date='${ref_date}' AND nome_perimetro='Individual Local' AND segmento='ESTR' AND ambito='PM' AND entidade='00100')Y</v>
      </c>
      <c r="L153" s="32" t="str">
        <f>IF(VLOOKUP(B153,'0. Instruções'!$C$27:$G$32,5,FALSE)=0,
"ON X.CHAVE_IT=Y.CHAVE_SIMUL",
"ON X.CHAVE_IT1=Y.CHAVE_SIMUL1 AND X.CHAVE_IT2=Y.CHAVE_SIMUL2")</f>
        <v>ON X.CHAVE_IT=Y.CHAVE_SIMUL</v>
      </c>
      <c r="M153" s="32" t="str">
        <f>+IF(D153="Coerência",+IF(LEFT(H153,5)="FLOAT","SELECT '"&amp;UPPER(B153)&amp;"' AS TABELA, '"&amp;UPPER(D153)&amp;"' AS TIPOLOGIA_TESTE,'"&amp;E153&amp;"' AS TABELA_LT,'"&amp;F153&amp;"' AS TABELA_SIMUL,'"&amp;C153&amp;"'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"&amp;J153&amp;" INNER JOIN "&amp;K153&amp;" "&amp;L153,"SELECT '"&amp;UPPER(B153)&amp;"' AS TABELA, '"&amp;UPPER(D153)&amp;"' AS TIPOLOGIA_TESTE,'"&amp;E153&amp;"' AS TABELA_LT,'"&amp;F153&amp;"' AS TABELA_SIMUL,'"&amp;C153&amp;"'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"&amp;J153&amp;" INNER JOIN "&amp;K153&amp;" "&amp;L153))</f>
        <v>SELECT 'INSTRUMENT' AS TABELA, 'COERÊNCIA' AS TIPOLOGIA_TESTE,'CD_LOAN_TAPES_BCE.LT002_INSTRUMENT' AS TABELA_LT,'BU_LOANTAPE_WORK.LT002_INSTRUMENT' AS TABELA_SIMUL,'ifrs9_lgd'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ifrs9_lgd AS CAMPO_IT FROM CD_LOAN_TAPES_BCE.LT002_INSTRUMENT WHERE ref_date='${ref_date}' AND nome_perimetro='Individual Local' AND segmento='ESTR' AND ambito='PM' AND entidade='00100')X INNER JOIN (SELECT instrmnt_id AS CHAVE_SIMUL, ifrs9_lgd AS CAMPO_SIMUL FROM BU_LOANTAPE_WORK.LT002_INSTRUMENT WHERE ref_date='${ref_date}' AND nome_perimetro='Individual Local' AND segmento='ESTR' AND ambito='PM' AND entidade='00100')Y ON X.CHAVE_IT=Y.CHAVE_SIMUL</v>
      </c>
      <c r="N153" s="33" t="str">
        <f t="shared" si="5"/>
        <v>UNION ALL SELECT 'INSTRUMENT' AS TABELA, 'COERÊNCIA' AS TIPOLOGIA_TESTE,'CD_LOAN_TAPES_BCE.LT002_INSTRUMENT' AS TABELA_LT,'BU_LOANTAPE_WORK.LT002_INSTRUMENT' AS TABELA_SIMUL,'ifrs9_lgd'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ifrs9_lgd AS CAMPO_IT FROM CD_LOAN_TAPES_BCE.LT002_INSTRUMENT WHERE ref_date='${ref_date}' AND nome_perimetro='Individual Local' AND segmento='ESTR' AND ambito='PM' AND entidade='00100')X INNER JOIN (SELECT instrmnt_id AS CHAVE_SIMUL, ifrs9_lgd AS CAMPO_SIMUL FROM BU_LOANTAPE_WORK.LT002_INSTRUMENT WHERE ref_date='${ref_date}' AND nome_perimetro='Individual Local' AND segmento='ESTR' AND ambito='PM' AND entidade='00100')Y ON X.CHAVE_IT=Y.CHAVE_SIMUL</v>
      </c>
      <c r="O153" s="35" t="s">
        <v>35</v>
      </c>
    </row>
    <row r="154" spans="1:15">
      <c r="A154" s="57" t="str">
        <f t="shared" si="6"/>
        <v>Instrumentlgd</v>
      </c>
      <c r="B154" s="32" t="s">
        <v>9</v>
      </c>
      <c r="C154" s="32" t="s">
        <v>327</v>
      </c>
      <c r="D154" s="32" t="s">
        <v>5</v>
      </c>
      <c r="E154" s="32" t="str">
        <f>+UPPER('0. Instruções'!$D$35&amp;"."&amp;VLOOKUP(B154,'0. Instruções'!$C$27:$D$32,2,FALSE))</f>
        <v>CD_LOAN_TAPES_BCE.LT002_INSTRUMENT</v>
      </c>
      <c r="F154" s="32" t="str">
        <f>+UPPER('0. Instruções'!$D$36&amp;"."&amp;VLOOKUP(B154,'0. Instruções'!$C$27:$E$32,3,FALSE))</f>
        <v>BU_LOANTAPE_WORK.LT002_INSTRUMENT</v>
      </c>
      <c r="H154" s="32"/>
      <c r="I154" s="32"/>
      <c r="J154" s="32" t="str">
        <f>IF(VLOOKUP(B154,'0. Instruções'!$C$27:$G$32,5,FALSE)=0,
"(SELECT "&amp;VLOOKUP(B154,'0. Instruções'!$C$27:$G$32,4,FALSE)&amp;" AS CHAVE_IT, "&amp;C154&amp;" AS CAMPO_IT FROM "&amp;E154&amp;" WHERE "&amp;'0. Instruções'!$D$43&amp;")X",
"(SELECT "&amp;VLOOKUP(B154,'0. Instruções'!$C$27:$G$32,4,FALSE)&amp;" AS CHAVE_IT1, "&amp;VLOOKUP(B154,'0. Instruções'!$C$27:$G$32,5,FALSE)&amp;" AS CHAVE_IT2, "&amp;C154&amp;" AS CAMPO_IT FROM "&amp;E154&amp;" WHERE "&amp;'0. Instruções'!$D$43&amp;")X")</f>
        <v>(SELECT instrmnt_id AS CHAVE_IT, lgd AS CAMPO_IT FROM CD_LOAN_TAPES_BCE.LT002_INSTRUMENT WHERE ref_date='${ref_date}' AND nome_perimetro='Individual Local' AND segmento='ESTR' AND ambito='PM' AND entidade='00100')X</v>
      </c>
      <c r="K154" s="32" t="str">
        <f>IF(VLOOKUP(B154,'0. Instruções'!$C$27:$G$32,5,FALSE)=0,
"(SELECT "&amp;VLOOKUP(B154,'0. Instruções'!$C$27:$G$32,4,FALSE)&amp;" AS CHAVE_SIMUL, "&amp;C154&amp;" AS CAMPO_SIMUL FROM "&amp;F154&amp;" WHERE "&amp;'0. Instruções'!$D$42&amp;")Y",
"(SELECT "&amp;VLOOKUP(B154,'0. Instruções'!$C$27:$G$32,4,FALSE)&amp;" AS CHAVE_SIMUL1, "&amp;VLOOKUP(B154,'0. Instruções'!$C$27:$G$32,5,FALSE)&amp;" AS CHAVE_SIMUL2, "&amp;C154&amp;" AS CAMPO_SIMUL FROM "&amp;F154&amp;" WHERE "&amp;'0. Instruções'!$D$42&amp;")Y")</f>
        <v>(SELECT instrmnt_id AS CHAVE_SIMUL, lgd AS CAMPO_SIMUL FROM BU_LOANTAPE_WORK.LT002_INSTRUMENT WHERE ref_date='${ref_date}' AND nome_perimetro='Individual Local' AND segmento='ESTR' AND ambito='PM' AND entidade='00100')Y</v>
      </c>
      <c r="L154" s="32" t="str">
        <f>IF(VLOOKUP(B154,'0. Instruções'!$C$27:$G$32,5,FALSE)=0,
"ON X.CHAVE_IT=Y.CHAVE_SIMUL",
"ON X.CHAVE_IT1=Y.CHAVE_SIMUL1 AND X.CHAVE_IT2=Y.CHAVE_SIMUL2")</f>
        <v>ON X.CHAVE_IT=Y.CHAVE_SIMUL</v>
      </c>
      <c r="M154" s="32" t="str">
        <f>+IF(D154="Coerência",+IF(LEFT(H154,5)="FLOAT","SELECT '"&amp;UPPER(B154)&amp;"' AS TABELA, '"&amp;UPPER(D154)&amp;"' AS TIPOLOGIA_TESTE,'"&amp;E154&amp;"' AS TABELA_LT,'"&amp;F154&amp;"' AS TABELA_SIMUL,'"&amp;C154&amp;"'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"&amp;J154&amp;" INNER JOIN "&amp;K154&amp;" "&amp;L154,"SELECT '"&amp;UPPER(B154)&amp;"' AS TABELA, '"&amp;UPPER(D154)&amp;"' AS TIPOLOGIA_TESTE,'"&amp;E154&amp;"' AS TABELA_LT,'"&amp;F154&amp;"' AS TABELA_SIMUL,'"&amp;C154&amp;"'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"&amp;J154&amp;" INNER JOIN "&amp;K154&amp;" "&amp;L154))</f>
        <v>SELECT 'INSTRUMENT' AS TABELA, 'COERÊNCIA' AS TIPOLOGIA_TESTE,'CD_LOAN_TAPES_BCE.LT002_INSTRUMENT' AS TABELA_LT,'BU_LOANTAPE_WORK.LT002_INSTRUMENT' AS TABELA_SIMUL,'lgd'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lgd AS CAMPO_IT FROM CD_LOAN_TAPES_BCE.LT002_INSTRUMENT WHERE ref_date='${ref_date}' AND nome_perimetro='Individual Local' AND segmento='ESTR' AND ambito='PM' AND entidade='00100')X INNER JOIN (SELECT instrmnt_id AS CHAVE_SIMUL, lgd AS CAMPO_SIMUL FROM BU_LOANTAPE_WORK.LT002_INSTRUMENT WHERE ref_date='${ref_date}' AND nome_perimetro='Individual Local' AND segmento='ESTR' AND ambito='PM' AND entidade='00100')Y ON X.CHAVE_IT=Y.CHAVE_SIMUL</v>
      </c>
      <c r="N154" s="33" t="str">
        <f t="shared" si="5"/>
        <v>UNION ALL SELECT 'INSTRUMENT' AS TABELA, 'COERÊNCIA' AS TIPOLOGIA_TESTE,'CD_LOAN_TAPES_BCE.LT002_INSTRUMENT' AS TABELA_LT,'BU_LOANTAPE_WORK.LT002_INSTRUMENT' AS TABELA_SIMUL,'lgd'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lgd AS CAMPO_IT FROM CD_LOAN_TAPES_BCE.LT002_INSTRUMENT WHERE ref_date='${ref_date}' AND nome_perimetro='Individual Local' AND segmento='ESTR' AND ambito='PM' AND entidade='00100')X INNER JOIN (SELECT instrmnt_id AS CHAVE_SIMUL, lgd AS CAMPO_SIMUL FROM BU_LOANTAPE_WORK.LT002_INSTRUMENT WHERE ref_date='${ref_date}' AND nome_perimetro='Individual Local' AND segmento='ESTR' AND ambito='PM' AND entidade='00100')Y ON X.CHAVE_IT=Y.CHAVE_SIMUL</v>
      </c>
      <c r="O154" s="35" t="s">
        <v>35</v>
      </c>
    </row>
    <row r="155" spans="1:15">
      <c r="A155" s="57" t="str">
        <f t="shared" si="6"/>
        <v>Instrumentltv</v>
      </c>
      <c r="B155" s="32" t="s">
        <v>9</v>
      </c>
      <c r="C155" s="32" t="s">
        <v>328</v>
      </c>
      <c r="D155" s="32" t="s">
        <v>5</v>
      </c>
      <c r="E155" s="32" t="str">
        <f>+UPPER('0. Instruções'!$D$35&amp;"."&amp;VLOOKUP(B155,'0. Instruções'!$C$27:$D$32,2,FALSE))</f>
        <v>CD_LOAN_TAPES_BCE.LT002_INSTRUMENT</v>
      </c>
      <c r="F155" s="32" t="str">
        <f>+UPPER('0. Instruções'!$D$36&amp;"."&amp;VLOOKUP(B155,'0. Instruções'!$C$27:$E$32,3,FALSE))</f>
        <v>BU_LOANTAPE_WORK.LT002_INSTRUMENT</v>
      </c>
      <c r="H155" s="32"/>
      <c r="I155" s="32"/>
      <c r="J155" s="32" t="str">
        <f>IF(VLOOKUP(B155,'0. Instruções'!$C$27:$G$32,5,FALSE)=0,
"(SELECT "&amp;VLOOKUP(B155,'0. Instruções'!$C$27:$G$32,4,FALSE)&amp;" AS CHAVE_IT, "&amp;C155&amp;" AS CAMPO_IT FROM "&amp;E155&amp;" WHERE "&amp;'0. Instruções'!$D$43&amp;")X",
"(SELECT "&amp;VLOOKUP(B155,'0. Instruções'!$C$27:$G$32,4,FALSE)&amp;" AS CHAVE_IT1, "&amp;VLOOKUP(B155,'0. Instruções'!$C$27:$G$32,5,FALSE)&amp;" AS CHAVE_IT2, "&amp;C155&amp;" AS CAMPO_IT FROM "&amp;E155&amp;" WHERE "&amp;'0. Instruções'!$D$43&amp;")X")</f>
        <v>(SELECT instrmnt_id AS CHAVE_IT, ltv AS CAMPO_IT FROM CD_LOAN_TAPES_BCE.LT002_INSTRUMENT WHERE ref_date='${ref_date}' AND nome_perimetro='Individual Local' AND segmento='ESTR' AND ambito='PM' AND entidade='00100')X</v>
      </c>
      <c r="K155" s="32" t="str">
        <f>IF(VLOOKUP(B155,'0. Instruções'!$C$27:$G$32,5,FALSE)=0,
"(SELECT "&amp;VLOOKUP(B155,'0. Instruções'!$C$27:$G$32,4,FALSE)&amp;" AS CHAVE_SIMUL, "&amp;C155&amp;" AS CAMPO_SIMUL FROM "&amp;F155&amp;" WHERE "&amp;'0. Instruções'!$D$42&amp;")Y",
"(SELECT "&amp;VLOOKUP(B155,'0. Instruções'!$C$27:$G$32,4,FALSE)&amp;" AS CHAVE_SIMUL1, "&amp;VLOOKUP(B155,'0. Instruções'!$C$27:$G$32,5,FALSE)&amp;" AS CHAVE_SIMUL2, "&amp;C155&amp;" AS CAMPO_SIMUL FROM "&amp;F155&amp;" WHERE "&amp;'0. Instruções'!$D$42&amp;")Y")</f>
        <v>(SELECT instrmnt_id AS CHAVE_SIMUL, ltv AS CAMPO_SIMUL FROM BU_LOANTAPE_WORK.LT002_INSTRUMENT WHERE ref_date='${ref_date}' AND nome_perimetro='Individual Local' AND segmento='ESTR' AND ambito='PM' AND entidade='00100')Y</v>
      </c>
      <c r="L155" s="32" t="str">
        <f>IF(VLOOKUP(B155,'0. Instruções'!$C$27:$G$32,5,FALSE)=0,
"ON X.CHAVE_IT=Y.CHAVE_SIMUL",
"ON X.CHAVE_IT1=Y.CHAVE_SIMUL1 AND X.CHAVE_IT2=Y.CHAVE_SIMUL2")</f>
        <v>ON X.CHAVE_IT=Y.CHAVE_SIMUL</v>
      </c>
      <c r="M155" s="32" t="str">
        <f>+IF(D155="Coerência",+IF(LEFT(H155,5)="FLOAT","SELECT '"&amp;UPPER(B155)&amp;"' AS TABELA, '"&amp;UPPER(D155)&amp;"' AS TIPOLOGIA_TESTE,'"&amp;E155&amp;"' AS TABELA_LT,'"&amp;F155&amp;"' AS TABELA_SIMUL,'"&amp;C155&amp;"'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"&amp;J155&amp;" INNER JOIN "&amp;K155&amp;" "&amp;L155,"SELECT '"&amp;UPPER(B155)&amp;"' AS TABELA, '"&amp;UPPER(D155)&amp;"' AS TIPOLOGIA_TESTE,'"&amp;E155&amp;"' AS TABELA_LT,'"&amp;F155&amp;"' AS TABELA_SIMUL,'"&amp;C155&amp;"'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"&amp;J155&amp;" INNER JOIN "&amp;K155&amp;" "&amp;L155))</f>
        <v>SELECT 'INSTRUMENT' AS TABELA, 'COERÊNCIA' AS TIPOLOGIA_TESTE,'CD_LOAN_TAPES_BCE.LT002_INSTRUMENT' AS TABELA_LT,'BU_LOANTAPE_WORK.LT002_INSTRUMENT' AS TABELA_SIMUL,'ltv'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 AS CAMPO_IT FROM CD_LOAN_TAPES_BCE.LT002_INSTRUMENT WHERE ref_date='${ref_date}' AND nome_perimetro='Individual Local' AND segmento='ESTR' AND ambito='PM' AND entidade='00100')X INNER JOIN (SELECT instrmnt_id AS CHAVE_SIMUL, ltv AS CAMPO_SIMUL FROM BU_LOANTAPE_WORK.LT002_INSTRUMENT WHERE ref_date='${ref_date}' AND nome_perimetro='Individual Local' AND segmento='ESTR' AND ambito='PM' AND entidade='00100')Y ON X.CHAVE_IT=Y.CHAVE_SIMUL</v>
      </c>
      <c r="N155" s="33" t="str">
        <f t="shared" si="5"/>
        <v>UNION ALL SELECT 'INSTRUMENT' AS TABELA, 'COERÊNCIA' AS TIPOLOGIA_TESTE,'CD_LOAN_TAPES_BCE.LT002_INSTRUMENT' AS TABELA_LT,'BU_LOANTAPE_WORK.LT002_INSTRUMENT' AS TABELA_SIMUL,'ltv'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 AS CAMPO_IT FROM CD_LOAN_TAPES_BCE.LT002_INSTRUMENT WHERE ref_date='${ref_date}' AND nome_perimetro='Individual Local' AND segmento='ESTR' AND ambito='PM' AND entidade='00100')X INNER JOIN (SELECT instrmnt_id AS CHAVE_SIMUL, ltv AS CAMPO_SIMUL FROM BU_LOANTAPE_WORK.LT002_INSTRUMENT WHERE ref_date='${ref_date}' AND nome_perimetro='Individual Local' AND segmento='ESTR' AND ambito='PM' AND entidade='00100')Y ON X.CHAVE_IT=Y.CHAVE_SIMUL</v>
      </c>
      <c r="O155" s="35" t="s">
        <v>35</v>
      </c>
    </row>
    <row r="156" spans="1:15">
      <c r="A156" s="57" t="str">
        <f t="shared" si="6"/>
        <v>Instrumentltv_incptn</v>
      </c>
      <c r="B156" s="32" t="s">
        <v>9</v>
      </c>
      <c r="C156" s="32" t="s">
        <v>329</v>
      </c>
      <c r="D156" s="32" t="s">
        <v>5</v>
      </c>
      <c r="E156" s="32" t="str">
        <f>+UPPER('0. Instruções'!$D$35&amp;"."&amp;VLOOKUP(B156,'0. Instruções'!$C$27:$D$32,2,FALSE))</f>
        <v>CD_LOAN_TAPES_BCE.LT002_INSTRUMENT</v>
      </c>
      <c r="F156" s="32" t="str">
        <f>+UPPER('0. Instruções'!$D$36&amp;"."&amp;VLOOKUP(B156,'0. Instruções'!$C$27:$E$32,3,FALSE))</f>
        <v>BU_LOANTAPE_WORK.LT002_INSTRUMENT</v>
      </c>
      <c r="H156" s="32"/>
      <c r="I156" s="32"/>
      <c r="J156" s="32" t="str">
        <f>IF(VLOOKUP(B156,'0. Instruções'!$C$27:$G$32,5,FALSE)=0,
"(SELECT "&amp;VLOOKUP(B156,'0. Instruções'!$C$27:$G$32,4,FALSE)&amp;" AS CHAVE_IT, "&amp;C156&amp;" AS CAMPO_IT FROM "&amp;E156&amp;" WHERE "&amp;'0. Instruções'!$D$43&amp;")X",
"(SELECT "&amp;VLOOKUP(B156,'0. Instruções'!$C$27:$G$32,4,FALSE)&amp;" AS CHAVE_IT1, "&amp;VLOOKUP(B156,'0. Instruções'!$C$27:$G$32,5,FALSE)&amp;" AS CHAVE_IT2, "&amp;C156&amp;" AS CAMPO_IT FROM "&amp;E156&amp;" WHERE "&amp;'0. Instruções'!$D$43&amp;")X")</f>
        <v>(SELECT instrmnt_id AS CHAVE_IT, ltv_incptn AS CAMPO_IT FROM CD_LOAN_TAPES_BCE.LT002_INSTRUMENT WHERE ref_date='${ref_date}' AND nome_perimetro='Individual Local' AND segmento='ESTR' AND ambito='PM' AND entidade='00100')X</v>
      </c>
      <c r="K156" s="32" t="str">
        <f>IF(VLOOKUP(B156,'0. Instruções'!$C$27:$G$32,5,FALSE)=0,
"(SELECT "&amp;VLOOKUP(B156,'0. Instruções'!$C$27:$G$32,4,FALSE)&amp;" AS CHAVE_SIMUL, "&amp;C156&amp;" AS CAMPO_SIMUL FROM "&amp;F156&amp;" WHERE "&amp;'0. Instruções'!$D$42&amp;")Y",
"(SELECT "&amp;VLOOKUP(B156,'0. Instruções'!$C$27:$G$32,4,FALSE)&amp;" AS CHAVE_SIMUL1, "&amp;VLOOKUP(B156,'0. Instruções'!$C$27:$G$32,5,FALSE)&amp;" AS CHAVE_SIMUL2, "&amp;C156&amp;" AS CAMPO_SIMUL FROM "&amp;F156&amp;" WHERE "&amp;'0. Instruções'!$D$42&amp;")Y")</f>
        <v>(SELECT instrmnt_id AS CHAVE_SIMUL, ltv_incptn AS CAMPO_SIMUL FROM BU_LOANTAPE_WORK.LT002_INSTRUMENT WHERE ref_date='${ref_date}' AND nome_perimetro='Individual Local' AND segmento='ESTR' AND ambito='PM' AND entidade='00100')Y</v>
      </c>
      <c r="L156" s="32" t="str">
        <f>IF(VLOOKUP(B156,'0. Instruções'!$C$27:$G$32,5,FALSE)=0,
"ON X.CHAVE_IT=Y.CHAVE_SIMUL",
"ON X.CHAVE_IT1=Y.CHAVE_SIMUL1 AND X.CHAVE_IT2=Y.CHAVE_SIMUL2")</f>
        <v>ON X.CHAVE_IT=Y.CHAVE_SIMUL</v>
      </c>
      <c r="M156" s="32" t="str">
        <f>+IF(D156="Coerência",+IF(LEFT(H156,5)="FLOAT","SELECT '"&amp;UPPER(B156)&amp;"' AS TABELA, '"&amp;UPPER(D156)&amp;"' AS TIPOLOGIA_TESTE,'"&amp;E156&amp;"' AS TABELA_LT,'"&amp;F156&amp;"' AS TABELA_SIMUL,'"&amp;C156&amp;"'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"&amp;J156&amp;" INNER JOIN "&amp;K156&amp;" "&amp;L156,"SELECT '"&amp;UPPER(B156)&amp;"' AS TABELA, '"&amp;UPPER(D156)&amp;"' AS TIPOLOGIA_TESTE,'"&amp;E156&amp;"' AS TABELA_LT,'"&amp;F156&amp;"' AS TABELA_SIMUL,'"&amp;C156&amp;"'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"&amp;J156&amp;" INNER JOIN "&amp;K156&amp;" "&amp;L156))</f>
        <v>SELECT 'INSTRUMENT' AS TABELA, 'COERÊNCIA' AS TIPOLOGIA_TESTE,'CD_LOAN_TAPES_BCE.LT002_INSTRUMENT' AS TABELA_LT,'BU_LOANTAPE_WORK.LT002_INSTRUMENT' AS TABELA_SIMUL,'ltv_incptn'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ltv_incptn AS CAMPO_IT FROM CD_LOAN_TAPES_BCE.LT002_INSTRUMENT WHERE ref_date='${ref_date}' AND nome_perimetro='Individual Local' AND segmento='ESTR' AND ambito='PM' AND entidade='00100')X INNER JOIN (SELECT instrmnt_id AS CHAVE_SIMUL, ltv_incptn AS CAMPO_SIMUL FROM BU_LOANTAPE_WORK.LT002_INSTRUMENT WHERE ref_date='${ref_date}' AND nome_perimetro='Individual Local' AND segmento='ESTR' AND ambito='PM' AND entidade='00100')Y ON X.CHAVE_IT=Y.CHAVE_SIMUL</v>
      </c>
      <c r="N156" s="33" t="str">
        <f t="shared" si="5"/>
        <v>UNION ALL SELECT 'INSTRUMENT' AS TABELA, 'COERÊNCIA' AS TIPOLOGIA_TESTE,'CD_LOAN_TAPES_BCE.LT002_INSTRUMENT' AS TABELA_LT,'BU_LOANTAPE_WORK.LT002_INSTRUMENT' AS TABELA_SIMUL,'ltv_incptn'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ltv_incptn AS CAMPO_IT FROM CD_LOAN_TAPES_BCE.LT002_INSTRUMENT WHERE ref_date='${ref_date}' AND nome_perimetro='Individual Local' AND segmento='ESTR' AND ambito='PM' AND entidade='00100')X INNER JOIN (SELECT instrmnt_id AS CHAVE_SIMUL, ltv_incptn AS CAMPO_SIMUL FROM BU_LOANTAPE_WORK.LT002_INSTRUMENT WHERE ref_date='${ref_date}' AND nome_perimetro='Individual Local' AND segmento='ESTR' AND ambito='PM' AND entidade='00100')Y ON X.CHAVE_IT=Y.CHAVE_SIMUL</v>
      </c>
      <c r="O156" s="35" t="s">
        <v>35</v>
      </c>
    </row>
    <row r="157" spans="1:15">
      <c r="A157" s="57" t="str">
        <f t="shared" si="6"/>
        <v>Instrumentltv_npe</v>
      </c>
      <c r="B157" s="32" t="s">
        <v>9</v>
      </c>
      <c r="C157" s="32" t="s">
        <v>330</v>
      </c>
      <c r="D157" s="32" t="s">
        <v>5</v>
      </c>
      <c r="E157" s="32" t="str">
        <f>+UPPER('0. Instruções'!$D$35&amp;"."&amp;VLOOKUP(B157,'0. Instruções'!$C$27:$D$32,2,FALSE))</f>
        <v>CD_LOAN_TAPES_BCE.LT002_INSTRUMENT</v>
      </c>
      <c r="F157" s="32" t="str">
        <f>+UPPER('0. Instruções'!$D$36&amp;"."&amp;VLOOKUP(B157,'0. Instruções'!$C$27:$E$32,3,FALSE))</f>
        <v>BU_LOANTAPE_WORK.LT002_INSTRUMENT</v>
      </c>
      <c r="H157" s="32"/>
      <c r="I157" s="32"/>
      <c r="J157" s="32" t="str">
        <f>IF(VLOOKUP(B157,'0. Instruções'!$C$27:$G$32,5,FALSE)=0,
"(SELECT "&amp;VLOOKUP(B157,'0. Instruções'!$C$27:$G$32,4,FALSE)&amp;" AS CHAVE_IT, "&amp;C157&amp;" AS CAMPO_IT FROM "&amp;E157&amp;" WHERE "&amp;'0. Instruções'!$D$43&amp;")X",
"(SELECT "&amp;VLOOKUP(B157,'0. Instruções'!$C$27:$G$32,4,FALSE)&amp;" AS CHAVE_IT1, "&amp;VLOOKUP(B157,'0. Instruções'!$C$27:$G$32,5,FALSE)&amp;" AS CHAVE_IT2, "&amp;C157&amp;" AS CAMPO_IT FROM "&amp;E157&amp;" WHERE "&amp;'0. Instruções'!$D$43&amp;")X")</f>
        <v>(SELECT instrmnt_id AS CHAVE_IT, ltv_npe AS CAMPO_IT FROM CD_LOAN_TAPES_BCE.LT002_INSTRUMENT WHERE ref_date='${ref_date}' AND nome_perimetro='Individual Local' AND segmento='ESTR' AND ambito='PM' AND entidade='00100')X</v>
      </c>
      <c r="K157" s="32" t="str">
        <f>IF(VLOOKUP(B157,'0. Instruções'!$C$27:$G$32,5,FALSE)=0,
"(SELECT "&amp;VLOOKUP(B157,'0. Instruções'!$C$27:$G$32,4,FALSE)&amp;" AS CHAVE_SIMUL, "&amp;C157&amp;" AS CAMPO_SIMUL FROM "&amp;F157&amp;" WHERE "&amp;'0. Instruções'!$D$42&amp;")Y",
"(SELECT "&amp;VLOOKUP(B157,'0. Instruções'!$C$27:$G$32,4,FALSE)&amp;" AS CHAVE_SIMUL1, "&amp;VLOOKUP(B157,'0. Instruções'!$C$27:$G$32,5,FALSE)&amp;" AS CHAVE_SIMUL2, "&amp;C157&amp;" AS CAMPO_SIMUL FROM "&amp;F157&amp;" WHERE "&amp;'0. Instruções'!$D$42&amp;")Y")</f>
        <v>(SELECT instrmnt_id AS CHAVE_SIMUL, ltv_npe AS CAMPO_SIMUL FROM BU_LOANTAPE_WORK.LT002_INSTRUMENT WHERE ref_date='${ref_date}' AND nome_perimetro='Individual Local' AND segmento='ESTR' AND ambito='PM' AND entidade='00100')Y</v>
      </c>
      <c r="L157" s="32" t="str">
        <f>IF(VLOOKUP(B157,'0. Instruções'!$C$27:$G$32,5,FALSE)=0,
"ON X.CHAVE_IT=Y.CHAVE_SIMUL",
"ON X.CHAVE_IT1=Y.CHAVE_SIMUL1 AND X.CHAVE_IT2=Y.CHAVE_SIMUL2")</f>
        <v>ON X.CHAVE_IT=Y.CHAVE_SIMUL</v>
      </c>
      <c r="M157" s="32" t="str">
        <f>+IF(D157="Coerência",+IF(LEFT(H157,5)="FLOAT","SELECT '"&amp;UPPER(B157)&amp;"' AS TABELA, '"&amp;UPPER(D157)&amp;"' AS TIPOLOGIA_TESTE,'"&amp;E157&amp;"' AS TABELA_LT,'"&amp;F157&amp;"' AS TABELA_SIMUL,'"&amp;C157&amp;"'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"&amp;J157&amp;" INNER JOIN "&amp;K157&amp;" "&amp;L157,"SELECT '"&amp;UPPER(B157)&amp;"' AS TABELA, '"&amp;UPPER(D157)&amp;"' AS TIPOLOGIA_TESTE,'"&amp;E157&amp;"' AS TABELA_LT,'"&amp;F157&amp;"' AS TABELA_SIMUL,'"&amp;C157&amp;"'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"&amp;J157&amp;" INNER JOIN "&amp;K157&amp;" "&amp;L157))</f>
        <v>SELECT 'INSTRUMENT' AS TABELA, 'COERÊNCIA' AS TIPOLOGIA_TESTE,'CD_LOAN_TAPES_BCE.LT002_INSTRUMENT' AS TABELA_LT,'BU_LOANTAPE_WORK.LT002_INSTRUMENT' AS TABELA_SIMUL,'ltv_npe'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ltv_npe AS CAMPO_IT FROM CD_LOAN_TAPES_BCE.LT002_INSTRUMENT WHERE ref_date='${ref_date}' AND nome_perimetro='Individual Local' AND segmento='ESTR' AND ambito='PM' AND entidade='00100')X INNER JOIN (SELECT instrmnt_id AS CHAVE_SIMUL, ltv_npe AS CAMPO_SIMUL FROM BU_LOANTAPE_WORK.LT002_INSTRUMENT WHERE ref_date='${ref_date}' AND nome_perimetro='Individual Local' AND segmento='ESTR' AND ambito='PM' AND entidade='00100')Y ON X.CHAVE_IT=Y.CHAVE_SIMUL</v>
      </c>
      <c r="N157" s="33" t="str">
        <f t="shared" si="5"/>
        <v>UNION ALL SELECT 'INSTRUMENT' AS TABELA, 'COERÊNCIA' AS TIPOLOGIA_TESTE,'CD_LOAN_TAPES_BCE.LT002_INSTRUMENT' AS TABELA_LT,'BU_LOANTAPE_WORK.LT002_INSTRUMENT' AS TABELA_SIMUL,'ltv_npe'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ltv_npe AS CAMPO_IT FROM CD_LOAN_TAPES_BCE.LT002_INSTRUMENT WHERE ref_date='${ref_date}' AND nome_perimetro='Individual Local' AND segmento='ESTR' AND ambito='PM' AND entidade='00100')X INNER JOIN (SELECT instrmnt_id AS CHAVE_SIMUL, ltv_npe AS CAMPO_SIMUL FROM BU_LOANTAPE_WORK.LT002_INSTRUMENT WHERE ref_date='${ref_date}' AND nome_perimetro='Individual Local' AND segmento='ESTR' AND ambito='PM' AND entidade='00100')Y ON X.CHAVE_IT=Y.CHAVE_SIMUL</v>
      </c>
      <c r="O157" s="35" t="s">
        <v>35</v>
      </c>
    </row>
    <row r="158" spans="1:15">
      <c r="A158" s="57" t="str">
        <f t="shared" si="6"/>
        <v>Instrumentpd_crr_incptn</v>
      </c>
      <c r="B158" s="32" t="s">
        <v>9</v>
      </c>
      <c r="C158" s="32" t="s">
        <v>331</v>
      </c>
      <c r="D158" s="32" t="s">
        <v>5</v>
      </c>
      <c r="E158" s="32" t="str">
        <f>+UPPER('0. Instruções'!$D$35&amp;"."&amp;VLOOKUP(B158,'0. Instruções'!$C$27:$D$32,2,FALSE))</f>
        <v>CD_LOAN_TAPES_BCE.LT002_INSTRUMENT</v>
      </c>
      <c r="F158" s="32" t="str">
        <f>+UPPER('0. Instruções'!$D$36&amp;"."&amp;VLOOKUP(B158,'0. Instruções'!$C$27:$E$32,3,FALSE))</f>
        <v>BU_LOANTAPE_WORK.LT002_INSTRUMENT</v>
      </c>
      <c r="H158" s="32"/>
      <c r="I158" s="32"/>
      <c r="J158" s="32" t="str">
        <f>IF(VLOOKUP(B158,'0. Instruções'!$C$27:$G$32,5,FALSE)=0,
"(SELECT "&amp;VLOOKUP(B158,'0. Instruções'!$C$27:$G$32,4,FALSE)&amp;" AS CHAVE_IT, "&amp;C158&amp;" AS CAMPO_IT FROM "&amp;E158&amp;" WHERE "&amp;'0. Instruções'!$D$43&amp;")X",
"(SELECT "&amp;VLOOKUP(B158,'0. Instruções'!$C$27:$G$32,4,FALSE)&amp;" AS CHAVE_IT1, "&amp;VLOOKUP(B158,'0. Instruções'!$C$27:$G$32,5,FALSE)&amp;" AS CHAVE_IT2, "&amp;C158&amp;" AS CAMPO_IT FROM "&amp;E158&amp;" WHERE "&amp;'0. Instruções'!$D$43&amp;")X")</f>
        <v>(SELECT instrmnt_id AS CHAVE_IT, pd_crr_incptn AS CAMPO_IT FROM CD_LOAN_TAPES_BCE.LT002_INSTRUMENT WHERE ref_date='${ref_date}' AND nome_perimetro='Individual Local' AND segmento='ESTR' AND ambito='PM' AND entidade='00100')X</v>
      </c>
      <c r="K158" s="32" t="str">
        <f>IF(VLOOKUP(B158,'0. Instruções'!$C$27:$G$32,5,FALSE)=0,
"(SELECT "&amp;VLOOKUP(B158,'0. Instruções'!$C$27:$G$32,4,FALSE)&amp;" AS CHAVE_SIMUL, "&amp;C158&amp;" AS CAMPO_SIMUL FROM "&amp;F158&amp;" WHERE "&amp;'0. Instruções'!$D$42&amp;")Y",
"(SELECT "&amp;VLOOKUP(B158,'0. Instruções'!$C$27:$G$32,4,FALSE)&amp;" AS CHAVE_SIMUL1, "&amp;VLOOKUP(B158,'0. Instruções'!$C$27:$G$32,5,FALSE)&amp;" AS CHAVE_SIMUL2, "&amp;C158&amp;" AS CAMPO_SIMUL FROM "&amp;F158&amp;" WHERE "&amp;'0. Instruções'!$D$42&amp;")Y")</f>
        <v>(SELECT instrmnt_id AS CHAVE_SIMUL, pd_crr_incptn AS CAMPO_SIMUL FROM BU_LOANTAPE_WORK.LT002_INSTRUMENT WHERE ref_date='${ref_date}' AND nome_perimetro='Individual Local' AND segmento='ESTR' AND ambito='PM' AND entidade='00100')Y</v>
      </c>
      <c r="L158" s="32" t="str">
        <f>IF(VLOOKUP(B158,'0. Instruções'!$C$27:$G$32,5,FALSE)=0,
"ON X.CHAVE_IT=Y.CHAVE_SIMUL",
"ON X.CHAVE_IT1=Y.CHAVE_SIMUL1 AND X.CHAVE_IT2=Y.CHAVE_SIMUL2")</f>
        <v>ON X.CHAVE_IT=Y.CHAVE_SIMUL</v>
      </c>
      <c r="M158" s="32" t="str">
        <f>+IF(D158="Coerência",+IF(LEFT(H158,5)="FLOAT","SELECT '"&amp;UPPER(B158)&amp;"' AS TABELA, '"&amp;UPPER(D158)&amp;"' AS TIPOLOGIA_TESTE,'"&amp;E158&amp;"' AS TABELA_LT,'"&amp;F158&amp;"' AS TABELA_SIMUL,'"&amp;C158&amp;"'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"&amp;J158&amp;" INNER JOIN "&amp;K158&amp;" "&amp;L158,"SELECT '"&amp;UPPER(B158)&amp;"' AS TABELA, '"&amp;UPPER(D158)&amp;"' AS TIPOLOGIA_TESTE,'"&amp;E158&amp;"' AS TABELA_LT,'"&amp;F158&amp;"' AS TABELA_SIMUL,'"&amp;C158&amp;"'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"&amp;J158&amp;" INNER JOIN "&amp;K158&amp;" "&amp;L158))</f>
        <v>SELECT 'INSTRUMENT' AS TABELA, 'COERÊNCIA' AS TIPOLOGIA_TESTE,'CD_LOAN_TAPES_BCE.LT002_INSTRUMENT' AS TABELA_LT,'BU_LOANTAPE_WORK.LT002_INSTRUMENT' AS TABELA_SIMUL,'pd_crr_incptn'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pd_crr_incptn AS CAMPO_IT FROM CD_LOAN_TAPES_BCE.LT002_INSTRUMENT WHERE ref_date='${ref_date}' AND nome_perimetro='Individual Local' AND segmento='ESTR' AND ambito='PM' AND entidade='00100')X INNER JOIN (SELECT instrmnt_id AS CHAVE_SIMUL, pd_crr_incptn AS CAMPO_SIMUL FROM BU_LOANTAPE_WORK.LT002_INSTRUMENT WHERE ref_date='${ref_date}' AND nome_perimetro='Individual Local' AND segmento='ESTR' AND ambito='PM' AND entidade='00100')Y ON X.CHAVE_IT=Y.CHAVE_SIMUL</v>
      </c>
      <c r="N158" s="33" t="str">
        <f t="shared" si="5"/>
        <v>UNION ALL SELECT 'INSTRUMENT' AS TABELA, 'COERÊNCIA' AS TIPOLOGIA_TESTE,'CD_LOAN_TAPES_BCE.LT002_INSTRUMENT' AS TABELA_LT,'BU_LOANTAPE_WORK.LT002_INSTRUMENT' AS TABELA_SIMUL,'pd_crr_incptn'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pd_crr_incptn AS CAMPO_IT FROM CD_LOAN_TAPES_BCE.LT002_INSTRUMENT WHERE ref_date='${ref_date}' AND nome_perimetro='Individual Local' AND segmento='ESTR' AND ambito='PM' AND entidade='00100')X INNER JOIN (SELECT instrmnt_id AS CHAVE_SIMUL, pd_crr_incptn AS CAMPO_SIMUL FROM BU_LOANTAPE_WORK.LT002_INSTRUMENT WHERE ref_date='${ref_date}' AND nome_perimetro='Individual Local' AND segmento='ESTR' AND ambito='PM' AND entidade='00100')Y ON X.CHAVE_IT=Y.CHAVE_SIMUL</v>
      </c>
      <c r="O158" s="35" t="s">
        <v>35</v>
      </c>
    </row>
    <row r="159" spans="1:15">
      <c r="A159" s="57" t="str">
        <f t="shared" si="6"/>
        <v>Instrumentpd_crr_rd</v>
      </c>
      <c r="B159" s="32" t="s">
        <v>9</v>
      </c>
      <c r="C159" s="32" t="s">
        <v>332</v>
      </c>
      <c r="D159" s="32" t="s">
        <v>5</v>
      </c>
      <c r="E159" s="32" t="str">
        <f>+UPPER('0. Instruções'!$D$35&amp;"."&amp;VLOOKUP(B159,'0. Instruções'!$C$27:$D$32,2,FALSE))</f>
        <v>CD_LOAN_TAPES_BCE.LT002_INSTRUMENT</v>
      </c>
      <c r="F159" s="32" t="str">
        <f>+UPPER('0. Instruções'!$D$36&amp;"."&amp;VLOOKUP(B159,'0. Instruções'!$C$27:$E$32,3,FALSE))</f>
        <v>BU_LOANTAPE_WORK.LT002_INSTRUMENT</v>
      </c>
      <c r="H159" s="32"/>
      <c r="I159" s="32"/>
      <c r="J159" s="32" t="str">
        <f>IF(VLOOKUP(B159,'0. Instruções'!$C$27:$G$32,5,FALSE)=0,
"(SELECT "&amp;VLOOKUP(B159,'0. Instruções'!$C$27:$G$32,4,FALSE)&amp;" AS CHAVE_IT, "&amp;C159&amp;" AS CAMPO_IT FROM "&amp;E159&amp;" WHERE "&amp;'0. Instruções'!$D$43&amp;")X",
"(SELECT "&amp;VLOOKUP(B159,'0. Instruções'!$C$27:$G$32,4,FALSE)&amp;" AS CHAVE_IT1, "&amp;VLOOKUP(B159,'0. Instruções'!$C$27:$G$32,5,FALSE)&amp;" AS CHAVE_IT2, "&amp;C159&amp;" AS CAMPO_IT FROM "&amp;E159&amp;" WHERE "&amp;'0. Instruções'!$D$43&amp;")X")</f>
        <v>(SELECT instrmnt_id AS CHAVE_IT, pd_crr_rd AS CAMPO_IT FROM CD_LOAN_TAPES_BCE.LT002_INSTRUMENT WHERE ref_date='${ref_date}' AND nome_perimetro='Individual Local' AND segmento='ESTR' AND ambito='PM' AND entidade='00100')X</v>
      </c>
      <c r="K159" s="32" t="str">
        <f>IF(VLOOKUP(B159,'0. Instruções'!$C$27:$G$32,5,FALSE)=0,
"(SELECT "&amp;VLOOKUP(B159,'0. Instruções'!$C$27:$G$32,4,FALSE)&amp;" AS CHAVE_SIMUL, "&amp;C159&amp;" AS CAMPO_SIMUL FROM "&amp;F159&amp;" WHERE "&amp;'0. Instruções'!$D$42&amp;")Y",
"(SELECT "&amp;VLOOKUP(B159,'0. Instruções'!$C$27:$G$32,4,FALSE)&amp;" AS CHAVE_SIMUL1, "&amp;VLOOKUP(B159,'0. Instruções'!$C$27:$G$32,5,FALSE)&amp;" AS CHAVE_SIMUL2, "&amp;C159&amp;" AS CAMPO_SIMUL FROM "&amp;F159&amp;" WHERE "&amp;'0. Instruções'!$D$42&amp;")Y")</f>
        <v>(SELECT instrmnt_id AS CHAVE_SIMUL, pd_crr_rd AS CAMPO_SIMUL FROM BU_LOANTAPE_WORK.LT002_INSTRUMENT WHERE ref_date='${ref_date}' AND nome_perimetro='Individual Local' AND segmento='ESTR' AND ambito='PM' AND entidade='00100')Y</v>
      </c>
      <c r="L159" s="32" t="str">
        <f>IF(VLOOKUP(B159,'0. Instruções'!$C$27:$G$32,5,FALSE)=0,
"ON X.CHAVE_IT=Y.CHAVE_SIMUL",
"ON X.CHAVE_IT1=Y.CHAVE_SIMUL1 AND X.CHAVE_IT2=Y.CHAVE_SIMUL2")</f>
        <v>ON X.CHAVE_IT=Y.CHAVE_SIMUL</v>
      </c>
      <c r="M159" s="32" t="str">
        <f>+IF(D159="Coerência",+IF(LEFT(H159,5)="FLOAT","SELECT '"&amp;UPPER(B159)&amp;"' AS TABELA, '"&amp;UPPER(D159)&amp;"' AS TIPOLOGIA_TESTE,'"&amp;E159&amp;"' AS TABELA_LT,'"&amp;F159&amp;"' AS TABELA_SIMUL,'"&amp;C159&amp;"'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"&amp;J159&amp;" INNER JOIN "&amp;K159&amp;" "&amp;L159,"SELECT '"&amp;UPPER(B159)&amp;"' AS TABELA, '"&amp;UPPER(D159)&amp;"' AS TIPOLOGIA_TESTE,'"&amp;E159&amp;"' AS TABELA_LT,'"&amp;F159&amp;"' AS TABELA_SIMUL,'"&amp;C159&amp;"'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"&amp;J159&amp;" INNER JOIN "&amp;K159&amp;" "&amp;L159))</f>
        <v>SELECT 'INSTRUMENT' AS TABELA, 'COERÊNCIA' AS TIPOLOGIA_TESTE,'CD_LOAN_TAPES_BCE.LT002_INSTRUMENT' AS TABELA_LT,'BU_LOANTAPE_WORK.LT002_INSTRUMENT'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 AS CAMPO_IT FROM CD_LOAN_TAPES_BCE.LT002_INSTRUMENT WHERE ref_date='${ref_date}' AND nome_perimetro='Individual Local' AND segmento='ESTR' AND ambito='PM' AND entidade='00100')X INNER JOIN (SELECT instrmnt_id AS CHAVE_SIMUL, pd_crr_rd AS CAMPO_SIMUL FROM BU_LOANTAPE_WORK.LT002_INSTRUMENT WHERE ref_date='${ref_date}' AND nome_perimetro='Individual Local' AND segmento='ESTR' AND ambito='PM' AND entidade='00100')Y ON X.CHAVE_IT=Y.CHAVE_SIMUL</v>
      </c>
      <c r="N159" s="33" t="str">
        <f t="shared" si="5"/>
        <v>UNION ALL SELECT 'INSTRUMENT' AS TABELA, 'COERÊNCIA' AS TIPOLOGIA_TESTE,'CD_LOAN_TAPES_BCE.LT002_INSTRUMENT' AS TABELA_LT,'BU_LOANTAPE_WORK.LT002_INSTRUMENT'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 AS CAMPO_IT FROM CD_LOAN_TAPES_BCE.LT002_INSTRUMENT WHERE ref_date='${ref_date}' AND nome_perimetro='Individual Local' AND segmento='ESTR' AND ambito='PM' AND entidade='00100')X INNER JOIN (SELECT instrmnt_id AS CHAVE_SIMUL, pd_crr_rd AS CAMPO_SIMUL FROM BU_LOANTAPE_WORK.LT002_INSTRUMENT WHERE ref_date='${ref_date}' AND nome_perimetro='Individual Local' AND segmento='ESTR' AND ambito='PM' AND entidade='00100')Y ON X.CHAVE_IT=Y.CHAVE_SIMUL</v>
      </c>
      <c r="O159" s="35" t="s">
        <v>35</v>
      </c>
    </row>
    <row r="160" spans="1:15">
      <c r="A160" s="57" t="str">
        <f t="shared" si="6"/>
        <v>Instrumentpd_crr_rd_t1</v>
      </c>
      <c r="B160" s="32" t="s">
        <v>9</v>
      </c>
      <c r="C160" s="32" t="s">
        <v>333</v>
      </c>
      <c r="D160" s="32" t="s">
        <v>5</v>
      </c>
      <c r="E160" s="32" t="str">
        <f>+UPPER('0. Instruções'!$D$35&amp;"."&amp;VLOOKUP(B160,'0. Instruções'!$C$27:$D$32,2,FALSE))</f>
        <v>CD_LOAN_TAPES_BCE.LT002_INSTRUMENT</v>
      </c>
      <c r="F160" s="32" t="str">
        <f>+UPPER('0. Instruções'!$D$36&amp;"."&amp;VLOOKUP(B160,'0. Instruções'!$C$27:$E$32,3,FALSE))</f>
        <v>BU_LOANTAPE_WORK.LT002_INSTRUMENT</v>
      </c>
      <c r="H160" s="32"/>
      <c r="I160" s="32"/>
      <c r="J160" s="32" t="str">
        <f>IF(VLOOKUP(B160,'0. Instruções'!$C$27:$G$32,5,FALSE)=0,
"(SELECT "&amp;VLOOKUP(B160,'0. Instruções'!$C$27:$G$32,4,FALSE)&amp;" AS CHAVE_IT, "&amp;C160&amp;" AS CAMPO_IT FROM "&amp;E160&amp;" WHERE "&amp;'0. Instruções'!$D$43&amp;")X",
"(SELECT "&amp;VLOOKUP(B160,'0. Instruções'!$C$27:$G$32,4,FALSE)&amp;" AS CHAVE_IT1, "&amp;VLOOKUP(B160,'0. Instruções'!$C$27:$G$32,5,FALSE)&amp;" AS CHAVE_IT2, "&amp;C160&amp;" AS CAMPO_IT FROM "&amp;E160&amp;" WHERE "&amp;'0. Instruções'!$D$43&amp;")X")</f>
        <v>(SELECT instrmnt_id AS CHAVE_IT, pd_crr_rd_t1 AS CAMPO_IT FROM CD_LOAN_TAPES_BCE.LT002_INSTRUMENT WHERE ref_date='${ref_date}' AND nome_perimetro='Individual Local' AND segmento='ESTR' AND ambito='PM' AND entidade='00100')X</v>
      </c>
      <c r="K160" s="32" t="str">
        <f>IF(VLOOKUP(B160,'0. Instruções'!$C$27:$G$32,5,FALSE)=0,
"(SELECT "&amp;VLOOKUP(B160,'0. Instruções'!$C$27:$G$32,4,FALSE)&amp;" AS CHAVE_SIMUL, "&amp;C160&amp;" AS CAMPO_SIMUL FROM "&amp;F160&amp;" WHERE "&amp;'0. Instruções'!$D$42&amp;")Y",
"(SELECT "&amp;VLOOKUP(B160,'0. Instruções'!$C$27:$G$32,4,FALSE)&amp;" AS CHAVE_SIMUL1, "&amp;VLOOKUP(B160,'0. Instruções'!$C$27:$G$32,5,FALSE)&amp;" AS CHAVE_SIMUL2, "&amp;C160&amp;" AS CAMPO_SIMUL FROM "&amp;F160&amp;" WHERE "&amp;'0. Instruções'!$D$42&amp;")Y")</f>
        <v>(SELECT instrmnt_id AS CHAVE_SIMUL, pd_crr_rd_t1 AS CAMPO_SIMUL FROM BU_LOANTAPE_WORK.LT002_INSTRUMENT WHERE ref_date='${ref_date}' AND nome_perimetro='Individual Local' AND segmento='ESTR' AND ambito='PM' AND entidade='00100')Y</v>
      </c>
      <c r="L160" s="32" t="str">
        <f>IF(VLOOKUP(B160,'0. Instruções'!$C$27:$G$32,5,FALSE)=0,
"ON X.CHAVE_IT=Y.CHAVE_SIMUL",
"ON X.CHAVE_IT1=Y.CHAVE_SIMUL1 AND X.CHAVE_IT2=Y.CHAVE_SIMUL2")</f>
        <v>ON X.CHAVE_IT=Y.CHAVE_SIMUL</v>
      </c>
      <c r="M160" s="32" t="str">
        <f>+IF(D160="Coerência",+IF(LEFT(H160,5)="FLOAT","SELECT '"&amp;UPPER(B160)&amp;"' AS TABELA, '"&amp;UPPER(D160)&amp;"' AS TIPOLOGIA_TESTE,'"&amp;E160&amp;"' AS TABELA_LT,'"&amp;F160&amp;"' AS TABELA_SIMUL,'"&amp;C160&amp;"'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"&amp;J160&amp;" INNER JOIN "&amp;K160&amp;" "&amp;L160,"SELECT '"&amp;UPPER(B160)&amp;"' AS TABELA, '"&amp;UPPER(D160)&amp;"' AS TIPOLOGIA_TESTE,'"&amp;E160&amp;"' AS TABELA_LT,'"&amp;F160&amp;"' AS TABELA_SIMUL,'"&amp;C160&amp;"'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"&amp;J160&amp;" INNER JOIN "&amp;K160&amp;" "&amp;L160))</f>
        <v>SELECT 'INSTRUMENT' AS TABELA, 'COERÊNCIA' AS TIPOLOGIA_TESTE,'CD_LOAN_TAPES_BCE.LT002_INSTRUMENT' AS TABELA_LT,'BU_LOANTAPE_WORK.LT002_INSTRUMENT'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pd_crr_rd_t1 AS CAMPO_IT FROM CD_LOAN_TAPES_BCE.LT002_INSTRUMENT WHERE ref_date='${ref_date}' AND nome_perimetro='Individual Local' AND segmento='ESTR' AND ambito='PM' AND entidade='00100')X INNER JOIN (SELECT instrmnt_id AS CHAVE_SIMUL, pd_crr_rd_t1 AS CAMPO_SIMUL FROM BU_LOANTAPE_WORK.LT002_INSTRUMENT WHERE ref_date='${ref_date}' AND nome_perimetro='Individual Local' AND segmento='ESTR' AND ambito='PM' AND entidade='00100')Y ON X.CHAVE_IT=Y.CHAVE_SIMUL</v>
      </c>
      <c r="N160" s="33" t="str">
        <f t="shared" si="5"/>
        <v>UNION ALL SELECT 'INSTRUMENT' AS TABELA, 'COERÊNCIA' AS TIPOLOGIA_TESTE,'CD_LOAN_TAPES_BCE.LT002_INSTRUMENT' AS TABELA_LT,'BU_LOANTAPE_WORK.LT002_INSTRUMENT'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pd_crr_rd_t1 AS CAMPO_IT FROM CD_LOAN_TAPES_BCE.LT002_INSTRUMENT WHERE ref_date='${ref_date}' AND nome_perimetro='Individual Local' AND segmento='ESTR' AND ambito='PM' AND entidade='00100')X INNER JOIN (SELECT instrmnt_id AS CHAVE_SIMUL, pd_crr_rd_t1 AS CAMPO_SIMUL FROM BU_LOANTAPE_WORK.LT002_INSTRUMENT WHERE ref_date='${ref_date}' AND nome_perimetro='Individual Local' AND segmento='ESTR' AND ambito='PM' AND entidade='00100')Y ON X.CHAVE_IT=Y.CHAVE_SIMUL</v>
      </c>
      <c r="O160" s="35" t="s">
        <v>35</v>
      </c>
    </row>
    <row r="161" spans="1:15">
      <c r="A161" s="57" t="str">
        <f t="shared" si="6"/>
        <v>Instrumentpd_ifrs9_12m_incptn</v>
      </c>
      <c r="B161" s="32" t="s">
        <v>9</v>
      </c>
      <c r="C161" s="32" t="s">
        <v>334</v>
      </c>
      <c r="D161" s="32" t="s">
        <v>5</v>
      </c>
      <c r="E161" s="32" t="str">
        <f>+UPPER('0. Instruções'!$D$35&amp;"."&amp;VLOOKUP(B161,'0. Instruções'!$C$27:$D$32,2,FALSE))</f>
        <v>CD_LOAN_TAPES_BCE.LT002_INSTRUMENT</v>
      </c>
      <c r="F161" s="32" t="str">
        <f>+UPPER('0. Instruções'!$D$36&amp;"."&amp;VLOOKUP(B161,'0. Instruções'!$C$27:$E$32,3,FALSE))</f>
        <v>BU_LOANTAPE_WORK.LT002_INSTRUMENT</v>
      </c>
      <c r="H161" s="32"/>
      <c r="I161" s="32"/>
      <c r="J161" s="32" t="str">
        <f>IF(VLOOKUP(B161,'0. Instruções'!$C$27:$G$32,5,FALSE)=0,
"(SELECT "&amp;VLOOKUP(B161,'0. Instruções'!$C$27:$G$32,4,FALSE)&amp;" AS CHAVE_IT, "&amp;C161&amp;" AS CAMPO_IT FROM "&amp;E161&amp;" WHERE "&amp;'0. Instruções'!$D$43&amp;")X",
"(SELECT "&amp;VLOOKUP(B161,'0. Instruções'!$C$27:$G$32,4,FALSE)&amp;" AS CHAVE_IT1, "&amp;VLOOKUP(B161,'0. Instruções'!$C$27:$G$32,5,FALSE)&amp;" AS CHAVE_IT2, "&amp;C161&amp;" AS CAMPO_IT FROM "&amp;E161&amp;" WHERE "&amp;'0. Instruções'!$D$43&amp;")X")</f>
        <v>(SELECT instrmnt_id AS CHAVE_IT, pd_ifrs9_12m_incptn AS CAMPO_IT FROM CD_LOAN_TAPES_BCE.LT002_INSTRUMENT WHERE ref_date='${ref_date}' AND nome_perimetro='Individual Local' AND segmento='ESTR' AND ambito='PM' AND entidade='00100')X</v>
      </c>
      <c r="K161" s="32" t="str">
        <f>IF(VLOOKUP(B161,'0. Instruções'!$C$27:$G$32,5,FALSE)=0,
"(SELECT "&amp;VLOOKUP(B161,'0. Instruções'!$C$27:$G$32,4,FALSE)&amp;" AS CHAVE_SIMUL, "&amp;C161&amp;" AS CAMPO_SIMUL FROM "&amp;F161&amp;" WHERE "&amp;'0. Instruções'!$D$42&amp;")Y",
"(SELECT "&amp;VLOOKUP(B161,'0. Instruções'!$C$27:$G$32,4,FALSE)&amp;" AS CHAVE_SIMUL1, "&amp;VLOOKUP(B161,'0. Instruções'!$C$27:$G$32,5,FALSE)&amp;" AS CHAVE_SIMUL2, "&amp;C161&amp;" AS CAMPO_SIMUL FROM "&amp;F161&amp;" WHERE "&amp;'0. Instruções'!$D$42&amp;")Y")</f>
        <v>(SELECT instrmnt_id AS CHAVE_SIMUL, pd_ifrs9_12m_incptn AS CAMPO_SIMUL FROM BU_LOANTAPE_WORK.LT002_INSTRUMENT WHERE ref_date='${ref_date}' AND nome_perimetro='Individual Local' AND segmento='ESTR' AND ambito='PM' AND entidade='00100')Y</v>
      </c>
      <c r="L161" s="32" t="str">
        <f>IF(VLOOKUP(B161,'0. Instruções'!$C$27:$G$32,5,FALSE)=0,
"ON X.CHAVE_IT=Y.CHAVE_SIMUL",
"ON X.CHAVE_IT1=Y.CHAVE_SIMUL1 AND X.CHAVE_IT2=Y.CHAVE_SIMUL2")</f>
        <v>ON X.CHAVE_IT=Y.CHAVE_SIMUL</v>
      </c>
      <c r="M161" s="32" t="str">
        <f>+IF(D161="Coerência",+IF(LEFT(H161,5)="FLOAT","SELECT '"&amp;UPPER(B161)&amp;"' AS TABELA, '"&amp;UPPER(D161)&amp;"' AS TIPOLOGIA_TESTE,'"&amp;E161&amp;"' AS TABELA_LT,'"&amp;F161&amp;"' AS TABELA_SIMUL,'"&amp;C161&amp;"'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"&amp;J161&amp;" INNER JOIN "&amp;K161&amp;" "&amp;L161,"SELECT '"&amp;UPPER(B161)&amp;"' AS TABELA, '"&amp;UPPER(D161)&amp;"' AS TIPOLOGIA_TESTE,'"&amp;E161&amp;"' AS TABELA_LT,'"&amp;F161&amp;"' AS TABELA_SIMUL,'"&amp;C161&amp;"'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"&amp;J161&amp;" INNER JOIN "&amp;K161&amp;" "&amp;L161))</f>
        <v>SELECT 'INSTRUMENT' AS TABELA, 'COERÊNCIA' AS TIPOLOGIA_TESTE,'CD_LOAN_TAPES_BCE.LT002_INSTRUMENT' AS TABELA_LT,'BU_LOANTAPE_WORK.LT002_INSTRUMENT' AS TABELA_SIMUL,'pd_ifrs9_12m_incptn'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pd_ifrs9_12m_incptn AS CAMPO_IT FROM CD_LOAN_TAPES_BCE.LT002_INSTRUMENT WHERE ref_date='${ref_date}' AND nome_perimetro='Individual Local' AND segmento='ESTR' AND ambito='PM' AND entidade='00100')X INNER JOIN (SELECT instrmnt_id AS CHAVE_SIMUL, pd_ifrs9_12m_incptn AS CAMPO_SIMUL FROM BU_LOANTAPE_WORK.LT002_INSTRUMENT WHERE ref_date='${ref_date}' AND nome_perimetro='Individual Local' AND segmento='ESTR' AND ambito='PM' AND entidade='00100')Y ON X.CHAVE_IT=Y.CHAVE_SIMUL</v>
      </c>
      <c r="N161" s="33" t="str">
        <f t="shared" si="5"/>
        <v>UNION ALL SELECT 'INSTRUMENT' AS TABELA, 'COERÊNCIA' AS TIPOLOGIA_TESTE,'CD_LOAN_TAPES_BCE.LT002_INSTRUMENT' AS TABELA_LT,'BU_LOANTAPE_WORK.LT002_INSTRUMENT' AS TABELA_SIMUL,'pd_ifrs9_12m_incptn'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pd_ifrs9_12m_incptn AS CAMPO_IT FROM CD_LOAN_TAPES_BCE.LT002_INSTRUMENT WHERE ref_date='${ref_date}' AND nome_perimetro='Individual Local' AND segmento='ESTR' AND ambito='PM' AND entidade='00100')X INNER JOIN (SELECT instrmnt_id AS CHAVE_SIMUL, pd_ifrs9_12m_incptn AS CAMPO_SIMUL FROM BU_LOANTAPE_WORK.LT002_INSTRUMENT WHERE ref_date='${ref_date}' AND nome_perimetro='Individual Local' AND segmento='ESTR' AND ambito='PM' AND entidade='00100')Y ON X.CHAVE_IT=Y.CHAVE_SIMUL</v>
      </c>
      <c r="O161" s="35" t="s">
        <v>35</v>
      </c>
    </row>
    <row r="162" spans="1:15">
      <c r="A162" s="57" t="str">
        <f t="shared" si="6"/>
        <v>Instrumentpd_ifrs9_12m_rd</v>
      </c>
      <c r="B162" s="32" t="s">
        <v>9</v>
      </c>
      <c r="C162" s="32" t="s">
        <v>335</v>
      </c>
      <c r="D162" s="32" t="s">
        <v>5</v>
      </c>
      <c r="E162" s="32" t="str">
        <f>+UPPER('0. Instruções'!$D$35&amp;"."&amp;VLOOKUP(B162,'0. Instruções'!$C$27:$D$32,2,FALSE))</f>
        <v>CD_LOAN_TAPES_BCE.LT002_INSTRUMENT</v>
      </c>
      <c r="F162" s="32" t="str">
        <f>+UPPER('0. Instruções'!$D$36&amp;"."&amp;VLOOKUP(B162,'0. Instruções'!$C$27:$E$32,3,FALSE))</f>
        <v>BU_LOANTAPE_WORK.LT002_INSTRUMENT</v>
      </c>
      <c r="H162" s="32"/>
      <c r="I162" s="32"/>
      <c r="J162" s="32" t="str">
        <f>IF(VLOOKUP(B162,'0. Instruções'!$C$27:$G$32,5,FALSE)=0,
"(SELECT "&amp;VLOOKUP(B162,'0. Instruções'!$C$27:$G$32,4,FALSE)&amp;" AS CHAVE_IT, "&amp;C162&amp;" AS CAMPO_IT FROM "&amp;E162&amp;" WHERE "&amp;'0. Instruções'!$D$43&amp;")X",
"(SELECT "&amp;VLOOKUP(B162,'0. Instruções'!$C$27:$G$32,4,FALSE)&amp;" AS CHAVE_IT1, "&amp;VLOOKUP(B162,'0. Instruções'!$C$27:$G$32,5,FALSE)&amp;" AS CHAVE_IT2, "&amp;C162&amp;" AS CAMPO_IT FROM "&amp;E162&amp;" WHERE "&amp;'0. Instruções'!$D$43&amp;")X")</f>
        <v>(SELECT instrmnt_id AS CHAVE_IT, pd_ifrs9_12m_rd AS CAMPO_IT FROM CD_LOAN_TAPES_BCE.LT002_INSTRUMENT WHERE ref_date='${ref_date}' AND nome_perimetro='Individual Local' AND segmento='ESTR' AND ambito='PM' AND entidade='00100')X</v>
      </c>
      <c r="K162" s="32" t="str">
        <f>IF(VLOOKUP(B162,'0. Instruções'!$C$27:$G$32,5,FALSE)=0,
"(SELECT "&amp;VLOOKUP(B162,'0. Instruções'!$C$27:$G$32,4,FALSE)&amp;" AS CHAVE_SIMUL, "&amp;C162&amp;" AS CAMPO_SIMUL FROM "&amp;F162&amp;" WHERE "&amp;'0. Instruções'!$D$42&amp;")Y",
"(SELECT "&amp;VLOOKUP(B162,'0. Instruções'!$C$27:$G$32,4,FALSE)&amp;" AS CHAVE_SIMUL1, "&amp;VLOOKUP(B162,'0. Instruções'!$C$27:$G$32,5,FALSE)&amp;" AS CHAVE_SIMUL2, "&amp;C162&amp;" AS CAMPO_SIMUL FROM "&amp;F162&amp;" WHERE "&amp;'0. Instruções'!$D$42&amp;")Y")</f>
        <v>(SELECT instrmnt_id AS CHAVE_SIMUL, pd_ifrs9_12m_rd AS CAMPO_SIMUL FROM BU_LOANTAPE_WORK.LT002_INSTRUMENT WHERE ref_date='${ref_date}' AND nome_perimetro='Individual Local' AND segmento='ESTR' AND ambito='PM' AND entidade='00100')Y</v>
      </c>
      <c r="L162" s="32" t="str">
        <f>IF(VLOOKUP(B162,'0. Instruções'!$C$27:$G$32,5,FALSE)=0,
"ON X.CHAVE_IT=Y.CHAVE_SIMUL",
"ON X.CHAVE_IT1=Y.CHAVE_SIMUL1 AND X.CHAVE_IT2=Y.CHAVE_SIMUL2")</f>
        <v>ON X.CHAVE_IT=Y.CHAVE_SIMUL</v>
      </c>
      <c r="M162" s="32" t="str">
        <f>+IF(D162="Coerência",+IF(LEFT(H162,5)="FLOAT","SELECT '"&amp;UPPER(B162)&amp;"' AS TABELA, '"&amp;UPPER(D162)&amp;"' AS TIPOLOGIA_TESTE,'"&amp;E162&amp;"' AS TABELA_LT,'"&amp;F162&amp;"' AS TABELA_SIMUL,'"&amp;C162&amp;"'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"&amp;J162&amp;" INNER JOIN "&amp;K162&amp;" "&amp;L162,"SELECT '"&amp;UPPER(B162)&amp;"' AS TABELA, '"&amp;UPPER(D162)&amp;"' AS TIPOLOGIA_TESTE,'"&amp;E162&amp;"' AS TABELA_LT,'"&amp;F162&amp;"' AS TABELA_SIMUL,'"&amp;C162&amp;"'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"&amp;J162&amp;" INNER JOIN "&amp;K162&amp;" "&amp;L162))</f>
        <v>SELECT 'INSTRUMENT' AS TABELA, 'COERÊNCIA' AS TIPOLOGIA_TESTE,'CD_LOAN_TAPES_BCE.LT002_INSTRUMENT' AS TABELA_LT,'BU_LOANTAPE_WORK.LT002_INSTRUMENT'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 AS CAMPO_IT FROM CD_LOAN_TAPES_BCE.LT002_INSTRUMENT WHERE ref_date='${ref_date}' AND nome_perimetro='Individual Local' AND segmento='ESTR' AND ambito='PM' AND entidade='00100')X INNER JOIN (SELECT instrmnt_id AS CHAVE_SIMUL, pd_ifrs9_12m_rd AS CAMPO_SIMUL FROM BU_LOANTAPE_WORK.LT002_INSTRUMENT WHERE ref_date='${ref_date}' AND nome_perimetro='Individual Local' AND segmento='ESTR' AND ambito='PM' AND entidade='00100')Y ON X.CHAVE_IT=Y.CHAVE_SIMUL</v>
      </c>
      <c r="N162" s="33" t="str">
        <f t="shared" si="5"/>
        <v>UNION ALL SELECT 'INSTRUMENT' AS TABELA, 'COERÊNCIA' AS TIPOLOGIA_TESTE,'CD_LOAN_TAPES_BCE.LT002_INSTRUMENT' AS TABELA_LT,'BU_LOANTAPE_WORK.LT002_INSTRUMENT'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 AS CAMPO_IT FROM CD_LOAN_TAPES_BCE.LT002_INSTRUMENT WHERE ref_date='${ref_date}' AND nome_perimetro='Individual Local' AND segmento='ESTR' AND ambito='PM' AND entidade='00100')X INNER JOIN (SELECT instrmnt_id AS CHAVE_SIMUL, pd_ifrs9_12m_rd AS CAMPO_SIMUL FROM BU_LOANTAPE_WORK.LT002_INSTRUMENT WHERE ref_date='${ref_date}' AND nome_perimetro='Individual Local' AND segmento='ESTR' AND ambito='PM' AND entidade='00100')Y ON X.CHAVE_IT=Y.CHAVE_SIMUL</v>
      </c>
      <c r="O162" s="35" t="s">
        <v>35</v>
      </c>
    </row>
    <row r="163" spans="1:15">
      <c r="A163" s="57" t="str">
        <f t="shared" si="6"/>
        <v>Instrumentpd_ifrs9_12m_rd_t1</v>
      </c>
      <c r="B163" s="32" t="s">
        <v>9</v>
      </c>
      <c r="C163" s="32" t="s">
        <v>336</v>
      </c>
      <c r="D163" s="32" t="s">
        <v>5</v>
      </c>
      <c r="E163" s="32" t="str">
        <f>+UPPER('0. Instruções'!$D$35&amp;"."&amp;VLOOKUP(B163,'0. Instruções'!$C$27:$D$32,2,FALSE))</f>
        <v>CD_LOAN_TAPES_BCE.LT002_INSTRUMENT</v>
      </c>
      <c r="F163" s="32" t="str">
        <f>+UPPER('0. Instruções'!$D$36&amp;"."&amp;VLOOKUP(B163,'0. Instruções'!$C$27:$E$32,3,FALSE))</f>
        <v>BU_LOANTAPE_WORK.LT002_INSTRUMENT</v>
      </c>
      <c r="H163" s="32"/>
      <c r="I163" s="32"/>
      <c r="J163" s="32" t="str">
        <f>IF(VLOOKUP(B163,'0. Instruções'!$C$27:$G$32,5,FALSE)=0,
"(SELECT "&amp;VLOOKUP(B163,'0. Instruções'!$C$27:$G$32,4,FALSE)&amp;" AS CHAVE_IT, "&amp;C163&amp;" AS CAMPO_IT FROM "&amp;E163&amp;" WHERE "&amp;'0. Instruções'!$D$43&amp;")X",
"(SELECT "&amp;VLOOKUP(B163,'0. Instruções'!$C$27:$G$32,4,FALSE)&amp;" AS CHAVE_IT1, "&amp;VLOOKUP(B163,'0. Instruções'!$C$27:$G$32,5,FALSE)&amp;" AS CHAVE_IT2, "&amp;C163&amp;" AS CAMPO_IT FROM "&amp;E163&amp;" WHERE "&amp;'0. Instruções'!$D$43&amp;")X")</f>
        <v>(SELECT instrmnt_id AS CHAVE_IT, pd_ifrs9_12m_rd_t1 AS CAMPO_IT FROM CD_LOAN_TAPES_BCE.LT002_INSTRUMENT WHERE ref_date='${ref_date}' AND nome_perimetro='Individual Local' AND segmento='ESTR' AND ambito='PM' AND entidade='00100')X</v>
      </c>
      <c r="K163" s="32" t="str">
        <f>IF(VLOOKUP(B163,'0. Instruções'!$C$27:$G$32,5,FALSE)=0,
"(SELECT "&amp;VLOOKUP(B163,'0. Instruções'!$C$27:$G$32,4,FALSE)&amp;" AS CHAVE_SIMUL, "&amp;C163&amp;" AS CAMPO_SIMUL FROM "&amp;F163&amp;" WHERE "&amp;'0. Instruções'!$D$42&amp;")Y",
"(SELECT "&amp;VLOOKUP(B163,'0. Instruções'!$C$27:$G$32,4,FALSE)&amp;" AS CHAVE_SIMUL1, "&amp;VLOOKUP(B163,'0. Instruções'!$C$27:$G$32,5,FALSE)&amp;" AS CHAVE_SIMUL2, "&amp;C163&amp;" AS CAMPO_SIMUL FROM "&amp;F163&amp;" WHERE "&amp;'0. Instruções'!$D$42&amp;")Y")</f>
        <v>(SELECT instrmnt_id AS CHAVE_SIMUL, pd_ifrs9_12m_rd_t1 AS CAMPO_SIMUL FROM BU_LOANTAPE_WORK.LT002_INSTRUMENT WHERE ref_date='${ref_date}' AND nome_perimetro='Individual Local' AND segmento='ESTR' AND ambito='PM' AND entidade='00100')Y</v>
      </c>
      <c r="L163" s="32" t="str">
        <f>IF(VLOOKUP(B163,'0. Instruções'!$C$27:$G$32,5,FALSE)=0,
"ON X.CHAVE_IT=Y.CHAVE_SIMUL",
"ON X.CHAVE_IT1=Y.CHAVE_SIMUL1 AND X.CHAVE_IT2=Y.CHAVE_SIMUL2")</f>
        <v>ON X.CHAVE_IT=Y.CHAVE_SIMUL</v>
      </c>
      <c r="M163" s="32" t="str">
        <f>+IF(D163="Coerência",+IF(LEFT(H163,5)="FLOAT","SELECT '"&amp;UPPER(B163)&amp;"' AS TABELA, '"&amp;UPPER(D163)&amp;"' AS TIPOLOGIA_TESTE,'"&amp;E163&amp;"' AS TABELA_LT,'"&amp;F163&amp;"' AS TABELA_SIMUL,'"&amp;C163&amp;"'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"&amp;J163&amp;" INNER JOIN "&amp;K163&amp;" "&amp;L163,"SELECT '"&amp;UPPER(B163)&amp;"' AS TABELA, '"&amp;UPPER(D163)&amp;"' AS TIPOLOGIA_TESTE,'"&amp;E163&amp;"' AS TABELA_LT,'"&amp;F163&amp;"' AS TABELA_SIMUL,'"&amp;C163&amp;"'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"&amp;J163&amp;" INNER JOIN "&amp;K163&amp;" "&amp;L163))</f>
        <v>SELECT 'INSTRUMENT' AS TABELA, 'COERÊNCIA' AS TIPOLOGIA_TESTE,'CD_LOAN_TAPES_BCE.LT002_INSTRUMENT' AS TABELA_LT,'BU_LOANTAPE_WORK.LT002_INSTRUMENT'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pd_ifrs9_12m_rd_t1 AS CAMPO_IT FROM CD_LOAN_TAPES_BCE.LT002_INSTRUMENT WHERE ref_date='${ref_date}' AND nome_perimetro='Individual Local' AND segmento='ESTR' AND ambito='PM' AND entidade='00100')X INNER JOIN (SELECT instrmnt_id AS CHAVE_SIMUL, pd_ifrs9_12m_rd_t1 AS CAMPO_SIMUL FROM BU_LOANTAPE_WORK.LT002_INSTRUMENT WHERE ref_date='${ref_date}' AND nome_perimetro='Individual Local' AND segmento='ESTR' AND ambito='PM' AND entidade='00100')Y ON X.CHAVE_IT=Y.CHAVE_SIMUL</v>
      </c>
      <c r="N163" s="33" t="str">
        <f t="shared" si="5"/>
        <v>UNION ALL SELECT 'INSTRUMENT' AS TABELA, 'COERÊNCIA' AS TIPOLOGIA_TESTE,'CD_LOAN_TAPES_BCE.LT002_INSTRUMENT' AS TABELA_LT,'BU_LOANTAPE_WORK.LT002_INSTRUMENT'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pd_ifrs9_12m_rd_t1 AS CAMPO_IT FROM CD_LOAN_TAPES_BCE.LT002_INSTRUMENT WHERE ref_date='${ref_date}' AND nome_perimetro='Individual Local' AND segmento='ESTR' AND ambito='PM' AND entidade='00100')X INNER JOIN (SELECT instrmnt_id AS CHAVE_SIMUL, pd_ifrs9_12m_rd_t1 AS CAMPO_SIMUL FROM BU_LOANTAPE_WORK.LT002_INSTRUMENT WHERE ref_date='${ref_date}' AND nome_perimetro='Individual Local' AND segmento='ESTR' AND ambito='PM' AND entidade='00100')Y ON X.CHAVE_IT=Y.CHAVE_SIMUL</v>
      </c>
      <c r="O163" s="35" t="s">
        <v>35</v>
      </c>
    </row>
    <row r="164" spans="1:15">
      <c r="A164" s="57" t="str">
        <f t="shared" si="6"/>
        <v>Instrumentpd_ifrs9_lftm_incptn</v>
      </c>
      <c r="B164" s="32" t="s">
        <v>9</v>
      </c>
      <c r="C164" s="32" t="s">
        <v>337</v>
      </c>
      <c r="D164" s="32" t="s">
        <v>5</v>
      </c>
      <c r="E164" s="32" t="str">
        <f>+UPPER('0. Instruções'!$D$35&amp;"."&amp;VLOOKUP(B164,'0. Instruções'!$C$27:$D$32,2,FALSE))</f>
        <v>CD_LOAN_TAPES_BCE.LT002_INSTRUMENT</v>
      </c>
      <c r="F164" s="32" t="str">
        <f>+UPPER('0. Instruções'!$D$36&amp;"."&amp;VLOOKUP(B164,'0. Instruções'!$C$27:$E$32,3,FALSE))</f>
        <v>BU_LOANTAPE_WORK.LT002_INSTRUMENT</v>
      </c>
      <c r="H164" s="32"/>
      <c r="I164" s="32"/>
      <c r="J164" s="32" t="str">
        <f>IF(VLOOKUP(B164,'0. Instruções'!$C$27:$G$32,5,FALSE)=0,
"(SELECT "&amp;VLOOKUP(B164,'0. Instruções'!$C$27:$G$32,4,FALSE)&amp;" AS CHAVE_IT, "&amp;C164&amp;" AS CAMPO_IT FROM "&amp;E164&amp;" WHERE "&amp;'0. Instruções'!$D$43&amp;")X",
"(SELECT "&amp;VLOOKUP(B164,'0. Instruções'!$C$27:$G$32,4,FALSE)&amp;" AS CHAVE_IT1, "&amp;VLOOKUP(B164,'0. Instruções'!$C$27:$G$32,5,FALSE)&amp;" AS CHAVE_IT2, "&amp;C164&amp;" AS CAMPO_IT FROM "&amp;E164&amp;" WHERE "&amp;'0. Instruções'!$D$43&amp;")X")</f>
        <v>(SELECT instrmnt_id AS CHAVE_IT, pd_ifrs9_lftm_incptn AS CAMPO_IT FROM CD_LOAN_TAPES_BCE.LT002_INSTRUMENT WHERE ref_date='${ref_date}' AND nome_perimetro='Individual Local' AND segmento='ESTR' AND ambito='PM' AND entidade='00100')X</v>
      </c>
      <c r="K164" s="32" t="str">
        <f>IF(VLOOKUP(B164,'0. Instruções'!$C$27:$G$32,5,FALSE)=0,
"(SELECT "&amp;VLOOKUP(B164,'0. Instruções'!$C$27:$G$32,4,FALSE)&amp;" AS CHAVE_SIMUL, "&amp;C164&amp;" AS CAMPO_SIMUL FROM "&amp;F164&amp;" WHERE "&amp;'0. Instruções'!$D$42&amp;")Y",
"(SELECT "&amp;VLOOKUP(B164,'0. Instruções'!$C$27:$G$32,4,FALSE)&amp;" AS CHAVE_SIMUL1, "&amp;VLOOKUP(B164,'0. Instruções'!$C$27:$G$32,5,FALSE)&amp;" AS CHAVE_SIMUL2, "&amp;C164&amp;" AS CAMPO_SIMUL FROM "&amp;F164&amp;" WHERE "&amp;'0. Instruções'!$D$42&amp;")Y")</f>
        <v>(SELECT instrmnt_id AS CHAVE_SIMUL, pd_ifrs9_lftm_incptn AS CAMPO_SIMUL FROM BU_LOANTAPE_WORK.LT002_INSTRUMENT WHERE ref_date='${ref_date}' AND nome_perimetro='Individual Local' AND segmento='ESTR' AND ambito='PM' AND entidade='00100')Y</v>
      </c>
      <c r="L164" s="32" t="str">
        <f>IF(VLOOKUP(B164,'0. Instruções'!$C$27:$G$32,5,FALSE)=0,
"ON X.CHAVE_IT=Y.CHAVE_SIMUL",
"ON X.CHAVE_IT1=Y.CHAVE_SIMUL1 AND X.CHAVE_IT2=Y.CHAVE_SIMUL2")</f>
        <v>ON X.CHAVE_IT=Y.CHAVE_SIMUL</v>
      </c>
      <c r="M164" s="32" t="str">
        <f>+IF(D164="Coerência",+IF(LEFT(H164,5)="FLOAT","SELECT '"&amp;UPPER(B164)&amp;"' AS TABELA, '"&amp;UPPER(D164)&amp;"' AS TIPOLOGIA_TESTE,'"&amp;E164&amp;"' AS TABELA_LT,'"&amp;F164&amp;"' AS TABELA_SIMUL,'"&amp;C164&amp;"'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"&amp;J164&amp;" INNER JOIN "&amp;K164&amp;" "&amp;L164,"SELECT '"&amp;UPPER(B164)&amp;"' AS TABELA, '"&amp;UPPER(D164)&amp;"' AS TIPOLOGIA_TESTE,'"&amp;E164&amp;"' AS TABELA_LT,'"&amp;F164&amp;"' AS TABELA_SIMUL,'"&amp;C164&amp;"'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"&amp;J164&amp;" INNER JOIN "&amp;K164&amp;" "&amp;L164))</f>
        <v>SELECT 'INSTRUMENT' AS TABELA, 'COERÊNCIA' AS TIPOLOGIA_TESTE,'CD_LOAN_TAPES_BCE.LT002_INSTRUMENT' AS TABELA_LT,'BU_LOANTAPE_WORK.LT002_INSTRUMENT' AS TABELA_SIMUL,'pd_ifrs9_lftm_incptn'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pd_ifrs9_lftm_incptn AS CAMPO_IT FROM CD_LOAN_TAPES_BCE.LT002_INSTRUMENT WHERE ref_date='${ref_date}' AND nome_perimetro='Individual Local' AND segmento='ESTR' AND ambito='PM' AND entidade='00100')X INNER JOIN (SELECT instrmnt_id AS CHAVE_SIMUL, pd_ifrs9_lftm_incptn AS CAMPO_SIMUL FROM BU_LOANTAPE_WORK.LT002_INSTRUMENT WHERE ref_date='${ref_date}' AND nome_perimetro='Individual Local' AND segmento='ESTR' AND ambito='PM' AND entidade='00100')Y ON X.CHAVE_IT=Y.CHAVE_SIMUL</v>
      </c>
      <c r="N164" s="33" t="str">
        <f t="shared" si="5"/>
        <v>UNION ALL SELECT 'INSTRUMENT' AS TABELA, 'COERÊNCIA' AS TIPOLOGIA_TESTE,'CD_LOAN_TAPES_BCE.LT002_INSTRUMENT' AS TABELA_LT,'BU_LOANTAPE_WORK.LT002_INSTRUMENT' AS TABELA_SIMUL,'pd_ifrs9_lftm_incptn'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pd_ifrs9_lftm_incptn AS CAMPO_IT FROM CD_LOAN_TAPES_BCE.LT002_INSTRUMENT WHERE ref_date='${ref_date}' AND nome_perimetro='Individual Local' AND segmento='ESTR' AND ambito='PM' AND entidade='00100')X INNER JOIN (SELECT instrmnt_id AS CHAVE_SIMUL, pd_ifrs9_lftm_incptn AS CAMPO_SIMUL FROM BU_LOANTAPE_WORK.LT002_INSTRUMENT WHERE ref_date='${ref_date}' AND nome_perimetro='Individual Local' AND segmento='ESTR' AND ambito='PM' AND entidade='00100')Y ON X.CHAVE_IT=Y.CHAVE_SIMUL</v>
      </c>
      <c r="O164" s="35" t="s">
        <v>35</v>
      </c>
    </row>
    <row r="165" spans="1:15">
      <c r="A165" s="57" t="str">
        <f t="shared" si="6"/>
        <v>Instrumentpd_ifrs9_rmnng_lftm_incptn</v>
      </c>
      <c r="B165" s="32" t="s">
        <v>9</v>
      </c>
      <c r="C165" s="32" t="s">
        <v>338</v>
      </c>
      <c r="D165" s="32" t="s">
        <v>5</v>
      </c>
      <c r="E165" s="32" t="str">
        <f>+UPPER('0. Instruções'!$D$35&amp;"."&amp;VLOOKUP(B165,'0. Instruções'!$C$27:$D$32,2,FALSE))</f>
        <v>CD_LOAN_TAPES_BCE.LT002_INSTRUMENT</v>
      </c>
      <c r="F165" s="32" t="str">
        <f>+UPPER('0. Instruções'!$D$36&amp;"."&amp;VLOOKUP(B165,'0. Instruções'!$C$27:$E$32,3,FALSE))</f>
        <v>BU_LOANTAPE_WORK.LT002_INSTRUMENT</v>
      </c>
      <c r="H165" s="32"/>
      <c r="I165" s="32"/>
      <c r="J165" s="32" t="str">
        <f>IF(VLOOKUP(B165,'0. Instruções'!$C$27:$G$32,5,FALSE)=0,
"(SELECT "&amp;VLOOKUP(B165,'0. Instruções'!$C$27:$G$32,4,FALSE)&amp;" AS CHAVE_IT, "&amp;C165&amp;" AS CAMPO_IT FROM "&amp;E165&amp;" WHERE "&amp;'0. Instruções'!$D$43&amp;")X",
"(SELECT "&amp;VLOOKUP(B165,'0. Instruções'!$C$27:$G$32,4,FALSE)&amp;" AS CHAVE_IT1, "&amp;VLOOKUP(B165,'0. Instruções'!$C$27:$G$32,5,FALSE)&amp;" AS CHAVE_IT2, "&amp;C165&amp;" AS CAMPO_IT FROM "&amp;E165&amp;" WHERE "&amp;'0. Instruções'!$D$43&amp;")X")</f>
        <v>(SELECT instrmnt_id AS CHAVE_IT, pd_ifrs9_rmnng_lftm_incptn AS CAMPO_IT FROM CD_LOAN_TAPES_BCE.LT002_INSTRUMENT WHERE ref_date='${ref_date}' AND nome_perimetro='Individual Local' AND segmento='ESTR' AND ambito='PM' AND entidade='00100')X</v>
      </c>
      <c r="K165" s="32" t="str">
        <f>IF(VLOOKUP(B165,'0. Instruções'!$C$27:$G$32,5,FALSE)=0,
"(SELECT "&amp;VLOOKUP(B165,'0. Instruções'!$C$27:$G$32,4,FALSE)&amp;" AS CHAVE_SIMUL, "&amp;C165&amp;" AS CAMPO_SIMUL FROM "&amp;F165&amp;" WHERE "&amp;'0. Instruções'!$D$42&amp;")Y",
"(SELECT "&amp;VLOOKUP(B165,'0. Instruções'!$C$27:$G$32,4,FALSE)&amp;" AS CHAVE_SIMUL1, "&amp;VLOOKUP(B165,'0. Instruções'!$C$27:$G$32,5,FALSE)&amp;" AS CHAVE_SIMUL2, "&amp;C165&amp;" AS CAMPO_SIMUL FROM "&amp;F165&amp;" WHERE "&amp;'0. Instruções'!$D$42&amp;")Y")</f>
        <v>(SELECT instrmnt_id AS CHAVE_SIMUL, pd_ifrs9_rmnng_lftm_incptn AS CAMPO_SIMUL FROM BU_LOANTAPE_WORK.LT002_INSTRUMENT WHERE ref_date='${ref_date}' AND nome_perimetro='Individual Local' AND segmento='ESTR' AND ambito='PM' AND entidade='00100')Y</v>
      </c>
      <c r="L165" s="32" t="str">
        <f>IF(VLOOKUP(B165,'0. Instruções'!$C$27:$G$32,5,FALSE)=0,
"ON X.CHAVE_IT=Y.CHAVE_SIMUL",
"ON X.CHAVE_IT1=Y.CHAVE_SIMUL1 AND X.CHAVE_IT2=Y.CHAVE_SIMUL2")</f>
        <v>ON X.CHAVE_IT=Y.CHAVE_SIMUL</v>
      </c>
      <c r="M165" s="32" t="str">
        <f>+IF(D165="Coerência",+IF(LEFT(H165,5)="FLOAT","SELECT '"&amp;UPPER(B165)&amp;"' AS TABELA, '"&amp;UPPER(D165)&amp;"' AS TIPOLOGIA_TESTE,'"&amp;E165&amp;"' AS TABELA_LT,'"&amp;F165&amp;"' AS TABELA_SIMUL,'"&amp;C165&amp;"'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"&amp;J165&amp;" INNER JOIN "&amp;K165&amp;" "&amp;L165,"SELECT '"&amp;UPPER(B165)&amp;"' AS TABELA, '"&amp;UPPER(D165)&amp;"' AS TIPOLOGIA_TESTE,'"&amp;E165&amp;"' AS TABELA_LT,'"&amp;F165&amp;"' AS TABELA_SIMUL,'"&amp;C165&amp;"'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"&amp;J165&amp;" INNER JOIN "&amp;K165&amp;" "&amp;L165))</f>
        <v>SELECT 'INSTRUMENT' AS TABELA, 'COERÊNCIA' AS TIPOLOGIA_TESTE,'CD_LOAN_TAPES_BCE.LT002_INSTRUMENT' AS TABELA_LT,'BU_LOANTAPE_WORK.LT002_INSTRUMENT' AS TABELA_SIMUL,'pd_ifrs9_rmnng_lftm_incptn'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pd_ifrs9_rmnng_lftm_incptn AS CAMPO_IT FROM CD_LOAN_TAPES_BCE.LT002_INSTRUMENT WHERE ref_date='${ref_date}' AND nome_perimetro='Individual Local' AND segmento='ESTR' AND ambito='PM' AND entidade='00100')X INNER JOIN (SELECT instrmnt_id AS CHAVE_SIMUL, pd_ifrs9_rmnng_lftm_incptn AS CAMPO_SIMUL FROM BU_LOANTAPE_WORK.LT002_INSTRUMENT WHERE ref_date='${ref_date}' AND nome_perimetro='Individual Local' AND segmento='ESTR' AND ambito='PM' AND entidade='00100')Y ON X.CHAVE_IT=Y.CHAVE_SIMUL</v>
      </c>
      <c r="N165" s="33" t="str">
        <f t="shared" si="5"/>
        <v>UNION ALL SELECT 'INSTRUMENT' AS TABELA, 'COERÊNCIA' AS TIPOLOGIA_TESTE,'CD_LOAN_TAPES_BCE.LT002_INSTRUMENT' AS TABELA_LT,'BU_LOANTAPE_WORK.LT002_INSTRUMENT' AS TABELA_SIMUL,'pd_ifrs9_rmnng_lftm_incptn'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pd_ifrs9_rmnng_lftm_incptn AS CAMPO_IT FROM CD_LOAN_TAPES_BCE.LT002_INSTRUMENT WHERE ref_date='${ref_date}' AND nome_perimetro='Individual Local' AND segmento='ESTR' AND ambito='PM' AND entidade='00100')X INNER JOIN (SELECT instrmnt_id AS CHAVE_SIMUL, pd_ifrs9_rmnng_lftm_incptn AS CAMPO_SIMUL FROM BU_LOANTAPE_WORK.LT002_INSTRUMENT WHERE ref_date='${ref_date}' AND nome_perimetro='Individual Local' AND segmento='ESTR' AND ambito='PM' AND entidade='00100')Y ON X.CHAVE_IT=Y.CHAVE_SIMUL</v>
      </c>
      <c r="O165" s="35" t="s">
        <v>35</v>
      </c>
    </row>
    <row r="166" spans="1:15">
      <c r="A166" s="57" t="str">
        <f t="shared" si="6"/>
        <v>Instrumentpd_ifrs9_rmnng_lftm_rd</v>
      </c>
      <c r="B166" s="32" t="s">
        <v>9</v>
      </c>
      <c r="C166" s="32" t="s">
        <v>339</v>
      </c>
      <c r="D166" s="32" t="s">
        <v>5</v>
      </c>
      <c r="E166" s="32" t="str">
        <f>+UPPER('0. Instruções'!$D$35&amp;"."&amp;VLOOKUP(B166,'0. Instruções'!$C$27:$D$32,2,FALSE))</f>
        <v>CD_LOAN_TAPES_BCE.LT002_INSTRUMENT</v>
      </c>
      <c r="F166" s="32" t="str">
        <f>+UPPER('0. Instruções'!$D$36&amp;"."&amp;VLOOKUP(B166,'0. Instruções'!$C$27:$E$32,3,FALSE))</f>
        <v>BU_LOANTAPE_WORK.LT002_INSTRUMENT</v>
      </c>
      <c r="H166" s="32"/>
      <c r="I166" s="32"/>
      <c r="J166" s="32" t="str">
        <f>IF(VLOOKUP(B166,'0. Instruções'!$C$27:$G$32,5,FALSE)=0,
"(SELECT "&amp;VLOOKUP(B166,'0. Instruções'!$C$27:$G$32,4,FALSE)&amp;" AS CHAVE_IT, "&amp;C166&amp;" AS CAMPO_IT FROM "&amp;E166&amp;" WHERE "&amp;'0. Instruções'!$D$43&amp;")X",
"(SELECT "&amp;VLOOKUP(B166,'0. Instruções'!$C$27:$G$32,4,FALSE)&amp;" AS CHAVE_IT1, "&amp;VLOOKUP(B166,'0. Instruções'!$C$27:$G$32,5,FALSE)&amp;" AS CHAVE_IT2, "&amp;C166&amp;" AS CAMPO_IT FROM "&amp;E166&amp;" WHERE "&amp;'0. Instruções'!$D$43&amp;")X")</f>
        <v>(SELECT instrmnt_id AS CHAVE_IT, pd_ifrs9_rmnng_lftm_rd AS CAMPO_IT FROM CD_LOAN_TAPES_BCE.LT002_INSTRUMENT WHERE ref_date='${ref_date}' AND nome_perimetro='Individual Local' AND segmento='ESTR' AND ambito='PM' AND entidade='00100')X</v>
      </c>
      <c r="K166" s="32" t="str">
        <f>IF(VLOOKUP(B166,'0. Instruções'!$C$27:$G$32,5,FALSE)=0,
"(SELECT "&amp;VLOOKUP(B166,'0. Instruções'!$C$27:$G$32,4,FALSE)&amp;" AS CHAVE_SIMUL, "&amp;C166&amp;" AS CAMPO_SIMUL FROM "&amp;F166&amp;" WHERE "&amp;'0. Instruções'!$D$42&amp;")Y",
"(SELECT "&amp;VLOOKUP(B166,'0. Instruções'!$C$27:$G$32,4,FALSE)&amp;" AS CHAVE_SIMUL1, "&amp;VLOOKUP(B166,'0. Instruções'!$C$27:$G$32,5,FALSE)&amp;" AS CHAVE_SIMUL2, "&amp;C166&amp;" AS CAMPO_SIMUL FROM "&amp;F166&amp;" WHERE "&amp;'0. Instruções'!$D$42&amp;")Y")</f>
        <v>(SELECT instrmnt_id AS CHAVE_SIMUL, pd_ifrs9_rmnng_lftm_rd AS CAMPO_SIMUL FROM BU_LOANTAPE_WORK.LT002_INSTRUMENT WHERE ref_date='${ref_date}' AND nome_perimetro='Individual Local' AND segmento='ESTR' AND ambito='PM' AND entidade='00100')Y</v>
      </c>
      <c r="L166" s="32" t="str">
        <f>IF(VLOOKUP(B166,'0. Instruções'!$C$27:$G$32,5,FALSE)=0,
"ON X.CHAVE_IT=Y.CHAVE_SIMUL",
"ON X.CHAVE_IT1=Y.CHAVE_SIMUL1 AND X.CHAVE_IT2=Y.CHAVE_SIMUL2")</f>
        <v>ON X.CHAVE_IT=Y.CHAVE_SIMUL</v>
      </c>
      <c r="M166" s="32" t="str">
        <f>+IF(D166="Coerência",+IF(LEFT(H166,5)="FLOAT","SELECT '"&amp;UPPER(B166)&amp;"' AS TABELA, '"&amp;UPPER(D166)&amp;"' AS TIPOLOGIA_TESTE,'"&amp;E166&amp;"' AS TABELA_LT,'"&amp;F166&amp;"' AS TABELA_SIMUL,'"&amp;C166&amp;"'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"&amp;J166&amp;" INNER JOIN "&amp;K166&amp;" "&amp;L166,"SELECT '"&amp;UPPER(B166)&amp;"' AS TABELA, '"&amp;UPPER(D166)&amp;"' AS TIPOLOGIA_TESTE,'"&amp;E166&amp;"' AS TABELA_LT,'"&amp;F166&amp;"' AS TABELA_SIMUL,'"&amp;C166&amp;"'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"&amp;J166&amp;" INNER JOIN "&amp;K166&amp;" "&amp;L166))</f>
        <v>SELECT 'INSTRUMENT' AS TABELA, 'COERÊNCIA' AS TIPOLOGIA_TESTE,'CD_LOAN_TAPES_BCE.LT002_INSTRUMENT' AS TABELA_LT,'BU_LOANTAPE_WORK.LT002_INSTRUMENT' AS TABELA_SIMUL,'pd_ifrs9_rmnng_lftm_rd'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pd_ifrs9_rmnng_lftm_rd AS CAMPO_IT FROM CD_LOAN_TAPES_BCE.LT002_INSTRUMENT WHERE ref_date='${ref_date}' AND nome_perimetro='Individual Local' AND segmento='ESTR' AND ambito='PM' AND entidade='00100')X INNER JOIN (SELECT instrmnt_id AS CHAVE_SIMUL, pd_ifrs9_rmnng_lftm_rd AS CAMPO_SIMUL FROM BU_LOANTAPE_WORK.LT002_INSTRUMENT WHERE ref_date='${ref_date}' AND nome_perimetro='Individual Local' AND segmento='ESTR' AND ambito='PM' AND entidade='00100')Y ON X.CHAVE_IT=Y.CHAVE_SIMUL</v>
      </c>
      <c r="N166" s="33" t="str">
        <f t="shared" ref="N166:N229" si="7">+"UNION ALL "&amp;M166</f>
        <v>UNION ALL SELECT 'INSTRUMENT' AS TABELA, 'COERÊNCIA' AS TIPOLOGIA_TESTE,'CD_LOAN_TAPES_BCE.LT002_INSTRUMENT' AS TABELA_LT,'BU_LOANTAPE_WORK.LT002_INSTRUMENT' AS TABELA_SIMUL,'pd_ifrs9_rmnng_lftm_rd'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pd_ifrs9_rmnng_lftm_rd AS CAMPO_IT FROM CD_LOAN_TAPES_BCE.LT002_INSTRUMENT WHERE ref_date='${ref_date}' AND nome_perimetro='Individual Local' AND segmento='ESTR' AND ambito='PM' AND entidade='00100')X INNER JOIN (SELECT instrmnt_id AS CHAVE_SIMUL, pd_ifrs9_rmnng_lftm_rd AS CAMPO_SIMUL FROM BU_LOANTAPE_WORK.LT002_INSTRUMENT WHERE ref_date='${ref_date}' AND nome_perimetro='Individual Local' AND segmento='ESTR' AND ambito='PM' AND entidade='00100')Y ON X.CHAVE_IT=Y.CHAVE_SIMUL</v>
      </c>
      <c r="O166" s="35" t="s">
        <v>35</v>
      </c>
    </row>
    <row r="167" spans="1:15">
      <c r="A167" s="57" t="str">
        <f t="shared" si="6"/>
        <v>Instrumentrtng_mthd</v>
      </c>
      <c r="B167" s="32" t="s">
        <v>9</v>
      </c>
      <c r="C167" s="32" t="s">
        <v>340</v>
      </c>
      <c r="D167" s="32" t="s">
        <v>5</v>
      </c>
      <c r="E167" s="32" t="str">
        <f>+UPPER('0. Instruções'!$D$35&amp;"."&amp;VLOOKUP(B167,'0. Instruções'!$C$27:$D$32,2,FALSE))</f>
        <v>CD_LOAN_TAPES_BCE.LT002_INSTRUMENT</v>
      </c>
      <c r="F167" s="32" t="str">
        <f>+UPPER('0. Instruções'!$D$36&amp;"."&amp;VLOOKUP(B167,'0. Instruções'!$C$27:$E$32,3,FALSE))</f>
        <v>BU_LOANTAPE_WORK.LT002_INSTRUMENT</v>
      </c>
      <c r="H167" s="32"/>
      <c r="I167" s="32"/>
      <c r="J167" s="32" t="str">
        <f>IF(VLOOKUP(B167,'0. Instruções'!$C$27:$G$32,5,FALSE)=0,
"(SELECT "&amp;VLOOKUP(B167,'0. Instruções'!$C$27:$G$32,4,FALSE)&amp;" AS CHAVE_IT, "&amp;C167&amp;" AS CAMPO_IT FROM "&amp;E167&amp;" WHERE "&amp;'0. Instruções'!$D$43&amp;")X",
"(SELECT "&amp;VLOOKUP(B167,'0. Instruções'!$C$27:$G$32,4,FALSE)&amp;" AS CHAVE_IT1, "&amp;VLOOKUP(B167,'0. Instruções'!$C$27:$G$32,5,FALSE)&amp;" AS CHAVE_IT2, "&amp;C167&amp;" AS CAMPO_IT FROM "&amp;E167&amp;" WHERE "&amp;'0. Instruções'!$D$43&amp;")X")</f>
        <v>(SELECT instrmnt_id AS CHAVE_IT, rtng_mthd AS CAMPO_IT FROM CD_LOAN_TAPES_BCE.LT002_INSTRUMENT WHERE ref_date='${ref_date}' AND nome_perimetro='Individual Local' AND segmento='ESTR' AND ambito='PM' AND entidade='00100')X</v>
      </c>
      <c r="K167" s="32" t="str">
        <f>IF(VLOOKUP(B167,'0. Instruções'!$C$27:$G$32,5,FALSE)=0,
"(SELECT "&amp;VLOOKUP(B167,'0. Instruções'!$C$27:$G$32,4,FALSE)&amp;" AS CHAVE_SIMUL, "&amp;C167&amp;" AS CAMPO_SIMUL FROM "&amp;F167&amp;" WHERE "&amp;'0. Instruções'!$D$42&amp;")Y",
"(SELECT "&amp;VLOOKUP(B167,'0. Instruções'!$C$27:$G$32,4,FALSE)&amp;" AS CHAVE_SIMUL1, "&amp;VLOOKUP(B167,'0. Instruções'!$C$27:$G$32,5,FALSE)&amp;" AS CHAVE_SIMUL2, "&amp;C167&amp;" AS CAMPO_SIMUL FROM "&amp;F167&amp;" WHERE "&amp;'0. Instruções'!$D$42&amp;")Y")</f>
        <v>(SELECT instrmnt_id AS CHAVE_SIMUL, rtng_mthd AS CAMPO_SIMUL FROM BU_LOANTAPE_WORK.LT002_INSTRUMENT WHERE ref_date='${ref_date}' AND nome_perimetro='Individual Local' AND segmento='ESTR' AND ambito='PM' AND entidade='00100')Y</v>
      </c>
      <c r="L167" s="32" t="str">
        <f>IF(VLOOKUP(B167,'0. Instruções'!$C$27:$G$32,5,FALSE)=0,
"ON X.CHAVE_IT=Y.CHAVE_SIMUL",
"ON X.CHAVE_IT1=Y.CHAVE_SIMUL1 AND X.CHAVE_IT2=Y.CHAVE_SIMUL2")</f>
        <v>ON X.CHAVE_IT=Y.CHAVE_SIMUL</v>
      </c>
      <c r="M167" s="32" t="str">
        <f>+IF(D167="Coerência",+IF(LEFT(H167,5)="FLOAT","SELECT '"&amp;UPPER(B167)&amp;"' AS TABELA, '"&amp;UPPER(D167)&amp;"' AS TIPOLOGIA_TESTE,'"&amp;E167&amp;"' AS TABELA_LT,'"&amp;F167&amp;"' AS TABELA_SIMUL,'"&amp;C167&amp;"'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"&amp;J167&amp;" INNER JOIN "&amp;K167&amp;" "&amp;L167,"SELECT '"&amp;UPPER(B167)&amp;"' AS TABELA, '"&amp;UPPER(D167)&amp;"' AS TIPOLOGIA_TESTE,'"&amp;E167&amp;"' AS TABELA_LT,'"&amp;F167&amp;"' AS TABELA_SIMUL,'"&amp;C167&amp;"'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"&amp;J167&amp;" INNER JOIN "&amp;K167&amp;" "&amp;L167))</f>
        <v>SELECT 'INSTRUMENT' AS TABELA, 'COERÊNCIA' AS TIPOLOGIA_TESTE,'CD_LOAN_TAPES_BCE.LT002_INSTRUMENT' AS TABELA_LT,'BU_LOANTAPE_WORK.LT002_INSTRUMENT'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rtng_mthd AS CAMPO_IT FROM CD_LOAN_TAPES_BCE.LT002_INSTRUMENT WHERE ref_date='${ref_date}' AND nome_perimetro='Individual Local' AND segmento='ESTR' AND ambito='PM' AND entidade='00100')X INNER JOIN (SELECT instrmnt_id AS CHAVE_SIMUL, rtng_mthd AS CAMPO_SIMUL FROM BU_LOANTAPE_WORK.LT002_INSTRUMENT WHERE ref_date='${ref_date}' AND nome_perimetro='Individual Local' AND segmento='ESTR' AND ambito='PM' AND entidade='00100')Y ON X.CHAVE_IT=Y.CHAVE_SIMUL</v>
      </c>
      <c r="N167" s="33" t="str">
        <f t="shared" si="7"/>
        <v>UNION ALL SELECT 'INSTRUMENT' AS TABELA, 'COERÊNCIA' AS TIPOLOGIA_TESTE,'CD_LOAN_TAPES_BCE.LT002_INSTRUMENT' AS TABELA_LT,'BU_LOANTAPE_WORK.LT002_INSTRUMENT'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rtng_mthd AS CAMPO_IT FROM CD_LOAN_TAPES_BCE.LT002_INSTRUMENT WHERE ref_date='${ref_date}' AND nome_perimetro='Individual Local' AND segmento='ESTR' AND ambito='PM' AND entidade='00100')X INNER JOIN (SELECT instrmnt_id AS CHAVE_SIMUL, rtng_mthd AS CAMPO_SIMUL FROM BU_LOANTAPE_WORK.LT002_INSTRUMENT WHERE ref_date='${ref_date}' AND nome_perimetro='Individual Local' AND segmento='ESTR' AND ambito='PM' AND entidade='00100')Y ON X.CHAVE_IT=Y.CHAVE_SIMUL</v>
      </c>
      <c r="O167" s="35" t="s">
        <v>35</v>
      </c>
    </row>
    <row r="168" spans="1:15">
      <c r="A168" s="57" t="str">
        <f t="shared" si="6"/>
        <v>Instrumentrtng_scl</v>
      </c>
      <c r="B168" s="32" t="s">
        <v>9</v>
      </c>
      <c r="C168" s="32" t="s">
        <v>341</v>
      </c>
      <c r="D168" s="32" t="s">
        <v>5</v>
      </c>
      <c r="E168" s="32" t="str">
        <f>+UPPER('0. Instruções'!$D$35&amp;"."&amp;VLOOKUP(B168,'0. Instruções'!$C$27:$D$32,2,FALSE))</f>
        <v>CD_LOAN_TAPES_BCE.LT002_INSTRUMENT</v>
      </c>
      <c r="F168" s="32" t="str">
        <f>+UPPER('0. Instruções'!$D$36&amp;"."&amp;VLOOKUP(B168,'0. Instruções'!$C$27:$E$32,3,FALSE))</f>
        <v>BU_LOANTAPE_WORK.LT002_INSTRUMENT</v>
      </c>
      <c r="H168" s="32"/>
      <c r="I168" s="32"/>
      <c r="J168" s="32" t="str">
        <f>IF(VLOOKUP(B168,'0. Instruções'!$C$27:$G$32,5,FALSE)=0,
"(SELECT "&amp;VLOOKUP(B168,'0. Instruções'!$C$27:$G$32,4,FALSE)&amp;" AS CHAVE_IT, "&amp;C168&amp;" AS CAMPO_IT FROM "&amp;E168&amp;" WHERE "&amp;'0. Instruções'!$D$43&amp;")X",
"(SELECT "&amp;VLOOKUP(B168,'0. Instruções'!$C$27:$G$32,4,FALSE)&amp;" AS CHAVE_IT1, "&amp;VLOOKUP(B168,'0. Instruções'!$C$27:$G$32,5,FALSE)&amp;" AS CHAVE_IT2, "&amp;C168&amp;" AS CAMPO_IT FROM "&amp;E168&amp;" WHERE "&amp;'0. Instruções'!$D$43&amp;")X")</f>
        <v>(SELECT instrmnt_id AS CHAVE_IT, rtng_scl AS CAMPO_IT FROM CD_LOAN_TAPES_BCE.LT002_INSTRUMENT WHERE ref_date='${ref_date}' AND nome_perimetro='Individual Local' AND segmento='ESTR' AND ambito='PM' AND entidade='00100')X</v>
      </c>
      <c r="K168" s="32" t="str">
        <f>IF(VLOOKUP(B168,'0. Instruções'!$C$27:$G$32,5,FALSE)=0,
"(SELECT "&amp;VLOOKUP(B168,'0. Instruções'!$C$27:$G$32,4,FALSE)&amp;" AS CHAVE_SIMUL, "&amp;C168&amp;" AS CAMPO_SIMUL FROM "&amp;F168&amp;" WHERE "&amp;'0. Instruções'!$D$42&amp;")Y",
"(SELECT "&amp;VLOOKUP(B168,'0. Instruções'!$C$27:$G$32,4,FALSE)&amp;" AS CHAVE_SIMUL1, "&amp;VLOOKUP(B168,'0. Instruções'!$C$27:$G$32,5,FALSE)&amp;" AS CHAVE_SIMUL2, "&amp;C168&amp;" AS CAMPO_SIMUL FROM "&amp;F168&amp;" WHERE "&amp;'0. Instruções'!$D$42&amp;")Y")</f>
        <v>(SELECT instrmnt_id AS CHAVE_SIMUL, rtng_scl AS CAMPO_SIMUL FROM BU_LOANTAPE_WORK.LT002_INSTRUMENT WHERE ref_date='${ref_date}' AND nome_perimetro='Individual Local' AND segmento='ESTR' AND ambito='PM' AND entidade='00100')Y</v>
      </c>
      <c r="L168" s="32" t="str">
        <f>IF(VLOOKUP(B168,'0. Instruções'!$C$27:$G$32,5,FALSE)=0,
"ON X.CHAVE_IT=Y.CHAVE_SIMUL",
"ON X.CHAVE_IT1=Y.CHAVE_SIMUL1 AND X.CHAVE_IT2=Y.CHAVE_SIMUL2")</f>
        <v>ON X.CHAVE_IT=Y.CHAVE_SIMUL</v>
      </c>
      <c r="M168" s="32" t="str">
        <f>+IF(D168="Coerência",+IF(LEFT(H168,5)="FLOAT","SELECT '"&amp;UPPER(B168)&amp;"' AS TABELA, '"&amp;UPPER(D168)&amp;"' AS TIPOLOGIA_TESTE,'"&amp;E168&amp;"' AS TABELA_LT,'"&amp;F168&amp;"' AS TABELA_SIMUL,'"&amp;C168&amp;"'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"&amp;J168&amp;" INNER JOIN "&amp;K168&amp;" "&amp;L168,"SELECT '"&amp;UPPER(B168)&amp;"' AS TABELA, '"&amp;UPPER(D168)&amp;"' AS TIPOLOGIA_TESTE,'"&amp;E168&amp;"' AS TABELA_LT,'"&amp;F168&amp;"' AS TABELA_SIMUL,'"&amp;C168&amp;"'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"&amp;J168&amp;" INNER JOIN "&amp;K168&amp;" "&amp;L168))</f>
        <v>SELECT 'INSTRUMENT' AS TABELA, 'COERÊNCIA' AS TIPOLOGIA_TESTE,'CD_LOAN_TAPES_BCE.LT002_INSTRUMENT' AS TABELA_LT,'BU_LOANTAPE_WORK.LT002_INSTRUMENT'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rtng_scl AS CAMPO_IT FROM CD_LOAN_TAPES_BCE.LT002_INSTRUMENT WHERE ref_date='${ref_date}' AND nome_perimetro='Individual Local' AND segmento='ESTR' AND ambito='PM' AND entidade='00100')X INNER JOIN (SELECT instrmnt_id AS CHAVE_SIMUL, rtng_scl AS CAMPO_SIMUL FROM BU_LOANTAPE_WORK.LT002_INSTRUMENT WHERE ref_date='${ref_date}' AND nome_perimetro='Individual Local' AND segmento='ESTR' AND ambito='PM' AND entidade='00100')Y ON X.CHAVE_IT=Y.CHAVE_SIMUL</v>
      </c>
      <c r="N168" s="33" t="str">
        <f t="shared" si="7"/>
        <v>UNION ALL SELECT 'INSTRUMENT' AS TABELA, 'COERÊNCIA' AS TIPOLOGIA_TESTE,'CD_LOAN_TAPES_BCE.LT002_INSTRUMENT' AS TABELA_LT,'BU_LOANTAPE_WORK.LT002_INSTRUMENT'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rtng_scl AS CAMPO_IT FROM CD_LOAN_TAPES_BCE.LT002_INSTRUMENT WHERE ref_date='${ref_date}' AND nome_perimetro='Individual Local' AND segmento='ESTR' AND ambito='PM' AND entidade='00100')X INNER JOIN (SELECT instrmnt_id AS CHAVE_SIMUL, rtng_scl AS CAMPO_SIMUL FROM BU_LOANTAPE_WORK.LT002_INSTRUMENT WHERE ref_date='${ref_date}' AND nome_perimetro='Individual Local' AND segmento='ESTR' AND ambito='PM' AND entidade='00100')Y ON X.CHAVE_IT=Y.CHAVE_SIMUL</v>
      </c>
      <c r="O168" s="35" t="s">
        <v>35</v>
      </c>
    </row>
    <row r="169" spans="1:15">
      <c r="A169" s="57" t="str">
        <f t="shared" si="6"/>
        <v>Instrumentsicr_assssmnt_mthd</v>
      </c>
      <c r="B169" s="32" t="s">
        <v>9</v>
      </c>
      <c r="C169" s="32" t="s">
        <v>342</v>
      </c>
      <c r="D169" s="32" t="s">
        <v>5</v>
      </c>
      <c r="E169" s="32" t="str">
        <f>+UPPER('0. Instruções'!$D$35&amp;"."&amp;VLOOKUP(B169,'0. Instruções'!$C$27:$D$32,2,FALSE))</f>
        <v>CD_LOAN_TAPES_BCE.LT002_INSTRUMENT</v>
      </c>
      <c r="F169" s="32" t="str">
        <f>+UPPER('0. Instruções'!$D$36&amp;"."&amp;VLOOKUP(B169,'0. Instruções'!$C$27:$E$32,3,FALSE))</f>
        <v>BU_LOANTAPE_WORK.LT002_INSTRUMENT</v>
      </c>
      <c r="H169" s="32"/>
      <c r="I169" s="32"/>
      <c r="J169" s="32" t="str">
        <f>IF(VLOOKUP(B169,'0. Instruções'!$C$27:$G$32,5,FALSE)=0,
"(SELECT "&amp;VLOOKUP(B169,'0. Instruções'!$C$27:$G$32,4,FALSE)&amp;" AS CHAVE_IT, "&amp;C169&amp;" AS CAMPO_IT FROM "&amp;E169&amp;" WHERE "&amp;'0. Instruções'!$D$43&amp;")X",
"(SELECT "&amp;VLOOKUP(B169,'0. Instruções'!$C$27:$G$32,4,FALSE)&amp;" AS CHAVE_IT1, "&amp;VLOOKUP(B169,'0. Instruções'!$C$27:$G$32,5,FALSE)&amp;" AS CHAVE_IT2, "&amp;C169&amp;" AS CAMPO_IT FROM "&amp;E169&amp;" WHERE "&amp;'0. Instruções'!$D$43&amp;")X")</f>
        <v>(SELECT instrmnt_id AS CHAVE_IT, sicr_assssmnt_mthd AS CAMPO_IT FROM CD_LOAN_TAPES_BCE.LT002_INSTRUMENT WHERE ref_date='${ref_date}' AND nome_perimetro='Individual Local' AND segmento='ESTR' AND ambito='PM' AND entidade='00100')X</v>
      </c>
      <c r="K169" s="32" t="str">
        <f>IF(VLOOKUP(B169,'0. Instruções'!$C$27:$G$32,5,FALSE)=0,
"(SELECT "&amp;VLOOKUP(B169,'0. Instruções'!$C$27:$G$32,4,FALSE)&amp;" AS CHAVE_SIMUL, "&amp;C169&amp;" AS CAMPO_SIMUL FROM "&amp;F169&amp;" WHERE "&amp;'0. Instruções'!$D$42&amp;")Y",
"(SELECT "&amp;VLOOKUP(B169,'0. Instruções'!$C$27:$G$32,4,FALSE)&amp;" AS CHAVE_SIMUL1, "&amp;VLOOKUP(B169,'0. Instruções'!$C$27:$G$32,5,FALSE)&amp;" AS CHAVE_SIMUL2, "&amp;C169&amp;" AS CAMPO_SIMUL FROM "&amp;F169&amp;" WHERE "&amp;'0. Instruções'!$D$42&amp;")Y")</f>
        <v>(SELECT instrmnt_id AS CHAVE_SIMUL, sicr_assssmnt_mthd AS CAMPO_SIMUL FROM BU_LOANTAPE_WORK.LT002_INSTRUMENT WHERE ref_date='${ref_date}' AND nome_perimetro='Individual Local' AND segmento='ESTR' AND ambito='PM' AND entidade='00100')Y</v>
      </c>
      <c r="L169" s="32" t="str">
        <f>IF(VLOOKUP(B169,'0. Instruções'!$C$27:$G$32,5,FALSE)=0,
"ON X.CHAVE_IT=Y.CHAVE_SIMUL",
"ON X.CHAVE_IT1=Y.CHAVE_SIMUL1 AND X.CHAVE_IT2=Y.CHAVE_SIMUL2")</f>
        <v>ON X.CHAVE_IT=Y.CHAVE_SIMUL</v>
      </c>
      <c r="M169" s="32" t="str">
        <f>+IF(D169="Coerência",+IF(LEFT(H169,5)="FLOAT","SELECT '"&amp;UPPER(B169)&amp;"' AS TABELA, '"&amp;UPPER(D169)&amp;"' AS TIPOLOGIA_TESTE,'"&amp;E169&amp;"' AS TABELA_LT,'"&amp;F169&amp;"' AS TABELA_SIMUL,'"&amp;C169&amp;"'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"&amp;J169&amp;" INNER JOIN "&amp;K169&amp;" "&amp;L169,"SELECT '"&amp;UPPER(B169)&amp;"' AS TABELA, '"&amp;UPPER(D169)&amp;"' AS TIPOLOGIA_TESTE,'"&amp;E169&amp;"' AS TABELA_LT,'"&amp;F169&amp;"' AS TABELA_SIMUL,'"&amp;C169&amp;"'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"&amp;J169&amp;" INNER JOIN "&amp;K169&amp;" "&amp;L169))</f>
        <v>SELECT 'INSTRUMENT' AS TABELA, 'COERÊNCIA' AS TIPOLOGIA_TESTE,'CD_LOAN_TAPES_BCE.LT002_INSTRUMENT' AS TABELA_LT,'BU_LOANTAPE_WORK.LT002_INSTRUMENT' AS TABELA_SIMUL,'sicr_assssmnt_mthd'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sicr_assssmnt_mthd AS CAMPO_IT FROM CD_LOAN_TAPES_BCE.LT002_INSTRUMENT WHERE ref_date='${ref_date}' AND nome_perimetro='Individual Local' AND segmento='ESTR' AND ambito='PM' AND entidade='00100')X INNER JOIN (SELECT instrmnt_id AS CHAVE_SIMUL, sicr_assssmnt_mthd AS CAMPO_SIMUL FROM BU_LOANTAPE_WORK.LT002_INSTRUMENT WHERE ref_date='${ref_date}' AND nome_perimetro='Individual Local' AND segmento='ESTR' AND ambito='PM' AND entidade='00100')Y ON X.CHAVE_IT=Y.CHAVE_SIMUL</v>
      </c>
      <c r="N169" s="33" t="str">
        <f t="shared" si="7"/>
        <v>UNION ALL SELECT 'INSTRUMENT' AS TABELA, 'COERÊNCIA' AS TIPOLOGIA_TESTE,'CD_LOAN_TAPES_BCE.LT002_INSTRUMENT' AS TABELA_LT,'BU_LOANTAPE_WORK.LT002_INSTRUMENT' AS TABELA_SIMUL,'sicr_assssmnt_mthd'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sicr_assssmnt_mthd AS CAMPO_IT FROM CD_LOAN_TAPES_BCE.LT002_INSTRUMENT WHERE ref_date='${ref_date}' AND nome_perimetro='Individual Local' AND segmento='ESTR' AND ambito='PM' AND entidade='00100')X INNER JOIN (SELECT instrmnt_id AS CHAVE_SIMUL, sicr_assssmnt_mthd AS CAMPO_SIMUL FROM BU_LOANTAPE_WORK.LT002_INSTRUMENT WHERE ref_date='${ref_date}' AND nome_perimetro='Individual Local' AND segmento='ESTR' AND ambito='PM' AND entidade='00100')Y ON X.CHAVE_IT=Y.CHAVE_SIMUL</v>
      </c>
      <c r="O169" s="35" t="s">
        <v>35</v>
      </c>
    </row>
    <row r="170" spans="1:15">
      <c r="A170" s="57" t="str">
        <f t="shared" si="6"/>
        <v>Instrumentannlsd_agrd_rt</v>
      </c>
      <c r="B170" s="32" t="s">
        <v>9</v>
      </c>
      <c r="C170" s="32" t="s">
        <v>343</v>
      </c>
      <c r="D170" s="32" t="s">
        <v>5</v>
      </c>
      <c r="E170" s="32" t="str">
        <f>+UPPER('0. Instruções'!$D$35&amp;"."&amp;VLOOKUP(B170,'0. Instruções'!$C$27:$D$32,2,FALSE))</f>
        <v>CD_LOAN_TAPES_BCE.LT002_INSTRUMENT</v>
      </c>
      <c r="F170" s="32" t="str">
        <f>+UPPER('0. Instruções'!$D$36&amp;"."&amp;VLOOKUP(B170,'0. Instruções'!$C$27:$E$32,3,FALSE))</f>
        <v>BU_LOANTAPE_WORK.LT002_INSTRUMENT</v>
      </c>
      <c r="H170" s="32"/>
      <c r="I170" s="32"/>
      <c r="J170" s="32" t="str">
        <f>IF(VLOOKUP(B170,'0. Instruções'!$C$27:$G$32,5,FALSE)=0,
"(SELECT "&amp;VLOOKUP(B170,'0. Instruções'!$C$27:$G$32,4,FALSE)&amp;" AS CHAVE_IT, "&amp;C170&amp;" AS CAMPO_IT FROM "&amp;E170&amp;" WHERE "&amp;'0. Instruções'!$D$43&amp;")X",
"(SELECT "&amp;VLOOKUP(B170,'0. Instruções'!$C$27:$G$32,4,FALSE)&amp;" AS CHAVE_IT1, "&amp;VLOOKUP(B170,'0. Instruções'!$C$27:$G$32,5,FALSE)&amp;" AS CHAVE_IT2, "&amp;C170&amp;" AS CAMPO_IT FROM "&amp;E170&amp;" WHERE "&amp;'0. Instruções'!$D$43&amp;")X")</f>
        <v>(SELECT instrmnt_id AS CHAVE_IT, annlsd_agrd_rt AS CAMPO_IT FROM CD_LOAN_TAPES_BCE.LT002_INSTRUMENT WHERE ref_date='${ref_date}' AND nome_perimetro='Individual Local' AND segmento='ESTR' AND ambito='PM' AND entidade='00100')X</v>
      </c>
      <c r="K170" s="32" t="str">
        <f>IF(VLOOKUP(B170,'0. Instruções'!$C$27:$G$32,5,FALSE)=0,
"(SELECT "&amp;VLOOKUP(B170,'0. Instruções'!$C$27:$G$32,4,FALSE)&amp;" AS CHAVE_SIMUL, "&amp;C170&amp;" AS CAMPO_SIMUL FROM "&amp;F170&amp;" WHERE "&amp;'0. Instruções'!$D$42&amp;")Y",
"(SELECT "&amp;VLOOKUP(B170,'0. Instruções'!$C$27:$G$32,4,FALSE)&amp;" AS CHAVE_SIMUL1, "&amp;VLOOKUP(B170,'0. Instruções'!$C$27:$G$32,5,FALSE)&amp;" AS CHAVE_SIMUL2, "&amp;C170&amp;" AS CAMPO_SIMUL FROM "&amp;F170&amp;" WHERE "&amp;'0. Instruções'!$D$42&amp;")Y")</f>
        <v>(SELECT instrmnt_id AS CHAVE_SIMUL, annlsd_agrd_rt AS CAMPO_SIMUL FROM BU_LOANTAPE_WORK.LT002_INSTRUMENT WHERE ref_date='${ref_date}' AND nome_perimetro='Individual Local' AND segmento='ESTR' AND ambito='PM' AND entidade='00100')Y</v>
      </c>
      <c r="L170" s="32" t="str">
        <f>IF(VLOOKUP(B170,'0. Instruções'!$C$27:$G$32,5,FALSE)=0,
"ON X.CHAVE_IT=Y.CHAVE_SIMUL",
"ON X.CHAVE_IT1=Y.CHAVE_SIMUL1 AND X.CHAVE_IT2=Y.CHAVE_SIMUL2")</f>
        <v>ON X.CHAVE_IT=Y.CHAVE_SIMUL</v>
      </c>
      <c r="M170" s="32" t="str">
        <f>+IF(D170="Coerência",+IF(LEFT(H170,5)="FLOAT","SELECT '"&amp;UPPER(B170)&amp;"' AS TABELA, '"&amp;UPPER(D170)&amp;"' AS TIPOLOGIA_TESTE,'"&amp;E170&amp;"' AS TABELA_LT,'"&amp;F170&amp;"' AS TABELA_SIMUL,'"&amp;C170&amp;"'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"&amp;J170&amp;" INNER JOIN "&amp;K170&amp;" "&amp;L170,"SELECT '"&amp;UPPER(B170)&amp;"' AS TABELA, '"&amp;UPPER(D170)&amp;"' AS TIPOLOGIA_TESTE,'"&amp;E170&amp;"' AS TABELA_LT,'"&amp;F170&amp;"' AS TABELA_SIMUL,'"&amp;C170&amp;"'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"&amp;J170&amp;" INNER JOIN "&amp;K170&amp;" "&amp;L170))</f>
        <v>SELECT 'INSTRUMENT' AS TABELA, 'COERÊNCIA' AS TIPOLOGIA_TESTE,'CD_LOAN_TAPES_BCE.LT002_INSTRUMENT' AS TABELA_LT,'BU_LOANTAPE_WORK.LT002_INSTRUMENT' AS TABELA_SIMUL,'annlsd_agrd_rt'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annlsd_agrd_rt AS CAMPO_IT FROM CD_LOAN_TAPES_BCE.LT002_INSTRUMENT WHERE ref_date='${ref_date}' AND nome_perimetro='Individual Local' AND segmento='ESTR' AND ambito='PM' AND entidade='00100')X INNER JOIN (SELECT instrmnt_id AS CHAVE_SIMUL, annlsd_agrd_rt AS CAMPO_SIMUL FROM BU_LOANTAPE_WORK.LT002_INSTRUMENT WHERE ref_date='${ref_date}' AND nome_perimetro='Individual Local' AND segmento='ESTR' AND ambito='PM' AND entidade='00100')Y ON X.CHAVE_IT=Y.CHAVE_SIMUL</v>
      </c>
      <c r="N170" s="33" t="str">
        <f t="shared" si="7"/>
        <v>UNION ALL SELECT 'INSTRUMENT' AS TABELA, 'COERÊNCIA' AS TIPOLOGIA_TESTE,'CD_LOAN_TAPES_BCE.LT002_INSTRUMENT' AS TABELA_LT,'BU_LOANTAPE_WORK.LT002_INSTRUMENT' AS TABELA_SIMUL,'annlsd_agrd_rt'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annlsd_agrd_rt AS CAMPO_IT FROM CD_LOAN_TAPES_BCE.LT002_INSTRUMENT WHERE ref_date='${ref_date}' AND nome_perimetro='Individual Local' AND segmento='ESTR' AND ambito='PM' AND entidade='00100')X INNER JOIN (SELECT instrmnt_id AS CHAVE_SIMUL, annlsd_agrd_rt AS CAMPO_SIMUL FROM BU_LOANTAPE_WORK.LT002_INSTRUMENT WHERE ref_date='${ref_date}' AND nome_perimetro='Individual Local' AND segmento='ESTR' AND ambito='PM' AND entidade='00100')Y ON X.CHAVE_IT=Y.CHAVE_SIMUL</v>
      </c>
      <c r="O170" s="35" t="s">
        <v>35</v>
      </c>
    </row>
    <row r="171" spans="1:15">
      <c r="A171" s="57" t="str">
        <f t="shared" si="6"/>
        <v>Instrumenteir</v>
      </c>
      <c r="B171" s="32" t="s">
        <v>9</v>
      </c>
      <c r="C171" s="32" t="s">
        <v>344</v>
      </c>
      <c r="D171" s="32" t="s">
        <v>5</v>
      </c>
      <c r="E171" s="32" t="str">
        <f>+UPPER('0. Instruções'!$D$35&amp;"."&amp;VLOOKUP(B171,'0. Instruções'!$C$27:$D$32,2,FALSE))</f>
        <v>CD_LOAN_TAPES_BCE.LT002_INSTRUMENT</v>
      </c>
      <c r="F171" s="32" t="str">
        <f>+UPPER('0. Instruções'!$D$36&amp;"."&amp;VLOOKUP(B171,'0. Instruções'!$C$27:$E$32,3,FALSE))</f>
        <v>BU_LOANTAPE_WORK.LT002_INSTRUMENT</v>
      </c>
      <c r="H171" s="32"/>
      <c r="I171" s="32"/>
      <c r="J171" s="32" t="str">
        <f>IF(VLOOKUP(B171,'0. Instruções'!$C$27:$G$32,5,FALSE)=0,
"(SELECT "&amp;VLOOKUP(B171,'0. Instruções'!$C$27:$G$32,4,FALSE)&amp;" AS CHAVE_IT, "&amp;C171&amp;" AS CAMPO_IT FROM "&amp;E171&amp;" WHERE "&amp;'0. Instruções'!$D$43&amp;")X",
"(SELECT "&amp;VLOOKUP(B171,'0. Instruções'!$C$27:$G$32,4,FALSE)&amp;" AS CHAVE_IT1, "&amp;VLOOKUP(B171,'0. Instruções'!$C$27:$G$32,5,FALSE)&amp;" AS CHAVE_IT2, "&amp;C171&amp;" AS CAMPO_IT FROM "&amp;E171&amp;" WHERE "&amp;'0. Instruções'!$D$43&amp;")X")</f>
        <v>(SELECT instrmnt_id AS CHAVE_IT, eir AS CAMPO_IT FROM CD_LOAN_TAPES_BCE.LT002_INSTRUMENT WHERE ref_date='${ref_date}' AND nome_perimetro='Individual Local' AND segmento='ESTR' AND ambito='PM' AND entidade='00100')X</v>
      </c>
      <c r="K171" s="32" t="str">
        <f>IF(VLOOKUP(B171,'0. Instruções'!$C$27:$G$32,5,FALSE)=0,
"(SELECT "&amp;VLOOKUP(B171,'0. Instruções'!$C$27:$G$32,4,FALSE)&amp;" AS CHAVE_SIMUL, "&amp;C171&amp;" AS CAMPO_SIMUL FROM "&amp;F171&amp;" WHERE "&amp;'0. Instruções'!$D$42&amp;")Y",
"(SELECT "&amp;VLOOKUP(B171,'0. Instruções'!$C$27:$G$32,4,FALSE)&amp;" AS CHAVE_SIMUL1, "&amp;VLOOKUP(B171,'0. Instruções'!$C$27:$G$32,5,FALSE)&amp;" AS CHAVE_SIMUL2, "&amp;C171&amp;" AS CAMPO_SIMUL FROM "&amp;F171&amp;" WHERE "&amp;'0. Instruções'!$D$42&amp;")Y")</f>
        <v>(SELECT instrmnt_id AS CHAVE_SIMUL, eir AS CAMPO_SIMUL FROM BU_LOANTAPE_WORK.LT002_INSTRUMENT WHERE ref_date='${ref_date}' AND nome_perimetro='Individual Local' AND segmento='ESTR' AND ambito='PM' AND entidade='00100')Y</v>
      </c>
      <c r="L171" s="32" t="str">
        <f>IF(VLOOKUP(B171,'0. Instruções'!$C$27:$G$32,5,FALSE)=0,
"ON X.CHAVE_IT=Y.CHAVE_SIMUL",
"ON X.CHAVE_IT1=Y.CHAVE_SIMUL1 AND X.CHAVE_IT2=Y.CHAVE_SIMUL2")</f>
        <v>ON X.CHAVE_IT=Y.CHAVE_SIMUL</v>
      </c>
      <c r="M171" s="32" t="str">
        <f>+IF(D171="Coerência",+IF(LEFT(H171,5)="FLOAT","SELECT '"&amp;UPPER(B171)&amp;"' AS TABELA, '"&amp;UPPER(D171)&amp;"' AS TIPOLOGIA_TESTE,'"&amp;E171&amp;"' AS TABELA_LT,'"&amp;F171&amp;"' AS TABELA_SIMUL,'"&amp;C171&amp;"'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"&amp;J171&amp;" INNER JOIN "&amp;K171&amp;" "&amp;L171,"SELECT '"&amp;UPPER(B171)&amp;"' AS TABELA, '"&amp;UPPER(D171)&amp;"' AS TIPOLOGIA_TESTE,'"&amp;E171&amp;"' AS TABELA_LT,'"&amp;F171&amp;"' AS TABELA_SIMUL,'"&amp;C171&amp;"'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"&amp;J171&amp;" INNER JOIN "&amp;K171&amp;" "&amp;L171))</f>
        <v>SELECT 'INSTRUMENT' AS TABELA, 'COERÊNCIA' AS TIPOLOGIA_TESTE,'CD_LOAN_TAPES_BCE.LT002_INSTRUMENT' AS TABELA_LT,'BU_LOANTAPE_WORK.LT002_INSTRUMENT' AS TABELA_SIMUL,'eir'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 AS CAMPO_IT FROM CD_LOAN_TAPES_BCE.LT002_INSTRUMENT WHERE ref_date='${ref_date}' AND nome_perimetro='Individual Local' AND segmento='ESTR' AND ambito='PM' AND entidade='00100')X INNER JOIN (SELECT instrmnt_id AS CHAVE_SIMUL, eir AS CAMPO_SIMUL FROM BU_LOANTAPE_WORK.LT002_INSTRUMENT WHERE ref_date='${ref_date}' AND nome_perimetro='Individual Local' AND segmento='ESTR' AND ambito='PM' AND entidade='00100')Y ON X.CHAVE_IT=Y.CHAVE_SIMUL</v>
      </c>
      <c r="N171" s="33" t="str">
        <f t="shared" si="7"/>
        <v>UNION ALL SELECT 'INSTRUMENT' AS TABELA, 'COERÊNCIA' AS TIPOLOGIA_TESTE,'CD_LOAN_TAPES_BCE.LT002_INSTRUMENT' AS TABELA_LT,'BU_LOANTAPE_WORK.LT002_INSTRUMENT' AS TABELA_SIMUL,'eir'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 AS CAMPO_IT FROM CD_LOAN_TAPES_BCE.LT002_INSTRUMENT WHERE ref_date='${ref_date}' AND nome_perimetro='Individual Local' AND segmento='ESTR' AND ambito='PM' AND entidade='00100')X INNER JOIN (SELECT instrmnt_id AS CHAVE_SIMUL, eir AS CAMPO_SIMUL FROM BU_LOANTAPE_WORK.LT002_INSTRUMENT WHERE ref_date='${ref_date}' AND nome_perimetro='Individual Local' AND segmento='ESTR' AND ambito='PM' AND entidade='00100')Y ON X.CHAVE_IT=Y.CHAVE_SIMUL</v>
      </c>
      <c r="O171" s="35" t="s">
        <v>35</v>
      </c>
    </row>
    <row r="172" spans="1:15">
      <c r="A172" s="57" t="str">
        <f t="shared" si="6"/>
        <v>Instrumenteir_incptn</v>
      </c>
      <c r="B172" s="32" t="s">
        <v>9</v>
      </c>
      <c r="C172" s="32" t="s">
        <v>345</v>
      </c>
      <c r="D172" s="32" t="s">
        <v>5</v>
      </c>
      <c r="E172" s="32" t="str">
        <f>+UPPER('0. Instruções'!$D$35&amp;"."&amp;VLOOKUP(B172,'0. Instruções'!$C$27:$D$32,2,FALSE))</f>
        <v>CD_LOAN_TAPES_BCE.LT002_INSTRUMENT</v>
      </c>
      <c r="F172" s="32" t="str">
        <f>+UPPER('0. Instruções'!$D$36&amp;"."&amp;VLOOKUP(B172,'0. Instruções'!$C$27:$E$32,3,FALSE))</f>
        <v>BU_LOANTAPE_WORK.LT002_INSTRUMENT</v>
      </c>
      <c r="H172" s="32"/>
      <c r="I172" s="32"/>
      <c r="J172" s="32" t="str">
        <f>IF(VLOOKUP(B172,'0. Instruções'!$C$27:$G$32,5,FALSE)=0,
"(SELECT "&amp;VLOOKUP(B172,'0. Instruções'!$C$27:$G$32,4,FALSE)&amp;" AS CHAVE_IT, "&amp;C172&amp;" AS CAMPO_IT FROM "&amp;E172&amp;" WHERE "&amp;'0. Instruções'!$D$43&amp;")X",
"(SELECT "&amp;VLOOKUP(B172,'0. Instruções'!$C$27:$G$32,4,FALSE)&amp;" AS CHAVE_IT1, "&amp;VLOOKUP(B172,'0. Instruções'!$C$27:$G$32,5,FALSE)&amp;" AS CHAVE_IT2, "&amp;C172&amp;" AS CAMPO_IT FROM "&amp;E172&amp;" WHERE "&amp;'0. Instruções'!$D$43&amp;")X")</f>
        <v>(SELECT instrmnt_id AS CHAVE_IT, eir_incptn AS CAMPO_IT FROM CD_LOAN_TAPES_BCE.LT002_INSTRUMENT WHERE ref_date='${ref_date}' AND nome_perimetro='Individual Local' AND segmento='ESTR' AND ambito='PM' AND entidade='00100')X</v>
      </c>
      <c r="K172" s="32" t="str">
        <f>IF(VLOOKUP(B172,'0. Instruções'!$C$27:$G$32,5,FALSE)=0,
"(SELECT "&amp;VLOOKUP(B172,'0. Instruções'!$C$27:$G$32,4,FALSE)&amp;" AS CHAVE_SIMUL, "&amp;C172&amp;" AS CAMPO_SIMUL FROM "&amp;F172&amp;" WHERE "&amp;'0. Instruções'!$D$42&amp;")Y",
"(SELECT "&amp;VLOOKUP(B172,'0. Instruções'!$C$27:$G$32,4,FALSE)&amp;" AS CHAVE_SIMUL1, "&amp;VLOOKUP(B172,'0. Instruções'!$C$27:$G$32,5,FALSE)&amp;" AS CHAVE_SIMUL2, "&amp;C172&amp;" AS CAMPO_SIMUL FROM "&amp;F172&amp;" WHERE "&amp;'0. Instruções'!$D$42&amp;")Y")</f>
        <v>(SELECT instrmnt_id AS CHAVE_SIMUL, eir_incptn AS CAMPO_SIMUL FROM BU_LOANTAPE_WORK.LT002_INSTRUMENT WHERE ref_date='${ref_date}' AND nome_perimetro='Individual Local' AND segmento='ESTR' AND ambito='PM' AND entidade='00100')Y</v>
      </c>
      <c r="L172" s="32" t="str">
        <f>IF(VLOOKUP(B172,'0. Instruções'!$C$27:$G$32,5,FALSE)=0,
"ON X.CHAVE_IT=Y.CHAVE_SIMUL",
"ON X.CHAVE_IT1=Y.CHAVE_SIMUL1 AND X.CHAVE_IT2=Y.CHAVE_SIMUL2")</f>
        <v>ON X.CHAVE_IT=Y.CHAVE_SIMUL</v>
      </c>
      <c r="M172" s="32" t="str">
        <f>+IF(D172="Coerência",+IF(LEFT(H172,5)="FLOAT","SELECT '"&amp;UPPER(B172)&amp;"' AS TABELA, '"&amp;UPPER(D172)&amp;"' AS TIPOLOGIA_TESTE,'"&amp;E172&amp;"' AS TABELA_LT,'"&amp;F172&amp;"' AS TABELA_SIMUL,'"&amp;C172&amp;"'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"&amp;J172&amp;" INNER JOIN "&amp;K172&amp;" "&amp;L172,"SELECT '"&amp;UPPER(B172)&amp;"' AS TABELA, '"&amp;UPPER(D172)&amp;"' AS TIPOLOGIA_TESTE,'"&amp;E172&amp;"' AS TABELA_LT,'"&amp;F172&amp;"' AS TABELA_SIMUL,'"&amp;C172&amp;"'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"&amp;J172&amp;" INNER JOIN "&amp;K172&amp;" "&amp;L172))</f>
        <v>SELECT 'INSTRUMENT' AS TABELA, 'COERÊNCIA' AS TIPOLOGIA_TESTE,'CD_LOAN_TAPES_BCE.LT002_INSTRUMENT' AS TABELA_LT,'BU_LOANTAPE_WORK.LT002_INSTRUMENT' AS TABELA_SIMUL,'eir_incptn'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eir_incptn AS CAMPO_IT FROM CD_LOAN_TAPES_BCE.LT002_INSTRUMENT WHERE ref_date='${ref_date}' AND nome_perimetro='Individual Local' AND segmento='ESTR' AND ambito='PM' AND entidade='00100')X INNER JOIN (SELECT instrmnt_id AS CHAVE_SIMUL, eir_incptn AS CAMPO_SIMUL FROM BU_LOANTAPE_WORK.LT002_INSTRUMENT WHERE ref_date='${ref_date}' AND nome_perimetro='Individual Local' AND segmento='ESTR' AND ambito='PM' AND entidade='00100')Y ON X.CHAVE_IT=Y.CHAVE_SIMUL</v>
      </c>
      <c r="N172" s="33" t="str">
        <f t="shared" si="7"/>
        <v>UNION ALL SELECT 'INSTRUMENT' AS TABELA, 'COERÊNCIA' AS TIPOLOGIA_TESTE,'CD_LOAN_TAPES_BCE.LT002_INSTRUMENT' AS TABELA_LT,'BU_LOANTAPE_WORK.LT002_INSTRUMENT' AS TABELA_SIMUL,'eir_incptn'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eir_incptn AS CAMPO_IT FROM CD_LOAN_TAPES_BCE.LT002_INSTRUMENT WHERE ref_date='${ref_date}' AND nome_perimetro='Individual Local' AND segmento='ESTR' AND ambito='PM' AND entidade='00100')X INNER JOIN (SELECT instrmnt_id AS CHAVE_SIMUL, eir_incptn AS CAMPO_SIMUL FROM BU_LOANTAPE_WORK.LT002_INSTRUMENT WHERE ref_date='${ref_date}' AND nome_perimetro='Individual Local' AND segmento='ESTR' AND ambito='PM' AND entidade='00100')Y ON X.CHAVE_IT=Y.CHAVE_SIMUL</v>
      </c>
      <c r="O172" s="35" t="s">
        <v>35</v>
      </c>
    </row>
    <row r="173" spans="1:15">
      <c r="A173" s="57" t="str">
        <f t="shared" si="6"/>
        <v>Instrumentintrst_rt_rst_frqncy</v>
      </c>
      <c r="B173" s="32" t="s">
        <v>9</v>
      </c>
      <c r="C173" s="32" t="s">
        <v>346</v>
      </c>
      <c r="D173" s="32" t="s">
        <v>5</v>
      </c>
      <c r="E173" s="32" t="str">
        <f>+UPPER('0. Instruções'!$D$35&amp;"."&amp;VLOOKUP(B173,'0. Instruções'!$C$27:$D$32,2,FALSE))</f>
        <v>CD_LOAN_TAPES_BCE.LT002_INSTRUMENT</v>
      </c>
      <c r="F173" s="32" t="str">
        <f>+UPPER('0. Instruções'!$D$36&amp;"."&amp;VLOOKUP(B173,'0. Instruções'!$C$27:$E$32,3,FALSE))</f>
        <v>BU_LOANTAPE_WORK.LT002_INSTRUMENT</v>
      </c>
      <c r="H173" s="32"/>
      <c r="I173" s="32"/>
      <c r="J173" s="32" t="str">
        <f>IF(VLOOKUP(B173,'0. Instruções'!$C$27:$G$32,5,FALSE)=0,
"(SELECT "&amp;VLOOKUP(B173,'0. Instruções'!$C$27:$G$32,4,FALSE)&amp;" AS CHAVE_IT, "&amp;C173&amp;" AS CAMPO_IT FROM "&amp;E173&amp;" WHERE "&amp;'0. Instruções'!$D$43&amp;")X",
"(SELECT "&amp;VLOOKUP(B173,'0. Instruções'!$C$27:$G$32,4,FALSE)&amp;" AS CHAVE_IT1, "&amp;VLOOKUP(B173,'0. Instruções'!$C$27:$G$32,5,FALSE)&amp;" AS CHAVE_IT2, "&amp;C173&amp;" AS CAMPO_IT FROM "&amp;E173&amp;" WHERE "&amp;'0. Instruções'!$D$43&amp;")X")</f>
        <v>(SELECT instrmnt_id AS CHAVE_IT, intrst_rt_rst_frqncy AS CAMPO_IT FROM CD_LOAN_TAPES_BCE.LT002_INSTRUMENT WHERE ref_date='${ref_date}' AND nome_perimetro='Individual Local' AND segmento='ESTR' AND ambito='PM' AND entidade='00100')X</v>
      </c>
      <c r="K173" s="32" t="str">
        <f>IF(VLOOKUP(B173,'0. Instruções'!$C$27:$G$32,5,FALSE)=0,
"(SELECT "&amp;VLOOKUP(B173,'0. Instruções'!$C$27:$G$32,4,FALSE)&amp;" AS CHAVE_SIMUL, "&amp;C173&amp;" AS CAMPO_SIMUL FROM "&amp;F173&amp;" WHERE "&amp;'0. Instruções'!$D$42&amp;")Y",
"(SELECT "&amp;VLOOKUP(B173,'0. Instruções'!$C$27:$G$32,4,FALSE)&amp;" AS CHAVE_SIMUL1, "&amp;VLOOKUP(B173,'0. Instruções'!$C$27:$G$32,5,FALSE)&amp;" AS CHAVE_SIMUL2, "&amp;C173&amp;" AS CAMPO_SIMUL FROM "&amp;F173&amp;" WHERE "&amp;'0. Instruções'!$D$42&amp;")Y")</f>
        <v>(SELECT instrmnt_id AS CHAVE_SIMUL, intrst_rt_rst_frqncy AS CAMPO_SIMUL FROM BU_LOANTAPE_WORK.LT002_INSTRUMENT WHERE ref_date='${ref_date}' AND nome_perimetro='Individual Local' AND segmento='ESTR' AND ambito='PM' AND entidade='00100')Y</v>
      </c>
      <c r="L173" s="32" t="str">
        <f>IF(VLOOKUP(B173,'0. Instruções'!$C$27:$G$32,5,FALSE)=0,
"ON X.CHAVE_IT=Y.CHAVE_SIMUL",
"ON X.CHAVE_IT1=Y.CHAVE_SIMUL1 AND X.CHAVE_IT2=Y.CHAVE_SIMUL2")</f>
        <v>ON X.CHAVE_IT=Y.CHAVE_SIMUL</v>
      </c>
      <c r="M173" s="32" t="str">
        <f>+IF(D173="Coerência",+IF(LEFT(H173,5)="FLOAT","SELECT '"&amp;UPPER(B173)&amp;"' AS TABELA, '"&amp;UPPER(D173)&amp;"' AS TIPOLOGIA_TESTE,'"&amp;E173&amp;"' AS TABELA_LT,'"&amp;F173&amp;"' AS TABELA_SIMUL,'"&amp;C173&amp;"'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"&amp;J173&amp;" INNER JOIN "&amp;K173&amp;" "&amp;L173,"SELECT '"&amp;UPPER(B173)&amp;"' AS TABELA, '"&amp;UPPER(D173)&amp;"' AS TIPOLOGIA_TESTE,'"&amp;E173&amp;"' AS TABELA_LT,'"&amp;F173&amp;"' AS TABELA_SIMUL,'"&amp;C173&amp;"'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"&amp;J173&amp;" INNER JOIN "&amp;K173&amp;" "&amp;L173))</f>
        <v>SELECT 'INSTRUMENT' AS TABELA, 'COERÊNCIA' AS TIPOLOGIA_TESTE,'CD_LOAN_TAPES_BCE.LT002_INSTRUMENT' AS TABELA_LT,'BU_LOANTAPE_WORK.LT002_INSTRUMENT' AS TABELA_SIMUL,'intrst_rt_rst_frqncy'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intrst_rt_rst_frqncy AS CAMPO_IT FROM CD_LOAN_TAPES_BCE.LT002_INSTRUMENT WHERE ref_date='${ref_date}' AND nome_perimetro='Individual Local' AND segmento='ESTR' AND ambito='PM' AND entidade='00100')X INNER JOIN (SELECT instrmnt_id AS CHAVE_SIMUL, intrst_rt_rst_frqncy AS CAMPO_SIMUL FROM BU_LOANTAPE_WORK.LT002_INSTRUMENT WHERE ref_date='${ref_date}' AND nome_perimetro='Individual Local' AND segmento='ESTR' AND ambito='PM' AND entidade='00100')Y ON X.CHAVE_IT=Y.CHAVE_SIMUL</v>
      </c>
      <c r="N173" s="33" t="str">
        <f t="shared" si="7"/>
        <v>UNION ALL SELECT 'INSTRUMENT' AS TABELA, 'COERÊNCIA' AS TIPOLOGIA_TESTE,'CD_LOAN_TAPES_BCE.LT002_INSTRUMENT' AS TABELA_LT,'BU_LOANTAPE_WORK.LT002_INSTRUMENT' AS TABELA_SIMUL,'intrst_rt_rst_frqncy'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intrst_rt_rst_frqncy AS CAMPO_IT FROM CD_LOAN_TAPES_BCE.LT002_INSTRUMENT WHERE ref_date='${ref_date}' AND nome_perimetro='Individual Local' AND segmento='ESTR' AND ambito='PM' AND entidade='00100')X INNER JOIN (SELECT instrmnt_id AS CHAVE_SIMUL, intrst_rt_rst_frqncy AS CAMPO_SIMUL FROM BU_LOANTAPE_WORK.LT002_INSTRUMENT WHERE ref_date='${ref_date}' AND nome_perimetro='Individual Local' AND segmento='ESTR' AND ambito='PM' AND entidade='00100')Y ON X.CHAVE_IT=Y.CHAVE_SIMUL</v>
      </c>
      <c r="O173" s="35" t="s">
        <v>35</v>
      </c>
    </row>
    <row r="174" spans="1:15">
      <c r="A174" s="57" t="str">
        <f t="shared" si="6"/>
        <v>Instrumentadd_fld01</v>
      </c>
      <c r="B174" s="32" t="s">
        <v>9</v>
      </c>
      <c r="C174" s="32" t="s">
        <v>347</v>
      </c>
      <c r="D174" s="32" t="s">
        <v>5</v>
      </c>
      <c r="E174" s="32" t="str">
        <f>+UPPER('0. Instruções'!$D$35&amp;"."&amp;VLOOKUP(B174,'0. Instruções'!$C$27:$D$32,2,FALSE))</f>
        <v>CD_LOAN_TAPES_BCE.LT002_INSTRUMENT</v>
      </c>
      <c r="F174" s="32" t="str">
        <f>+UPPER('0. Instruções'!$D$36&amp;"."&amp;VLOOKUP(B174,'0. Instruções'!$C$27:$E$32,3,FALSE))</f>
        <v>BU_LOANTAPE_WORK.LT002_INSTRUMENT</v>
      </c>
      <c r="H174" s="32"/>
      <c r="I174" s="32"/>
      <c r="J174" s="32" t="str">
        <f>IF(VLOOKUP(B174,'0. Instruções'!$C$27:$G$32,5,FALSE)=0,
"(SELECT "&amp;VLOOKUP(B174,'0. Instruções'!$C$27:$G$32,4,FALSE)&amp;" AS CHAVE_IT, "&amp;C174&amp;" AS CAMPO_IT FROM "&amp;E174&amp;" WHERE "&amp;'0. Instruções'!$D$43&amp;")X",
"(SELECT "&amp;VLOOKUP(B174,'0. Instruções'!$C$27:$G$32,4,FALSE)&amp;" AS CHAVE_IT1, "&amp;VLOOKUP(B174,'0. Instruções'!$C$27:$G$32,5,FALSE)&amp;" AS CHAVE_IT2, "&amp;C174&amp;" AS CAMPO_IT FROM "&amp;E174&amp;" WHERE "&amp;'0. Instruções'!$D$43&amp;")X")</f>
        <v>(SELECT instrmnt_id AS CHAVE_IT, add_fld01 AS CAMPO_IT FROM CD_LOAN_TAPES_BCE.LT002_INSTRUMENT WHERE ref_date='${ref_date}' AND nome_perimetro='Individual Local' AND segmento='ESTR' AND ambito='PM' AND entidade='00100')X</v>
      </c>
      <c r="K174" s="32" t="str">
        <f>IF(VLOOKUP(B174,'0. Instruções'!$C$27:$G$32,5,FALSE)=0,
"(SELECT "&amp;VLOOKUP(B174,'0. Instruções'!$C$27:$G$32,4,FALSE)&amp;" AS CHAVE_SIMUL, "&amp;C174&amp;" AS CAMPO_SIMUL FROM "&amp;F174&amp;" WHERE "&amp;'0. Instruções'!$D$42&amp;")Y",
"(SELECT "&amp;VLOOKUP(B174,'0. Instruções'!$C$27:$G$32,4,FALSE)&amp;" AS CHAVE_SIMUL1, "&amp;VLOOKUP(B174,'0. Instruções'!$C$27:$G$32,5,FALSE)&amp;" AS CHAVE_SIMUL2, "&amp;C174&amp;" AS CAMPO_SIMUL FROM "&amp;F174&amp;" WHERE "&amp;'0. Instruções'!$D$42&amp;")Y")</f>
        <v>(SELECT instrmnt_id AS CHAVE_SIMUL, add_fld01 AS CAMPO_SIMUL FROM BU_LOANTAPE_WORK.LT002_INSTRUMENT WHERE ref_date='${ref_date}' AND nome_perimetro='Individual Local' AND segmento='ESTR' AND ambito='PM' AND entidade='00100')Y</v>
      </c>
      <c r="L174" s="32" t="str">
        <f>IF(VLOOKUP(B174,'0. Instruções'!$C$27:$G$32,5,FALSE)=0,
"ON X.CHAVE_IT=Y.CHAVE_SIMUL",
"ON X.CHAVE_IT1=Y.CHAVE_SIMUL1 AND X.CHAVE_IT2=Y.CHAVE_SIMUL2")</f>
        <v>ON X.CHAVE_IT=Y.CHAVE_SIMUL</v>
      </c>
      <c r="M174" s="32" t="str">
        <f>+IF(D174="Coerência",+IF(LEFT(H174,5)="FLOAT","SELECT '"&amp;UPPER(B174)&amp;"' AS TABELA, '"&amp;UPPER(D174)&amp;"' AS TIPOLOGIA_TESTE,'"&amp;E174&amp;"' AS TABELA_LT,'"&amp;F174&amp;"' AS TABELA_SIMUL,'"&amp;C174&amp;"'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"&amp;J174&amp;" INNER JOIN "&amp;K174&amp;" "&amp;L174,"SELECT '"&amp;UPPER(B174)&amp;"' AS TABELA, '"&amp;UPPER(D174)&amp;"' AS TIPOLOGIA_TESTE,'"&amp;E174&amp;"' AS TABELA_LT,'"&amp;F174&amp;"' AS TABELA_SIMUL,'"&amp;C174&amp;"'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"&amp;J174&amp;" INNER JOIN "&amp;K174&amp;" "&amp;L174))</f>
        <v>SELECT 'INSTRUMENT' AS TABELA, 'COERÊNCIA' AS TIPOLOGIA_TESTE,'CD_LOAN_TAPES_BCE.LT002_INSTRUMENT' AS TABELA_LT,'BU_LOANTAPE_WORK.LT002_INSTRUMENT'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add_fld01 AS CAMPO_IT FROM CD_LOAN_TAPES_BCE.LT002_INSTRUMENT WHERE ref_date='${ref_date}' AND nome_perimetro='Individual Local' AND segmento='ESTR' AND ambito='PM' AND entidade='00100')X INNER JOIN (SELECT instrmnt_id AS CHAVE_SIMUL, add_fld01 AS CAMPO_SIMUL FROM BU_LOANTAPE_WORK.LT002_INSTRUMENT WHERE ref_date='${ref_date}' AND nome_perimetro='Individual Local' AND segmento='ESTR' AND ambito='PM' AND entidade='00100')Y ON X.CHAVE_IT=Y.CHAVE_SIMUL</v>
      </c>
      <c r="N174" s="33" t="str">
        <f t="shared" si="7"/>
        <v>UNION ALL SELECT 'INSTRUMENT' AS TABELA, 'COERÊNCIA' AS TIPOLOGIA_TESTE,'CD_LOAN_TAPES_BCE.LT002_INSTRUMENT' AS TABELA_LT,'BU_LOANTAPE_WORK.LT002_INSTRUMENT'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add_fld01 AS CAMPO_IT FROM CD_LOAN_TAPES_BCE.LT002_INSTRUMENT WHERE ref_date='${ref_date}' AND nome_perimetro='Individual Local' AND segmento='ESTR' AND ambito='PM' AND entidade='00100')X INNER JOIN (SELECT instrmnt_id AS CHAVE_SIMUL, add_fld01 AS CAMPO_SIMUL FROM BU_LOANTAPE_WORK.LT002_INSTRUMENT WHERE ref_date='${ref_date}' AND nome_perimetro='Individual Local' AND segmento='ESTR' AND ambito='PM' AND entidade='00100')Y ON X.CHAVE_IT=Y.CHAVE_SIMUL</v>
      </c>
      <c r="O174" s="35" t="s">
        <v>35</v>
      </c>
    </row>
    <row r="175" spans="1:15">
      <c r="A175" s="57" t="str">
        <f t="shared" si="6"/>
        <v>Instrumentadd_fld02</v>
      </c>
      <c r="B175" s="32" t="s">
        <v>9</v>
      </c>
      <c r="C175" s="32" t="s">
        <v>348</v>
      </c>
      <c r="D175" s="32" t="s">
        <v>5</v>
      </c>
      <c r="E175" s="32" t="str">
        <f>+UPPER('0. Instruções'!$D$35&amp;"."&amp;VLOOKUP(B175,'0. Instruções'!$C$27:$D$32,2,FALSE))</f>
        <v>CD_LOAN_TAPES_BCE.LT002_INSTRUMENT</v>
      </c>
      <c r="F175" s="32" t="str">
        <f>+UPPER('0. Instruções'!$D$36&amp;"."&amp;VLOOKUP(B175,'0. Instruções'!$C$27:$E$32,3,FALSE))</f>
        <v>BU_LOANTAPE_WORK.LT002_INSTRUMENT</v>
      </c>
      <c r="H175" s="32"/>
      <c r="I175" s="32"/>
      <c r="J175" s="32" t="str">
        <f>IF(VLOOKUP(B175,'0. Instruções'!$C$27:$G$32,5,FALSE)=0,
"(SELECT "&amp;VLOOKUP(B175,'0. Instruções'!$C$27:$G$32,4,FALSE)&amp;" AS CHAVE_IT, "&amp;C175&amp;" AS CAMPO_IT FROM "&amp;E175&amp;" WHERE "&amp;'0. Instruções'!$D$43&amp;")X",
"(SELECT "&amp;VLOOKUP(B175,'0. Instruções'!$C$27:$G$32,4,FALSE)&amp;" AS CHAVE_IT1, "&amp;VLOOKUP(B175,'0. Instruções'!$C$27:$G$32,5,FALSE)&amp;" AS CHAVE_IT2, "&amp;C175&amp;" AS CAMPO_IT FROM "&amp;E175&amp;" WHERE "&amp;'0. Instruções'!$D$43&amp;")X")</f>
        <v>(SELECT instrmnt_id AS CHAVE_IT, add_fld02 AS CAMPO_IT FROM CD_LOAN_TAPES_BCE.LT002_INSTRUMENT WHERE ref_date='${ref_date}' AND nome_perimetro='Individual Local' AND segmento='ESTR' AND ambito='PM' AND entidade='00100')X</v>
      </c>
      <c r="K175" s="32" t="str">
        <f>IF(VLOOKUP(B175,'0. Instruções'!$C$27:$G$32,5,FALSE)=0,
"(SELECT "&amp;VLOOKUP(B175,'0. Instruções'!$C$27:$G$32,4,FALSE)&amp;" AS CHAVE_SIMUL, "&amp;C175&amp;" AS CAMPO_SIMUL FROM "&amp;F175&amp;" WHERE "&amp;'0. Instruções'!$D$42&amp;")Y",
"(SELECT "&amp;VLOOKUP(B175,'0. Instruções'!$C$27:$G$32,4,FALSE)&amp;" AS CHAVE_SIMUL1, "&amp;VLOOKUP(B175,'0. Instruções'!$C$27:$G$32,5,FALSE)&amp;" AS CHAVE_SIMUL2, "&amp;C175&amp;" AS CAMPO_SIMUL FROM "&amp;F175&amp;" WHERE "&amp;'0. Instruções'!$D$42&amp;")Y")</f>
        <v>(SELECT instrmnt_id AS CHAVE_SIMUL, add_fld02 AS CAMPO_SIMUL FROM BU_LOANTAPE_WORK.LT002_INSTRUMENT WHERE ref_date='${ref_date}' AND nome_perimetro='Individual Local' AND segmento='ESTR' AND ambito='PM' AND entidade='00100')Y</v>
      </c>
      <c r="L175" s="32" t="str">
        <f>IF(VLOOKUP(B175,'0. Instruções'!$C$27:$G$32,5,FALSE)=0,
"ON X.CHAVE_IT=Y.CHAVE_SIMUL",
"ON X.CHAVE_IT1=Y.CHAVE_SIMUL1 AND X.CHAVE_IT2=Y.CHAVE_SIMUL2")</f>
        <v>ON X.CHAVE_IT=Y.CHAVE_SIMUL</v>
      </c>
      <c r="M175" s="32" t="str">
        <f>+IF(D175="Coerência",+IF(LEFT(H175,5)="FLOAT","SELECT '"&amp;UPPER(B175)&amp;"' AS TABELA, '"&amp;UPPER(D175)&amp;"' AS TIPOLOGIA_TESTE,'"&amp;E175&amp;"' AS TABELA_LT,'"&amp;F175&amp;"' AS TABELA_SIMUL,'"&amp;C175&amp;"'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"&amp;J175&amp;" INNER JOIN "&amp;K175&amp;" "&amp;L175,"SELECT '"&amp;UPPER(B175)&amp;"' AS TABELA, '"&amp;UPPER(D175)&amp;"' AS TIPOLOGIA_TESTE,'"&amp;E175&amp;"' AS TABELA_LT,'"&amp;F175&amp;"' AS TABELA_SIMUL,'"&amp;C175&amp;"'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"&amp;J175&amp;" INNER JOIN "&amp;K175&amp;" "&amp;L175))</f>
        <v>SELECT 'INSTRUMENT' AS TABELA, 'COERÊNCIA' AS TIPOLOGIA_TESTE,'CD_LOAN_TAPES_BCE.LT002_INSTRUMENT' AS TABELA_LT,'BU_LOANTAPE_WORK.LT002_INSTRUMENT'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add_fld02 AS CAMPO_IT FROM CD_LOAN_TAPES_BCE.LT002_INSTRUMENT WHERE ref_date='${ref_date}' AND nome_perimetro='Individual Local' AND segmento='ESTR' AND ambito='PM' AND entidade='00100')X INNER JOIN (SELECT instrmnt_id AS CHAVE_SIMUL, add_fld02 AS CAMPO_SIMUL FROM BU_LOANTAPE_WORK.LT002_INSTRUMENT WHERE ref_date='${ref_date}' AND nome_perimetro='Individual Local' AND segmento='ESTR' AND ambito='PM' AND entidade='00100')Y ON X.CHAVE_IT=Y.CHAVE_SIMUL</v>
      </c>
      <c r="N175" s="33" t="str">
        <f t="shared" si="7"/>
        <v>UNION ALL SELECT 'INSTRUMENT' AS TABELA, 'COERÊNCIA' AS TIPOLOGIA_TESTE,'CD_LOAN_TAPES_BCE.LT002_INSTRUMENT' AS TABELA_LT,'BU_LOANTAPE_WORK.LT002_INSTRUMENT'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add_fld02 AS CAMPO_IT FROM CD_LOAN_TAPES_BCE.LT002_INSTRUMENT WHERE ref_date='${ref_date}' AND nome_perimetro='Individual Local' AND segmento='ESTR' AND ambito='PM' AND entidade='00100')X INNER JOIN (SELECT instrmnt_id AS CHAVE_SIMUL, add_fld02 AS CAMPO_SIMUL FROM BU_LOANTAPE_WORK.LT002_INSTRUMENT WHERE ref_date='${ref_date}' AND nome_perimetro='Individual Local' AND segmento='ESTR' AND ambito='PM' AND entidade='00100')Y ON X.CHAVE_IT=Y.CHAVE_SIMUL</v>
      </c>
      <c r="O175" s="35" t="s">
        <v>35</v>
      </c>
    </row>
    <row r="176" spans="1:15">
      <c r="A176" s="57" t="str">
        <f t="shared" si="6"/>
        <v>Instrumentadd_fld03</v>
      </c>
      <c r="B176" s="32" t="s">
        <v>9</v>
      </c>
      <c r="C176" s="32" t="s">
        <v>349</v>
      </c>
      <c r="D176" s="32" t="s">
        <v>5</v>
      </c>
      <c r="E176" s="32" t="str">
        <f>+UPPER('0. Instruções'!$D$35&amp;"."&amp;VLOOKUP(B176,'0. Instruções'!$C$27:$D$32,2,FALSE))</f>
        <v>CD_LOAN_TAPES_BCE.LT002_INSTRUMENT</v>
      </c>
      <c r="F176" s="32" t="str">
        <f>+UPPER('0. Instruções'!$D$36&amp;"."&amp;VLOOKUP(B176,'0. Instruções'!$C$27:$E$32,3,FALSE))</f>
        <v>BU_LOANTAPE_WORK.LT002_INSTRUMENT</v>
      </c>
      <c r="H176" s="32"/>
      <c r="I176" s="32"/>
      <c r="J176" s="32" t="str">
        <f>IF(VLOOKUP(B176,'0. Instruções'!$C$27:$G$32,5,FALSE)=0,
"(SELECT "&amp;VLOOKUP(B176,'0. Instruções'!$C$27:$G$32,4,FALSE)&amp;" AS CHAVE_IT, "&amp;C176&amp;" AS CAMPO_IT FROM "&amp;E176&amp;" WHERE "&amp;'0. Instruções'!$D$43&amp;")X",
"(SELECT "&amp;VLOOKUP(B176,'0. Instruções'!$C$27:$G$32,4,FALSE)&amp;" AS CHAVE_IT1, "&amp;VLOOKUP(B176,'0. Instruções'!$C$27:$G$32,5,FALSE)&amp;" AS CHAVE_IT2, "&amp;C176&amp;" AS CAMPO_IT FROM "&amp;E176&amp;" WHERE "&amp;'0. Instruções'!$D$43&amp;")X")</f>
        <v>(SELECT instrmnt_id AS CHAVE_IT, add_fld03 AS CAMPO_IT FROM CD_LOAN_TAPES_BCE.LT002_INSTRUMENT WHERE ref_date='${ref_date}' AND nome_perimetro='Individual Local' AND segmento='ESTR' AND ambito='PM' AND entidade='00100')X</v>
      </c>
      <c r="K176" s="32" t="str">
        <f>IF(VLOOKUP(B176,'0. Instruções'!$C$27:$G$32,5,FALSE)=0,
"(SELECT "&amp;VLOOKUP(B176,'0. Instruções'!$C$27:$G$32,4,FALSE)&amp;" AS CHAVE_SIMUL, "&amp;C176&amp;" AS CAMPO_SIMUL FROM "&amp;F176&amp;" WHERE "&amp;'0. Instruções'!$D$42&amp;")Y",
"(SELECT "&amp;VLOOKUP(B176,'0. Instruções'!$C$27:$G$32,4,FALSE)&amp;" AS CHAVE_SIMUL1, "&amp;VLOOKUP(B176,'0. Instruções'!$C$27:$G$32,5,FALSE)&amp;" AS CHAVE_SIMUL2, "&amp;C176&amp;" AS CAMPO_SIMUL FROM "&amp;F176&amp;" WHERE "&amp;'0. Instruções'!$D$42&amp;")Y")</f>
        <v>(SELECT instrmnt_id AS CHAVE_SIMUL, add_fld03 AS CAMPO_SIMUL FROM BU_LOANTAPE_WORK.LT002_INSTRUMENT WHERE ref_date='${ref_date}' AND nome_perimetro='Individual Local' AND segmento='ESTR' AND ambito='PM' AND entidade='00100')Y</v>
      </c>
      <c r="L176" s="32" t="str">
        <f>IF(VLOOKUP(B176,'0. Instruções'!$C$27:$G$32,5,FALSE)=0,
"ON X.CHAVE_IT=Y.CHAVE_SIMUL",
"ON X.CHAVE_IT1=Y.CHAVE_SIMUL1 AND X.CHAVE_IT2=Y.CHAVE_SIMUL2")</f>
        <v>ON X.CHAVE_IT=Y.CHAVE_SIMUL</v>
      </c>
      <c r="M176" s="32" t="str">
        <f>+IF(D176="Coerência",+IF(LEFT(H176,5)="FLOAT","SELECT '"&amp;UPPER(B176)&amp;"' AS TABELA, '"&amp;UPPER(D176)&amp;"' AS TIPOLOGIA_TESTE,'"&amp;E176&amp;"' AS TABELA_LT,'"&amp;F176&amp;"' AS TABELA_SIMUL,'"&amp;C176&amp;"'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"&amp;J176&amp;" INNER JOIN "&amp;K176&amp;" "&amp;L176,"SELECT '"&amp;UPPER(B176)&amp;"' AS TABELA, '"&amp;UPPER(D176)&amp;"' AS TIPOLOGIA_TESTE,'"&amp;E176&amp;"' AS TABELA_LT,'"&amp;F176&amp;"' AS TABELA_SIMUL,'"&amp;C176&amp;"'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"&amp;J176&amp;" INNER JOIN "&amp;K176&amp;" "&amp;L176))</f>
        <v>SELECT 'INSTRUMENT' AS TABELA, 'COERÊNCIA' AS TIPOLOGIA_TESTE,'CD_LOAN_TAPES_BCE.LT002_INSTRUMENT' AS TABELA_LT,'BU_LOANTAPE_WORK.LT002_INSTRUMENT'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add_fld03 AS CAMPO_IT FROM CD_LOAN_TAPES_BCE.LT002_INSTRUMENT WHERE ref_date='${ref_date}' AND nome_perimetro='Individual Local' AND segmento='ESTR' AND ambito='PM' AND entidade='00100')X INNER JOIN (SELECT instrmnt_id AS CHAVE_SIMUL, add_fld03 AS CAMPO_SIMUL FROM BU_LOANTAPE_WORK.LT002_INSTRUMENT WHERE ref_date='${ref_date}' AND nome_perimetro='Individual Local' AND segmento='ESTR' AND ambito='PM' AND entidade='00100')Y ON X.CHAVE_IT=Y.CHAVE_SIMUL</v>
      </c>
      <c r="N176" s="33" t="str">
        <f t="shared" si="7"/>
        <v>UNION ALL SELECT 'INSTRUMENT' AS TABELA, 'COERÊNCIA' AS TIPOLOGIA_TESTE,'CD_LOAN_TAPES_BCE.LT002_INSTRUMENT' AS TABELA_LT,'BU_LOANTAPE_WORK.LT002_INSTRUMENT'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add_fld03 AS CAMPO_IT FROM CD_LOAN_TAPES_BCE.LT002_INSTRUMENT WHERE ref_date='${ref_date}' AND nome_perimetro='Individual Local' AND segmento='ESTR' AND ambito='PM' AND entidade='00100')X INNER JOIN (SELECT instrmnt_id AS CHAVE_SIMUL, add_fld03 AS CAMPO_SIMUL FROM BU_LOANTAPE_WORK.LT002_INSTRUMENT WHERE ref_date='${ref_date}' AND nome_perimetro='Individual Local' AND segmento='ESTR' AND ambito='PM' AND entidade='00100')Y ON X.CHAVE_IT=Y.CHAVE_SIMUL</v>
      </c>
      <c r="O176" s="35" t="s">
        <v>35</v>
      </c>
    </row>
    <row r="177" spans="1:15">
      <c r="A177" s="57" t="str">
        <f t="shared" si="6"/>
        <v>Instrumentadd_fld04</v>
      </c>
      <c r="B177" s="32" t="s">
        <v>9</v>
      </c>
      <c r="C177" s="32" t="s">
        <v>350</v>
      </c>
      <c r="D177" s="32" t="s">
        <v>5</v>
      </c>
      <c r="E177" s="32" t="str">
        <f>+UPPER('0. Instruções'!$D$35&amp;"."&amp;VLOOKUP(B177,'0. Instruções'!$C$27:$D$32,2,FALSE))</f>
        <v>CD_LOAN_TAPES_BCE.LT002_INSTRUMENT</v>
      </c>
      <c r="F177" s="32" t="str">
        <f>+UPPER('0. Instruções'!$D$36&amp;"."&amp;VLOOKUP(B177,'0. Instruções'!$C$27:$E$32,3,FALSE))</f>
        <v>BU_LOANTAPE_WORK.LT002_INSTRUMENT</v>
      </c>
      <c r="H177" s="32"/>
      <c r="I177" s="32"/>
      <c r="J177" s="32" t="str">
        <f>IF(VLOOKUP(B177,'0. Instruções'!$C$27:$G$32,5,FALSE)=0,
"(SELECT "&amp;VLOOKUP(B177,'0. Instruções'!$C$27:$G$32,4,FALSE)&amp;" AS CHAVE_IT, "&amp;C177&amp;" AS CAMPO_IT FROM "&amp;E177&amp;" WHERE "&amp;'0. Instruções'!$D$43&amp;")X",
"(SELECT "&amp;VLOOKUP(B177,'0. Instruções'!$C$27:$G$32,4,FALSE)&amp;" AS CHAVE_IT1, "&amp;VLOOKUP(B177,'0. Instruções'!$C$27:$G$32,5,FALSE)&amp;" AS CHAVE_IT2, "&amp;C177&amp;" AS CAMPO_IT FROM "&amp;E177&amp;" WHERE "&amp;'0. Instruções'!$D$43&amp;")X")</f>
        <v>(SELECT instrmnt_id AS CHAVE_IT, add_fld04 AS CAMPO_IT FROM CD_LOAN_TAPES_BCE.LT002_INSTRUMENT WHERE ref_date='${ref_date}' AND nome_perimetro='Individual Local' AND segmento='ESTR' AND ambito='PM' AND entidade='00100')X</v>
      </c>
      <c r="K177" s="32" t="str">
        <f>IF(VLOOKUP(B177,'0. Instruções'!$C$27:$G$32,5,FALSE)=0,
"(SELECT "&amp;VLOOKUP(B177,'0. Instruções'!$C$27:$G$32,4,FALSE)&amp;" AS CHAVE_SIMUL, "&amp;C177&amp;" AS CAMPO_SIMUL FROM "&amp;F177&amp;" WHERE "&amp;'0. Instruções'!$D$42&amp;")Y",
"(SELECT "&amp;VLOOKUP(B177,'0. Instruções'!$C$27:$G$32,4,FALSE)&amp;" AS CHAVE_SIMUL1, "&amp;VLOOKUP(B177,'0. Instruções'!$C$27:$G$32,5,FALSE)&amp;" AS CHAVE_SIMUL2, "&amp;C177&amp;" AS CAMPO_SIMUL FROM "&amp;F177&amp;" WHERE "&amp;'0. Instruções'!$D$42&amp;")Y")</f>
        <v>(SELECT instrmnt_id AS CHAVE_SIMUL, add_fld04 AS CAMPO_SIMUL FROM BU_LOANTAPE_WORK.LT002_INSTRUMENT WHERE ref_date='${ref_date}' AND nome_perimetro='Individual Local' AND segmento='ESTR' AND ambito='PM' AND entidade='00100')Y</v>
      </c>
      <c r="L177" s="32" t="str">
        <f>IF(VLOOKUP(B177,'0. Instruções'!$C$27:$G$32,5,FALSE)=0,
"ON X.CHAVE_IT=Y.CHAVE_SIMUL",
"ON X.CHAVE_IT1=Y.CHAVE_SIMUL1 AND X.CHAVE_IT2=Y.CHAVE_SIMUL2")</f>
        <v>ON X.CHAVE_IT=Y.CHAVE_SIMUL</v>
      </c>
      <c r="M177" s="32" t="str">
        <f>+IF(D177="Coerência",+IF(LEFT(H177,5)="FLOAT","SELECT '"&amp;UPPER(B177)&amp;"' AS TABELA, '"&amp;UPPER(D177)&amp;"' AS TIPOLOGIA_TESTE,'"&amp;E177&amp;"' AS TABELA_LT,'"&amp;F177&amp;"' AS TABELA_SIMUL,'"&amp;C177&amp;"'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"&amp;J177&amp;" INNER JOIN "&amp;K177&amp;" "&amp;L177,"SELECT '"&amp;UPPER(B177)&amp;"' AS TABELA, '"&amp;UPPER(D177)&amp;"' AS TIPOLOGIA_TESTE,'"&amp;E177&amp;"' AS TABELA_LT,'"&amp;F177&amp;"' AS TABELA_SIMUL,'"&amp;C177&amp;"'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"&amp;J177&amp;" INNER JOIN "&amp;K177&amp;" "&amp;L177))</f>
        <v>SELECT 'INSTRUMENT' AS TABELA, 'COERÊNCIA' AS TIPOLOGIA_TESTE,'CD_LOAN_TAPES_BCE.LT002_INSTRUMENT' AS TABELA_LT,'BU_LOANTAPE_WORK.LT002_INSTRUMENT'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add_fld04 AS CAMPO_IT FROM CD_LOAN_TAPES_BCE.LT002_INSTRUMENT WHERE ref_date='${ref_date}' AND nome_perimetro='Individual Local' AND segmento='ESTR' AND ambito='PM' AND entidade='00100')X INNER JOIN (SELECT instrmnt_id AS CHAVE_SIMUL, add_fld04 AS CAMPO_SIMUL FROM BU_LOANTAPE_WORK.LT002_INSTRUMENT WHERE ref_date='${ref_date}' AND nome_perimetro='Individual Local' AND segmento='ESTR' AND ambito='PM' AND entidade='00100')Y ON X.CHAVE_IT=Y.CHAVE_SIMUL</v>
      </c>
      <c r="N177" s="33" t="str">
        <f t="shared" si="7"/>
        <v>UNION ALL SELECT 'INSTRUMENT' AS TABELA, 'COERÊNCIA' AS TIPOLOGIA_TESTE,'CD_LOAN_TAPES_BCE.LT002_INSTRUMENT' AS TABELA_LT,'BU_LOANTAPE_WORK.LT002_INSTRUMENT'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add_fld04 AS CAMPO_IT FROM CD_LOAN_TAPES_BCE.LT002_INSTRUMENT WHERE ref_date='${ref_date}' AND nome_perimetro='Individual Local' AND segmento='ESTR' AND ambito='PM' AND entidade='00100')X INNER JOIN (SELECT instrmnt_id AS CHAVE_SIMUL, add_fld04 AS CAMPO_SIMUL FROM BU_LOANTAPE_WORK.LT002_INSTRUMENT WHERE ref_date='${ref_date}' AND nome_perimetro='Individual Local' AND segmento='ESTR' AND ambito='PM' AND entidade='00100')Y ON X.CHAVE_IT=Y.CHAVE_SIMUL</v>
      </c>
      <c r="O177" s="35" t="s">
        <v>35</v>
      </c>
    </row>
    <row r="178" spans="1:15">
      <c r="A178" s="57" t="str">
        <f t="shared" si="6"/>
        <v>Instrumentadd_fld05</v>
      </c>
      <c r="B178" s="32" t="s">
        <v>9</v>
      </c>
      <c r="C178" s="32" t="s">
        <v>351</v>
      </c>
      <c r="D178" s="32" t="s">
        <v>5</v>
      </c>
      <c r="E178" s="32" t="str">
        <f>+UPPER('0. Instruções'!$D$35&amp;"."&amp;VLOOKUP(B178,'0. Instruções'!$C$27:$D$32,2,FALSE))</f>
        <v>CD_LOAN_TAPES_BCE.LT002_INSTRUMENT</v>
      </c>
      <c r="F178" s="32" t="str">
        <f>+UPPER('0. Instruções'!$D$36&amp;"."&amp;VLOOKUP(B178,'0. Instruções'!$C$27:$E$32,3,FALSE))</f>
        <v>BU_LOANTAPE_WORK.LT002_INSTRUMENT</v>
      </c>
      <c r="H178" s="32"/>
      <c r="I178" s="32"/>
      <c r="J178" s="32" t="str">
        <f>IF(VLOOKUP(B178,'0. Instruções'!$C$27:$G$32,5,FALSE)=0,
"(SELECT "&amp;VLOOKUP(B178,'0. Instruções'!$C$27:$G$32,4,FALSE)&amp;" AS CHAVE_IT, "&amp;C178&amp;" AS CAMPO_IT FROM "&amp;E178&amp;" WHERE "&amp;'0. Instruções'!$D$43&amp;")X",
"(SELECT "&amp;VLOOKUP(B178,'0. Instruções'!$C$27:$G$32,4,FALSE)&amp;" AS CHAVE_IT1, "&amp;VLOOKUP(B178,'0. Instruções'!$C$27:$G$32,5,FALSE)&amp;" AS CHAVE_IT2, "&amp;C178&amp;" AS CAMPO_IT FROM "&amp;E178&amp;" WHERE "&amp;'0. Instruções'!$D$43&amp;")X")</f>
        <v>(SELECT instrmnt_id AS CHAVE_IT, add_fld05 AS CAMPO_IT FROM CD_LOAN_TAPES_BCE.LT002_INSTRUMENT WHERE ref_date='${ref_date}' AND nome_perimetro='Individual Local' AND segmento='ESTR' AND ambito='PM' AND entidade='00100')X</v>
      </c>
      <c r="K178" s="32" t="str">
        <f>IF(VLOOKUP(B178,'0. Instruções'!$C$27:$G$32,5,FALSE)=0,
"(SELECT "&amp;VLOOKUP(B178,'0. Instruções'!$C$27:$G$32,4,FALSE)&amp;" AS CHAVE_SIMUL, "&amp;C178&amp;" AS CAMPO_SIMUL FROM "&amp;F178&amp;" WHERE "&amp;'0. Instruções'!$D$42&amp;")Y",
"(SELECT "&amp;VLOOKUP(B178,'0. Instruções'!$C$27:$G$32,4,FALSE)&amp;" AS CHAVE_SIMUL1, "&amp;VLOOKUP(B178,'0. Instruções'!$C$27:$G$32,5,FALSE)&amp;" AS CHAVE_SIMUL2, "&amp;C178&amp;" AS CAMPO_SIMUL FROM "&amp;F178&amp;" WHERE "&amp;'0. Instruções'!$D$42&amp;")Y")</f>
        <v>(SELECT instrmnt_id AS CHAVE_SIMUL, add_fld05 AS CAMPO_SIMUL FROM BU_LOANTAPE_WORK.LT002_INSTRUMENT WHERE ref_date='${ref_date}' AND nome_perimetro='Individual Local' AND segmento='ESTR' AND ambito='PM' AND entidade='00100')Y</v>
      </c>
      <c r="L178" s="32" t="str">
        <f>IF(VLOOKUP(B178,'0. Instruções'!$C$27:$G$32,5,FALSE)=0,
"ON X.CHAVE_IT=Y.CHAVE_SIMUL",
"ON X.CHAVE_IT1=Y.CHAVE_SIMUL1 AND X.CHAVE_IT2=Y.CHAVE_SIMUL2")</f>
        <v>ON X.CHAVE_IT=Y.CHAVE_SIMUL</v>
      </c>
      <c r="M178" s="32" t="str">
        <f>+IF(D178="Coerência",+IF(LEFT(H178,5)="FLOAT","SELECT '"&amp;UPPER(B178)&amp;"' AS TABELA, '"&amp;UPPER(D178)&amp;"' AS TIPOLOGIA_TESTE,'"&amp;E178&amp;"' AS TABELA_LT,'"&amp;F178&amp;"' AS TABELA_SIMUL,'"&amp;C178&amp;"'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"&amp;J178&amp;" INNER JOIN "&amp;K178&amp;" "&amp;L178,"SELECT '"&amp;UPPER(B178)&amp;"' AS TABELA, '"&amp;UPPER(D178)&amp;"' AS TIPOLOGIA_TESTE,'"&amp;E178&amp;"' AS TABELA_LT,'"&amp;F178&amp;"' AS TABELA_SIMUL,'"&amp;C178&amp;"'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"&amp;J178&amp;" INNER JOIN "&amp;K178&amp;" "&amp;L178))</f>
        <v>SELECT 'INSTRUMENT' AS TABELA, 'COERÊNCIA' AS TIPOLOGIA_TESTE,'CD_LOAN_TAPES_BCE.LT002_INSTRUMENT' AS TABELA_LT,'BU_LOANTAPE_WORK.LT002_INSTRUMENT'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add_fld05 AS CAMPO_IT FROM CD_LOAN_TAPES_BCE.LT002_INSTRUMENT WHERE ref_date='${ref_date}' AND nome_perimetro='Individual Local' AND segmento='ESTR' AND ambito='PM' AND entidade='00100')X INNER JOIN (SELECT instrmnt_id AS CHAVE_SIMUL, add_fld05 AS CAMPO_SIMUL FROM BU_LOANTAPE_WORK.LT002_INSTRUMENT WHERE ref_date='${ref_date}' AND nome_perimetro='Individual Local' AND segmento='ESTR' AND ambito='PM' AND entidade='00100')Y ON X.CHAVE_IT=Y.CHAVE_SIMUL</v>
      </c>
      <c r="N178" s="33" t="str">
        <f t="shared" si="7"/>
        <v>UNION ALL SELECT 'INSTRUMENT' AS TABELA, 'COERÊNCIA' AS TIPOLOGIA_TESTE,'CD_LOAN_TAPES_BCE.LT002_INSTRUMENT' AS TABELA_LT,'BU_LOANTAPE_WORK.LT002_INSTRUMENT'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add_fld05 AS CAMPO_IT FROM CD_LOAN_TAPES_BCE.LT002_INSTRUMENT WHERE ref_date='${ref_date}' AND nome_perimetro='Individual Local' AND segmento='ESTR' AND ambito='PM' AND entidade='00100')X INNER JOIN (SELECT instrmnt_id AS CHAVE_SIMUL, add_fld05 AS CAMPO_SIMUL FROM BU_LOANTAPE_WORK.LT002_INSTRUMENT WHERE ref_date='${ref_date}' AND nome_perimetro='Individual Local' AND segmento='ESTR' AND ambito='PM' AND entidade='00100')Y ON X.CHAVE_IT=Y.CHAVE_SIMUL</v>
      </c>
      <c r="O178" s="35" t="s">
        <v>35</v>
      </c>
    </row>
    <row r="179" spans="1:15">
      <c r="A179" s="57" t="str">
        <f t="shared" si="6"/>
        <v>Instrumentadd_fld06</v>
      </c>
      <c r="B179" s="32" t="s">
        <v>9</v>
      </c>
      <c r="C179" s="32" t="s">
        <v>352</v>
      </c>
      <c r="D179" s="32" t="s">
        <v>5</v>
      </c>
      <c r="E179" s="32" t="str">
        <f>+UPPER('0. Instruções'!$D$35&amp;"."&amp;VLOOKUP(B179,'0. Instruções'!$C$27:$D$32,2,FALSE))</f>
        <v>CD_LOAN_TAPES_BCE.LT002_INSTRUMENT</v>
      </c>
      <c r="F179" s="32" t="str">
        <f>+UPPER('0. Instruções'!$D$36&amp;"."&amp;VLOOKUP(B179,'0. Instruções'!$C$27:$E$32,3,FALSE))</f>
        <v>BU_LOANTAPE_WORK.LT002_INSTRUMENT</v>
      </c>
      <c r="H179" s="32"/>
      <c r="I179" s="32"/>
      <c r="J179" s="32" t="str">
        <f>IF(VLOOKUP(B179,'0. Instruções'!$C$27:$G$32,5,FALSE)=0,
"(SELECT "&amp;VLOOKUP(B179,'0. Instruções'!$C$27:$G$32,4,FALSE)&amp;" AS CHAVE_IT, "&amp;C179&amp;" AS CAMPO_IT FROM "&amp;E179&amp;" WHERE "&amp;'0. Instruções'!$D$43&amp;")X",
"(SELECT "&amp;VLOOKUP(B179,'0. Instruções'!$C$27:$G$32,4,FALSE)&amp;" AS CHAVE_IT1, "&amp;VLOOKUP(B179,'0. Instruções'!$C$27:$G$32,5,FALSE)&amp;" AS CHAVE_IT2, "&amp;C179&amp;" AS CAMPO_IT FROM "&amp;E179&amp;" WHERE "&amp;'0. Instruções'!$D$43&amp;")X")</f>
        <v>(SELECT instrmnt_id AS CHAVE_IT, add_fld06 AS CAMPO_IT FROM CD_LOAN_TAPES_BCE.LT002_INSTRUMENT WHERE ref_date='${ref_date}' AND nome_perimetro='Individual Local' AND segmento='ESTR' AND ambito='PM' AND entidade='00100')X</v>
      </c>
      <c r="K179" s="32" t="str">
        <f>IF(VLOOKUP(B179,'0. Instruções'!$C$27:$G$32,5,FALSE)=0,
"(SELECT "&amp;VLOOKUP(B179,'0. Instruções'!$C$27:$G$32,4,FALSE)&amp;" AS CHAVE_SIMUL, "&amp;C179&amp;" AS CAMPO_SIMUL FROM "&amp;F179&amp;" WHERE "&amp;'0. Instruções'!$D$42&amp;")Y",
"(SELECT "&amp;VLOOKUP(B179,'0. Instruções'!$C$27:$G$32,4,FALSE)&amp;" AS CHAVE_SIMUL1, "&amp;VLOOKUP(B179,'0. Instruções'!$C$27:$G$32,5,FALSE)&amp;" AS CHAVE_SIMUL2, "&amp;C179&amp;" AS CAMPO_SIMUL FROM "&amp;F179&amp;" WHERE "&amp;'0. Instruções'!$D$42&amp;")Y")</f>
        <v>(SELECT instrmnt_id AS CHAVE_SIMUL, add_fld06 AS CAMPO_SIMUL FROM BU_LOANTAPE_WORK.LT002_INSTRUMENT WHERE ref_date='${ref_date}' AND nome_perimetro='Individual Local' AND segmento='ESTR' AND ambito='PM' AND entidade='00100')Y</v>
      </c>
      <c r="L179" s="32" t="str">
        <f>IF(VLOOKUP(B179,'0. Instruções'!$C$27:$G$32,5,FALSE)=0,
"ON X.CHAVE_IT=Y.CHAVE_SIMUL",
"ON X.CHAVE_IT1=Y.CHAVE_SIMUL1 AND X.CHAVE_IT2=Y.CHAVE_SIMUL2")</f>
        <v>ON X.CHAVE_IT=Y.CHAVE_SIMUL</v>
      </c>
      <c r="M179" s="32" t="str">
        <f>+IF(D179="Coerência",+IF(LEFT(H179,5)="FLOAT","SELECT '"&amp;UPPER(B179)&amp;"' AS TABELA, '"&amp;UPPER(D179)&amp;"' AS TIPOLOGIA_TESTE,'"&amp;E179&amp;"' AS TABELA_LT,'"&amp;F179&amp;"' AS TABELA_SIMUL,'"&amp;C179&amp;"'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"&amp;J179&amp;" INNER JOIN "&amp;K179&amp;" "&amp;L179,"SELECT '"&amp;UPPER(B179)&amp;"' AS TABELA, '"&amp;UPPER(D179)&amp;"' AS TIPOLOGIA_TESTE,'"&amp;E179&amp;"' AS TABELA_LT,'"&amp;F179&amp;"' AS TABELA_SIMUL,'"&amp;C179&amp;"'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"&amp;J179&amp;" INNER JOIN "&amp;K179&amp;" "&amp;L179))</f>
        <v>SELECT 'INSTRUMENT' AS TABELA, 'COERÊNCIA' AS TIPOLOGIA_TESTE,'CD_LOAN_TAPES_BCE.LT002_INSTRUMENT' AS TABELA_LT,'BU_LOANTAPE_WORK.LT002_INSTRUMENT'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add_fld06 AS CAMPO_IT FROM CD_LOAN_TAPES_BCE.LT002_INSTRUMENT WHERE ref_date='${ref_date}' AND nome_perimetro='Individual Local' AND segmento='ESTR' AND ambito='PM' AND entidade='00100')X INNER JOIN (SELECT instrmnt_id AS CHAVE_SIMUL, add_fld06 AS CAMPO_SIMUL FROM BU_LOANTAPE_WORK.LT002_INSTRUMENT WHERE ref_date='${ref_date}' AND nome_perimetro='Individual Local' AND segmento='ESTR' AND ambito='PM' AND entidade='00100')Y ON X.CHAVE_IT=Y.CHAVE_SIMUL</v>
      </c>
      <c r="N179" s="33" t="str">
        <f t="shared" si="7"/>
        <v>UNION ALL SELECT 'INSTRUMENT' AS TABELA, 'COERÊNCIA' AS TIPOLOGIA_TESTE,'CD_LOAN_TAPES_BCE.LT002_INSTRUMENT' AS TABELA_LT,'BU_LOANTAPE_WORK.LT002_INSTRUMENT'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add_fld06 AS CAMPO_IT FROM CD_LOAN_TAPES_BCE.LT002_INSTRUMENT WHERE ref_date='${ref_date}' AND nome_perimetro='Individual Local' AND segmento='ESTR' AND ambito='PM' AND entidade='00100')X INNER JOIN (SELECT instrmnt_id AS CHAVE_SIMUL, add_fld06 AS CAMPO_SIMUL FROM BU_LOANTAPE_WORK.LT002_INSTRUMENT WHERE ref_date='${ref_date}' AND nome_perimetro='Individual Local' AND segmento='ESTR' AND ambito='PM' AND entidade='00100')Y ON X.CHAVE_IT=Y.CHAVE_SIMUL</v>
      </c>
      <c r="O179" s="35" t="s">
        <v>35</v>
      </c>
    </row>
    <row r="180" spans="1:15">
      <c r="A180" s="57" t="str">
        <f t="shared" si="6"/>
        <v>Instrumentadd_fld07</v>
      </c>
      <c r="B180" s="32" t="s">
        <v>9</v>
      </c>
      <c r="C180" s="32" t="s">
        <v>353</v>
      </c>
      <c r="D180" s="32" t="s">
        <v>5</v>
      </c>
      <c r="E180" s="32" t="str">
        <f>+UPPER('0. Instruções'!$D$35&amp;"."&amp;VLOOKUP(B180,'0. Instruções'!$C$27:$D$32,2,FALSE))</f>
        <v>CD_LOAN_TAPES_BCE.LT002_INSTRUMENT</v>
      </c>
      <c r="F180" s="32" t="str">
        <f>+UPPER('0. Instruções'!$D$36&amp;"."&amp;VLOOKUP(B180,'0. Instruções'!$C$27:$E$32,3,FALSE))</f>
        <v>BU_LOANTAPE_WORK.LT002_INSTRUMENT</v>
      </c>
      <c r="H180" s="32"/>
      <c r="I180" s="32"/>
      <c r="J180" s="32" t="str">
        <f>IF(VLOOKUP(B180,'0. Instruções'!$C$27:$G$32,5,FALSE)=0,
"(SELECT "&amp;VLOOKUP(B180,'0. Instruções'!$C$27:$G$32,4,FALSE)&amp;" AS CHAVE_IT, "&amp;C180&amp;" AS CAMPO_IT FROM "&amp;E180&amp;" WHERE "&amp;'0. Instruções'!$D$43&amp;")X",
"(SELECT "&amp;VLOOKUP(B180,'0. Instruções'!$C$27:$G$32,4,FALSE)&amp;" AS CHAVE_IT1, "&amp;VLOOKUP(B180,'0. Instruções'!$C$27:$G$32,5,FALSE)&amp;" AS CHAVE_IT2, "&amp;C180&amp;" AS CAMPO_IT FROM "&amp;E180&amp;" WHERE "&amp;'0. Instruções'!$D$43&amp;")X")</f>
        <v>(SELECT instrmnt_id AS CHAVE_IT, add_fld07 AS CAMPO_IT FROM CD_LOAN_TAPES_BCE.LT002_INSTRUMENT WHERE ref_date='${ref_date}' AND nome_perimetro='Individual Local' AND segmento='ESTR' AND ambito='PM' AND entidade='00100')X</v>
      </c>
      <c r="K180" s="32" t="str">
        <f>IF(VLOOKUP(B180,'0. Instruções'!$C$27:$G$32,5,FALSE)=0,
"(SELECT "&amp;VLOOKUP(B180,'0. Instruções'!$C$27:$G$32,4,FALSE)&amp;" AS CHAVE_SIMUL, "&amp;C180&amp;" AS CAMPO_SIMUL FROM "&amp;F180&amp;" WHERE "&amp;'0. Instruções'!$D$42&amp;")Y",
"(SELECT "&amp;VLOOKUP(B180,'0. Instruções'!$C$27:$G$32,4,FALSE)&amp;" AS CHAVE_SIMUL1, "&amp;VLOOKUP(B180,'0. Instruções'!$C$27:$G$32,5,FALSE)&amp;" AS CHAVE_SIMUL2, "&amp;C180&amp;" AS CAMPO_SIMUL FROM "&amp;F180&amp;" WHERE "&amp;'0. Instruções'!$D$42&amp;")Y")</f>
        <v>(SELECT instrmnt_id AS CHAVE_SIMUL, add_fld07 AS CAMPO_SIMUL FROM BU_LOANTAPE_WORK.LT002_INSTRUMENT WHERE ref_date='${ref_date}' AND nome_perimetro='Individual Local' AND segmento='ESTR' AND ambito='PM' AND entidade='00100')Y</v>
      </c>
      <c r="L180" s="32" t="str">
        <f>IF(VLOOKUP(B180,'0. Instruções'!$C$27:$G$32,5,FALSE)=0,
"ON X.CHAVE_IT=Y.CHAVE_SIMUL",
"ON X.CHAVE_IT1=Y.CHAVE_SIMUL1 AND X.CHAVE_IT2=Y.CHAVE_SIMUL2")</f>
        <v>ON X.CHAVE_IT=Y.CHAVE_SIMUL</v>
      </c>
      <c r="M180" s="32" t="str">
        <f>+IF(D180="Coerência",+IF(LEFT(H180,5)="FLOAT","SELECT '"&amp;UPPER(B180)&amp;"' AS TABELA, '"&amp;UPPER(D180)&amp;"' AS TIPOLOGIA_TESTE,'"&amp;E180&amp;"' AS TABELA_LT,'"&amp;F180&amp;"' AS TABELA_SIMUL,'"&amp;C180&amp;"'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"&amp;J180&amp;" INNER JOIN "&amp;K180&amp;" "&amp;L180,"SELECT '"&amp;UPPER(B180)&amp;"' AS TABELA, '"&amp;UPPER(D180)&amp;"' AS TIPOLOGIA_TESTE,'"&amp;E180&amp;"' AS TABELA_LT,'"&amp;F180&amp;"' AS TABELA_SIMUL,'"&amp;C180&amp;"'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"&amp;J180&amp;" INNER JOIN "&amp;K180&amp;" "&amp;L180))</f>
        <v>SELECT 'INSTRUMENT' AS TABELA, 'COERÊNCIA' AS TIPOLOGIA_TESTE,'CD_LOAN_TAPES_BCE.LT002_INSTRUMENT' AS TABELA_LT,'BU_LOANTAPE_WORK.LT002_INSTRUMENT'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add_fld07 AS CAMPO_IT FROM CD_LOAN_TAPES_BCE.LT002_INSTRUMENT WHERE ref_date='${ref_date}' AND nome_perimetro='Individual Local' AND segmento='ESTR' AND ambito='PM' AND entidade='00100')X INNER JOIN (SELECT instrmnt_id AS CHAVE_SIMUL, add_fld07 AS CAMPO_SIMUL FROM BU_LOANTAPE_WORK.LT002_INSTRUMENT WHERE ref_date='${ref_date}' AND nome_perimetro='Individual Local' AND segmento='ESTR' AND ambito='PM' AND entidade='00100')Y ON X.CHAVE_IT=Y.CHAVE_SIMUL</v>
      </c>
      <c r="N180" s="33" t="str">
        <f t="shared" si="7"/>
        <v>UNION ALL SELECT 'INSTRUMENT' AS TABELA, 'COERÊNCIA' AS TIPOLOGIA_TESTE,'CD_LOAN_TAPES_BCE.LT002_INSTRUMENT' AS TABELA_LT,'BU_LOANTAPE_WORK.LT002_INSTRUMENT'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add_fld07 AS CAMPO_IT FROM CD_LOAN_TAPES_BCE.LT002_INSTRUMENT WHERE ref_date='${ref_date}' AND nome_perimetro='Individual Local' AND segmento='ESTR' AND ambito='PM' AND entidade='00100')X INNER JOIN (SELECT instrmnt_id AS CHAVE_SIMUL, add_fld07 AS CAMPO_SIMUL FROM BU_LOANTAPE_WORK.LT002_INSTRUMENT WHERE ref_date='${ref_date}' AND nome_perimetro='Individual Local' AND segmento='ESTR' AND ambito='PM' AND entidade='00100')Y ON X.CHAVE_IT=Y.CHAVE_SIMUL</v>
      </c>
      <c r="O180" s="35" t="s">
        <v>35</v>
      </c>
    </row>
    <row r="181" spans="1:15">
      <c r="A181" s="57" t="str">
        <f t="shared" si="6"/>
        <v>Instrumentadd_fld08</v>
      </c>
      <c r="B181" s="32" t="s">
        <v>9</v>
      </c>
      <c r="C181" s="32" t="s">
        <v>354</v>
      </c>
      <c r="D181" s="32" t="s">
        <v>5</v>
      </c>
      <c r="E181" s="32" t="str">
        <f>+UPPER('0. Instruções'!$D$35&amp;"."&amp;VLOOKUP(B181,'0. Instruções'!$C$27:$D$32,2,FALSE))</f>
        <v>CD_LOAN_TAPES_BCE.LT002_INSTRUMENT</v>
      </c>
      <c r="F181" s="32" t="str">
        <f>+UPPER('0. Instruções'!$D$36&amp;"."&amp;VLOOKUP(B181,'0. Instruções'!$C$27:$E$32,3,FALSE))</f>
        <v>BU_LOANTAPE_WORK.LT002_INSTRUMENT</v>
      </c>
      <c r="H181" s="32"/>
      <c r="I181" s="32"/>
      <c r="J181" s="32" t="str">
        <f>IF(VLOOKUP(B181,'0. Instruções'!$C$27:$G$32,5,FALSE)=0,
"(SELECT "&amp;VLOOKUP(B181,'0. Instruções'!$C$27:$G$32,4,FALSE)&amp;" AS CHAVE_IT, "&amp;C181&amp;" AS CAMPO_IT FROM "&amp;E181&amp;" WHERE "&amp;'0. Instruções'!$D$43&amp;")X",
"(SELECT "&amp;VLOOKUP(B181,'0. Instruções'!$C$27:$G$32,4,FALSE)&amp;" AS CHAVE_IT1, "&amp;VLOOKUP(B181,'0. Instruções'!$C$27:$G$32,5,FALSE)&amp;" AS CHAVE_IT2, "&amp;C181&amp;" AS CAMPO_IT FROM "&amp;E181&amp;" WHERE "&amp;'0. Instruções'!$D$43&amp;")X")</f>
        <v>(SELECT instrmnt_id AS CHAVE_IT, add_fld08 AS CAMPO_IT FROM CD_LOAN_TAPES_BCE.LT002_INSTRUMENT WHERE ref_date='${ref_date}' AND nome_perimetro='Individual Local' AND segmento='ESTR' AND ambito='PM' AND entidade='00100')X</v>
      </c>
      <c r="K181" s="32" t="str">
        <f>IF(VLOOKUP(B181,'0. Instruções'!$C$27:$G$32,5,FALSE)=0,
"(SELECT "&amp;VLOOKUP(B181,'0. Instruções'!$C$27:$G$32,4,FALSE)&amp;" AS CHAVE_SIMUL, "&amp;C181&amp;" AS CAMPO_SIMUL FROM "&amp;F181&amp;" WHERE "&amp;'0. Instruções'!$D$42&amp;")Y",
"(SELECT "&amp;VLOOKUP(B181,'0. Instruções'!$C$27:$G$32,4,FALSE)&amp;" AS CHAVE_SIMUL1, "&amp;VLOOKUP(B181,'0. Instruções'!$C$27:$G$32,5,FALSE)&amp;" AS CHAVE_SIMUL2, "&amp;C181&amp;" AS CAMPO_SIMUL FROM "&amp;F181&amp;" WHERE "&amp;'0. Instruções'!$D$42&amp;")Y")</f>
        <v>(SELECT instrmnt_id AS CHAVE_SIMUL, add_fld08 AS CAMPO_SIMUL FROM BU_LOANTAPE_WORK.LT002_INSTRUMENT WHERE ref_date='${ref_date}' AND nome_perimetro='Individual Local' AND segmento='ESTR' AND ambito='PM' AND entidade='00100')Y</v>
      </c>
      <c r="L181" s="32" t="str">
        <f>IF(VLOOKUP(B181,'0. Instruções'!$C$27:$G$32,5,FALSE)=0,
"ON X.CHAVE_IT=Y.CHAVE_SIMUL",
"ON X.CHAVE_IT1=Y.CHAVE_SIMUL1 AND X.CHAVE_IT2=Y.CHAVE_SIMUL2")</f>
        <v>ON X.CHAVE_IT=Y.CHAVE_SIMUL</v>
      </c>
      <c r="M181" s="32" t="str">
        <f>+IF(D181="Coerência",+IF(LEFT(H181,5)="FLOAT","SELECT '"&amp;UPPER(B181)&amp;"' AS TABELA, '"&amp;UPPER(D181)&amp;"' AS TIPOLOGIA_TESTE,'"&amp;E181&amp;"' AS TABELA_LT,'"&amp;F181&amp;"' AS TABELA_SIMUL,'"&amp;C181&amp;"'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"&amp;J181&amp;" INNER JOIN "&amp;K181&amp;" "&amp;L181,"SELECT '"&amp;UPPER(B181)&amp;"' AS TABELA, '"&amp;UPPER(D181)&amp;"' AS TIPOLOGIA_TESTE,'"&amp;E181&amp;"' AS TABELA_LT,'"&amp;F181&amp;"' AS TABELA_SIMUL,'"&amp;C181&amp;"'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"&amp;J181&amp;" INNER JOIN "&amp;K181&amp;" "&amp;L181))</f>
        <v>SELECT 'INSTRUMENT' AS TABELA, 'COERÊNCIA' AS TIPOLOGIA_TESTE,'CD_LOAN_TAPES_BCE.LT002_INSTRUMENT' AS TABELA_LT,'BU_LOANTAPE_WORK.LT002_INSTRUMENT'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add_fld08 AS CAMPO_IT FROM CD_LOAN_TAPES_BCE.LT002_INSTRUMENT WHERE ref_date='${ref_date}' AND nome_perimetro='Individual Local' AND segmento='ESTR' AND ambito='PM' AND entidade='00100')X INNER JOIN (SELECT instrmnt_id AS CHAVE_SIMUL, add_fld08 AS CAMPO_SIMUL FROM BU_LOANTAPE_WORK.LT002_INSTRUMENT WHERE ref_date='${ref_date}' AND nome_perimetro='Individual Local' AND segmento='ESTR' AND ambito='PM' AND entidade='00100')Y ON X.CHAVE_IT=Y.CHAVE_SIMUL</v>
      </c>
      <c r="N181" s="33" t="str">
        <f t="shared" si="7"/>
        <v>UNION ALL SELECT 'INSTRUMENT' AS TABELA, 'COERÊNCIA' AS TIPOLOGIA_TESTE,'CD_LOAN_TAPES_BCE.LT002_INSTRUMENT' AS TABELA_LT,'BU_LOANTAPE_WORK.LT002_INSTRUMENT'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add_fld08 AS CAMPO_IT FROM CD_LOAN_TAPES_BCE.LT002_INSTRUMENT WHERE ref_date='${ref_date}' AND nome_perimetro='Individual Local' AND segmento='ESTR' AND ambito='PM' AND entidade='00100')X INNER JOIN (SELECT instrmnt_id AS CHAVE_SIMUL, add_fld08 AS CAMPO_SIMUL FROM BU_LOANTAPE_WORK.LT002_INSTRUMENT WHERE ref_date='${ref_date}' AND nome_perimetro='Individual Local' AND segmento='ESTR' AND ambito='PM' AND entidade='00100')Y ON X.CHAVE_IT=Y.CHAVE_SIMUL</v>
      </c>
      <c r="O181" s="35" t="s">
        <v>35</v>
      </c>
    </row>
    <row r="182" spans="1:15">
      <c r="A182" s="57" t="str">
        <f t="shared" si="6"/>
        <v>Instrumentadd_fld09</v>
      </c>
      <c r="B182" s="32" t="s">
        <v>9</v>
      </c>
      <c r="C182" s="32" t="s">
        <v>355</v>
      </c>
      <c r="D182" s="32" t="s">
        <v>5</v>
      </c>
      <c r="E182" s="32" t="str">
        <f>+UPPER('0. Instruções'!$D$35&amp;"."&amp;VLOOKUP(B182,'0. Instruções'!$C$27:$D$32,2,FALSE))</f>
        <v>CD_LOAN_TAPES_BCE.LT002_INSTRUMENT</v>
      </c>
      <c r="F182" s="32" t="str">
        <f>+UPPER('0. Instruções'!$D$36&amp;"."&amp;VLOOKUP(B182,'0. Instruções'!$C$27:$E$32,3,FALSE))</f>
        <v>BU_LOANTAPE_WORK.LT002_INSTRUMENT</v>
      </c>
      <c r="H182" s="32"/>
      <c r="I182" s="32"/>
      <c r="J182" s="32" t="str">
        <f>IF(VLOOKUP(B182,'0. Instruções'!$C$27:$G$32,5,FALSE)=0,
"(SELECT "&amp;VLOOKUP(B182,'0. Instruções'!$C$27:$G$32,4,FALSE)&amp;" AS CHAVE_IT, "&amp;C182&amp;" AS CAMPO_IT FROM "&amp;E182&amp;" WHERE "&amp;'0. Instruções'!$D$43&amp;")X",
"(SELECT "&amp;VLOOKUP(B182,'0. Instruções'!$C$27:$G$32,4,FALSE)&amp;" AS CHAVE_IT1, "&amp;VLOOKUP(B182,'0. Instruções'!$C$27:$G$32,5,FALSE)&amp;" AS CHAVE_IT2, "&amp;C182&amp;" AS CAMPO_IT FROM "&amp;E182&amp;" WHERE "&amp;'0. Instruções'!$D$43&amp;")X")</f>
        <v>(SELECT instrmnt_id AS CHAVE_IT, add_fld09 AS CAMPO_IT FROM CD_LOAN_TAPES_BCE.LT002_INSTRUMENT WHERE ref_date='${ref_date}' AND nome_perimetro='Individual Local' AND segmento='ESTR' AND ambito='PM' AND entidade='00100')X</v>
      </c>
      <c r="K182" s="32" t="str">
        <f>IF(VLOOKUP(B182,'0. Instruções'!$C$27:$G$32,5,FALSE)=0,
"(SELECT "&amp;VLOOKUP(B182,'0. Instruções'!$C$27:$G$32,4,FALSE)&amp;" AS CHAVE_SIMUL, "&amp;C182&amp;" AS CAMPO_SIMUL FROM "&amp;F182&amp;" WHERE "&amp;'0. Instruções'!$D$42&amp;")Y",
"(SELECT "&amp;VLOOKUP(B182,'0. Instruções'!$C$27:$G$32,4,FALSE)&amp;" AS CHAVE_SIMUL1, "&amp;VLOOKUP(B182,'0. Instruções'!$C$27:$G$32,5,FALSE)&amp;" AS CHAVE_SIMUL2, "&amp;C182&amp;" AS CAMPO_SIMUL FROM "&amp;F182&amp;" WHERE "&amp;'0. Instruções'!$D$42&amp;")Y")</f>
        <v>(SELECT instrmnt_id AS CHAVE_SIMUL, add_fld09 AS CAMPO_SIMUL FROM BU_LOANTAPE_WORK.LT002_INSTRUMENT WHERE ref_date='${ref_date}' AND nome_perimetro='Individual Local' AND segmento='ESTR' AND ambito='PM' AND entidade='00100')Y</v>
      </c>
      <c r="L182" s="32" t="str">
        <f>IF(VLOOKUP(B182,'0. Instruções'!$C$27:$G$32,5,FALSE)=0,
"ON X.CHAVE_IT=Y.CHAVE_SIMUL",
"ON X.CHAVE_IT1=Y.CHAVE_SIMUL1 AND X.CHAVE_IT2=Y.CHAVE_SIMUL2")</f>
        <v>ON X.CHAVE_IT=Y.CHAVE_SIMUL</v>
      </c>
      <c r="M182" s="32" t="str">
        <f>+IF(D182="Coerência",+IF(LEFT(H182,5)="FLOAT","SELECT '"&amp;UPPER(B182)&amp;"' AS TABELA, '"&amp;UPPER(D182)&amp;"' AS TIPOLOGIA_TESTE,'"&amp;E182&amp;"' AS TABELA_LT,'"&amp;F182&amp;"' AS TABELA_SIMUL,'"&amp;C182&amp;"'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"&amp;J182&amp;" INNER JOIN "&amp;K182&amp;" "&amp;L182,"SELECT '"&amp;UPPER(B182)&amp;"' AS TABELA, '"&amp;UPPER(D182)&amp;"' AS TIPOLOGIA_TESTE,'"&amp;E182&amp;"' AS TABELA_LT,'"&amp;F182&amp;"' AS TABELA_SIMUL,'"&amp;C182&amp;"'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"&amp;J182&amp;" INNER JOIN "&amp;K182&amp;" "&amp;L182))</f>
        <v>SELECT 'INSTRUMENT' AS TABELA, 'COERÊNCIA' AS TIPOLOGIA_TESTE,'CD_LOAN_TAPES_BCE.LT002_INSTRUMENT' AS TABELA_LT,'BU_LOANTAPE_WORK.LT002_INSTRUMENT'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add_fld09 AS CAMPO_IT FROM CD_LOAN_TAPES_BCE.LT002_INSTRUMENT WHERE ref_date='${ref_date}' AND nome_perimetro='Individual Local' AND segmento='ESTR' AND ambito='PM' AND entidade='00100')X INNER JOIN (SELECT instrmnt_id AS CHAVE_SIMUL, add_fld09 AS CAMPO_SIMUL FROM BU_LOANTAPE_WORK.LT002_INSTRUMENT WHERE ref_date='${ref_date}' AND nome_perimetro='Individual Local' AND segmento='ESTR' AND ambito='PM' AND entidade='00100')Y ON X.CHAVE_IT=Y.CHAVE_SIMUL</v>
      </c>
      <c r="N182" s="33" t="str">
        <f t="shared" si="7"/>
        <v>UNION ALL SELECT 'INSTRUMENT' AS TABELA, 'COERÊNCIA' AS TIPOLOGIA_TESTE,'CD_LOAN_TAPES_BCE.LT002_INSTRUMENT' AS TABELA_LT,'BU_LOANTAPE_WORK.LT002_INSTRUMENT'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add_fld09 AS CAMPO_IT FROM CD_LOAN_TAPES_BCE.LT002_INSTRUMENT WHERE ref_date='${ref_date}' AND nome_perimetro='Individual Local' AND segmento='ESTR' AND ambito='PM' AND entidade='00100')X INNER JOIN (SELECT instrmnt_id AS CHAVE_SIMUL, add_fld09 AS CAMPO_SIMUL FROM BU_LOANTAPE_WORK.LT002_INSTRUMENT WHERE ref_date='${ref_date}' AND nome_perimetro='Individual Local' AND segmento='ESTR' AND ambito='PM' AND entidade='00100')Y ON X.CHAVE_IT=Y.CHAVE_SIMUL</v>
      </c>
      <c r="O182" s="35" t="s">
        <v>35</v>
      </c>
    </row>
    <row r="183" spans="1:15">
      <c r="A183" s="57" t="str">
        <f t="shared" si="6"/>
        <v>Instrumentadd_fld10</v>
      </c>
      <c r="B183" s="32" t="s">
        <v>9</v>
      </c>
      <c r="C183" s="32" t="s">
        <v>356</v>
      </c>
      <c r="D183" s="32" t="s">
        <v>5</v>
      </c>
      <c r="E183" s="32" t="str">
        <f>+UPPER('0. Instruções'!$D$35&amp;"."&amp;VLOOKUP(B183,'0. Instruções'!$C$27:$D$32,2,FALSE))</f>
        <v>CD_LOAN_TAPES_BCE.LT002_INSTRUMENT</v>
      </c>
      <c r="F183" s="32" t="str">
        <f>+UPPER('0. Instruções'!$D$36&amp;"."&amp;VLOOKUP(B183,'0. Instruções'!$C$27:$E$32,3,FALSE))</f>
        <v>BU_LOANTAPE_WORK.LT002_INSTRUMENT</v>
      </c>
      <c r="H183" s="32"/>
      <c r="I183" s="32"/>
      <c r="J183" s="32" t="str">
        <f>IF(VLOOKUP(B183,'0. Instruções'!$C$27:$G$32,5,FALSE)=0,
"(SELECT "&amp;VLOOKUP(B183,'0. Instruções'!$C$27:$G$32,4,FALSE)&amp;" AS CHAVE_IT, "&amp;C183&amp;" AS CAMPO_IT FROM "&amp;E183&amp;" WHERE "&amp;'0. Instruções'!$D$43&amp;")X",
"(SELECT "&amp;VLOOKUP(B183,'0. Instruções'!$C$27:$G$32,4,FALSE)&amp;" AS CHAVE_IT1, "&amp;VLOOKUP(B183,'0. Instruções'!$C$27:$G$32,5,FALSE)&amp;" AS CHAVE_IT2, "&amp;C183&amp;" AS CAMPO_IT FROM "&amp;E183&amp;" WHERE "&amp;'0. Instruções'!$D$43&amp;")X")</f>
        <v>(SELECT instrmnt_id AS CHAVE_IT, add_fld10 AS CAMPO_IT FROM CD_LOAN_TAPES_BCE.LT002_INSTRUMENT WHERE ref_date='${ref_date}' AND nome_perimetro='Individual Local' AND segmento='ESTR' AND ambito='PM' AND entidade='00100')X</v>
      </c>
      <c r="K183" s="32" t="str">
        <f>IF(VLOOKUP(B183,'0. Instruções'!$C$27:$G$32,5,FALSE)=0,
"(SELECT "&amp;VLOOKUP(B183,'0. Instruções'!$C$27:$G$32,4,FALSE)&amp;" AS CHAVE_SIMUL, "&amp;C183&amp;" AS CAMPO_SIMUL FROM "&amp;F183&amp;" WHERE "&amp;'0. Instruções'!$D$42&amp;")Y",
"(SELECT "&amp;VLOOKUP(B183,'0. Instruções'!$C$27:$G$32,4,FALSE)&amp;" AS CHAVE_SIMUL1, "&amp;VLOOKUP(B183,'0. Instruções'!$C$27:$G$32,5,FALSE)&amp;" AS CHAVE_SIMUL2, "&amp;C183&amp;" AS CAMPO_SIMUL FROM "&amp;F183&amp;" WHERE "&amp;'0. Instruções'!$D$42&amp;")Y")</f>
        <v>(SELECT instrmnt_id AS CHAVE_SIMUL, add_fld10 AS CAMPO_SIMUL FROM BU_LOANTAPE_WORK.LT002_INSTRUMENT WHERE ref_date='${ref_date}' AND nome_perimetro='Individual Local' AND segmento='ESTR' AND ambito='PM' AND entidade='00100')Y</v>
      </c>
      <c r="L183" s="32" t="str">
        <f>IF(VLOOKUP(B183,'0. Instruções'!$C$27:$G$32,5,FALSE)=0,
"ON X.CHAVE_IT=Y.CHAVE_SIMUL",
"ON X.CHAVE_IT1=Y.CHAVE_SIMUL1 AND X.CHAVE_IT2=Y.CHAVE_SIMUL2")</f>
        <v>ON X.CHAVE_IT=Y.CHAVE_SIMUL</v>
      </c>
      <c r="M183" s="32" t="str">
        <f>+IF(D183="Coerência",+IF(LEFT(H183,5)="FLOAT","SELECT '"&amp;UPPER(B183)&amp;"' AS TABELA, '"&amp;UPPER(D183)&amp;"' AS TIPOLOGIA_TESTE,'"&amp;E183&amp;"' AS TABELA_LT,'"&amp;F183&amp;"' AS TABELA_SIMUL,'"&amp;C183&amp;"'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"&amp;J183&amp;" INNER JOIN "&amp;K183&amp;" "&amp;L183,"SELECT '"&amp;UPPER(B183)&amp;"' AS TABELA, '"&amp;UPPER(D183)&amp;"' AS TIPOLOGIA_TESTE,'"&amp;E183&amp;"' AS TABELA_LT,'"&amp;F183&amp;"' AS TABELA_SIMUL,'"&amp;C183&amp;"'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"&amp;J183&amp;" INNER JOIN "&amp;K183&amp;" "&amp;L183))</f>
        <v>SELECT 'INSTRUMENT' AS TABELA, 'COERÊNCIA' AS TIPOLOGIA_TESTE,'CD_LOAN_TAPES_BCE.LT002_INSTRUMENT' AS TABELA_LT,'BU_LOANTAPE_WORK.LT002_INSTRUMENT'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add_fld10 AS CAMPO_IT FROM CD_LOAN_TAPES_BCE.LT002_INSTRUMENT WHERE ref_date='${ref_date}' AND nome_perimetro='Individual Local' AND segmento='ESTR' AND ambito='PM' AND entidade='00100')X INNER JOIN (SELECT instrmnt_id AS CHAVE_SIMUL, add_fld10 AS CAMPO_SIMUL FROM BU_LOANTAPE_WORK.LT002_INSTRUMENT WHERE ref_date='${ref_date}' AND nome_perimetro='Individual Local' AND segmento='ESTR' AND ambito='PM' AND entidade='00100')Y ON X.CHAVE_IT=Y.CHAVE_SIMUL</v>
      </c>
      <c r="N183" s="33" t="str">
        <f t="shared" si="7"/>
        <v>UNION ALL SELECT 'INSTRUMENT' AS TABELA, 'COERÊNCIA' AS TIPOLOGIA_TESTE,'CD_LOAN_TAPES_BCE.LT002_INSTRUMENT' AS TABELA_LT,'BU_LOANTAPE_WORK.LT002_INSTRUMENT'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add_fld10 AS CAMPO_IT FROM CD_LOAN_TAPES_BCE.LT002_INSTRUMENT WHERE ref_date='${ref_date}' AND nome_perimetro='Individual Local' AND segmento='ESTR' AND ambito='PM' AND entidade='00100')X INNER JOIN (SELECT instrmnt_id AS CHAVE_SIMUL, add_fld10 AS CAMPO_SIMUL FROM BU_LOANTAPE_WORK.LT002_INSTRUMENT WHERE ref_date='${ref_date}' AND nome_perimetro='Individual Local' AND segmento='ESTR' AND ambito='PM' AND entidade='00100')Y ON X.CHAVE_IT=Y.CHAVE_SIMUL</v>
      </c>
      <c r="O183" s="35" t="s">
        <v>35</v>
      </c>
    </row>
    <row r="184" spans="1:15">
      <c r="A184" s="57" t="str">
        <f t="shared" si="6"/>
        <v>Instrumentrcvd_amrtstn_12m</v>
      </c>
      <c r="B184" s="32" t="s">
        <v>9</v>
      </c>
      <c r="C184" s="32" t="s">
        <v>357</v>
      </c>
      <c r="D184" s="32" t="s">
        <v>5</v>
      </c>
      <c r="E184" s="32" t="str">
        <f>+UPPER('0. Instruções'!$D$35&amp;"."&amp;VLOOKUP(B184,'0. Instruções'!$C$27:$D$32,2,FALSE))</f>
        <v>CD_LOAN_TAPES_BCE.LT002_INSTRUMENT</v>
      </c>
      <c r="F184" s="32" t="str">
        <f>+UPPER('0. Instruções'!$D$36&amp;"."&amp;VLOOKUP(B184,'0. Instruções'!$C$27:$E$32,3,FALSE))</f>
        <v>BU_LOANTAPE_WORK.LT002_INSTRUMENT</v>
      </c>
      <c r="H184" s="32"/>
      <c r="I184" s="32"/>
      <c r="J184" s="32" t="str">
        <f>IF(VLOOKUP(B184,'0. Instruções'!$C$27:$G$32,5,FALSE)=0,
"(SELECT "&amp;VLOOKUP(B184,'0. Instruções'!$C$27:$G$32,4,FALSE)&amp;" AS CHAVE_IT, "&amp;C184&amp;" AS CAMPO_IT FROM "&amp;E184&amp;" WHERE "&amp;'0. Instruções'!$D$43&amp;")X",
"(SELECT "&amp;VLOOKUP(B184,'0. Instruções'!$C$27:$G$32,4,FALSE)&amp;" AS CHAVE_IT1, "&amp;VLOOKUP(B184,'0. Instruções'!$C$27:$G$32,5,FALSE)&amp;" AS CHAVE_IT2, "&amp;C184&amp;" AS CAMPO_IT FROM "&amp;E184&amp;" WHERE "&amp;'0. Instruções'!$D$43&amp;")X")</f>
        <v>(SELECT instrmnt_id AS CHAVE_IT, rcvd_amrtstn_12m AS CAMPO_IT FROM CD_LOAN_TAPES_BCE.LT002_INSTRUMENT WHERE ref_date='${ref_date}' AND nome_perimetro='Individual Local' AND segmento='ESTR' AND ambito='PM' AND entidade='00100')X</v>
      </c>
      <c r="K184" s="32" t="str">
        <f>IF(VLOOKUP(B184,'0. Instruções'!$C$27:$G$32,5,FALSE)=0,
"(SELECT "&amp;VLOOKUP(B184,'0. Instruções'!$C$27:$G$32,4,FALSE)&amp;" AS CHAVE_SIMUL, "&amp;C184&amp;" AS CAMPO_SIMUL FROM "&amp;F184&amp;" WHERE "&amp;'0. Instruções'!$D$42&amp;")Y",
"(SELECT "&amp;VLOOKUP(B184,'0. Instruções'!$C$27:$G$32,4,FALSE)&amp;" AS CHAVE_SIMUL1, "&amp;VLOOKUP(B184,'0. Instruções'!$C$27:$G$32,5,FALSE)&amp;" AS CHAVE_SIMUL2, "&amp;C184&amp;" AS CAMPO_SIMUL FROM "&amp;F184&amp;" WHERE "&amp;'0. Instruções'!$D$42&amp;")Y")</f>
        <v>(SELECT instrmnt_id AS CHAVE_SIMUL, rcvd_amrtstn_12m AS CAMPO_SIMUL FROM BU_LOANTAPE_WORK.LT002_INSTRUMENT WHERE ref_date='${ref_date}' AND nome_perimetro='Individual Local' AND segmento='ESTR' AND ambito='PM' AND entidade='00100')Y</v>
      </c>
      <c r="L184" s="32" t="str">
        <f>IF(VLOOKUP(B184,'0. Instruções'!$C$27:$G$32,5,FALSE)=0,
"ON X.CHAVE_IT=Y.CHAVE_SIMUL",
"ON X.CHAVE_IT1=Y.CHAVE_SIMUL1 AND X.CHAVE_IT2=Y.CHAVE_SIMUL2")</f>
        <v>ON X.CHAVE_IT=Y.CHAVE_SIMUL</v>
      </c>
      <c r="M184" s="32" t="str">
        <f>+IF(D184="Coerência",+IF(LEFT(H184,5)="FLOAT","SELECT '"&amp;UPPER(B184)&amp;"' AS TABELA, '"&amp;UPPER(D184)&amp;"' AS TIPOLOGIA_TESTE,'"&amp;E184&amp;"' AS TABELA_LT,'"&amp;F184&amp;"' AS TABELA_SIMUL,'"&amp;C184&amp;"'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"&amp;J184&amp;" INNER JOIN "&amp;K184&amp;" "&amp;L184,"SELECT '"&amp;UPPER(B184)&amp;"' AS TABELA, '"&amp;UPPER(D184)&amp;"' AS TIPOLOGIA_TESTE,'"&amp;E184&amp;"' AS TABELA_LT,'"&amp;F184&amp;"' AS TABELA_SIMUL,'"&amp;C184&amp;"'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"&amp;J184&amp;" INNER JOIN "&amp;K184&amp;" "&amp;L184))</f>
        <v>SELECT 'INSTRUMENT' AS TABELA, 'COERÊNCIA' AS TIPOLOGIA_TESTE,'CD_LOAN_TAPES_BCE.LT002_INSTRUMENT' AS TABELA_LT,'BU_LOANTAPE_WORK.LT002_INSTRUMENT' AS TABELA_SIMUL,'rcvd_amrtstn_12m'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rcvd_amrtstn_12m AS CAMPO_IT FROM CD_LOAN_TAPES_BCE.LT002_INSTRUMENT WHERE ref_date='${ref_date}' AND nome_perimetro='Individual Local' AND segmento='ESTR' AND ambito='PM' AND entidade='00100')X INNER JOIN (SELECT instrmnt_id AS CHAVE_SIMUL, rcvd_amrtstn_12m AS CAMPO_SIMUL FROM BU_LOANTAPE_WORK.LT002_INSTRUMENT WHERE ref_date='${ref_date}' AND nome_perimetro='Individual Local' AND segmento='ESTR' AND ambito='PM' AND entidade='00100')Y ON X.CHAVE_IT=Y.CHAVE_SIMUL</v>
      </c>
      <c r="N184" s="33" t="str">
        <f t="shared" si="7"/>
        <v>UNION ALL SELECT 'INSTRUMENT' AS TABELA, 'COERÊNCIA' AS TIPOLOGIA_TESTE,'CD_LOAN_TAPES_BCE.LT002_INSTRUMENT' AS TABELA_LT,'BU_LOANTAPE_WORK.LT002_INSTRUMENT' AS TABELA_SIMUL,'rcvd_amrtstn_12m'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rcvd_amrtstn_12m AS CAMPO_IT FROM CD_LOAN_TAPES_BCE.LT002_INSTRUMENT WHERE ref_date='${ref_date}' AND nome_perimetro='Individual Local' AND segmento='ESTR' AND ambito='PM' AND entidade='00100')X INNER JOIN (SELECT instrmnt_id AS CHAVE_SIMUL, rcvd_amrtstn_12m AS CAMPO_SIMUL FROM BU_LOANTAPE_WORK.LT002_INSTRUMENT WHERE ref_date='${ref_date}' AND nome_perimetro='Individual Local' AND segmento='ESTR' AND ambito='PM' AND entidade='00100')Y ON X.CHAVE_IT=Y.CHAVE_SIMUL</v>
      </c>
      <c r="O184" s="35" t="s">
        <v>35</v>
      </c>
    </row>
    <row r="185" spans="1:15">
      <c r="A185" s="57" t="str">
        <f t="shared" si="6"/>
        <v>Instrumentrcvd_amrtstn_24m</v>
      </c>
      <c r="B185" s="32" t="s">
        <v>9</v>
      </c>
      <c r="C185" s="32" t="s">
        <v>358</v>
      </c>
      <c r="D185" s="32" t="s">
        <v>5</v>
      </c>
      <c r="E185" s="32" t="str">
        <f>+UPPER('0. Instruções'!$D$35&amp;"."&amp;VLOOKUP(B185,'0. Instruções'!$C$27:$D$32,2,FALSE))</f>
        <v>CD_LOAN_TAPES_BCE.LT002_INSTRUMENT</v>
      </c>
      <c r="F185" s="32" t="str">
        <f>+UPPER('0. Instruções'!$D$36&amp;"."&amp;VLOOKUP(B185,'0. Instruções'!$C$27:$E$32,3,FALSE))</f>
        <v>BU_LOANTAPE_WORK.LT002_INSTRUMENT</v>
      </c>
      <c r="H185" s="32"/>
      <c r="I185" s="32"/>
      <c r="J185" s="32" t="str">
        <f>IF(VLOOKUP(B185,'0. Instruções'!$C$27:$G$32,5,FALSE)=0,
"(SELECT "&amp;VLOOKUP(B185,'0. Instruções'!$C$27:$G$32,4,FALSE)&amp;" AS CHAVE_IT, "&amp;C185&amp;" AS CAMPO_IT FROM "&amp;E185&amp;" WHERE "&amp;'0. Instruções'!$D$43&amp;")X",
"(SELECT "&amp;VLOOKUP(B185,'0. Instruções'!$C$27:$G$32,4,FALSE)&amp;" AS CHAVE_IT1, "&amp;VLOOKUP(B185,'0. Instruções'!$C$27:$G$32,5,FALSE)&amp;" AS CHAVE_IT2, "&amp;C185&amp;" AS CAMPO_IT FROM "&amp;E185&amp;" WHERE "&amp;'0. Instruções'!$D$43&amp;")X")</f>
        <v>(SELECT instrmnt_id AS CHAVE_IT, rcvd_amrtstn_24m AS CAMPO_IT FROM CD_LOAN_TAPES_BCE.LT002_INSTRUMENT WHERE ref_date='${ref_date}' AND nome_perimetro='Individual Local' AND segmento='ESTR' AND ambito='PM' AND entidade='00100')X</v>
      </c>
      <c r="K185" s="32" t="str">
        <f>IF(VLOOKUP(B185,'0. Instruções'!$C$27:$G$32,5,FALSE)=0,
"(SELECT "&amp;VLOOKUP(B185,'0. Instruções'!$C$27:$G$32,4,FALSE)&amp;" AS CHAVE_SIMUL, "&amp;C185&amp;" AS CAMPO_SIMUL FROM "&amp;F185&amp;" WHERE "&amp;'0. Instruções'!$D$42&amp;")Y",
"(SELECT "&amp;VLOOKUP(B185,'0. Instruções'!$C$27:$G$32,4,FALSE)&amp;" AS CHAVE_SIMUL1, "&amp;VLOOKUP(B185,'0. Instruções'!$C$27:$G$32,5,FALSE)&amp;" AS CHAVE_SIMUL2, "&amp;C185&amp;" AS CAMPO_SIMUL FROM "&amp;F185&amp;" WHERE "&amp;'0. Instruções'!$D$42&amp;")Y")</f>
        <v>(SELECT instrmnt_id AS CHAVE_SIMUL, rcvd_amrtstn_24m AS CAMPO_SIMUL FROM BU_LOANTAPE_WORK.LT002_INSTRUMENT WHERE ref_date='${ref_date}' AND nome_perimetro='Individual Local' AND segmento='ESTR' AND ambito='PM' AND entidade='00100')Y</v>
      </c>
      <c r="L185" s="32" t="str">
        <f>IF(VLOOKUP(B185,'0. Instruções'!$C$27:$G$32,5,FALSE)=0,
"ON X.CHAVE_IT=Y.CHAVE_SIMUL",
"ON X.CHAVE_IT1=Y.CHAVE_SIMUL1 AND X.CHAVE_IT2=Y.CHAVE_SIMUL2")</f>
        <v>ON X.CHAVE_IT=Y.CHAVE_SIMUL</v>
      </c>
      <c r="M185" s="32" t="str">
        <f>+IF(D185="Coerência",+IF(LEFT(H185,5)="FLOAT","SELECT '"&amp;UPPER(B185)&amp;"' AS TABELA, '"&amp;UPPER(D185)&amp;"' AS TIPOLOGIA_TESTE,'"&amp;E185&amp;"' AS TABELA_LT,'"&amp;F185&amp;"' AS TABELA_SIMUL,'"&amp;C185&amp;"'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"&amp;J185&amp;" INNER JOIN "&amp;K185&amp;" "&amp;L185,"SELECT '"&amp;UPPER(B185)&amp;"' AS TABELA, '"&amp;UPPER(D185)&amp;"' AS TIPOLOGIA_TESTE,'"&amp;E185&amp;"' AS TABELA_LT,'"&amp;F185&amp;"' AS TABELA_SIMUL,'"&amp;C185&amp;"'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"&amp;J185&amp;" INNER JOIN "&amp;K185&amp;" "&amp;L185))</f>
        <v>SELECT 'INSTRUMENT' AS TABELA, 'COERÊNCIA' AS TIPOLOGIA_TESTE,'CD_LOAN_TAPES_BCE.LT002_INSTRUMENT' AS TABELA_LT,'BU_LOANTAPE_WORK.LT002_INSTRUMENT' AS TABELA_SIMUL,'rcvd_amrtstn_24m'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rcvd_amrtstn_24m AS CAMPO_IT FROM CD_LOAN_TAPES_BCE.LT002_INSTRUMENT WHERE ref_date='${ref_date}' AND nome_perimetro='Individual Local' AND segmento='ESTR' AND ambito='PM' AND entidade='00100')X INNER JOIN (SELECT instrmnt_id AS CHAVE_SIMUL, rcvd_amrtstn_24m AS CAMPO_SIMUL FROM BU_LOANTAPE_WORK.LT002_INSTRUMENT WHERE ref_date='${ref_date}' AND nome_perimetro='Individual Local' AND segmento='ESTR' AND ambito='PM' AND entidade='00100')Y ON X.CHAVE_IT=Y.CHAVE_SIMUL</v>
      </c>
      <c r="N185" s="33" t="str">
        <f t="shared" si="7"/>
        <v>UNION ALL SELECT 'INSTRUMENT' AS TABELA, 'COERÊNCIA' AS TIPOLOGIA_TESTE,'CD_LOAN_TAPES_BCE.LT002_INSTRUMENT' AS TABELA_LT,'BU_LOANTAPE_WORK.LT002_INSTRUMENT' AS TABELA_SIMUL,'rcvd_amrtstn_24m'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rcvd_amrtstn_24m AS CAMPO_IT FROM CD_LOAN_TAPES_BCE.LT002_INSTRUMENT WHERE ref_date='${ref_date}' AND nome_perimetro='Individual Local' AND segmento='ESTR' AND ambito='PM' AND entidade='00100')X INNER JOIN (SELECT instrmnt_id AS CHAVE_SIMUL, rcvd_amrtstn_24m AS CAMPO_SIMUL FROM BU_LOANTAPE_WORK.LT002_INSTRUMENT WHERE ref_date='${ref_date}' AND nome_perimetro='Individual Local' AND segmento='ESTR' AND ambito='PM' AND entidade='00100')Y ON X.CHAVE_IT=Y.CHAVE_SIMUL</v>
      </c>
      <c r="O185" s="35" t="s">
        <v>35</v>
      </c>
    </row>
    <row r="186" spans="1:15">
      <c r="A186" s="57" t="str">
        <f t="shared" si="6"/>
        <v>Instrumentrcvd_intrst_12m</v>
      </c>
      <c r="B186" s="32" t="s">
        <v>9</v>
      </c>
      <c r="C186" s="32" t="s">
        <v>359</v>
      </c>
      <c r="D186" s="32" t="s">
        <v>5</v>
      </c>
      <c r="E186" s="32" t="str">
        <f>+UPPER('0. Instruções'!$D$35&amp;"."&amp;VLOOKUP(B186,'0. Instruções'!$C$27:$D$32,2,FALSE))</f>
        <v>CD_LOAN_TAPES_BCE.LT002_INSTRUMENT</v>
      </c>
      <c r="F186" s="32" t="str">
        <f>+UPPER('0. Instruções'!$D$36&amp;"."&amp;VLOOKUP(B186,'0. Instruções'!$C$27:$E$32,3,FALSE))</f>
        <v>BU_LOANTAPE_WORK.LT002_INSTRUMENT</v>
      </c>
      <c r="H186" s="32"/>
      <c r="I186" s="32"/>
      <c r="J186" s="32" t="str">
        <f>IF(VLOOKUP(B186,'0. Instruções'!$C$27:$G$32,5,FALSE)=0,
"(SELECT "&amp;VLOOKUP(B186,'0. Instruções'!$C$27:$G$32,4,FALSE)&amp;" AS CHAVE_IT, "&amp;C186&amp;" AS CAMPO_IT FROM "&amp;E186&amp;" WHERE "&amp;'0. Instruções'!$D$43&amp;")X",
"(SELECT "&amp;VLOOKUP(B186,'0. Instruções'!$C$27:$G$32,4,FALSE)&amp;" AS CHAVE_IT1, "&amp;VLOOKUP(B186,'0. Instruções'!$C$27:$G$32,5,FALSE)&amp;" AS CHAVE_IT2, "&amp;C186&amp;" AS CAMPO_IT FROM "&amp;E186&amp;" WHERE "&amp;'0. Instruções'!$D$43&amp;")X")</f>
        <v>(SELECT instrmnt_id AS CHAVE_IT, rcvd_intrst_12m AS CAMPO_IT FROM CD_LOAN_TAPES_BCE.LT002_INSTRUMENT WHERE ref_date='${ref_date}' AND nome_perimetro='Individual Local' AND segmento='ESTR' AND ambito='PM' AND entidade='00100')X</v>
      </c>
      <c r="K186" s="32" t="str">
        <f>IF(VLOOKUP(B186,'0. Instruções'!$C$27:$G$32,5,FALSE)=0,
"(SELECT "&amp;VLOOKUP(B186,'0. Instruções'!$C$27:$G$32,4,FALSE)&amp;" AS CHAVE_SIMUL, "&amp;C186&amp;" AS CAMPO_SIMUL FROM "&amp;F186&amp;" WHERE "&amp;'0. Instruções'!$D$42&amp;")Y",
"(SELECT "&amp;VLOOKUP(B186,'0. Instruções'!$C$27:$G$32,4,FALSE)&amp;" AS CHAVE_SIMUL1, "&amp;VLOOKUP(B186,'0. Instruções'!$C$27:$G$32,5,FALSE)&amp;" AS CHAVE_SIMUL2, "&amp;C186&amp;" AS CAMPO_SIMUL FROM "&amp;F186&amp;" WHERE "&amp;'0. Instruções'!$D$42&amp;")Y")</f>
        <v>(SELECT instrmnt_id AS CHAVE_SIMUL, rcvd_intrst_12m AS CAMPO_SIMUL FROM BU_LOANTAPE_WORK.LT002_INSTRUMENT WHERE ref_date='${ref_date}' AND nome_perimetro='Individual Local' AND segmento='ESTR' AND ambito='PM' AND entidade='00100')Y</v>
      </c>
      <c r="L186" s="32" t="str">
        <f>IF(VLOOKUP(B186,'0. Instruções'!$C$27:$G$32,5,FALSE)=0,
"ON X.CHAVE_IT=Y.CHAVE_SIMUL",
"ON X.CHAVE_IT1=Y.CHAVE_SIMUL1 AND X.CHAVE_IT2=Y.CHAVE_SIMUL2")</f>
        <v>ON X.CHAVE_IT=Y.CHAVE_SIMUL</v>
      </c>
      <c r="M186" s="32" t="str">
        <f>+IF(D186="Coerência",+IF(LEFT(H186,5)="FLOAT","SELECT '"&amp;UPPER(B186)&amp;"' AS TABELA, '"&amp;UPPER(D186)&amp;"' AS TIPOLOGIA_TESTE,'"&amp;E186&amp;"' AS TABELA_LT,'"&amp;F186&amp;"' AS TABELA_SIMUL,'"&amp;C186&amp;"'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"&amp;J186&amp;" INNER JOIN "&amp;K186&amp;" "&amp;L186,"SELECT '"&amp;UPPER(B186)&amp;"' AS TABELA, '"&amp;UPPER(D186)&amp;"' AS TIPOLOGIA_TESTE,'"&amp;E186&amp;"' AS TABELA_LT,'"&amp;F186&amp;"' AS TABELA_SIMUL,'"&amp;C186&amp;"'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"&amp;J186&amp;" INNER JOIN "&amp;K186&amp;" "&amp;L186))</f>
        <v>SELECT 'INSTRUMENT' AS TABELA, 'COERÊNCIA' AS TIPOLOGIA_TESTE,'CD_LOAN_TAPES_BCE.LT002_INSTRUMENT' AS TABELA_LT,'BU_LOANTAPE_WORK.LT002_INSTRUMENT' AS TABELA_SIMUL,'rcvd_intrst_12m'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rcvd_intrst_12m AS CAMPO_IT FROM CD_LOAN_TAPES_BCE.LT002_INSTRUMENT WHERE ref_date='${ref_date}' AND nome_perimetro='Individual Local' AND segmento='ESTR' AND ambito='PM' AND entidade='00100')X INNER JOIN (SELECT instrmnt_id AS CHAVE_SIMUL, rcvd_intrst_12m AS CAMPO_SIMUL FROM BU_LOANTAPE_WORK.LT002_INSTRUMENT WHERE ref_date='${ref_date}' AND nome_perimetro='Individual Local' AND segmento='ESTR' AND ambito='PM' AND entidade='00100')Y ON X.CHAVE_IT=Y.CHAVE_SIMUL</v>
      </c>
      <c r="N186" s="33" t="str">
        <f t="shared" si="7"/>
        <v>UNION ALL SELECT 'INSTRUMENT' AS TABELA, 'COERÊNCIA' AS TIPOLOGIA_TESTE,'CD_LOAN_TAPES_BCE.LT002_INSTRUMENT' AS TABELA_LT,'BU_LOANTAPE_WORK.LT002_INSTRUMENT' AS TABELA_SIMUL,'rcvd_intrst_12m'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rcvd_intrst_12m AS CAMPO_IT FROM CD_LOAN_TAPES_BCE.LT002_INSTRUMENT WHERE ref_date='${ref_date}' AND nome_perimetro='Individual Local' AND segmento='ESTR' AND ambito='PM' AND entidade='00100')X INNER JOIN (SELECT instrmnt_id AS CHAVE_SIMUL, rcvd_intrst_12m AS CAMPO_SIMUL FROM BU_LOANTAPE_WORK.LT002_INSTRUMENT WHERE ref_date='${ref_date}' AND nome_perimetro='Individual Local' AND segmento='ESTR' AND ambito='PM' AND entidade='00100')Y ON X.CHAVE_IT=Y.CHAVE_SIMUL</v>
      </c>
      <c r="O186" s="35" t="s">
        <v>35</v>
      </c>
    </row>
    <row r="187" spans="1:15">
      <c r="A187" s="57" t="str">
        <f t="shared" si="6"/>
        <v>Instrumentrcvd_intrst_24m</v>
      </c>
      <c r="B187" s="32" t="s">
        <v>9</v>
      </c>
      <c r="C187" s="32" t="s">
        <v>360</v>
      </c>
      <c r="D187" s="32" t="s">
        <v>5</v>
      </c>
      <c r="E187" s="32" t="str">
        <f>+UPPER('0. Instruções'!$D$35&amp;"."&amp;VLOOKUP(B187,'0. Instruções'!$C$27:$D$32,2,FALSE))</f>
        <v>CD_LOAN_TAPES_BCE.LT002_INSTRUMENT</v>
      </c>
      <c r="F187" s="32" t="str">
        <f>+UPPER('0. Instruções'!$D$36&amp;"."&amp;VLOOKUP(B187,'0. Instruções'!$C$27:$E$32,3,FALSE))</f>
        <v>BU_LOANTAPE_WORK.LT002_INSTRUMENT</v>
      </c>
      <c r="H187" s="32"/>
      <c r="I187" s="32"/>
      <c r="J187" s="32" t="str">
        <f>IF(VLOOKUP(B187,'0. Instruções'!$C$27:$G$32,5,FALSE)=0,
"(SELECT "&amp;VLOOKUP(B187,'0. Instruções'!$C$27:$G$32,4,FALSE)&amp;" AS CHAVE_IT, "&amp;C187&amp;" AS CAMPO_IT FROM "&amp;E187&amp;" WHERE "&amp;'0. Instruções'!$D$43&amp;")X",
"(SELECT "&amp;VLOOKUP(B187,'0. Instruções'!$C$27:$G$32,4,FALSE)&amp;" AS CHAVE_IT1, "&amp;VLOOKUP(B187,'0. Instruções'!$C$27:$G$32,5,FALSE)&amp;" AS CHAVE_IT2, "&amp;C187&amp;" AS CAMPO_IT FROM "&amp;E187&amp;" WHERE "&amp;'0. Instruções'!$D$43&amp;")X")</f>
        <v>(SELECT instrmnt_id AS CHAVE_IT, rcvd_intrst_24m AS CAMPO_IT FROM CD_LOAN_TAPES_BCE.LT002_INSTRUMENT WHERE ref_date='${ref_date}' AND nome_perimetro='Individual Local' AND segmento='ESTR' AND ambito='PM' AND entidade='00100')X</v>
      </c>
      <c r="K187" s="32" t="str">
        <f>IF(VLOOKUP(B187,'0. Instruções'!$C$27:$G$32,5,FALSE)=0,
"(SELECT "&amp;VLOOKUP(B187,'0. Instruções'!$C$27:$G$32,4,FALSE)&amp;" AS CHAVE_SIMUL, "&amp;C187&amp;" AS CAMPO_SIMUL FROM "&amp;F187&amp;" WHERE "&amp;'0. Instruções'!$D$42&amp;")Y",
"(SELECT "&amp;VLOOKUP(B187,'0. Instruções'!$C$27:$G$32,4,FALSE)&amp;" AS CHAVE_SIMUL1, "&amp;VLOOKUP(B187,'0. Instruções'!$C$27:$G$32,5,FALSE)&amp;" AS CHAVE_SIMUL2, "&amp;C187&amp;" AS CAMPO_SIMUL FROM "&amp;F187&amp;" WHERE "&amp;'0. Instruções'!$D$42&amp;")Y")</f>
        <v>(SELECT instrmnt_id AS CHAVE_SIMUL, rcvd_intrst_24m AS CAMPO_SIMUL FROM BU_LOANTAPE_WORK.LT002_INSTRUMENT WHERE ref_date='${ref_date}' AND nome_perimetro='Individual Local' AND segmento='ESTR' AND ambito='PM' AND entidade='00100')Y</v>
      </c>
      <c r="L187" s="32" t="str">
        <f>IF(VLOOKUP(B187,'0. Instruções'!$C$27:$G$32,5,FALSE)=0,
"ON X.CHAVE_IT=Y.CHAVE_SIMUL",
"ON X.CHAVE_IT1=Y.CHAVE_SIMUL1 AND X.CHAVE_IT2=Y.CHAVE_SIMUL2")</f>
        <v>ON X.CHAVE_IT=Y.CHAVE_SIMUL</v>
      </c>
      <c r="M187" s="32" t="str">
        <f>+IF(D187="Coerência",+IF(LEFT(H187,5)="FLOAT","SELECT '"&amp;UPPER(B187)&amp;"' AS TABELA, '"&amp;UPPER(D187)&amp;"' AS TIPOLOGIA_TESTE,'"&amp;E187&amp;"' AS TABELA_LT,'"&amp;F187&amp;"' AS TABELA_SIMUL,'"&amp;C187&amp;"'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"&amp;J187&amp;" INNER JOIN "&amp;K187&amp;" "&amp;L187,"SELECT '"&amp;UPPER(B187)&amp;"' AS TABELA, '"&amp;UPPER(D187)&amp;"' AS TIPOLOGIA_TESTE,'"&amp;E187&amp;"' AS TABELA_LT,'"&amp;F187&amp;"' AS TABELA_SIMUL,'"&amp;C187&amp;"'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"&amp;J187&amp;" INNER JOIN "&amp;K187&amp;" "&amp;L187))</f>
        <v>SELECT 'INSTRUMENT' AS TABELA, 'COERÊNCIA' AS TIPOLOGIA_TESTE,'CD_LOAN_TAPES_BCE.LT002_INSTRUMENT' AS TABELA_LT,'BU_LOANTAPE_WORK.LT002_INSTRUMENT' AS TABELA_SIMUL,'rcvd_intrst_24m'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rcvd_intrst_24m AS CAMPO_IT FROM CD_LOAN_TAPES_BCE.LT002_INSTRUMENT WHERE ref_date='${ref_date}' AND nome_perimetro='Individual Local' AND segmento='ESTR' AND ambito='PM' AND entidade='00100')X INNER JOIN (SELECT instrmnt_id AS CHAVE_SIMUL, rcvd_intrst_24m AS CAMPO_SIMUL FROM BU_LOANTAPE_WORK.LT002_INSTRUMENT WHERE ref_date='${ref_date}' AND nome_perimetro='Individual Local' AND segmento='ESTR' AND ambito='PM' AND entidade='00100')Y ON X.CHAVE_IT=Y.CHAVE_SIMUL</v>
      </c>
      <c r="N187" s="33" t="str">
        <f t="shared" si="7"/>
        <v>UNION ALL SELECT 'INSTRUMENT' AS TABELA, 'COERÊNCIA' AS TIPOLOGIA_TESTE,'CD_LOAN_TAPES_BCE.LT002_INSTRUMENT' AS TABELA_LT,'BU_LOANTAPE_WORK.LT002_INSTRUMENT' AS TABELA_SIMUL,'rcvd_intrst_24m'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rcvd_intrst_24m AS CAMPO_IT FROM CD_LOAN_TAPES_BCE.LT002_INSTRUMENT WHERE ref_date='${ref_date}' AND nome_perimetro='Individual Local' AND segmento='ESTR' AND ambito='PM' AND entidade='00100')X INNER JOIN (SELECT instrmnt_id AS CHAVE_SIMUL, rcvd_intrst_24m AS CAMPO_SIMUL FROM BU_LOANTAPE_WORK.LT002_INSTRUMENT WHERE ref_date='${ref_date}' AND nome_perimetro='Individual Local' AND segmento='ESTR' AND ambito='PM' AND entidade='00100')Y ON X.CHAVE_IT=Y.CHAVE_SIMUL</v>
      </c>
      <c r="O187" s="35" t="s">
        <v>35</v>
      </c>
    </row>
    <row r="188" spans="1:15">
      <c r="A188" s="57" t="str">
        <f t="shared" si="6"/>
        <v>Instrumentsyndct_rl</v>
      </c>
      <c r="B188" s="32" t="s">
        <v>9</v>
      </c>
      <c r="C188" s="32" t="s">
        <v>361</v>
      </c>
      <c r="D188" s="32" t="s">
        <v>5</v>
      </c>
      <c r="E188" s="32" t="str">
        <f>+UPPER('0. Instruções'!$D$35&amp;"."&amp;VLOOKUP(B188,'0. Instruções'!$C$27:$D$32,2,FALSE))</f>
        <v>CD_LOAN_TAPES_BCE.LT002_INSTRUMENT</v>
      </c>
      <c r="F188" s="32" t="str">
        <f>+UPPER('0. Instruções'!$D$36&amp;"."&amp;VLOOKUP(B188,'0. Instruções'!$C$27:$E$32,3,FALSE))</f>
        <v>BU_LOANTAPE_WORK.LT002_INSTRUMENT</v>
      </c>
      <c r="H188" s="32"/>
      <c r="I188" s="32"/>
      <c r="J188" s="32" t="str">
        <f>IF(VLOOKUP(B188,'0. Instruções'!$C$27:$G$32,5,FALSE)=0,
"(SELECT "&amp;VLOOKUP(B188,'0. Instruções'!$C$27:$G$32,4,FALSE)&amp;" AS CHAVE_IT, "&amp;C188&amp;" AS CAMPO_IT FROM "&amp;E188&amp;" WHERE "&amp;'0. Instruções'!$D$43&amp;")X",
"(SELECT "&amp;VLOOKUP(B188,'0. Instruções'!$C$27:$G$32,4,FALSE)&amp;" AS CHAVE_IT1, "&amp;VLOOKUP(B188,'0. Instruções'!$C$27:$G$32,5,FALSE)&amp;" AS CHAVE_IT2, "&amp;C188&amp;" AS CAMPO_IT FROM "&amp;E188&amp;" WHERE "&amp;'0. Instruções'!$D$43&amp;")X")</f>
        <v>(SELECT instrmnt_id AS CHAVE_IT, syndct_rl AS CAMPO_IT FROM CD_LOAN_TAPES_BCE.LT002_INSTRUMENT WHERE ref_date='${ref_date}' AND nome_perimetro='Individual Local' AND segmento='ESTR' AND ambito='PM' AND entidade='00100')X</v>
      </c>
      <c r="K188" s="32" t="str">
        <f>IF(VLOOKUP(B188,'0. Instruções'!$C$27:$G$32,5,FALSE)=0,
"(SELECT "&amp;VLOOKUP(B188,'0. Instruções'!$C$27:$G$32,4,FALSE)&amp;" AS CHAVE_SIMUL, "&amp;C188&amp;" AS CAMPO_SIMUL FROM "&amp;F188&amp;" WHERE "&amp;'0. Instruções'!$D$42&amp;")Y",
"(SELECT "&amp;VLOOKUP(B188,'0. Instruções'!$C$27:$G$32,4,FALSE)&amp;" AS CHAVE_SIMUL1, "&amp;VLOOKUP(B188,'0. Instruções'!$C$27:$G$32,5,FALSE)&amp;" AS CHAVE_SIMUL2, "&amp;C188&amp;" AS CAMPO_SIMUL FROM "&amp;F188&amp;" WHERE "&amp;'0. Instruções'!$D$42&amp;")Y")</f>
        <v>(SELECT instrmnt_id AS CHAVE_SIMUL, syndct_rl AS CAMPO_SIMUL FROM BU_LOANTAPE_WORK.LT002_INSTRUMENT WHERE ref_date='${ref_date}' AND nome_perimetro='Individual Local' AND segmento='ESTR' AND ambito='PM' AND entidade='00100')Y</v>
      </c>
      <c r="L188" s="32" t="str">
        <f>IF(VLOOKUP(B188,'0. Instruções'!$C$27:$G$32,5,FALSE)=0,
"ON X.CHAVE_IT=Y.CHAVE_SIMUL",
"ON X.CHAVE_IT1=Y.CHAVE_SIMUL1 AND X.CHAVE_IT2=Y.CHAVE_SIMUL2")</f>
        <v>ON X.CHAVE_IT=Y.CHAVE_SIMUL</v>
      </c>
      <c r="M188" s="32" t="str">
        <f>+IF(D188="Coerência",+IF(LEFT(H188,5)="FLOAT","SELECT '"&amp;UPPER(B188)&amp;"' AS TABELA, '"&amp;UPPER(D188)&amp;"' AS TIPOLOGIA_TESTE,'"&amp;E188&amp;"' AS TABELA_LT,'"&amp;F188&amp;"' AS TABELA_SIMUL,'"&amp;C188&amp;"'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"&amp;J188&amp;" INNER JOIN "&amp;K188&amp;" "&amp;L188,"SELECT '"&amp;UPPER(B188)&amp;"' AS TABELA, '"&amp;UPPER(D188)&amp;"' AS TIPOLOGIA_TESTE,'"&amp;E188&amp;"' AS TABELA_LT,'"&amp;F188&amp;"' AS TABELA_SIMUL,'"&amp;C188&amp;"'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"&amp;J188&amp;" INNER JOIN "&amp;K188&amp;" "&amp;L188))</f>
        <v>SELECT 'INSTRUMENT' AS TABELA, 'COERÊNCIA' AS TIPOLOGIA_TESTE,'CD_LOAN_TAPES_BCE.LT002_INSTRUMENT' AS TABELA_LT,'BU_LOANTAPE_WORK.LT002_INSTRUMENT' AS TABELA_SIMUL,'syndct_rl'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syndct_rl AS CAMPO_IT FROM CD_LOAN_TAPES_BCE.LT002_INSTRUMENT WHERE ref_date='${ref_date}' AND nome_perimetro='Individual Local' AND segmento='ESTR' AND ambito='PM' AND entidade='00100')X INNER JOIN (SELECT instrmnt_id AS CHAVE_SIMUL, syndct_rl AS CAMPO_SIMUL FROM BU_LOANTAPE_WORK.LT002_INSTRUMENT WHERE ref_date='${ref_date}' AND nome_perimetro='Individual Local' AND segmento='ESTR' AND ambito='PM' AND entidade='00100')Y ON X.CHAVE_IT=Y.CHAVE_SIMUL</v>
      </c>
      <c r="N188" s="33" t="str">
        <f t="shared" si="7"/>
        <v>UNION ALL SELECT 'INSTRUMENT' AS TABELA, 'COERÊNCIA' AS TIPOLOGIA_TESTE,'CD_LOAN_TAPES_BCE.LT002_INSTRUMENT' AS TABELA_LT,'BU_LOANTAPE_WORK.LT002_INSTRUMENT' AS TABELA_SIMUL,'syndct_rl'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syndct_rl AS CAMPO_IT FROM CD_LOAN_TAPES_BCE.LT002_INSTRUMENT WHERE ref_date='${ref_date}' AND nome_perimetro='Individual Local' AND segmento='ESTR' AND ambito='PM' AND entidade='00100')X INNER JOIN (SELECT instrmnt_id AS CHAVE_SIMUL, syndct_rl AS CAMPO_SIMUL FROM BU_LOANTAPE_WORK.LT002_INSTRUMENT WHERE ref_date='${ref_date}' AND nome_perimetro='Individual Local' AND segmento='ESTR' AND ambito='PM' AND entidade='00100')Y ON X.CHAVE_IT=Y.CHAVE_SIMUL</v>
      </c>
      <c r="O188" s="35" t="s">
        <v>35</v>
      </c>
    </row>
    <row r="189" spans="1:15">
      <c r="A189" s="57" t="str">
        <f t="shared" si="6"/>
        <v>Instrumentsyndctd_agnt</v>
      </c>
      <c r="B189" s="32" t="s">
        <v>9</v>
      </c>
      <c r="C189" s="32" t="s">
        <v>362</v>
      </c>
      <c r="D189" s="32" t="s">
        <v>5</v>
      </c>
      <c r="E189" s="32" t="str">
        <f>+UPPER('0. Instruções'!$D$35&amp;"."&amp;VLOOKUP(B189,'0. Instruções'!$C$27:$D$32,2,FALSE))</f>
        <v>CD_LOAN_TAPES_BCE.LT002_INSTRUMENT</v>
      </c>
      <c r="F189" s="32" t="str">
        <f>+UPPER('0. Instruções'!$D$36&amp;"."&amp;VLOOKUP(B189,'0. Instruções'!$C$27:$E$32,3,FALSE))</f>
        <v>BU_LOANTAPE_WORK.LT002_INSTRUMENT</v>
      </c>
      <c r="H189" s="32"/>
      <c r="I189" s="32"/>
      <c r="J189" s="32" t="str">
        <f>IF(VLOOKUP(B189,'0. Instruções'!$C$27:$G$32,5,FALSE)=0,
"(SELECT "&amp;VLOOKUP(B189,'0. Instruções'!$C$27:$G$32,4,FALSE)&amp;" AS CHAVE_IT, "&amp;C189&amp;" AS CAMPO_IT FROM "&amp;E189&amp;" WHERE "&amp;'0. Instruções'!$D$43&amp;")X",
"(SELECT "&amp;VLOOKUP(B189,'0. Instruções'!$C$27:$G$32,4,FALSE)&amp;" AS CHAVE_IT1, "&amp;VLOOKUP(B189,'0. Instruções'!$C$27:$G$32,5,FALSE)&amp;" AS CHAVE_IT2, "&amp;C189&amp;" AS CAMPO_IT FROM "&amp;E189&amp;" WHERE "&amp;'0. Instruções'!$D$43&amp;")X")</f>
        <v>(SELECT instrmnt_id AS CHAVE_IT, syndctd_agnt AS CAMPO_IT FROM CD_LOAN_TAPES_BCE.LT002_INSTRUMENT WHERE ref_date='${ref_date}' AND nome_perimetro='Individual Local' AND segmento='ESTR' AND ambito='PM' AND entidade='00100')X</v>
      </c>
      <c r="K189" s="32" t="str">
        <f>IF(VLOOKUP(B189,'0. Instruções'!$C$27:$G$32,5,FALSE)=0,
"(SELECT "&amp;VLOOKUP(B189,'0. Instruções'!$C$27:$G$32,4,FALSE)&amp;" AS CHAVE_SIMUL, "&amp;C189&amp;" AS CAMPO_SIMUL FROM "&amp;F189&amp;" WHERE "&amp;'0. Instruções'!$D$42&amp;")Y",
"(SELECT "&amp;VLOOKUP(B189,'0. Instruções'!$C$27:$G$32,4,FALSE)&amp;" AS CHAVE_SIMUL1, "&amp;VLOOKUP(B189,'0. Instruções'!$C$27:$G$32,5,FALSE)&amp;" AS CHAVE_SIMUL2, "&amp;C189&amp;" AS CAMPO_SIMUL FROM "&amp;F189&amp;" WHERE "&amp;'0. Instruções'!$D$42&amp;")Y")</f>
        <v>(SELECT instrmnt_id AS CHAVE_SIMUL, syndctd_agnt AS CAMPO_SIMUL FROM BU_LOANTAPE_WORK.LT002_INSTRUMENT WHERE ref_date='${ref_date}' AND nome_perimetro='Individual Local' AND segmento='ESTR' AND ambito='PM' AND entidade='00100')Y</v>
      </c>
      <c r="L189" s="32" t="str">
        <f>IF(VLOOKUP(B189,'0. Instruções'!$C$27:$G$32,5,FALSE)=0,
"ON X.CHAVE_IT=Y.CHAVE_SIMUL",
"ON X.CHAVE_IT1=Y.CHAVE_SIMUL1 AND X.CHAVE_IT2=Y.CHAVE_SIMUL2")</f>
        <v>ON X.CHAVE_IT=Y.CHAVE_SIMUL</v>
      </c>
      <c r="M189" s="32" t="str">
        <f>+IF(D189="Coerência",+IF(LEFT(H189,5)="FLOAT","SELECT '"&amp;UPPER(B189)&amp;"' AS TABELA, '"&amp;UPPER(D189)&amp;"' AS TIPOLOGIA_TESTE,'"&amp;E189&amp;"' AS TABELA_LT,'"&amp;F189&amp;"' AS TABELA_SIMUL,'"&amp;C189&amp;"'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"&amp;J189&amp;" INNER JOIN "&amp;K189&amp;" "&amp;L189,"SELECT '"&amp;UPPER(B189)&amp;"' AS TABELA, '"&amp;UPPER(D189)&amp;"' AS TIPOLOGIA_TESTE,'"&amp;E189&amp;"' AS TABELA_LT,'"&amp;F189&amp;"' AS TABELA_SIMUL,'"&amp;C189&amp;"'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"&amp;J189&amp;" INNER JOIN "&amp;K189&amp;" "&amp;L189))</f>
        <v>SELECT 'INSTRUMENT' AS TABELA, 'COERÊNCIA' AS TIPOLOGIA_TESTE,'CD_LOAN_TAPES_BCE.LT002_INSTRUMENT' AS TABELA_LT,'BU_LOANTAPE_WORK.LT002_INSTRUMENT' AS TABELA_SIMUL,'syndctd_agnt'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syndctd_agnt AS CAMPO_IT FROM CD_LOAN_TAPES_BCE.LT002_INSTRUMENT WHERE ref_date='${ref_date}' AND nome_perimetro='Individual Local' AND segmento='ESTR' AND ambito='PM' AND entidade='00100')X INNER JOIN (SELECT instrmnt_id AS CHAVE_SIMUL, syndctd_agnt AS CAMPO_SIMUL FROM BU_LOANTAPE_WORK.LT002_INSTRUMENT WHERE ref_date='${ref_date}' AND nome_perimetro='Individual Local' AND segmento='ESTR' AND ambito='PM' AND entidade='00100')Y ON X.CHAVE_IT=Y.CHAVE_SIMUL</v>
      </c>
      <c r="N189" s="33" t="str">
        <f t="shared" si="7"/>
        <v>UNION ALL SELECT 'INSTRUMENT' AS TABELA, 'COERÊNCIA' AS TIPOLOGIA_TESTE,'CD_LOAN_TAPES_BCE.LT002_INSTRUMENT' AS TABELA_LT,'BU_LOANTAPE_WORK.LT002_INSTRUMENT' AS TABELA_SIMUL,'syndctd_agnt'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syndctd_agnt AS CAMPO_IT FROM CD_LOAN_TAPES_BCE.LT002_INSTRUMENT WHERE ref_date='${ref_date}' AND nome_perimetro='Individual Local' AND segmento='ESTR' AND ambito='PM' AND entidade='00100')X INNER JOIN (SELECT instrmnt_id AS CHAVE_SIMUL, syndctd_agnt AS CAMPO_SIMUL FROM BU_LOANTAPE_WORK.LT002_INSTRUMENT WHERE ref_date='${ref_date}' AND nome_perimetro='Individual Local' AND segmento='ESTR' AND ambito='PM' AND entidade='00100')Y ON X.CHAVE_IT=Y.CHAVE_SIMUL</v>
      </c>
      <c r="O189" s="35" t="s">
        <v>35</v>
      </c>
    </row>
    <row r="190" spans="1:15">
      <c r="A190" s="57" t="str">
        <f t="shared" si="6"/>
        <v>Instrumentsyndctd_cntrct_id</v>
      </c>
      <c r="B190" s="32" t="s">
        <v>9</v>
      </c>
      <c r="C190" s="32" t="s">
        <v>363</v>
      </c>
      <c r="D190" s="32" t="s">
        <v>5</v>
      </c>
      <c r="E190" s="32" t="str">
        <f>+UPPER('0. Instruções'!$D$35&amp;"."&amp;VLOOKUP(B190,'0. Instruções'!$C$27:$D$32,2,FALSE))</f>
        <v>CD_LOAN_TAPES_BCE.LT002_INSTRUMENT</v>
      </c>
      <c r="F190" s="32" t="str">
        <f>+UPPER('0. Instruções'!$D$36&amp;"."&amp;VLOOKUP(B190,'0. Instruções'!$C$27:$E$32,3,FALSE))</f>
        <v>BU_LOANTAPE_WORK.LT002_INSTRUMENT</v>
      </c>
      <c r="H190" s="32"/>
      <c r="I190" s="32"/>
      <c r="J190" s="32" t="str">
        <f>IF(VLOOKUP(B190,'0. Instruções'!$C$27:$G$32,5,FALSE)=0,
"(SELECT "&amp;VLOOKUP(B190,'0. Instruções'!$C$27:$G$32,4,FALSE)&amp;" AS CHAVE_IT, "&amp;C190&amp;" AS CAMPO_IT FROM "&amp;E190&amp;" WHERE "&amp;'0. Instruções'!$D$43&amp;")X",
"(SELECT "&amp;VLOOKUP(B190,'0. Instruções'!$C$27:$G$32,4,FALSE)&amp;" AS CHAVE_IT1, "&amp;VLOOKUP(B190,'0. Instruções'!$C$27:$G$32,5,FALSE)&amp;" AS CHAVE_IT2, "&amp;C190&amp;" AS CAMPO_IT FROM "&amp;E190&amp;" WHERE "&amp;'0. Instruções'!$D$43&amp;")X")</f>
        <v>(SELECT instrmnt_id AS CHAVE_IT, syndctd_cntrct_id AS CAMPO_IT FROM CD_LOAN_TAPES_BCE.LT002_INSTRUMENT WHERE ref_date='${ref_date}' AND nome_perimetro='Individual Local' AND segmento='ESTR' AND ambito='PM' AND entidade='00100')X</v>
      </c>
      <c r="K190" s="32" t="str">
        <f>IF(VLOOKUP(B190,'0. Instruções'!$C$27:$G$32,5,FALSE)=0,
"(SELECT "&amp;VLOOKUP(B190,'0. Instruções'!$C$27:$G$32,4,FALSE)&amp;" AS CHAVE_SIMUL, "&amp;C190&amp;" AS CAMPO_SIMUL FROM "&amp;F190&amp;" WHERE "&amp;'0. Instruções'!$D$42&amp;")Y",
"(SELECT "&amp;VLOOKUP(B190,'0. Instruções'!$C$27:$G$32,4,FALSE)&amp;" AS CHAVE_SIMUL1, "&amp;VLOOKUP(B190,'0. Instruções'!$C$27:$G$32,5,FALSE)&amp;" AS CHAVE_SIMUL2, "&amp;C190&amp;" AS CAMPO_SIMUL FROM "&amp;F190&amp;" WHERE "&amp;'0. Instruções'!$D$42&amp;")Y")</f>
        <v>(SELECT instrmnt_id AS CHAVE_SIMUL, syndctd_cntrct_id AS CAMPO_SIMUL FROM BU_LOANTAPE_WORK.LT002_INSTRUMENT WHERE ref_date='${ref_date}' AND nome_perimetro='Individual Local' AND segmento='ESTR' AND ambito='PM' AND entidade='00100')Y</v>
      </c>
      <c r="L190" s="32" t="str">
        <f>IF(VLOOKUP(B190,'0. Instruções'!$C$27:$G$32,5,FALSE)=0,
"ON X.CHAVE_IT=Y.CHAVE_SIMUL",
"ON X.CHAVE_IT1=Y.CHAVE_SIMUL1 AND X.CHAVE_IT2=Y.CHAVE_SIMUL2")</f>
        <v>ON X.CHAVE_IT=Y.CHAVE_SIMUL</v>
      </c>
      <c r="M190" s="32" t="str">
        <f>+IF(D190="Coerência",+IF(LEFT(H190,5)="FLOAT","SELECT '"&amp;UPPER(B190)&amp;"' AS TABELA, '"&amp;UPPER(D190)&amp;"' AS TIPOLOGIA_TESTE,'"&amp;E190&amp;"' AS TABELA_LT,'"&amp;F190&amp;"' AS TABELA_SIMUL,'"&amp;C190&amp;"'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"&amp;J190&amp;" INNER JOIN "&amp;K190&amp;" "&amp;L190,"SELECT '"&amp;UPPER(B190)&amp;"' AS TABELA, '"&amp;UPPER(D190)&amp;"' AS TIPOLOGIA_TESTE,'"&amp;E190&amp;"' AS TABELA_LT,'"&amp;F190&amp;"' AS TABELA_SIMUL,'"&amp;C190&amp;"'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"&amp;J190&amp;" INNER JOIN "&amp;K190&amp;" "&amp;L190))</f>
        <v>SELECT 'INSTRUMENT' AS TABELA, 'COERÊNCIA' AS TIPOLOGIA_TESTE,'CD_LOAN_TAPES_BCE.LT002_INSTRUMENT' AS TABELA_LT,'BU_LOANTAPE_WORK.LT002_INSTRUMENT' AS TABELA_SIMUL,'syndctd_cntrct_id'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syndctd_cntrct_id AS CAMPO_IT FROM CD_LOAN_TAPES_BCE.LT002_INSTRUMENT WHERE ref_date='${ref_date}' AND nome_perimetro='Individual Local' AND segmento='ESTR' AND ambito='PM' AND entidade='00100')X INNER JOIN (SELECT instrmnt_id AS CHAVE_SIMUL, syndctd_cntrct_id AS CAMPO_SIMUL FROM BU_LOANTAPE_WORK.LT002_INSTRUMENT WHERE ref_date='${ref_date}' AND nome_perimetro='Individual Local' AND segmento='ESTR' AND ambito='PM' AND entidade='00100')Y ON X.CHAVE_IT=Y.CHAVE_SIMUL</v>
      </c>
      <c r="N190" s="33" t="str">
        <f t="shared" si="7"/>
        <v>UNION ALL SELECT 'INSTRUMENT' AS TABELA, 'COERÊNCIA' AS TIPOLOGIA_TESTE,'CD_LOAN_TAPES_BCE.LT002_INSTRUMENT' AS TABELA_LT,'BU_LOANTAPE_WORK.LT002_INSTRUMENT' AS TABELA_SIMUL,'syndctd_cntrct_id'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syndctd_cntrct_id AS CAMPO_IT FROM CD_LOAN_TAPES_BCE.LT002_INSTRUMENT WHERE ref_date='${ref_date}' AND nome_perimetro='Individual Local' AND segmento='ESTR' AND ambito='PM' AND entidade='00100')X INNER JOIN (SELECT instrmnt_id AS CHAVE_SIMUL, syndctd_cntrct_id AS CAMPO_SIMUL FROM BU_LOANTAPE_WORK.LT002_INSTRUMENT WHERE ref_date='${ref_date}' AND nome_perimetro='Individual Local' AND segmento='ESTR' AND ambito='PM' AND entidade='00100')Y ON X.CHAVE_IT=Y.CHAVE_SIMUL</v>
      </c>
      <c r="O190" s="35" t="s">
        <v>35</v>
      </c>
    </row>
    <row r="191" spans="1:15">
      <c r="A191" s="57" t="str">
        <f t="shared" si="6"/>
        <v>Instrumentsyndctd_lndrs</v>
      </c>
      <c r="B191" s="32" t="s">
        <v>9</v>
      </c>
      <c r="C191" s="32" t="s">
        <v>364</v>
      </c>
      <c r="D191" s="32" t="s">
        <v>5</v>
      </c>
      <c r="E191" s="32" t="str">
        <f>+UPPER('0. Instruções'!$D$35&amp;"."&amp;VLOOKUP(B191,'0. Instruções'!$C$27:$D$32,2,FALSE))</f>
        <v>CD_LOAN_TAPES_BCE.LT002_INSTRUMENT</v>
      </c>
      <c r="F191" s="32" t="str">
        <f>+UPPER('0. Instruções'!$D$36&amp;"."&amp;VLOOKUP(B191,'0. Instruções'!$C$27:$E$32,3,FALSE))</f>
        <v>BU_LOANTAPE_WORK.LT002_INSTRUMENT</v>
      </c>
      <c r="H191" s="32"/>
      <c r="I191" s="32"/>
      <c r="J191" s="32" t="str">
        <f>IF(VLOOKUP(B191,'0. Instruções'!$C$27:$G$32,5,FALSE)=0,
"(SELECT "&amp;VLOOKUP(B191,'0. Instruções'!$C$27:$G$32,4,FALSE)&amp;" AS CHAVE_IT, "&amp;C191&amp;" AS CAMPO_IT FROM "&amp;E191&amp;" WHERE "&amp;'0. Instruções'!$D$43&amp;")X",
"(SELECT "&amp;VLOOKUP(B191,'0. Instruções'!$C$27:$G$32,4,FALSE)&amp;" AS CHAVE_IT1, "&amp;VLOOKUP(B191,'0. Instruções'!$C$27:$G$32,5,FALSE)&amp;" AS CHAVE_IT2, "&amp;C191&amp;" AS CAMPO_IT FROM "&amp;E191&amp;" WHERE "&amp;'0. Instruções'!$D$43&amp;")X")</f>
        <v>(SELECT instrmnt_id AS CHAVE_IT, syndctd_lndrs AS CAMPO_IT FROM CD_LOAN_TAPES_BCE.LT002_INSTRUMENT WHERE ref_date='${ref_date}' AND nome_perimetro='Individual Local' AND segmento='ESTR' AND ambito='PM' AND entidade='00100')X</v>
      </c>
      <c r="K191" s="32" t="str">
        <f>IF(VLOOKUP(B191,'0. Instruções'!$C$27:$G$32,5,FALSE)=0,
"(SELECT "&amp;VLOOKUP(B191,'0. Instruções'!$C$27:$G$32,4,FALSE)&amp;" AS CHAVE_SIMUL, "&amp;C191&amp;" AS CAMPO_SIMUL FROM "&amp;F191&amp;" WHERE "&amp;'0. Instruções'!$D$42&amp;")Y",
"(SELECT "&amp;VLOOKUP(B191,'0. Instruções'!$C$27:$G$32,4,FALSE)&amp;" AS CHAVE_SIMUL1, "&amp;VLOOKUP(B191,'0. Instruções'!$C$27:$G$32,5,FALSE)&amp;" AS CHAVE_SIMUL2, "&amp;C191&amp;" AS CAMPO_SIMUL FROM "&amp;F191&amp;" WHERE "&amp;'0. Instruções'!$D$42&amp;")Y")</f>
        <v>(SELECT instrmnt_id AS CHAVE_SIMUL, syndctd_lndrs AS CAMPO_SIMUL FROM BU_LOANTAPE_WORK.LT002_INSTRUMENT WHERE ref_date='${ref_date}' AND nome_perimetro='Individual Local' AND segmento='ESTR' AND ambito='PM' AND entidade='00100')Y</v>
      </c>
      <c r="L191" s="32" t="str">
        <f>IF(VLOOKUP(B191,'0. Instruções'!$C$27:$G$32,5,FALSE)=0,
"ON X.CHAVE_IT=Y.CHAVE_SIMUL",
"ON X.CHAVE_IT1=Y.CHAVE_SIMUL1 AND X.CHAVE_IT2=Y.CHAVE_SIMUL2")</f>
        <v>ON X.CHAVE_IT=Y.CHAVE_SIMUL</v>
      </c>
      <c r="M191" s="32" t="str">
        <f>+IF(D191="Coerência",+IF(LEFT(H191,5)="FLOAT","SELECT '"&amp;UPPER(B191)&amp;"' AS TABELA, '"&amp;UPPER(D191)&amp;"' AS TIPOLOGIA_TESTE,'"&amp;E191&amp;"' AS TABELA_LT,'"&amp;F191&amp;"' AS TABELA_SIMUL,'"&amp;C191&amp;"'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"&amp;J191&amp;" INNER JOIN "&amp;K191&amp;" "&amp;L191,"SELECT '"&amp;UPPER(B191)&amp;"' AS TABELA, '"&amp;UPPER(D191)&amp;"' AS TIPOLOGIA_TESTE,'"&amp;E191&amp;"' AS TABELA_LT,'"&amp;F191&amp;"' AS TABELA_SIMUL,'"&amp;C191&amp;"'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"&amp;J191&amp;" INNER JOIN "&amp;K191&amp;" "&amp;L191))</f>
        <v>SELECT 'INSTRUMENT' AS TABELA, 'COERÊNCIA' AS TIPOLOGIA_TESTE,'CD_LOAN_TAPES_BCE.LT002_INSTRUMENT' AS TABELA_LT,'BU_LOANTAPE_WORK.LT002_INSTRUMENT' AS TABELA_SIMUL,'syndctd_lndrs'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syndctd_lndrs AS CAMPO_IT FROM CD_LOAN_TAPES_BCE.LT002_INSTRUMENT WHERE ref_date='${ref_date}' AND nome_perimetro='Individual Local' AND segmento='ESTR' AND ambito='PM' AND entidade='00100')X INNER JOIN (SELECT instrmnt_id AS CHAVE_SIMUL, syndctd_lndrs AS CAMPO_SIMUL FROM BU_LOANTAPE_WORK.LT002_INSTRUMENT WHERE ref_date='${ref_date}' AND nome_perimetro='Individual Local' AND segmento='ESTR' AND ambito='PM' AND entidade='00100')Y ON X.CHAVE_IT=Y.CHAVE_SIMUL</v>
      </c>
      <c r="N191" s="33" t="str">
        <f t="shared" si="7"/>
        <v>UNION ALL SELECT 'INSTRUMENT' AS TABELA, 'COERÊNCIA' AS TIPOLOGIA_TESTE,'CD_LOAN_TAPES_BCE.LT002_INSTRUMENT' AS TABELA_LT,'BU_LOANTAPE_WORK.LT002_INSTRUMENT' AS TABELA_SIMUL,'syndctd_lndrs'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syndctd_lndrs AS CAMPO_IT FROM CD_LOAN_TAPES_BCE.LT002_INSTRUMENT WHERE ref_date='${ref_date}' AND nome_perimetro='Individual Local' AND segmento='ESTR' AND ambito='PM' AND entidade='00100')X INNER JOIN (SELECT instrmnt_id AS CHAVE_SIMUL, syndctd_lndrs AS CAMPO_SIMUL FROM BU_LOANTAPE_WORK.LT002_INSTRUMENT WHERE ref_date='${ref_date}' AND nome_perimetro='Individual Local' AND segmento='ESTR' AND ambito='PM' AND entidade='00100')Y ON X.CHAVE_IT=Y.CHAVE_SIMUL</v>
      </c>
      <c r="O191" s="35" t="s">
        <v>35</v>
      </c>
    </row>
    <row r="192" spans="1:15">
      <c r="A192" s="57" t="str">
        <f t="shared" si="6"/>
        <v>Instrumentsyndctd_shr</v>
      </c>
      <c r="B192" s="32" t="s">
        <v>9</v>
      </c>
      <c r="C192" s="32" t="s">
        <v>365</v>
      </c>
      <c r="D192" s="32" t="s">
        <v>5</v>
      </c>
      <c r="E192" s="32" t="str">
        <f>+UPPER('0. Instruções'!$D$35&amp;"."&amp;VLOOKUP(B192,'0. Instruções'!$C$27:$D$32,2,FALSE))</f>
        <v>CD_LOAN_TAPES_BCE.LT002_INSTRUMENT</v>
      </c>
      <c r="F192" s="32" t="str">
        <f>+UPPER('0. Instruções'!$D$36&amp;"."&amp;VLOOKUP(B192,'0. Instruções'!$C$27:$E$32,3,FALSE))</f>
        <v>BU_LOANTAPE_WORK.LT002_INSTRUMENT</v>
      </c>
      <c r="H192" s="32"/>
      <c r="I192" s="32"/>
      <c r="J192" s="32" t="str">
        <f>IF(VLOOKUP(B192,'0. Instruções'!$C$27:$G$32,5,FALSE)=0,
"(SELECT "&amp;VLOOKUP(B192,'0. Instruções'!$C$27:$G$32,4,FALSE)&amp;" AS CHAVE_IT, "&amp;C192&amp;" AS CAMPO_IT FROM "&amp;E192&amp;" WHERE "&amp;'0. Instruções'!$D$43&amp;")X",
"(SELECT "&amp;VLOOKUP(B192,'0. Instruções'!$C$27:$G$32,4,FALSE)&amp;" AS CHAVE_IT1, "&amp;VLOOKUP(B192,'0. Instruções'!$C$27:$G$32,5,FALSE)&amp;" AS CHAVE_IT2, "&amp;C192&amp;" AS CAMPO_IT FROM "&amp;E192&amp;" WHERE "&amp;'0. Instruções'!$D$43&amp;")X")</f>
        <v>(SELECT instrmnt_id AS CHAVE_IT, syndctd_shr AS CAMPO_IT FROM CD_LOAN_TAPES_BCE.LT002_INSTRUMENT WHERE ref_date='${ref_date}' AND nome_perimetro='Individual Local' AND segmento='ESTR' AND ambito='PM' AND entidade='00100')X</v>
      </c>
      <c r="K192" s="32" t="str">
        <f>IF(VLOOKUP(B192,'0. Instruções'!$C$27:$G$32,5,FALSE)=0,
"(SELECT "&amp;VLOOKUP(B192,'0. Instruções'!$C$27:$G$32,4,FALSE)&amp;" AS CHAVE_SIMUL, "&amp;C192&amp;" AS CAMPO_SIMUL FROM "&amp;F192&amp;" WHERE "&amp;'0. Instruções'!$D$42&amp;")Y",
"(SELECT "&amp;VLOOKUP(B192,'0. Instruções'!$C$27:$G$32,4,FALSE)&amp;" AS CHAVE_SIMUL1, "&amp;VLOOKUP(B192,'0. Instruções'!$C$27:$G$32,5,FALSE)&amp;" AS CHAVE_SIMUL2, "&amp;C192&amp;" AS CAMPO_SIMUL FROM "&amp;F192&amp;" WHERE "&amp;'0. Instruções'!$D$42&amp;")Y")</f>
        <v>(SELECT instrmnt_id AS CHAVE_SIMUL, syndctd_shr AS CAMPO_SIMUL FROM BU_LOANTAPE_WORK.LT002_INSTRUMENT WHERE ref_date='${ref_date}' AND nome_perimetro='Individual Local' AND segmento='ESTR' AND ambito='PM' AND entidade='00100')Y</v>
      </c>
      <c r="L192" s="32" t="str">
        <f>IF(VLOOKUP(B192,'0. Instruções'!$C$27:$G$32,5,FALSE)=0,
"ON X.CHAVE_IT=Y.CHAVE_SIMUL",
"ON X.CHAVE_IT1=Y.CHAVE_SIMUL1 AND X.CHAVE_IT2=Y.CHAVE_SIMUL2")</f>
        <v>ON X.CHAVE_IT=Y.CHAVE_SIMUL</v>
      </c>
      <c r="M192" s="32" t="str">
        <f>+IF(D192="Coerência",+IF(LEFT(H192,5)="FLOAT","SELECT '"&amp;UPPER(B192)&amp;"' AS TABELA, '"&amp;UPPER(D192)&amp;"' AS TIPOLOGIA_TESTE,'"&amp;E192&amp;"' AS TABELA_LT,'"&amp;F192&amp;"' AS TABELA_SIMUL,'"&amp;C192&amp;"'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"&amp;J192&amp;" INNER JOIN "&amp;K192&amp;" "&amp;L192,"SELECT '"&amp;UPPER(B192)&amp;"' AS TABELA, '"&amp;UPPER(D192)&amp;"' AS TIPOLOGIA_TESTE,'"&amp;E192&amp;"' AS TABELA_LT,'"&amp;F192&amp;"' AS TABELA_SIMUL,'"&amp;C192&amp;"'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"&amp;J192&amp;" INNER JOIN "&amp;K192&amp;" "&amp;L192))</f>
        <v>SELECT 'INSTRUMENT' AS TABELA, 'COERÊNCIA' AS TIPOLOGIA_TESTE,'CD_LOAN_TAPES_BCE.LT002_INSTRUMENT' AS TABELA_LT,'BU_LOANTAPE_WORK.LT002_INSTRUMENT' AS TABELA_SIMUL,'syndctd_shr'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syndctd_shr AS CAMPO_IT FROM CD_LOAN_TAPES_BCE.LT002_INSTRUMENT WHERE ref_date='${ref_date}' AND nome_perimetro='Individual Local' AND segmento='ESTR' AND ambito='PM' AND entidade='00100')X INNER JOIN (SELECT instrmnt_id AS CHAVE_SIMUL, syndctd_shr AS CAMPO_SIMUL FROM BU_LOANTAPE_WORK.LT002_INSTRUMENT WHERE ref_date='${ref_date}' AND nome_perimetro='Individual Local' AND segmento='ESTR' AND ambito='PM' AND entidade='00100')Y ON X.CHAVE_IT=Y.CHAVE_SIMUL</v>
      </c>
      <c r="N192" s="33" t="str">
        <f t="shared" si="7"/>
        <v>UNION ALL SELECT 'INSTRUMENT' AS TABELA, 'COERÊNCIA' AS TIPOLOGIA_TESTE,'CD_LOAN_TAPES_BCE.LT002_INSTRUMENT' AS TABELA_LT,'BU_LOANTAPE_WORK.LT002_INSTRUMENT' AS TABELA_SIMUL,'syndctd_shr'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syndctd_shr AS CAMPO_IT FROM CD_LOAN_TAPES_BCE.LT002_INSTRUMENT WHERE ref_date='${ref_date}' AND nome_perimetro='Individual Local' AND segmento='ESTR' AND ambito='PM' AND entidade='00100')X INNER JOIN (SELECT instrmnt_id AS CHAVE_SIMUL, syndctd_shr AS CAMPO_SIMUL FROM BU_LOANTAPE_WORK.LT002_INSTRUMENT WHERE ref_date='${ref_date}' AND nome_perimetro='Individual Local' AND segmento='ESTR' AND ambito='PM' AND entidade='00100')Y ON X.CHAVE_IT=Y.CHAVE_SIMUL</v>
      </c>
      <c r="O192" s="35" t="s">
        <v>35</v>
      </c>
    </row>
    <row r="193" spans="1:15">
      <c r="A193" s="57" t="str">
        <f t="shared" si="6"/>
        <v>Instrumentsyndctn_typ</v>
      </c>
      <c r="B193" s="32" t="s">
        <v>9</v>
      </c>
      <c r="C193" s="32" t="s">
        <v>366</v>
      </c>
      <c r="D193" s="32" t="s">
        <v>5</v>
      </c>
      <c r="E193" s="32" t="str">
        <f>+UPPER('0. Instruções'!$D$35&amp;"."&amp;VLOOKUP(B193,'0. Instruções'!$C$27:$D$32,2,FALSE))</f>
        <v>CD_LOAN_TAPES_BCE.LT002_INSTRUMENT</v>
      </c>
      <c r="F193" s="32" t="str">
        <f>+UPPER('0. Instruções'!$D$36&amp;"."&amp;VLOOKUP(B193,'0. Instruções'!$C$27:$E$32,3,FALSE))</f>
        <v>BU_LOANTAPE_WORK.LT002_INSTRUMENT</v>
      </c>
      <c r="H193" s="32"/>
      <c r="I193" s="32"/>
      <c r="J193" s="32" t="str">
        <f>IF(VLOOKUP(B193,'0. Instruções'!$C$27:$G$32,5,FALSE)=0,
"(SELECT "&amp;VLOOKUP(B193,'0. Instruções'!$C$27:$G$32,4,FALSE)&amp;" AS CHAVE_IT, "&amp;C193&amp;" AS CAMPO_IT FROM "&amp;E193&amp;" WHERE "&amp;'0. Instruções'!$D$43&amp;")X",
"(SELECT "&amp;VLOOKUP(B193,'0. Instruções'!$C$27:$G$32,4,FALSE)&amp;" AS CHAVE_IT1, "&amp;VLOOKUP(B193,'0. Instruções'!$C$27:$G$32,5,FALSE)&amp;" AS CHAVE_IT2, "&amp;C193&amp;" AS CAMPO_IT FROM "&amp;E193&amp;" WHERE "&amp;'0. Instruções'!$D$43&amp;")X")</f>
        <v>(SELECT instrmnt_id AS CHAVE_IT, syndctn_typ AS CAMPO_IT FROM CD_LOAN_TAPES_BCE.LT002_INSTRUMENT WHERE ref_date='${ref_date}' AND nome_perimetro='Individual Local' AND segmento='ESTR' AND ambito='PM' AND entidade='00100')X</v>
      </c>
      <c r="K193" s="32" t="str">
        <f>IF(VLOOKUP(B193,'0. Instruções'!$C$27:$G$32,5,FALSE)=0,
"(SELECT "&amp;VLOOKUP(B193,'0. Instruções'!$C$27:$G$32,4,FALSE)&amp;" AS CHAVE_SIMUL, "&amp;C193&amp;" AS CAMPO_SIMUL FROM "&amp;F193&amp;" WHERE "&amp;'0. Instruções'!$D$42&amp;")Y",
"(SELECT "&amp;VLOOKUP(B193,'0. Instruções'!$C$27:$G$32,4,FALSE)&amp;" AS CHAVE_SIMUL1, "&amp;VLOOKUP(B193,'0. Instruções'!$C$27:$G$32,5,FALSE)&amp;" AS CHAVE_SIMUL2, "&amp;C193&amp;" AS CAMPO_SIMUL FROM "&amp;F193&amp;" WHERE "&amp;'0. Instruções'!$D$42&amp;")Y")</f>
        <v>(SELECT instrmnt_id AS CHAVE_SIMUL, syndctn_typ AS CAMPO_SIMUL FROM BU_LOANTAPE_WORK.LT002_INSTRUMENT WHERE ref_date='${ref_date}' AND nome_perimetro='Individual Local' AND segmento='ESTR' AND ambito='PM' AND entidade='00100')Y</v>
      </c>
      <c r="L193" s="32" t="str">
        <f>IF(VLOOKUP(B193,'0. Instruções'!$C$27:$G$32,5,FALSE)=0,
"ON X.CHAVE_IT=Y.CHAVE_SIMUL",
"ON X.CHAVE_IT1=Y.CHAVE_SIMUL1 AND X.CHAVE_IT2=Y.CHAVE_SIMUL2")</f>
        <v>ON X.CHAVE_IT=Y.CHAVE_SIMUL</v>
      </c>
      <c r="M193" s="32" t="str">
        <f>+IF(D193="Coerência",+IF(LEFT(H193,5)="FLOAT","SELECT '"&amp;UPPER(B193)&amp;"' AS TABELA, '"&amp;UPPER(D193)&amp;"' AS TIPOLOGIA_TESTE,'"&amp;E193&amp;"' AS TABELA_LT,'"&amp;F193&amp;"' AS TABELA_SIMUL,'"&amp;C193&amp;"'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"&amp;J193&amp;" INNER JOIN "&amp;K193&amp;" "&amp;L193,"SELECT '"&amp;UPPER(B193)&amp;"' AS TABELA, '"&amp;UPPER(D193)&amp;"' AS TIPOLOGIA_TESTE,'"&amp;E193&amp;"' AS TABELA_LT,'"&amp;F193&amp;"' AS TABELA_SIMUL,'"&amp;C193&amp;"'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"&amp;J193&amp;" INNER JOIN "&amp;K193&amp;" "&amp;L193))</f>
        <v>SELECT 'INSTRUMENT' AS TABELA, 'COERÊNCIA' AS TIPOLOGIA_TESTE,'CD_LOAN_TAPES_BCE.LT002_INSTRUMENT' AS TABELA_LT,'BU_LOANTAPE_WORK.LT002_INSTRUMENT' AS TABELA_SIMUL,'syndctn_typ'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syndctn_typ AS CAMPO_IT FROM CD_LOAN_TAPES_BCE.LT002_INSTRUMENT WHERE ref_date='${ref_date}' AND nome_perimetro='Individual Local' AND segmento='ESTR' AND ambito='PM' AND entidade='00100')X INNER JOIN (SELECT instrmnt_id AS CHAVE_SIMUL, syndctn_typ AS CAMPO_SIMUL FROM BU_LOANTAPE_WORK.LT002_INSTRUMENT WHERE ref_date='${ref_date}' AND nome_perimetro='Individual Local' AND segmento='ESTR' AND ambito='PM' AND entidade='00100')Y ON X.CHAVE_IT=Y.CHAVE_SIMUL</v>
      </c>
      <c r="N193" s="33" t="str">
        <f t="shared" si="7"/>
        <v>UNION ALL SELECT 'INSTRUMENT' AS TABELA, 'COERÊNCIA' AS TIPOLOGIA_TESTE,'CD_LOAN_TAPES_BCE.LT002_INSTRUMENT' AS TABELA_LT,'BU_LOANTAPE_WORK.LT002_INSTRUMENT' AS TABELA_SIMUL,'syndctn_typ'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syndctn_typ AS CAMPO_IT FROM CD_LOAN_TAPES_BCE.LT002_INSTRUMENT WHERE ref_date='${ref_date}' AND nome_perimetro='Individual Local' AND segmento='ESTR' AND ambito='PM' AND entidade='00100')X INNER JOIN (SELECT instrmnt_id AS CHAVE_SIMUL, syndctn_typ AS CAMPO_SIMUL FROM BU_LOANTAPE_WORK.LT002_INSTRUMENT WHERE ref_date='${ref_date}' AND nome_perimetro='Individual Local' AND segmento='ESTR' AND ambito='PM' AND entidade='00100')Y ON X.CHAVE_IT=Y.CHAVE_SIMUL</v>
      </c>
      <c r="O193" s="35" t="s">
        <v>35</v>
      </c>
    </row>
    <row r="194" spans="1:15">
      <c r="A194" s="57" t="str">
        <f t="shared" si="6"/>
        <v>Instrumenteba_cmplnt_mrtr_st_c19</v>
      </c>
      <c r="B194" s="32" t="s">
        <v>9</v>
      </c>
      <c r="C194" s="32" t="s">
        <v>367</v>
      </c>
      <c r="D194" s="32" t="s">
        <v>5</v>
      </c>
      <c r="E194" s="32" t="str">
        <f>+UPPER('0. Instruções'!$D$35&amp;"."&amp;VLOOKUP(B194,'0. Instruções'!$C$27:$D$32,2,FALSE))</f>
        <v>CD_LOAN_TAPES_BCE.LT002_INSTRUMENT</v>
      </c>
      <c r="F194" s="32" t="str">
        <f>+UPPER('0. Instruções'!$D$36&amp;"."&amp;VLOOKUP(B194,'0. Instruções'!$C$27:$E$32,3,FALSE))</f>
        <v>BU_LOANTAPE_WORK.LT002_INSTRUMENT</v>
      </c>
      <c r="H194" s="32"/>
      <c r="I194" s="32"/>
      <c r="J194" s="32" t="str">
        <f>IF(VLOOKUP(B194,'0. Instruções'!$C$27:$G$32,5,FALSE)=0,
"(SELECT "&amp;VLOOKUP(B194,'0. Instruções'!$C$27:$G$32,4,FALSE)&amp;" AS CHAVE_IT, "&amp;C194&amp;" AS CAMPO_IT FROM "&amp;E194&amp;" WHERE "&amp;'0. Instruções'!$D$43&amp;")X",
"(SELECT "&amp;VLOOKUP(B194,'0. Instruções'!$C$27:$G$32,4,FALSE)&amp;" AS CHAVE_IT1, "&amp;VLOOKUP(B194,'0. Instruções'!$C$27:$G$32,5,FALSE)&amp;" AS CHAVE_IT2, "&amp;C194&amp;" AS CAMPO_IT FROM "&amp;E194&amp;" WHERE "&amp;'0. Instruções'!$D$43&amp;")X")</f>
        <v>(SELECT instrmnt_id AS CHAVE_IT, eba_cmplnt_mrtr_st_c19 AS CAMPO_IT FROM CD_LOAN_TAPES_BCE.LT002_INSTRUMENT WHERE ref_date='${ref_date}' AND nome_perimetro='Individual Local' AND segmento='ESTR' AND ambito='PM' AND entidade='00100')X</v>
      </c>
      <c r="K194" s="32" t="str">
        <f>IF(VLOOKUP(B194,'0. Instruções'!$C$27:$G$32,5,FALSE)=0,
"(SELECT "&amp;VLOOKUP(B194,'0. Instruções'!$C$27:$G$32,4,FALSE)&amp;" AS CHAVE_SIMUL, "&amp;C194&amp;" AS CAMPO_SIMUL FROM "&amp;F194&amp;" WHERE "&amp;'0. Instruções'!$D$42&amp;")Y",
"(SELECT "&amp;VLOOKUP(B194,'0. Instruções'!$C$27:$G$32,4,FALSE)&amp;" AS CHAVE_SIMUL1, "&amp;VLOOKUP(B194,'0. Instruções'!$C$27:$G$32,5,FALSE)&amp;" AS CHAVE_SIMUL2, "&amp;C194&amp;" AS CAMPO_SIMUL FROM "&amp;F194&amp;" WHERE "&amp;'0. Instruções'!$D$42&amp;")Y")</f>
        <v>(SELECT instrmnt_id AS CHAVE_SIMUL, eba_cmplnt_mrtr_st_c19 AS CAMPO_SIMUL FROM BU_LOANTAPE_WORK.LT002_INSTRUMENT WHERE ref_date='${ref_date}' AND nome_perimetro='Individual Local' AND segmento='ESTR' AND ambito='PM' AND entidade='00100')Y</v>
      </c>
      <c r="L194" s="32" t="str">
        <f>IF(VLOOKUP(B194,'0. Instruções'!$C$27:$G$32,5,FALSE)=0,
"ON X.CHAVE_IT=Y.CHAVE_SIMUL",
"ON X.CHAVE_IT1=Y.CHAVE_SIMUL1 AND X.CHAVE_IT2=Y.CHAVE_SIMUL2")</f>
        <v>ON X.CHAVE_IT=Y.CHAVE_SIMUL</v>
      </c>
      <c r="M194" s="32" t="str">
        <f>+IF(D194="Coerência",+IF(LEFT(H194,5)="FLOAT","SELECT '"&amp;UPPER(B194)&amp;"' AS TABELA, '"&amp;UPPER(D194)&amp;"' AS TIPOLOGIA_TESTE,'"&amp;E194&amp;"' AS TABELA_LT,'"&amp;F194&amp;"' AS TABELA_SIMUL,'"&amp;C194&amp;"'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"&amp;J194&amp;" INNER JOIN "&amp;K194&amp;" "&amp;L194,"SELECT '"&amp;UPPER(B194)&amp;"' AS TABELA, '"&amp;UPPER(D194)&amp;"' AS TIPOLOGIA_TESTE,'"&amp;E194&amp;"' AS TABELA_LT,'"&amp;F194&amp;"' AS TABELA_SIMUL,'"&amp;C194&amp;"'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"&amp;J194&amp;" INNER JOIN "&amp;K194&amp;" "&amp;L194))</f>
        <v>SELECT 'INSTRUMENT' AS TABELA, 'COERÊNCIA' AS TIPOLOGIA_TESTE,'CD_LOAN_TAPES_BCE.LT002_INSTRUMENT' AS TABELA_LT,'BU_LOANTAPE_WORK.LT002_INSTRUMENT' AS TABELA_SIMUL,'eba_cmplnt_mrtr_st_c19'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eba_cmplnt_mrtr_st_c19 AS CAMPO_IT FROM CD_LOAN_TAPES_BCE.LT002_INSTRUMENT WHERE ref_date='${ref_date}' AND nome_perimetro='Individual Local' AND segmento='ESTR' AND ambito='PM' AND entidade='00100')X INNER JOIN (SELECT instrmnt_id AS CHAVE_SIMUL, eba_cmplnt_mrtr_st_c19 AS CAMPO_SIMUL FROM BU_LOANTAPE_WORK.LT002_INSTRUMENT WHERE ref_date='${ref_date}' AND nome_perimetro='Individual Local' AND segmento='ESTR' AND ambito='PM' AND entidade='00100')Y ON X.CHAVE_IT=Y.CHAVE_SIMUL</v>
      </c>
      <c r="N194" s="33" t="str">
        <f t="shared" si="7"/>
        <v>UNION ALL SELECT 'INSTRUMENT' AS TABELA, 'COERÊNCIA' AS TIPOLOGIA_TESTE,'CD_LOAN_TAPES_BCE.LT002_INSTRUMENT' AS TABELA_LT,'BU_LOANTAPE_WORK.LT002_INSTRUMENT' AS TABELA_SIMUL,'eba_cmplnt_mrtr_st_c19'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eba_cmplnt_mrtr_st_c19 AS CAMPO_IT FROM CD_LOAN_TAPES_BCE.LT002_INSTRUMENT WHERE ref_date='${ref_date}' AND nome_perimetro='Individual Local' AND segmento='ESTR' AND ambito='PM' AND entidade='00100')X INNER JOIN (SELECT instrmnt_id AS CHAVE_SIMUL, eba_cmplnt_mrtr_st_c19 AS CAMPO_SIMUL FROM BU_LOANTAPE_WORK.LT002_INSTRUMENT WHERE ref_date='${ref_date}' AND nome_perimetro='Individual Local' AND segmento='ESTR' AND ambito='PM' AND entidade='00100')Y ON X.CHAVE_IT=Y.CHAVE_SIMUL</v>
      </c>
      <c r="O194" s="35" t="s">
        <v>35</v>
      </c>
    </row>
    <row r="195" spans="1:15">
      <c r="A195" s="57" t="str">
        <f t="shared" si="6"/>
        <v>Instrumentdt_cmplnt_mrtr_stts_c19</v>
      </c>
      <c r="B195" s="32" t="s">
        <v>9</v>
      </c>
      <c r="C195" s="32" t="s">
        <v>368</v>
      </c>
      <c r="D195" s="32" t="s">
        <v>5</v>
      </c>
      <c r="E195" s="32" t="str">
        <f>+UPPER('0. Instruções'!$D$35&amp;"."&amp;VLOOKUP(B195,'0. Instruções'!$C$27:$D$32,2,FALSE))</f>
        <v>CD_LOAN_TAPES_BCE.LT002_INSTRUMENT</v>
      </c>
      <c r="F195" s="32" t="str">
        <f>+UPPER('0. Instruções'!$D$36&amp;"."&amp;VLOOKUP(B195,'0. Instruções'!$C$27:$E$32,3,FALSE))</f>
        <v>BU_LOANTAPE_WORK.LT002_INSTRUMENT</v>
      </c>
      <c r="H195" s="32"/>
      <c r="I195" s="32"/>
      <c r="J195" s="32" t="str">
        <f>IF(VLOOKUP(B195,'0. Instruções'!$C$27:$G$32,5,FALSE)=0,
"(SELECT "&amp;VLOOKUP(B195,'0. Instruções'!$C$27:$G$32,4,FALSE)&amp;" AS CHAVE_IT, "&amp;C195&amp;" AS CAMPO_IT FROM "&amp;E195&amp;" WHERE "&amp;'0. Instruções'!$D$43&amp;")X",
"(SELECT "&amp;VLOOKUP(B195,'0. Instruções'!$C$27:$G$32,4,FALSE)&amp;" AS CHAVE_IT1, "&amp;VLOOKUP(B195,'0. Instruções'!$C$27:$G$32,5,FALSE)&amp;" AS CHAVE_IT2, "&amp;C195&amp;" AS CAMPO_IT FROM "&amp;E195&amp;" WHERE "&amp;'0. Instruções'!$D$43&amp;")X")</f>
        <v>(SELECT instrmnt_id AS CHAVE_IT, dt_cmplnt_mrtr_stts_c19 AS CAMPO_IT FROM CD_LOAN_TAPES_BCE.LT002_INSTRUMENT WHERE ref_date='${ref_date}' AND nome_perimetro='Individual Local' AND segmento='ESTR' AND ambito='PM' AND entidade='00100')X</v>
      </c>
      <c r="K195" s="32" t="str">
        <f>IF(VLOOKUP(B195,'0. Instruções'!$C$27:$G$32,5,FALSE)=0,
"(SELECT "&amp;VLOOKUP(B195,'0. Instruções'!$C$27:$G$32,4,FALSE)&amp;" AS CHAVE_SIMUL, "&amp;C195&amp;" AS CAMPO_SIMUL FROM "&amp;F195&amp;" WHERE "&amp;'0. Instruções'!$D$42&amp;")Y",
"(SELECT "&amp;VLOOKUP(B195,'0. Instruções'!$C$27:$G$32,4,FALSE)&amp;" AS CHAVE_SIMUL1, "&amp;VLOOKUP(B195,'0. Instruções'!$C$27:$G$32,5,FALSE)&amp;" AS CHAVE_SIMUL2, "&amp;C195&amp;" AS CAMPO_SIMUL FROM "&amp;F195&amp;" WHERE "&amp;'0. Instruções'!$D$42&amp;")Y")</f>
        <v>(SELECT instrmnt_id AS CHAVE_SIMUL, dt_cmplnt_mrtr_stts_c19 AS CAMPO_SIMUL FROM BU_LOANTAPE_WORK.LT002_INSTRUMENT WHERE ref_date='${ref_date}' AND nome_perimetro='Individual Local' AND segmento='ESTR' AND ambito='PM' AND entidade='00100')Y</v>
      </c>
      <c r="L195" s="32" t="str">
        <f>IF(VLOOKUP(B195,'0. Instruções'!$C$27:$G$32,5,FALSE)=0,
"ON X.CHAVE_IT=Y.CHAVE_SIMUL",
"ON X.CHAVE_IT1=Y.CHAVE_SIMUL1 AND X.CHAVE_IT2=Y.CHAVE_SIMUL2")</f>
        <v>ON X.CHAVE_IT=Y.CHAVE_SIMUL</v>
      </c>
      <c r="M195" s="32" t="str">
        <f>+IF(D195="Coerência",+IF(LEFT(H195,5)="FLOAT","SELECT '"&amp;UPPER(B195)&amp;"' AS TABELA, '"&amp;UPPER(D195)&amp;"' AS TIPOLOGIA_TESTE,'"&amp;E195&amp;"' AS TABELA_LT,'"&amp;F195&amp;"' AS TABELA_SIMUL,'"&amp;C195&amp;"'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"&amp;J195&amp;" INNER JOIN "&amp;K195&amp;" "&amp;L195,"SELECT '"&amp;UPPER(B195)&amp;"' AS TABELA, '"&amp;UPPER(D195)&amp;"' AS TIPOLOGIA_TESTE,'"&amp;E195&amp;"' AS TABELA_LT,'"&amp;F195&amp;"' AS TABELA_SIMUL,'"&amp;C195&amp;"'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"&amp;J195&amp;" INNER JOIN "&amp;K195&amp;" "&amp;L195))</f>
        <v>SELECT 'INSTRUMENT' AS TABELA, 'COERÊNCIA' AS TIPOLOGIA_TESTE,'CD_LOAN_TAPES_BCE.LT002_INSTRUMENT' AS TABELA_LT,'BU_LOANTAPE_WORK.LT002_INSTRUMENT' AS TABELA_SIMUL,'dt_cmplnt_mrtr_stts_c19'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dt_cmplnt_mrtr_stts_c19 AS CAMPO_IT FROM CD_LOAN_TAPES_BCE.LT002_INSTRUMENT WHERE ref_date='${ref_date}' AND nome_perimetro='Individual Local' AND segmento='ESTR' AND ambito='PM' AND entidade='00100')X INNER JOIN (SELECT instrmnt_id AS CHAVE_SIMUL, dt_cmplnt_mrtr_stts_c19 AS CAMPO_SIMUL FROM BU_LOANTAPE_WORK.LT002_INSTRUMENT WHERE ref_date='${ref_date}' AND nome_perimetro='Individual Local' AND segmento='ESTR' AND ambito='PM' AND entidade='00100')Y ON X.CHAVE_IT=Y.CHAVE_SIMUL</v>
      </c>
      <c r="N195" s="33" t="str">
        <f t="shared" si="7"/>
        <v>UNION ALL SELECT 'INSTRUMENT' AS TABELA, 'COERÊNCIA' AS TIPOLOGIA_TESTE,'CD_LOAN_TAPES_BCE.LT002_INSTRUMENT' AS TABELA_LT,'BU_LOANTAPE_WORK.LT002_INSTRUMENT' AS TABELA_SIMUL,'dt_cmplnt_mrtr_stts_c19'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dt_cmplnt_mrtr_stts_c19 AS CAMPO_IT FROM CD_LOAN_TAPES_BCE.LT002_INSTRUMENT WHERE ref_date='${ref_date}' AND nome_perimetro='Individual Local' AND segmento='ESTR' AND ambito='PM' AND entidade='00100')X INNER JOIN (SELECT instrmnt_id AS CHAVE_SIMUL, dt_cmplnt_mrtr_stts_c19 AS CAMPO_SIMUL FROM BU_LOANTAPE_WORK.LT002_INSTRUMENT WHERE ref_date='${ref_date}' AND nome_perimetro='Individual Local' AND segmento='ESTR' AND ambito='PM' AND entidade='00100')Y ON X.CHAVE_IT=Y.CHAVE_SIMUL</v>
      </c>
      <c r="O195" s="35" t="s">
        <v>35</v>
      </c>
    </row>
    <row r="196" spans="1:15">
      <c r="A196" s="57" t="str">
        <f t="shared" si="6"/>
        <v>Instrumentdt_cmplnt_mrtr_stts_prvs_c19</v>
      </c>
      <c r="B196" s="32" t="s">
        <v>9</v>
      </c>
      <c r="C196" s="32" t="s">
        <v>369</v>
      </c>
      <c r="D196" s="32" t="s">
        <v>5</v>
      </c>
      <c r="E196" s="32" t="str">
        <f>+UPPER('0. Instruções'!$D$35&amp;"."&amp;VLOOKUP(B196,'0. Instruções'!$C$27:$D$32,2,FALSE))</f>
        <v>CD_LOAN_TAPES_BCE.LT002_INSTRUMENT</v>
      </c>
      <c r="F196" s="32" t="str">
        <f>+UPPER('0. Instruções'!$D$36&amp;"."&amp;VLOOKUP(B196,'0. Instruções'!$C$27:$E$32,3,FALSE))</f>
        <v>BU_LOANTAPE_WORK.LT002_INSTRUMENT</v>
      </c>
      <c r="H196" s="32"/>
      <c r="I196" s="32"/>
      <c r="J196" s="32" t="str">
        <f>IF(VLOOKUP(B196,'0. Instruções'!$C$27:$G$32,5,FALSE)=0,
"(SELECT "&amp;VLOOKUP(B196,'0. Instruções'!$C$27:$G$32,4,FALSE)&amp;" AS CHAVE_IT, "&amp;C196&amp;" AS CAMPO_IT FROM "&amp;E196&amp;" WHERE "&amp;'0. Instruções'!$D$43&amp;")X",
"(SELECT "&amp;VLOOKUP(B196,'0. Instruções'!$C$27:$G$32,4,FALSE)&amp;" AS CHAVE_IT1, "&amp;VLOOKUP(B196,'0. Instruções'!$C$27:$G$32,5,FALSE)&amp;" AS CHAVE_IT2, "&amp;C196&amp;" AS CAMPO_IT FROM "&amp;E196&amp;" WHERE "&amp;'0. Instruções'!$D$43&amp;")X")</f>
        <v>(SELECT instrmnt_id AS CHAVE_IT, dt_cmplnt_mrtr_stts_prvs_c19 AS CAMPO_IT FROM CD_LOAN_TAPES_BCE.LT002_INSTRUMENT WHERE ref_date='${ref_date}' AND nome_perimetro='Individual Local' AND segmento='ESTR' AND ambito='PM' AND entidade='00100')X</v>
      </c>
      <c r="K196" s="32" t="str">
        <f>IF(VLOOKUP(B196,'0. Instruções'!$C$27:$G$32,5,FALSE)=0,
"(SELECT "&amp;VLOOKUP(B196,'0. Instruções'!$C$27:$G$32,4,FALSE)&amp;" AS CHAVE_SIMUL, "&amp;C196&amp;" AS CAMPO_SIMUL FROM "&amp;F196&amp;" WHERE "&amp;'0. Instruções'!$D$42&amp;")Y",
"(SELECT "&amp;VLOOKUP(B196,'0. Instruções'!$C$27:$G$32,4,FALSE)&amp;" AS CHAVE_SIMUL1, "&amp;VLOOKUP(B196,'0. Instruções'!$C$27:$G$32,5,FALSE)&amp;" AS CHAVE_SIMUL2, "&amp;C196&amp;" AS CAMPO_SIMUL FROM "&amp;F196&amp;" WHERE "&amp;'0. Instruções'!$D$42&amp;")Y")</f>
        <v>(SELECT instrmnt_id AS CHAVE_SIMUL, dt_cmplnt_mrtr_stts_prvs_c19 AS CAMPO_SIMUL FROM BU_LOANTAPE_WORK.LT002_INSTRUMENT WHERE ref_date='${ref_date}' AND nome_perimetro='Individual Local' AND segmento='ESTR' AND ambito='PM' AND entidade='00100')Y</v>
      </c>
      <c r="L196" s="32" t="str">
        <f>IF(VLOOKUP(B196,'0. Instruções'!$C$27:$G$32,5,FALSE)=0,
"ON X.CHAVE_IT=Y.CHAVE_SIMUL",
"ON X.CHAVE_IT1=Y.CHAVE_SIMUL1 AND X.CHAVE_IT2=Y.CHAVE_SIMUL2")</f>
        <v>ON X.CHAVE_IT=Y.CHAVE_SIMUL</v>
      </c>
      <c r="M196" s="32" t="str">
        <f>+IF(D196="Coerência",+IF(LEFT(H196,5)="FLOAT","SELECT '"&amp;UPPER(B196)&amp;"' AS TABELA, '"&amp;UPPER(D196)&amp;"' AS TIPOLOGIA_TESTE,'"&amp;E196&amp;"' AS TABELA_LT,'"&amp;F196&amp;"' AS TABELA_SIMUL,'"&amp;C196&amp;"'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"&amp;J196&amp;" INNER JOIN "&amp;K196&amp;" "&amp;L196,"SELECT '"&amp;UPPER(B196)&amp;"' AS TABELA, '"&amp;UPPER(D196)&amp;"' AS TIPOLOGIA_TESTE,'"&amp;E196&amp;"' AS TABELA_LT,'"&amp;F196&amp;"' AS TABELA_SIMUL,'"&amp;C196&amp;"'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"&amp;J196&amp;" INNER JOIN "&amp;K196&amp;" "&amp;L196))</f>
        <v>SELECT 'INSTRUMENT' AS TABELA, 'COERÊNCIA' AS TIPOLOGIA_TESTE,'CD_LOAN_TAPES_BCE.LT002_INSTRUMENT' AS TABELA_LT,'BU_LOANTAPE_WORK.LT002_INSTRUMENT' AS TABELA_SIMUL,'dt_cmplnt_mrtr_stts_prvs_c19'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dt_cmplnt_mrtr_stts_prvs_c19 AS CAMPO_IT FROM CD_LOAN_TAPES_BCE.LT002_INSTRUMENT WHERE ref_date='${ref_date}' AND nome_perimetro='Individual Local' AND segmento='ESTR' AND ambito='PM' AND entidade='00100')X INNER JOIN (SELECT instrmnt_id AS CHAVE_SIMUL, dt_cmplnt_mrtr_stts_prvs_c19 AS CAMPO_SIMUL FROM BU_LOANTAPE_WORK.LT002_INSTRUMENT WHERE ref_date='${ref_date}' AND nome_perimetro='Individual Local' AND segmento='ESTR' AND ambito='PM' AND entidade='00100')Y ON X.CHAVE_IT=Y.CHAVE_SIMUL</v>
      </c>
      <c r="N196" s="33" t="str">
        <f t="shared" si="7"/>
        <v>UNION ALL SELECT 'INSTRUMENT' AS TABELA, 'COERÊNCIA' AS TIPOLOGIA_TESTE,'CD_LOAN_TAPES_BCE.LT002_INSTRUMENT' AS TABELA_LT,'BU_LOANTAPE_WORK.LT002_INSTRUMENT' AS TABELA_SIMUL,'dt_cmplnt_mrtr_stts_prvs_c19'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dt_cmplnt_mrtr_stts_prvs_c19 AS CAMPO_IT FROM CD_LOAN_TAPES_BCE.LT002_INSTRUMENT WHERE ref_date='${ref_date}' AND nome_perimetro='Individual Local' AND segmento='ESTR' AND ambito='PM' AND entidade='00100')X INNER JOIN (SELECT instrmnt_id AS CHAVE_SIMUL, dt_cmplnt_mrtr_stts_prvs_c19 AS CAMPO_SIMUL FROM BU_LOANTAPE_WORK.LT002_INSTRUMENT WHERE ref_date='${ref_date}' AND nome_perimetro='Individual Local' AND segmento='ESTR' AND ambito='PM' AND entidade='00100')Y ON X.CHAVE_IT=Y.CHAVE_SIMUL</v>
      </c>
      <c r="O196" s="35" t="s">
        <v>35</v>
      </c>
    </row>
    <row r="197" spans="1:15">
      <c r="A197" s="57" t="str">
        <f t="shared" si="6"/>
        <v>Instrumentmtrty_ltst_mrtr_c19</v>
      </c>
      <c r="B197" s="32" t="s">
        <v>9</v>
      </c>
      <c r="C197" s="32" t="s">
        <v>370</v>
      </c>
      <c r="D197" s="32" t="s">
        <v>5</v>
      </c>
      <c r="E197" s="32" t="str">
        <f>+UPPER('0. Instruções'!$D$35&amp;"."&amp;VLOOKUP(B197,'0. Instruções'!$C$27:$D$32,2,FALSE))</f>
        <v>CD_LOAN_TAPES_BCE.LT002_INSTRUMENT</v>
      </c>
      <c r="F197" s="32" t="str">
        <f>+UPPER('0. Instruções'!$D$36&amp;"."&amp;VLOOKUP(B197,'0. Instruções'!$C$27:$E$32,3,FALSE))</f>
        <v>BU_LOANTAPE_WORK.LT002_INSTRUMENT</v>
      </c>
      <c r="H197" s="32"/>
      <c r="I197" s="32"/>
      <c r="J197" s="32" t="str">
        <f>IF(VLOOKUP(B197,'0. Instruções'!$C$27:$G$32,5,FALSE)=0,
"(SELECT "&amp;VLOOKUP(B197,'0. Instruções'!$C$27:$G$32,4,FALSE)&amp;" AS CHAVE_IT, "&amp;C197&amp;" AS CAMPO_IT FROM "&amp;E197&amp;" WHERE "&amp;'0. Instruções'!$D$43&amp;")X",
"(SELECT "&amp;VLOOKUP(B197,'0. Instruções'!$C$27:$G$32,4,FALSE)&amp;" AS CHAVE_IT1, "&amp;VLOOKUP(B197,'0. Instruções'!$C$27:$G$32,5,FALSE)&amp;" AS CHAVE_IT2, "&amp;C197&amp;" AS CAMPO_IT FROM "&amp;E197&amp;" WHERE "&amp;'0. Instruções'!$D$43&amp;")X")</f>
        <v>(SELECT instrmnt_id AS CHAVE_IT, mtrty_ltst_mrtr_c19 AS CAMPO_IT FROM CD_LOAN_TAPES_BCE.LT002_INSTRUMENT WHERE ref_date='${ref_date}' AND nome_perimetro='Individual Local' AND segmento='ESTR' AND ambito='PM' AND entidade='00100')X</v>
      </c>
      <c r="K197" s="32" t="str">
        <f>IF(VLOOKUP(B197,'0. Instruções'!$C$27:$G$32,5,FALSE)=0,
"(SELECT "&amp;VLOOKUP(B197,'0. Instruções'!$C$27:$G$32,4,FALSE)&amp;" AS CHAVE_SIMUL, "&amp;C197&amp;" AS CAMPO_SIMUL FROM "&amp;F197&amp;" WHERE "&amp;'0. Instruções'!$D$42&amp;")Y",
"(SELECT "&amp;VLOOKUP(B197,'0. Instruções'!$C$27:$G$32,4,FALSE)&amp;" AS CHAVE_SIMUL1, "&amp;VLOOKUP(B197,'0. Instruções'!$C$27:$G$32,5,FALSE)&amp;" AS CHAVE_SIMUL2, "&amp;C197&amp;" AS CAMPO_SIMUL FROM "&amp;F197&amp;" WHERE "&amp;'0. Instruções'!$D$42&amp;")Y")</f>
        <v>(SELECT instrmnt_id AS CHAVE_SIMUL, mtrty_ltst_mrtr_c19 AS CAMPO_SIMUL FROM BU_LOANTAPE_WORK.LT002_INSTRUMENT WHERE ref_date='${ref_date}' AND nome_perimetro='Individual Local' AND segmento='ESTR' AND ambito='PM' AND entidade='00100')Y</v>
      </c>
      <c r="L197" s="32" t="str">
        <f>IF(VLOOKUP(B197,'0. Instruções'!$C$27:$G$32,5,FALSE)=0,
"ON X.CHAVE_IT=Y.CHAVE_SIMUL",
"ON X.CHAVE_IT1=Y.CHAVE_SIMUL1 AND X.CHAVE_IT2=Y.CHAVE_SIMUL2")</f>
        <v>ON X.CHAVE_IT=Y.CHAVE_SIMUL</v>
      </c>
      <c r="M197" s="32" t="str">
        <f>+IF(D197="Coerência",+IF(LEFT(H197,5)="FLOAT","SELECT '"&amp;UPPER(B197)&amp;"' AS TABELA, '"&amp;UPPER(D197)&amp;"' AS TIPOLOGIA_TESTE,'"&amp;E197&amp;"' AS TABELA_LT,'"&amp;F197&amp;"' AS TABELA_SIMUL,'"&amp;C197&amp;"'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"&amp;J197&amp;" INNER JOIN "&amp;K197&amp;" "&amp;L197,"SELECT '"&amp;UPPER(B197)&amp;"' AS TABELA, '"&amp;UPPER(D197)&amp;"' AS TIPOLOGIA_TESTE,'"&amp;E197&amp;"' AS TABELA_LT,'"&amp;F197&amp;"' AS TABELA_SIMUL,'"&amp;C197&amp;"'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"&amp;J197&amp;" INNER JOIN "&amp;K197&amp;" "&amp;L197))</f>
        <v>SELECT 'INSTRUMENT' AS TABELA, 'COERÊNCIA' AS TIPOLOGIA_TESTE,'CD_LOAN_TAPES_BCE.LT002_INSTRUMENT' AS TABELA_LT,'BU_LOANTAPE_WORK.LT002_INSTRUMENT' AS TABELA_SIMUL,'mtrty_ltst_mrtr_c19'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mtrty_ltst_mrtr_c19 AS CAMPO_IT FROM CD_LOAN_TAPES_BCE.LT002_INSTRUMENT WHERE ref_date='${ref_date}' AND nome_perimetro='Individual Local' AND segmento='ESTR' AND ambito='PM' AND entidade='00100')X INNER JOIN (SELECT instrmnt_id AS CHAVE_SIMUL, mtrty_ltst_mrtr_c19 AS CAMPO_SIMUL FROM BU_LOANTAPE_WORK.LT002_INSTRUMENT WHERE ref_date='${ref_date}' AND nome_perimetro='Individual Local' AND segmento='ESTR' AND ambito='PM' AND entidade='00100')Y ON X.CHAVE_IT=Y.CHAVE_SIMUL</v>
      </c>
      <c r="N197" s="33" t="str">
        <f t="shared" si="7"/>
        <v>UNION ALL SELECT 'INSTRUMENT' AS TABELA, 'COERÊNCIA' AS TIPOLOGIA_TESTE,'CD_LOAN_TAPES_BCE.LT002_INSTRUMENT' AS TABELA_LT,'BU_LOANTAPE_WORK.LT002_INSTRUMENT' AS TABELA_SIMUL,'mtrty_ltst_mrtr_c19'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mtrty_ltst_mrtr_c19 AS CAMPO_IT FROM CD_LOAN_TAPES_BCE.LT002_INSTRUMENT WHERE ref_date='${ref_date}' AND nome_perimetro='Individual Local' AND segmento='ESTR' AND ambito='PM' AND entidade='00100')X INNER JOIN (SELECT instrmnt_id AS CHAVE_SIMUL, mtrty_ltst_mrtr_c19 AS CAMPO_SIMUL FROM BU_LOANTAPE_WORK.LT002_INSTRUMENT WHERE ref_date='${ref_date}' AND nome_perimetro='Individual Local' AND segmento='ESTR' AND ambito='PM' AND entidade='00100')Y ON X.CHAVE_IT=Y.CHAVE_SIMUL</v>
      </c>
      <c r="O197" s="35" t="s">
        <v>35</v>
      </c>
    </row>
    <row r="198" spans="1:15">
      <c r="A198" s="57" t="str">
        <f t="shared" si="6"/>
        <v>Instrumenttyp_cmplnt_mrtr_c19</v>
      </c>
      <c r="B198" s="32" t="s">
        <v>9</v>
      </c>
      <c r="C198" s="32" t="s">
        <v>371</v>
      </c>
      <c r="D198" s="32" t="s">
        <v>5</v>
      </c>
      <c r="E198" s="32" t="str">
        <f>+UPPER('0. Instruções'!$D$35&amp;"."&amp;VLOOKUP(B198,'0. Instruções'!$C$27:$D$32,2,FALSE))</f>
        <v>CD_LOAN_TAPES_BCE.LT002_INSTRUMENT</v>
      </c>
      <c r="F198" s="32" t="str">
        <f>+UPPER('0. Instruções'!$D$36&amp;"."&amp;VLOOKUP(B198,'0. Instruções'!$C$27:$E$32,3,FALSE))</f>
        <v>BU_LOANTAPE_WORK.LT002_INSTRUMENT</v>
      </c>
      <c r="H198" s="32"/>
      <c r="I198" s="32"/>
      <c r="J198" s="32" t="str">
        <f>IF(VLOOKUP(B198,'0. Instruções'!$C$27:$G$32,5,FALSE)=0,
"(SELECT "&amp;VLOOKUP(B198,'0. Instruções'!$C$27:$G$32,4,FALSE)&amp;" AS CHAVE_IT, "&amp;C198&amp;" AS CAMPO_IT FROM "&amp;E198&amp;" WHERE "&amp;'0. Instruções'!$D$43&amp;")X",
"(SELECT "&amp;VLOOKUP(B198,'0. Instruções'!$C$27:$G$32,4,FALSE)&amp;" AS CHAVE_IT1, "&amp;VLOOKUP(B198,'0. Instruções'!$C$27:$G$32,5,FALSE)&amp;" AS CHAVE_IT2, "&amp;C198&amp;" AS CAMPO_IT FROM "&amp;E198&amp;" WHERE "&amp;'0. Instruções'!$D$43&amp;")X")</f>
        <v>(SELECT instrmnt_id AS CHAVE_IT, typ_cmplnt_mrtr_c19 AS CAMPO_IT FROM CD_LOAN_TAPES_BCE.LT002_INSTRUMENT WHERE ref_date='${ref_date}' AND nome_perimetro='Individual Local' AND segmento='ESTR' AND ambito='PM' AND entidade='00100')X</v>
      </c>
      <c r="K198" s="32" t="str">
        <f>IF(VLOOKUP(B198,'0. Instruções'!$C$27:$G$32,5,FALSE)=0,
"(SELECT "&amp;VLOOKUP(B198,'0. Instruções'!$C$27:$G$32,4,FALSE)&amp;" AS CHAVE_SIMUL, "&amp;C198&amp;" AS CAMPO_SIMUL FROM "&amp;F198&amp;" WHERE "&amp;'0. Instruções'!$D$42&amp;")Y",
"(SELECT "&amp;VLOOKUP(B198,'0. Instruções'!$C$27:$G$32,4,FALSE)&amp;" AS CHAVE_SIMUL1, "&amp;VLOOKUP(B198,'0. Instruções'!$C$27:$G$32,5,FALSE)&amp;" AS CHAVE_SIMUL2, "&amp;C198&amp;" AS CAMPO_SIMUL FROM "&amp;F198&amp;" WHERE "&amp;'0. Instruções'!$D$42&amp;")Y")</f>
        <v>(SELECT instrmnt_id AS CHAVE_SIMUL, typ_cmplnt_mrtr_c19 AS CAMPO_SIMUL FROM BU_LOANTAPE_WORK.LT002_INSTRUMENT WHERE ref_date='${ref_date}' AND nome_perimetro='Individual Local' AND segmento='ESTR' AND ambito='PM' AND entidade='00100')Y</v>
      </c>
      <c r="L198" s="32" t="str">
        <f>IF(VLOOKUP(B198,'0. Instruções'!$C$27:$G$32,5,FALSE)=0,
"ON X.CHAVE_IT=Y.CHAVE_SIMUL",
"ON X.CHAVE_IT1=Y.CHAVE_SIMUL1 AND X.CHAVE_IT2=Y.CHAVE_SIMUL2")</f>
        <v>ON X.CHAVE_IT=Y.CHAVE_SIMUL</v>
      </c>
      <c r="M198" s="32" t="str">
        <f>+IF(D198="Coerência",+IF(LEFT(H198,5)="FLOAT","SELECT '"&amp;UPPER(B198)&amp;"' AS TABELA, '"&amp;UPPER(D198)&amp;"' AS TIPOLOGIA_TESTE,'"&amp;E198&amp;"' AS TABELA_LT,'"&amp;F198&amp;"' AS TABELA_SIMUL,'"&amp;C198&amp;"'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"&amp;J198&amp;" INNER JOIN "&amp;K198&amp;" "&amp;L198,"SELECT '"&amp;UPPER(B198)&amp;"' AS TABELA, '"&amp;UPPER(D198)&amp;"' AS TIPOLOGIA_TESTE,'"&amp;E198&amp;"' AS TABELA_LT,'"&amp;F198&amp;"' AS TABELA_SIMUL,'"&amp;C198&amp;"'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"&amp;J198&amp;" INNER JOIN "&amp;K198&amp;" "&amp;L198))</f>
        <v>SELECT 'INSTRUMENT' AS TABELA, 'COERÊNCIA' AS TIPOLOGIA_TESTE,'CD_LOAN_TAPES_BCE.LT002_INSTRUMENT' AS TABELA_LT,'BU_LOANTAPE_WORK.LT002_INSTRUMENT' AS TABELA_SIMUL,'typ_cmplnt_mrtr_c19'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typ_cmplnt_mrtr_c19 AS CAMPO_IT FROM CD_LOAN_TAPES_BCE.LT002_INSTRUMENT WHERE ref_date='${ref_date}' AND nome_perimetro='Individual Local' AND segmento='ESTR' AND ambito='PM' AND entidade='00100')X INNER JOIN (SELECT instrmnt_id AS CHAVE_SIMUL, typ_cmplnt_mrtr_c19 AS CAMPO_SIMUL FROM BU_LOANTAPE_WORK.LT002_INSTRUMENT WHERE ref_date='${ref_date}' AND nome_perimetro='Individual Local' AND segmento='ESTR' AND ambito='PM' AND entidade='00100')Y ON X.CHAVE_IT=Y.CHAVE_SIMUL</v>
      </c>
      <c r="N198" s="33" t="str">
        <f t="shared" si="7"/>
        <v>UNION ALL SELECT 'INSTRUMENT' AS TABELA, 'COERÊNCIA' AS TIPOLOGIA_TESTE,'CD_LOAN_TAPES_BCE.LT002_INSTRUMENT' AS TABELA_LT,'BU_LOANTAPE_WORK.LT002_INSTRUMENT' AS TABELA_SIMUL,'typ_cmplnt_mrtr_c19'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typ_cmplnt_mrtr_c19 AS CAMPO_IT FROM CD_LOAN_TAPES_BCE.LT002_INSTRUMENT WHERE ref_date='${ref_date}' AND nome_perimetro='Individual Local' AND segmento='ESTR' AND ambito='PM' AND entidade='00100')X INNER JOIN (SELECT instrmnt_id AS CHAVE_SIMUL, typ_cmplnt_mrtr_c19 AS CAMPO_SIMUL FROM BU_LOANTAPE_WORK.LT002_INSTRUMENT WHERE ref_date='${ref_date}' AND nome_perimetro='Individual Local' AND segmento='ESTR' AND ambito='PM' AND entidade='00100')Y ON X.CHAVE_IT=Y.CHAVE_SIMUL</v>
      </c>
      <c r="O198" s="35" t="s">
        <v>35</v>
      </c>
    </row>
    <row r="199" spans="1:15">
      <c r="A199" s="57" t="str">
        <f t="shared" si="6"/>
        <v>Instrumentgrc_prd_cptl_intrst_c19</v>
      </c>
      <c r="B199" s="32" t="s">
        <v>9</v>
      </c>
      <c r="C199" s="32" t="s">
        <v>372</v>
      </c>
      <c r="D199" s="32" t="s">
        <v>5</v>
      </c>
      <c r="E199" s="32" t="str">
        <f>+UPPER('0. Instruções'!$D$35&amp;"."&amp;VLOOKUP(B199,'0. Instruções'!$C$27:$D$32,2,FALSE))</f>
        <v>CD_LOAN_TAPES_BCE.LT002_INSTRUMENT</v>
      </c>
      <c r="F199" s="32" t="str">
        <f>+UPPER('0. Instruções'!$D$36&amp;"."&amp;VLOOKUP(B199,'0. Instruções'!$C$27:$E$32,3,FALSE))</f>
        <v>BU_LOANTAPE_WORK.LT002_INSTRUMENT</v>
      </c>
      <c r="H199" s="32"/>
      <c r="I199" s="32"/>
      <c r="J199" s="32" t="str">
        <f>IF(VLOOKUP(B199,'0. Instruções'!$C$27:$G$32,5,FALSE)=0,
"(SELECT "&amp;VLOOKUP(B199,'0. Instruções'!$C$27:$G$32,4,FALSE)&amp;" AS CHAVE_IT, "&amp;C199&amp;" AS CAMPO_IT FROM "&amp;E199&amp;" WHERE "&amp;'0. Instruções'!$D$43&amp;")X",
"(SELECT "&amp;VLOOKUP(B199,'0. Instruções'!$C$27:$G$32,4,FALSE)&amp;" AS CHAVE_IT1, "&amp;VLOOKUP(B199,'0. Instruções'!$C$27:$G$32,5,FALSE)&amp;" AS CHAVE_IT2, "&amp;C199&amp;" AS CAMPO_IT FROM "&amp;E199&amp;" WHERE "&amp;'0. Instruções'!$D$43&amp;")X")</f>
        <v>(SELECT instrmnt_id AS CHAVE_IT, grc_prd_cptl_intrst_c19 AS CAMPO_IT FROM CD_LOAN_TAPES_BCE.LT002_INSTRUMENT WHERE ref_date='${ref_date}' AND nome_perimetro='Individual Local' AND segmento='ESTR' AND ambito='PM' AND entidade='00100')X</v>
      </c>
      <c r="K199" s="32" t="str">
        <f>IF(VLOOKUP(B199,'0. Instruções'!$C$27:$G$32,5,FALSE)=0,
"(SELECT "&amp;VLOOKUP(B199,'0. Instruções'!$C$27:$G$32,4,FALSE)&amp;" AS CHAVE_SIMUL, "&amp;C199&amp;" AS CAMPO_SIMUL FROM "&amp;F199&amp;" WHERE "&amp;'0. Instruções'!$D$42&amp;")Y",
"(SELECT "&amp;VLOOKUP(B199,'0. Instruções'!$C$27:$G$32,4,FALSE)&amp;" AS CHAVE_SIMUL1, "&amp;VLOOKUP(B199,'0. Instruções'!$C$27:$G$32,5,FALSE)&amp;" AS CHAVE_SIMUL2, "&amp;C199&amp;" AS CAMPO_SIMUL FROM "&amp;F199&amp;" WHERE "&amp;'0. Instruções'!$D$42&amp;")Y")</f>
        <v>(SELECT instrmnt_id AS CHAVE_SIMUL, grc_prd_cptl_intrst_c19 AS CAMPO_SIMUL FROM BU_LOANTAPE_WORK.LT002_INSTRUMENT WHERE ref_date='${ref_date}' AND nome_perimetro='Individual Local' AND segmento='ESTR' AND ambito='PM' AND entidade='00100')Y</v>
      </c>
      <c r="L199" s="32" t="str">
        <f>IF(VLOOKUP(B199,'0. Instruções'!$C$27:$G$32,5,FALSE)=0,
"ON X.CHAVE_IT=Y.CHAVE_SIMUL",
"ON X.CHAVE_IT1=Y.CHAVE_SIMUL1 AND X.CHAVE_IT2=Y.CHAVE_SIMUL2")</f>
        <v>ON X.CHAVE_IT=Y.CHAVE_SIMUL</v>
      </c>
      <c r="M199" s="32" t="str">
        <f>+IF(D199="Coerência",+IF(LEFT(H199,5)="FLOAT","SELECT '"&amp;UPPER(B199)&amp;"' AS TABELA, '"&amp;UPPER(D199)&amp;"' AS TIPOLOGIA_TESTE,'"&amp;E199&amp;"' AS TABELA_LT,'"&amp;F199&amp;"' AS TABELA_SIMUL,'"&amp;C199&amp;"'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"&amp;J199&amp;" INNER JOIN "&amp;K199&amp;" "&amp;L199,"SELECT '"&amp;UPPER(B199)&amp;"' AS TABELA, '"&amp;UPPER(D199)&amp;"' AS TIPOLOGIA_TESTE,'"&amp;E199&amp;"' AS TABELA_LT,'"&amp;F199&amp;"' AS TABELA_SIMUL,'"&amp;C199&amp;"'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"&amp;J199&amp;" INNER JOIN "&amp;K199&amp;" "&amp;L199))</f>
        <v>SELECT 'INSTRUMENT' AS TABELA, 'COERÊNCIA' AS TIPOLOGIA_TESTE,'CD_LOAN_TAPES_BCE.LT002_INSTRUMENT' AS TABELA_LT,'BU_LOANTAPE_WORK.LT002_INSTRUMENT' AS TABELA_SIMUL,'grc_prd_cptl_intrst_c19'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grc_prd_cptl_intrst_c19 AS CAMPO_IT FROM CD_LOAN_TAPES_BCE.LT002_INSTRUMENT WHERE ref_date='${ref_date}' AND nome_perimetro='Individual Local' AND segmento='ESTR' AND ambito='PM' AND entidade='00100')X INNER JOIN (SELECT instrmnt_id AS CHAVE_SIMUL, grc_prd_cptl_intrst_c19 AS CAMPO_SIMUL FROM BU_LOANTAPE_WORK.LT002_INSTRUMENT WHERE ref_date='${ref_date}' AND nome_perimetro='Individual Local' AND segmento='ESTR' AND ambito='PM' AND entidade='00100')Y ON X.CHAVE_IT=Y.CHAVE_SIMUL</v>
      </c>
      <c r="N199" s="33" t="str">
        <f t="shared" si="7"/>
        <v>UNION ALL SELECT 'INSTRUMENT' AS TABELA, 'COERÊNCIA' AS TIPOLOGIA_TESTE,'CD_LOAN_TAPES_BCE.LT002_INSTRUMENT' AS TABELA_LT,'BU_LOANTAPE_WORK.LT002_INSTRUMENT' AS TABELA_SIMUL,'grc_prd_cptl_intrst_c19'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grc_prd_cptl_intrst_c19 AS CAMPO_IT FROM CD_LOAN_TAPES_BCE.LT002_INSTRUMENT WHERE ref_date='${ref_date}' AND nome_perimetro='Individual Local' AND segmento='ESTR' AND ambito='PM' AND entidade='00100')X INNER JOIN (SELECT instrmnt_id AS CHAVE_SIMUL, grc_prd_cptl_intrst_c19 AS CAMPO_SIMUL FROM BU_LOANTAPE_WORK.LT002_INSTRUMENT WHERE ref_date='${ref_date}' AND nome_perimetro='Individual Local' AND segmento='ESTR' AND ambito='PM' AND entidade='00100')Y ON X.CHAVE_IT=Y.CHAVE_SIMUL</v>
      </c>
      <c r="O199" s="35" t="s">
        <v>35</v>
      </c>
    </row>
    <row r="200" spans="1:15">
      <c r="A200" s="57" t="str">
        <f t="shared" si="6"/>
        <v>Instrumentcmplnt_mrtr_c19_nm</v>
      </c>
      <c r="B200" s="32" t="s">
        <v>9</v>
      </c>
      <c r="C200" s="32" t="s">
        <v>373</v>
      </c>
      <c r="D200" s="32" t="s">
        <v>5</v>
      </c>
      <c r="E200" s="32" t="str">
        <f>+UPPER('0. Instruções'!$D$35&amp;"."&amp;VLOOKUP(B200,'0. Instruções'!$C$27:$D$32,2,FALSE))</f>
        <v>CD_LOAN_TAPES_BCE.LT002_INSTRUMENT</v>
      </c>
      <c r="F200" s="32" t="str">
        <f>+UPPER('0. Instruções'!$D$36&amp;"."&amp;VLOOKUP(B200,'0. Instruções'!$C$27:$E$32,3,FALSE))</f>
        <v>BU_LOANTAPE_WORK.LT002_INSTRUMENT</v>
      </c>
      <c r="H200" s="32"/>
      <c r="I200" s="32"/>
      <c r="J200" s="32" t="str">
        <f>IF(VLOOKUP(B200,'0. Instruções'!$C$27:$G$32,5,FALSE)=0,
"(SELECT "&amp;VLOOKUP(B200,'0. Instruções'!$C$27:$G$32,4,FALSE)&amp;" AS CHAVE_IT, "&amp;C200&amp;" AS CAMPO_IT FROM "&amp;E200&amp;" WHERE "&amp;'0. Instruções'!$D$43&amp;")X",
"(SELECT "&amp;VLOOKUP(B200,'0. Instruções'!$C$27:$G$32,4,FALSE)&amp;" AS CHAVE_IT1, "&amp;VLOOKUP(B200,'0. Instruções'!$C$27:$G$32,5,FALSE)&amp;" AS CHAVE_IT2, "&amp;C200&amp;" AS CAMPO_IT FROM "&amp;E200&amp;" WHERE "&amp;'0. Instruções'!$D$43&amp;")X")</f>
        <v>(SELECT instrmnt_id AS CHAVE_IT, cmplnt_mrtr_c19_nm AS CAMPO_IT FROM CD_LOAN_TAPES_BCE.LT002_INSTRUMENT WHERE ref_date='${ref_date}' AND nome_perimetro='Individual Local' AND segmento='ESTR' AND ambito='PM' AND entidade='00100')X</v>
      </c>
      <c r="K200" s="32" t="str">
        <f>IF(VLOOKUP(B200,'0. Instruções'!$C$27:$G$32,5,FALSE)=0,
"(SELECT "&amp;VLOOKUP(B200,'0. Instruções'!$C$27:$G$32,4,FALSE)&amp;" AS CHAVE_SIMUL, "&amp;C200&amp;" AS CAMPO_SIMUL FROM "&amp;F200&amp;" WHERE "&amp;'0. Instruções'!$D$42&amp;")Y",
"(SELECT "&amp;VLOOKUP(B200,'0. Instruções'!$C$27:$G$32,4,FALSE)&amp;" AS CHAVE_SIMUL1, "&amp;VLOOKUP(B200,'0. Instruções'!$C$27:$G$32,5,FALSE)&amp;" AS CHAVE_SIMUL2, "&amp;C200&amp;" AS CAMPO_SIMUL FROM "&amp;F200&amp;" WHERE "&amp;'0. Instruções'!$D$42&amp;")Y")</f>
        <v>(SELECT instrmnt_id AS CHAVE_SIMUL, cmplnt_mrtr_c19_nm AS CAMPO_SIMUL FROM BU_LOANTAPE_WORK.LT002_INSTRUMENT WHERE ref_date='${ref_date}' AND nome_perimetro='Individual Local' AND segmento='ESTR' AND ambito='PM' AND entidade='00100')Y</v>
      </c>
      <c r="L200" s="32" t="str">
        <f>IF(VLOOKUP(B200,'0. Instruções'!$C$27:$G$32,5,FALSE)=0,
"ON X.CHAVE_IT=Y.CHAVE_SIMUL",
"ON X.CHAVE_IT1=Y.CHAVE_SIMUL1 AND X.CHAVE_IT2=Y.CHAVE_SIMUL2")</f>
        <v>ON X.CHAVE_IT=Y.CHAVE_SIMUL</v>
      </c>
      <c r="M200" s="32" t="str">
        <f>+IF(D200="Coerência",+IF(LEFT(H200,5)="FLOAT","SELECT '"&amp;UPPER(B200)&amp;"' AS TABELA, '"&amp;UPPER(D200)&amp;"' AS TIPOLOGIA_TESTE,'"&amp;E200&amp;"' AS TABELA_LT,'"&amp;F200&amp;"' AS TABELA_SIMUL,'"&amp;C200&amp;"'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"&amp;J200&amp;" INNER JOIN "&amp;K200&amp;" "&amp;L200,"SELECT '"&amp;UPPER(B200)&amp;"' AS TABELA, '"&amp;UPPER(D200)&amp;"' AS TIPOLOGIA_TESTE,'"&amp;E200&amp;"' AS TABELA_LT,'"&amp;F200&amp;"' AS TABELA_SIMUL,'"&amp;C200&amp;"'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"&amp;J200&amp;" INNER JOIN "&amp;K200&amp;" "&amp;L200))</f>
        <v>SELECT 'INSTRUMENT' AS TABELA, 'COERÊNCIA' AS TIPOLOGIA_TESTE,'CD_LOAN_TAPES_BCE.LT002_INSTRUMENT' AS TABELA_LT,'BU_LOANTAPE_WORK.LT002_INSTRUMENT' AS TABELA_SIMUL,'cmplnt_mrtr_c19_nm'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cmplnt_mrtr_c19_nm AS CAMPO_IT FROM CD_LOAN_TAPES_BCE.LT002_INSTRUMENT WHERE ref_date='${ref_date}' AND nome_perimetro='Individual Local' AND segmento='ESTR' AND ambito='PM' AND entidade='00100')X INNER JOIN (SELECT instrmnt_id AS CHAVE_SIMUL, cmplnt_mrtr_c19_nm AS CAMPO_SIMUL FROM BU_LOANTAPE_WORK.LT002_INSTRUMENT WHERE ref_date='${ref_date}' AND nome_perimetro='Individual Local' AND segmento='ESTR' AND ambito='PM' AND entidade='00100')Y ON X.CHAVE_IT=Y.CHAVE_SIMUL</v>
      </c>
      <c r="N200" s="33" t="str">
        <f t="shared" si="7"/>
        <v>UNION ALL SELECT 'INSTRUMENT' AS TABELA, 'COERÊNCIA' AS TIPOLOGIA_TESTE,'CD_LOAN_TAPES_BCE.LT002_INSTRUMENT' AS TABELA_LT,'BU_LOANTAPE_WORK.LT002_INSTRUMENT' AS TABELA_SIMUL,'cmplnt_mrtr_c19_nm'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cmplnt_mrtr_c19_nm AS CAMPO_IT FROM CD_LOAN_TAPES_BCE.LT002_INSTRUMENT WHERE ref_date='${ref_date}' AND nome_perimetro='Individual Local' AND segmento='ESTR' AND ambito='PM' AND entidade='00100')X INNER JOIN (SELECT instrmnt_id AS CHAVE_SIMUL, cmplnt_mrtr_c19_nm AS CAMPO_SIMUL FROM BU_LOANTAPE_WORK.LT002_INSTRUMENT WHERE ref_date='${ref_date}' AND nome_perimetro='Individual Local' AND segmento='ESTR' AND ambito='PM' AND entidade='00100')Y ON X.CHAVE_IT=Y.CHAVE_SIMUL</v>
      </c>
      <c r="O200" s="35" t="s">
        <v>35</v>
      </c>
    </row>
    <row r="201" spans="1:15">
      <c r="A201" s="57" t="str">
        <f t="shared" ref="A201:A264" si="8">+B201&amp;C201</f>
        <v>Instrumentfrbrnc_stts_c19</v>
      </c>
      <c r="B201" s="32" t="s">
        <v>9</v>
      </c>
      <c r="C201" s="32" t="s">
        <v>374</v>
      </c>
      <c r="D201" s="32" t="s">
        <v>5</v>
      </c>
      <c r="E201" s="32" t="str">
        <f>+UPPER('0. Instruções'!$D$35&amp;"."&amp;VLOOKUP(B201,'0. Instruções'!$C$27:$D$32,2,FALSE))</f>
        <v>CD_LOAN_TAPES_BCE.LT002_INSTRUMENT</v>
      </c>
      <c r="F201" s="32" t="str">
        <f>+UPPER('0. Instruções'!$D$36&amp;"."&amp;VLOOKUP(B201,'0. Instruções'!$C$27:$E$32,3,FALSE))</f>
        <v>BU_LOANTAPE_WORK.LT002_INSTRUMENT</v>
      </c>
      <c r="H201" s="32"/>
      <c r="I201" s="32"/>
      <c r="J201" s="32" t="str">
        <f>IF(VLOOKUP(B201,'0. Instruções'!$C$27:$G$32,5,FALSE)=0,
"(SELECT "&amp;VLOOKUP(B201,'0. Instruções'!$C$27:$G$32,4,FALSE)&amp;" AS CHAVE_IT, "&amp;C201&amp;" AS CAMPO_IT FROM "&amp;E201&amp;" WHERE "&amp;'0. Instruções'!$D$43&amp;")X",
"(SELECT "&amp;VLOOKUP(B201,'0. Instruções'!$C$27:$G$32,4,FALSE)&amp;" AS CHAVE_IT1, "&amp;VLOOKUP(B201,'0. Instruções'!$C$27:$G$32,5,FALSE)&amp;" AS CHAVE_IT2, "&amp;C201&amp;" AS CAMPO_IT FROM "&amp;E201&amp;" WHERE "&amp;'0. Instruções'!$D$43&amp;")X")</f>
        <v>(SELECT instrmnt_id AS CHAVE_IT, frbrnc_stts_c19 AS CAMPO_IT FROM CD_LOAN_TAPES_BCE.LT002_INSTRUMENT WHERE ref_date='${ref_date}' AND nome_perimetro='Individual Local' AND segmento='ESTR' AND ambito='PM' AND entidade='00100')X</v>
      </c>
      <c r="K201" s="32" t="str">
        <f>IF(VLOOKUP(B201,'0. Instruções'!$C$27:$G$32,5,FALSE)=0,
"(SELECT "&amp;VLOOKUP(B201,'0. Instruções'!$C$27:$G$32,4,FALSE)&amp;" AS CHAVE_SIMUL, "&amp;C201&amp;" AS CAMPO_SIMUL FROM "&amp;F201&amp;" WHERE "&amp;'0. Instruções'!$D$42&amp;")Y",
"(SELECT "&amp;VLOOKUP(B201,'0. Instruções'!$C$27:$G$32,4,FALSE)&amp;" AS CHAVE_SIMUL1, "&amp;VLOOKUP(B201,'0. Instruções'!$C$27:$G$32,5,FALSE)&amp;" AS CHAVE_SIMUL2, "&amp;C201&amp;" AS CAMPO_SIMUL FROM "&amp;F201&amp;" WHERE "&amp;'0. Instruções'!$D$42&amp;")Y")</f>
        <v>(SELECT instrmnt_id AS CHAVE_SIMUL, frbrnc_stts_c19 AS CAMPO_SIMUL FROM BU_LOANTAPE_WORK.LT002_INSTRUMENT WHERE ref_date='${ref_date}' AND nome_perimetro='Individual Local' AND segmento='ESTR' AND ambito='PM' AND entidade='00100')Y</v>
      </c>
      <c r="L201" s="32" t="str">
        <f>IF(VLOOKUP(B201,'0. Instruções'!$C$27:$G$32,5,FALSE)=0,
"ON X.CHAVE_IT=Y.CHAVE_SIMUL",
"ON X.CHAVE_IT1=Y.CHAVE_SIMUL1 AND X.CHAVE_IT2=Y.CHAVE_SIMUL2")</f>
        <v>ON X.CHAVE_IT=Y.CHAVE_SIMUL</v>
      </c>
      <c r="M201" s="32" t="str">
        <f>+IF(D201="Coerência",+IF(LEFT(H201,5)="FLOAT","SELECT '"&amp;UPPER(B201)&amp;"' AS TABELA, '"&amp;UPPER(D201)&amp;"' AS TIPOLOGIA_TESTE,'"&amp;E201&amp;"' AS TABELA_LT,'"&amp;F201&amp;"' AS TABELA_SIMUL,'"&amp;C201&amp;"'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"&amp;J201&amp;" INNER JOIN "&amp;K201&amp;" "&amp;L201,"SELECT '"&amp;UPPER(B201)&amp;"' AS TABELA, '"&amp;UPPER(D201)&amp;"' AS TIPOLOGIA_TESTE,'"&amp;E201&amp;"' AS TABELA_LT,'"&amp;F201&amp;"' AS TABELA_SIMUL,'"&amp;C201&amp;"'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"&amp;J201&amp;" INNER JOIN "&amp;K201&amp;" "&amp;L201))</f>
        <v>SELECT 'INSTRUMENT' AS TABELA, 'COERÊNCIA' AS TIPOLOGIA_TESTE,'CD_LOAN_TAPES_BCE.LT002_INSTRUMENT' AS TABELA_LT,'BU_LOANTAPE_WORK.LT002_INSTRUMENT' AS TABELA_SIMUL,'frbrnc_stts_c19'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frbrnc_stts_c19 AS CAMPO_IT FROM CD_LOAN_TAPES_BCE.LT002_INSTRUMENT WHERE ref_date='${ref_date}' AND nome_perimetro='Individual Local' AND segmento='ESTR' AND ambito='PM' AND entidade='00100')X INNER JOIN (SELECT instrmnt_id AS CHAVE_SIMUL, frbrnc_stts_c19 AS CAMPO_SIMUL FROM BU_LOANTAPE_WORK.LT002_INSTRUMENT WHERE ref_date='${ref_date}' AND nome_perimetro='Individual Local' AND segmento='ESTR' AND ambito='PM' AND entidade='00100')Y ON X.CHAVE_IT=Y.CHAVE_SIMUL</v>
      </c>
      <c r="N201" s="33" t="str">
        <f t="shared" si="7"/>
        <v>UNION ALL SELECT 'INSTRUMENT' AS TABELA, 'COERÊNCIA' AS TIPOLOGIA_TESTE,'CD_LOAN_TAPES_BCE.LT002_INSTRUMENT' AS TABELA_LT,'BU_LOANTAPE_WORK.LT002_INSTRUMENT' AS TABELA_SIMUL,'frbrnc_stts_c19'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frbrnc_stts_c19 AS CAMPO_IT FROM CD_LOAN_TAPES_BCE.LT002_INSTRUMENT WHERE ref_date='${ref_date}' AND nome_perimetro='Individual Local' AND segmento='ESTR' AND ambito='PM' AND entidade='00100')X INNER JOIN (SELECT instrmnt_id AS CHAVE_SIMUL, frbrnc_stts_c19 AS CAMPO_SIMUL FROM BU_LOANTAPE_WORK.LT002_INSTRUMENT WHERE ref_date='${ref_date}' AND nome_perimetro='Individual Local' AND segmento='ESTR' AND ambito='PM' AND entidade='00100')Y ON X.CHAVE_IT=Y.CHAVE_SIMUL</v>
      </c>
      <c r="O201" s="35" t="s">
        <v>35</v>
      </c>
    </row>
    <row r="202" spans="1:15">
      <c r="A202" s="57" t="str">
        <f t="shared" si="8"/>
        <v>Instrumentdt_frbrnc_stts_c19</v>
      </c>
      <c r="B202" s="32" t="s">
        <v>9</v>
      </c>
      <c r="C202" s="32" t="s">
        <v>375</v>
      </c>
      <c r="D202" s="32" t="s">
        <v>5</v>
      </c>
      <c r="E202" s="32" t="str">
        <f>+UPPER('0. Instruções'!$D$35&amp;"."&amp;VLOOKUP(B202,'0. Instruções'!$C$27:$D$32,2,FALSE))</f>
        <v>CD_LOAN_TAPES_BCE.LT002_INSTRUMENT</v>
      </c>
      <c r="F202" s="32" t="str">
        <f>+UPPER('0. Instruções'!$D$36&amp;"."&amp;VLOOKUP(B202,'0. Instruções'!$C$27:$E$32,3,FALSE))</f>
        <v>BU_LOANTAPE_WORK.LT002_INSTRUMENT</v>
      </c>
      <c r="H202" s="32"/>
      <c r="I202" s="32"/>
      <c r="J202" s="32" t="str">
        <f>IF(VLOOKUP(B202,'0. Instruções'!$C$27:$G$32,5,FALSE)=0,
"(SELECT "&amp;VLOOKUP(B202,'0. Instruções'!$C$27:$G$32,4,FALSE)&amp;" AS CHAVE_IT, "&amp;C202&amp;" AS CAMPO_IT FROM "&amp;E202&amp;" WHERE "&amp;'0. Instruções'!$D$43&amp;")X",
"(SELECT "&amp;VLOOKUP(B202,'0. Instruções'!$C$27:$G$32,4,FALSE)&amp;" AS CHAVE_IT1, "&amp;VLOOKUP(B202,'0. Instruções'!$C$27:$G$32,5,FALSE)&amp;" AS CHAVE_IT2, "&amp;C202&amp;" AS CAMPO_IT FROM "&amp;E202&amp;" WHERE "&amp;'0. Instruções'!$D$43&amp;")X")</f>
        <v>(SELECT instrmnt_id AS CHAVE_IT, dt_frbrnc_stts_c19 AS CAMPO_IT FROM CD_LOAN_TAPES_BCE.LT002_INSTRUMENT WHERE ref_date='${ref_date}' AND nome_perimetro='Individual Local' AND segmento='ESTR' AND ambito='PM' AND entidade='00100')X</v>
      </c>
      <c r="K202" s="32" t="str">
        <f>IF(VLOOKUP(B202,'0. Instruções'!$C$27:$G$32,5,FALSE)=0,
"(SELECT "&amp;VLOOKUP(B202,'0. Instruções'!$C$27:$G$32,4,FALSE)&amp;" AS CHAVE_SIMUL, "&amp;C202&amp;" AS CAMPO_SIMUL FROM "&amp;F202&amp;" WHERE "&amp;'0. Instruções'!$D$42&amp;")Y",
"(SELECT "&amp;VLOOKUP(B202,'0. Instruções'!$C$27:$G$32,4,FALSE)&amp;" AS CHAVE_SIMUL1, "&amp;VLOOKUP(B202,'0. Instruções'!$C$27:$G$32,5,FALSE)&amp;" AS CHAVE_SIMUL2, "&amp;C202&amp;" AS CAMPO_SIMUL FROM "&amp;F202&amp;" WHERE "&amp;'0. Instruções'!$D$42&amp;")Y")</f>
        <v>(SELECT instrmnt_id AS CHAVE_SIMUL, dt_frbrnc_stts_c19 AS CAMPO_SIMUL FROM BU_LOANTAPE_WORK.LT002_INSTRUMENT WHERE ref_date='${ref_date}' AND nome_perimetro='Individual Local' AND segmento='ESTR' AND ambito='PM' AND entidade='00100')Y</v>
      </c>
      <c r="L202" s="32" t="str">
        <f>IF(VLOOKUP(B202,'0. Instruções'!$C$27:$G$32,5,FALSE)=0,
"ON X.CHAVE_IT=Y.CHAVE_SIMUL",
"ON X.CHAVE_IT1=Y.CHAVE_SIMUL1 AND X.CHAVE_IT2=Y.CHAVE_SIMUL2")</f>
        <v>ON X.CHAVE_IT=Y.CHAVE_SIMUL</v>
      </c>
      <c r="M202" s="32" t="str">
        <f>+IF(D202="Coerência",+IF(LEFT(H202,5)="FLOAT","SELECT '"&amp;UPPER(B202)&amp;"' AS TABELA, '"&amp;UPPER(D202)&amp;"' AS TIPOLOGIA_TESTE,'"&amp;E202&amp;"' AS TABELA_LT,'"&amp;F202&amp;"' AS TABELA_SIMUL,'"&amp;C202&amp;"'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"&amp;J202&amp;" INNER JOIN "&amp;K202&amp;" "&amp;L202,"SELECT '"&amp;UPPER(B202)&amp;"' AS TABELA, '"&amp;UPPER(D202)&amp;"' AS TIPOLOGIA_TESTE,'"&amp;E202&amp;"' AS TABELA_LT,'"&amp;F202&amp;"' AS TABELA_SIMUL,'"&amp;C202&amp;"'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"&amp;J202&amp;" INNER JOIN "&amp;K202&amp;" "&amp;L202))</f>
        <v>SELECT 'INSTRUMENT' AS TABELA, 'COERÊNCIA' AS TIPOLOGIA_TESTE,'CD_LOAN_TAPES_BCE.LT002_INSTRUMENT' AS TABELA_LT,'BU_LOANTAPE_WORK.LT002_INSTRUMENT' AS TABELA_SIMUL,'dt_frbrnc_stts_c19'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dt_frbrnc_stts_c19 AS CAMPO_IT FROM CD_LOAN_TAPES_BCE.LT002_INSTRUMENT WHERE ref_date='${ref_date}' AND nome_perimetro='Individual Local' AND segmento='ESTR' AND ambito='PM' AND entidade='00100')X INNER JOIN (SELECT instrmnt_id AS CHAVE_SIMUL, dt_frbrnc_stts_c19 AS CAMPO_SIMUL FROM BU_LOANTAPE_WORK.LT002_INSTRUMENT WHERE ref_date='${ref_date}' AND nome_perimetro='Individual Local' AND segmento='ESTR' AND ambito='PM' AND entidade='00100')Y ON X.CHAVE_IT=Y.CHAVE_SIMUL</v>
      </c>
      <c r="N202" s="33" t="str">
        <f t="shared" si="7"/>
        <v>UNION ALL SELECT 'INSTRUMENT' AS TABELA, 'COERÊNCIA' AS TIPOLOGIA_TESTE,'CD_LOAN_TAPES_BCE.LT002_INSTRUMENT' AS TABELA_LT,'BU_LOANTAPE_WORK.LT002_INSTRUMENT' AS TABELA_SIMUL,'dt_frbrnc_stts_c19'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dt_frbrnc_stts_c19 AS CAMPO_IT FROM CD_LOAN_TAPES_BCE.LT002_INSTRUMENT WHERE ref_date='${ref_date}' AND nome_perimetro='Individual Local' AND segmento='ESTR' AND ambito='PM' AND entidade='00100')X INNER JOIN (SELECT instrmnt_id AS CHAVE_SIMUL, dt_frbrnc_stts_c19 AS CAMPO_SIMUL FROM BU_LOANTAPE_WORK.LT002_INSTRUMENT WHERE ref_date='${ref_date}' AND nome_perimetro='Individual Local' AND segmento='ESTR' AND ambito='PM' AND entidade='00100')Y ON X.CHAVE_IT=Y.CHAVE_SIMUL</v>
      </c>
      <c r="O202" s="35" t="s">
        <v>35</v>
      </c>
    </row>
    <row r="203" spans="1:15">
      <c r="A203" s="57" t="str">
        <f t="shared" si="8"/>
        <v>Instrumentdt_frbrnc_stts_prvs_c19</v>
      </c>
      <c r="B203" s="32" t="s">
        <v>9</v>
      </c>
      <c r="C203" s="32" t="s">
        <v>376</v>
      </c>
      <c r="D203" s="32" t="s">
        <v>5</v>
      </c>
      <c r="E203" s="32" t="str">
        <f>+UPPER('0. Instruções'!$D$35&amp;"."&amp;VLOOKUP(B203,'0. Instruções'!$C$27:$D$32,2,FALSE))</f>
        <v>CD_LOAN_TAPES_BCE.LT002_INSTRUMENT</v>
      </c>
      <c r="F203" s="32" t="str">
        <f>+UPPER('0. Instruções'!$D$36&amp;"."&amp;VLOOKUP(B203,'0. Instruções'!$C$27:$E$32,3,FALSE))</f>
        <v>BU_LOANTAPE_WORK.LT002_INSTRUMENT</v>
      </c>
      <c r="H203" s="32"/>
      <c r="I203" s="32"/>
      <c r="J203" s="32" t="str">
        <f>IF(VLOOKUP(B203,'0. Instruções'!$C$27:$G$32,5,FALSE)=0,
"(SELECT "&amp;VLOOKUP(B203,'0. Instruções'!$C$27:$G$32,4,FALSE)&amp;" AS CHAVE_IT, "&amp;C203&amp;" AS CAMPO_IT FROM "&amp;E203&amp;" WHERE "&amp;'0. Instruções'!$D$43&amp;")X",
"(SELECT "&amp;VLOOKUP(B203,'0. Instruções'!$C$27:$G$32,4,FALSE)&amp;" AS CHAVE_IT1, "&amp;VLOOKUP(B203,'0. Instruções'!$C$27:$G$32,5,FALSE)&amp;" AS CHAVE_IT2, "&amp;C203&amp;" AS CAMPO_IT FROM "&amp;E203&amp;" WHERE "&amp;'0. Instruções'!$D$43&amp;")X")</f>
        <v>(SELECT instrmnt_id AS CHAVE_IT, dt_frbrnc_stts_prvs_c19 AS CAMPO_IT FROM CD_LOAN_TAPES_BCE.LT002_INSTRUMENT WHERE ref_date='${ref_date}' AND nome_perimetro='Individual Local' AND segmento='ESTR' AND ambito='PM' AND entidade='00100')X</v>
      </c>
      <c r="K203" s="32" t="str">
        <f>IF(VLOOKUP(B203,'0. Instruções'!$C$27:$G$32,5,FALSE)=0,
"(SELECT "&amp;VLOOKUP(B203,'0. Instruções'!$C$27:$G$32,4,FALSE)&amp;" AS CHAVE_SIMUL, "&amp;C203&amp;" AS CAMPO_SIMUL FROM "&amp;F203&amp;" WHERE "&amp;'0. Instruções'!$D$42&amp;")Y",
"(SELECT "&amp;VLOOKUP(B203,'0. Instruções'!$C$27:$G$32,4,FALSE)&amp;" AS CHAVE_SIMUL1, "&amp;VLOOKUP(B203,'0. Instruções'!$C$27:$G$32,5,FALSE)&amp;" AS CHAVE_SIMUL2, "&amp;C203&amp;" AS CAMPO_SIMUL FROM "&amp;F203&amp;" WHERE "&amp;'0. Instruções'!$D$42&amp;")Y")</f>
        <v>(SELECT instrmnt_id AS CHAVE_SIMUL, dt_frbrnc_stts_prvs_c19 AS CAMPO_SIMUL FROM BU_LOANTAPE_WORK.LT002_INSTRUMENT WHERE ref_date='${ref_date}' AND nome_perimetro='Individual Local' AND segmento='ESTR' AND ambito='PM' AND entidade='00100')Y</v>
      </c>
      <c r="L203" s="32" t="str">
        <f>IF(VLOOKUP(B203,'0. Instruções'!$C$27:$G$32,5,FALSE)=0,
"ON X.CHAVE_IT=Y.CHAVE_SIMUL",
"ON X.CHAVE_IT1=Y.CHAVE_SIMUL1 AND X.CHAVE_IT2=Y.CHAVE_SIMUL2")</f>
        <v>ON X.CHAVE_IT=Y.CHAVE_SIMUL</v>
      </c>
      <c r="M203" s="32" t="str">
        <f>+IF(D203="Coerência",+IF(LEFT(H203,5)="FLOAT","SELECT '"&amp;UPPER(B203)&amp;"' AS TABELA, '"&amp;UPPER(D203)&amp;"' AS TIPOLOGIA_TESTE,'"&amp;E203&amp;"' AS TABELA_LT,'"&amp;F203&amp;"' AS TABELA_SIMUL,'"&amp;C203&amp;"'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"&amp;J203&amp;" INNER JOIN "&amp;K203&amp;" "&amp;L203,"SELECT '"&amp;UPPER(B203)&amp;"' AS TABELA, '"&amp;UPPER(D203)&amp;"' AS TIPOLOGIA_TESTE,'"&amp;E203&amp;"' AS TABELA_LT,'"&amp;F203&amp;"' AS TABELA_SIMUL,'"&amp;C203&amp;"'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"&amp;J203&amp;" INNER JOIN "&amp;K203&amp;" "&amp;L203))</f>
        <v>SELECT 'INSTRUMENT' AS TABELA, 'COERÊNCIA' AS TIPOLOGIA_TESTE,'CD_LOAN_TAPES_BCE.LT002_INSTRUMENT' AS TABELA_LT,'BU_LOANTAPE_WORK.LT002_INSTRUMENT' AS TABELA_SIMUL,'dt_frbrnc_stts_prvs_c19'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dt_frbrnc_stts_prvs_c19 AS CAMPO_IT FROM CD_LOAN_TAPES_BCE.LT002_INSTRUMENT WHERE ref_date='${ref_date}' AND nome_perimetro='Individual Local' AND segmento='ESTR' AND ambito='PM' AND entidade='00100')X INNER JOIN (SELECT instrmnt_id AS CHAVE_SIMUL, dt_frbrnc_stts_prvs_c19 AS CAMPO_SIMUL FROM BU_LOANTAPE_WORK.LT002_INSTRUMENT WHERE ref_date='${ref_date}' AND nome_perimetro='Individual Local' AND segmento='ESTR' AND ambito='PM' AND entidade='00100')Y ON X.CHAVE_IT=Y.CHAVE_SIMUL</v>
      </c>
      <c r="N203" s="33" t="str">
        <f t="shared" si="7"/>
        <v>UNION ALL SELECT 'INSTRUMENT' AS TABELA, 'COERÊNCIA' AS TIPOLOGIA_TESTE,'CD_LOAN_TAPES_BCE.LT002_INSTRUMENT' AS TABELA_LT,'BU_LOANTAPE_WORK.LT002_INSTRUMENT' AS TABELA_SIMUL,'dt_frbrnc_stts_prvs_c19'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dt_frbrnc_stts_prvs_c19 AS CAMPO_IT FROM CD_LOAN_TAPES_BCE.LT002_INSTRUMENT WHERE ref_date='${ref_date}' AND nome_perimetro='Individual Local' AND segmento='ESTR' AND ambito='PM' AND entidade='00100')X INNER JOIN (SELECT instrmnt_id AS CHAVE_SIMUL, dt_frbrnc_stts_prvs_c19 AS CAMPO_SIMUL FROM BU_LOANTAPE_WORK.LT002_INSTRUMENT WHERE ref_date='${ref_date}' AND nome_perimetro='Individual Local' AND segmento='ESTR' AND ambito='PM' AND entidade='00100')Y ON X.CHAVE_IT=Y.CHAVE_SIMUL</v>
      </c>
      <c r="O203" s="35" t="s">
        <v>35</v>
      </c>
    </row>
    <row r="204" spans="1:15">
      <c r="A204" s="57" t="str">
        <f t="shared" si="8"/>
        <v>Instrumentmtrty_ltst_frbrnc_msr_c19</v>
      </c>
      <c r="B204" s="32" t="s">
        <v>9</v>
      </c>
      <c r="C204" s="32" t="s">
        <v>377</v>
      </c>
      <c r="D204" s="32" t="s">
        <v>5</v>
      </c>
      <c r="E204" s="32" t="str">
        <f>+UPPER('0. Instruções'!$D$35&amp;"."&amp;VLOOKUP(B204,'0. Instruções'!$C$27:$D$32,2,FALSE))</f>
        <v>CD_LOAN_TAPES_BCE.LT002_INSTRUMENT</v>
      </c>
      <c r="F204" s="32" t="str">
        <f>+UPPER('0. Instruções'!$D$36&amp;"."&amp;VLOOKUP(B204,'0. Instruções'!$C$27:$E$32,3,FALSE))</f>
        <v>BU_LOANTAPE_WORK.LT002_INSTRUMENT</v>
      </c>
      <c r="H204" s="32"/>
      <c r="I204" s="32"/>
      <c r="J204" s="32" t="str">
        <f>IF(VLOOKUP(B204,'0. Instruções'!$C$27:$G$32,5,FALSE)=0,
"(SELECT "&amp;VLOOKUP(B204,'0. Instruções'!$C$27:$G$32,4,FALSE)&amp;" AS CHAVE_IT, "&amp;C204&amp;" AS CAMPO_IT FROM "&amp;E204&amp;" WHERE "&amp;'0. Instruções'!$D$43&amp;")X",
"(SELECT "&amp;VLOOKUP(B204,'0. Instruções'!$C$27:$G$32,4,FALSE)&amp;" AS CHAVE_IT1, "&amp;VLOOKUP(B204,'0. Instruções'!$C$27:$G$32,5,FALSE)&amp;" AS CHAVE_IT2, "&amp;C204&amp;" AS CAMPO_IT FROM "&amp;E204&amp;" WHERE "&amp;'0. Instruções'!$D$43&amp;")X")</f>
        <v>(SELECT instrmnt_id AS CHAVE_IT, mtrty_ltst_frbrnc_msr_c19 AS CAMPO_IT FROM CD_LOAN_TAPES_BCE.LT002_INSTRUMENT WHERE ref_date='${ref_date}' AND nome_perimetro='Individual Local' AND segmento='ESTR' AND ambito='PM' AND entidade='00100')X</v>
      </c>
      <c r="K204" s="32" t="str">
        <f>IF(VLOOKUP(B204,'0. Instruções'!$C$27:$G$32,5,FALSE)=0,
"(SELECT "&amp;VLOOKUP(B204,'0. Instruções'!$C$27:$G$32,4,FALSE)&amp;" AS CHAVE_SIMUL, "&amp;C204&amp;" AS CAMPO_SIMUL FROM "&amp;F204&amp;" WHERE "&amp;'0. Instruções'!$D$42&amp;")Y",
"(SELECT "&amp;VLOOKUP(B204,'0. Instruções'!$C$27:$G$32,4,FALSE)&amp;" AS CHAVE_SIMUL1, "&amp;VLOOKUP(B204,'0. Instruções'!$C$27:$G$32,5,FALSE)&amp;" AS CHAVE_SIMUL2, "&amp;C204&amp;" AS CAMPO_SIMUL FROM "&amp;F204&amp;" WHERE "&amp;'0. Instruções'!$D$42&amp;")Y")</f>
        <v>(SELECT instrmnt_id AS CHAVE_SIMUL, mtrty_ltst_frbrnc_msr_c19 AS CAMPO_SIMUL FROM BU_LOANTAPE_WORK.LT002_INSTRUMENT WHERE ref_date='${ref_date}' AND nome_perimetro='Individual Local' AND segmento='ESTR' AND ambito='PM' AND entidade='00100')Y</v>
      </c>
      <c r="L204" s="32" t="str">
        <f>IF(VLOOKUP(B204,'0. Instruções'!$C$27:$G$32,5,FALSE)=0,
"ON X.CHAVE_IT=Y.CHAVE_SIMUL",
"ON X.CHAVE_IT1=Y.CHAVE_SIMUL1 AND X.CHAVE_IT2=Y.CHAVE_SIMUL2")</f>
        <v>ON X.CHAVE_IT=Y.CHAVE_SIMUL</v>
      </c>
      <c r="M204" s="32" t="str">
        <f>+IF(D204="Coerência",+IF(LEFT(H204,5)="FLOAT","SELECT '"&amp;UPPER(B204)&amp;"' AS TABELA, '"&amp;UPPER(D204)&amp;"' AS TIPOLOGIA_TESTE,'"&amp;E204&amp;"' AS TABELA_LT,'"&amp;F204&amp;"' AS TABELA_SIMUL,'"&amp;C204&amp;"'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"&amp;J204&amp;" INNER JOIN "&amp;K204&amp;" "&amp;L204,"SELECT '"&amp;UPPER(B204)&amp;"' AS TABELA, '"&amp;UPPER(D204)&amp;"' AS TIPOLOGIA_TESTE,'"&amp;E204&amp;"' AS TABELA_LT,'"&amp;F204&amp;"' AS TABELA_SIMUL,'"&amp;C204&amp;"'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"&amp;J204&amp;" INNER JOIN "&amp;K204&amp;" "&amp;L204))</f>
        <v>SELECT 'INSTRUMENT' AS TABELA, 'COERÊNCIA' AS TIPOLOGIA_TESTE,'CD_LOAN_TAPES_BCE.LT002_INSTRUMENT' AS TABELA_LT,'BU_LOANTAPE_WORK.LT002_INSTRUMENT' AS TABELA_SIMUL,'mtrty_ltst_frbrnc_msr_c19'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mtrty_ltst_frbrnc_msr_c19 AS CAMPO_IT FROM CD_LOAN_TAPES_BCE.LT002_INSTRUMENT WHERE ref_date='${ref_date}' AND nome_perimetro='Individual Local' AND segmento='ESTR' AND ambito='PM' AND entidade='00100')X INNER JOIN (SELECT instrmnt_id AS CHAVE_SIMUL, mtrty_ltst_frbrnc_msr_c19 AS CAMPO_SIMUL FROM BU_LOANTAPE_WORK.LT002_INSTRUMENT WHERE ref_date='${ref_date}' AND nome_perimetro='Individual Local' AND segmento='ESTR' AND ambito='PM' AND entidade='00100')Y ON X.CHAVE_IT=Y.CHAVE_SIMUL</v>
      </c>
      <c r="N204" s="33" t="str">
        <f t="shared" si="7"/>
        <v>UNION ALL SELECT 'INSTRUMENT' AS TABELA, 'COERÊNCIA' AS TIPOLOGIA_TESTE,'CD_LOAN_TAPES_BCE.LT002_INSTRUMENT' AS TABELA_LT,'BU_LOANTAPE_WORK.LT002_INSTRUMENT' AS TABELA_SIMUL,'mtrty_ltst_frbrnc_msr_c19'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mtrty_ltst_frbrnc_msr_c19 AS CAMPO_IT FROM CD_LOAN_TAPES_BCE.LT002_INSTRUMENT WHERE ref_date='${ref_date}' AND nome_perimetro='Individual Local' AND segmento='ESTR' AND ambito='PM' AND entidade='00100')X INNER JOIN (SELECT instrmnt_id AS CHAVE_SIMUL, mtrty_ltst_frbrnc_msr_c19 AS CAMPO_SIMUL FROM BU_LOANTAPE_WORK.LT002_INSTRUMENT WHERE ref_date='${ref_date}' AND nome_perimetro='Individual Local' AND segmento='ESTR' AND ambito='PM' AND entidade='00100')Y ON X.CHAVE_IT=Y.CHAVE_SIMUL</v>
      </c>
      <c r="O204" s="35" t="s">
        <v>35</v>
      </c>
    </row>
    <row r="205" spans="1:15">
      <c r="A205" s="57" t="str">
        <f t="shared" si="8"/>
        <v>Instrumentdt_end_gp_ppal_c19</v>
      </c>
      <c r="B205" s="32" t="s">
        <v>9</v>
      </c>
      <c r="C205" s="32" t="s">
        <v>378</v>
      </c>
      <c r="D205" s="32" t="s">
        <v>5</v>
      </c>
      <c r="E205" s="32" t="str">
        <f>+UPPER('0. Instruções'!$D$35&amp;"."&amp;VLOOKUP(B205,'0. Instruções'!$C$27:$D$32,2,FALSE))</f>
        <v>CD_LOAN_TAPES_BCE.LT002_INSTRUMENT</v>
      </c>
      <c r="F205" s="32" t="str">
        <f>+UPPER('0. Instruções'!$D$36&amp;"."&amp;VLOOKUP(B205,'0. Instruções'!$C$27:$E$32,3,FALSE))</f>
        <v>BU_LOANTAPE_WORK.LT002_INSTRUMENT</v>
      </c>
      <c r="H205" s="32"/>
      <c r="I205" s="32"/>
      <c r="J205" s="32" t="str">
        <f>IF(VLOOKUP(B205,'0. Instruções'!$C$27:$G$32,5,FALSE)=0,
"(SELECT "&amp;VLOOKUP(B205,'0. Instruções'!$C$27:$G$32,4,FALSE)&amp;" AS CHAVE_IT, "&amp;C205&amp;" AS CAMPO_IT FROM "&amp;E205&amp;" WHERE "&amp;'0. Instruções'!$D$43&amp;")X",
"(SELECT "&amp;VLOOKUP(B205,'0. Instruções'!$C$27:$G$32,4,FALSE)&amp;" AS CHAVE_IT1, "&amp;VLOOKUP(B205,'0. Instruções'!$C$27:$G$32,5,FALSE)&amp;" AS CHAVE_IT2, "&amp;C205&amp;" AS CAMPO_IT FROM "&amp;E205&amp;" WHERE "&amp;'0. Instruções'!$D$43&amp;")X")</f>
        <v>(SELECT instrmnt_id AS CHAVE_IT, dt_end_gp_ppal_c19 AS CAMPO_IT FROM CD_LOAN_TAPES_BCE.LT002_INSTRUMENT WHERE ref_date='${ref_date}' AND nome_perimetro='Individual Local' AND segmento='ESTR' AND ambito='PM' AND entidade='00100')X</v>
      </c>
      <c r="K205" s="32" t="str">
        <f>IF(VLOOKUP(B205,'0. Instruções'!$C$27:$G$32,5,FALSE)=0,
"(SELECT "&amp;VLOOKUP(B205,'0. Instruções'!$C$27:$G$32,4,FALSE)&amp;" AS CHAVE_SIMUL, "&amp;C205&amp;" AS CAMPO_SIMUL FROM "&amp;F205&amp;" WHERE "&amp;'0. Instruções'!$D$42&amp;")Y",
"(SELECT "&amp;VLOOKUP(B205,'0. Instruções'!$C$27:$G$32,4,FALSE)&amp;" AS CHAVE_SIMUL1, "&amp;VLOOKUP(B205,'0. Instruções'!$C$27:$G$32,5,FALSE)&amp;" AS CHAVE_SIMUL2, "&amp;C205&amp;" AS CAMPO_SIMUL FROM "&amp;F205&amp;" WHERE "&amp;'0. Instruções'!$D$42&amp;")Y")</f>
        <v>(SELECT instrmnt_id AS CHAVE_SIMUL, dt_end_gp_ppal_c19 AS CAMPO_SIMUL FROM BU_LOANTAPE_WORK.LT002_INSTRUMENT WHERE ref_date='${ref_date}' AND nome_perimetro='Individual Local' AND segmento='ESTR' AND ambito='PM' AND entidade='00100')Y</v>
      </c>
      <c r="L205" s="32" t="str">
        <f>IF(VLOOKUP(B205,'0. Instruções'!$C$27:$G$32,5,FALSE)=0,
"ON X.CHAVE_IT=Y.CHAVE_SIMUL",
"ON X.CHAVE_IT1=Y.CHAVE_SIMUL1 AND X.CHAVE_IT2=Y.CHAVE_SIMUL2")</f>
        <v>ON X.CHAVE_IT=Y.CHAVE_SIMUL</v>
      </c>
      <c r="M205" s="32" t="str">
        <f>+IF(D205="Coerência",+IF(LEFT(H205,5)="FLOAT","SELECT '"&amp;UPPER(B205)&amp;"' AS TABELA, '"&amp;UPPER(D205)&amp;"' AS TIPOLOGIA_TESTE,'"&amp;E205&amp;"' AS TABELA_LT,'"&amp;F205&amp;"' AS TABELA_SIMUL,'"&amp;C205&amp;"'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"&amp;J205&amp;" INNER JOIN "&amp;K205&amp;" "&amp;L205,"SELECT '"&amp;UPPER(B205)&amp;"' AS TABELA, '"&amp;UPPER(D205)&amp;"' AS TIPOLOGIA_TESTE,'"&amp;E205&amp;"' AS TABELA_LT,'"&amp;F205&amp;"' AS TABELA_SIMUL,'"&amp;C205&amp;"'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"&amp;J205&amp;" INNER JOIN "&amp;K205&amp;" "&amp;L205))</f>
        <v>SELECT 'INSTRUMENT' AS TABELA, 'COERÊNCIA' AS TIPOLOGIA_TESTE,'CD_LOAN_TAPES_BCE.LT002_INSTRUMENT' AS TABELA_LT,'BU_LOANTAPE_WORK.LT002_INSTRUMENT' AS TABELA_SIMUL,'dt_end_gp_ppal_c19'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dt_end_gp_ppal_c19 AS CAMPO_IT FROM CD_LOAN_TAPES_BCE.LT002_INSTRUMENT WHERE ref_date='${ref_date}' AND nome_perimetro='Individual Local' AND segmento='ESTR' AND ambito='PM' AND entidade='00100')X INNER JOIN (SELECT instrmnt_id AS CHAVE_SIMUL, dt_end_gp_ppal_c19 AS CAMPO_SIMUL FROM BU_LOANTAPE_WORK.LT002_INSTRUMENT WHERE ref_date='${ref_date}' AND nome_perimetro='Individual Local' AND segmento='ESTR' AND ambito='PM' AND entidade='00100')Y ON X.CHAVE_IT=Y.CHAVE_SIMUL</v>
      </c>
      <c r="N205" s="33" t="str">
        <f t="shared" si="7"/>
        <v>UNION ALL SELECT 'INSTRUMENT' AS TABELA, 'COERÊNCIA' AS TIPOLOGIA_TESTE,'CD_LOAN_TAPES_BCE.LT002_INSTRUMENT' AS TABELA_LT,'BU_LOANTAPE_WORK.LT002_INSTRUMENT' AS TABELA_SIMUL,'dt_end_gp_ppal_c19'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dt_end_gp_ppal_c19 AS CAMPO_IT FROM CD_LOAN_TAPES_BCE.LT002_INSTRUMENT WHERE ref_date='${ref_date}' AND nome_perimetro='Individual Local' AND segmento='ESTR' AND ambito='PM' AND entidade='00100')X INNER JOIN (SELECT instrmnt_id AS CHAVE_SIMUL, dt_end_gp_ppal_c19 AS CAMPO_SIMUL FROM BU_LOANTAPE_WORK.LT002_INSTRUMENT WHERE ref_date='${ref_date}' AND nome_perimetro='Individual Local' AND segmento='ESTR' AND ambito='PM' AND entidade='00100')Y ON X.CHAVE_IT=Y.CHAVE_SIMUL</v>
      </c>
      <c r="O205" s="35" t="s">
        <v>35</v>
      </c>
    </row>
    <row r="206" spans="1:15">
      <c r="A206" s="57" t="str">
        <f t="shared" si="8"/>
        <v>Instrumentdt_end_intrst_only_c19</v>
      </c>
      <c r="B206" s="32" t="s">
        <v>9</v>
      </c>
      <c r="C206" s="32" t="s">
        <v>379</v>
      </c>
      <c r="D206" s="32" t="s">
        <v>5</v>
      </c>
      <c r="E206" s="32" t="str">
        <f>+UPPER('0. Instruções'!$D$35&amp;"."&amp;VLOOKUP(B206,'0. Instruções'!$C$27:$D$32,2,FALSE))</f>
        <v>CD_LOAN_TAPES_BCE.LT002_INSTRUMENT</v>
      </c>
      <c r="F206" s="32" t="str">
        <f>+UPPER('0. Instruções'!$D$36&amp;"."&amp;VLOOKUP(B206,'0. Instruções'!$C$27:$E$32,3,FALSE))</f>
        <v>BU_LOANTAPE_WORK.LT002_INSTRUMENT</v>
      </c>
      <c r="H206" s="32"/>
      <c r="I206" s="32"/>
      <c r="J206" s="32" t="str">
        <f>IF(VLOOKUP(B206,'0. Instruções'!$C$27:$G$32,5,FALSE)=0,
"(SELECT "&amp;VLOOKUP(B206,'0. Instruções'!$C$27:$G$32,4,FALSE)&amp;" AS CHAVE_IT, "&amp;C206&amp;" AS CAMPO_IT FROM "&amp;E206&amp;" WHERE "&amp;'0. Instruções'!$D$43&amp;")X",
"(SELECT "&amp;VLOOKUP(B206,'0. Instruções'!$C$27:$G$32,4,FALSE)&amp;" AS CHAVE_IT1, "&amp;VLOOKUP(B206,'0. Instruções'!$C$27:$G$32,5,FALSE)&amp;" AS CHAVE_IT2, "&amp;C206&amp;" AS CAMPO_IT FROM "&amp;E206&amp;" WHERE "&amp;'0. Instruções'!$D$43&amp;")X")</f>
        <v>(SELECT instrmnt_id AS CHAVE_IT, dt_end_intrst_only_c19 AS CAMPO_IT FROM CD_LOAN_TAPES_BCE.LT002_INSTRUMENT WHERE ref_date='${ref_date}' AND nome_perimetro='Individual Local' AND segmento='ESTR' AND ambito='PM' AND entidade='00100')X</v>
      </c>
      <c r="K206" s="32" t="str">
        <f>IF(VLOOKUP(B206,'0. Instruções'!$C$27:$G$32,5,FALSE)=0,
"(SELECT "&amp;VLOOKUP(B206,'0. Instruções'!$C$27:$G$32,4,FALSE)&amp;" AS CHAVE_SIMUL, "&amp;C206&amp;" AS CAMPO_SIMUL FROM "&amp;F206&amp;" WHERE "&amp;'0. Instruções'!$D$42&amp;")Y",
"(SELECT "&amp;VLOOKUP(B206,'0. Instruções'!$C$27:$G$32,4,FALSE)&amp;" AS CHAVE_SIMUL1, "&amp;VLOOKUP(B206,'0. Instruções'!$C$27:$G$32,5,FALSE)&amp;" AS CHAVE_SIMUL2, "&amp;C206&amp;" AS CAMPO_SIMUL FROM "&amp;F206&amp;" WHERE "&amp;'0. Instruções'!$D$42&amp;")Y")</f>
        <v>(SELECT instrmnt_id AS CHAVE_SIMUL, dt_end_intrst_only_c19 AS CAMPO_SIMUL FROM BU_LOANTAPE_WORK.LT002_INSTRUMENT WHERE ref_date='${ref_date}' AND nome_perimetro='Individual Local' AND segmento='ESTR' AND ambito='PM' AND entidade='00100')Y</v>
      </c>
      <c r="L206" s="32" t="str">
        <f>IF(VLOOKUP(B206,'0. Instruções'!$C$27:$G$32,5,FALSE)=0,
"ON X.CHAVE_IT=Y.CHAVE_SIMUL",
"ON X.CHAVE_IT1=Y.CHAVE_SIMUL1 AND X.CHAVE_IT2=Y.CHAVE_SIMUL2")</f>
        <v>ON X.CHAVE_IT=Y.CHAVE_SIMUL</v>
      </c>
      <c r="M206" s="32" t="str">
        <f>+IF(D206="Coerência",+IF(LEFT(H206,5)="FLOAT","SELECT '"&amp;UPPER(B206)&amp;"' AS TABELA, '"&amp;UPPER(D206)&amp;"' AS TIPOLOGIA_TESTE,'"&amp;E206&amp;"' AS TABELA_LT,'"&amp;F206&amp;"' AS TABELA_SIMUL,'"&amp;C206&amp;"'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"&amp;J206&amp;" INNER JOIN "&amp;K206&amp;" "&amp;L206,"SELECT '"&amp;UPPER(B206)&amp;"' AS TABELA, '"&amp;UPPER(D206)&amp;"' AS TIPOLOGIA_TESTE,'"&amp;E206&amp;"' AS TABELA_LT,'"&amp;F206&amp;"' AS TABELA_SIMUL,'"&amp;C206&amp;"'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"&amp;J206&amp;" INNER JOIN "&amp;K206&amp;" "&amp;L206))</f>
        <v>SELECT 'INSTRUMENT' AS TABELA, 'COERÊNCIA' AS TIPOLOGIA_TESTE,'CD_LOAN_TAPES_BCE.LT002_INSTRUMENT' AS TABELA_LT,'BU_LOANTAPE_WORK.LT002_INSTRUMENT' AS TABELA_SIMUL,'dt_end_intrst_only_c19'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dt_end_intrst_only_c19 AS CAMPO_IT FROM CD_LOAN_TAPES_BCE.LT002_INSTRUMENT WHERE ref_date='${ref_date}' AND nome_perimetro='Individual Local' AND segmento='ESTR' AND ambito='PM' AND entidade='00100')X INNER JOIN (SELECT instrmnt_id AS CHAVE_SIMUL, dt_end_intrst_only_c19 AS CAMPO_SIMUL FROM BU_LOANTAPE_WORK.LT002_INSTRUMENT WHERE ref_date='${ref_date}' AND nome_perimetro='Individual Local' AND segmento='ESTR' AND ambito='PM' AND entidade='00100')Y ON X.CHAVE_IT=Y.CHAVE_SIMUL</v>
      </c>
      <c r="N206" s="33" t="str">
        <f t="shared" si="7"/>
        <v>UNION ALL SELECT 'INSTRUMENT' AS TABELA, 'COERÊNCIA' AS TIPOLOGIA_TESTE,'CD_LOAN_TAPES_BCE.LT002_INSTRUMENT' AS TABELA_LT,'BU_LOANTAPE_WORK.LT002_INSTRUMENT' AS TABELA_SIMUL,'dt_end_intrst_only_c19'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dt_end_intrst_only_c19 AS CAMPO_IT FROM CD_LOAN_TAPES_BCE.LT002_INSTRUMENT WHERE ref_date='${ref_date}' AND nome_perimetro='Individual Local' AND segmento='ESTR' AND ambito='PM' AND entidade='00100')X INNER JOIN (SELECT instrmnt_id AS CHAVE_SIMUL, dt_end_intrst_only_c19 AS CAMPO_SIMUL FROM BU_LOANTAPE_WORK.LT002_INSTRUMENT WHERE ref_date='${ref_date}' AND nome_perimetro='Individual Local' AND segmento='ESTR' AND ambito='PM' AND entidade='00100')Y ON X.CHAVE_IT=Y.CHAVE_SIMUL</v>
      </c>
      <c r="O206" s="35" t="s">
        <v>35</v>
      </c>
    </row>
    <row r="207" spans="1:15">
      <c r="A207" s="57" t="str">
        <f t="shared" si="8"/>
        <v>Instrumentsbjct_pblc_grnt_schm_c19</v>
      </c>
      <c r="B207" s="32" t="s">
        <v>9</v>
      </c>
      <c r="C207" s="32" t="s">
        <v>380</v>
      </c>
      <c r="D207" s="32" t="s">
        <v>5</v>
      </c>
      <c r="E207" s="32" t="str">
        <f>+UPPER('0. Instruções'!$D$35&amp;"."&amp;VLOOKUP(B207,'0. Instruções'!$C$27:$D$32,2,FALSE))</f>
        <v>CD_LOAN_TAPES_BCE.LT002_INSTRUMENT</v>
      </c>
      <c r="F207" s="32" t="str">
        <f>+UPPER('0. Instruções'!$D$36&amp;"."&amp;VLOOKUP(B207,'0. Instruções'!$C$27:$E$32,3,FALSE))</f>
        <v>BU_LOANTAPE_WORK.LT002_INSTRUMENT</v>
      </c>
      <c r="H207" s="32"/>
      <c r="I207" s="32"/>
      <c r="J207" s="32" t="str">
        <f>IF(VLOOKUP(B207,'0. Instruções'!$C$27:$G$32,5,FALSE)=0,
"(SELECT "&amp;VLOOKUP(B207,'0. Instruções'!$C$27:$G$32,4,FALSE)&amp;" AS CHAVE_IT, "&amp;C207&amp;" AS CAMPO_IT FROM "&amp;E207&amp;" WHERE "&amp;'0. Instruções'!$D$43&amp;")X",
"(SELECT "&amp;VLOOKUP(B207,'0. Instruções'!$C$27:$G$32,4,FALSE)&amp;" AS CHAVE_IT1, "&amp;VLOOKUP(B207,'0. Instruções'!$C$27:$G$32,5,FALSE)&amp;" AS CHAVE_IT2, "&amp;C207&amp;" AS CAMPO_IT FROM "&amp;E207&amp;" WHERE "&amp;'0. Instruções'!$D$43&amp;")X")</f>
        <v>(SELECT instrmnt_id AS CHAVE_IT, sbjct_pblc_grnt_schm_c19 AS CAMPO_IT FROM CD_LOAN_TAPES_BCE.LT002_INSTRUMENT WHERE ref_date='${ref_date}' AND nome_perimetro='Individual Local' AND segmento='ESTR' AND ambito='PM' AND entidade='00100')X</v>
      </c>
      <c r="K207" s="32" t="str">
        <f>IF(VLOOKUP(B207,'0. Instruções'!$C$27:$G$32,5,FALSE)=0,
"(SELECT "&amp;VLOOKUP(B207,'0. Instruções'!$C$27:$G$32,4,FALSE)&amp;" AS CHAVE_SIMUL, "&amp;C207&amp;" AS CAMPO_SIMUL FROM "&amp;F207&amp;" WHERE "&amp;'0. Instruções'!$D$42&amp;")Y",
"(SELECT "&amp;VLOOKUP(B207,'0. Instruções'!$C$27:$G$32,4,FALSE)&amp;" AS CHAVE_SIMUL1, "&amp;VLOOKUP(B207,'0. Instruções'!$C$27:$G$32,5,FALSE)&amp;" AS CHAVE_SIMUL2, "&amp;C207&amp;" AS CAMPO_SIMUL FROM "&amp;F207&amp;" WHERE "&amp;'0. Instruções'!$D$42&amp;")Y")</f>
        <v>(SELECT instrmnt_id AS CHAVE_SIMUL, sbjct_pblc_grnt_schm_c19 AS CAMPO_SIMUL FROM BU_LOANTAPE_WORK.LT002_INSTRUMENT WHERE ref_date='${ref_date}' AND nome_perimetro='Individual Local' AND segmento='ESTR' AND ambito='PM' AND entidade='00100')Y</v>
      </c>
      <c r="L207" s="32" t="str">
        <f>IF(VLOOKUP(B207,'0. Instruções'!$C$27:$G$32,5,FALSE)=0,
"ON X.CHAVE_IT=Y.CHAVE_SIMUL",
"ON X.CHAVE_IT1=Y.CHAVE_SIMUL1 AND X.CHAVE_IT2=Y.CHAVE_SIMUL2")</f>
        <v>ON X.CHAVE_IT=Y.CHAVE_SIMUL</v>
      </c>
      <c r="M207" s="32" t="str">
        <f>+IF(D207="Coerência",+IF(LEFT(H207,5)="FLOAT","SELECT '"&amp;UPPER(B207)&amp;"' AS TABELA, '"&amp;UPPER(D207)&amp;"' AS TIPOLOGIA_TESTE,'"&amp;E207&amp;"' AS TABELA_LT,'"&amp;F207&amp;"' AS TABELA_SIMUL,'"&amp;C207&amp;"'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"&amp;J207&amp;" INNER JOIN "&amp;K207&amp;" "&amp;L207,"SELECT '"&amp;UPPER(B207)&amp;"' AS TABELA, '"&amp;UPPER(D207)&amp;"' AS TIPOLOGIA_TESTE,'"&amp;E207&amp;"' AS TABELA_LT,'"&amp;F207&amp;"' AS TABELA_SIMUL,'"&amp;C207&amp;"'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"&amp;J207&amp;" INNER JOIN "&amp;K207&amp;" "&amp;L207))</f>
        <v>SELECT 'INSTRUMENT' AS TABELA, 'COERÊNCIA' AS TIPOLOGIA_TESTE,'CD_LOAN_TAPES_BCE.LT002_INSTRUMENT' AS TABELA_LT,'BU_LOANTAPE_WORK.LT002_INSTRUMENT' AS TABELA_SIMUL,'sbjct_pblc_grnt_schm_c19'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sbjct_pblc_grnt_schm_c19 AS CAMPO_IT FROM CD_LOAN_TAPES_BCE.LT002_INSTRUMENT WHERE ref_date='${ref_date}' AND nome_perimetro='Individual Local' AND segmento='ESTR' AND ambito='PM' AND entidade='00100')X INNER JOIN (SELECT instrmnt_id AS CHAVE_SIMUL, sbjct_pblc_grnt_schm_c19 AS CAMPO_SIMUL FROM BU_LOANTAPE_WORK.LT002_INSTRUMENT WHERE ref_date='${ref_date}' AND nome_perimetro='Individual Local' AND segmento='ESTR' AND ambito='PM' AND entidade='00100')Y ON X.CHAVE_IT=Y.CHAVE_SIMUL</v>
      </c>
      <c r="N207" s="33" t="str">
        <f t="shared" si="7"/>
        <v>UNION ALL SELECT 'INSTRUMENT' AS TABELA, 'COERÊNCIA' AS TIPOLOGIA_TESTE,'CD_LOAN_TAPES_BCE.LT002_INSTRUMENT' AS TABELA_LT,'BU_LOANTAPE_WORK.LT002_INSTRUMENT' AS TABELA_SIMUL,'sbjct_pblc_grnt_schm_c19'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sbjct_pblc_grnt_schm_c19 AS CAMPO_IT FROM CD_LOAN_TAPES_BCE.LT002_INSTRUMENT WHERE ref_date='${ref_date}' AND nome_perimetro='Individual Local' AND segmento='ESTR' AND ambito='PM' AND entidade='00100')X INNER JOIN (SELECT instrmnt_id AS CHAVE_SIMUL, sbjct_pblc_grnt_schm_c19 AS CAMPO_SIMUL FROM BU_LOANTAPE_WORK.LT002_INSTRUMENT WHERE ref_date='${ref_date}' AND nome_perimetro='Individual Local' AND segmento='ESTR' AND ambito='PM' AND entidade='00100')Y ON X.CHAVE_IT=Y.CHAVE_SIMUL</v>
      </c>
      <c r="O207" s="35" t="s">
        <v>35</v>
      </c>
    </row>
    <row r="208" spans="1:15">
      <c r="A208" s="57" t="str">
        <f t="shared" si="8"/>
        <v>Instrumentpblc_grnt_schm_c19_nm</v>
      </c>
      <c r="B208" s="32" t="s">
        <v>9</v>
      </c>
      <c r="C208" s="32" t="s">
        <v>381</v>
      </c>
      <c r="D208" s="32" t="s">
        <v>5</v>
      </c>
      <c r="E208" s="32" t="str">
        <f>+UPPER('0. Instruções'!$D$35&amp;"."&amp;VLOOKUP(B208,'0. Instruções'!$C$27:$D$32,2,FALSE))</f>
        <v>CD_LOAN_TAPES_BCE.LT002_INSTRUMENT</v>
      </c>
      <c r="F208" s="32" t="str">
        <f>+UPPER('0. Instruções'!$D$36&amp;"."&amp;VLOOKUP(B208,'0. Instruções'!$C$27:$E$32,3,FALSE))</f>
        <v>BU_LOANTAPE_WORK.LT002_INSTRUMENT</v>
      </c>
      <c r="H208" s="32"/>
      <c r="I208" s="32"/>
      <c r="J208" s="32" t="str">
        <f>IF(VLOOKUP(B208,'0. Instruções'!$C$27:$G$32,5,FALSE)=0,
"(SELECT "&amp;VLOOKUP(B208,'0. Instruções'!$C$27:$G$32,4,FALSE)&amp;" AS CHAVE_IT, "&amp;C208&amp;" AS CAMPO_IT FROM "&amp;E208&amp;" WHERE "&amp;'0. Instruções'!$D$43&amp;")X",
"(SELECT "&amp;VLOOKUP(B208,'0. Instruções'!$C$27:$G$32,4,FALSE)&amp;" AS CHAVE_IT1, "&amp;VLOOKUP(B208,'0. Instruções'!$C$27:$G$32,5,FALSE)&amp;" AS CHAVE_IT2, "&amp;C208&amp;" AS CAMPO_IT FROM "&amp;E208&amp;" WHERE "&amp;'0. Instruções'!$D$43&amp;")X")</f>
        <v>(SELECT instrmnt_id AS CHAVE_IT, pblc_grnt_schm_c19_nm AS CAMPO_IT FROM CD_LOAN_TAPES_BCE.LT002_INSTRUMENT WHERE ref_date='${ref_date}' AND nome_perimetro='Individual Local' AND segmento='ESTR' AND ambito='PM' AND entidade='00100')X</v>
      </c>
      <c r="K208" s="32" t="str">
        <f>IF(VLOOKUP(B208,'0. Instruções'!$C$27:$G$32,5,FALSE)=0,
"(SELECT "&amp;VLOOKUP(B208,'0. Instruções'!$C$27:$G$32,4,FALSE)&amp;" AS CHAVE_SIMUL, "&amp;C208&amp;" AS CAMPO_SIMUL FROM "&amp;F208&amp;" WHERE "&amp;'0. Instruções'!$D$42&amp;")Y",
"(SELECT "&amp;VLOOKUP(B208,'0. Instruções'!$C$27:$G$32,4,FALSE)&amp;" AS CHAVE_SIMUL1, "&amp;VLOOKUP(B208,'0. Instruções'!$C$27:$G$32,5,FALSE)&amp;" AS CHAVE_SIMUL2, "&amp;C208&amp;" AS CAMPO_SIMUL FROM "&amp;F208&amp;" WHERE "&amp;'0. Instruções'!$D$42&amp;")Y")</f>
        <v>(SELECT instrmnt_id AS CHAVE_SIMUL, pblc_grnt_schm_c19_nm AS CAMPO_SIMUL FROM BU_LOANTAPE_WORK.LT002_INSTRUMENT WHERE ref_date='${ref_date}' AND nome_perimetro='Individual Local' AND segmento='ESTR' AND ambito='PM' AND entidade='00100')Y</v>
      </c>
      <c r="L208" s="32" t="str">
        <f>IF(VLOOKUP(B208,'0. Instruções'!$C$27:$G$32,5,FALSE)=0,
"ON X.CHAVE_IT=Y.CHAVE_SIMUL",
"ON X.CHAVE_IT1=Y.CHAVE_SIMUL1 AND X.CHAVE_IT2=Y.CHAVE_SIMUL2")</f>
        <v>ON X.CHAVE_IT=Y.CHAVE_SIMUL</v>
      </c>
      <c r="M208" s="32" t="str">
        <f>+IF(D208="Coerência",+IF(LEFT(H208,5)="FLOAT","SELECT '"&amp;UPPER(B208)&amp;"' AS TABELA, '"&amp;UPPER(D208)&amp;"' AS TIPOLOGIA_TESTE,'"&amp;E208&amp;"' AS TABELA_LT,'"&amp;F208&amp;"' AS TABELA_SIMUL,'"&amp;C208&amp;"'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"&amp;J208&amp;" INNER JOIN "&amp;K208&amp;" "&amp;L208,"SELECT '"&amp;UPPER(B208)&amp;"' AS TABELA, '"&amp;UPPER(D208)&amp;"' AS TIPOLOGIA_TESTE,'"&amp;E208&amp;"' AS TABELA_LT,'"&amp;F208&amp;"' AS TABELA_SIMUL,'"&amp;C208&amp;"'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"&amp;J208&amp;" INNER JOIN "&amp;K208&amp;" "&amp;L208))</f>
        <v>SELECT 'INSTRUMENT' AS TABELA, 'COERÊNCIA' AS TIPOLOGIA_TESTE,'CD_LOAN_TAPES_BCE.LT002_INSTRUMENT' AS TABELA_LT,'BU_LOANTAPE_WORK.LT002_INSTRUMENT' AS TABELA_SIMUL,'pblc_grnt_schm_c19_nm'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pblc_grnt_schm_c19_nm AS CAMPO_IT FROM CD_LOAN_TAPES_BCE.LT002_INSTRUMENT WHERE ref_date='${ref_date}' AND nome_perimetro='Individual Local' AND segmento='ESTR' AND ambito='PM' AND entidade='00100')X INNER JOIN (SELECT instrmnt_id AS CHAVE_SIMUL, pblc_grnt_schm_c19_nm AS CAMPO_SIMUL FROM BU_LOANTAPE_WORK.LT002_INSTRUMENT WHERE ref_date='${ref_date}' AND nome_perimetro='Individual Local' AND segmento='ESTR' AND ambito='PM' AND entidade='00100')Y ON X.CHAVE_IT=Y.CHAVE_SIMUL</v>
      </c>
      <c r="N208" s="33" t="str">
        <f t="shared" si="7"/>
        <v>UNION ALL SELECT 'INSTRUMENT' AS TABELA, 'COERÊNCIA' AS TIPOLOGIA_TESTE,'CD_LOAN_TAPES_BCE.LT002_INSTRUMENT' AS TABELA_LT,'BU_LOANTAPE_WORK.LT002_INSTRUMENT' AS TABELA_SIMUL,'pblc_grnt_schm_c19_nm'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pblc_grnt_schm_c19_nm AS CAMPO_IT FROM CD_LOAN_TAPES_BCE.LT002_INSTRUMENT WHERE ref_date='${ref_date}' AND nome_perimetro='Individual Local' AND segmento='ESTR' AND ambito='PM' AND entidade='00100')X INNER JOIN (SELECT instrmnt_id AS CHAVE_SIMUL, pblc_grnt_schm_c19_nm AS CAMPO_SIMUL FROM BU_LOANTAPE_WORK.LT002_INSTRUMENT WHERE ref_date='${ref_date}' AND nome_perimetro='Individual Local' AND segmento='ESTR' AND ambito='PM' AND entidade='00100')Y ON X.CHAVE_IT=Y.CHAVE_SIMUL</v>
      </c>
      <c r="O208" s="35" t="s">
        <v>35</v>
      </c>
    </row>
    <row r="209" spans="1:15">
      <c r="A209" s="57" t="str">
        <f t="shared" si="8"/>
        <v>Instrumentpmnt_pblc_grnt_schm_c19</v>
      </c>
      <c r="B209" s="32" t="s">
        <v>9</v>
      </c>
      <c r="C209" s="32" t="s">
        <v>382</v>
      </c>
      <c r="D209" s="32" t="s">
        <v>5</v>
      </c>
      <c r="E209" s="32" t="str">
        <f>+UPPER('0. Instruções'!$D$35&amp;"."&amp;VLOOKUP(B209,'0. Instruções'!$C$27:$D$32,2,FALSE))</f>
        <v>CD_LOAN_TAPES_BCE.LT002_INSTRUMENT</v>
      </c>
      <c r="F209" s="32" t="str">
        <f>+UPPER('0. Instruções'!$D$36&amp;"."&amp;VLOOKUP(B209,'0. Instruções'!$C$27:$E$32,3,FALSE))</f>
        <v>BU_LOANTAPE_WORK.LT002_INSTRUMENT</v>
      </c>
      <c r="H209" s="32"/>
      <c r="I209" s="32"/>
      <c r="J209" s="32" t="str">
        <f>IF(VLOOKUP(B209,'0. Instruções'!$C$27:$G$32,5,FALSE)=0,
"(SELECT "&amp;VLOOKUP(B209,'0. Instruções'!$C$27:$G$32,4,FALSE)&amp;" AS CHAVE_IT, "&amp;C209&amp;" AS CAMPO_IT FROM "&amp;E209&amp;" WHERE "&amp;'0. Instruções'!$D$43&amp;")X",
"(SELECT "&amp;VLOOKUP(B209,'0. Instruções'!$C$27:$G$32,4,FALSE)&amp;" AS CHAVE_IT1, "&amp;VLOOKUP(B209,'0. Instruções'!$C$27:$G$32,5,FALSE)&amp;" AS CHAVE_IT2, "&amp;C209&amp;" AS CAMPO_IT FROM "&amp;E209&amp;" WHERE "&amp;'0. Instruções'!$D$43&amp;")X")</f>
        <v>(SELECT instrmnt_id AS CHAVE_IT, pmnt_pblc_grnt_schm_c19 AS CAMPO_IT FROM CD_LOAN_TAPES_BCE.LT002_INSTRUMENT WHERE ref_date='${ref_date}' AND nome_perimetro='Individual Local' AND segmento='ESTR' AND ambito='PM' AND entidade='00100')X</v>
      </c>
      <c r="K209" s="32" t="str">
        <f>IF(VLOOKUP(B209,'0. Instruções'!$C$27:$G$32,5,FALSE)=0,
"(SELECT "&amp;VLOOKUP(B209,'0. Instruções'!$C$27:$G$32,4,FALSE)&amp;" AS CHAVE_SIMUL, "&amp;C209&amp;" AS CAMPO_SIMUL FROM "&amp;F209&amp;" WHERE "&amp;'0. Instruções'!$D$42&amp;")Y",
"(SELECT "&amp;VLOOKUP(B209,'0. Instruções'!$C$27:$G$32,4,FALSE)&amp;" AS CHAVE_SIMUL1, "&amp;VLOOKUP(B209,'0. Instruções'!$C$27:$G$32,5,FALSE)&amp;" AS CHAVE_SIMUL2, "&amp;C209&amp;" AS CAMPO_SIMUL FROM "&amp;F209&amp;" WHERE "&amp;'0. Instruções'!$D$42&amp;")Y")</f>
        <v>(SELECT instrmnt_id AS CHAVE_SIMUL, pmnt_pblc_grnt_schm_c19 AS CAMPO_SIMUL FROM BU_LOANTAPE_WORK.LT002_INSTRUMENT WHERE ref_date='${ref_date}' AND nome_perimetro='Individual Local' AND segmento='ESTR' AND ambito='PM' AND entidade='00100')Y</v>
      </c>
      <c r="L209" s="32" t="str">
        <f>IF(VLOOKUP(B209,'0. Instruções'!$C$27:$G$32,5,FALSE)=0,
"ON X.CHAVE_IT=Y.CHAVE_SIMUL",
"ON X.CHAVE_IT1=Y.CHAVE_SIMUL1 AND X.CHAVE_IT2=Y.CHAVE_SIMUL2")</f>
        <v>ON X.CHAVE_IT=Y.CHAVE_SIMUL</v>
      </c>
      <c r="M209" s="32" t="str">
        <f>+IF(D209="Coerência",+IF(LEFT(H209,5)="FLOAT","SELECT '"&amp;UPPER(B209)&amp;"' AS TABELA, '"&amp;UPPER(D209)&amp;"' AS TIPOLOGIA_TESTE,'"&amp;E209&amp;"' AS TABELA_LT,'"&amp;F209&amp;"' AS TABELA_SIMUL,'"&amp;C209&amp;"'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"&amp;J209&amp;" INNER JOIN "&amp;K209&amp;" "&amp;L209,"SELECT '"&amp;UPPER(B209)&amp;"' AS TABELA, '"&amp;UPPER(D209)&amp;"' AS TIPOLOGIA_TESTE,'"&amp;E209&amp;"' AS TABELA_LT,'"&amp;F209&amp;"' AS TABELA_SIMUL,'"&amp;C209&amp;"'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"&amp;J209&amp;" INNER JOIN "&amp;K209&amp;" "&amp;L209))</f>
        <v>SELECT 'INSTRUMENT' AS TABELA, 'COERÊNCIA' AS TIPOLOGIA_TESTE,'CD_LOAN_TAPES_BCE.LT002_INSTRUMENT' AS TABELA_LT,'BU_LOANTAPE_WORK.LT002_INSTRUMENT' AS TABELA_SIMUL,'pmnt_pblc_grnt_schm_c19'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pmnt_pblc_grnt_schm_c19 AS CAMPO_IT FROM CD_LOAN_TAPES_BCE.LT002_INSTRUMENT WHERE ref_date='${ref_date}' AND nome_perimetro='Individual Local' AND segmento='ESTR' AND ambito='PM' AND entidade='00100')X INNER JOIN (SELECT instrmnt_id AS CHAVE_SIMUL, pmnt_pblc_grnt_schm_c19 AS CAMPO_SIMUL FROM BU_LOANTAPE_WORK.LT002_INSTRUMENT WHERE ref_date='${ref_date}' AND nome_perimetro='Individual Local' AND segmento='ESTR' AND ambito='PM' AND entidade='00100')Y ON X.CHAVE_IT=Y.CHAVE_SIMUL</v>
      </c>
      <c r="N209" s="33" t="str">
        <f t="shared" si="7"/>
        <v>UNION ALL SELECT 'INSTRUMENT' AS TABELA, 'COERÊNCIA' AS TIPOLOGIA_TESTE,'CD_LOAN_TAPES_BCE.LT002_INSTRUMENT' AS TABELA_LT,'BU_LOANTAPE_WORK.LT002_INSTRUMENT' AS TABELA_SIMUL,'pmnt_pblc_grnt_schm_c19'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pmnt_pblc_grnt_schm_c19 AS CAMPO_IT FROM CD_LOAN_TAPES_BCE.LT002_INSTRUMENT WHERE ref_date='${ref_date}' AND nome_perimetro='Individual Local' AND segmento='ESTR' AND ambito='PM' AND entidade='00100')X INNER JOIN (SELECT instrmnt_id AS CHAVE_SIMUL, pmnt_pblc_grnt_schm_c19 AS CAMPO_SIMUL FROM BU_LOANTAPE_WORK.LT002_INSTRUMENT WHERE ref_date='${ref_date}' AND nome_perimetro='Individual Local' AND segmento='ESTR' AND ambito='PM' AND entidade='00100')Y ON X.CHAVE_IT=Y.CHAVE_SIMUL</v>
      </c>
      <c r="O209" s="35" t="s">
        <v>35</v>
      </c>
    </row>
    <row r="210" spans="1:15">
      <c r="A210" s="57" t="str">
        <f t="shared" si="8"/>
        <v>Instrumentasst_scrt_clss</v>
      </c>
      <c r="B210" s="32" t="s">
        <v>9</v>
      </c>
      <c r="C210" s="32" t="s">
        <v>383</v>
      </c>
      <c r="D210" s="32" t="s">
        <v>5</v>
      </c>
      <c r="E210" s="32" t="str">
        <f>+UPPER('0. Instruções'!$D$35&amp;"."&amp;VLOOKUP(B210,'0. Instruções'!$C$27:$D$32,2,FALSE))</f>
        <v>CD_LOAN_TAPES_BCE.LT002_INSTRUMENT</v>
      </c>
      <c r="F210" s="32" t="str">
        <f>+UPPER('0. Instruções'!$D$36&amp;"."&amp;VLOOKUP(B210,'0. Instruções'!$C$27:$E$32,3,FALSE))</f>
        <v>BU_LOANTAPE_WORK.LT002_INSTRUMENT</v>
      </c>
      <c r="H210" s="32"/>
      <c r="I210" s="32"/>
      <c r="J210" s="32" t="str">
        <f>IF(VLOOKUP(B210,'0. Instruções'!$C$27:$G$32,5,FALSE)=0,
"(SELECT "&amp;VLOOKUP(B210,'0. Instruções'!$C$27:$G$32,4,FALSE)&amp;" AS CHAVE_IT, "&amp;C210&amp;" AS CAMPO_IT FROM "&amp;E210&amp;" WHERE "&amp;'0. Instruções'!$D$43&amp;")X",
"(SELECT "&amp;VLOOKUP(B210,'0. Instruções'!$C$27:$G$32,4,FALSE)&amp;" AS CHAVE_IT1, "&amp;VLOOKUP(B210,'0. Instruções'!$C$27:$G$32,5,FALSE)&amp;" AS CHAVE_IT2, "&amp;C210&amp;" AS CAMPO_IT FROM "&amp;E210&amp;" WHERE "&amp;'0. Instruções'!$D$43&amp;")X")</f>
        <v>(SELECT instrmnt_id AS CHAVE_IT, asst_scrt_clss AS CAMPO_IT FROM CD_LOAN_TAPES_BCE.LT002_INSTRUMENT WHERE ref_date='${ref_date}' AND nome_perimetro='Individual Local' AND segmento='ESTR' AND ambito='PM' AND entidade='00100')X</v>
      </c>
      <c r="K210" s="32" t="str">
        <f>IF(VLOOKUP(B210,'0. Instruções'!$C$27:$G$32,5,FALSE)=0,
"(SELECT "&amp;VLOOKUP(B210,'0. Instruções'!$C$27:$G$32,4,FALSE)&amp;" AS CHAVE_SIMUL, "&amp;C210&amp;" AS CAMPO_SIMUL FROM "&amp;F210&amp;" WHERE "&amp;'0. Instruções'!$D$42&amp;")Y",
"(SELECT "&amp;VLOOKUP(B210,'0. Instruções'!$C$27:$G$32,4,FALSE)&amp;" AS CHAVE_SIMUL1, "&amp;VLOOKUP(B210,'0. Instruções'!$C$27:$G$32,5,FALSE)&amp;" AS CHAVE_SIMUL2, "&amp;C210&amp;" AS CAMPO_SIMUL FROM "&amp;F210&amp;" WHERE "&amp;'0. Instruções'!$D$42&amp;")Y")</f>
        <v>(SELECT instrmnt_id AS CHAVE_SIMUL, asst_scrt_clss AS CAMPO_SIMUL FROM BU_LOANTAPE_WORK.LT002_INSTRUMENT WHERE ref_date='${ref_date}' AND nome_perimetro='Individual Local' AND segmento='ESTR' AND ambito='PM' AND entidade='00100')Y</v>
      </c>
      <c r="L210" s="32" t="str">
        <f>IF(VLOOKUP(B210,'0. Instruções'!$C$27:$G$32,5,FALSE)=0,
"ON X.CHAVE_IT=Y.CHAVE_SIMUL",
"ON X.CHAVE_IT1=Y.CHAVE_SIMUL1 AND X.CHAVE_IT2=Y.CHAVE_SIMUL2")</f>
        <v>ON X.CHAVE_IT=Y.CHAVE_SIMUL</v>
      </c>
      <c r="M210" s="32" t="str">
        <f>+IF(D210="Coerência",+IF(LEFT(H210,5)="FLOAT","SELECT '"&amp;UPPER(B210)&amp;"' AS TABELA, '"&amp;UPPER(D210)&amp;"' AS TIPOLOGIA_TESTE,'"&amp;E210&amp;"' AS TABELA_LT,'"&amp;F210&amp;"' AS TABELA_SIMUL,'"&amp;C210&amp;"'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"&amp;J210&amp;" INNER JOIN "&amp;K210&amp;" "&amp;L210,"SELECT '"&amp;UPPER(B210)&amp;"' AS TABELA, '"&amp;UPPER(D210)&amp;"' AS TIPOLOGIA_TESTE,'"&amp;E210&amp;"' AS TABELA_LT,'"&amp;F210&amp;"' AS TABELA_SIMUL,'"&amp;C210&amp;"'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"&amp;J210&amp;" INNER JOIN "&amp;K210&amp;" "&amp;L210))</f>
        <v>SELECT 'INSTRUMENT' AS TABELA, 'COERÊNCIA' AS TIPOLOGIA_TESTE,'CD_LOAN_TAPES_BCE.LT002_INSTRUMENT' AS TABELA_LT,'BU_LOANTAPE_WORK.LT002_INSTRUMENT' AS TABELA_SIMUL,'asst_scrt_clss'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asst_scrt_clss AS CAMPO_IT FROM CD_LOAN_TAPES_BCE.LT002_INSTRUMENT WHERE ref_date='${ref_date}' AND nome_perimetro='Individual Local' AND segmento='ESTR' AND ambito='PM' AND entidade='00100')X INNER JOIN (SELECT instrmnt_id AS CHAVE_SIMUL, asst_scrt_clss AS CAMPO_SIMUL FROM BU_LOANTAPE_WORK.LT002_INSTRUMENT WHERE ref_date='${ref_date}' AND nome_perimetro='Individual Local' AND segmento='ESTR' AND ambito='PM' AND entidade='00100')Y ON X.CHAVE_IT=Y.CHAVE_SIMUL</v>
      </c>
      <c r="N210" s="33" t="str">
        <f t="shared" si="7"/>
        <v>UNION ALL SELECT 'INSTRUMENT' AS TABELA, 'COERÊNCIA' AS TIPOLOGIA_TESTE,'CD_LOAN_TAPES_BCE.LT002_INSTRUMENT' AS TABELA_LT,'BU_LOANTAPE_WORK.LT002_INSTRUMENT' AS TABELA_SIMUL,'asst_scrt_clss'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asst_scrt_clss AS CAMPO_IT FROM CD_LOAN_TAPES_BCE.LT002_INSTRUMENT WHERE ref_date='${ref_date}' AND nome_perimetro='Individual Local' AND segmento='ESTR' AND ambito='PM' AND entidade='00100')X INNER JOIN (SELECT instrmnt_id AS CHAVE_SIMUL, asst_scrt_clss AS CAMPO_SIMUL FROM BU_LOANTAPE_WORK.LT002_INSTRUMENT WHERE ref_date='${ref_date}' AND nome_perimetro='Individual Local' AND segmento='ESTR' AND ambito='PM' AND entidade='00100')Y ON X.CHAVE_IT=Y.CHAVE_SIMUL</v>
      </c>
      <c r="O210" s="35" t="s">
        <v>35</v>
      </c>
    </row>
    <row r="211" spans="1:15">
      <c r="A211" s="57" t="str">
        <f t="shared" si="8"/>
        <v>Instrumentcpn_crrncy</v>
      </c>
      <c r="B211" s="32" t="s">
        <v>9</v>
      </c>
      <c r="C211" s="32" t="s">
        <v>384</v>
      </c>
      <c r="D211" s="32" t="s">
        <v>5</v>
      </c>
      <c r="E211" s="32" t="str">
        <f>+UPPER('0. Instruções'!$D$35&amp;"."&amp;VLOOKUP(B211,'0. Instruções'!$C$27:$D$32,2,FALSE))</f>
        <v>CD_LOAN_TAPES_BCE.LT002_INSTRUMENT</v>
      </c>
      <c r="F211" s="32" t="str">
        <f>+UPPER('0. Instruções'!$D$36&amp;"."&amp;VLOOKUP(B211,'0. Instruções'!$C$27:$E$32,3,FALSE))</f>
        <v>BU_LOANTAPE_WORK.LT002_INSTRUMENT</v>
      </c>
      <c r="H211" s="32"/>
      <c r="I211" s="32"/>
      <c r="J211" s="32" t="str">
        <f>IF(VLOOKUP(B211,'0. Instruções'!$C$27:$G$32,5,FALSE)=0,
"(SELECT "&amp;VLOOKUP(B211,'0. Instruções'!$C$27:$G$32,4,FALSE)&amp;" AS CHAVE_IT, "&amp;C211&amp;" AS CAMPO_IT FROM "&amp;E211&amp;" WHERE "&amp;'0. Instruções'!$D$43&amp;")X",
"(SELECT "&amp;VLOOKUP(B211,'0. Instruções'!$C$27:$G$32,4,FALSE)&amp;" AS CHAVE_IT1, "&amp;VLOOKUP(B211,'0. Instruções'!$C$27:$G$32,5,FALSE)&amp;" AS CHAVE_IT2, "&amp;C211&amp;" AS CAMPO_IT FROM "&amp;E211&amp;" WHERE "&amp;'0. Instruções'!$D$43&amp;")X")</f>
        <v>(SELECT instrmnt_id AS CHAVE_IT, cpn_crrncy AS CAMPO_IT FROM CD_LOAN_TAPES_BCE.LT002_INSTRUMENT WHERE ref_date='${ref_date}' AND nome_perimetro='Individual Local' AND segmento='ESTR' AND ambito='PM' AND entidade='00100')X</v>
      </c>
      <c r="K211" s="32" t="str">
        <f>IF(VLOOKUP(B211,'0. Instruções'!$C$27:$G$32,5,FALSE)=0,
"(SELECT "&amp;VLOOKUP(B211,'0. Instruções'!$C$27:$G$32,4,FALSE)&amp;" AS CHAVE_SIMUL, "&amp;C211&amp;" AS CAMPO_SIMUL FROM "&amp;F211&amp;" WHERE "&amp;'0. Instruções'!$D$42&amp;")Y",
"(SELECT "&amp;VLOOKUP(B211,'0. Instruções'!$C$27:$G$32,4,FALSE)&amp;" AS CHAVE_SIMUL1, "&amp;VLOOKUP(B211,'0. Instruções'!$C$27:$G$32,5,FALSE)&amp;" AS CHAVE_SIMUL2, "&amp;C211&amp;" AS CAMPO_SIMUL FROM "&amp;F211&amp;" WHERE "&amp;'0. Instruções'!$D$42&amp;")Y")</f>
        <v>(SELECT instrmnt_id AS CHAVE_SIMUL, cpn_crrncy AS CAMPO_SIMUL FROM BU_LOANTAPE_WORK.LT002_INSTRUMENT WHERE ref_date='${ref_date}' AND nome_perimetro='Individual Local' AND segmento='ESTR' AND ambito='PM' AND entidade='00100')Y</v>
      </c>
      <c r="L211" s="32" t="str">
        <f>IF(VLOOKUP(B211,'0. Instruções'!$C$27:$G$32,5,FALSE)=0,
"ON X.CHAVE_IT=Y.CHAVE_SIMUL",
"ON X.CHAVE_IT1=Y.CHAVE_SIMUL1 AND X.CHAVE_IT2=Y.CHAVE_SIMUL2")</f>
        <v>ON X.CHAVE_IT=Y.CHAVE_SIMUL</v>
      </c>
      <c r="M211" s="32" t="str">
        <f>+IF(D211="Coerência",+IF(LEFT(H211,5)="FLOAT","SELECT '"&amp;UPPER(B211)&amp;"' AS TABELA, '"&amp;UPPER(D211)&amp;"' AS TIPOLOGIA_TESTE,'"&amp;E211&amp;"' AS TABELA_LT,'"&amp;F211&amp;"' AS TABELA_SIMUL,'"&amp;C211&amp;"'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"&amp;J211&amp;" INNER JOIN "&amp;K211&amp;" "&amp;L211,"SELECT '"&amp;UPPER(B211)&amp;"' AS TABELA, '"&amp;UPPER(D211)&amp;"' AS TIPOLOGIA_TESTE,'"&amp;E211&amp;"' AS TABELA_LT,'"&amp;F211&amp;"' AS TABELA_SIMUL,'"&amp;C211&amp;"'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"&amp;J211&amp;" INNER JOIN "&amp;K211&amp;" "&amp;L211))</f>
        <v>SELECT 'INSTRUMENT' AS TABELA, 'COERÊNCIA' AS TIPOLOGIA_TESTE,'CD_LOAN_TAPES_BCE.LT002_INSTRUMENT' AS TABELA_LT,'BU_LOANTAPE_WORK.LT002_INSTRUMENT' AS TABELA_SIMUL,'cpn_crrncy'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cpn_crrncy AS CAMPO_IT FROM CD_LOAN_TAPES_BCE.LT002_INSTRUMENT WHERE ref_date='${ref_date}' AND nome_perimetro='Individual Local' AND segmento='ESTR' AND ambito='PM' AND entidade='00100')X INNER JOIN (SELECT instrmnt_id AS CHAVE_SIMUL, cpn_crrncy AS CAMPO_SIMUL FROM BU_LOANTAPE_WORK.LT002_INSTRUMENT WHERE ref_date='${ref_date}' AND nome_perimetro='Individual Local' AND segmento='ESTR' AND ambito='PM' AND entidade='00100')Y ON X.CHAVE_IT=Y.CHAVE_SIMUL</v>
      </c>
      <c r="N211" s="33" t="str">
        <f t="shared" si="7"/>
        <v>UNION ALL SELECT 'INSTRUMENT' AS TABELA, 'COERÊNCIA' AS TIPOLOGIA_TESTE,'CD_LOAN_TAPES_BCE.LT002_INSTRUMENT' AS TABELA_LT,'BU_LOANTAPE_WORK.LT002_INSTRUMENT' AS TABELA_SIMUL,'cpn_crrncy'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cpn_crrncy AS CAMPO_IT FROM CD_LOAN_TAPES_BCE.LT002_INSTRUMENT WHERE ref_date='${ref_date}' AND nome_perimetro='Individual Local' AND segmento='ESTR' AND ambito='PM' AND entidade='00100')X INNER JOIN (SELECT instrmnt_id AS CHAVE_SIMUL, cpn_crrncy AS CAMPO_SIMUL FROM BU_LOANTAPE_WORK.LT002_INSTRUMENT WHERE ref_date='${ref_date}' AND nome_perimetro='Individual Local' AND segmento='ESTR' AND ambito='PM' AND entidade='00100')Y ON X.CHAVE_IT=Y.CHAVE_SIMUL</v>
      </c>
      <c r="O211" s="35" t="s">
        <v>35</v>
      </c>
    </row>
    <row r="212" spans="1:15">
      <c r="A212" s="57" t="str">
        <f t="shared" si="8"/>
        <v>Instrumentcpn_rt</v>
      </c>
      <c r="B212" s="32" t="s">
        <v>9</v>
      </c>
      <c r="C212" s="32" t="s">
        <v>385</v>
      </c>
      <c r="D212" s="32" t="s">
        <v>5</v>
      </c>
      <c r="E212" s="32" t="str">
        <f>+UPPER('0. Instruções'!$D$35&amp;"."&amp;VLOOKUP(B212,'0. Instruções'!$C$27:$D$32,2,FALSE))</f>
        <v>CD_LOAN_TAPES_BCE.LT002_INSTRUMENT</v>
      </c>
      <c r="F212" s="32" t="str">
        <f>+UPPER('0. Instruções'!$D$36&amp;"."&amp;VLOOKUP(B212,'0. Instruções'!$C$27:$E$32,3,FALSE))</f>
        <v>BU_LOANTAPE_WORK.LT002_INSTRUMENT</v>
      </c>
      <c r="H212" s="32"/>
      <c r="I212" s="32"/>
      <c r="J212" s="32" t="str">
        <f>IF(VLOOKUP(B212,'0. Instruções'!$C$27:$G$32,5,FALSE)=0,
"(SELECT "&amp;VLOOKUP(B212,'0. Instruções'!$C$27:$G$32,4,FALSE)&amp;" AS CHAVE_IT, "&amp;C212&amp;" AS CAMPO_IT FROM "&amp;E212&amp;" WHERE "&amp;'0. Instruções'!$D$43&amp;")X",
"(SELECT "&amp;VLOOKUP(B212,'0. Instruções'!$C$27:$G$32,4,FALSE)&amp;" AS CHAVE_IT1, "&amp;VLOOKUP(B212,'0. Instruções'!$C$27:$G$32,5,FALSE)&amp;" AS CHAVE_IT2, "&amp;C212&amp;" AS CAMPO_IT FROM "&amp;E212&amp;" WHERE "&amp;'0. Instruções'!$D$43&amp;")X")</f>
        <v>(SELECT instrmnt_id AS CHAVE_IT, cpn_rt AS CAMPO_IT FROM CD_LOAN_TAPES_BCE.LT002_INSTRUMENT WHERE ref_date='${ref_date}' AND nome_perimetro='Individual Local' AND segmento='ESTR' AND ambito='PM' AND entidade='00100')X</v>
      </c>
      <c r="K212" s="32" t="str">
        <f>IF(VLOOKUP(B212,'0. Instruções'!$C$27:$G$32,5,FALSE)=0,
"(SELECT "&amp;VLOOKUP(B212,'0. Instruções'!$C$27:$G$32,4,FALSE)&amp;" AS CHAVE_SIMUL, "&amp;C212&amp;" AS CAMPO_SIMUL FROM "&amp;F212&amp;" WHERE "&amp;'0. Instruções'!$D$42&amp;")Y",
"(SELECT "&amp;VLOOKUP(B212,'0. Instruções'!$C$27:$G$32,4,FALSE)&amp;" AS CHAVE_SIMUL1, "&amp;VLOOKUP(B212,'0. Instruções'!$C$27:$G$32,5,FALSE)&amp;" AS CHAVE_SIMUL2, "&amp;C212&amp;" AS CAMPO_SIMUL FROM "&amp;F212&amp;" WHERE "&amp;'0. Instruções'!$D$42&amp;")Y")</f>
        <v>(SELECT instrmnt_id AS CHAVE_SIMUL, cpn_rt AS CAMPO_SIMUL FROM BU_LOANTAPE_WORK.LT002_INSTRUMENT WHERE ref_date='${ref_date}' AND nome_perimetro='Individual Local' AND segmento='ESTR' AND ambito='PM' AND entidade='00100')Y</v>
      </c>
      <c r="L212" s="32" t="str">
        <f>IF(VLOOKUP(B212,'0. Instruções'!$C$27:$G$32,5,FALSE)=0,
"ON X.CHAVE_IT=Y.CHAVE_SIMUL",
"ON X.CHAVE_IT1=Y.CHAVE_SIMUL1 AND X.CHAVE_IT2=Y.CHAVE_SIMUL2")</f>
        <v>ON X.CHAVE_IT=Y.CHAVE_SIMUL</v>
      </c>
      <c r="M212" s="32" t="str">
        <f>+IF(D212="Coerência",+IF(LEFT(H212,5)="FLOAT","SELECT '"&amp;UPPER(B212)&amp;"' AS TABELA, '"&amp;UPPER(D212)&amp;"' AS TIPOLOGIA_TESTE,'"&amp;E212&amp;"' AS TABELA_LT,'"&amp;F212&amp;"' AS TABELA_SIMUL,'"&amp;C212&amp;"'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"&amp;J212&amp;" INNER JOIN "&amp;K212&amp;" "&amp;L212,"SELECT '"&amp;UPPER(B212)&amp;"' AS TABELA, '"&amp;UPPER(D212)&amp;"' AS TIPOLOGIA_TESTE,'"&amp;E212&amp;"' AS TABELA_LT,'"&amp;F212&amp;"' AS TABELA_SIMUL,'"&amp;C212&amp;"'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"&amp;J212&amp;" INNER JOIN "&amp;K212&amp;" "&amp;L212))</f>
        <v>SELECT 'INSTRUMENT' AS TABELA, 'COERÊNCIA' AS TIPOLOGIA_TESTE,'CD_LOAN_TAPES_BCE.LT002_INSTRUMENT' AS TABELA_LT,'BU_LOANTAPE_WORK.LT002_INSTRUMENT' AS TABELA_SIMUL,'cpn_rt'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cpn_rt AS CAMPO_IT FROM CD_LOAN_TAPES_BCE.LT002_INSTRUMENT WHERE ref_date='${ref_date}' AND nome_perimetro='Individual Local' AND segmento='ESTR' AND ambito='PM' AND entidade='00100')X INNER JOIN (SELECT instrmnt_id AS CHAVE_SIMUL, cpn_rt AS CAMPO_SIMUL FROM BU_LOANTAPE_WORK.LT002_INSTRUMENT WHERE ref_date='${ref_date}' AND nome_perimetro='Individual Local' AND segmento='ESTR' AND ambito='PM' AND entidade='00100')Y ON X.CHAVE_IT=Y.CHAVE_SIMUL</v>
      </c>
      <c r="N212" s="33" t="str">
        <f t="shared" si="7"/>
        <v>UNION ALL SELECT 'INSTRUMENT' AS TABELA, 'COERÊNCIA' AS TIPOLOGIA_TESTE,'CD_LOAN_TAPES_BCE.LT002_INSTRUMENT' AS TABELA_LT,'BU_LOANTAPE_WORK.LT002_INSTRUMENT' AS TABELA_SIMUL,'cpn_rt'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cpn_rt AS CAMPO_IT FROM CD_LOAN_TAPES_BCE.LT002_INSTRUMENT WHERE ref_date='${ref_date}' AND nome_perimetro='Individual Local' AND segmento='ESTR' AND ambito='PM' AND entidade='00100')X INNER JOIN (SELECT instrmnt_id AS CHAVE_SIMUL, cpn_rt AS CAMPO_SIMUL FROM BU_LOANTAPE_WORK.LT002_INSTRUMENT WHERE ref_date='${ref_date}' AND nome_perimetro='Individual Local' AND segmento='ESTR' AND ambito='PM' AND entidade='00100')Y ON X.CHAVE_IT=Y.CHAVE_SIMUL</v>
      </c>
      <c r="O212" s="35" t="s">
        <v>35</v>
      </c>
    </row>
    <row r="213" spans="1:15">
      <c r="A213" s="57" t="str">
        <f t="shared" si="8"/>
        <v>Instrumentdt_vltn</v>
      </c>
      <c r="B213" s="32" t="s">
        <v>9</v>
      </c>
      <c r="C213" s="32" t="s">
        <v>386</v>
      </c>
      <c r="D213" s="32" t="s">
        <v>5</v>
      </c>
      <c r="E213" s="32" t="str">
        <f>+UPPER('0. Instruções'!$D$35&amp;"."&amp;VLOOKUP(B213,'0. Instruções'!$C$27:$D$32,2,FALSE))</f>
        <v>CD_LOAN_TAPES_BCE.LT002_INSTRUMENT</v>
      </c>
      <c r="F213" s="32" t="str">
        <f>+UPPER('0. Instruções'!$D$36&amp;"."&amp;VLOOKUP(B213,'0. Instruções'!$C$27:$E$32,3,FALSE))</f>
        <v>BU_LOANTAPE_WORK.LT002_INSTRUMENT</v>
      </c>
      <c r="H213" s="32"/>
      <c r="I213" s="32"/>
      <c r="J213" s="32" t="str">
        <f>IF(VLOOKUP(B213,'0. Instruções'!$C$27:$G$32,5,FALSE)=0,
"(SELECT "&amp;VLOOKUP(B213,'0. Instruções'!$C$27:$G$32,4,FALSE)&amp;" AS CHAVE_IT, "&amp;C213&amp;" AS CAMPO_IT FROM "&amp;E213&amp;" WHERE "&amp;'0. Instruções'!$D$43&amp;")X",
"(SELECT "&amp;VLOOKUP(B213,'0. Instruções'!$C$27:$G$32,4,FALSE)&amp;" AS CHAVE_IT1, "&amp;VLOOKUP(B213,'0. Instruções'!$C$27:$G$32,5,FALSE)&amp;" AS CHAVE_IT2, "&amp;C213&amp;" AS CAMPO_IT FROM "&amp;E213&amp;" WHERE "&amp;'0. Instruções'!$D$43&amp;")X")</f>
        <v>(SELECT instrmnt_id AS CHAVE_IT, dt_vltn AS CAMPO_IT FROM CD_LOAN_TAPES_BCE.LT002_INSTRUMENT WHERE ref_date='${ref_date}' AND nome_perimetro='Individual Local' AND segmento='ESTR' AND ambito='PM' AND entidade='00100')X</v>
      </c>
      <c r="K213" s="32" t="str">
        <f>IF(VLOOKUP(B213,'0. Instruções'!$C$27:$G$32,5,FALSE)=0,
"(SELECT "&amp;VLOOKUP(B213,'0. Instruções'!$C$27:$G$32,4,FALSE)&amp;" AS CHAVE_SIMUL, "&amp;C213&amp;" AS CAMPO_SIMUL FROM "&amp;F213&amp;" WHERE "&amp;'0. Instruções'!$D$42&amp;")Y",
"(SELECT "&amp;VLOOKUP(B213,'0. Instruções'!$C$27:$G$32,4,FALSE)&amp;" AS CHAVE_SIMUL1, "&amp;VLOOKUP(B213,'0. Instruções'!$C$27:$G$32,5,FALSE)&amp;" AS CHAVE_SIMUL2, "&amp;C213&amp;" AS CAMPO_SIMUL FROM "&amp;F213&amp;" WHERE "&amp;'0. Instruções'!$D$42&amp;")Y")</f>
        <v>(SELECT instrmnt_id AS CHAVE_SIMUL, dt_vltn AS CAMPO_SIMUL FROM BU_LOANTAPE_WORK.LT002_INSTRUMENT WHERE ref_date='${ref_date}' AND nome_perimetro='Individual Local' AND segmento='ESTR' AND ambito='PM' AND entidade='00100')Y</v>
      </c>
      <c r="L213" s="32" t="str">
        <f>IF(VLOOKUP(B213,'0. Instruções'!$C$27:$G$32,5,FALSE)=0,
"ON X.CHAVE_IT=Y.CHAVE_SIMUL",
"ON X.CHAVE_IT1=Y.CHAVE_SIMUL1 AND X.CHAVE_IT2=Y.CHAVE_SIMUL2")</f>
        <v>ON X.CHAVE_IT=Y.CHAVE_SIMUL</v>
      </c>
      <c r="M213" s="32" t="str">
        <f>+IF(D213="Coerência",+IF(LEFT(H213,5)="FLOAT","SELECT '"&amp;UPPER(B213)&amp;"' AS TABELA, '"&amp;UPPER(D213)&amp;"' AS TIPOLOGIA_TESTE,'"&amp;E213&amp;"' AS TABELA_LT,'"&amp;F213&amp;"' AS TABELA_SIMUL,'"&amp;C213&amp;"'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"&amp;J213&amp;" INNER JOIN "&amp;K213&amp;" "&amp;L213,"SELECT '"&amp;UPPER(B213)&amp;"' AS TABELA, '"&amp;UPPER(D213)&amp;"' AS TIPOLOGIA_TESTE,'"&amp;E213&amp;"' AS TABELA_LT,'"&amp;F213&amp;"' AS TABELA_SIMUL,'"&amp;C213&amp;"'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"&amp;J213&amp;" INNER JOIN "&amp;K213&amp;" "&amp;L213))</f>
        <v>SELECT 'INSTRUMENT' AS TABELA, 'COERÊNCIA' AS TIPOLOGIA_TESTE,'CD_LOAN_TAPES_BCE.LT002_INSTRUMENT' AS TABELA_LT,'BU_LOANTAPE_WORK.LT002_INSTRUMENT' AS TABELA_SIMUL,'dt_vltn'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dt_vltn AS CAMPO_IT FROM CD_LOAN_TAPES_BCE.LT002_INSTRUMENT WHERE ref_date='${ref_date}' AND nome_perimetro='Individual Local' AND segmento='ESTR' AND ambito='PM' AND entidade='00100')X INNER JOIN (SELECT instrmnt_id AS CHAVE_SIMUL, dt_vltn AS CAMPO_SIMUL FROM BU_LOANTAPE_WORK.LT002_INSTRUMENT WHERE ref_date='${ref_date}' AND nome_perimetro='Individual Local' AND segmento='ESTR' AND ambito='PM' AND entidade='00100')Y ON X.CHAVE_IT=Y.CHAVE_SIMUL</v>
      </c>
      <c r="N213" s="33" t="str">
        <f t="shared" si="7"/>
        <v>UNION ALL SELECT 'INSTRUMENT' AS TABELA, 'COERÊNCIA' AS TIPOLOGIA_TESTE,'CD_LOAN_TAPES_BCE.LT002_INSTRUMENT' AS TABELA_LT,'BU_LOANTAPE_WORK.LT002_INSTRUMENT' AS TABELA_SIMUL,'dt_vltn'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dt_vltn AS CAMPO_IT FROM CD_LOAN_TAPES_BCE.LT002_INSTRUMENT WHERE ref_date='${ref_date}' AND nome_perimetro='Individual Local' AND segmento='ESTR' AND ambito='PM' AND entidade='00100')X INNER JOIN (SELECT instrmnt_id AS CHAVE_SIMUL, dt_vltn AS CAMPO_SIMUL FROM BU_LOANTAPE_WORK.LT002_INSTRUMENT WHERE ref_date='${ref_date}' AND nome_perimetro='Individual Local' AND segmento='ESTR' AND ambito='PM' AND entidade='00100')Y ON X.CHAVE_IT=Y.CHAVE_SIMUL</v>
      </c>
      <c r="O213" s="35" t="s">
        <v>35</v>
      </c>
    </row>
    <row r="214" spans="1:15">
      <c r="A214" s="57" t="str">
        <f t="shared" si="8"/>
        <v>Instrumentelgblty_ecb</v>
      </c>
      <c r="B214" s="32" t="s">
        <v>9</v>
      </c>
      <c r="C214" s="32" t="s">
        <v>387</v>
      </c>
      <c r="D214" s="32" t="s">
        <v>5</v>
      </c>
      <c r="E214" s="32" t="str">
        <f>+UPPER('0. Instruções'!$D$35&amp;"."&amp;VLOOKUP(B214,'0. Instruções'!$C$27:$D$32,2,FALSE))</f>
        <v>CD_LOAN_TAPES_BCE.LT002_INSTRUMENT</v>
      </c>
      <c r="F214" s="32" t="str">
        <f>+UPPER('0. Instruções'!$D$36&amp;"."&amp;VLOOKUP(B214,'0. Instruções'!$C$27:$E$32,3,FALSE))</f>
        <v>BU_LOANTAPE_WORK.LT002_INSTRUMENT</v>
      </c>
      <c r="H214" s="32"/>
      <c r="I214" s="32"/>
      <c r="J214" s="32" t="str">
        <f>IF(VLOOKUP(B214,'0. Instruções'!$C$27:$G$32,5,FALSE)=0,
"(SELECT "&amp;VLOOKUP(B214,'0. Instruções'!$C$27:$G$32,4,FALSE)&amp;" AS CHAVE_IT, "&amp;C214&amp;" AS CAMPO_IT FROM "&amp;E214&amp;" WHERE "&amp;'0. Instruções'!$D$43&amp;")X",
"(SELECT "&amp;VLOOKUP(B214,'0. Instruções'!$C$27:$G$32,4,FALSE)&amp;" AS CHAVE_IT1, "&amp;VLOOKUP(B214,'0. Instruções'!$C$27:$G$32,5,FALSE)&amp;" AS CHAVE_IT2, "&amp;C214&amp;" AS CAMPO_IT FROM "&amp;E214&amp;" WHERE "&amp;'0. Instruções'!$D$43&amp;")X")</f>
        <v>(SELECT instrmnt_id AS CHAVE_IT, elgblty_ecb AS CAMPO_IT FROM CD_LOAN_TAPES_BCE.LT002_INSTRUMENT WHERE ref_date='${ref_date}' AND nome_perimetro='Individual Local' AND segmento='ESTR' AND ambito='PM' AND entidade='00100')X</v>
      </c>
      <c r="K214" s="32" t="str">
        <f>IF(VLOOKUP(B214,'0. Instruções'!$C$27:$G$32,5,FALSE)=0,
"(SELECT "&amp;VLOOKUP(B214,'0. Instruções'!$C$27:$G$32,4,FALSE)&amp;" AS CHAVE_SIMUL, "&amp;C214&amp;" AS CAMPO_SIMUL FROM "&amp;F214&amp;" WHERE "&amp;'0. Instruções'!$D$42&amp;")Y",
"(SELECT "&amp;VLOOKUP(B214,'0. Instruções'!$C$27:$G$32,4,FALSE)&amp;" AS CHAVE_SIMUL1, "&amp;VLOOKUP(B214,'0. Instruções'!$C$27:$G$32,5,FALSE)&amp;" AS CHAVE_SIMUL2, "&amp;C214&amp;" AS CAMPO_SIMUL FROM "&amp;F214&amp;" WHERE "&amp;'0. Instruções'!$D$42&amp;")Y")</f>
        <v>(SELECT instrmnt_id AS CHAVE_SIMUL, elgblty_ecb AS CAMPO_SIMUL FROM BU_LOANTAPE_WORK.LT002_INSTRUMENT WHERE ref_date='${ref_date}' AND nome_perimetro='Individual Local' AND segmento='ESTR' AND ambito='PM' AND entidade='00100')Y</v>
      </c>
      <c r="L214" s="32" t="str">
        <f>IF(VLOOKUP(B214,'0. Instruções'!$C$27:$G$32,5,FALSE)=0,
"ON X.CHAVE_IT=Y.CHAVE_SIMUL",
"ON X.CHAVE_IT1=Y.CHAVE_SIMUL1 AND X.CHAVE_IT2=Y.CHAVE_SIMUL2")</f>
        <v>ON X.CHAVE_IT=Y.CHAVE_SIMUL</v>
      </c>
      <c r="M214" s="32" t="str">
        <f>+IF(D214="Coerência",+IF(LEFT(H214,5)="FLOAT","SELECT '"&amp;UPPER(B214)&amp;"' AS TABELA, '"&amp;UPPER(D214)&amp;"' AS TIPOLOGIA_TESTE,'"&amp;E214&amp;"' AS TABELA_LT,'"&amp;F214&amp;"' AS TABELA_SIMUL,'"&amp;C214&amp;"'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"&amp;J214&amp;" INNER JOIN "&amp;K214&amp;" "&amp;L214,"SELECT '"&amp;UPPER(B214)&amp;"' AS TABELA, '"&amp;UPPER(D214)&amp;"' AS TIPOLOGIA_TESTE,'"&amp;E214&amp;"' AS TABELA_LT,'"&amp;F214&amp;"' AS TABELA_SIMUL,'"&amp;C214&amp;"'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"&amp;J214&amp;" INNER JOIN "&amp;K214&amp;" "&amp;L214))</f>
        <v>SELECT 'INSTRUMENT' AS TABELA, 'COERÊNCIA' AS TIPOLOGIA_TESTE,'CD_LOAN_TAPES_BCE.LT002_INSTRUMENT' AS TABELA_LT,'BU_LOANTAPE_WORK.LT002_INSTRUMENT' AS TABELA_SIMUL,'elgblty_ecb'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elgblty_ecb AS CAMPO_IT FROM CD_LOAN_TAPES_BCE.LT002_INSTRUMENT WHERE ref_date='${ref_date}' AND nome_perimetro='Individual Local' AND segmento='ESTR' AND ambito='PM' AND entidade='00100')X INNER JOIN (SELECT instrmnt_id AS CHAVE_SIMUL, elgblty_ecb AS CAMPO_SIMUL FROM BU_LOANTAPE_WORK.LT002_INSTRUMENT WHERE ref_date='${ref_date}' AND nome_perimetro='Individual Local' AND segmento='ESTR' AND ambito='PM' AND entidade='00100')Y ON X.CHAVE_IT=Y.CHAVE_SIMUL</v>
      </c>
      <c r="N214" s="33" t="str">
        <f t="shared" si="7"/>
        <v>UNION ALL SELECT 'INSTRUMENT' AS TABELA, 'COERÊNCIA' AS TIPOLOGIA_TESTE,'CD_LOAN_TAPES_BCE.LT002_INSTRUMENT' AS TABELA_LT,'BU_LOANTAPE_WORK.LT002_INSTRUMENT' AS TABELA_SIMUL,'elgblty_ecb'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elgblty_ecb AS CAMPO_IT FROM CD_LOAN_TAPES_BCE.LT002_INSTRUMENT WHERE ref_date='${ref_date}' AND nome_perimetro='Individual Local' AND segmento='ESTR' AND ambito='PM' AND entidade='00100')X INNER JOIN (SELECT instrmnt_id AS CHAVE_SIMUL, elgblty_ecb AS CAMPO_SIMUL FROM BU_LOANTAPE_WORK.LT002_INSTRUMENT WHERE ref_date='${ref_date}' AND nome_perimetro='Individual Local' AND segmento='ESTR' AND ambito='PM' AND entidade='00100')Y ON X.CHAVE_IT=Y.CHAVE_SIMUL</v>
      </c>
      <c r="O214" s="35" t="s">
        <v>35</v>
      </c>
    </row>
    <row r="215" spans="1:15">
      <c r="A215" s="57" t="str">
        <f t="shared" si="8"/>
        <v>Instrumentgrntr_id</v>
      </c>
      <c r="B215" s="32" t="s">
        <v>9</v>
      </c>
      <c r="C215" s="32" t="s">
        <v>388</v>
      </c>
      <c r="D215" s="32" t="s">
        <v>5</v>
      </c>
      <c r="E215" s="32" t="str">
        <f>+UPPER('0. Instruções'!$D$35&amp;"."&amp;VLOOKUP(B215,'0. Instruções'!$C$27:$D$32,2,FALSE))</f>
        <v>CD_LOAN_TAPES_BCE.LT002_INSTRUMENT</v>
      </c>
      <c r="F215" s="32" t="str">
        <f>+UPPER('0. Instruções'!$D$36&amp;"."&amp;VLOOKUP(B215,'0. Instruções'!$C$27:$E$32,3,FALSE))</f>
        <v>BU_LOANTAPE_WORK.LT002_INSTRUMENT</v>
      </c>
      <c r="H215" s="32"/>
      <c r="I215" s="32"/>
      <c r="J215" s="32" t="str">
        <f>IF(VLOOKUP(B215,'0. Instruções'!$C$27:$G$32,5,FALSE)=0,
"(SELECT "&amp;VLOOKUP(B215,'0. Instruções'!$C$27:$G$32,4,FALSE)&amp;" AS CHAVE_IT, "&amp;C215&amp;" AS CAMPO_IT FROM "&amp;E215&amp;" WHERE "&amp;'0. Instruções'!$D$43&amp;")X",
"(SELECT "&amp;VLOOKUP(B215,'0. Instruções'!$C$27:$G$32,4,FALSE)&amp;" AS CHAVE_IT1, "&amp;VLOOKUP(B215,'0. Instruções'!$C$27:$G$32,5,FALSE)&amp;" AS CHAVE_IT2, "&amp;C215&amp;" AS CAMPO_IT FROM "&amp;E215&amp;" WHERE "&amp;'0. Instruções'!$D$43&amp;")X")</f>
        <v>(SELECT instrmnt_id AS CHAVE_IT, grntr_id AS CAMPO_IT FROM CD_LOAN_TAPES_BCE.LT002_INSTRUMENT WHERE ref_date='${ref_date}' AND nome_perimetro='Individual Local' AND segmento='ESTR' AND ambito='PM' AND entidade='00100')X</v>
      </c>
      <c r="K215" s="32" t="str">
        <f>IF(VLOOKUP(B215,'0. Instruções'!$C$27:$G$32,5,FALSE)=0,
"(SELECT "&amp;VLOOKUP(B215,'0. Instruções'!$C$27:$G$32,4,FALSE)&amp;" AS CHAVE_SIMUL, "&amp;C215&amp;" AS CAMPO_SIMUL FROM "&amp;F215&amp;" WHERE "&amp;'0. Instruções'!$D$42&amp;")Y",
"(SELECT "&amp;VLOOKUP(B215,'0. Instruções'!$C$27:$G$32,4,FALSE)&amp;" AS CHAVE_SIMUL1, "&amp;VLOOKUP(B215,'0. Instruções'!$C$27:$G$32,5,FALSE)&amp;" AS CHAVE_SIMUL2, "&amp;C215&amp;" AS CAMPO_SIMUL FROM "&amp;F215&amp;" WHERE "&amp;'0. Instruções'!$D$42&amp;")Y")</f>
        <v>(SELECT instrmnt_id AS CHAVE_SIMUL, grntr_id AS CAMPO_SIMUL FROM BU_LOANTAPE_WORK.LT002_INSTRUMENT WHERE ref_date='${ref_date}' AND nome_perimetro='Individual Local' AND segmento='ESTR' AND ambito='PM' AND entidade='00100')Y</v>
      </c>
      <c r="L215" s="32" t="str">
        <f>IF(VLOOKUP(B215,'0. Instruções'!$C$27:$G$32,5,FALSE)=0,
"ON X.CHAVE_IT=Y.CHAVE_SIMUL",
"ON X.CHAVE_IT1=Y.CHAVE_SIMUL1 AND X.CHAVE_IT2=Y.CHAVE_SIMUL2")</f>
        <v>ON X.CHAVE_IT=Y.CHAVE_SIMUL</v>
      </c>
      <c r="M215" s="32" t="str">
        <f>+IF(D215="Coerência",+IF(LEFT(H215,5)="FLOAT","SELECT '"&amp;UPPER(B215)&amp;"' AS TABELA, '"&amp;UPPER(D215)&amp;"' AS TIPOLOGIA_TESTE,'"&amp;E215&amp;"' AS TABELA_LT,'"&amp;F215&amp;"' AS TABELA_SIMUL,'"&amp;C215&amp;"'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"&amp;J215&amp;" INNER JOIN "&amp;K215&amp;" "&amp;L215,"SELECT '"&amp;UPPER(B215)&amp;"' AS TABELA, '"&amp;UPPER(D215)&amp;"' AS TIPOLOGIA_TESTE,'"&amp;E215&amp;"' AS TABELA_LT,'"&amp;F215&amp;"' AS TABELA_SIMUL,'"&amp;C215&amp;"'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"&amp;J215&amp;" INNER JOIN "&amp;K215&amp;" "&amp;L215))</f>
        <v>SELECT 'INSTRUMENT' AS TABELA, 'COERÊNCIA' AS TIPOLOGIA_TESTE,'CD_LOAN_TAPES_BCE.LT002_INSTRUMENT' AS TABELA_LT,'BU_LOANTAPE_WORK.LT002_INSTRUMENT' AS TABELA_SIMUL,'grntr_id'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 AS CAMPO_IT FROM CD_LOAN_TAPES_BCE.LT002_INSTRUMENT WHERE ref_date='${ref_date}' AND nome_perimetro='Individual Local' AND segmento='ESTR' AND ambito='PM' AND entidade='00100')X INNER JOIN (SELECT instrmnt_id AS CHAVE_SIMUL, grntr_id AS CAMPO_SIMUL FROM BU_LOANTAPE_WORK.LT002_INSTRUMENT WHERE ref_date='${ref_date}' AND nome_perimetro='Individual Local' AND segmento='ESTR' AND ambito='PM' AND entidade='00100')Y ON X.CHAVE_IT=Y.CHAVE_SIMUL</v>
      </c>
      <c r="N215" s="33" t="str">
        <f t="shared" si="7"/>
        <v>UNION ALL SELECT 'INSTRUMENT' AS TABELA, 'COERÊNCIA' AS TIPOLOGIA_TESTE,'CD_LOAN_TAPES_BCE.LT002_INSTRUMENT' AS TABELA_LT,'BU_LOANTAPE_WORK.LT002_INSTRUMENT' AS TABELA_SIMUL,'grntr_id'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 AS CAMPO_IT FROM CD_LOAN_TAPES_BCE.LT002_INSTRUMENT WHERE ref_date='${ref_date}' AND nome_perimetro='Individual Local' AND segmento='ESTR' AND ambito='PM' AND entidade='00100')X INNER JOIN (SELECT instrmnt_id AS CHAVE_SIMUL, grntr_id AS CAMPO_SIMUL FROM BU_LOANTAPE_WORK.LT002_INSTRUMENT WHERE ref_date='${ref_date}' AND nome_perimetro='Individual Local' AND segmento='ESTR' AND ambito='PM' AND entidade='00100')Y ON X.CHAVE_IT=Y.CHAVE_SIMUL</v>
      </c>
      <c r="O215" s="35" t="s">
        <v>35</v>
      </c>
    </row>
    <row r="216" spans="1:15">
      <c r="A216" s="57" t="str">
        <f t="shared" si="8"/>
        <v>Instrumentgrntr_id_typ</v>
      </c>
      <c r="B216" s="32" t="s">
        <v>9</v>
      </c>
      <c r="C216" s="32" t="s">
        <v>389</v>
      </c>
      <c r="D216" s="32" t="s">
        <v>5</v>
      </c>
      <c r="E216" s="32" t="str">
        <f>+UPPER('0. Instruções'!$D$35&amp;"."&amp;VLOOKUP(B216,'0. Instruções'!$C$27:$D$32,2,FALSE))</f>
        <v>CD_LOAN_TAPES_BCE.LT002_INSTRUMENT</v>
      </c>
      <c r="F216" s="32" t="str">
        <f>+UPPER('0. Instruções'!$D$36&amp;"."&amp;VLOOKUP(B216,'0. Instruções'!$C$27:$E$32,3,FALSE))</f>
        <v>BU_LOANTAPE_WORK.LT002_INSTRUMENT</v>
      </c>
      <c r="H216" s="32"/>
      <c r="I216" s="32"/>
      <c r="J216" s="32" t="str">
        <f>IF(VLOOKUP(B216,'0. Instruções'!$C$27:$G$32,5,FALSE)=0,
"(SELECT "&amp;VLOOKUP(B216,'0. Instruções'!$C$27:$G$32,4,FALSE)&amp;" AS CHAVE_IT, "&amp;C216&amp;" AS CAMPO_IT FROM "&amp;E216&amp;" WHERE "&amp;'0. Instruções'!$D$43&amp;")X",
"(SELECT "&amp;VLOOKUP(B216,'0. Instruções'!$C$27:$G$32,4,FALSE)&amp;" AS CHAVE_IT1, "&amp;VLOOKUP(B216,'0. Instruções'!$C$27:$G$32,5,FALSE)&amp;" AS CHAVE_IT2, "&amp;C216&amp;" AS CAMPO_IT FROM "&amp;E216&amp;" WHERE "&amp;'0. Instruções'!$D$43&amp;")X")</f>
        <v>(SELECT instrmnt_id AS CHAVE_IT, grntr_id_typ AS CAMPO_IT FROM CD_LOAN_TAPES_BCE.LT002_INSTRUMENT WHERE ref_date='${ref_date}' AND nome_perimetro='Individual Local' AND segmento='ESTR' AND ambito='PM' AND entidade='00100')X</v>
      </c>
      <c r="K216" s="32" t="str">
        <f>IF(VLOOKUP(B216,'0. Instruções'!$C$27:$G$32,5,FALSE)=0,
"(SELECT "&amp;VLOOKUP(B216,'0. Instruções'!$C$27:$G$32,4,FALSE)&amp;" AS CHAVE_SIMUL, "&amp;C216&amp;" AS CAMPO_SIMUL FROM "&amp;F216&amp;" WHERE "&amp;'0. Instruções'!$D$42&amp;")Y",
"(SELECT "&amp;VLOOKUP(B216,'0. Instruções'!$C$27:$G$32,4,FALSE)&amp;" AS CHAVE_SIMUL1, "&amp;VLOOKUP(B216,'0. Instruções'!$C$27:$G$32,5,FALSE)&amp;" AS CHAVE_SIMUL2, "&amp;C216&amp;" AS CAMPO_SIMUL FROM "&amp;F216&amp;" WHERE "&amp;'0. Instruções'!$D$42&amp;")Y")</f>
        <v>(SELECT instrmnt_id AS CHAVE_SIMUL, grntr_id_typ AS CAMPO_SIMUL FROM BU_LOANTAPE_WORK.LT002_INSTRUMENT WHERE ref_date='${ref_date}' AND nome_perimetro='Individual Local' AND segmento='ESTR' AND ambito='PM' AND entidade='00100')Y</v>
      </c>
      <c r="L216" s="32" t="str">
        <f>IF(VLOOKUP(B216,'0. Instruções'!$C$27:$G$32,5,FALSE)=0,
"ON X.CHAVE_IT=Y.CHAVE_SIMUL",
"ON X.CHAVE_IT1=Y.CHAVE_SIMUL1 AND X.CHAVE_IT2=Y.CHAVE_SIMUL2")</f>
        <v>ON X.CHAVE_IT=Y.CHAVE_SIMUL</v>
      </c>
      <c r="M216" s="32" t="str">
        <f>+IF(D216="Coerência",+IF(LEFT(H216,5)="FLOAT","SELECT '"&amp;UPPER(B216)&amp;"' AS TABELA, '"&amp;UPPER(D216)&amp;"' AS TIPOLOGIA_TESTE,'"&amp;E216&amp;"' AS TABELA_LT,'"&amp;F216&amp;"' AS TABELA_SIMUL,'"&amp;C216&amp;"'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"&amp;J216&amp;" INNER JOIN "&amp;K216&amp;" "&amp;L216,"SELECT '"&amp;UPPER(B216)&amp;"' AS TABELA, '"&amp;UPPER(D216)&amp;"' AS TIPOLOGIA_TESTE,'"&amp;E216&amp;"' AS TABELA_LT,'"&amp;F216&amp;"' AS TABELA_SIMUL,'"&amp;C216&amp;"'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"&amp;J216&amp;" INNER JOIN "&amp;K216&amp;" "&amp;L216))</f>
        <v>SELECT 'INSTRUMENT' AS TABELA, 'COERÊNCIA' AS TIPOLOGIA_TESTE,'CD_LOAN_TAPES_BCE.LT002_INSTRUMENT' AS TABELA_LT,'BU_LOANTAPE_WORK.LT002_INSTRUMENT' AS TABELA_SIMUL,'grntr_id_typ'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grntr_id_typ AS CAMPO_IT FROM CD_LOAN_TAPES_BCE.LT002_INSTRUMENT WHERE ref_date='${ref_date}' AND nome_perimetro='Individual Local' AND segmento='ESTR' AND ambito='PM' AND entidade='00100')X INNER JOIN (SELECT instrmnt_id AS CHAVE_SIMUL, grntr_id_typ AS CAMPO_SIMUL FROM BU_LOANTAPE_WORK.LT002_INSTRUMENT WHERE ref_date='${ref_date}' AND nome_perimetro='Individual Local' AND segmento='ESTR' AND ambito='PM' AND entidade='00100')Y ON X.CHAVE_IT=Y.CHAVE_SIMUL</v>
      </c>
      <c r="N216" s="33" t="str">
        <f t="shared" si="7"/>
        <v>UNION ALL SELECT 'INSTRUMENT' AS TABELA, 'COERÊNCIA' AS TIPOLOGIA_TESTE,'CD_LOAN_TAPES_BCE.LT002_INSTRUMENT' AS TABELA_LT,'BU_LOANTAPE_WORK.LT002_INSTRUMENT' AS TABELA_SIMUL,'grntr_id_typ'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grntr_id_typ AS CAMPO_IT FROM CD_LOAN_TAPES_BCE.LT002_INSTRUMENT WHERE ref_date='${ref_date}' AND nome_perimetro='Individual Local' AND segmento='ESTR' AND ambito='PM' AND entidade='00100')X INNER JOIN (SELECT instrmnt_id AS CHAVE_SIMUL, grntr_id_typ AS CAMPO_SIMUL FROM BU_LOANTAPE_WORK.LT002_INSTRUMENT WHERE ref_date='${ref_date}' AND nome_perimetro='Individual Local' AND segmento='ESTR' AND ambito='PM' AND entidade='00100')Y ON X.CHAVE_IT=Y.CHAVE_SIMUL</v>
      </c>
      <c r="O216" s="35" t="s">
        <v>35</v>
      </c>
    </row>
    <row r="217" spans="1:15">
      <c r="A217" s="57" t="str">
        <f t="shared" si="8"/>
        <v>Instrumenthedge_id</v>
      </c>
      <c r="B217" s="32" t="s">
        <v>9</v>
      </c>
      <c r="C217" s="32" t="s">
        <v>390</v>
      </c>
      <c r="D217" s="32" t="s">
        <v>5</v>
      </c>
      <c r="E217" s="32" t="str">
        <f>+UPPER('0. Instruções'!$D$35&amp;"."&amp;VLOOKUP(B217,'0. Instruções'!$C$27:$D$32,2,FALSE))</f>
        <v>CD_LOAN_TAPES_BCE.LT002_INSTRUMENT</v>
      </c>
      <c r="F217" s="32" t="str">
        <f>+UPPER('0. Instruções'!$D$36&amp;"."&amp;VLOOKUP(B217,'0. Instruções'!$C$27:$E$32,3,FALSE))</f>
        <v>BU_LOANTAPE_WORK.LT002_INSTRUMENT</v>
      </c>
      <c r="H217" s="32"/>
      <c r="I217" s="32"/>
      <c r="J217" s="32" t="str">
        <f>IF(VLOOKUP(B217,'0. Instruções'!$C$27:$G$32,5,FALSE)=0,
"(SELECT "&amp;VLOOKUP(B217,'0. Instruções'!$C$27:$G$32,4,FALSE)&amp;" AS CHAVE_IT, "&amp;C217&amp;" AS CAMPO_IT FROM "&amp;E217&amp;" WHERE "&amp;'0. Instruções'!$D$43&amp;")X",
"(SELECT "&amp;VLOOKUP(B217,'0. Instruções'!$C$27:$G$32,4,FALSE)&amp;" AS CHAVE_IT1, "&amp;VLOOKUP(B217,'0. Instruções'!$C$27:$G$32,5,FALSE)&amp;" AS CHAVE_IT2, "&amp;C217&amp;" AS CAMPO_IT FROM "&amp;E217&amp;" WHERE "&amp;'0. Instruções'!$D$43&amp;")X")</f>
        <v>(SELECT instrmnt_id AS CHAVE_IT, hedge_id AS CAMPO_IT FROM CD_LOAN_TAPES_BCE.LT002_INSTRUMENT WHERE ref_date='${ref_date}' AND nome_perimetro='Individual Local' AND segmento='ESTR' AND ambito='PM' AND entidade='00100')X</v>
      </c>
      <c r="K217" s="32" t="str">
        <f>IF(VLOOKUP(B217,'0. Instruções'!$C$27:$G$32,5,FALSE)=0,
"(SELECT "&amp;VLOOKUP(B217,'0. Instruções'!$C$27:$G$32,4,FALSE)&amp;" AS CHAVE_SIMUL, "&amp;C217&amp;" AS CAMPO_SIMUL FROM "&amp;F217&amp;" WHERE "&amp;'0. Instruções'!$D$42&amp;")Y",
"(SELECT "&amp;VLOOKUP(B217,'0. Instruções'!$C$27:$G$32,4,FALSE)&amp;" AS CHAVE_SIMUL1, "&amp;VLOOKUP(B217,'0. Instruções'!$C$27:$G$32,5,FALSE)&amp;" AS CHAVE_SIMUL2, "&amp;C217&amp;" AS CAMPO_SIMUL FROM "&amp;F217&amp;" WHERE "&amp;'0. Instruções'!$D$42&amp;")Y")</f>
        <v>(SELECT instrmnt_id AS CHAVE_SIMUL, hedge_id AS CAMPO_SIMUL FROM BU_LOANTAPE_WORK.LT002_INSTRUMENT WHERE ref_date='${ref_date}' AND nome_perimetro='Individual Local' AND segmento='ESTR' AND ambito='PM' AND entidade='00100')Y</v>
      </c>
      <c r="L217" s="32" t="str">
        <f>IF(VLOOKUP(B217,'0. Instruções'!$C$27:$G$32,5,FALSE)=0,
"ON X.CHAVE_IT=Y.CHAVE_SIMUL",
"ON X.CHAVE_IT1=Y.CHAVE_SIMUL1 AND X.CHAVE_IT2=Y.CHAVE_SIMUL2")</f>
        <v>ON X.CHAVE_IT=Y.CHAVE_SIMUL</v>
      </c>
      <c r="M217" s="32" t="str">
        <f>+IF(D217="Coerência",+IF(LEFT(H217,5)="FLOAT","SELECT '"&amp;UPPER(B217)&amp;"' AS TABELA, '"&amp;UPPER(D217)&amp;"' AS TIPOLOGIA_TESTE,'"&amp;E217&amp;"' AS TABELA_LT,'"&amp;F217&amp;"' AS TABELA_SIMUL,'"&amp;C217&amp;"'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"&amp;J217&amp;" INNER JOIN "&amp;K217&amp;" "&amp;L217,"SELECT '"&amp;UPPER(B217)&amp;"' AS TABELA, '"&amp;UPPER(D217)&amp;"' AS TIPOLOGIA_TESTE,'"&amp;E217&amp;"' AS TABELA_LT,'"&amp;F217&amp;"' AS TABELA_SIMUL,'"&amp;C217&amp;"'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"&amp;J217&amp;" INNER JOIN "&amp;K217&amp;" "&amp;L217))</f>
        <v>SELECT 'INSTRUMENT' AS TABELA, 'COERÊNCIA' AS TIPOLOGIA_TESTE,'CD_LOAN_TAPES_BCE.LT002_INSTRUMENT' AS TABELA_LT,'BU_LOANTAPE_WORK.LT002_INSTRUMENT' AS TABELA_SIMUL,'hedge_id'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hedge_id AS CAMPO_IT FROM CD_LOAN_TAPES_BCE.LT002_INSTRUMENT WHERE ref_date='${ref_date}' AND nome_perimetro='Individual Local' AND segmento='ESTR' AND ambito='PM' AND entidade='00100')X INNER JOIN (SELECT instrmnt_id AS CHAVE_SIMUL, hedge_id AS CAMPO_SIMUL FROM BU_LOANTAPE_WORK.LT002_INSTRUMENT WHERE ref_date='${ref_date}' AND nome_perimetro='Individual Local' AND segmento='ESTR' AND ambito='PM' AND entidade='00100')Y ON X.CHAVE_IT=Y.CHAVE_SIMUL</v>
      </c>
      <c r="N217" s="33" t="str">
        <f t="shared" si="7"/>
        <v>UNION ALL SELECT 'INSTRUMENT' AS TABELA, 'COERÊNCIA' AS TIPOLOGIA_TESTE,'CD_LOAN_TAPES_BCE.LT002_INSTRUMENT' AS TABELA_LT,'BU_LOANTAPE_WORK.LT002_INSTRUMENT' AS TABELA_SIMUL,'hedge_id'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hedge_id AS CAMPO_IT FROM CD_LOAN_TAPES_BCE.LT002_INSTRUMENT WHERE ref_date='${ref_date}' AND nome_perimetro='Individual Local' AND segmento='ESTR' AND ambito='PM' AND entidade='00100')X INNER JOIN (SELECT instrmnt_id AS CHAVE_SIMUL, hedge_id AS CAMPO_SIMUL FROM BU_LOANTAPE_WORK.LT002_INSTRUMENT WHERE ref_date='${ref_date}' AND nome_perimetro='Individual Local' AND segmento='ESTR' AND ambito='PM' AND entidade='00100')Y ON X.CHAVE_IT=Y.CHAVE_SIMUL</v>
      </c>
      <c r="O217" s="35" t="s">
        <v>35</v>
      </c>
    </row>
    <row r="218" spans="1:15">
      <c r="A218" s="57" t="str">
        <f t="shared" si="8"/>
        <v>Instrumentinstr_snrty_clss</v>
      </c>
      <c r="B218" s="32" t="s">
        <v>9</v>
      </c>
      <c r="C218" s="32" t="s">
        <v>391</v>
      </c>
      <c r="D218" s="32" t="s">
        <v>5</v>
      </c>
      <c r="E218" s="32" t="str">
        <f>+UPPER('0. Instruções'!$D$35&amp;"."&amp;VLOOKUP(B218,'0. Instruções'!$C$27:$D$32,2,FALSE))</f>
        <v>CD_LOAN_TAPES_BCE.LT002_INSTRUMENT</v>
      </c>
      <c r="F218" s="32" t="str">
        <f>+UPPER('0. Instruções'!$D$36&amp;"."&amp;VLOOKUP(B218,'0. Instruções'!$C$27:$E$32,3,FALSE))</f>
        <v>BU_LOANTAPE_WORK.LT002_INSTRUMENT</v>
      </c>
      <c r="H218" s="32"/>
      <c r="I218" s="32"/>
      <c r="J218" s="32" t="str">
        <f>IF(VLOOKUP(B218,'0. Instruções'!$C$27:$G$32,5,FALSE)=0,
"(SELECT "&amp;VLOOKUP(B218,'0. Instruções'!$C$27:$G$32,4,FALSE)&amp;" AS CHAVE_IT, "&amp;C218&amp;" AS CAMPO_IT FROM "&amp;E218&amp;" WHERE "&amp;'0. Instruções'!$D$43&amp;")X",
"(SELECT "&amp;VLOOKUP(B218,'0. Instruções'!$C$27:$G$32,4,FALSE)&amp;" AS CHAVE_IT1, "&amp;VLOOKUP(B218,'0. Instruções'!$C$27:$G$32,5,FALSE)&amp;" AS CHAVE_IT2, "&amp;C218&amp;" AS CAMPO_IT FROM "&amp;E218&amp;" WHERE "&amp;'0. Instruções'!$D$43&amp;")X")</f>
        <v>(SELECT instrmnt_id AS CHAVE_IT, instr_snrty_clss AS CAMPO_IT FROM CD_LOAN_TAPES_BCE.LT002_INSTRUMENT WHERE ref_date='${ref_date}' AND nome_perimetro='Individual Local' AND segmento='ESTR' AND ambito='PM' AND entidade='00100')X</v>
      </c>
      <c r="K218" s="32" t="str">
        <f>IF(VLOOKUP(B218,'0. Instruções'!$C$27:$G$32,5,FALSE)=0,
"(SELECT "&amp;VLOOKUP(B218,'0. Instruções'!$C$27:$G$32,4,FALSE)&amp;" AS CHAVE_SIMUL, "&amp;C218&amp;" AS CAMPO_SIMUL FROM "&amp;F218&amp;" WHERE "&amp;'0. Instruções'!$D$42&amp;")Y",
"(SELECT "&amp;VLOOKUP(B218,'0. Instruções'!$C$27:$G$32,4,FALSE)&amp;" AS CHAVE_SIMUL1, "&amp;VLOOKUP(B218,'0. Instruções'!$C$27:$G$32,5,FALSE)&amp;" AS CHAVE_SIMUL2, "&amp;C218&amp;" AS CAMPO_SIMUL FROM "&amp;F218&amp;" WHERE "&amp;'0. Instruções'!$D$42&amp;")Y")</f>
        <v>(SELECT instrmnt_id AS CHAVE_SIMUL, instr_snrty_clss AS CAMPO_SIMUL FROM BU_LOANTAPE_WORK.LT002_INSTRUMENT WHERE ref_date='${ref_date}' AND nome_perimetro='Individual Local' AND segmento='ESTR' AND ambito='PM' AND entidade='00100')Y</v>
      </c>
      <c r="L218" s="32" t="str">
        <f>IF(VLOOKUP(B218,'0. Instruções'!$C$27:$G$32,5,FALSE)=0,
"ON X.CHAVE_IT=Y.CHAVE_SIMUL",
"ON X.CHAVE_IT1=Y.CHAVE_SIMUL1 AND X.CHAVE_IT2=Y.CHAVE_SIMUL2")</f>
        <v>ON X.CHAVE_IT=Y.CHAVE_SIMUL</v>
      </c>
      <c r="M218" s="32" t="str">
        <f>+IF(D218="Coerência",+IF(LEFT(H218,5)="FLOAT","SELECT '"&amp;UPPER(B218)&amp;"' AS TABELA, '"&amp;UPPER(D218)&amp;"' AS TIPOLOGIA_TESTE,'"&amp;E218&amp;"' AS TABELA_LT,'"&amp;F218&amp;"' AS TABELA_SIMUL,'"&amp;C218&amp;"'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"&amp;J218&amp;" INNER JOIN "&amp;K218&amp;" "&amp;L218,"SELECT '"&amp;UPPER(B218)&amp;"' AS TABELA, '"&amp;UPPER(D218)&amp;"' AS TIPOLOGIA_TESTE,'"&amp;E218&amp;"' AS TABELA_LT,'"&amp;F218&amp;"' AS TABELA_SIMUL,'"&amp;C218&amp;"'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"&amp;J218&amp;" INNER JOIN "&amp;K218&amp;" "&amp;L218))</f>
        <v>SELECT 'INSTRUMENT' AS TABELA, 'COERÊNCIA' AS TIPOLOGIA_TESTE,'CD_LOAN_TAPES_BCE.LT002_INSTRUMENT' AS TABELA_LT,'BU_LOANTAPE_WORK.LT002_INSTRUMENT' AS TABELA_SIMUL,'instr_snrty_clss'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instr_snrty_clss AS CAMPO_IT FROM CD_LOAN_TAPES_BCE.LT002_INSTRUMENT WHERE ref_date='${ref_date}' AND nome_perimetro='Individual Local' AND segmento='ESTR' AND ambito='PM' AND entidade='00100')X INNER JOIN (SELECT instrmnt_id AS CHAVE_SIMUL, instr_snrty_clss AS CAMPO_SIMUL FROM BU_LOANTAPE_WORK.LT002_INSTRUMENT WHERE ref_date='${ref_date}' AND nome_perimetro='Individual Local' AND segmento='ESTR' AND ambito='PM' AND entidade='00100')Y ON X.CHAVE_IT=Y.CHAVE_SIMUL</v>
      </c>
      <c r="N218" s="33" t="str">
        <f t="shared" si="7"/>
        <v>UNION ALL SELECT 'INSTRUMENT' AS TABELA, 'COERÊNCIA' AS TIPOLOGIA_TESTE,'CD_LOAN_TAPES_BCE.LT002_INSTRUMENT' AS TABELA_LT,'BU_LOANTAPE_WORK.LT002_INSTRUMENT' AS TABELA_SIMUL,'instr_snrty_clss'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instr_snrty_clss AS CAMPO_IT FROM CD_LOAN_TAPES_BCE.LT002_INSTRUMENT WHERE ref_date='${ref_date}' AND nome_perimetro='Individual Local' AND segmento='ESTR' AND ambito='PM' AND entidade='00100')X INNER JOIN (SELECT instrmnt_id AS CHAVE_SIMUL, instr_snrty_clss AS CAMPO_SIMUL FROM BU_LOANTAPE_WORK.LT002_INSTRUMENT WHERE ref_date='${ref_date}' AND nome_perimetro='Individual Local' AND segmento='ESTR' AND ambito='PM' AND entidade='00100')Y ON X.CHAVE_IT=Y.CHAVE_SIMUL</v>
      </c>
      <c r="O218" s="35" t="s">
        <v>35</v>
      </c>
    </row>
    <row r="219" spans="1:15">
      <c r="A219" s="57" t="str">
        <f t="shared" si="8"/>
        <v>Instrumentinstrmnt_clss</v>
      </c>
      <c r="B219" s="32" t="s">
        <v>9</v>
      </c>
      <c r="C219" s="32" t="s">
        <v>392</v>
      </c>
      <c r="D219" s="32" t="s">
        <v>5</v>
      </c>
      <c r="E219" s="32" t="str">
        <f>+UPPER('0. Instruções'!$D$35&amp;"."&amp;VLOOKUP(B219,'0. Instruções'!$C$27:$D$32,2,FALSE))</f>
        <v>CD_LOAN_TAPES_BCE.LT002_INSTRUMENT</v>
      </c>
      <c r="F219" s="32" t="str">
        <f>+UPPER('0. Instruções'!$D$36&amp;"."&amp;VLOOKUP(B219,'0. Instruções'!$C$27:$E$32,3,FALSE))</f>
        <v>BU_LOANTAPE_WORK.LT002_INSTRUMENT</v>
      </c>
      <c r="H219" s="32"/>
      <c r="I219" s="32"/>
      <c r="J219" s="32" t="str">
        <f>IF(VLOOKUP(B219,'0. Instruções'!$C$27:$G$32,5,FALSE)=0,
"(SELECT "&amp;VLOOKUP(B219,'0. Instruções'!$C$27:$G$32,4,FALSE)&amp;" AS CHAVE_IT, "&amp;C219&amp;" AS CAMPO_IT FROM "&amp;E219&amp;" WHERE "&amp;'0. Instruções'!$D$43&amp;")X",
"(SELECT "&amp;VLOOKUP(B219,'0. Instruções'!$C$27:$G$32,4,FALSE)&amp;" AS CHAVE_IT1, "&amp;VLOOKUP(B219,'0. Instruções'!$C$27:$G$32,5,FALSE)&amp;" AS CHAVE_IT2, "&amp;C219&amp;" AS CAMPO_IT FROM "&amp;E219&amp;" WHERE "&amp;'0. Instruções'!$D$43&amp;")X")</f>
        <v>(SELECT instrmnt_id AS CHAVE_IT, instrmnt_clss AS CAMPO_IT FROM CD_LOAN_TAPES_BCE.LT002_INSTRUMENT WHERE ref_date='${ref_date}' AND nome_perimetro='Individual Local' AND segmento='ESTR' AND ambito='PM' AND entidade='00100')X</v>
      </c>
      <c r="K219" s="32" t="str">
        <f>IF(VLOOKUP(B219,'0. Instruções'!$C$27:$G$32,5,FALSE)=0,
"(SELECT "&amp;VLOOKUP(B219,'0. Instruções'!$C$27:$G$32,4,FALSE)&amp;" AS CHAVE_SIMUL, "&amp;C219&amp;" AS CAMPO_SIMUL FROM "&amp;F219&amp;" WHERE "&amp;'0. Instruções'!$D$42&amp;")Y",
"(SELECT "&amp;VLOOKUP(B219,'0. Instruções'!$C$27:$G$32,4,FALSE)&amp;" AS CHAVE_SIMUL1, "&amp;VLOOKUP(B219,'0. Instruções'!$C$27:$G$32,5,FALSE)&amp;" AS CHAVE_SIMUL2, "&amp;C219&amp;" AS CAMPO_SIMUL FROM "&amp;F219&amp;" WHERE "&amp;'0. Instruções'!$D$42&amp;")Y")</f>
        <v>(SELECT instrmnt_id AS CHAVE_SIMUL, instrmnt_clss AS CAMPO_SIMUL FROM BU_LOANTAPE_WORK.LT002_INSTRUMENT WHERE ref_date='${ref_date}' AND nome_perimetro='Individual Local' AND segmento='ESTR' AND ambito='PM' AND entidade='00100')Y</v>
      </c>
      <c r="L219" s="32" t="str">
        <f>IF(VLOOKUP(B219,'0. Instruções'!$C$27:$G$32,5,FALSE)=0,
"ON X.CHAVE_IT=Y.CHAVE_SIMUL",
"ON X.CHAVE_IT1=Y.CHAVE_SIMUL1 AND X.CHAVE_IT2=Y.CHAVE_SIMUL2")</f>
        <v>ON X.CHAVE_IT=Y.CHAVE_SIMUL</v>
      </c>
      <c r="M219" s="32" t="str">
        <f>+IF(D219="Coerência",+IF(LEFT(H219,5)="FLOAT","SELECT '"&amp;UPPER(B219)&amp;"' AS TABELA, '"&amp;UPPER(D219)&amp;"' AS TIPOLOGIA_TESTE,'"&amp;E219&amp;"' AS TABELA_LT,'"&amp;F219&amp;"' AS TABELA_SIMUL,'"&amp;C219&amp;"'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"&amp;J219&amp;" INNER JOIN "&amp;K219&amp;" "&amp;L219,"SELECT '"&amp;UPPER(B219)&amp;"' AS TABELA, '"&amp;UPPER(D219)&amp;"' AS TIPOLOGIA_TESTE,'"&amp;E219&amp;"' AS TABELA_LT,'"&amp;F219&amp;"' AS TABELA_SIMUL,'"&amp;C219&amp;"'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"&amp;J219&amp;" INNER JOIN "&amp;K219&amp;" "&amp;L219))</f>
        <v>SELECT 'INSTRUMENT' AS TABELA, 'COERÊNCIA' AS TIPOLOGIA_TESTE,'CD_LOAN_TAPES_BCE.LT002_INSTRUMENT' AS TABELA_LT,'BU_LOANTAPE_WORK.LT002_INSTRUMENT' AS TABELA_SIMUL,'instrmnt_clss'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instrmnt_clss AS CAMPO_IT FROM CD_LOAN_TAPES_BCE.LT002_INSTRUMENT WHERE ref_date='${ref_date}' AND nome_perimetro='Individual Local' AND segmento='ESTR' AND ambito='PM' AND entidade='00100')X INNER JOIN (SELECT instrmnt_id AS CHAVE_SIMUL, instrmnt_clss AS CAMPO_SIMUL FROM BU_LOANTAPE_WORK.LT002_INSTRUMENT WHERE ref_date='${ref_date}' AND nome_perimetro='Individual Local' AND segmento='ESTR' AND ambito='PM' AND entidade='00100')Y ON X.CHAVE_IT=Y.CHAVE_SIMUL</v>
      </c>
      <c r="N219" s="33" t="str">
        <f t="shared" si="7"/>
        <v>UNION ALL SELECT 'INSTRUMENT' AS TABELA, 'COERÊNCIA' AS TIPOLOGIA_TESTE,'CD_LOAN_TAPES_BCE.LT002_INSTRUMENT' AS TABELA_LT,'BU_LOANTAPE_WORK.LT002_INSTRUMENT' AS TABELA_SIMUL,'instrmnt_clss'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instrmnt_clss AS CAMPO_IT FROM CD_LOAN_TAPES_BCE.LT002_INSTRUMENT WHERE ref_date='${ref_date}' AND nome_perimetro='Individual Local' AND segmento='ESTR' AND ambito='PM' AND entidade='00100')X INNER JOIN (SELECT instrmnt_id AS CHAVE_SIMUL, instrmnt_clss AS CAMPO_SIMUL FROM BU_LOANTAPE_WORK.LT002_INSTRUMENT WHERE ref_date='${ref_date}' AND nome_perimetro='Individual Local' AND segmento='ESTR' AND ambito='PM' AND entidade='00100')Y ON X.CHAVE_IT=Y.CHAVE_SIMUL</v>
      </c>
      <c r="O219" s="35" t="s">
        <v>35</v>
      </c>
    </row>
    <row r="220" spans="1:15">
      <c r="A220" s="57" t="str">
        <f t="shared" si="8"/>
        <v>Instrumentisin</v>
      </c>
      <c r="B220" s="32" t="s">
        <v>9</v>
      </c>
      <c r="C220" s="32" t="s">
        <v>109</v>
      </c>
      <c r="D220" s="32" t="s">
        <v>5</v>
      </c>
      <c r="E220" s="32" t="str">
        <f>+UPPER('0. Instruções'!$D$35&amp;"."&amp;VLOOKUP(B220,'0. Instruções'!$C$27:$D$32,2,FALSE))</f>
        <v>CD_LOAN_TAPES_BCE.LT002_INSTRUMENT</v>
      </c>
      <c r="F220" s="32" t="str">
        <f>+UPPER('0. Instruções'!$D$36&amp;"."&amp;VLOOKUP(B220,'0. Instruções'!$C$27:$E$32,3,FALSE))</f>
        <v>BU_LOANTAPE_WORK.LT002_INSTRUMENT</v>
      </c>
      <c r="H220" s="32"/>
      <c r="I220" s="32"/>
      <c r="J220" s="32" t="str">
        <f>IF(VLOOKUP(B220,'0. Instruções'!$C$27:$G$32,5,FALSE)=0,
"(SELECT "&amp;VLOOKUP(B220,'0. Instruções'!$C$27:$G$32,4,FALSE)&amp;" AS CHAVE_IT, "&amp;C220&amp;" AS CAMPO_IT FROM "&amp;E220&amp;" WHERE "&amp;'0. Instruções'!$D$43&amp;")X",
"(SELECT "&amp;VLOOKUP(B220,'0. Instruções'!$C$27:$G$32,4,FALSE)&amp;" AS CHAVE_IT1, "&amp;VLOOKUP(B220,'0. Instruções'!$C$27:$G$32,5,FALSE)&amp;" AS CHAVE_IT2, "&amp;C220&amp;" AS CAMPO_IT FROM "&amp;E220&amp;" WHERE "&amp;'0. Instruções'!$D$43&amp;")X")</f>
        <v>(SELECT instrmnt_id AS CHAVE_IT, isin AS CAMPO_IT FROM CD_LOAN_TAPES_BCE.LT002_INSTRUMENT WHERE ref_date='${ref_date}' AND nome_perimetro='Individual Local' AND segmento='ESTR' AND ambito='PM' AND entidade='00100')X</v>
      </c>
      <c r="K220" s="32" t="str">
        <f>IF(VLOOKUP(B220,'0. Instruções'!$C$27:$G$32,5,FALSE)=0,
"(SELECT "&amp;VLOOKUP(B220,'0. Instruções'!$C$27:$G$32,4,FALSE)&amp;" AS CHAVE_SIMUL, "&amp;C220&amp;" AS CAMPO_SIMUL FROM "&amp;F220&amp;" WHERE "&amp;'0. Instruções'!$D$42&amp;")Y",
"(SELECT "&amp;VLOOKUP(B220,'0. Instruções'!$C$27:$G$32,4,FALSE)&amp;" AS CHAVE_SIMUL1, "&amp;VLOOKUP(B220,'0. Instruções'!$C$27:$G$32,5,FALSE)&amp;" AS CHAVE_SIMUL2, "&amp;C220&amp;" AS CAMPO_SIMUL FROM "&amp;F220&amp;" WHERE "&amp;'0. Instruções'!$D$42&amp;")Y")</f>
        <v>(SELECT instrmnt_id AS CHAVE_SIMUL, isin AS CAMPO_SIMUL FROM BU_LOANTAPE_WORK.LT002_INSTRUMENT WHERE ref_date='${ref_date}' AND nome_perimetro='Individual Local' AND segmento='ESTR' AND ambito='PM' AND entidade='00100')Y</v>
      </c>
      <c r="L220" s="32" t="str">
        <f>IF(VLOOKUP(B220,'0. Instruções'!$C$27:$G$32,5,FALSE)=0,
"ON X.CHAVE_IT=Y.CHAVE_SIMUL",
"ON X.CHAVE_IT1=Y.CHAVE_SIMUL1 AND X.CHAVE_IT2=Y.CHAVE_SIMUL2")</f>
        <v>ON X.CHAVE_IT=Y.CHAVE_SIMUL</v>
      </c>
      <c r="M220" s="32" t="str">
        <f>+IF(D220="Coerência",+IF(LEFT(H220,5)="FLOAT","SELECT '"&amp;UPPER(B220)&amp;"' AS TABELA, '"&amp;UPPER(D220)&amp;"' AS TIPOLOGIA_TESTE,'"&amp;E220&amp;"' AS TABELA_LT,'"&amp;F220&amp;"' AS TABELA_SIMUL,'"&amp;C220&amp;"'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"&amp;J220&amp;" INNER JOIN "&amp;K220&amp;" "&amp;L220,"SELECT '"&amp;UPPER(B220)&amp;"' AS TABELA, '"&amp;UPPER(D220)&amp;"' AS TIPOLOGIA_TESTE,'"&amp;E220&amp;"' AS TABELA_LT,'"&amp;F220&amp;"' AS TABELA_SIMUL,'"&amp;C220&amp;"'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"&amp;J220&amp;" INNER JOIN "&amp;K220&amp;" "&amp;L220))</f>
        <v>SELECT 'INSTRUMENT' AS TABELA, 'COERÊNCIA' AS TIPOLOGIA_TESTE,'CD_LOAN_TAPES_BCE.LT002_INSTRUMENT' AS TABELA_LT,'BU_LOANTAPE_WORK.LT002_INSTRUMENT'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 AS CAMPO_IT FROM CD_LOAN_TAPES_BCE.LT002_INSTRUMENT WHERE ref_date='${ref_date}' AND nome_perimetro='Individual Local' AND segmento='ESTR' AND ambito='PM' AND entidade='00100')X INNER JOIN (SELECT instrmnt_id AS CHAVE_SIMUL, isin AS CAMPO_SIMUL FROM BU_LOANTAPE_WORK.LT002_INSTRUMENT WHERE ref_date='${ref_date}' AND nome_perimetro='Individual Local' AND segmento='ESTR' AND ambito='PM' AND entidade='00100')Y ON X.CHAVE_IT=Y.CHAVE_SIMUL</v>
      </c>
      <c r="N220" s="33" t="str">
        <f t="shared" si="7"/>
        <v>UNION ALL SELECT 'INSTRUMENT' AS TABELA, 'COERÊNCIA' AS TIPOLOGIA_TESTE,'CD_LOAN_TAPES_BCE.LT002_INSTRUMENT' AS TABELA_LT,'BU_LOANTAPE_WORK.LT002_INSTRUMENT'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 AS CAMPO_IT FROM CD_LOAN_TAPES_BCE.LT002_INSTRUMENT WHERE ref_date='${ref_date}' AND nome_perimetro='Individual Local' AND segmento='ESTR' AND ambito='PM' AND entidade='00100')X INNER JOIN (SELECT instrmnt_id AS CHAVE_SIMUL, isin AS CAMPO_SIMUL FROM BU_LOANTAPE_WORK.LT002_INSTRUMENT WHERE ref_date='${ref_date}' AND nome_perimetro='Individual Local' AND segmento='ESTR' AND ambito='PM' AND entidade='00100')Y ON X.CHAVE_IT=Y.CHAVE_SIMUL</v>
      </c>
      <c r="O220" s="35" t="s">
        <v>35</v>
      </c>
    </row>
    <row r="221" spans="1:15">
      <c r="A221" s="57" t="str">
        <f t="shared" si="8"/>
        <v>Instrumentissr_cntry</v>
      </c>
      <c r="B221" s="32" t="s">
        <v>9</v>
      </c>
      <c r="C221" s="32" t="s">
        <v>145</v>
      </c>
      <c r="D221" s="32" t="s">
        <v>5</v>
      </c>
      <c r="E221" s="32" t="str">
        <f>+UPPER('0. Instruções'!$D$35&amp;"."&amp;VLOOKUP(B221,'0. Instruções'!$C$27:$D$32,2,FALSE))</f>
        <v>CD_LOAN_TAPES_BCE.LT002_INSTRUMENT</v>
      </c>
      <c r="F221" s="32" t="str">
        <f>+UPPER('0. Instruções'!$D$36&amp;"."&amp;VLOOKUP(B221,'0. Instruções'!$C$27:$E$32,3,FALSE))</f>
        <v>BU_LOANTAPE_WORK.LT002_INSTRUMENT</v>
      </c>
      <c r="H221" s="32"/>
      <c r="I221" s="32"/>
      <c r="J221" s="32" t="str">
        <f>IF(VLOOKUP(B221,'0. Instruções'!$C$27:$G$32,5,FALSE)=0,
"(SELECT "&amp;VLOOKUP(B221,'0. Instruções'!$C$27:$G$32,4,FALSE)&amp;" AS CHAVE_IT, "&amp;C221&amp;" AS CAMPO_IT FROM "&amp;E221&amp;" WHERE "&amp;'0. Instruções'!$D$43&amp;")X",
"(SELECT "&amp;VLOOKUP(B221,'0. Instruções'!$C$27:$G$32,4,FALSE)&amp;" AS CHAVE_IT1, "&amp;VLOOKUP(B221,'0. Instruções'!$C$27:$G$32,5,FALSE)&amp;" AS CHAVE_IT2, "&amp;C221&amp;" AS CAMPO_IT FROM "&amp;E221&amp;" WHERE "&amp;'0. Instruções'!$D$43&amp;")X")</f>
        <v>(SELECT instrmnt_id AS CHAVE_IT, issr_cntry AS CAMPO_IT FROM CD_LOAN_TAPES_BCE.LT002_INSTRUMENT WHERE ref_date='${ref_date}' AND nome_perimetro='Individual Local' AND segmento='ESTR' AND ambito='PM' AND entidade='00100')X</v>
      </c>
      <c r="K221" s="32" t="str">
        <f>IF(VLOOKUP(B221,'0. Instruções'!$C$27:$G$32,5,FALSE)=0,
"(SELECT "&amp;VLOOKUP(B221,'0. Instruções'!$C$27:$G$32,4,FALSE)&amp;" AS CHAVE_SIMUL, "&amp;C221&amp;" AS CAMPO_SIMUL FROM "&amp;F221&amp;" WHERE "&amp;'0. Instruções'!$D$42&amp;")Y",
"(SELECT "&amp;VLOOKUP(B221,'0. Instruções'!$C$27:$G$32,4,FALSE)&amp;" AS CHAVE_SIMUL1, "&amp;VLOOKUP(B221,'0. Instruções'!$C$27:$G$32,5,FALSE)&amp;" AS CHAVE_SIMUL2, "&amp;C221&amp;" AS CAMPO_SIMUL FROM "&amp;F221&amp;" WHERE "&amp;'0. Instruções'!$D$42&amp;")Y")</f>
        <v>(SELECT instrmnt_id AS CHAVE_SIMUL, issr_cntry AS CAMPO_SIMUL FROM BU_LOANTAPE_WORK.LT002_INSTRUMENT WHERE ref_date='${ref_date}' AND nome_perimetro='Individual Local' AND segmento='ESTR' AND ambito='PM' AND entidade='00100')Y</v>
      </c>
      <c r="L221" s="32" t="str">
        <f>IF(VLOOKUP(B221,'0. Instruções'!$C$27:$G$32,5,FALSE)=0,
"ON X.CHAVE_IT=Y.CHAVE_SIMUL",
"ON X.CHAVE_IT1=Y.CHAVE_SIMUL1 AND X.CHAVE_IT2=Y.CHAVE_SIMUL2")</f>
        <v>ON X.CHAVE_IT=Y.CHAVE_SIMUL</v>
      </c>
      <c r="M221" s="32" t="str">
        <f>+IF(D221="Coerência",+IF(LEFT(H221,5)="FLOAT","SELECT '"&amp;UPPER(B221)&amp;"' AS TABELA, '"&amp;UPPER(D221)&amp;"' AS TIPOLOGIA_TESTE,'"&amp;E221&amp;"' AS TABELA_LT,'"&amp;F221&amp;"' AS TABELA_SIMUL,'"&amp;C221&amp;"'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"&amp;J221&amp;" INNER JOIN "&amp;K221&amp;" "&amp;L221,"SELECT '"&amp;UPPER(B221)&amp;"' AS TABELA, '"&amp;UPPER(D221)&amp;"' AS TIPOLOGIA_TESTE,'"&amp;E221&amp;"' AS TABELA_LT,'"&amp;F221&amp;"' AS TABELA_SIMUL,'"&amp;C221&amp;"'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"&amp;J221&amp;" INNER JOIN "&amp;K221&amp;" "&amp;L221))</f>
        <v>SELECT 'INSTRUMENT' AS TABELA, 'COERÊNCIA' AS TIPOLOGIA_TESTE,'CD_LOAN_TAPES_BCE.LT002_INSTRUMENT' AS TABELA_LT,'BU_LOANTAPE_WORK.LT002_INSTRUMENT' AS TABELA_SIMUL,'issr_cntry'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issr_cntry AS CAMPO_IT FROM CD_LOAN_TAPES_BCE.LT002_INSTRUMENT WHERE ref_date='${ref_date}' AND nome_perimetro='Individual Local' AND segmento='ESTR' AND ambito='PM' AND entidade='00100')X INNER JOIN (SELECT instrmnt_id AS CHAVE_SIMUL, issr_cntry AS CAMPO_SIMUL FROM BU_LOANTAPE_WORK.LT002_INSTRUMENT WHERE ref_date='${ref_date}' AND nome_perimetro='Individual Local' AND segmento='ESTR' AND ambito='PM' AND entidade='00100')Y ON X.CHAVE_IT=Y.CHAVE_SIMUL</v>
      </c>
      <c r="N221" s="33" t="str">
        <f t="shared" si="7"/>
        <v>UNION ALL SELECT 'INSTRUMENT' AS TABELA, 'COERÊNCIA' AS TIPOLOGIA_TESTE,'CD_LOAN_TAPES_BCE.LT002_INSTRUMENT' AS TABELA_LT,'BU_LOANTAPE_WORK.LT002_INSTRUMENT' AS TABELA_SIMUL,'issr_cntry'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issr_cntry AS CAMPO_IT FROM CD_LOAN_TAPES_BCE.LT002_INSTRUMENT WHERE ref_date='${ref_date}' AND nome_perimetro='Individual Local' AND segmento='ESTR' AND ambito='PM' AND entidade='00100')X INNER JOIN (SELECT instrmnt_id AS CHAVE_SIMUL, issr_cntry AS CAMPO_SIMUL FROM BU_LOANTAPE_WORK.LT002_INSTRUMENT WHERE ref_date='${ref_date}' AND nome_perimetro='Individual Local' AND segmento='ESTR' AND ambito='PM' AND entidade='00100')Y ON X.CHAVE_IT=Y.CHAVE_SIMUL</v>
      </c>
      <c r="O221" s="35" t="s">
        <v>35</v>
      </c>
    </row>
    <row r="222" spans="1:15">
      <c r="A222" s="57" t="str">
        <f t="shared" si="8"/>
        <v>Instrumentissr_esa_2010</v>
      </c>
      <c r="B222" s="32" t="s">
        <v>9</v>
      </c>
      <c r="C222" s="32" t="s">
        <v>393</v>
      </c>
      <c r="D222" s="32" t="s">
        <v>5</v>
      </c>
      <c r="E222" s="32" t="str">
        <f>+UPPER('0. Instruções'!$D$35&amp;"."&amp;VLOOKUP(B222,'0. Instruções'!$C$27:$D$32,2,FALSE))</f>
        <v>CD_LOAN_TAPES_BCE.LT002_INSTRUMENT</v>
      </c>
      <c r="F222" s="32" t="str">
        <f>+UPPER('0. Instruções'!$D$36&amp;"."&amp;VLOOKUP(B222,'0. Instruções'!$C$27:$E$32,3,FALSE))</f>
        <v>BU_LOANTAPE_WORK.LT002_INSTRUMENT</v>
      </c>
      <c r="H222" s="32"/>
      <c r="I222" s="32"/>
      <c r="J222" s="32" t="str">
        <f>IF(VLOOKUP(B222,'0. Instruções'!$C$27:$G$32,5,FALSE)=0,
"(SELECT "&amp;VLOOKUP(B222,'0. Instruções'!$C$27:$G$32,4,FALSE)&amp;" AS CHAVE_IT, "&amp;C222&amp;" AS CAMPO_IT FROM "&amp;E222&amp;" WHERE "&amp;'0. Instruções'!$D$43&amp;")X",
"(SELECT "&amp;VLOOKUP(B222,'0. Instruções'!$C$27:$G$32,4,FALSE)&amp;" AS CHAVE_IT1, "&amp;VLOOKUP(B222,'0. Instruções'!$C$27:$G$32,5,FALSE)&amp;" AS CHAVE_IT2, "&amp;C222&amp;" AS CAMPO_IT FROM "&amp;E222&amp;" WHERE "&amp;'0. Instruções'!$D$43&amp;")X")</f>
        <v>(SELECT instrmnt_id AS CHAVE_IT, issr_esa_2010 AS CAMPO_IT FROM CD_LOAN_TAPES_BCE.LT002_INSTRUMENT WHERE ref_date='${ref_date}' AND nome_perimetro='Individual Local' AND segmento='ESTR' AND ambito='PM' AND entidade='00100')X</v>
      </c>
      <c r="K222" s="32" t="str">
        <f>IF(VLOOKUP(B222,'0. Instruções'!$C$27:$G$32,5,FALSE)=0,
"(SELECT "&amp;VLOOKUP(B222,'0. Instruções'!$C$27:$G$32,4,FALSE)&amp;" AS CHAVE_SIMUL, "&amp;C222&amp;" AS CAMPO_SIMUL FROM "&amp;F222&amp;" WHERE "&amp;'0. Instruções'!$D$42&amp;")Y",
"(SELECT "&amp;VLOOKUP(B222,'0. Instruções'!$C$27:$G$32,4,FALSE)&amp;" AS CHAVE_SIMUL1, "&amp;VLOOKUP(B222,'0. Instruções'!$C$27:$G$32,5,FALSE)&amp;" AS CHAVE_SIMUL2, "&amp;C222&amp;" AS CAMPO_SIMUL FROM "&amp;F222&amp;" WHERE "&amp;'0. Instruções'!$D$42&amp;")Y")</f>
        <v>(SELECT instrmnt_id AS CHAVE_SIMUL, issr_esa_2010 AS CAMPO_SIMUL FROM BU_LOANTAPE_WORK.LT002_INSTRUMENT WHERE ref_date='${ref_date}' AND nome_perimetro='Individual Local' AND segmento='ESTR' AND ambito='PM' AND entidade='00100')Y</v>
      </c>
      <c r="L222" s="32" t="str">
        <f>IF(VLOOKUP(B222,'0. Instruções'!$C$27:$G$32,5,FALSE)=0,
"ON X.CHAVE_IT=Y.CHAVE_SIMUL",
"ON X.CHAVE_IT1=Y.CHAVE_SIMUL1 AND X.CHAVE_IT2=Y.CHAVE_SIMUL2")</f>
        <v>ON X.CHAVE_IT=Y.CHAVE_SIMUL</v>
      </c>
      <c r="M222" s="32" t="str">
        <f>+IF(D222="Coerência",+IF(LEFT(H222,5)="FLOAT","SELECT '"&amp;UPPER(B222)&amp;"' AS TABELA, '"&amp;UPPER(D222)&amp;"' AS TIPOLOGIA_TESTE,'"&amp;E222&amp;"' AS TABELA_LT,'"&amp;F222&amp;"' AS TABELA_SIMUL,'"&amp;C222&amp;"'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"&amp;J222&amp;" INNER JOIN "&amp;K222&amp;" "&amp;L222,"SELECT '"&amp;UPPER(B222)&amp;"' AS TABELA, '"&amp;UPPER(D222)&amp;"' AS TIPOLOGIA_TESTE,'"&amp;E222&amp;"' AS TABELA_LT,'"&amp;F222&amp;"' AS TABELA_SIMUL,'"&amp;C222&amp;"'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"&amp;J222&amp;" INNER JOIN "&amp;K222&amp;" "&amp;L222))</f>
        <v>SELECT 'INSTRUMENT' AS TABELA, 'COERÊNCIA' AS TIPOLOGIA_TESTE,'CD_LOAN_TAPES_BCE.LT002_INSTRUMENT' AS TABELA_LT,'BU_LOANTAPE_WORK.LT002_INSTRUMENT' AS TABELA_SIMUL,'issr_esa_2010'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issr_esa_2010 AS CAMPO_IT FROM CD_LOAN_TAPES_BCE.LT002_INSTRUMENT WHERE ref_date='${ref_date}' AND nome_perimetro='Individual Local' AND segmento='ESTR' AND ambito='PM' AND entidade='00100')X INNER JOIN (SELECT instrmnt_id AS CHAVE_SIMUL, issr_esa_2010 AS CAMPO_SIMUL FROM BU_LOANTAPE_WORK.LT002_INSTRUMENT WHERE ref_date='${ref_date}' AND nome_perimetro='Individual Local' AND segmento='ESTR' AND ambito='PM' AND entidade='00100')Y ON X.CHAVE_IT=Y.CHAVE_SIMUL</v>
      </c>
      <c r="N222" s="33" t="str">
        <f t="shared" si="7"/>
        <v>UNION ALL SELECT 'INSTRUMENT' AS TABELA, 'COERÊNCIA' AS TIPOLOGIA_TESTE,'CD_LOAN_TAPES_BCE.LT002_INSTRUMENT' AS TABELA_LT,'BU_LOANTAPE_WORK.LT002_INSTRUMENT' AS TABELA_SIMUL,'issr_esa_2010'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issr_esa_2010 AS CAMPO_IT FROM CD_LOAN_TAPES_BCE.LT002_INSTRUMENT WHERE ref_date='${ref_date}' AND nome_perimetro='Individual Local' AND segmento='ESTR' AND ambito='PM' AND entidade='00100')X INNER JOIN (SELECT instrmnt_id AS CHAVE_SIMUL, issr_esa_2010 AS CAMPO_SIMUL FROM BU_LOANTAPE_WORK.LT002_INSTRUMENT WHERE ref_date='${ref_date}' AND nome_perimetro='Individual Local' AND segmento='ESTR' AND ambito='PM' AND entidade='00100')Y ON X.CHAVE_IT=Y.CHAVE_SIMUL</v>
      </c>
      <c r="O222" s="35" t="s">
        <v>35</v>
      </c>
    </row>
    <row r="223" spans="1:15">
      <c r="A223" s="57" t="str">
        <f t="shared" si="8"/>
        <v>Instrumentissr_id</v>
      </c>
      <c r="B223" s="32" t="s">
        <v>9</v>
      </c>
      <c r="C223" s="32" t="s">
        <v>394</v>
      </c>
      <c r="D223" s="32" t="s">
        <v>5</v>
      </c>
      <c r="E223" s="32" t="str">
        <f>+UPPER('0. Instruções'!$D$35&amp;"."&amp;VLOOKUP(B223,'0. Instruções'!$C$27:$D$32,2,FALSE))</f>
        <v>CD_LOAN_TAPES_BCE.LT002_INSTRUMENT</v>
      </c>
      <c r="F223" s="32" t="str">
        <f>+UPPER('0. Instruções'!$D$36&amp;"."&amp;VLOOKUP(B223,'0. Instruções'!$C$27:$E$32,3,FALSE))</f>
        <v>BU_LOANTAPE_WORK.LT002_INSTRUMENT</v>
      </c>
      <c r="H223" s="32"/>
      <c r="I223" s="32"/>
      <c r="J223" s="32" t="str">
        <f>IF(VLOOKUP(B223,'0. Instruções'!$C$27:$G$32,5,FALSE)=0,
"(SELECT "&amp;VLOOKUP(B223,'0. Instruções'!$C$27:$G$32,4,FALSE)&amp;" AS CHAVE_IT, "&amp;C223&amp;" AS CAMPO_IT FROM "&amp;E223&amp;" WHERE "&amp;'0. Instruções'!$D$43&amp;")X",
"(SELECT "&amp;VLOOKUP(B223,'0. Instruções'!$C$27:$G$32,4,FALSE)&amp;" AS CHAVE_IT1, "&amp;VLOOKUP(B223,'0. Instruções'!$C$27:$G$32,5,FALSE)&amp;" AS CHAVE_IT2, "&amp;C223&amp;" AS CAMPO_IT FROM "&amp;E223&amp;" WHERE "&amp;'0. Instruções'!$D$43&amp;")X")</f>
        <v>(SELECT instrmnt_id AS CHAVE_IT, issr_id AS CAMPO_IT FROM CD_LOAN_TAPES_BCE.LT002_INSTRUMENT WHERE ref_date='${ref_date}' AND nome_perimetro='Individual Local' AND segmento='ESTR' AND ambito='PM' AND entidade='00100')X</v>
      </c>
      <c r="K223" s="32" t="str">
        <f>IF(VLOOKUP(B223,'0. Instruções'!$C$27:$G$32,5,FALSE)=0,
"(SELECT "&amp;VLOOKUP(B223,'0. Instruções'!$C$27:$G$32,4,FALSE)&amp;" AS CHAVE_SIMUL, "&amp;C223&amp;" AS CAMPO_SIMUL FROM "&amp;F223&amp;" WHERE "&amp;'0. Instruções'!$D$42&amp;")Y",
"(SELECT "&amp;VLOOKUP(B223,'0. Instruções'!$C$27:$G$32,4,FALSE)&amp;" AS CHAVE_SIMUL1, "&amp;VLOOKUP(B223,'0. Instruções'!$C$27:$G$32,5,FALSE)&amp;" AS CHAVE_SIMUL2, "&amp;C223&amp;" AS CAMPO_SIMUL FROM "&amp;F223&amp;" WHERE "&amp;'0. Instruções'!$D$42&amp;")Y")</f>
        <v>(SELECT instrmnt_id AS CHAVE_SIMUL, issr_id AS CAMPO_SIMUL FROM BU_LOANTAPE_WORK.LT002_INSTRUMENT WHERE ref_date='${ref_date}' AND nome_perimetro='Individual Local' AND segmento='ESTR' AND ambito='PM' AND entidade='00100')Y</v>
      </c>
      <c r="L223" s="32" t="str">
        <f>IF(VLOOKUP(B223,'0. Instruções'!$C$27:$G$32,5,FALSE)=0,
"ON X.CHAVE_IT=Y.CHAVE_SIMUL",
"ON X.CHAVE_IT1=Y.CHAVE_SIMUL1 AND X.CHAVE_IT2=Y.CHAVE_SIMUL2")</f>
        <v>ON X.CHAVE_IT=Y.CHAVE_SIMUL</v>
      </c>
      <c r="M223" s="32" t="str">
        <f>+IF(D223="Coerência",+IF(LEFT(H223,5)="FLOAT","SELECT '"&amp;UPPER(B223)&amp;"' AS TABELA, '"&amp;UPPER(D223)&amp;"' AS TIPOLOGIA_TESTE,'"&amp;E223&amp;"' AS TABELA_LT,'"&amp;F223&amp;"' AS TABELA_SIMUL,'"&amp;C223&amp;"'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"&amp;J223&amp;" INNER JOIN "&amp;K223&amp;" "&amp;L223,"SELECT '"&amp;UPPER(B223)&amp;"' AS TABELA, '"&amp;UPPER(D223)&amp;"' AS TIPOLOGIA_TESTE,'"&amp;E223&amp;"' AS TABELA_LT,'"&amp;F223&amp;"' AS TABELA_SIMUL,'"&amp;C223&amp;"'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"&amp;J223&amp;" INNER JOIN "&amp;K223&amp;" "&amp;L223))</f>
        <v>SELECT 'INSTRUMENT' AS TABELA, 'COERÊNCIA' AS TIPOLOGIA_TESTE,'CD_LOAN_TAPES_BCE.LT002_INSTRUMENT' AS TABELA_LT,'BU_LOANTAPE_WORK.LT002_INSTRUMENT' AS TABELA_SIMUL,'issr_id'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 AS CAMPO_IT FROM CD_LOAN_TAPES_BCE.LT002_INSTRUMENT WHERE ref_date='${ref_date}' AND nome_perimetro='Individual Local' AND segmento='ESTR' AND ambito='PM' AND entidade='00100')X INNER JOIN (SELECT instrmnt_id AS CHAVE_SIMUL, issr_id AS CAMPO_SIMUL FROM BU_LOANTAPE_WORK.LT002_INSTRUMENT WHERE ref_date='${ref_date}' AND nome_perimetro='Individual Local' AND segmento='ESTR' AND ambito='PM' AND entidade='00100')Y ON X.CHAVE_IT=Y.CHAVE_SIMUL</v>
      </c>
      <c r="N223" s="33" t="str">
        <f t="shared" si="7"/>
        <v>UNION ALL SELECT 'INSTRUMENT' AS TABELA, 'COERÊNCIA' AS TIPOLOGIA_TESTE,'CD_LOAN_TAPES_BCE.LT002_INSTRUMENT' AS TABELA_LT,'BU_LOANTAPE_WORK.LT002_INSTRUMENT' AS TABELA_SIMUL,'issr_id'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 AS CAMPO_IT FROM CD_LOAN_TAPES_BCE.LT002_INSTRUMENT WHERE ref_date='${ref_date}' AND nome_perimetro='Individual Local' AND segmento='ESTR' AND ambito='PM' AND entidade='00100')X INNER JOIN (SELECT instrmnt_id AS CHAVE_SIMUL, issr_id AS CAMPO_SIMUL FROM BU_LOANTAPE_WORK.LT002_INSTRUMENT WHERE ref_date='${ref_date}' AND nome_perimetro='Individual Local' AND segmento='ESTR' AND ambito='PM' AND entidade='00100')Y ON X.CHAVE_IT=Y.CHAVE_SIMUL</v>
      </c>
      <c r="O223" s="35" t="s">
        <v>35</v>
      </c>
    </row>
    <row r="224" spans="1:15">
      <c r="A224" s="57" t="str">
        <f t="shared" si="8"/>
        <v>Instrumentissr_id_typ</v>
      </c>
      <c r="B224" s="32" t="s">
        <v>9</v>
      </c>
      <c r="C224" s="32" t="s">
        <v>395</v>
      </c>
      <c r="D224" s="32" t="s">
        <v>5</v>
      </c>
      <c r="E224" s="32" t="str">
        <f>+UPPER('0. Instruções'!$D$35&amp;"."&amp;VLOOKUP(B224,'0. Instruções'!$C$27:$D$32,2,FALSE))</f>
        <v>CD_LOAN_TAPES_BCE.LT002_INSTRUMENT</v>
      </c>
      <c r="F224" s="32" t="str">
        <f>+UPPER('0. Instruções'!$D$36&amp;"."&amp;VLOOKUP(B224,'0. Instruções'!$C$27:$E$32,3,FALSE))</f>
        <v>BU_LOANTAPE_WORK.LT002_INSTRUMENT</v>
      </c>
      <c r="H224" s="32"/>
      <c r="I224" s="32"/>
      <c r="J224" s="32" t="str">
        <f>IF(VLOOKUP(B224,'0. Instruções'!$C$27:$G$32,5,FALSE)=0,
"(SELECT "&amp;VLOOKUP(B224,'0. Instruções'!$C$27:$G$32,4,FALSE)&amp;" AS CHAVE_IT, "&amp;C224&amp;" AS CAMPO_IT FROM "&amp;E224&amp;" WHERE "&amp;'0. Instruções'!$D$43&amp;")X",
"(SELECT "&amp;VLOOKUP(B224,'0. Instruções'!$C$27:$G$32,4,FALSE)&amp;" AS CHAVE_IT1, "&amp;VLOOKUP(B224,'0. Instruções'!$C$27:$G$32,5,FALSE)&amp;" AS CHAVE_IT2, "&amp;C224&amp;" AS CAMPO_IT FROM "&amp;E224&amp;" WHERE "&amp;'0. Instruções'!$D$43&amp;")X")</f>
        <v>(SELECT instrmnt_id AS CHAVE_IT, issr_id_typ AS CAMPO_IT FROM CD_LOAN_TAPES_BCE.LT002_INSTRUMENT WHERE ref_date='${ref_date}' AND nome_perimetro='Individual Local' AND segmento='ESTR' AND ambito='PM' AND entidade='00100')X</v>
      </c>
      <c r="K224" s="32" t="str">
        <f>IF(VLOOKUP(B224,'0. Instruções'!$C$27:$G$32,5,FALSE)=0,
"(SELECT "&amp;VLOOKUP(B224,'0. Instruções'!$C$27:$G$32,4,FALSE)&amp;" AS CHAVE_SIMUL, "&amp;C224&amp;" AS CAMPO_SIMUL FROM "&amp;F224&amp;" WHERE "&amp;'0. Instruções'!$D$42&amp;")Y",
"(SELECT "&amp;VLOOKUP(B224,'0. Instruções'!$C$27:$G$32,4,FALSE)&amp;" AS CHAVE_SIMUL1, "&amp;VLOOKUP(B224,'0. Instruções'!$C$27:$G$32,5,FALSE)&amp;" AS CHAVE_SIMUL2, "&amp;C224&amp;" AS CAMPO_SIMUL FROM "&amp;F224&amp;" WHERE "&amp;'0. Instruções'!$D$42&amp;")Y")</f>
        <v>(SELECT instrmnt_id AS CHAVE_SIMUL, issr_id_typ AS CAMPO_SIMUL FROM BU_LOANTAPE_WORK.LT002_INSTRUMENT WHERE ref_date='${ref_date}' AND nome_perimetro='Individual Local' AND segmento='ESTR' AND ambito='PM' AND entidade='00100')Y</v>
      </c>
      <c r="L224" s="32" t="str">
        <f>IF(VLOOKUP(B224,'0. Instruções'!$C$27:$G$32,5,FALSE)=0,
"ON X.CHAVE_IT=Y.CHAVE_SIMUL",
"ON X.CHAVE_IT1=Y.CHAVE_SIMUL1 AND X.CHAVE_IT2=Y.CHAVE_SIMUL2")</f>
        <v>ON X.CHAVE_IT=Y.CHAVE_SIMUL</v>
      </c>
      <c r="M224" s="32" t="str">
        <f>+IF(D224="Coerência",+IF(LEFT(H224,5)="FLOAT","SELECT '"&amp;UPPER(B224)&amp;"' AS TABELA, '"&amp;UPPER(D224)&amp;"' AS TIPOLOGIA_TESTE,'"&amp;E224&amp;"' AS TABELA_LT,'"&amp;F224&amp;"' AS TABELA_SIMUL,'"&amp;C224&amp;"'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"&amp;J224&amp;" INNER JOIN "&amp;K224&amp;" "&amp;L224,"SELECT '"&amp;UPPER(B224)&amp;"' AS TABELA, '"&amp;UPPER(D224)&amp;"' AS TIPOLOGIA_TESTE,'"&amp;E224&amp;"' AS TABELA_LT,'"&amp;F224&amp;"' AS TABELA_SIMUL,'"&amp;C224&amp;"'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"&amp;J224&amp;" INNER JOIN "&amp;K224&amp;" "&amp;L224))</f>
        <v>SELECT 'INSTRUMENT' AS TABELA, 'COERÊNCIA' AS TIPOLOGIA_TESTE,'CD_LOAN_TAPES_BCE.LT002_INSTRUMENT' AS TABELA_LT,'BU_LOANTAPE_WORK.LT002_INSTRUMENT' AS TABELA_SIMUL,'issr_id_typ'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issr_id_typ AS CAMPO_IT FROM CD_LOAN_TAPES_BCE.LT002_INSTRUMENT WHERE ref_date='${ref_date}' AND nome_perimetro='Individual Local' AND segmento='ESTR' AND ambito='PM' AND entidade='00100')X INNER JOIN (SELECT instrmnt_id AS CHAVE_SIMUL, issr_id_typ AS CAMPO_SIMUL FROM BU_LOANTAPE_WORK.LT002_INSTRUMENT WHERE ref_date='${ref_date}' AND nome_perimetro='Individual Local' AND segmento='ESTR' AND ambito='PM' AND entidade='00100')Y ON X.CHAVE_IT=Y.CHAVE_SIMUL</v>
      </c>
      <c r="N224" s="33" t="str">
        <f t="shared" si="7"/>
        <v>UNION ALL SELECT 'INSTRUMENT' AS TABELA, 'COERÊNCIA' AS TIPOLOGIA_TESTE,'CD_LOAN_TAPES_BCE.LT002_INSTRUMENT' AS TABELA_LT,'BU_LOANTAPE_WORK.LT002_INSTRUMENT' AS TABELA_SIMUL,'issr_id_typ'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issr_id_typ AS CAMPO_IT FROM CD_LOAN_TAPES_BCE.LT002_INSTRUMENT WHERE ref_date='${ref_date}' AND nome_perimetro='Individual Local' AND segmento='ESTR' AND ambito='PM' AND entidade='00100')X INNER JOIN (SELECT instrmnt_id AS CHAVE_SIMUL, issr_id_typ AS CAMPO_SIMUL FROM BU_LOANTAPE_WORK.LT002_INSTRUMENT WHERE ref_date='${ref_date}' AND nome_perimetro='Individual Local' AND segmento='ESTR' AND ambito='PM' AND entidade='00100')Y ON X.CHAVE_IT=Y.CHAVE_SIMUL</v>
      </c>
      <c r="O224" s="35" t="s">
        <v>35</v>
      </c>
    </row>
    <row r="225" spans="1:15">
      <c r="A225" s="57" t="str">
        <f t="shared" si="8"/>
        <v>Instrumentissr_nace_sctr</v>
      </c>
      <c r="B225" s="32" t="s">
        <v>9</v>
      </c>
      <c r="C225" s="32" t="s">
        <v>146</v>
      </c>
      <c r="D225" s="32" t="s">
        <v>5</v>
      </c>
      <c r="E225" s="32" t="str">
        <f>+UPPER('0. Instruções'!$D$35&amp;"."&amp;VLOOKUP(B225,'0. Instruções'!$C$27:$D$32,2,FALSE))</f>
        <v>CD_LOAN_TAPES_BCE.LT002_INSTRUMENT</v>
      </c>
      <c r="F225" s="32" t="str">
        <f>+UPPER('0. Instruções'!$D$36&amp;"."&amp;VLOOKUP(B225,'0. Instruções'!$C$27:$E$32,3,FALSE))</f>
        <v>BU_LOANTAPE_WORK.LT002_INSTRUMENT</v>
      </c>
      <c r="H225" s="32"/>
      <c r="I225" s="32"/>
      <c r="J225" s="32" t="str">
        <f>IF(VLOOKUP(B225,'0. Instruções'!$C$27:$G$32,5,FALSE)=0,
"(SELECT "&amp;VLOOKUP(B225,'0. Instruções'!$C$27:$G$32,4,FALSE)&amp;" AS CHAVE_IT, "&amp;C225&amp;" AS CAMPO_IT FROM "&amp;E225&amp;" WHERE "&amp;'0. Instruções'!$D$43&amp;")X",
"(SELECT "&amp;VLOOKUP(B225,'0. Instruções'!$C$27:$G$32,4,FALSE)&amp;" AS CHAVE_IT1, "&amp;VLOOKUP(B225,'0. Instruções'!$C$27:$G$32,5,FALSE)&amp;" AS CHAVE_IT2, "&amp;C225&amp;" AS CAMPO_IT FROM "&amp;E225&amp;" WHERE "&amp;'0. Instruções'!$D$43&amp;")X")</f>
        <v>(SELECT instrmnt_id AS CHAVE_IT, issr_nace_sctr AS CAMPO_IT FROM CD_LOAN_TAPES_BCE.LT002_INSTRUMENT WHERE ref_date='${ref_date}' AND nome_perimetro='Individual Local' AND segmento='ESTR' AND ambito='PM' AND entidade='00100')X</v>
      </c>
      <c r="K225" s="32" t="str">
        <f>IF(VLOOKUP(B225,'0. Instruções'!$C$27:$G$32,5,FALSE)=0,
"(SELECT "&amp;VLOOKUP(B225,'0. Instruções'!$C$27:$G$32,4,FALSE)&amp;" AS CHAVE_SIMUL, "&amp;C225&amp;" AS CAMPO_SIMUL FROM "&amp;F225&amp;" WHERE "&amp;'0. Instruções'!$D$42&amp;")Y",
"(SELECT "&amp;VLOOKUP(B225,'0. Instruções'!$C$27:$G$32,4,FALSE)&amp;" AS CHAVE_SIMUL1, "&amp;VLOOKUP(B225,'0. Instruções'!$C$27:$G$32,5,FALSE)&amp;" AS CHAVE_SIMUL2, "&amp;C225&amp;" AS CAMPO_SIMUL FROM "&amp;F225&amp;" WHERE "&amp;'0. Instruções'!$D$42&amp;")Y")</f>
        <v>(SELECT instrmnt_id AS CHAVE_SIMUL, issr_nace_sctr AS CAMPO_SIMUL FROM BU_LOANTAPE_WORK.LT002_INSTRUMENT WHERE ref_date='${ref_date}' AND nome_perimetro='Individual Local' AND segmento='ESTR' AND ambito='PM' AND entidade='00100')Y</v>
      </c>
      <c r="L225" s="32" t="str">
        <f>IF(VLOOKUP(B225,'0. Instruções'!$C$27:$G$32,5,FALSE)=0,
"ON X.CHAVE_IT=Y.CHAVE_SIMUL",
"ON X.CHAVE_IT1=Y.CHAVE_SIMUL1 AND X.CHAVE_IT2=Y.CHAVE_SIMUL2")</f>
        <v>ON X.CHAVE_IT=Y.CHAVE_SIMUL</v>
      </c>
      <c r="M225" s="32" t="str">
        <f>+IF(D225="Coerência",+IF(LEFT(H225,5)="FLOAT","SELECT '"&amp;UPPER(B225)&amp;"' AS TABELA, '"&amp;UPPER(D225)&amp;"' AS TIPOLOGIA_TESTE,'"&amp;E225&amp;"' AS TABELA_LT,'"&amp;F225&amp;"' AS TABELA_SIMUL,'"&amp;C225&amp;"'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"&amp;J225&amp;" INNER JOIN "&amp;K225&amp;" "&amp;L225,"SELECT '"&amp;UPPER(B225)&amp;"' AS TABELA, '"&amp;UPPER(D225)&amp;"' AS TIPOLOGIA_TESTE,'"&amp;E225&amp;"' AS TABELA_LT,'"&amp;F225&amp;"' AS TABELA_SIMUL,'"&amp;C225&amp;"'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"&amp;J225&amp;" INNER JOIN "&amp;K225&amp;" "&amp;L225))</f>
        <v>SELECT 'INSTRUMENT' AS TABELA, 'COERÊNCIA' AS TIPOLOGIA_TESTE,'CD_LOAN_TAPES_BCE.LT002_INSTRUMENT' AS TABELA_LT,'BU_LOANTAPE_WORK.LT002_INSTRUMENT' AS TABELA_SIMUL,'issr_nace_sctr'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issr_nace_sctr AS CAMPO_IT FROM CD_LOAN_TAPES_BCE.LT002_INSTRUMENT WHERE ref_date='${ref_date}' AND nome_perimetro='Individual Local' AND segmento='ESTR' AND ambito='PM' AND entidade='00100')X INNER JOIN (SELECT instrmnt_id AS CHAVE_SIMUL, issr_nace_sctr AS CAMPO_SIMUL FROM BU_LOANTAPE_WORK.LT002_INSTRUMENT WHERE ref_date='${ref_date}' AND nome_perimetro='Individual Local' AND segmento='ESTR' AND ambito='PM' AND entidade='00100')Y ON X.CHAVE_IT=Y.CHAVE_SIMUL</v>
      </c>
      <c r="N225" s="33" t="str">
        <f t="shared" si="7"/>
        <v>UNION ALL SELECT 'INSTRUMENT' AS TABELA, 'COERÊNCIA' AS TIPOLOGIA_TESTE,'CD_LOAN_TAPES_BCE.LT002_INSTRUMENT' AS TABELA_LT,'BU_LOANTAPE_WORK.LT002_INSTRUMENT' AS TABELA_SIMUL,'issr_nace_sctr'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issr_nace_sctr AS CAMPO_IT FROM CD_LOAN_TAPES_BCE.LT002_INSTRUMENT WHERE ref_date='${ref_date}' AND nome_perimetro='Individual Local' AND segmento='ESTR' AND ambito='PM' AND entidade='00100')X INNER JOIN (SELECT instrmnt_id AS CHAVE_SIMUL, issr_nace_sctr AS CAMPO_SIMUL FROM BU_LOANTAPE_WORK.LT002_INSTRUMENT WHERE ref_date='${ref_date}' AND nome_perimetro='Individual Local' AND segmento='ESTR' AND ambito='PM' AND entidade='00100')Y ON X.CHAVE_IT=Y.CHAVE_SIMUL</v>
      </c>
      <c r="O225" s="35" t="s">
        <v>35</v>
      </c>
    </row>
    <row r="226" spans="1:15">
      <c r="A226" s="57" t="str">
        <f t="shared" si="8"/>
        <v>Instrumentissr_rtng</v>
      </c>
      <c r="B226" s="32" t="s">
        <v>9</v>
      </c>
      <c r="C226" s="32" t="s">
        <v>396</v>
      </c>
      <c r="D226" s="32" t="s">
        <v>5</v>
      </c>
      <c r="E226" s="32" t="str">
        <f>+UPPER('0. Instruções'!$D$35&amp;"."&amp;VLOOKUP(B226,'0. Instruções'!$C$27:$D$32,2,FALSE))</f>
        <v>CD_LOAN_TAPES_BCE.LT002_INSTRUMENT</v>
      </c>
      <c r="F226" s="32" t="str">
        <f>+UPPER('0. Instruções'!$D$36&amp;"."&amp;VLOOKUP(B226,'0. Instruções'!$C$27:$E$32,3,FALSE))</f>
        <v>BU_LOANTAPE_WORK.LT002_INSTRUMENT</v>
      </c>
      <c r="H226" s="32"/>
      <c r="I226" s="32"/>
      <c r="J226" s="32" t="str">
        <f>IF(VLOOKUP(B226,'0. Instruções'!$C$27:$G$32,5,FALSE)=0,
"(SELECT "&amp;VLOOKUP(B226,'0. Instruções'!$C$27:$G$32,4,FALSE)&amp;" AS CHAVE_IT, "&amp;C226&amp;" AS CAMPO_IT FROM "&amp;E226&amp;" WHERE "&amp;'0. Instruções'!$D$43&amp;")X",
"(SELECT "&amp;VLOOKUP(B226,'0. Instruções'!$C$27:$G$32,4,FALSE)&amp;" AS CHAVE_IT1, "&amp;VLOOKUP(B226,'0. Instruções'!$C$27:$G$32,5,FALSE)&amp;" AS CHAVE_IT2, "&amp;C226&amp;" AS CAMPO_IT FROM "&amp;E226&amp;" WHERE "&amp;'0. Instruções'!$D$43&amp;")X")</f>
        <v>(SELECT instrmnt_id AS CHAVE_IT, issr_rtng AS CAMPO_IT FROM CD_LOAN_TAPES_BCE.LT002_INSTRUMENT WHERE ref_date='${ref_date}' AND nome_perimetro='Individual Local' AND segmento='ESTR' AND ambito='PM' AND entidade='00100')X</v>
      </c>
      <c r="K226" s="32" t="str">
        <f>IF(VLOOKUP(B226,'0. Instruções'!$C$27:$G$32,5,FALSE)=0,
"(SELECT "&amp;VLOOKUP(B226,'0. Instruções'!$C$27:$G$32,4,FALSE)&amp;" AS CHAVE_SIMUL, "&amp;C226&amp;" AS CAMPO_SIMUL FROM "&amp;F226&amp;" WHERE "&amp;'0. Instruções'!$D$42&amp;")Y",
"(SELECT "&amp;VLOOKUP(B226,'0. Instruções'!$C$27:$G$32,4,FALSE)&amp;" AS CHAVE_SIMUL1, "&amp;VLOOKUP(B226,'0. Instruções'!$C$27:$G$32,5,FALSE)&amp;" AS CHAVE_SIMUL2, "&amp;C226&amp;" AS CAMPO_SIMUL FROM "&amp;F226&amp;" WHERE "&amp;'0. Instruções'!$D$42&amp;")Y")</f>
        <v>(SELECT instrmnt_id AS CHAVE_SIMUL, issr_rtng AS CAMPO_SIMUL FROM BU_LOANTAPE_WORK.LT002_INSTRUMENT WHERE ref_date='${ref_date}' AND nome_perimetro='Individual Local' AND segmento='ESTR' AND ambito='PM' AND entidade='00100')Y</v>
      </c>
      <c r="L226" s="32" t="str">
        <f>IF(VLOOKUP(B226,'0. Instruções'!$C$27:$G$32,5,FALSE)=0,
"ON X.CHAVE_IT=Y.CHAVE_SIMUL",
"ON X.CHAVE_IT1=Y.CHAVE_SIMUL1 AND X.CHAVE_IT2=Y.CHAVE_SIMUL2")</f>
        <v>ON X.CHAVE_IT=Y.CHAVE_SIMUL</v>
      </c>
      <c r="M226" s="32" t="str">
        <f>+IF(D226="Coerência",+IF(LEFT(H226,5)="FLOAT","SELECT '"&amp;UPPER(B226)&amp;"' AS TABELA, '"&amp;UPPER(D226)&amp;"' AS TIPOLOGIA_TESTE,'"&amp;E226&amp;"' AS TABELA_LT,'"&amp;F226&amp;"' AS TABELA_SIMUL,'"&amp;C226&amp;"'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"&amp;J226&amp;" INNER JOIN "&amp;K226&amp;" "&amp;L226,"SELECT '"&amp;UPPER(B226)&amp;"' AS TABELA, '"&amp;UPPER(D226)&amp;"' AS TIPOLOGIA_TESTE,'"&amp;E226&amp;"' AS TABELA_LT,'"&amp;F226&amp;"' AS TABELA_SIMUL,'"&amp;C226&amp;"'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"&amp;J226&amp;" INNER JOIN "&amp;K226&amp;" "&amp;L226))</f>
        <v>SELECT 'INSTRUMENT' AS TABELA, 'COERÊNCIA' AS TIPOLOGIA_TESTE,'CD_LOAN_TAPES_BCE.LT002_INSTRUMENT' AS TABELA_LT,'BU_LOANTAPE_WORK.LT002_INSTRUMENT' AS TABELA_SIMUL,'issr_rtng'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 AS CAMPO_IT FROM CD_LOAN_TAPES_BCE.LT002_INSTRUMENT WHERE ref_date='${ref_date}' AND nome_perimetro='Individual Local' AND segmento='ESTR' AND ambito='PM' AND entidade='00100')X INNER JOIN (SELECT instrmnt_id AS CHAVE_SIMUL, issr_rtng AS CAMPO_SIMUL FROM BU_LOANTAPE_WORK.LT002_INSTRUMENT WHERE ref_date='${ref_date}' AND nome_perimetro='Individual Local' AND segmento='ESTR' AND ambito='PM' AND entidade='00100')Y ON X.CHAVE_IT=Y.CHAVE_SIMUL</v>
      </c>
      <c r="N226" s="33" t="str">
        <f t="shared" si="7"/>
        <v>UNION ALL SELECT 'INSTRUMENT' AS TABELA, 'COERÊNCIA' AS TIPOLOGIA_TESTE,'CD_LOAN_TAPES_BCE.LT002_INSTRUMENT' AS TABELA_LT,'BU_LOANTAPE_WORK.LT002_INSTRUMENT' AS TABELA_SIMUL,'issr_rtng'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 AS CAMPO_IT FROM CD_LOAN_TAPES_BCE.LT002_INSTRUMENT WHERE ref_date='${ref_date}' AND nome_perimetro='Individual Local' AND segmento='ESTR' AND ambito='PM' AND entidade='00100')X INNER JOIN (SELECT instrmnt_id AS CHAVE_SIMUL, issr_rtng AS CAMPO_SIMUL FROM BU_LOANTAPE_WORK.LT002_INSTRUMENT WHERE ref_date='${ref_date}' AND nome_perimetro='Individual Local' AND segmento='ESTR' AND ambito='PM' AND entidade='00100')Y ON X.CHAVE_IT=Y.CHAVE_SIMUL</v>
      </c>
      <c r="O226" s="35" t="s">
        <v>35</v>
      </c>
    </row>
    <row r="227" spans="1:15">
      <c r="A227" s="57" t="str">
        <f t="shared" si="8"/>
        <v>Instrumentissr_rtng_src</v>
      </c>
      <c r="B227" s="32" t="s">
        <v>9</v>
      </c>
      <c r="C227" s="32" t="s">
        <v>397</v>
      </c>
      <c r="D227" s="32" t="s">
        <v>5</v>
      </c>
      <c r="E227" s="32" t="str">
        <f>+UPPER('0. Instruções'!$D$35&amp;"."&amp;VLOOKUP(B227,'0. Instruções'!$C$27:$D$32,2,FALSE))</f>
        <v>CD_LOAN_TAPES_BCE.LT002_INSTRUMENT</v>
      </c>
      <c r="F227" s="32" t="str">
        <f>+UPPER('0. Instruções'!$D$36&amp;"."&amp;VLOOKUP(B227,'0. Instruções'!$C$27:$E$32,3,FALSE))</f>
        <v>BU_LOANTAPE_WORK.LT002_INSTRUMENT</v>
      </c>
      <c r="H227" s="32"/>
      <c r="I227" s="32"/>
      <c r="J227" s="32" t="str">
        <f>IF(VLOOKUP(B227,'0. Instruções'!$C$27:$G$32,5,FALSE)=0,
"(SELECT "&amp;VLOOKUP(B227,'0. Instruções'!$C$27:$G$32,4,FALSE)&amp;" AS CHAVE_IT, "&amp;C227&amp;" AS CAMPO_IT FROM "&amp;E227&amp;" WHERE "&amp;'0. Instruções'!$D$43&amp;")X",
"(SELECT "&amp;VLOOKUP(B227,'0. Instruções'!$C$27:$G$32,4,FALSE)&amp;" AS CHAVE_IT1, "&amp;VLOOKUP(B227,'0. Instruções'!$C$27:$G$32,5,FALSE)&amp;" AS CHAVE_IT2, "&amp;C227&amp;" AS CAMPO_IT FROM "&amp;E227&amp;" WHERE "&amp;'0. Instruções'!$D$43&amp;")X")</f>
        <v>(SELECT instrmnt_id AS CHAVE_IT, issr_rtng_src AS CAMPO_IT FROM CD_LOAN_TAPES_BCE.LT002_INSTRUMENT WHERE ref_date='${ref_date}' AND nome_perimetro='Individual Local' AND segmento='ESTR' AND ambito='PM' AND entidade='00100')X</v>
      </c>
      <c r="K227" s="32" t="str">
        <f>IF(VLOOKUP(B227,'0. Instruções'!$C$27:$G$32,5,FALSE)=0,
"(SELECT "&amp;VLOOKUP(B227,'0. Instruções'!$C$27:$G$32,4,FALSE)&amp;" AS CHAVE_SIMUL, "&amp;C227&amp;" AS CAMPO_SIMUL FROM "&amp;F227&amp;" WHERE "&amp;'0. Instruções'!$D$42&amp;")Y",
"(SELECT "&amp;VLOOKUP(B227,'0. Instruções'!$C$27:$G$32,4,FALSE)&amp;" AS CHAVE_SIMUL1, "&amp;VLOOKUP(B227,'0. Instruções'!$C$27:$G$32,5,FALSE)&amp;" AS CHAVE_SIMUL2, "&amp;C227&amp;" AS CAMPO_SIMUL FROM "&amp;F227&amp;" WHERE "&amp;'0. Instruções'!$D$42&amp;")Y")</f>
        <v>(SELECT instrmnt_id AS CHAVE_SIMUL, issr_rtng_src AS CAMPO_SIMUL FROM BU_LOANTAPE_WORK.LT002_INSTRUMENT WHERE ref_date='${ref_date}' AND nome_perimetro='Individual Local' AND segmento='ESTR' AND ambito='PM' AND entidade='00100')Y</v>
      </c>
      <c r="L227" s="32" t="str">
        <f>IF(VLOOKUP(B227,'0. Instruções'!$C$27:$G$32,5,FALSE)=0,
"ON X.CHAVE_IT=Y.CHAVE_SIMUL",
"ON X.CHAVE_IT1=Y.CHAVE_SIMUL1 AND X.CHAVE_IT2=Y.CHAVE_SIMUL2")</f>
        <v>ON X.CHAVE_IT=Y.CHAVE_SIMUL</v>
      </c>
      <c r="M227" s="32" t="str">
        <f>+IF(D227="Coerência",+IF(LEFT(H227,5)="FLOAT","SELECT '"&amp;UPPER(B227)&amp;"' AS TABELA, '"&amp;UPPER(D227)&amp;"' AS TIPOLOGIA_TESTE,'"&amp;E227&amp;"' AS TABELA_LT,'"&amp;F227&amp;"' AS TABELA_SIMUL,'"&amp;C227&amp;"'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"&amp;J227&amp;" INNER JOIN "&amp;K227&amp;" "&amp;L227,"SELECT '"&amp;UPPER(B227)&amp;"' AS TABELA, '"&amp;UPPER(D227)&amp;"' AS TIPOLOGIA_TESTE,'"&amp;E227&amp;"' AS TABELA_LT,'"&amp;F227&amp;"' AS TABELA_SIMUL,'"&amp;C227&amp;"'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"&amp;J227&amp;" INNER JOIN "&amp;K227&amp;" "&amp;L227))</f>
        <v>SELECT 'INSTRUMENT' AS TABELA, 'COERÊNCIA' AS TIPOLOGIA_TESTE,'CD_LOAN_TAPES_BCE.LT002_INSTRUMENT' AS TABELA_LT,'BU_LOANTAPE_WORK.LT002_INSTRUMENT' AS TABELA_SIMUL,'issr_rtng_src'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issr_rtng_src AS CAMPO_IT FROM CD_LOAN_TAPES_BCE.LT002_INSTRUMENT WHERE ref_date='${ref_date}' AND nome_perimetro='Individual Local' AND segmento='ESTR' AND ambito='PM' AND entidade='00100')X INNER JOIN (SELECT instrmnt_id AS CHAVE_SIMUL, issr_rtng_src AS CAMPO_SIMUL FROM BU_LOANTAPE_WORK.LT002_INSTRUMENT WHERE ref_date='${ref_date}' AND nome_perimetro='Individual Local' AND segmento='ESTR' AND ambito='PM' AND entidade='00100')Y ON X.CHAVE_IT=Y.CHAVE_SIMUL</v>
      </c>
      <c r="N227" s="33" t="str">
        <f t="shared" si="7"/>
        <v>UNION ALL SELECT 'INSTRUMENT' AS TABELA, 'COERÊNCIA' AS TIPOLOGIA_TESTE,'CD_LOAN_TAPES_BCE.LT002_INSTRUMENT' AS TABELA_LT,'BU_LOANTAPE_WORK.LT002_INSTRUMENT' AS TABELA_SIMUL,'issr_rtng_src'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issr_rtng_src AS CAMPO_IT FROM CD_LOAN_TAPES_BCE.LT002_INSTRUMENT WHERE ref_date='${ref_date}' AND nome_perimetro='Individual Local' AND segmento='ESTR' AND ambito='PM' AND entidade='00100')X INNER JOIN (SELECT instrmnt_id AS CHAVE_SIMUL, issr_rtng_src AS CAMPO_SIMUL FROM BU_LOANTAPE_WORK.LT002_INSTRUMENT WHERE ref_date='${ref_date}' AND nome_perimetro='Individual Local' AND segmento='ESTR' AND ambito='PM' AND entidade='00100')Y ON X.CHAVE_IT=Y.CHAVE_SIMUL</v>
      </c>
      <c r="O227" s="35" t="s">
        <v>35</v>
      </c>
    </row>
    <row r="228" spans="1:15">
      <c r="A228" s="57" t="str">
        <f t="shared" si="8"/>
        <v>Instrumentissr_typ</v>
      </c>
      <c r="B228" s="32" t="s">
        <v>9</v>
      </c>
      <c r="C228" s="32" t="s">
        <v>398</v>
      </c>
      <c r="D228" s="32" t="s">
        <v>5</v>
      </c>
      <c r="E228" s="32" t="str">
        <f>+UPPER('0. Instruções'!$D$35&amp;"."&amp;VLOOKUP(B228,'0. Instruções'!$C$27:$D$32,2,FALSE))</f>
        <v>CD_LOAN_TAPES_BCE.LT002_INSTRUMENT</v>
      </c>
      <c r="F228" s="32" t="str">
        <f>+UPPER('0. Instruções'!$D$36&amp;"."&amp;VLOOKUP(B228,'0. Instruções'!$C$27:$E$32,3,FALSE))</f>
        <v>BU_LOANTAPE_WORK.LT002_INSTRUMENT</v>
      </c>
      <c r="H228" s="32"/>
      <c r="I228" s="32"/>
      <c r="J228" s="32" t="str">
        <f>IF(VLOOKUP(B228,'0. Instruções'!$C$27:$G$32,5,FALSE)=0,
"(SELECT "&amp;VLOOKUP(B228,'0. Instruções'!$C$27:$G$32,4,FALSE)&amp;" AS CHAVE_IT, "&amp;C228&amp;" AS CAMPO_IT FROM "&amp;E228&amp;" WHERE "&amp;'0. Instruções'!$D$43&amp;")X",
"(SELECT "&amp;VLOOKUP(B228,'0. Instruções'!$C$27:$G$32,4,FALSE)&amp;" AS CHAVE_IT1, "&amp;VLOOKUP(B228,'0. Instruções'!$C$27:$G$32,5,FALSE)&amp;" AS CHAVE_IT2, "&amp;C228&amp;" AS CAMPO_IT FROM "&amp;E228&amp;" WHERE "&amp;'0. Instruções'!$D$43&amp;")X")</f>
        <v>(SELECT instrmnt_id AS CHAVE_IT, issr_typ AS CAMPO_IT FROM CD_LOAN_TAPES_BCE.LT002_INSTRUMENT WHERE ref_date='${ref_date}' AND nome_perimetro='Individual Local' AND segmento='ESTR' AND ambito='PM' AND entidade='00100')X</v>
      </c>
      <c r="K228" s="32" t="str">
        <f>IF(VLOOKUP(B228,'0. Instruções'!$C$27:$G$32,5,FALSE)=0,
"(SELECT "&amp;VLOOKUP(B228,'0. Instruções'!$C$27:$G$32,4,FALSE)&amp;" AS CHAVE_SIMUL, "&amp;C228&amp;" AS CAMPO_SIMUL FROM "&amp;F228&amp;" WHERE "&amp;'0. Instruções'!$D$42&amp;")Y",
"(SELECT "&amp;VLOOKUP(B228,'0. Instruções'!$C$27:$G$32,4,FALSE)&amp;" AS CHAVE_SIMUL1, "&amp;VLOOKUP(B228,'0. Instruções'!$C$27:$G$32,5,FALSE)&amp;" AS CHAVE_SIMUL2, "&amp;C228&amp;" AS CAMPO_SIMUL FROM "&amp;F228&amp;" WHERE "&amp;'0. Instruções'!$D$42&amp;")Y")</f>
        <v>(SELECT instrmnt_id AS CHAVE_SIMUL, issr_typ AS CAMPO_SIMUL FROM BU_LOANTAPE_WORK.LT002_INSTRUMENT WHERE ref_date='${ref_date}' AND nome_perimetro='Individual Local' AND segmento='ESTR' AND ambito='PM' AND entidade='00100')Y</v>
      </c>
      <c r="L228" s="32" t="str">
        <f>IF(VLOOKUP(B228,'0. Instruções'!$C$27:$G$32,5,FALSE)=0,
"ON X.CHAVE_IT=Y.CHAVE_SIMUL",
"ON X.CHAVE_IT1=Y.CHAVE_SIMUL1 AND X.CHAVE_IT2=Y.CHAVE_SIMUL2")</f>
        <v>ON X.CHAVE_IT=Y.CHAVE_SIMUL</v>
      </c>
      <c r="M228" s="32" t="str">
        <f>+IF(D228="Coerência",+IF(LEFT(H228,5)="FLOAT","SELECT '"&amp;UPPER(B228)&amp;"' AS TABELA, '"&amp;UPPER(D228)&amp;"' AS TIPOLOGIA_TESTE,'"&amp;E228&amp;"' AS TABELA_LT,'"&amp;F228&amp;"' AS TABELA_SIMUL,'"&amp;C228&amp;"'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"&amp;J228&amp;" INNER JOIN "&amp;K228&amp;" "&amp;L228,"SELECT '"&amp;UPPER(B228)&amp;"' AS TABELA, '"&amp;UPPER(D228)&amp;"' AS TIPOLOGIA_TESTE,'"&amp;E228&amp;"' AS TABELA_LT,'"&amp;F228&amp;"' AS TABELA_SIMUL,'"&amp;C228&amp;"'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"&amp;J228&amp;" INNER JOIN "&amp;K228&amp;" "&amp;L228))</f>
        <v>SELECT 'INSTRUMENT' AS TABELA, 'COERÊNCIA' AS TIPOLOGIA_TESTE,'CD_LOAN_TAPES_BCE.LT002_INSTRUMENT' AS TABELA_LT,'BU_LOANTAPE_WORK.LT002_INSTRUMENT' AS TABELA_SIMUL,'issr_typ'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issr_typ AS CAMPO_IT FROM CD_LOAN_TAPES_BCE.LT002_INSTRUMENT WHERE ref_date='${ref_date}' AND nome_perimetro='Individual Local' AND segmento='ESTR' AND ambito='PM' AND entidade='00100')X INNER JOIN (SELECT instrmnt_id AS CHAVE_SIMUL, issr_typ AS CAMPO_SIMUL FROM BU_LOANTAPE_WORK.LT002_INSTRUMENT WHERE ref_date='${ref_date}' AND nome_perimetro='Individual Local' AND segmento='ESTR' AND ambito='PM' AND entidade='00100')Y ON X.CHAVE_IT=Y.CHAVE_SIMUL</v>
      </c>
      <c r="N228" s="33" t="str">
        <f t="shared" si="7"/>
        <v>UNION ALL SELECT 'INSTRUMENT' AS TABELA, 'COERÊNCIA' AS TIPOLOGIA_TESTE,'CD_LOAN_TAPES_BCE.LT002_INSTRUMENT' AS TABELA_LT,'BU_LOANTAPE_WORK.LT002_INSTRUMENT' AS TABELA_SIMUL,'issr_typ'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issr_typ AS CAMPO_IT FROM CD_LOAN_TAPES_BCE.LT002_INSTRUMENT WHERE ref_date='${ref_date}' AND nome_perimetro='Individual Local' AND segmento='ESTR' AND ambito='PM' AND entidade='00100')X INNER JOIN (SELECT instrmnt_id AS CHAVE_SIMUL, issr_typ AS CAMPO_SIMUL FROM BU_LOANTAPE_WORK.LT002_INSTRUMENT WHERE ref_date='${ref_date}' AND nome_perimetro='Individual Local' AND segmento='ESTR' AND ambito='PM' AND entidade='00100')Y ON X.CHAVE_IT=Y.CHAVE_SIMUL</v>
      </c>
      <c r="O228" s="35" t="s">
        <v>35</v>
      </c>
    </row>
    <row r="229" spans="1:15">
      <c r="A229" s="57" t="str">
        <f t="shared" si="8"/>
        <v>Instrumentlcr_bffr_ctgry</v>
      </c>
      <c r="B229" s="32" t="s">
        <v>9</v>
      </c>
      <c r="C229" s="32" t="s">
        <v>399</v>
      </c>
      <c r="D229" s="32" t="s">
        <v>5</v>
      </c>
      <c r="E229" s="32" t="str">
        <f>+UPPER('0. Instruções'!$D$35&amp;"."&amp;VLOOKUP(B229,'0. Instruções'!$C$27:$D$32,2,FALSE))</f>
        <v>CD_LOAN_TAPES_BCE.LT002_INSTRUMENT</v>
      </c>
      <c r="F229" s="32" t="str">
        <f>+UPPER('0. Instruções'!$D$36&amp;"."&amp;VLOOKUP(B229,'0. Instruções'!$C$27:$E$32,3,FALSE))</f>
        <v>BU_LOANTAPE_WORK.LT002_INSTRUMENT</v>
      </c>
      <c r="H229" s="32"/>
      <c r="I229" s="32"/>
      <c r="J229" s="32" t="str">
        <f>IF(VLOOKUP(B229,'0. Instruções'!$C$27:$G$32,5,FALSE)=0,
"(SELECT "&amp;VLOOKUP(B229,'0. Instruções'!$C$27:$G$32,4,FALSE)&amp;" AS CHAVE_IT, "&amp;C229&amp;" AS CAMPO_IT FROM "&amp;E229&amp;" WHERE "&amp;'0. Instruções'!$D$43&amp;")X",
"(SELECT "&amp;VLOOKUP(B229,'0. Instruções'!$C$27:$G$32,4,FALSE)&amp;" AS CHAVE_IT1, "&amp;VLOOKUP(B229,'0. Instruções'!$C$27:$G$32,5,FALSE)&amp;" AS CHAVE_IT2, "&amp;C229&amp;" AS CAMPO_IT FROM "&amp;E229&amp;" WHERE "&amp;'0. Instruções'!$D$43&amp;")X")</f>
        <v>(SELECT instrmnt_id AS CHAVE_IT, lcr_bffr_ctgry AS CAMPO_IT FROM CD_LOAN_TAPES_BCE.LT002_INSTRUMENT WHERE ref_date='${ref_date}' AND nome_perimetro='Individual Local' AND segmento='ESTR' AND ambito='PM' AND entidade='00100')X</v>
      </c>
      <c r="K229" s="32" t="str">
        <f>IF(VLOOKUP(B229,'0. Instruções'!$C$27:$G$32,5,FALSE)=0,
"(SELECT "&amp;VLOOKUP(B229,'0. Instruções'!$C$27:$G$32,4,FALSE)&amp;" AS CHAVE_SIMUL, "&amp;C229&amp;" AS CAMPO_SIMUL FROM "&amp;F229&amp;" WHERE "&amp;'0. Instruções'!$D$42&amp;")Y",
"(SELECT "&amp;VLOOKUP(B229,'0. Instruções'!$C$27:$G$32,4,FALSE)&amp;" AS CHAVE_SIMUL1, "&amp;VLOOKUP(B229,'0. Instruções'!$C$27:$G$32,5,FALSE)&amp;" AS CHAVE_SIMUL2, "&amp;C229&amp;" AS CAMPO_SIMUL FROM "&amp;F229&amp;" WHERE "&amp;'0. Instruções'!$D$42&amp;")Y")</f>
        <v>(SELECT instrmnt_id AS CHAVE_SIMUL, lcr_bffr_ctgry AS CAMPO_SIMUL FROM BU_LOANTAPE_WORK.LT002_INSTRUMENT WHERE ref_date='${ref_date}' AND nome_perimetro='Individual Local' AND segmento='ESTR' AND ambito='PM' AND entidade='00100')Y</v>
      </c>
      <c r="L229" s="32" t="str">
        <f>IF(VLOOKUP(B229,'0. Instruções'!$C$27:$G$32,5,FALSE)=0,
"ON X.CHAVE_IT=Y.CHAVE_SIMUL",
"ON X.CHAVE_IT1=Y.CHAVE_SIMUL1 AND X.CHAVE_IT2=Y.CHAVE_SIMUL2")</f>
        <v>ON X.CHAVE_IT=Y.CHAVE_SIMUL</v>
      </c>
      <c r="M229" s="32" t="str">
        <f>+IF(D229="Coerência",+IF(LEFT(H229,5)="FLOAT","SELECT '"&amp;UPPER(B229)&amp;"' AS TABELA, '"&amp;UPPER(D229)&amp;"' AS TIPOLOGIA_TESTE,'"&amp;E229&amp;"' AS TABELA_LT,'"&amp;F229&amp;"' AS TABELA_SIMUL,'"&amp;C229&amp;"'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"&amp;J229&amp;" INNER JOIN "&amp;K229&amp;" "&amp;L229,"SELECT '"&amp;UPPER(B229)&amp;"' AS TABELA, '"&amp;UPPER(D229)&amp;"' AS TIPOLOGIA_TESTE,'"&amp;E229&amp;"' AS TABELA_LT,'"&amp;F229&amp;"' AS TABELA_SIMUL,'"&amp;C229&amp;"'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"&amp;J229&amp;" INNER JOIN "&amp;K229&amp;" "&amp;L229))</f>
        <v>SELECT 'INSTRUMENT' AS TABELA, 'COERÊNCIA' AS TIPOLOGIA_TESTE,'CD_LOAN_TAPES_BCE.LT002_INSTRUMENT' AS TABELA_LT,'BU_LOANTAPE_WORK.LT002_INSTRUMENT' AS TABELA_SIMUL,'lcr_bffr_ctgry'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lcr_bffr_ctgry AS CAMPO_IT FROM CD_LOAN_TAPES_BCE.LT002_INSTRUMENT WHERE ref_date='${ref_date}' AND nome_perimetro='Individual Local' AND segmento='ESTR' AND ambito='PM' AND entidade='00100')X INNER JOIN (SELECT instrmnt_id AS CHAVE_SIMUL, lcr_bffr_ctgry AS CAMPO_SIMUL FROM BU_LOANTAPE_WORK.LT002_INSTRUMENT WHERE ref_date='${ref_date}' AND nome_perimetro='Individual Local' AND segmento='ESTR' AND ambito='PM' AND entidade='00100')Y ON X.CHAVE_IT=Y.CHAVE_SIMUL</v>
      </c>
      <c r="N229" s="33" t="str">
        <f t="shared" si="7"/>
        <v>UNION ALL SELECT 'INSTRUMENT' AS TABELA, 'COERÊNCIA' AS TIPOLOGIA_TESTE,'CD_LOAN_TAPES_BCE.LT002_INSTRUMENT' AS TABELA_LT,'BU_LOANTAPE_WORK.LT002_INSTRUMENT' AS TABELA_SIMUL,'lcr_bffr_ctgry'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lcr_bffr_ctgry AS CAMPO_IT FROM CD_LOAN_TAPES_BCE.LT002_INSTRUMENT WHERE ref_date='${ref_date}' AND nome_perimetro='Individual Local' AND segmento='ESTR' AND ambito='PM' AND entidade='00100')X INNER JOIN (SELECT instrmnt_id AS CHAVE_SIMUL, lcr_bffr_ctgry AS CAMPO_SIMUL FROM BU_LOANTAPE_WORK.LT002_INSTRUMENT WHERE ref_date='${ref_date}' AND nome_perimetro='Individual Local' AND segmento='ESTR' AND ambito='PM' AND entidade='00100')Y ON X.CHAVE_IT=Y.CHAVE_SIMUL</v>
      </c>
      <c r="O229" s="35" t="s">
        <v>35</v>
      </c>
    </row>
    <row r="230" spans="1:15">
      <c r="A230" s="57" t="str">
        <f t="shared" si="8"/>
        <v>Instrumentprch_undr_rsl_agr</v>
      </c>
      <c r="B230" s="32" t="s">
        <v>9</v>
      </c>
      <c r="C230" s="32" t="s">
        <v>400</v>
      </c>
      <c r="D230" s="32" t="s">
        <v>5</v>
      </c>
      <c r="E230" s="32" t="str">
        <f>+UPPER('0. Instruções'!$D$35&amp;"."&amp;VLOOKUP(B230,'0. Instruções'!$C$27:$D$32,2,FALSE))</f>
        <v>CD_LOAN_TAPES_BCE.LT002_INSTRUMENT</v>
      </c>
      <c r="F230" s="32" t="str">
        <f>+UPPER('0. Instruções'!$D$36&amp;"."&amp;VLOOKUP(B230,'0. Instruções'!$C$27:$E$32,3,FALSE))</f>
        <v>BU_LOANTAPE_WORK.LT002_INSTRUMENT</v>
      </c>
      <c r="H230" s="32"/>
      <c r="I230" s="32"/>
      <c r="J230" s="32" t="str">
        <f>IF(VLOOKUP(B230,'0. Instruções'!$C$27:$G$32,5,FALSE)=0,
"(SELECT "&amp;VLOOKUP(B230,'0. Instruções'!$C$27:$G$32,4,FALSE)&amp;" AS CHAVE_IT, "&amp;C230&amp;" AS CAMPO_IT FROM "&amp;E230&amp;" WHERE "&amp;'0. Instruções'!$D$43&amp;")X",
"(SELECT "&amp;VLOOKUP(B230,'0. Instruções'!$C$27:$G$32,4,FALSE)&amp;" AS CHAVE_IT1, "&amp;VLOOKUP(B230,'0. Instruções'!$C$27:$G$32,5,FALSE)&amp;" AS CHAVE_IT2, "&amp;C230&amp;" AS CAMPO_IT FROM "&amp;E230&amp;" WHERE "&amp;'0. Instruções'!$D$43&amp;")X")</f>
        <v>(SELECT instrmnt_id AS CHAVE_IT, prch_undr_rsl_agr AS CAMPO_IT FROM CD_LOAN_TAPES_BCE.LT002_INSTRUMENT WHERE ref_date='${ref_date}' AND nome_perimetro='Individual Local' AND segmento='ESTR' AND ambito='PM' AND entidade='00100')X</v>
      </c>
      <c r="K230" s="32" t="str">
        <f>IF(VLOOKUP(B230,'0. Instruções'!$C$27:$G$32,5,FALSE)=0,
"(SELECT "&amp;VLOOKUP(B230,'0. Instruções'!$C$27:$G$32,4,FALSE)&amp;" AS CHAVE_SIMUL, "&amp;C230&amp;" AS CAMPO_SIMUL FROM "&amp;F230&amp;" WHERE "&amp;'0. Instruções'!$D$42&amp;")Y",
"(SELECT "&amp;VLOOKUP(B230,'0. Instruções'!$C$27:$G$32,4,FALSE)&amp;" AS CHAVE_SIMUL1, "&amp;VLOOKUP(B230,'0. Instruções'!$C$27:$G$32,5,FALSE)&amp;" AS CHAVE_SIMUL2, "&amp;C230&amp;" AS CAMPO_SIMUL FROM "&amp;F230&amp;" WHERE "&amp;'0. Instruções'!$D$42&amp;")Y")</f>
        <v>(SELECT instrmnt_id AS CHAVE_SIMUL, prch_undr_rsl_agr AS CAMPO_SIMUL FROM BU_LOANTAPE_WORK.LT002_INSTRUMENT WHERE ref_date='${ref_date}' AND nome_perimetro='Individual Local' AND segmento='ESTR' AND ambito='PM' AND entidade='00100')Y</v>
      </c>
      <c r="L230" s="32" t="str">
        <f>IF(VLOOKUP(B230,'0. Instruções'!$C$27:$G$32,5,FALSE)=0,
"ON X.CHAVE_IT=Y.CHAVE_SIMUL",
"ON X.CHAVE_IT1=Y.CHAVE_SIMUL1 AND X.CHAVE_IT2=Y.CHAVE_SIMUL2")</f>
        <v>ON X.CHAVE_IT=Y.CHAVE_SIMUL</v>
      </c>
      <c r="M230" s="32" t="str">
        <f>+IF(D230="Coerência",+IF(LEFT(H230,5)="FLOAT","SELECT '"&amp;UPPER(B230)&amp;"' AS TABELA, '"&amp;UPPER(D230)&amp;"' AS TIPOLOGIA_TESTE,'"&amp;E230&amp;"' AS TABELA_LT,'"&amp;F230&amp;"' AS TABELA_SIMUL,'"&amp;C230&amp;"'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"&amp;J230&amp;" INNER JOIN "&amp;K230&amp;" "&amp;L230,"SELECT '"&amp;UPPER(B230)&amp;"' AS TABELA, '"&amp;UPPER(D230)&amp;"' AS TIPOLOGIA_TESTE,'"&amp;E230&amp;"' AS TABELA_LT,'"&amp;F230&amp;"' AS TABELA_SIMUL,'"&amp;C230&amp;"'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"&amp;J230&amp;" INNER JOIN "&amp;K230&amp;" "&amp;L230))</f>
        <v>SELECT 'INSTRUMENT' AS TABELA, 'COERÊNCIA' AS TIPOLOGIA_TESTE,'CD_LOAN_TAPES_BCE.LT002_INSTRUMENT' AS TABELA_LT,'BU_LOANTAPE_WORK.LT002_INSTRUMENT' AS TABELA_SIMUL,'prch_undr_rsl_agr'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prch_undr_rsl_agr AS CAMPO_IT FROM CD_LOAN_TAPES_BCE.LT002_INSTRUMENT WHERE ref_date='${ref_date}' AND nome_perimetro='Individual Local' AND segmento='ESTR' AND ambito='PM' AND entidade='00100')X INNER JOIN (SELECT instrmnt_id AS CHAVE_SIMUL, prch_undr_rsl_agr AS CAMPO_SIMUL FROM BU_LOANTAPE_WORK.LT002_INSTRUMENT WHERE ref_date='${ref_date}' AND nome_perimetro='Individual Local' AND segmento='ESTR' AND ambito='PM' AND entidade='00100')Y ON X.CHAVE_IT=Y.CHAVE_SIMUL</v>
      </c>
      <c r="N230" s="33" t="str">
        <f t="shared" ref="N230:N293" si="9">+"UNION ALL "&amp;M230</f>
        <v>UNION ALL SELECT 'INSTRUMENT' AS TABELA, 'COERÊNCIA' AS TIPOLOGIA_TESTE,'CD_LOAN_TAPES_BCE.LT002_INSTRUMENT' AS TABELA_LT,'BU_LOANTAPE_WORK.LT002_INSTRUMENT' AS TABELA_SIMUL,'prch_undr_rsl_agr'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prch_undr_rsl_agr AS CAMPO_IT FROM CD_LOAN_TAPES_BCE.LT002_INSTRUMENT WHERE ref_date='${ref_date}' AND nome_perimetro='Individual Local' AND segmento='ESTR' AND ambito='PM' AND entidade='00100')X INNER JOIN (SELECT instrmnt_id AS CHAVE_SIMUL, prch_undr_rsl_agr AS CAMPO_SIMUL FROM BU_LOANTAPE_WORK.LT002_INSTRUMENT WHERE ref_date='${ref_date}' AND nome_perimetro='Individual Local' AND segmento='ESTR' AND ambito='PM' AND entidade='00100')Y ON X.CHAVE_IT=Y.CHAVE_SIMUL</v>
      </c>
      <c r="O230" s="35" t="s">
        <v>35</v>
      </c>
    </row>
    <row r="231" spans="1:15">
      <c r="A231" s="57" t="str">
        <f t="shared" si="8"/>
        <v>Instrumentprdntl_prtfl</v>
      </c>
      <c r="B231" s="32" t="s">
        <v>9</v>
      </c>
      <c r="C231" s="32" t="s">
        <v>401</v>
      </c>
      <c r="D231" s="32" t="s">
        <v>5</v>
      </c>
      <c r="E231" s="32" t="str">
        <f>+UPPER('0. Instruções'!$D$35&amp;"."&amp;VLOOKUP(B231,'0. Instruções'!$C$27:$D$32,2,FALSE))</f>
        <v>CD_LOAN_TAPES_BCE.LT002_INSTRUMENT</v>
      </c>
      <c r="F231" s="32" t="str">
        <f>+UPPER('0. Instruções'!$D$36&amp;"."&amp;VLOOKUP(B231,'0. Instruções'!$C$27:$E$32,3,FALSE))</f>
        <v>BU_LOANTAPE_WORK.LT002_INSTRUMENT</v>
      </c>
      <c r="H231" s="32"/>
      <c r="I231" s="32"/>
      <c r="J231" s="32" t="str">
        <f>IF(VLOOKUP(B231,'0. Instruções'!$C$27:$G$32,5,FALSE)=0,
"(SELECT "&amp;VLOOKUP(B231,'0. Instruções'!$C$27:$G$32,4,FALSE)&amp;" AS CHAVE_IT, "&amp;C231&amp;" AS CAMPO_IT FROM "&amp;E231&amp;" WHERE "&amp;'0. Instruções'!$D$43&amp;")X",
"(SELECT "&amp;VLOOKUP(B231,'0. Instruções'!$C$27:$G$32,4,FALSE)&amp;" AS CHAVE_IT1, "&amp;VLOOKUP(B231,'0. Instruções'!$C$27:$G$32,5,FALSE)&amp;" AS CHAVE_IT2, "&amp;C231&amp;" AS CAMPO_IT FROM "&amp;E231&amp;" WHERE "&amp;'0. Instruções'!$D$43&amp;")X")</f>
        <v>(SELECT instrmnt_id AS CHAVE_IT, prdntl_prtfl AS CAMPO_IT FROM CD_LOAN_TAPES_BCE.LT002_INSTRUMENT WHERE ref_date='${ref_date}' AND nome_perimetro='Individual Local' AND segmento='ESTR' AND ambito='PM' AND entidade='00100')X</v>
      </c>
      <c r="K231" s="32" t="str">
        <f>IF(VLOOKUP(B231,'0. Instruções'!$C$27:$G$32,5,FALSE)=0,
"(SELECT "&amp;VLOOKUP(B231,'0. Instruções'!$C$27:$G$32,4,FALSE)&amp;" AS CHAVE_SIMUL, "&amp;C231&amp;" AS CAMPO_SIMUL FROM "&amp;F231&amp;" WHERE "&amp;'0. Instruções'!$D$42&amp;")Y",
"(SELECT "&amp;VLOOKUP(B231,'0. Instruções'!$C$27:$G$32,4,FALSE)&amp;" AS CHAVE_SIMUL1, "&amp;VLOOKUP(B231,'0. Instruções'!$C$27:$G$32,5,FALSE)&amp;" AS CHAVE_SIMUL2, "&amp;C231&amp;" AS CAMPO_SIMUL FROM "&amp;F231&amp;" WHERE "&amp;'0. Instruções'!$D$42&amp;")Y")</f>
        <v>(SELECT instrmnt_id AS CHAVE_SIMUL, prdntl_prtfl AS CAMPO_SIMUL FROM BU_LOANTAPE_WORK.LT002_INSTRUMENT WHERE ref_date='${ref_date}' AND nome_perimetro='Individual Local' AND segmento='ESTR' AND ambito='PM' AND entidade='00100')Y</v>
      </c>
      <c r="L231" s="32" t="str">
        <f>IF(VLOOKUP(B231,'0. Instruções'!$C$27:$G$32,5,FALSE)=0,
"ON X.CHAVE_IT=Y.CHAVE_SIMUL",
"ON X.CHAVE_IT1=Y.CHAVE_SIMUL1 AND X.CHAVE_IT2=Y.CHAVE_SIMUL2")</f>
        <v>ON X.CHAVE_IT=Y.CHAVE_SIMUL</v>
      </c>
      <c r="M231" s="32" t="str">
        <f>+IF(D231="Coerência",+IF(LEFT(H231,5)="FLOAT","SELECT '"&amp;UPPER(B231)&amp;"' AS TABELA, '"&amp;UPPER(D231)&amp;"' AS TIPOLOGIA_TESTE,'"&amp;E231&amp;"' AS TABELA_LT,'"&amp;F231&amp;"' AS TABELA_SIMUL,'"&amp;C231&amp;"'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"&amp;J231&amp;" INNER JOIN "&amp;K231&amp;" "&amp;L231,"SELECT '"&amp;UPPER(B231)&amp;"' AS TABELA, '"&amp;UPPER(D231)&amp;"' AS TIPOLOGIA_TESTE,'"&amp;E231&amp;"' AS TABELA_LT,'"&amp;F231&amp;"' AS TABELA_SIMUL,'"&amp;C231&amp;"'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"&amp;J231&amp;" INNER JOIN "&amp;K231&amp;" "&amp;L231))</f>
        <v>SELECT 'INSTRUMENT' AS TABELA, 'COERÊNCIA' AS TIPOLOGIA_TESTE,'CD_LOAN_TAPES_BCE.LT002_INSTRUMENT' AS TABELA_LT,'BU_LOANTAPE_WORK.LT002_INSTRUMENT' AS TABELA_SIMUL,'prdntl_prtfl'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prdntl_prtfl AS CAMPO_IT FROM CD_LOAN_TAPES_BCE.LT002_INSTRUMENT WHERE ref_date='${ref_date}' AND nome_perimetro='Individual Local' AND segmento='ESTR' AND ambito='PM' AND entidade='00100')X INNER JOIN (SELECT instrmnt_id AS CHAVE_SIMUL, prdntl_prtfl AS CAMPO_SIMUL FROM BU_LOANTAPE_WORK.LT002_INSTRUMENT WHERE ref_date='${ref_date}' AND nome_perimetro='Individual Local' AND segmento='ESTR' AND ambito='PM' AND entidade='00100')Y ON X.CHAVE_IT=Y.CHAVE_SIMUL</v>
      </c>
      <c r="N231" s="33" t="str">
        <f t="shared" si="9"/>
        <v>UNION ALL SELECT 'INSTRUMENT' AS TABELA, 'COERÊNCIA' AS TIPOLOGIA_TESTE,'CD_LOAN_TAPES_BCE.LT002_INSTRUMENT' AS TABELA_LT,'BU_LOANTAPE_WORK.LT002_INSTRUMENT' AS TABELA_SIMUL,'prdntl_prtfl'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prdntl_prtfl AS CAMPO_IT FROM CD_LOAN_TAPES_BCE.LT002_INSTRUMENT WHERE ref_date='${ref_date}' AND nome_perimetro='Individual Local' AND segmento='ESTR' AND ambito='PM' AND entidade='00100')X INNER JOIN (SELECT instrmnt_id AS CHAVE_SIMUL, prdntl_prtfl AS CAMPO_SIMUL FROM BU_LOANTAPE_WORK.LT002_INSTRUMENT WHERE ref_date='${ref_date}' AND nome_perimetro='Individual Local' AND segmento='ESTR' AND ambito='PM' AND entidade='00100')Y ON X.CHAVE_IT=Y.CHAVE_SIMUL</v>
      </c>
      <c r="O231" s="35" t="s">
        <v>35</v>
      </c>
    </row>
    <row r="232" spans="1:15">
      <c r="A232" s="57" t="str">
        <f t="shared" si="8"/>
        <v>Instrumentprmry_asst_clssf</v>
      </c>
      <c r="B232" s="32" t="s">
        <v>9</v>
      </c>
      <c r="C232" s="32" t="s">
        <v>147</v>
      </c>
      <c r="D232" s="32" t="s">
        <v>5</v>
      </c>
      <c r="E232" s="32" t="str">
        <f>+UPPER('0. Instruções'!$D$35&amp;"."&amp;VLOOKUP(B232,'0. Instruções'!$C$27:$D$32,2,FALSE))</f>
        <v>CD_LOAN_TAPES_BCE.LT002_INSTRUMENT</v>
      </c>
      <c r="F232" s="32" t="str">
        <f>+UPPER('0. Instruções'!$D$36&amp;"."&amp;VLOOKUP(B232,'0. Instruções'!$C$27:$E$32,3,FALSE))</f>
        <v>BU_LOANTAPE_WORK.LT002_INSTRUMENT</v>
      </c>
      <c r="H232" s="32"/>
      <c r="I232" s="32"/>
      <c r="J232" s="32" t="str">
        <f>IF(VLOOKUP(B232,'0. Instruções'!$C$27:$G$32,5,FALSE)=0,
"(SELECT "&amp;VLOOKUP(B232,'0. Instruções'!$C$27:$G$32,4,FALSE)&amp;" AS CHAVE_IT, "&amp;C232&amp;" AS CAMPO_IT FROM "&amp;E232&amp;" WHERE "&amp;'0. Instruções'!$D$43&amp;")X",
"(SELECT "&amp;VLOOKUP(B232,'0. Instruções'!$C$27:$G$32,4,FALSE)&amp;" AS CHAVE_IT1, "&amp;VLOOKUP(B232,'0. Instruções'!$C$27:$G$32,5,FALSE)&amp;" AS CHAVE_IT2, "&amp;C232&amp;" AS CAMPO_IT FROM "&amp;E232&amp;" WHERE "&amp;'0. Instruções'!$D$43&amp;")X")</f>
        <v>(SELECT instrmnt_id AS CHAVE_IT, prmry_asst_clssf AS CAMPO_IT FROM CD_LOAN_TAPES_BCE.LT002_INSTRUMENT WHERE ref_date='${ref_date}' AND nome_perimetro='Individual Local' AND segmento='ESTR' AND ambito='PM' AND entidade='00100')X</v>
      </c>
      <c r="K232" s="32" t="str">
        <f>IF(VLOOKUP(B232,'0. Instruções'!$C$27:$G$32,5,FALSE)=0,
"(SELECT "&amp;VLOOKUP(B232,'0. Instruções'!$C$27:$G$32,4,FALSE)&amp;" AS CHAVE_SIMUL, "&amp;C232&amp;" AS CAMPO_SIMUL FROM "&amp;F232&amp;" WHERE "&amp;'0. Instruções'!$D$42&amp;")Y",
"(SELECT "&amp;VLOOKUP(B232,'0. Instruções'!$C$27:$G$32,4,FALSE)&amp;" AS CHAVE_SIMUL1, "&amp;VLOOKUP(B232,'0. Instruções'!$C$27:$G$32,5,FALSE)&amp;" AS CHAVE_SIMUL2, "&amp;C232&amp;" AS CAMPO_SIMUL FROM "&amp;F232&amp;" WHERE "&amp;'0. Instruções'!$D$42&amp;")Y")</f>
        <v>(SELECT instrmnt_id AS CHAVE_SIMUL, prmry_asst_clssf AS CAMPO_SIMUL FROM BU_LOANTAPE_WORK.LT002_INSTRUMENT WHERE ref_date='${ref_date}' AND nome_perimetro='Individual Local' AND segmento='ESTR' AND ambito='PM' AND entidade='00100')Y</v>
      </c>
      <c r="L232" s="32" t="str">
        <f>IF(VLOOKUP(B232,'0. Instruções'!$C$27:$G$32,5,FALSE)=0,
"ON X.CHAVE_IT=Y.CHAVE_SIMUL",
"ON X.CHAVE_IT1=Y.CHAVE_SIMUL1 AND X.CHAVE_IT2=Y.CHAVE_SIMUL2")</f>
        <v>ON X.CHAVE_IT=Y.CHAVE_SIMUL</v>
      </c>
      <c r="M232" s="32" t="str">
        <f>+IF(D232="Coerência",+IF(LEFT(H232,5)="FLOAT","SELECT '"&amp;UPPER(B232)&amp;"' AS TABELA, '"&amp;UPPER(D232)&amp;"' AS TIPOLOGIA_TESTE,'"&amp;E232&amp;"' AS TABELA_LT,'"&amp;F232&amp;"' AS TABELA_SIMUL,'"&amp;C232&amp;"'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"&amp;J232&amp;" INNER JOIN "&amp;K232&amp;" "&amp;L232,"SELECT '"&amp;UPPER(B232)&amp;"' AS TABELA, '"&amp;UPPER(D232)&amp;"' AS TIPOLOGIA_TESTE,'"&amp;E232&amp;"' AS TABELA_LT,'"&amp;F232&amp;"' AS TABELA_SIMUL,'"&amp;C232&amp;"'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"&amp;J232&amp;" INNER JOIN "&amp;K232&amp;" "&amp;L232))</f>
        <v>SELECT 'INSTRUMENT' AS TABELA, 'COERÊNCIA' AS TIPOLOGIA_TESTE,'CD_LOAN_TAPES_BCE.LT002_INSTRUMENT' AS TABELA_LT,'BU_LOANTAPE_WORK.LT002_INSTRUMENT' AS TABELA_SIMUL,'prmry_asst_clssf'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prmry_asst_clssf AS CAMPO_IT FROM CD_LOAN_TAPES_BCE.LT002_INSTRUMENT WHERE ref_date='${ref_date}' AND nome_perimetro='Individual Local' AND segmento='ESTR' AND ambito='PM' AND entidade='00100')X INNER JOIN (SELECT instrmnt_id AS CHAVE_SIMUL, prmry_asst_clssf AS CAMPO_SIMUL FROM BU_LOANTAPE_WORK.LT002_INSTRUMENT WHERE ref_date='${ref_date}' AND nome_perimetro='Individual Local' AND segmento='ESTR' AND ambito='PM' AND entidade='00100')Y ON X.CHAVE_IT=Y.CHAVE_SIMUL</v>
      </c>
      <c r="N232" s="33" t="str">
        <f t="shared" si="9"/>
        <v>UNION ALL SELECT 'INSTRUMENT' AS TABELA, 'COERÊNCIA' AS TIPOLOGIA_TESTE,'CD_LOAN_TAPES_BCE.LT002_INSTRUMENT' AS TABELA_LT,'BU_LOANTAPE_WORK.LT002_INSTRUMENT' AS TABELA_SIMUL,'prmry_asst_clssf'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prmry_asst_clssf AS CAMPO_IT FROM CD_LOAN_TAPES_BCE.LT002_INSTRUMENT WHERE ref_date='${ref_date}' AND nome_perimetro='Individual Local' AND segmento='ESTR' AND ambito='PM' AND entidade='00100')X INNER JOIN (SELECT instrmnt_id AS CHAVE_SIMUL, prmry_asst_clssf AS CAMPO_SIMUL FROM BU_LOANTAPE_WORK.LT002_INSTRUMENT WHERE ref_date='${ref_date}' AND nome_perimetro='Individual Local' AND segmento='ESTR' AND ambito='PM' AND entidade='00100')Y ON X.CHAVE_IT=Y.CHAVE_SIMUL</v>
      </c>
      <c r="O232" s="35" t="s">
        <v>35</v>
      </c>
    </row>
    <row r="233" spans="1:15">
      <c r="A233" s="57" t="str">
        <f t="shared" si="8"/>
        <v>Instrumentprt_lcr_bffr</v>
      </c>
      <c r="B233" s="32" t="s">
        <v>9</v>
      </c>
      <c r="C233" s="32" t="s">
        <v>402</v>
      </c>
      <c r="D233" s="32" t="s">
        <v>5</v>
      </c>
      <c r="E233" s="32" t="str">
        <f>+UPPER('0. Instruções'!$D$35&amp;"."&amp;VLOOKUP(B233,'0. Instruções'!$C$27:$D$32,2,FALSE))</f>
        <v>CD_LOAN_TAPES_BCE.LT002_INSTRUMENT</v>
      </c>
      <c r="F233" s="32" t="str">
        <f>+UPPER('0. Instruções'!$D$36&amp;"."&amp;VLOOKUP(B233,'0. Instruções'!$C$27:$E$32,3,FALSE))</f>
        <v>BU_LOANTAPE_WORK.LT002_INSTRUMENT</v>
      </c>
      <c r="H233" s="32"/>
      <c r="I233" s="32"/>
      <c r="J233" s="32" t="str">
        <f>IF(VLOOKUP(B233,'0. Instruções'!$C$27:$G$32,5,FALSE)=0,
"(SELECT "&amp;VLOOKUP(B233,'0. Instruções'!$C$27:$G$32,4,FALSE)&amp;" AS CHAVE_IT, "&amp;C233&amp;" AS CAMPO_IT FROM "&amp;E233&amp;" WHERE "&amp;'0. Instruções'!$D$43&amp;")X",
"(SELECT "&amp;VLOOKUP(B233,'0. Instruções'!$C$27:$G$32,4,FALSE)&amp;" AS CHAVE_IT1, "&amp;VLOOKUP(B233,'0. Instruções'!$C$27:$G$32,5,FALSE)&amp;" AS CHAVE_IT2, "&amp;C233&amp;" AS CAMPO_IT FROM "&amp;E233&amp;" WHERE "&amp;'0. Instruções'!$D$43&amp;")X")</f>
        <v>(SELECT instrmnt_id AS CHAVE_IT, prt_lcr_bffr AS CAMPO_IT FROM CD_LOAN_TAPES_BCE.LT002_INSTRUMENT WHERE ref_date='${ref_date}' AND nome_perimetro='Individual Local' AND segmento='ESTR' AND ambito='PM' AND entidade='00100')X</v>
      </c>
      <c r="K233" s="32" t="str">
        <f>IF(VLOOKUP(B233,'0. Instruções'!$C$27:$G$32,5,FALSE)=0,
"(SELECT "&amp;VLOOKUP(B233,'0. Instruções'!$C$27:$G$32,4,FALSE)&amp;" AS CHAVE_SIMUL, "&amp;C233&amp;" AS CAMPO_SIMUL FROM "&amp;F233&amp;" WHERE "&amp;'0. Instruções'!$D$42&amp;")Y",
"(SELECT "&amp;VLOOKUP(B233,'0. Instruções'!$C$27:$G$32,4,FALSE)&amp;" AS CHAVE_SIMUL1, "&amp;VLOOKUP(B233,'0. Instruções'!$C$27:$G$32,5,FALSE)&amp;" AS CHAVE_SIMUL2, "&amp;C233&amp;" AS CAMPO_SIMUL FROM "&amp;F233&amp;" WHERE "&amp;'0. Instruções'!$D$42&amp;")Y")</f>
        <v>(SELECT instrmnt_id AS CHAVE_SIMUL, prt_lcr_bffr AS CAMPO_SIMUL FROM BU_LOANTAPE_WORK.LT002_INSTRUMENT WHERE ref_date='${ref_date}' AND nome_perimetro='Individual Local' AND segmento='ESTR' AND ambito='PM' AND entidade='00100')Y</v>
      </c>
      <c r="L233" s="32" t="str">
        <f>IF(VLOOKUP(B233,'0. Instruções'!$C$27:$G$32,5,FALSE)=0,
"ON X.CHAVE_IT=Y.CHAVE_SIMUL",
"ON X.CHAVE_IT1=Y.CHAVE_SIMUL1 AND X.CHAVE_IT2=Y.CHAVE_SIMUL2")</f>
        <v>ON X.CHAVE_IT=Y.CHAVE_SIMUL</v>
      </c>
      <c r="M233" s="32" t="str">
        <f>+IF(D233="Coerência",+IF(LEFT(H233,5)="FLOAT","SELECT '"&amp;UPPER(B233)&amp;"' AS TABELA, '"&amp;UPPER(D233)&amp;"' AS TIPOLOGIA_TESTE,'"&amp;E233&amp;"' AS TABELA_LT,'"&amp;F233&amp;"' AS TABELA_SIMUL,'"&amp;C233&amp;"'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"&amp;J233&amp;" INNER JOIN "&amp;K233&amp;" "&amp;L233,"SELECT '"&amp;UPPER(B233)&amp;"' AS TABELA, '"&amp;UPPER(D233)&amp;"' AS TIPOLOGIA_TESTE,'"&amp;E233&amp;"' AS TABELA_LT,'"&amp;F233&amp;"' AS TABELA_SIMUL,'"&amp;C233&amp;"'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"&amp;J233&amp;" INNER JOIN "&amp;K233&amp;" "&amp;L233))</f>
        <v>SELECT 'INSTRUMENT' AS TABELA, 'COERÊNCIA' AS TIPOLOGIA_TESTE,'CD_LOAN_TAPES_BCE.LT002_INSTRUMENT' AS TABELA_LT,'BU_LOANTAPE_WORK.LT002_INSTRUMENT' AS TABELA_SIMUL,'prt_lcr_bffr'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prt_lcr_bffr AS CAMPO_IT FROM CD_LOAN_TAPES_BCE.LT002_INSTRUMENT WHERE ref_date='${ref_date}' AND nome_perimetro='Individual Local' AND segmento='ESTR' AND ambito='PM' AND entidade='00100')X INNER JOIN (SELECT instrmnt_id AS CHAVE_SIMUL, prt_lcr_bffr AS CAMPO_SIMUL FROM BU_LOANTAPE_WORK.LT002_INSTRUMENT WHERE ref_date='${ref_date}' AND nome_perimetro='Individual Local' AND segmento='ESTR' AND ambito='PM' AND entidade='00100')Y ON X.CHAVE_IT=Y.CHAVE_SIMUL</v>
      </c>
      <c r="N233" s="33" t="str">
        <f t="shared" si="9"/>
        <v>UNION ALL SELECT 'INSTRUMENT' AS TABELA, 'COERÊNCIA' AS TIPOLOGIA_TESTE,'CD_LOAN_TAPES_BCE.LT002_INSTRUMENT' AS TABELA_LT,'BU_LOANTAPE_WORK.LT002_INSTRUMENT' AS TABELA_SIMUL,'prt_lcr_bffr'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prt_lcr_bffr AS CAMPO_IT FROM CD_LOAN_TAPES_BCE.LT002_INSTRUMENT WHERE ref_date='${ref_date}' AND nome_perimetro='Individual Local' AND segmento='ESTR' AND ambito='PM' AND entidade='00100')X INNER JOIN (SELECT instrmnt_id AS CHAVE_SIMUL, prt_lcr_bffr AS CAMPO_SIMUL FROM BU_LOANTAPE_WORK.LT002_INSTRUMENT WHERE ref_date='${ref_date}' AND nome_perimetro='Individual Local' AND segmento='ESTR' AND ambito='PM' AND entidade='00100')Y ON X.CHAVE_IT=Y.CHAVE_SIMUL</v>
      </c>
      <c r="O233" s="35" t="s">
        <v>35</v>
      </c>
    </row>
    <row r="234" spans="1:15">
      <c r="A234" s="57" t="str">
        <f t="shared" si="8"/>
        <v>Instrumentrfrnc_rt</v>
      </c>
      <c r="B234" s="32" t="s">
        <v>9</v>
      </c>
      <c r="C234" s="32" t="s">
        <v>403</v>
      </c>
      <c r="D234" s="32" t="s">
        <v>5</v>
      </c>
      <c r="E234" s="32" t="str">
        <f>+UPPER('0. Instruções'!$D$35&amp;"."&amp;VLOOKUP(B234,'0. Instruções'!$C$27:$D$32,2,FALSE))</f>
        <v>CD_LOAN_TAPES_BCE.LT002_INSTRUMENT</v>
      </c>
      <c r="F234" s="32" t="str">
        <f>+UPPER('0. Instruções'!$D$36&amp;"."&amp;VLOOKUP(B234,'0. Instruções'!$C$27:$E$32,3,FALSE))</f>
        <v>BU_LOANTAPE_WORK.LT002_INSTRUMENT</v>
      </c>
      <c r="H234" s="32"/>
      <c r="I234" s="32"/>
      <c r="J234" s="32" t="str">
        <f>IF(VLOOKUP(B234,'0. Instruções'!$C$27:$G$32,5,FALSE)=0,
"(SELECT "&amp;VLOOKUP(B234,'0. Instruções'!$C$27:$G$32,4,FALSE)&amp;" AS CHAVE_IT, "&amp;C234&amp;" AS CAMPO_IT FROM "&amp;E234&amp;" WHERE "&amp;'0. Instruções'!$D$43&amp;")X",
"(SELECT "&amp;VLOOKUP(B234,'0. Instruções'!$C$27:$G$32,4,FALSE)&amp;" AS CHAVE_IT1, "&amp;VLOOKUP(B234,'0. Instruções'!$C$27:$G$32,5,FALSE)&amp;" AS CHAVE_IT2, "&amp;C234&amp;" AS CAMPO_IT FROM "&amp;E234&amp;" WHERE "&amp;'0. Instruções'!$D$43&amp;")X")</f>
        <v>(SELECT instrmnt_id AS CHAVE_IT, rfrnc_rt AS CAMPO_IT FROM CD_LOAN_TAPES_BCE.LT002_INSTRUMENT WHERE ref_date='${ref_date}' AND nome_perimetro='Individual Local' AND segmento='ESTR' AND ambito='PM' AND entidade='00100')X</v>
      </c>
      <c r="K234" s="32" t="str">
        <f>IF(VLOOKUP(B234,'0. Instruções'!$C$27:$G$32,5,FALSE)=0,
"(SELECT "&amp;VLOOKUP(B234,'0. Instruções'!$C$27:$G$32,4,FALSE)&amp;" AS CHAVE_SIMUL, "&amp;C234&amp;" AS CAMPO_SIMUL FROM "&amp;F234&amp;" WHERE "&amp;'0. Instruções'!$D$42&amp;")Y",
"(SELECT "&amp;VLOOKUP(B234,'0. Instruções'!$C$27:$G$32,4,FALSE)&amp;" AS CHAVE_SIMUL1, "&amp;VLOOKUP(B234,'0. Instruções'!$C$27:$G$32,5,FALSE)&amp;" AS CHAVE_SIMUL2, "&amp;C234&amp;" AS CAMPO_SIMUL FROM "&amp;F234&amp;" WHERE "&amp;'0. Instruções'!$D$42&amp;")Y")</f>
        <v>(SELECT instrmnt_id AS CHAVE_SIMUL, rfrnc_rt AS CAMPO_SIMUL FROM BU_LOANTAPE_WORK.LT002_INSTRUMENT WHERE ref_date='${ref_date}' AND nome_perimetro='Individual Local' AND segmento='ESTR' AND ambito='PM' AND entidade='00100')Y</v>
      </c>
      <c r="L234" s="32" t="str">
        <f>IF(VLOOKUP(B234,'0. Instruções'!$C$27:$G$32,5,FALSE)=0,
"ON X.CHAVE_IT=Y.CHAVE_SIMUL",
"ON X.CHAVE_IT1=Y.CHAVE_SIMUL1 AND X.CHAVE_IT2=Y.CHAVE_SIMUL2")</f>
        <v>ON X.CHAVE_IT=Y.CHAVE_SIMUL</v>
      </c>
      <c r="M234" s="32" t="str">
        <f>+IF(D234="Coerência",+IF(LEFT(H234,5)="FLOAT","SELECT '"&amp;UPPER(B234)&amp;"' AS TABELA, '"&amp;UPPER(D234)&amp;"' AS TIPOLOGIA_TESTE,'"&amp;E234&amp;"' AS TABELA_LT,'"&amp;F234&amp;"' AS TABELA_SIMUL,'"&amp;C234&amp;"'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"&amp;J234&amp;" INNER JOIN "&amp;K234&amp;" "&amp;L234,"SELECT '"&amp;UPPER(B234)&amp;"' AS TABELA, '"&amp;UPPER(D234)&amp;"' AS TIPOLOGIA_TESTE,'"&amp;E234&amp;"' AS TABELA_LT,'"&amp;F234&amp;"' AS TABELA_SIMUL,'"&amp;C234&amp;"'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"&amp;J234&amp;" INNER JOIN "&amp;K234&amp;" "&amp;L234))</f>
        <v>SELECT 'INSTRUMENT' AS TABELA, 'COERÊNCIA' AS TIPOLOGIA_TESTE,'CD_LOAN_TAPES_BCE.LT002_INSTRUMENT' AS TABELA_LT,'BU_LOANTAPE_WORK.LT002_INSTRUMENT' AS TABELA_SIMUL,'rfrnc_rt'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rfrnc_rt AS CAMPO_IT FROM CD_LOAN_TAPES_BCE.LT002_INSTRUMENT WHERE ref_date='${ref_date}' AND nome_perimetro='Individual Local' AND segmento='ESTR' AND ambito='PM' AND entidade='00100')X INNER JOIN (SELECT instrmnt_id AS CHAVE_SIMUL, rfrnc_rt AS CAMPO_SIMUL FROM BU_LOANTAPE_WORK.LT002_INSTRUMENT WHERE ref_date='${ref_date}' AND nome_perimetro='Individual Local' AND segmento='ESTR' AND ambito='PM' AND entidade='00100')Y ON X.CHAVE_IT=Y.CHAVE_SIMUL</v>
      </c>
      <c r="N234" s="33" t="str">
        <f t="shared" si="9"/>
        <v>UNION ALL SELECT 'INSTRUMENT' AS TABELA, 'COERÊNCIA' AS TIPOLOGIA_TESTE,'CD_LOAN_TAPES_BCE.LT002_INSTRUMENT' AS TABELA_LT,'BU_LOANTAPE_WORK.LT002_INSTRUMENT' AS TABELA_SIMUL,'rfrnc_rt'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rfrnc_rt AS CAMPO_IT FROM CD_LOAN_TAPES_BCE.LT002_INSTRUMENT WHERE ref_date='${ref_date}' AND nome_perimetro='Individual Local' AND segmento='ESTR' AND ambito='PM' AND entidade='00100')X INNER JOIN (SELECT instrmnt_id AS CHAVE_SIMUL, rfrnc_rt AS CAMPO_SIMUL FROM BU_LOANTAPE_WORK.LT002_INSTRUMENT WHERE ref_date='${ref_date}' AND nome_perimetro='Individual Local' AND segmento='ESTR' AND ambito='PM' AND entidade='00100')Y ON X.CHAVE_IT=Y.CHAVE_SIMUL</v>
      </c>
      <c r="O234" s="35" t="s">
        <v>35</v>
      </c>
    </row>
    <row r="235" spans="1:15">
      <c r="A235" s="57" t="str">
        <f t="shared" si="8"/>
        <v>Instrumentsprd</v>
      </c>
      <c r="B235" s="32" t="s">
        <v>9</v>
      </c>
      <c r="C235" s="32" t="s">
        <v>404</v>
      </c>
      <c r="D235" s="32" t="s">
        <v>5</v>
      </c>
      <c r="E235" s="32" t="str">
        <f>+UPPER('0. Instruções'!$D$35&amp;"."&amp;VLOOKUP(B235,'0. Instruções'!$C$27:$D$32,2,FALSE))</f>
        <v>CD_LOAN_TAPES_BCE.LT002_INSTRUMENT</v>
      </c>
      <c r="F235" s="32" t="str">
        <f>+UPPER('0. Instruções'!$D$36&amp;"."&amp;VLOOKUP(B235,'0. Instruções'!$C$27:$E$32,3,FALSE))</f>
        <v>BU_LOANTAPE_WORK.LT002_INSTRUMENT</v>
      </c>
      <c r="H235" s="32"/>
      <c r="I235" s="32"/>
      <c r="J235" s="32" t="str">
        <f>IF(VLOOKUP(B235,'0. Instruções'!$C$27:$G$32,5,FALSE)=0,
"(SELECT "&amp;VLOOKUP(B235,'0. Instruções'!$C$27:$G$32,4,FALSE)&amp;" AS CHAVE_IT, "&amp;C235&amp;" AS CAMPO_IT FROM "&amp;E235&amp;" WHERE "&amp;'0. Instruções'!$D$43&amp;")X",
"(SELECT "&amp;VLOOKUP(B235,'0. Instruções'!$C$27:$G$32,4,FALSE)&amp;" AS CHAVE_IT1, "&amp;VLOOKUP(B235,'0. Instruções'!$C$27:$G$32,5,FALSE)&amp;" AS CHAVE_IT2, "&amp;C235&amp;" AS CAMPO_IT FROM "&amp;E235&amp;" WHERE "&amp;'0. Instruções'!$D$43&amp;")X")</f>
        <v>(SELECT instrmnt_id AS CHAVE_IT, sprd AS CAMPO_IT FROM CD_LOAN_TAPES_BCE.LT002_INSTRUMENT WHERE ref_date='${ref_date}' AND nome_perimetro='Individual Local' AND segmento='ESTR' AND ambito='PM' AND entidade='00100')X</v>
      </c>
      <c r="K235" s="32" t="str">
        <f>IF(VLOOKUP(B235,'0. Instruções'!$C$27:$G$32,5,FALSE)=0,
"(SELECT "&amp;VLOOKUP(B235,'0. Instruções'!$C$27:$G$32,4,FALSE)&amp;" AS CHAVE_SIMUL, "&amp;C235&amp;" AS CAMPO_SIMUL FROM "&amp;F235&amp;" WHERE "&amp;'0. Instruções'!$D$42&amp;")Y",
"(SELECT "&amp;VLOOKUP(B235,'0. Instruções'!$C$27:$G$32,4,FALSE)&amp;" AS CHAVE_SIMUL1, "&amp;VLOOKUP(B235,'0. Instruções'!$C$27:$G$32,5,FALSE)&amp;" AS CHAVE_SIMUL2, "&amp;C235&amp;" AS CAMPO_SIMUL FROM "&amp;F235&amp;" WHERE "&amp;'0. Instruções'!$D$42&amp;")Y")</f>
        <v>(SELECT instrmnt_id AS CHAVE_SIMUL, sprd AS CAMPO_SIMUL FROM BU_LOANTAPE_WORK.LT002_INSTRUMENT WHERE ref_date='${ref_date}' AND nome_perimetro='Individual Local' AND segmento='ESTR' AND ambito='PM' AND entidade='00100')Y</v>
      </c>
      <c r="L235" s="32" t="str">
        <f>IF(VLOOKUP(B235,'0. Instruções'!$C$27:$G$32,5,FALSE)=0,
"ON X.CHAVE_IT=Y.CHAVE_SIMUL",
"ON X.CHAVE_IT1=Y.CHAVE_SIMUL1 AND X.CHAVE_IT2=Y.CHAVE_SIMUL2")</f>
        <v>ON X.CHAVE_IT=Y.CHAVE_SIMUL</v>
      </c>
      <c r="M235" s="32" t="str">
        <f>+IF(D235="Coerência",+IF(LEFT(H235,5)="FLOAT","SELECT '"&amp;UPPER(B235)&amp;"' AS TABELA, '"&amp;UPPER(D235)&amp;"' AS TIPOLOGIA_TESTE,'"&amp;E235&amp;"' AS TABELA_LT,'"&amp;F235&amp;"' AS TABELA_SIMUL,'"&amp;C235&amp;"'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"&amp;J235&amp;" INNER JOIN "&amp;K235&amp;" "&amp;L235,"SELECT '"&amp;UPPER(B235)&amp;"' AS TABELA, '"&amp;UPPER(D235)&amp;"' AS TIPOLOGIA_TESTE,'"&amp;E235&amp;"' AS TABELA_LT,'"&amp;F235&amp;"' AS TABELA_SIMUL,'"&amp;C235&amp;"'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"&amp;J235&amp;" INNER JOIN "&amp;K235&amp;" "&amp;L235))</f>
        <v>SELECT 'INSTRUMENT' AS TABELA, 'COERÊNCIA' AS TIPOLOGIA_TESTE,'CD_LOAN_TAPES_BCE.LT002_INSTRUMENT' AS TABELA_LT,'BU_LOANTAPE_WORK.LT002_INSTRUMENT' AS TABELA_SIMUL,'sprd'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sprd AS CAMPO_IT FROM CD_LOAN_TAPES_BCE.LT002_INSTRUMENT WHERE ref_date='${ref_date}' AND nome_perimetro='Individual Local' AND segmento='ESTR' AND ambito='PM' AND entidade='00100')X INNER JOIN (SELECT instrmnt_id AS CHAVE_SIMUL, sprd AS CAMPO_SIMUL FROM BU_LOANTAPE_WORK.LT002_INSTRUMENT WHERE ref_date='${ref_date}' AND nome_perimetro='Individual Local' AND segmento='ESTR' AND ambito='PM' AND entidade='00100')Y ON X.CHAVE_IT=Y.CHAVE_SIMUL</v>
      </c>
      <c r="N235" s="33" t="str">
        <f t="shared" si="9"/>
        <v>UNION ALL SELECT 'INSTRUMENT' AS TABELA, 'COERÊNCIA' AS TIPOLOGIA_TESTE,'CD_LOAN_TAPES_BCE.LT002_INSTRUMENT' AS TABELA_LT,'BU_LOANTAPE_WORK.LT002_INSTRUMENT' AS TABELA_SIMUL,'sprd'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sprd AS CAMPO_IT FROM CD_LOAN_TAPES_BCE.LT002_INSTRUMENT WHERE ref_date='${ref_date}' AND nome_perimetro='Individual Local' AND segmento='ESTR' AND ambito='PM' AND entidade='00100')X INNER JOIN (SELECT instrmnt_id AS CHAVE_SIMUL, sprd AS CAMPO_SIMUL FROM BU_LOANTAPE_WORK.LT002_INSTRUMENT WHERE ref_date='${ref_date}' AND nome_perimetro='Individual Local' AND segmento='ESTR' AND ambito='PM' AND entidade='00100')Y ON X.CHAVE_IT=Y.CHAVE_SIMUL</v>
      </c>
      <c r="O235" s="35" t="s">
        <v>35</v>
      </c>
    </row>
    <row r="236" spans="1:15">
      <c r="A236" s="57" t="str">
        <f t="shared" si="8"/>
        <v>Instrumentsrcs_encmbrnc</v>
      </c>
      <c r="B236" s="32" t="s">
        <v>9</v>
      </c>
      <c r="C236" s="32" t="s">
        <v>405</v>
      </c>
      <c r="D236" s="32" t="s">
        <v>5</v>
      </c>
      <c r="E236" s="32" t="str">
        <f>+UPPER('0. Instruções'!$D$35&amp;"."&amp;VLOOKUP(B236,'0. Instruções'!$C$27:$D$32,2,FALSE))</f>
        <v>CD_LOAN_TAPES_BCE.LT002_INSTRUMENT</v>
      </c>
      <c r="F236" s="32" t="str">
        <f>+UPPER('0. Instruções'!$D$36&amp;"."&amp;VLOOKUP(B236,'0. Instruções'!$C$27:$E$32,3,FALSE))</f>
        <v>BU_LOANTAPE_WORK.LT002_INSTRUMENT</v>
      </c>
      <c r="H236" s="32"/>
      <c r="I236" s="32"/>
      <c r="J236" s="32" t="str">
        <f>IF(VLOOKUP(B236,'0. Instruções'!$C$27:$G$32,5,FALSE)=0,
"(SELECT "&amp;VLOOKUP(B236,'0. Instruções'!$C$27:$G$32,4,FALSE)&amp;" AS CHAVE_IT, "&amp;C236&amp;" AS CAMPO_IT FROM "&amp;E236&amp;" WHERE "&amp;'0. Instruções'!$D$43&amp;")X",
"(SELECT "&amp;VLOOKUP(B236,'0. Instruções'!$C$27:$G$32,4,FALSE)&amp;" AS CHAVE_IT1, "&amp;VLOOKUP(B236,'0. Instruções'!$C$27:$G$32,5,FALSE)&amp;" AS CHAVE_IT2, "&amp;C236&amp;" AS CAMPO_IT FROM "&amp;E236&amp;" WHERE "&amp;'0. Instruções'!$D$43&amp;")X")</f>
        <v>(SELECT instrmnt_id AS CHAVE_IT, srcs_encmbrnc AS CAMPO_IT FROM CD_LOAN_TAPES_BCE.LT002_INSTRUMENT WHERE ref_date='${ref_date}' AND nome_perimetro='Individual Local' AND segmento='ESTR' AND ambito='PM' AND entidade='00100')X</v>
      </c>
      <c r="K236" s="32" t="str">
        <f>IF(VLOOKUP(B236,'0. Instruções'!$C$27:$G$32,5,FALSE)=0,
"(SELECT "&amp;VLOOKUP(B236,'0. Instruções'!$C$27:$G$32,4,FALSE)&amp;" AS CHAVE_SIMUL, "&amp;C236&amp;" AS CAMPO_SIMUL FROM "&amp;F236&amp;" WHERE "&amp;'0. Instruções'!$D$42&amp;")Y",
"(SELECT "&amp;VLOOKUP(B236,'0. Instruções'!$C$27:$G$32,4,FALSE)&amp;" AS CHAVE_SIMUL1, "&amp;VLOOKUP(B236,'0. Instruções'!$C$27:$G$32,5,FALSE)&amp;" AS CHAVE_SIMUL2, "&amp;C236&amp;" AS CAMPO_SIMUL FROM "&amp;F236&amp;" WHERE "&amp;'0. Instruções'!$D$42&amp;")Y")</f>
        <v>(SELECT instrmnt_id AS CHAVE_SIMUL, srcs_encmbrnc AS CAMPO_SIMUL FROM BU_LOANTAPE_WORK.LT002_INSTRUMENT WHERE ref_date='${ref_date}' AND nome_perimetro='Individual Local' AND segmento='ESTR' AND ambito='PM' AND entidade='00100')Y</v>
      </c>
      <c r="L236" s="32" t="str">
        <f>IF(VLOOKUP(B236,'0. Instruções'!$C$27:$G$32,5,FALSE)=0,
"ON X.CHAVE_IT=Y.CHAVE_SIMUL",
"ON X.CHAVE_IT1=Y.CHAVE_SIMUL1 AND X.CHAVE_IT2=Y.CHAVE_SIMUL2")</f>
        <v>ON X.CHAVE_IT=Y.CHAVE_SIMUL</v>
      </c>
      <c r="M236" s="32" t="str">
        <f>+IF(D236="Coerência",+IF(LEFT(H236,5)="FLOAT","SELECT '"&amp;UPPER(B236)&amp;"' AS TABELA, '"&amp;UPPER(D236)&amp;"' AS TIPOLOGIA_TESTE,'"&amp;E236&amp;"' AS TABELA_LT,'"&amp;F236&amp;"' AS TABELA_SIMUL,'"&amp;C236&amp;"'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"&amp;J236&amp;" INNER JOIN "&amp;K236&amp;" "&amp;L236,"SELECT '"&amp;UPPER(B236)&amp;"' AS TABELA, '"&amp;UPPER(D236)&amp;"' AS TIPOLOGIA_TESTE,'"&amp;E236&amp;"' AS TABELA_LT,'"&amp;F236&amp;"' AS TABELA_SIMUL,'"&amp;C236&amp;"'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"&amp;J236&amp;" INNER JOIN "&amp;K236&amp;" "&amp;L236))</f>
        <v>SELECT 'INSTRUMENT' AS TABELA, 'COERÊNCIA' AS TIPOLOGIA_TESTE,'CD_LOAN_TAPES_BCE.LT002_INSTRUMENT' AS TABELA_LT,'BU_LOANTAPE_WORK.LT002_INSTRUMENT' AS TABELA_SIMUL,'srcs_encmbrnc'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srcs_encmbrnc AS CAMPO_IT FROM CD_LOAN_TAPES_BCE.LT002_INSTRUMENT WHERE ref_date='${ref_date}' AND nome_perimetro='Individual Local' AND segmento='ESTR' AND ambito='PM' AND entidade='00100')X INNER JOIN (SELECT instrmnt_id AS CHAVE_SIMUL, srcs_encmbrnc AS CAMPO_SIMUL FROM BU_LOANTAPE_WORK.LT002_INSTRUMENT WHERE ref_date='${ref_date}' AND nome_perimetro='Individual Local' AND segmento='ESTR' AND ambito='PM' AND entidade='00100')Y ON X.CHAVE_IT=Y.CHAVE_SIMUL</v>
      </c>
      <c r="N236" s="33" t="str">
        <f t="shared" si="9"/>
        <v>UNION ALL SELECT 'INSTRUMENT' AS TABELA, 'COERÊNCIA' AS TIPOLOGIA_TESTE,'CD_LOAN_TAPES_BCE.LT002_INSTRUMENT' AS TABELA_LT,'BU_LOANTAPE_WORK.LT002_INSTRUMENT' AS TABELA_SIMUL,'srcs_encmbrnc'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srcs_encmbrnc AS CAMPO_IT FROM CD_LOAN_TAPES_BCE.LT002_INSTRUMENT WHERE ref_date='${ref_date}' AND nome_perimetro='Individual Local' AND segmento='ESTR' AND ambito='PM' AND entidade='00100')X INNER JOIN (SELECT instrmnt_id AS CHAVE_SIMUL, srcs_encmbrnc AS CAMPO_SIMUL FROM BU_LOANTAPE_WORK.LT002_INSTRUMENT WHERE ref_date='${ref_date}' AND nome_perimetro='Individual Local' AND segmento='ESTR' AND ambito='PM' AND entidade='00100')Y ON X.CHAVE_IT=Y.CHAVE_SIMUL</v>
      </c>
      <c r="O236" s="35" t="s">
        <v>35</v>
      </c>
    </row>
    <row r="237" spans="1:15">
      <c r="A237" s="57" t="str">
        <f t="shared" si="8"/>
        <v>Instrumenttype_of_plcmnt</v>
      </c>
      <c r="B237" s="32" t="s">
        <v>9</v>
      </c>
      <c r="C237" s="32" t="s">
        <v>406</v>
      </c>
      <c r="D237" s="32" t="s">
        <v>5</v>
      </c>
      <c r="E237" s="32" t="str">
        <f>+UPPER('0. Instruções'!$D$35&amp;"."&amp;VLOOKUP(B237,'0. Instruções'!$C$27:$D$32,2,FALSE))</f>
        <v>CD_LOAN_TAPES_BCE.LT002_INSTRUMENT</v>
      </c>
      <c r="F237" s="32" t="str">
        <f>+UPPER('0. Instruções'!$D$36&amp;"."&amp;VLOOKUP(B237,'0. Instruções'!$C$27:$E$32,3,FALSE))</f>
        <v>BU_LOANTAPE_WORK.LT002_INSTRUMENT</v>
      </c>
      <c r="H237" s="32"/>
      <c r="I237" s="32"/>
      <c r="J237" s="32" t="str">
        <f>IF(VLOOKUP(B237,'0. Instruções'!$C$27:$G$32,5,FALSE)=0,
"(SELECT "&amp;VLOOKUP(B237,'0. Instruções'!$C$27:$G$32,4,FALSE)&amp;" AS CHAVE_IT, "&amp;C237&amp;" AS CAMPO_IT FROM "&amp;E237&amp;" WHERE "&amp;'0. Instruções'!$D$43&amp;")X",
"(SELECT "&amp;VLOOKUP(B237,'0. Instruções'!$C$27:$G$32,4,FALSE)&amp;" AS CHAVE_IT1, "&amp;VLOOKUP(B237,'0. Instruções'!$C$27:$G$32,5,FALSE)&amp;" AS CHAVE_IT2, "&amp;C237&amp;" AS CAMPO_IT FROM "&amp;E237&amp;" WHERE "&amp;'0. Instruções'!$D$43&amp;")X")</f>
        <v>(SELECT instrmnt_id AS CHAVE_IT, type_of_plcmnt AS CAMPO_IT FROM CD_LOAN_TAPES_BCE.LT002_INSTRUMENT WHERE ref_date='${ref_date}' AND nome_perimetro='Individual Local' AND segmento='ESTR' AND ambito='PM' AND entidade='00100')X</v>
      </c>
      <c r="K237" s="32" t="str">
        <f>IF(VLOOKUP(B237,'0. Instruções'!$C$27:$G$32,5,FALSE)=0,
"(SELECT "&amp;VLOOKUP(B237,'0. Instruções'!$C$27:$G$32,4,FALSE)&amp;" AS CHAVE_SIMUL, "&amp;C237&amp;" AS CAMPO_SIMUL FROM "&amp;F237&amp;" WHERE "&amp;'0. Instruções'!$D$42&amp;")Y",
"(SELECT "&amp;VLOOKUP(B237,'0. Instruções'!$C$27:$G$32,4,FALSE)&amp;" AS CHAVE_SIMUL1, "&amp;VLOOKUP(B237,'0. Instruções'!$C$27:$G$32,5,FALSE)&amp;" AS CHAVE_SIMUL2, "&amp;C237&amp;" AS CAMPO_SIMUL FROM "&amp;F237&amp;" WHERE "&amp;'0. Instruções'!$D$42&amp;")Y")</f>
        <v>(SELECT instrmnt_id AS CHAVE_SIMUL, type_of_plcmnt AS CAMPO_SIMUL FROM BU_LOANTAPE_WORK.LT002_INSTRUMENT WHERE ref_date='${ref_date}' AND nome_perimetro='Individual Local' AND segmento='ESTR' AND ambito='PM' AND entidade='00100')Y</v>
      </c>
      <c r="L237" s="32" t="str">
        <f>IF(VLOOKUP(B237,'0. Instruções'!$C$27:$G$32,5,FALSE)=0,
"ON X.CHAVE_IT=Y.CHAVE_SIMUL",
"ON X.CHAVE_IT1=Y.CHAVE_SIMUL1 AND X.CHAVE_IT2=Y.CHAVE_SIMUL2")</f>
        <v>ON X.CHAVE_IT=Y.CHAVE_SIMUL</v>
      </c>
      <c r="M237" s="32" t="str">
        <f>+IF(D237="Coerência",+IF(LEFT(H237,5)="FLOAT","SELECT '"&amp;UPPER(B237)&amp;"' AS TABELA, '"&amp;UPPER(D237)&amp;"' AS TIPOLOGIA_TESTE,'"&amp;E237&amp;"' AS TABELA_LT,'"&amp;F237&amp;"' AS TABELA_SIMUL,'"&amp;C237&amp;"'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"&amp;J237&amp;" INNER JOIN "&amp;K237&amp;" "&amp;L237,"SELECT '"&amp;UPPER(B237)&amp;"' AS TABELA, '"&amp;UPPER(D237)&amp;"' AS TIPOLOGIA_TESTE,'"&amp;E237&amp;"' AS TABELA_LT,'"&amp;F237&amp;"' AS TABELA_SIMUL,'"&amp;C237&amp;"'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"&amp;J237&amp;" INNER JOIN "&amp;K237&amp;" "&amp;L237))</f>
        <v>SELECT 'INSTRUMENT' AS TABELA, 'COERÊNCIA' AS TIPOLOGIA_TESTE,'CD_LOAN_TAPES_BCE.LT002_INSTRUMENT' AS TABELA_LT,'BU_LOANTAPE_WORK.LT002_INSTRUMENT' AS TABELA_SIMUL,'type_of_plcmnt'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type_of_plcmnt AS CAMPO_IT FROM CD_LOAN_TAPES_BCE.LT002_INSTRUMENT WHERE ref_date='${ref_date}' AND nome_perimetro='Individual Local' AND segmento='ESTR' AND ambito='PM' AND entidade='00100')X INNER JOIN (SELECT instrmnt_id AS CHAVE_SIMUL, type_of_plcmnt AS CAMPO_SIMUL FROM BU_LOANTAPE_WORK.LT002_INSTRUMENT WHERE ref_date='${ref_date}' AND nome_perimetro='Individual Local' AND segmento='ESTR' AND ambito='PM' AND entidade='00100')Y ON X.CHAVE_IT=Y.CHAVE_SIMUL</v>
      </c>
      <c r="N237" s="33" t="str">
        <f t="shared" si="9"/>
        <v>UNION ALL SELECT 'INSTRUMENT' AS TABELA, 'COERÊNCIA' AS TIPOLOGIA_TESTE,'CD_LOAN_TAPES_BCE.LT002_INSTRUMENT' AS TABELA_LT,'BU_LOANTAPE_WORK.LT002_INSTRUMENT' AS TABELA_SIMUL,'type_of_plcmnt'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type_of_plcmnt AS CAMPO_IT FROM CD_LOAN_TAPES_BCE.LT002_INSTRUMENT WHERE ref_date='${ref_date}' AND nome_perimetro='Individual Local' AND segmento='ESTR' AND ambito='PM' AND entidade='00100')X INNER JOIN (SELECT instrmnt_id AS CHAVE_SIMUL, type_of_plcmnt AS CAMPO_SIMUL FROM BU_LOANTAPE_WORK.LT002_INSTRUMENT WHERE ref_date='${ref_date}' AND nome_perimetro='Individual Local' AND segmento='ESTR' AND ambito='PM' AND entidade='00100')Y ON X.CHAVE_IT=Y.CHAVE_SIMUL</v>
      </c>
      <c r="O237" s="35" t="s">
        <v>35</v>
      </c>
    </row>
    <row r="238" spans="1:15">
      <c r="A238" s="57" t="str">
        <f t="shared" si="8"/>
        <v>Instrumentvltn_crrncy</v>
      </c>
      <c r="B238" s="32" t="s">
        <v>9</v>
      </c>
      <c r="C238" s="32" t="s">
        <v>407</v>
      </c>
      <c r="D238" s="32" t="s">
        <v>5</v>
      </c>
      <c r="E238" s="32" t="str">
        <f>+UPPER('0. Instruções'!$D$35&amp;"."&amp;VLOOKUP(B238,'0. Instruções'!$C$27:$D$32,2,FALSE))</f>
        <v>CD_LOAN_TAPES_BCE.LT002_INSTRUMENT</v>
      </c>
      <c r="F238" s="32" t="str">
        <f>+UPPER('0. Instruções'!$D$36&amp;"."&amp;VLOOKUP(B238,'0. Instruções'!$C$27:$E$32,3,FALSE))</f>
        <v>BU_LOANTAPE_WORK.LT002_INSTRUMENT</v>
      </c>
      <c r="H238" s="32"/>
      <c r="I238" s="32"/>
      <c r="J238" s="32" t="str">
        <f>IF(VLOOKUP(B238,'0. Instruções'!$C$27:$G$32,5,FALSE)=0,
"(SELECT "&amp;VLOOKUP(B238,'0. Instruções'!$C$27:$G$32,4,FALSE)&amp;" AS CHAVE_IT, "&amp;C238&amp;" AS CAMPO_IT FROM "&amp;E238&amp;" WHERE "&amp;'0. Instruções'!$D$43&amp;")X",
"(SELECT "&amp;VLOOKUP(B238,'0. Instruções'!$C$27:$G$32,4,FALSE)&amp;" AS CHAVE_IT1, "&amp;VLOOKUP(B238,'0. Instruções'!$C$27:$G$32,5,FALSE)&amp;" AS CHAVE_IT2, "&amp;C238&amp;" AS CAMPO_IT FROM "&amp;E238&amp;" WHERE "&amp;'0. Instruções'!$D$43&amp;")X")</f>
        <v>(SELECT instrmnt_id AS CHAVE_IT, vltn_crrncy AS CAMPO_IT FROM CD_LOAN_TAPES_BCE.LT002_INSTRUMENT WHERE ref_date='${ref_date}' AND nome_perimetro='Individual Local' AND segmento='ESTR' AND ambito='PM' AND entidade='00100')X</v>
      </c>
      <c r="K238" s="32" t="str">
        <f>IF(VLOOKUP(B238,'0. Instruções'!$C$27:$G$32,5,FALSE)=0,
"(SELECT "&amp;VLOOKUP(B238,'0. Instruções'!$C$27:$G$32,4,FALSE)&amp;" AS CHAVE_SIMUL, "&amp;C238&amp;" AS CAMPO_SIMUL FROM "&amp;F238&amp;" WHERE "&amp;'0. Instruções'!$D$42&amp;")Y",
"(SELECT "&amp;VLOOKUP(B238,'0. Instruções'!$C$27:$G$32,4,FALSE)&amp;" AS CHAVE_SIMUL1, "&amp;VLOOKUP(B238,'0. Instruções'!$C$27:$G$32,5,FALSE)&amp;" AS CHAVE_SIMUL2, "&amp;C238&amp;" AS CAMPO_SIMUL FROM "&amp;F238&amp;" WHERE "&amp;'0. Instruções'!$D$42&amp;")Y")</f>
        <v>(SELECT instrmnt_id AS CHAVE_SIMUL, vltn_crrncy AS CAMPO_SIMUL FROM BU_LOANTAPE_WORK.LT002_INSTRUMENT WHERE ref_date='${ref_date}' AND nome_perimetro='Individual Local' AND segmento='ESTR' AND ambito='PM' AND entidade='00100')Y</v>
      </c>
      <c r="L238" s="32" t="str">
        <f>IF(VLOOKUP(B238,'0. Instruções'!$C$27:$G$32,5,FALSE)=0,
"ON X.CHAVE_IT=Y.CHAVE_SIMUL",
"ON X.CHAVE_IT1=Y.CHAVE_SIMUL1 AND X.CHAVE_IT2=Y.CHAVE_SIMUL2")</f>
        <v>ON X.CHAVE_IT=Y.CHAVE_SIMUL</v>
      </c>
      <c r="M238" s="32" t="str">
        <f>+IF(D238="Coerência",+IF(LEFT(H238,5)="FLOAT","SELECT '"&amp;UPPER(B238)&amp;"' AS TABELA, '"&amp;UPPER(D238)&amp;"' AS TIPOLOGIA_TESTE,'"&amp;E238&amp;"' AS TABELA_LT,'"&amp;F238&amp;"' AS TABELA_SIMUL,'"&amp;C238&amp;"'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"&amp;J238&amp;" INNER JOIN "&amp;K238&amp;" "&amp;L238,"SELECT '"&amp;UPPER(B238)&amp;"' AS TABELA, '"&amp;UPPER(D238)&amp;"' AS TIPOLOGIA_TESTE,'"&amp;E238&amp;"' AS TABELA_LT,'"&amp;F238&amp;"' AS TABELA_SIMUL,'"&amp;C238&amp;"'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"&amp;J238&amp;" INNER JOIN "&amp;K238&amp;" "&amp;L238))</f>
        <v>SELECT 'INSTRUMENT' AS TABELA, 'COERÊNCIA' AS TIPOLOGIA_TESTE,'CD_LOAN_TAPES_BCE.LT002_INSTRUMENT' AS TABELA_LT,'BU_LOANTAPE_WORK.LT002_INSTRUMENT' AS TABELA_SIMUL,'vltn_crrncy'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vltn_crrncy AS CAMPO_IT FROM CD_LOAN_TAPES_BCE.LT002_INSTRUMENT WHERE ref_date='${ref_date}' AND nome_perimetro='Individual Local' AND segmento='ESTR' AND ambito='PM' AND entidade='00100')X INNER JOIN (SELECT instrmnt_id AS CHAVE_SIMUL, vltn_crrncy AS CAMPO_SIMUL FROM BU_LOANTAPE_WORK.LT002_INSTRUMENT WHERE ref_date='${ref_date}' AND nome_perimetro='Individual Local' AND segmento='ESTR' AND ambito='PM' AND entidade='00100')Y ON X.CHAVE_IT=Y.CHAVE_SIMUL</v>
      </c>
      <c r="N238" s="33" t="str">
        <f t="shared" si="9"/>
        <v>UNION ALL SELECT 'INSTRUMENT' AS TABELA, 'COERÊNCIA' AS TIPOLOGIA_TESTE,'CD_LOAN_TAPES_BCE.LT002_INSTRUMENT' AS TABELA_LT,'BU_LOANTAPE_WORK.LT002_INSTRUMENT' AS TABELA_SIMUL,'vltn_crrncy'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vltn_crrncy AS CAMPO_IT FROM CD_LOAN_TAPES_BCE.LT002_INSTRUMENT WHERE ref_date='${ref_date}' AND nome_perimetro='Individual Local' AND segmento='ESTR' AND ambito='PM' AND entidade='00100')X INNER JOIN (SELECT instrmnt_id AS CHAVE_SIMUL, vltn_crrncy AS CAMPO_SIMUL FROM BU_LOANTAPE_WORK.LT002_INSTRUMENT WHERE ref_date='${ref_date}' AND nome_perimetro='Individual Local' AND segmento='ESTR' AND ambito='PM' AND entidade='00100')Y ON X.CHAVE_IT=Y.CHAVE_SIMUL</v>
      </c>
      <c r="O238" s="35" t="s">
        <v>35</v>
      </c>
    </row>
    <row r="239" spans="1:15">
      <c r="A239" s="57" t="str">
        <f t="shared" si="8"/>
        <v>Instrumentvltn_typ</v>
      </c>
      <c r="B239" s="32" t="s">
        <v>9</v>
      </c>
      <c r="C239" s="32" t="s">
        <v>408</v>
      </c>
      <c r="D239" s="32" t="s">
        <v>5</v>
      </c>
      <c r="E239" s="32" t="str">
        <f>+UPPER('0. Instruções'!$D$35&amp;"."&amp;VLOOKUP(B239,'0. Instruções'!$C$27:$D$32,2,FALSE))</f>
        <v>CD_LOAN_TAPES_BCE.LT002_INSTRUMENT</v>
      </c>
      <c r="F239" s="32" t="str">
        <f>+UPPER('0. Instruções'!$D$36&amp;"."&amp;VLOOKUP(B239,'0. Instruções'!$C$27:$E$32,3,FALSE))</f>
        <v>BU_LOANTAPE_WORK.LT002_INSTRUMENT</v>
      </c>
      <c r="H239" s="32"/>
      <c r="I239" s="32"/>
      <c r="J239" s="32" t="str">
        <f>IF(VLOOKUP(B239,'0. Instruções'!$C$27:$G$32,5,FALSE)=0,
"(SELECT "&amp;VLOOKUP(B239,'0. Instruções'!$C$27:$G$32,4,FALSE)&amp;" AS CHAVE_IT, "&amp;C239&amp;" AS CAMPO_IT FROM "&amp;E239&amp;" WHERE "&amp;'0. Instruções'!$D$43&amp;")X",
"(SELECT "&amp;VLOOKUP(B239,'0. Instruções'!$C$27:$G$32,4,FALSE)&amp;" AS CHAVE_IT1, "&amp;VLOOKUP(B239,'0. Instruções'!$C$27:$G$32,5,FALSE)&amp;" AS CHAVE_IT2, "&amp;C239&amp;" AS CAMPO_IT FROM "&amp;E239&amp;" WHERE "&amp;'0. Instruções'!$D$43&amp;")X")</f>
        <v>(SELECT instrmnt_id AS CHAVE_IT, vltn_typ AS CAMPO_IT FROM CD_LOAN_TAPES_BCE.LT002_INSTRUMENT WHERE ref_date='${ref_date}' AND nome_perimetro='Individual Local' AND segmento='ESTR' AND ambito='PM' AND entidade='00100')X</v>
      </c>
      <c r="K239" s="32" t="str">
        <f>IF(VLOOKUP(B239,'0. Instruções'!$C$27:$G$32,5,FALSE)=0,
"(SELECT "&amp;VLOOKUP(B239,'0. Instruções'!$C$27:$G$32,4,FALSE)&amp;" AS CHAVE_SIMUL, "&amp;C239&amp;" AS CAMPO_SIMUL FROM "&amp;F239&amp;" WHERE "&amp;'0. Instruções'!$D$42&amp;")Y",
"(SELECT "&amp;VLOOKUP(B239,'0. Instruções'!$C$27:$G$32,4,FALSE)&amp;" AS CHAVE_SIMUL1, "&amp;VLOOKUP(B239,'0. Instruções'!$C$27:$G$32,5,FALSE)&amp;" AS CHAVE_SIMUL2, "&amp;C239&amp;" AS CAMPO_SIMUL FROM "&amp;F239&amp;" WHERE "&amp;'0. Instruções'!$D$42&amp;")Y")</f>
        <v>(SELECT instrmnt_id AS CHAVE_SIMUL, vltn_typ AS CAMPO_SIMUL FROM BU_LOANTAPE_WORK.LT002_INSTRUMENT WHERE ref_date='${ref_date}' AND nome_perimetro='Individual Local' AND segmento='ESTR' AND ambito='PM' AND entidade='00100')Y</v>
      </c>
      <c r="L239" s="32" t="str">
        <f>IF(VLOOKUP(B239,'0. Instruções'!$C$27:$G$32,5,FALSE)=0,
"ON X.CHAVE_IT=Y.CHAVE_SIMUL",
"ON X.CHAVE_IT1=Y.CHAVE_SIMUL1 AND X.CHAVE_IT2=Y.CHAVE_SIMUL2")</f>
        <v>ON X.CHAVE_IT=Y.CHAVE_SIMUL</v>
      </c>
      <c r="M239" s="32" t="str">
        <f>+IF(D239="Coerência",+IF(LEFT(H239,5)="FLOAT","SELECT '"&amp;UPPER(B239)&amp;"' AS TABELA, '"&amp;UPPER(D239)&amp;"' AS TIPOLOGIA_TESTE,'"&amp;E239&amp;"' AS TABELA_LT,'"&amp;F239&amp;"' AS TABELA_SIMUL,'"&amp;C239&amp;"'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"&amp;J239&amp;" INNER JOIN "&amp;K239&amp;" "&amp;L239,"SELECT '"&amp;UPPER(B239)&amp;"' AS TABELA, '"&amp;UPPER(D239)&amp;"' AS TIPOLOGIA_TESTE,'"&amp;E239&amp;"' AS TABELA_LT,'"&amp;F239&amp;"' AS TABELA_SIMUL,'"&amp;C239&amp;"'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"&amp;J239&amp;" INNER JOIN "&amp;K239&amp;" "&amp;L239))</f>
        <v>SELECT 'INSTRUMENT' AS TABELA, 'COERÊNCIA' AS TIPOLOGIA_TESTE,'CD_LOAN_TAPES_BCE.LT002_INSTRUMENT' AS TABELA_LT,'BU_LOANTAPE_WORK.LT002_INSTRUMENT' AS TABELA_SIMUL,'vltn_typ'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vltn_typ AS CAMPO_IT FROM CD_LOAN_TAPES_BCE.LT002_INSTRUMENT WHERE ref_date='${ref_date}' AND nome_perimetro='Individual Local' AND segmento='ESTR' AND ambito='PM' AND entidade='00100')X INNER JOIN (SELECT instrmnt_id AS CHAVE_SIMUL, vltn_typ AS CAMPO_SIMUL FROM BU_LOANTAPE_WORK.LT002_INSTRUMENT WHERE ref_date='${ref_date}' AND nome_perimetro='Individual Local' AND segmento='ESTR' AND ambito='PM' AND entidade='00100')Y ON X.CHAVE_IT=Y.CHAVE_SIMUL</v>
      </c>
      <c r="N239" s="33" t="str">
        <f t="shared" si="9"/>
        <v>UNION ALL SELECT 'INSTRUMENT' AS TABELA, 'COERÊNCIA' AS TIPOLOGIA_TESTE,'CD_LOAN_TAPES_BCE.LT002_INSTRUMENT' AS TABELA_LT,'BU_LOANTAPE_WORK.LT002_INSTRUMENT' AS TABELA_SIMUL,'vltn_typ'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vltn_typ AS CAMPO_IT FROM CD_LOAN_TAPES_BCE.LT002_INSTRUMENT WHERE ref_date='${ref_date}' AND nome_perimetro='Individual Local' AND segmento='ESTR' AND ambito='PM' AND entidade='00100')X INNER JOIN (SELECT instrmnt_id AS CHAVE_SIMUL, vltn_typ AS CAMPO_SIMUL FROM BU_LOANTAPE_WORK.LT002_INSTRUMENT WHERE ref_date='${ref_date}' AND nome_perimetro='Individual Local' AND segmento='ESTR' AND ambito='PM' AND entidade='00100')Y ON X.CHAVE_IT=Y.CHAVE_SIMUL</v>
      </c>
      <c r="O239" s="35" t="s">
        <v>35</v>
      </c>
    </row>
    <row r="240" spans="1:15">
      <c r="A240" s="57" t="str">
        <f t="shared" si="8"/>
        <v>Instrumentcod_soc</v>
      </c>
      <c r="B240" s="32" t="s">
        <v>9</v>
      </c>
      <c r="C240" s="32" t="s">
        <v>149</v>
      </c>
      <c r="D240" s="32" t="s">
        <v>5</v>
      </c>
      <c r="E240" s="32" t="str">
        <f>+UPPER('0. Instruções'!$D$35&amp;"."&amp;VLOOKUP(B240,'0. Instruções'!$C$27:$D$32,2,FALSE))</f>
        <v>CD_LOAN_TAPES_BCE.LT002_INSTRUMENT</v>
      </c>
      <c r="F240" s="32" t="str">
        <f>+UPPER('0. Instruções'!$D$36&amp;"."&amp;VLOOKUP(B240,'0. Instruções'!$C$27:$E$32,3,FALSE))</f>
        <v>BU_LOANTAPE_WORK.LT002_INSTRUMENT</v>
      </c>
      <c r="H240" s="32"/>
      <c r="I240" s="32"/>
      <c r="J240" s="32" t="str">
        <f>IF(VLOOKUP(B240,'0. Instruções'!$C$27:$G$32,5,FALSE)=0,
"(SELECT "&amp;VLOOKUP(B240,'0. Instruções'!$C$27:$G$32,4,FALSE)&amp;" AS CHAVE_IT, "&amp;C240&amp;" AS CAMPO_IT FROM "&amp;E240&amp;" WHERE "&amp;'0. Instruções'!$D$43&amp;")X",
"(SELECT "&amp;VLOOKUP(B240,'0. Instruções'!$C$27:$G$32,4,FALSE)&amp;" AS CHAVE_IT1, "&amp;VLOOKUP(B240,'0. Instruções'!$C$27:$G$32,5,FALSE)&amp;" AS CHAVE_IT2, "&amp;C240&amp;" AS CAMPO_IT FROM "&amp;E240&amp;" WHERE "&amp;'0. Instruções'!$D$43&amp;")X")</f>
        <v>(SELECT instrmnt_id AS CHAVE_IT, cod_soc AS CAMPO_IT FROM CD_LOAN_TAPES_BCE.LT002_INSTRUMENT WHERE ref_date='${ref_date}' AND nome_perimetro='Individual Local' AND segmento='ESTR' AND ambito='PM' AND entidade='00100')X</v>
      </c>
      <c r="K240" s="32" t="str">
        <f>IF(VLOOKUP(B240,'0. Instruções'!$C$27:$G$32,5,FALSE)=0,
"(SELECT "&amp;VLOOKUP(B240,'0. Instruções'!$C$27:$G$32,4,FALSE)&amp;" AS CHAVE_SIMUL, "&amp;C240&amp;" AS CAMPO_SIMUL FROM "&amp;F240&amp;" WHERE "&amp;'0. Instruções'!$D$42&amp;")Y",
"(SELECT "&amp;VLOOKUP(B240,'0. Instruções'!$C$27:$G$32,4,FALSE)&amp;" AS CHAVE_SIMUL1, "&amp;VLOOKUP(B240,'0. Instruções'!$C$27:$G$32,5,FALSE)&amp;" AS CHAVE_SIMUL2, "&amp;C240&amp;" AS CAMPO_SIMUL FROM "&amp;F240&amp;" WHERE "&amp;'0. Instruções'!$D$42&amp;")Y")</f>
        <v>(SELECT instrmnt_id AS CHAVE_SIMUL, cod_soc AS CAMPO_SIMUL FROM BU_LOANTAPE_WORK.LT002_INSTRUMENT WHERE ref_date='${ref_date}' AND nome_perimetro='Individual Local' AND segmento='ESTR' AND ambito='PM' AND entidade='00100')Y</v>
      </c>
      <c r="L240" s="32" t="str">
        <f>IF(VLOOKUP(B240,'0. Instruções'!$C$27:$G$32,5,FALSE)=0,
"ON X.CHAVE_IT=Y.CHAVE_SIMUL",
"ON X.CHAVE_IT1=Y.CHAVE_SIMUL1 AND X.CHAVE_IT2=Y.CHAVE_SIMUL2")</f>
        <v>ON X.CHAVE_IT=Y.CHAVE_SIMUL</v>
      </c>
      <c r="M240" s="32" t="str">
        <f>+IF(D240="Coerência",+IF(LEFT(H240,5)="FLOAT","SELECT '"&amp;UPPER(B240)&amp;"' AS TABELA, '"&amp;UPPER(D240)&amp;"' AS TIPOLOGIA_TESTE,'"&amp;E240&amp;"' AS TABELA_LT,'"&amp;F240&amp;"' AS TABELA_SIMUL,'"&amp;C240&amp;"'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"&amp;J240&amp;" INNER JOIN "&amp;K240&amp;" "&amp;L240,"SELECT '"&amp;UPPER(B240)&amp;"' AS TABELA, '"&amp;UPPER(D240)&amp;"' AS TIPOLOGIA_TESTE,'"&amp;E240&amp;"' AS TABELA_LT,'"&amp;F240&amp;"' AS TABELA_SIMUL,'"&amp;C240&amp;"'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"&amp;J240&amp;" INNER JOIN "&amp;K240&amp;" "&amp;L240))</f>
        <v>SELECT 'INSTRUMENT' AS TABELA, 'COERÊNCIA' AS TIPOLOGIA_TESTE,'CD_LOAN_TAPES_BCE.LT002_INSTRUMENT' AS TABELA_LT,'BU_LOANTAPE_WORK.LT002_INSTRUMENT'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 AS CAMPO_IT FROM CD_LOAN_TAPES_BCE.LT002_INSTRUMENT WHERE ref_date='${ref_date}' AND nome_perimetro='Individual Local' AND segmento='ESTR' AND ambito='PM' AND entidade='00100')X INNER JOIN (SELECT instrmnt_id AS CHAVE_SIMUL, cod_soc AS CAMPO_SIMUL FROM BU_LOANTAPE_WORK.LT002_INSTRUMENT WHERE ref_date='${ref_date}' AND nome_perimetro='Individual Local' AND segmento='ESTR' AND ambito='PM' AND entidade='00100')Y ON X.CHAVE_IT=Y.CHAVE_SIMUL</v>
      </c>
      <c r="N240" s="33" t="str">
        <f t="shared" si="9"/>
        <v>UNION ALL SELECT 'INSTRUMENT' AS TABELA, 'COERÊNCIA' AS TIPOLOGIA_TESTE,'CD_LOAN_TAPES_BCE.LT002_INSTRUMENT' AS TABELA_LT,'BU_LOANTAPE_WORK.LT002_INSTRUMENT'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 AS CAMPO_IT FROM CD_LOAN_TAPES_BCE.LT002_INSTRUMENT WHERE ref_date='${ref_date}' AND nome_perimetro='Individual Local' AND segmento='ESTR' AND ambito='PM' AND entidade='00100')X INNER JOIN (SELECT instrmnt_id AS CHAVE_SIMUL, cod_soc AS CAMPO_SIMUL FROM BU_LOANTAPE_WORK.LT002_INSTRUMENT WHERE ref_date='${ref_date}' AND nome_perimetro='Individual Local' AND segmento='ESTR' AND ambito='PM' AND entidade='00100')Y ON X.CHAVE_IT=Y.CHAVE_SIMUL</v>
      </c>
      <c r="O240" s="35" t="s">
        <v>35</v>
      </c>
    </row>
    <row r="241" spans="1:15">
      <c r="A241" s="57" t="str">
        <f t="shared" si="8"/>
        <v>Instrumentsubportfolio_id</v>
      </c>
      <c r="B241" s="32" t="s">
        <v>9</v>
      </c>
      <c r="C241" s="32" t="s">
        <v>148</v>
      </c>
      <c r="D241" s="32" t="s">
        <v>5</v>
      </c>
      <c r="E241" s="32" t="str">
        <f>+UPPER('0. Instruções'!$D$35&amp;"."&amp;VLOOKUP(B241,'0. Instruções'!$C$27:$D$32,2,FALSE))</f>
        <v>CD_LOAN_TAPES_BCE.LT002_INSTRUMENT</v>
      </c>
      <c r="F241" s="32" t="str">
        <f>+UPPER('0. Instruções'!$D$36&amp;"."&amp;VLOOKUP(B241,'0. Instruções'!$C$27:$E$32,3,FALSE))</f>
        <v>BU_LOANTAPE_WORK.LT002_INSTRUMENT</v>
      </c>
      <c r="H241" s="32"/>
      <c r="I241" s="32"/>
      <c r="J241" s="32" t="str">
        <f>IF(VLOOKUP(B241,'0. Instruções'!$C$27:$G$32,5,FALSE)=0,
"(SELECT "&amp;VLOOKUP(B241,'0. Instruções'!$C$27:$G$32,4,FALSE)&amp;" AS CHAVE_IT, "&amp;C241&amp;" AS CAMPO_IT FROM "&amp;E241&amp;" WHERE "&amp;'0. Instruções'!$D$43&amp;")X",
"(SELECT "&amp;VLOOKUP(B241,'0. Instruções'!$C$27:$G$32,4,FALSE)&amp;" AS CHAVE_IT1, "&amp;VLOOKUP(B241,'0. Instruções'!$C$27:$G$32,5,FALSE)&amp;" AS CHAVE_IT2, "&amp;C241&amp;" AS CAMPO_IT FROM "&amp;E241&amp;" WHERE "&amp;'0. Instruções'!$D$43&amp;")X")</f>
        <v>(SELECT instrmnt_id AS CHAVE_IT, subportfolio_id AS CAMPO_IT FROM CD_LOAN_TAPES_BCE.LT002_INSTRUMENT WHERE ref_date='${ref_date}' AND nome_perimetro='Individual Local' AND segmento='ESTR' AND ambito='PM' AND entidade='00100')X</v>
      </c>
      <c r="K241" s="32" t="str">
        <f>IF(VLOOKUP(B241,'0. Instruções'!$C$27:$G$32,5,FALSE)=0,
"(SELECT "&amp;VLOOKUP(B241,'0. Instruções'!$C$27:$G$32,4,FALSE)&amp;" AS CHAVE_SIMUL, "&amp;C241&amp;" AS CAMPO_SIMUL FROM "&amp;F241&amp;" WHERE "&amp;'0. Instruções'!$D$42&amp;")Y",
"(SELECT "&amp;VLOOKUP(B241,'0. Instruções'!$C$27:$G$32,4,FALSE)&amp;" AS CHAVE_SIMUL1, "&amp;VLOOKUP(B241,'0. Instruções'!$C$27:$G$32,5,FALSE)&amp;" AS CHAVE_SIMUL2, "&amp;C241&amp;" AS CAMPO_SIMUL FROM "&amp;F241&amp;" WHERE "&amp;'0. Instruções'!$D$42&amp;")Y")</f>
        <v>(SELECT instrmnt_id AS CHAVE_SIMUL, subportfolio_id AS CAMPO_SIMUL FROM BU_LOANTAPE_WORK.LT002_INSTRUMENT WHERE ref_date='${ref_date}' AND nome_perimetro='Individual Local' AND segmento='ESTR' AND ambito='PM' AND entidade='00100')Y</v>
      </c>
      <c r="L241" s="32" t="str">
        <f>IF(VLOOKUP(B241,'0. Instruções'!$C$27:$G$32,5,FALSE)=0,
"ON X.CHAVE_IT=Y.CHAVE_SIMUL",
"ON X.CHAVE_IT1=Y.CHAVE_SIMUL1 AND X.CHAVE_IT2=Y.CHAVE_SIMUL2")</f>
        <v>ON X.CHAVE_IT=Y.CHAVE_SIMUL</v>
      </c>
      <c r="M241" s="32" t="str">
        <f>+IF(D241="Coerência",+IF(LEFT(H241,5)="FLOAT","SELECT '"&amp;UPPER(B241)&amp;"' AS TABELA, '"&amp;UPPER(D241)&amp;"' AS TIPOLOGIA_TESTE,'"&amp;E241&amp;"' AS TABELA_LT,'"&amp;F241&amp;"' AS TABELA_SIMUL,'"&amp;C241&amp;"'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"&amp;J241&amp;" INNER JOIN "&amp;K241&amp;" "&amp;L241,"SELECT '"&amp;UPPER(B241)&amp;"' AS TABELA, '"&amp;UPPER(D241)&amp;"' AS TIPOLOGIA_TESTE,'"&amp;E241&amp;"' AS TABELA_LT,'"&amp;F241&amp;"' AS TABELA_SIMUL,'"&amp;C241&amp;"'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"&amp;J241&amp;" INNER JOIN "&amp;K241&amp;" "&amp;L241))</f>
        <v>SELECT 'INSTRUMENT' AS TABELA, 'COERÊNCIA' AS TIPOLOGIA_TESTE,'CD_LOAN_TAPES_BCE.LT002_INSTRUMENT' AS TABELA_LT,'BU_LOANTAPE_WORK.LT002_INSTRUMENT' AS TABELA_SIMUL,'subportfolio_id'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subportfolio_id AS CAMPO_IT FROM CD_LOAN_TAPES_BCE.LT002_INSTRUMENT WHERE ref_date='${ref_date}' AND nome_perimetro='Individual Local' AND segmento='ESTR' AND ambito='PM' AND entidade='00100')X INNER JOIN (SELECT instrmnt_id AS CHAVE_SIMUL, subportfolio_id AS CAMPO_SIMUL FROM BU_LOANTAPE_WORK.LT002_INSTRUMENT WHERE ref_date='${ref_date}' AND nome_perimetro='Individual Local' AND segmento='ESTR' AND ambito='PM' AND entidade='00100')Y ON X.CHAVE_IT=Y.CHAVE_SIMUL</v>
      </c>
      <c r="N241" s="33" t="str">
        <f t="shared" si="9"/>
        <v>UNION ALL SELECT 'INSTRUMENT' AS TABELA, 'COERÊNCIA' AS TIPOLOGIA_TESTE,'CD_LOAN_TAPES_BCE.LT002_INSTRUMENT' AS TABELA_LT,'BU_LOANTAPE_WORK.LT002_INSTRUMENT' AS TABELA_SIMUL,'subportfolio_id'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subportfolio_id AS CAMPO_IT FROM CD_LOAN_TAPES_BCE.LT002_INSTRUMENT WHERE ref_date='${ref_date}' AND nome_perimetro='Individual Local' AND segmento='ESTR' AND ambito='PM' AND entidade='00100')X INNER JOIN (SELECT instrmnt_id AS CHAVE_SIMUL, subportfolio_id AS CAMPO_SIMUL FROM BU_LOANTAPE_WORK.LT002_INSTRUMENT WHERE ref_date='${ref_date}' AND nome_perimetro='Individual Local' AND segmento='ESTR' AND ambito='PM' AND entidade='00100')Y ON X.CHAVE_IT=Y.CHAVE_SIMUL</v>
      </c>
      <c r="O241" s="35" t="s">
        <v>35</v>
      </c>
    </row>
    <row r="242" spans="1:15">
      <c r="A242" s="57" t="str">
        <f t="shared" si="8"/>
        <v>Instrumentcre_fnrp18</v>
      </c>
      <c r="B242" s="32" t="s">
        <v>9</v>
      </c>
      <c r="C242" s="32" t="s">
        <v>409</v>
      </c>
      <c r="D242" s="32" t="s">
        <v>5</v>
      </c>
      <c r="E242" s="32" t="str">
        <f>+UPPER('0. Instruções'!$D$35&amp;"."&amp;VLOOKUP(B242,'0. Instruções'!$C$27:$D$32,2,FALSE))</f>
        <v>CD_LOAN_TAPES_BCE.LT002_INSTRUMENT</v>
      </c>
      <c r="F242" s="32" t="str">
        <f>+UPPER('0. Instruções'!$D$36&amp;"."&amp;VLOOKUP(B242,'0. Instruções'!$C$27:$E$32,3,FALSE))</f>
        <v>BU_LOANTAPE_WORK.LT002_INSTRUMENT</v>
      </c>
      <c r="H242" s="32"/>
      <c r="I242" s="32"/>
      <c r="J242" s="32" t="str">
        <f>IF(VLOOKUP(B242,'0. Instruções'!$C$27:$G$32,5,FALSE)=0,
"(SELECT "&amp;VLOOKUP(B242,'0. Instruções'!$C$27:$G$32,4,FALSE)&amp;" AS CHAVE_IT, "&amp;C242&amp;" AS CAMPO_IT FROM "&amp;E242&amp;" WHERE "&amp;'0. Instruções'!$D$43&amp;")X",
"(SELECT "&amp;VLOOKUP(B242,'0. Instruções'!$C$27:$G$32,4,FALSE)&amp;" AS CHAVE_IT1, "&amp;VLOOKUP(B242,'0. Instruções'!$C$27:$G$32,5,FALSE)&amp;" AS CHAVE_IT2, "&amp;C242&amp;" AS CAMPO_IT FROM "&amp;E242&amp;" WHERE "&amp;'0. Instruções'!$D$43&amp;")X")</f>
        <v>(SELECT instrmnt_id AS CHAVE_IT, cre_fnrp18 AS CAMPO_IT FROM CD_LOAN_TAPES_BCE.LT002_INSTRUMENT WHERE ref_date='${ref_date}' AND nome_perimetro='Individual Local' AND segmento='ESTR' AND ambito='PM' AND entidade='00100')X</v>
      </c>
      <c r="K242" s="32" t="str">
        <f>IF(VLOOKUP(B242,'0. Instruções'!$C$27:$G$32,5,FALSE)=0,
"(SELECT "&amp;VLOOKUP(B242,'0. Instruções'!$C$27:$G$32,4,FALSE)&amp;" AS CHAVE_SIMUL, "&amp;C242&amp;" AS CAMPO_SIMUL FROM "&amp;F242&amp;" WHERE "&amp;'0. Instruções'!$D$42&amp;")Y",
"(SELECT "&amp;VLOOKUP(B242,'0. Instruções'!$C$27:$G$32,4,FALSE)&amp;" AS CHAVE_SIMUL1, "&amp;VLOOKUP(B242,'0. Instruções'!$C$27:$G$32,5,FALSE)&amp;" AS CHAVE_SIMUL2, "&amp;C242&amp;" AS CAMPO_SIMUL FROM "&amp;F242&amp;" WHERE "&amp;'0. Instruções'!$D$42&amp;")Y")</f>
        <v>(SELECT instrmnt_id AS CHAVE_SIMUL, cre_fnrp18 AS CAMPO_SIMUL FROM BU_LOANTAPE_WORK.LT002_INSTRUMENT WHERE ref_date='${ref_date}' AND nome_perimetro='Individual Local' AND segmento='ESTR' AND ambito='PM' AND entidade='00100')Y</v>
      </c>
      <c r="L242" s="32" t="str">
        <f>IF(VLOOKUP(B242,'0. Instruções'!$C$27:$G$32,5,FALSE)=0,
"ON X.CHAVE_IT=Y.CHAVE_SIMUL",
"ON X.CHAVE_IT1=Y.CHAVE_SIMUL1 AND X.CHAVE_IT2=Y.CHAVE_SIMUL2")</f>
        <v>ON X.CHAVE_IT=Y.CHAVE_SIMUL</v>
      </c>
      <c r="M242" s="32" t="str">
        <f>+IF(D242="Coerência",+IF(LEFT(H242,5)="FLOAT","SELECT '"&amp;UPPER(B242)&amp;"' AS TABELA, '"&amp;UPPER(D242)&amp;"' AS TIPOLOGIA_TESTE,'"&amp;E242&amp;"' AS TABELA_LT,'"&amp;F242&amp;"' AS TABELA_SIMUL,'"&amp;C242&amp;"'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"&amp;J242&amp;" INNER JOIN "&amp;K242&amp;" "&amp;L242,"SELECT '"&amp;UPPER(B242)&amp;"' AS TABELA, '"&amp;UPPER(D242)&amp;"' AS TIPOLOGIA_TESTE,'"&amp;E242&amp;"' AS TABELA_LT,'"&amp;F242&amp;"' AS TABELA_SIMUL,'"&amp;C242&amp;"'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"&amp;J242&amp;" INNER JOIN "&amp;K242&amp;" "&amp;L242))</f>
        <v>SELECT 'INSTRUMENT' AS TABELA, 'COERÊNCIA' AS TIPOLOGIA_TESTE,'CD_LOAN_TAPES_BCE.LT002_INSTRUMENT' AS TABELA_LT,'BU_LOANTAPE_WORK.LT002_INSTRUMENT' AS TABELA_SIMUL,'cre_fnrp18'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cre_fnrp18 AS CAMPO_IT FROM CD_LOAN_TAPES_BCE.LT002_INSTRUMENT WHERE ref_date='${ref_date}' AND nome_perimetro='Individual Local' AND segmento='ESTR' AND ambito='PM' AND entidade='00100')X INNER JOIN (SELECT instrmnt_id AS CHAVE_SIMUL, cre_fnrp18 AS CAMPO_SIMUL FROM BU_LOANTAPE_WORK.LT002_INSTRUMENT WHERE ref_date='${ref_date}' AND nome_perimetro='Individual Local' AND segmento='ESTR' AND ambito='PM' AND entidade='00100')Y ON X.CHAVE_IT=Y.CHAVE_SIMUL</v>
      </c>
      <c r="N242" s="33" t="str">
        <f t="shared" si="9"/>
        <v>UNION ALL SELECT 'INSTRUMENT' AS TABELA, 'COERÊNCIA' AS TIPOLOGIA_TESTE,'CD_LOAN_TAPES_BCE.LT002_INSTRUMENT' AS TABELA_LT,'BU_LOANTAPE_WORK.LT002_INSTRUMENT' AS TABELA_SIMUL,'cre_fnrp18'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cre_fnrp18 AS CAMPO_IT FROM CD_LOAN_TAPES_BCE.LT002_INSTRUMENT WHERE ref_date='${ref_date}' AND nome_perimetro='Individual Local' AND segmento='ESTR' AND ambito='PM' AND entidade='00100')X INNER JOIN (SELECT instrmnt_id AS CHAVE_SIMUL, cre_fnrp18 AS CAMPO_SIMUL FROM BU_LOANTAPE_WORK.LT002_INSTRUMENT WHERE ref_date='${ref_date}' AND nome_perimetro='Individual Local' AND segmento='ESTR' AND ambito='PM' AND entidade='00100')Y ON X.CHAVE_IT=Y.CHAVE_SIMUL</v>
      </c>
      <c r="O242" s="35" t="s">
        <v>35</v>
      </c>
    </row>
    <row r="243" spans="1:15">
      <c r="A243" s="57" t="str">
        <f t="shared" si="8"/>
        <v>Instrumentsme_fnrp18</v>
      </c>
      <c r="B243" s="32" t="s">
        <v>9</v>
      </c>
      <c r="C243" s="32" t="s">
        <v>410</v>
      </c>
      <c r="D243" s="32" t="s">
        <v>5</v>
      </c>
      <c r="E243" s="32" t="str">
        <f>+UPPER('0. Instruções'!$D$35&amp;"."&amp;VLOOKUP(B243,'0. Instruções'!$C$27:$D$32,2,FALSE))</f>
        <v>CD_LOAN_TAPES_BCE.LT002_INSTRUMENT</v>
      </c>
      <c r="F243" s="32" t="str">
        <f>+UPPER('0. Instruções'!$D$36&amp;"."&amp;VLOOKUP(B243,'0. Instruções'!$C$27:$E$32,3,FALSE))</f>
        <v>BU_LOANTAPE_WORK.LT002_INSTRUMENT</v>
      </c>
      <c r="H243" s="32"/>
      <c r="I243" s="32"/>
      <c r="J243" s="32" t="str">
        <f>IF(VLOOKUP(B243,'0. Instruções'!$C$27:$G$32,5,FALSE)=0,
"(SELECT "&amp;VLOOKUP(B243,'0. Instruções'!$C$27:$G$32,4,FALSE)&amp;" AS CHAVE_IT, "&amp;C243&amp;" AS CAMPO_IT FROM "&amp;E243&amp;" WHERE "&amp;'0. Instruções'!$D$43&amp;")X",
"(SELECT "&amp;VLOOKUP(B243,'0. Instruções'!$C$27:$G$32,4,FALSE)&amp;" AS CHAVE_IT1, "&amp;VLOOKUP(B243,'0. Instruções'!$C$27:$G$32,5,FALSE)&amp;" AS CHAVE_IT2, "&amp;C243&amp;" AS CAMPO_IT FROM "&amp;E243&amp;" WHERE "&amp;'0. Instruções'!$D$43&amp;")X")</f>
        <v>(SELECT instrmnt_id AS CHAVE_IT, sme_fnrp18 AS CAMPO_IT FROM CD_LOAN_TAPES_BCE.LT002_INSTRUMENT WHERE ref_date='${ref_date}' AND nome_perimetro='Individual Local' AND segmento='ESTR' AND ambito='PM' AND entidade='00100')X</v>
      </c>
      <c r="K243" s="32" t="str">
        <f>IF(VLOOKUP(B243,'0. Instruções'!$C$27:$G$32,5,FALSE)=0,
"(SELECT "&amp;VLOOKUP(B243,'0. Instruções'!$C$27:$G$32,4,FALSE)&amp;" AS CHAVE_SIMUL, "&amp;C243&amp;" AS CAMPO_SIMUL FROM "&amp;F243&amp;" WHERE "&amp;'0. Instruções'!$D$42&amp;")Y",
"(SELECT "&amp;VLOOKUP(B243,'0. Instruções'!$C$27:$G$32,4,FALSE)&amp;" AS CHAVE_SIMUL1, "&amp;VLOOKUP(B243,'0. Instruções'!$C$27:$G$32,5,FALSE)&amp;" AS CHAVE_SIMUL2, "&amp;C243&amp;" AS CAMPO_SIMUL FROM "&amp;F243&amp;" WHERE "&amp;'0. Instruções'!$D$42&amp;")Y")</f>
        <v>(SELECT instrmnt_id AS CHAVE_SIMUL, sme_fnrp18 AS CAMPO_SIMUL FROM BU_LOANTAPE_WORK.LT002_INSTRUMENT WHERE ref_date='${ref_date}' AND nome_perimetro='Individual Local' AND segmento='ESTR' AND ambito='PM' AND entidade='00100')Y</v>
      </c>
      <c r="L243" s="32" t="str">
        <f>IF(VLOOKUP(B243,'0. Instruções'!$C$27:$G$32,5,FALSE)=0,
"ON X.CHAVE_IT=Y.CHAVE_SIMUL",
"ON X.CHAVE_IT1=Y.CHAVE_SIMUL1 AND X.CHAVE_IT2=Y.CHAVE_SIMUL2")</f>
        <v>ON X.CHAVE_IT=Y.CHAVE_SIMUL</v>
      </c>
      <c r="M243" s="32" t="str">
        <f>+IF(D243="Coerência",+IF(LEFT(H243,5)="FLOAT","SELECT '"&amp;UPPER(B243)&amp;"' AS TABELA, '"&amp;UPPER(D243)&amp;"' AS TIPOLOGIA_TESTE,'"&amp;E243&amp;"' AS TABELA_LT,'"&amp;F243&amp;"' AS TABELA_SIMUL,'"&amp;C243&amp;"'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"&amp;J243&amp;" INNER JOIN "&amp;K243&amp;" "&amp;L243,"SELECT '"&amp;UPPER(B243)&amp;"' AS TABELA, '"&amp;UPPER(D243)&amp;"' AS TIPOLOGIA_TESTE,'"&amp;E243&amp;"' AS TABELA_LT,'"&amp;F243&amp;"' AS TABELA_SIMUL,'"&amp;C243&amp;"'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"&amp;J243&amp;" INNER JOIN "&amp;K243&amp;" "&amp;L243))</f>
        <v>SELECT 'INSTRUMENT' AS TABELA, 'COERÊNCIA' AS TIPOLOGIA_TESTE,'CD_LOAN_TAPES_BCE.LT002_INSTRUMENT' AS TABELA_LT,'BU_LOANTAPE_WORK.LT002_INSTRUMENT' AS TABELA_SIMUL,'sme_fnrp18'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sme_fnrp18 AS CAMPO_IT FROM CD_LOAN_TAPES_BCE.LT002_INSTRUMENT WHERE ref_date='${ref_date}' AND nome_perimetro='Individual Local' AND segmento='ESTR' AND ambito='PM' AND entidade='00100')X INNER JOIN (SELECT instrmnt_id AS CHAVE_SIMUL, sme_fnrp18 AS CAMPO_SIMUL FROM BU_LOANTAPE_WORK.LT002_INSTRUMENT WHERE ref_date='${ref_date}' AND nome_perimetro='Individual Local' AND segmento='ESTR' AND ambito='PM' AND entidade='00100')Y ON X.CHAVE_IT=Y.CHAVE_SIMUL</v>
      </c>
      <c r="N243" s="33" t="str">
        <f t="shared" si="9"/>
        <v>UNION ALL SELECT 'INSTRUMENT' AS TABELA, 'COERÊNCIA' AS TIPOLOGIA_TESTE,'CD_LOAN_TAPES_BCE.LT002_INSTRUMENT' AS TABELA_LT,'BU_LOANTAPE_WORK.LT002_INSTRUMENT' AS TABELA_SIMUL,'sme_fnrp18'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sme_fnrp18 AS CAMPO_IT FROM CD_LOAN_TAPES_BCE.LT002_INSTRUMENT WHERE ref_date='${ref_date}' AND nome_perimetro='Individual Local' AND segmento='ESTR' AND ambito='PM' AND entidade='00100')X INNER JOIN (SELECT instrmnt_id AS CHAVE_SIMUL, sme_fnrp18 AS CAMPO_SIMUL FROM BU_LOANTAPE_WORK.LT002_INSTRUMENT WHERE ref_date='${ref_date}' AND nome_perimetro='Individual Local' AND segmento='ESTR' AND ambito='PM' AND entidade='00100')Y ON X.CHAVE_IT=Y.CHAVE_SIMUL</v>
      </c>
      <c r="O243" s="35" t="s">
        <v>35</v>
      </c>
    </row>
    <row r="244" spans="1:15">
      <c r="A244" s="57" t="str">
        <f t="shared" si="8"/>
        <v>Instrumentrre_fnrp18</v>
      </c>
      <c r="B244" s="32" t="s">
        <v>9</v>
      </c>
      <c r="C244" s="32" t="s">
        <v>411</v>
      </c>
      <c r="D244" s="32" t="s">
        <v>5</v>
      </c>
      <c r="E244" s="32" t="str">
        <f>+UPPER('0. Instruções'!$D$35&amp;"."&amp;VLOOKUP(B244,'0. Instruções'!$C$27:$D$32,2,FALSE))</f>
        <v>CD_LOAN_TAPES_BCE.LT002_INSTRUMENT</v>
      </c>
      <c r="F244" s="32" t="str">
        <f>+UPPER('0. Instruções'!$D$36&amp;"."&amp;VLOOKUP(B244,'0. Instruções'!$C$27:$E$32,3,FALSE))</f>
        <v>BU_LOANTAPE_WORK.LT002_INSTRUMENT</v>
      </c>
      <c r="H244" s="32"/>
      <c r="I244" s="32"/>
      <c r="J244" s="32" t="str">
        <f>IF(VLOOKUP(B244,'0. Instruções'!$C$27:$G$32,5,FALSE)=0,
"(SELECT "&amp;VLOOKUP(B244,'0. Instruções'!$C$27:$G$32,4,FALSE)&amp;" AS CHAVE_IT, "&amp;C244&amp;" AS CAMPO_IT FROM "&amp;E244&amp;" WHERE "&amp;'0. Instruções'!$D$43&amp;")X",
"(SELECT "&amp;VLOOKUP(B244,'0. Instruções'!$C$27:$G$32,4,FALSE)&amp;" AS CHAVE_IT1, "&amp;VLOOKUP(B244,'0. Instruções'!$C$27:$G$32,5,FALSE)&amp;" AS CHAVE_IT2, "&amp;C244&amp;" AS CAMPO_IT FROM "&amp;E244&amp;" WHERE "&amp;'0. Instruções'!$D$43&amp;")X")</f>
        <v>(SELECT instrmnt_id AS CHAVE_IT, rre_fnrp18 AS CAMPO_IT FROM CD_LOAN_TAPES_BCE.LT002_INSTRUMENT WHERE ref_date='${ref_date}' AND nome_perimetro='Individual Local' AND segmento='ESTR' AND ambito='PM' AND entidade='00100')X</v>
      </c>
      <c r="K244" s="32" t="str">
        <f>IF(VLOOKUP(B244,'0. Instruções'!$C$27:$G$32,5,FALSE)=0,
"(SELECT "&amp;VLOOKUP(B244,'0. Instruções'!$C$27:$G$32,4,FALSE)&amp;" AS CHAVE_SIMUL, "&amp;C244&amp;" AS CAMPO_SIMUL FROM "&amp;F244&amp;" WHERE "&amp;'0. Instruções'!$D$42&amp;")Y",
"(SELECT "&amp;VLOOKUP(B244,'0. Instruções'!$C$27:$G$32,4,FALSE)&amp;" AS CHAVE_SIMUL1, "&amp;VLOOKUP(B244,'0. Instruções'!$C$27:$G$32,5,FALSE)&amp;" AS CHAVE_SIMUL2, "&amp;C244&amp;" AS CAMPO_SIMUL FROM "&amp;F244&amp;" WHERE "&amp;'0. Instruções'!$D$42&amp;")Y")</f>
        <v>(SELECT instrmnt_id AS CHAVE_SIMUL, rre_fnrp18 AS CAMPO_SIMUL FROM BU_LOANTAPE_WORK.LT002_INSTRUMENT WHERE ref_date='${ref_date}' AND nome_perimetro='Individual Local' AND segmento='ESTR' AND ambito='PM' AND entidade='00100')Y</v>
      </c>
      <c r="L244" s="32" t="str">
        <f>IF(VLOOKUP(B244,'0. Instruções'!$C$27:$G$32,5,FALSE)=0,
"ON X.CHAVE_IT=Y.CHAVE_SIMUL",
"ON X.CHAVE_IT1=Y.CHAVE_SIMUL1 AND X.CHAVE_IT2=Y.CHAVE_SIMUL2")</f>
        <v>ON X.CHAVE_IT=Y.CHAVE_SIMUL</v>
      </c>
      <c r="M244" s="32" t="str">
        <f>+IF(D244="Coerência",+IF(LEFT(H244,5)="FLOAT","SELECT '"&amp;UPPER(B244)&amp;"' AS TABELA, '"&amp;UPPER(D244)&amp;"' AS TIPOLOGIA_TESTE,'"&amp;E244&amp;"' AS TABELA_LT,'"&amp;F244&amp;"' AS TABELA_SIMUL,'"&amp;C244&amp;"'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"&amp;J244&amp;" INNER JOIN "&amp;K244&amp;" "&amp;L244,"SELECT '"&amp;UPPER(B244)&amp;"' AS TABELA, '"&amp;UPPER(D244)&amp;"' AS TIPOLOGIA_TESTE,'"&amp;E244&amp;"' AS TABELA_LT,'"&amp;F244&amp;"' AS TABELA_SIMUL,'"&amp;C244&amp;"'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"&amp;J244&amp;" INNER JOIN "&amp;K244&amp;" "&amp;L244))</f>
        <v>SELECT 'INSTRUMENT' AS TABELA, 'COERÊNCIA' AS TIPOLOGIA_TESTE,'CD_LOAN_TAPES_BCE.LT002_INSTRUMENT' AS TABELA_LT,'BU_LOANTAPE_WORK.LT002_INSTRUMENT' AS TABELA_SIMUL,'rre_fnrp18'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rre_fnrp18 AS CAMPO_IT FROM CD_LOAN_TAPES_BCE.LT002_INSTRUMENT WHERE ref_date='${ref_date}' AND nome_perimetro='Individual Local' AND segmento='ESTR' AND ambito='PM' AND entidade='00100')X INNER JOIN (SELECT instrmnt_id AS CHAVE_SIMUL, rre_fnrp18 AS CAMPO_SIMUL FROM BU_LOANTAPE_WORK.LT002_INSTRUMENT WHERE ref_date='${ref_date}' AND nome_perimetro='Individual Local' AND segmento='ESTR' AND ambito='PM' AND entidade='00100')Y ON X.CHAVE_IT=Y.CHAVE_SIMUL</v>
      </c>
      <c r="N244" s="33" t="str">
        <f t="shared" si="9"/>
        <v>UNION ALL SELECT 'INSTRUMENT' AS TABELA, 'COERÊNCIA' AS TIPOLOGIA_TESTE,'CD_LOAN_TAPES_BCE.LT002_INSTRUMENT' AS TABELA_LT,'BU_LOANTAPE_WORK.LT002_INSTRUMENT' AS TABELA_SIMUL,'rre_fnrp18'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rre_fnrp18 AS CAMPO_IT FROM CD_LOAN_TAPES_BCE.LT002_INSTRUMENT WHERE ref_date='${ref_date}' AND nome_perimetro='Individual Local' AND segmento='ESTR' AND ambito='PM' AND entidade='00100')X INNER JOIN (SELECT instrmnt_id AS CHAVE_SIMUL, rre_fnrp18 AS CAMPO_SIMUL FROM BU_LOANTAPE_WORK.LT002_INSTRUMENT WHERE ref_date='${ref_date}' AND nome_perimetro='Individual Local' AND segmento='ESTR' AND ambito='PM' AND entidade='00100')Y ON X.CHAVE_IT=Y.CHAVE_SIMUL</v>
      </c>
      <c r="O244" s="35" t="s">
        <v>35</v>
      </c>
    </row>
    <row r="245" spans="1:15">
      <c r="A245" s="57" t="str">
        <f t="shared" si="8"/>
        <v>Instrumentcnsmptn_fnrp18</v>
      </c>
      <c r="B245" s="32" t="s">
        <v>9</v>
      </c>
      <c r="C245" s="32" t="s">
        <v>412</v>
      </c>
      <c r="D245" s="32" t="s">
        <v>5</v>
      </c>
      <c r="E245" s="32" t="str">
        <f>+UPPER('0. Instruções'!$D$35&amp;"."&amp;VLOOKUP(B245,'0. Instruções'!$C$27:$D$32,2,FALSE))</f>
        <v>CD_LOAN_TAPES_BCE.LT002_INSTRUMENT</v>
      </c>
      <c r="F245" s="32" t="str">
        <f>+UPPER('0. Instruções'!$D$36&amp;"."&amp;VLOOKUP(B245,'0. Instruções'!$C$27:$E$32,3,FALSE))</f>
        <v>BU_LOANTAPE_WORK.LT002_INSTRUMENT</v>
      </c>
      <c r="H245" s="32"/>
      <c r="I245" s="32"/>
      <c r="J245" s="32" t="str">
        <f>IF(VLOOKUP(B245,'0. Instruções'!$C$27:$G$32,5,FALSE)=0,
"(SELECT "&amp;VLOOKUP(B245,'0. Instruções'!$C$27:$G$32,4,FALSE)&amp;" AS CHAVE_IT, "&amp;C245&amp;" AS CAMPO_IT FROM "&amp;E245&amp;" WHERE "&amp;'0. Instruções'!$D$43&amp;")X",
"(SELECT "&amp;VLOOKUP(B245,'0. Instruções'!$C$27:$G$32,4,FALSE)&amp;" AS CHAVE_IT1, "&amp;VLOOKUP(B245,'0. Instruções'!$C$27:$G$32,5,FALSE)&amp;" AS CHAVE_IT2, "&amp;C245&amp;" AS CAMPO_IT FROM "&amp;E245&amp;" WHERE "&amp;'0. Instruções'!$D$43&amp;")X")</f>
        <v>(SELECT instrmnt_id AS CHAVE_IT, cnsmptn_fnrp18 AS CAMPO_IT FROM CD_LOAN_TAPES_BCE.LT002_INSTRUMENT WHERE ref_date='${ref_date}' AND nome_perimetro='Individual Local' AND segmento='ESTR' AND ambito='PM' AND entidade='00100')X</v>
      </c>
      <c r="K245" s="32" t="str">
        <f>IF(VLOOKUP(B245,'0. Instruções'!$C$27:$G$32,5,FALSE)=0,
"(SELECT "&amp;VLOOKUP(B245,'0. Instruções'!$C$27:$G$32,4,FALSE)&amp;" AS CHAVE_SIMUL, "&amp;C245&amp;" AS CAMPO_SIMUL FROM "&amp;F245&amp;" WHERE "&amp;'0. Instruções'!$D$42&amp;")Y",
"(SELECT "&amp;VLOOKUP(B245,'0. Instruções'!$C$27:$G$32,4,FALSE)&amp;" AS CHAVE_SIMUL1, "&amp;VLOOKUP(B245,'0. Instruções'!$C$27:$G$32,5,FALSE)&amp;" AS CHAVE_SIMUL2, "&amp;C245&amp;" AS CAMPO_SIMUL FROM "&amp;F245&amp;" WHERE "&amp;'0. Instruções'!$D$42&amp;")Y")</f>
        <v>(SELECT instrmnt_id AS CHAVE_SIMUL, cnsmptn_fnrp18 AS CAMPO_SIMUL FROM BU_LOANTAPE_WORK.LT002_INSTRUMENT WHERE ref_date='${ref_date}' AND nome_perimetro='Individual Local' AND segmento='ESTR' AND ambito='PM' AND entidade='00100')Y</v>
      </c>
      <c r="L245" s="32" t="str">
        <f>IF(VLOOKUP(B245,'0. Instruções'!$C$27:$G$32,5,FALSE)=0,
"ON X.CHAVE_IT=Y.CHAVE_SIMUL",
"ON X.CHAVE_IT1=Y.CHAVE_SIMUL1 AND X.CHAVE_IT2=Y.CHAVE_SIMUL2")</f>
        <v>ON X.CHAVE_IT=Y.CHAVE_SIMUL</v>
      </c>
      <c r="M245" s="32" t="str">
        <f>+IF(D245="Coerência",+IF(LEFT(H245,5)="FLOAT","SELECT '"&amp;UPPER(B245)&amp;"' AS TABELA, '"&amp;UPPER(D245)&amp;"' AS TIPOLOGIA_TESTE,'"&amp;E245&amp;"' AS TABELA_LT,'"&amp;F245&amp;"' AS TABELA_SIMUL,'"&amp;C245&amp;"'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"&amp;J245&amp;" INNER JOIN "&amp;K245&amp;" "&amp;L245,"SELECT '"&amp;UPPER(B245)&amp;"' AS TABELA, '"&amp;UPPER(D245)&amp;"' AS TIPOLOGIA_TESTE,'"&amp;E245&amp;"' AS TABELA_LT,'"&amp;F245&amp;"' AS TABELA_SIMUL,'"&amp;C245&amp;"'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"&amp;J245&amp;" INNER JOIN "&amp;K245&amp;" "&amp;L245))</f>
        <v>SELECT 'INSTRUMENT' AS TABELA, 'COERÊNCIA' AS TIPOLOGIA_TESTE,'CD_LOAN_TAPES_BCE.LT002_INSTRUMENT' AS TABELA_LT,'BU_LOANTAPE_WORK.LT002_INSTRUMENT' AS TABELA_SIMUL,'cnsmptn_fnrp18'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cnsmptn_fnrp18 AS CAMPO_IT FROM CD_LOAN_TAPES_BCE.LT002_INSTRUMENT WHERE ref_date='${ref_date}' AND nome_perimetro='Individual Local' AND segmento='ESTR' AND ambito='PM' AND entidade='00100')X INNER JOIN (SELECT instrmnt_id AS CHAVE_SIMUL, cnsmptn_fnrp18 AS CAMPO_SIMUL FROM BU_LOANTAPE_WORK.LT002_INSTRUMENT WHERE ref_date='${ref_date}' AND nome_perimetro='Individual Local' AND segmento='ESTR' AND ambito='PM' AND entidade='00100')Y ON X.CHAVE_IT=Y.CHAVE_SIMUL</v>
      </c>
      <c r="N245" s="33" t="str">
        <f t="shared" si="9"/>
        <v>UNION ALL SELECT 'INSTRUMENT' AS TABELA, 'COERÊNCIA' AS TIPOLOGIA_TESTE,'CD_LOAN_TAPES_BCE.LT002_INSTRUMENT' AS TABELA_LT,'BU_LOANTAPE_WORK.LT002_INSTRUMENT' AS TABELA_SIMUL,'cnsmptn_fnrp18'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cnsmptn_fnrp18 AS CAMPO_IT FROM CD_LOAN_TAPES_BCE.LT002_INSTRUMENT WHERE ref_date='${ref_date}' AND nome_perimetro='Individual Local' AND segmento='ESTR' AND ambito='PM' AND entidade='00100')X INNER JOIN (SELECT instrmnt_id AS CHAVE_SIMUL, cnsmptn_fnrp18 AS CAMPO_SIMUL FROM BU_LOANTAPE_WORK.LT002_INSTRUMENT WHERE ref_date='${ref_date}' AND nome_perimetro='Individual Local' AND segmento='ESTR' AND ambito='PM' AND entidade='00100')Y ON X.CHAVE_IT=Y.CHAVE_SIMUL</v>
      </c>
      <c r="O245" s="35" t="s">
        <v>35</v>
      </c>
    </row>
    <row r="246" spans="1:15">
      <c r="A246" s="57" t="str">
        <f t="shared" si="8"/>
        <v>Instrumentlvrg_fnnc_flg</v>
      </c>
      <c r="B246" s="32" t="s">
        <v>9</v>
      </c>
      <c r="C246" s="32" t="s">
        <v>413</v>
      </c>
      <c r="D246" s="32" t="s">
        <v>5</v>
      </c>
      <c r="E246" s="32" t="str">
        <f>+UPPER('0. Instruções'!$D$35&amp;"."&amp;VLOOKUP(B246,'0. Instruções'!$C$27:$D$32,2,FALSE))</f>
        <v>CD_LOAN_TAPES_BCE.LT002_INSTRUMENT</v>
      </c>
      <c r="F246" s="32" t="str">
        <f>+UPPER('0. Instruções'!$D$36&amp;"."&amp;VLOOKUP(B246,'0. Instruções'!$C$27:$E$32,3,FALSE))</f>
        <v>BU_LOANTAPE_WORK.LT002_INSTRUMENT</v>
      </c>
      <c r="H246" s="32"/>
      <c r="I246" s="32"/>
      <c r="J246" s="32" t="str">
        <f>IF(VLOOKUP(B246,'0. Instruções'!$C$27:$G$32,5,FALSE)=0,
"(SELECT "&amp;VLOOKUP(B246,'0. Instruções'!$C$27:$G$32,4,FALSE)&amp;" AS CHAVE_IT, "&amp;C246&amp;" AS CAMPO_IT FROM "&amp;E246&amp;" WHERE "&amp;'0. Instruções'!$D$43&amp;")X",
"(SELECT "&amp;VLOOKUP(B246,'0. Instruções'!$C$27:$G$32,4,FALSE)&amp;" AS CHAVE_IT1, "&amp;VLOOKUP(B246,'0. Instruções'!$C$27:$G$32,5,FALSE)&amp;" AS CHAVE_IT2, "&amp;C246&amp;" AS CAMPO_IT FROM "&amp;E246&amp;" WHERE "&amp;'0. Instruções'!$D$43&amp;")X")</f>
        <v>(SELECT instrmnt_id AS CHAVE_IT, lvrg_fnnc_flg AS CAMPO_IT FROM CD_LOAN_TAPES_BCE.LT002_INSTRUMENT WHERE ref_date='${ref_date}' AND nome_perimetro='Individual Local' AND segmento='ESTR' AND ambito='PM' AND entidade='00100')X</v>
      </c>
      <c r="K246" s="32" t="str">
        <f>IF(VLOOKUP(B246,'0. Instruções'!$C$27:$G$32,5,FALSE)=0,
"(SELECT "&amp;VLOOKUP(B246,'0. Instruções'!$C$27:$G$32,4,FALSE)&amp;" AS CHAVE_SIMUL, "&amp;C246&amp;" AS CAMPO_SIMUL FROM "&amp;F246&amp;" WHERE "&amp;'0. Instruções'!$D$42&amp;")Y",
"(SELECT "&amp;VLOOKUP(B246,'0. Instruções'!$C$27:$G$32,4,FALSE)&amp;" AS CHAVE_SIMUL1, "&amp;VLOOKUP(B246,'0. Instruções'!$C$27:$G$32,5,FALSE)&amp;" AS CHAVE_SIMUL2, "&amp;C246&amp;" AS CAMPO_SIMUL FROM "&amp;F246&amp;" WHERE "&amp;'0. Instruções'!$D$42&amp;")Y")</f>
        <v>(SELECT instrmnt_id AS CHAVE_SIMUL, lvrg_fnnc_flg AS CAMPO_SIMUL FROM BU_LOANTAPE_WORK.LT002_INSTRUMENT WHERE ref_date='${ref_date}' AND nome_perimetro='Individual Local' AND segmento='ESTR' AND ambito='PM' AND entidade='00100')Y</v>
      </c>
      <c r="L246" s="32" t="str">
        <f>IF(VLOOKUP(B246,'0. Instruções'!$C$27:$G$32,5,FALSE)=0,
"ON X.CHAVE_IT=Y.CHAVE_SIMUL",
"ON X.CHAVE_IT1=Y.CHAVE_SIMUL1 AND X.CHAVE_IT2=Y.CHAVE_SIMUL2")</f>
        <v>ON X.CHAVE_IT=Y.CHAVE_SIMUL</v>
      </c>
      <c r="M246" s="32" t="str">
        <f>+IF(D246="Coerência",+IF(LEFT(H246,5)="FLOAT","SELECT '"&amp;UPPER(B246)&amp;"' AS TABELA, '"&amp;UPPER(D246)&amp;"' AS TIPOLOGIA_TESTE,'"&amp;E246&amp;"' AS TABELA_LT,'"&amp;F246&amp;"' AS TABELA_SIMUL,'"&amp;C246&amp;"'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"&amp;J246&amp;" INNER JOIN "&amp;K246&amp;" "&amp;L246,"SELECT '"&amp;UPPER(B246)&amp;"' AS TABELA, '"&amp;UPPER(D246)&amp;"' AS TIPOLOGIA_TESTE,'"&amp;E246&amp;"' AS TABELA_LT,'"&amp;F246&amp;"' AS TABELA_SIMUL,'"&amp;C246&amp;"'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"&amp;J246&amp;" INNER JOIN "&amp;K246&amp;" "&amp;L246))</f>
        <v>SELECT 'INSTRUMENT' AS TABELA, 'COERÊNCIA' AS TIPOLOGIA_TESTE,'CD_LOAN_TAPES_BCE.LT002_INSTRUMENT' AS TABELA_LT,'BU_LOANTAPE_WORK.LT002_INSTRUMENT' AS TABELA_SIMUL,'lvrg_fnnc_flg'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lvrg_fnnc_flg AS CAMPO_IT FROM CD_LOAN_TAPES_BCE.LT002_INSTRUMENT WHERE ref_date='${ref_date}' AND nome_perimetro='Individual Local' AND segmento='ESTR' AND ambito='PM' AND entidade='00100')X INNER JOIN (SELECT instrmnt_id AS CHAVE_SIMUL, lvrg_fnnc_flg AS CAMPO_SIMUL FROM BU_LOANTAPE_WORK.LT002_INSTRUMENT WHERE ref_date='${ref_date}' AND nome_perimetro='Individual Local' AND segmento='ESTR' AND ambito='PM' AND entidade='00100')Y ON X.CHAVE_IT=Y.CHAVE_SIMUL</v>
      </c>
      <c r="N246" s="33" t="str">
        <f t="shared" si="9"/>
        <v>UNION ALL SELECT 'INSTRUMENT' AS TABELA, 'COERÊNCIA' AS TIPOLOGIA_TESTE,'CD_LOAN_TAPES_BCE.LT002_INSTRUMENT' AS TABELA_LT,'BU_LOANTAPE_WORK.LT002_INSTRUMENT' AS TABELA_SIMUL,'lvrg_fnnc_flg'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lvrg_fnnc_flg AS CAMPO_IT FROM CD_LOAN_TAPES_BCE.LT002_INSTRUMENT WHERE ref_date='${ref_date}' AND nome_perimetro='Individual Local' AND segmento='ESTR' AND ambito='PM' AND entidade='00100')X INNER JOIN (SELECT instrmnt_id AS CHAVE_SIMUL, lvrg_fnnc_flg AS CAMPO_SIMUL FROM BU_LOANTAPE_WORK.LT002_INSTRUMENT WHERE ref_date='${ref_date}' AND nome_perimetro='Individual Local' AND segmento='ESTR' AND ambito='PM' AND entidade='00100')Y ON X.CHAVE_IT=Y.CHAVE_SIMUL</v>
      </c>
      <c r="O246" s="35" t="s">
        <v>35</v>
      </c>
    </row>
    <row r="247" spans="1:15">
      <c r="A247" s="57" t="str">
        <f t="shared" si="8"/>
        <v>Instrumentintrnl_sgmnt_ifrs9</v>
      </c>
      <c r="B247" s="32" t="s">
        <v>9</v>
      </c>
      <c r="C247" s="32" t="s">
        <v>414</v>
      </c>
      <c r="D247" s="32" t="s">
        <v>5</v>
      </c>
      <c r="E247" s="32" t="str">
        <f>+UPPER('0. Instruções'!$D$35&amp;"."&amp;VLOOKUP(B247,'0. Instruções'!$C$27:$D$32,2,FALSE))</f>
        <v>CD_LOAN_TAPES_BCE.LT002_INSTRUMENT</v>
      </c>
      <c r="F247" s="32" t="str">
        <f>+UPPER('0. Instruções'!$D$36&amp;"."&amp;VLOOKUP(B247,'0. Instruções'!$C$27:$E$32,3,FALSE))</f>
        <v>BU_LOANTAPE_WORK.LT002_INSTRUMENT</v>
      </c>
      <c r="H247" s="32"/>
      <c r="I247" s="32"/>
      <c r="J247" s="32" t="str">
        <f>IF(VLOOKUP(B247,'0. Instruções'!$C$27:$G$32,5,FALSE)=0,
"(SELECT "&amp;VLOOKUP(B247,'0. Instruções'!$C$27:$G$32,4,FALSE)&amp;" AS CHAVE_IT, "&amp;C247&amp;" AS CAMPO_IT FROM "&amp;E247&amp;" WHERE "&amp;'0. Instruções'!$D$43&amp;")X",
"(SELECT "&amp;VLOOKUP(B247,'0. Instruções'!$C$27:$G$32,4,FALSE)&amp;" AS CHAVE_IT1, "&amp;VLOOKUP(B247,'0. Instruções'!$C$27:$G$32,5,FALSE)&amp;" AS CHAVE_IT2, "&amp;C247&amp;" AS CAMPO_IT FROM "&amp;E247&amp;" WHERE "&amp;'0. Instruções'!$D$43&amp;")X")</f>
        <v>(SELECT instrmnt_id AS CHAVE_IT, intrnl_sgmnt_ifrs9 AS CAMPO_IT FROM CD_LOAN_TAPES_BCE.LT002_INSTRUMENT WHERE ref_date='${ref_date}' AND nome_perimetro='Individual Local' AND segmento='ESTR' AND ambito='PM' AND entidade='00100')X</v>
      </c>
      <c r="K247" s="32" t="str">
        <f>IF(VLOOKUP(B247,'0. Instruções'!$C$27:$G$32,5,FALSE)=0,
"(SELECT "&amp;VLOOKUP(B247,'0. Instruções'!$C$27:$G$32,4,FALSE)&amp;" AS CHAVE_SIMUL, "&amp;C247&amp;" AS CAMPO_SIMUL FROM "&amp;F247&amp;" WHERE "&amp;'0. Instruções'!$D$42&amp;")Y",
"(SELECT "&amp;VLOOKUP(B247,'0. Instruções'!$C$27:$G$32,4,FALSE)&amp;" AS CHAVE_SIMUL1, "&amp;VLOOKUP(B247,'0. Instruções'!$C$27:$G$32,5,FALSE)&amp;" AS CHAVE_SIMUL2, "&amp;C247&amp;" AS CAMPO_SIMUL FROM "&amp;F247&amp;" WHERE "&amp;'0. Instruções'!$D$42&amp;")Y")</f>
        <v>(SELECT instrmnt_id AS CHAVE_SIMUL, intrnl_sgmnt_ifrs9 AS CAMPO_SIMUL FROM BU_LOANTAPE_WORK.LT002_INSTRUMENT WHERE ref_date='${ref_date}' AND nome_perimetro='Individual Local' AND segmento='ESTR' AND ambito='PM' AND entidade='00100')Y</v>
      </c>
      <c r="L247" s="32" t="str">
        <f>IF(VLOOKUP(B247,'0. Instruções'!$C$27:$G$32,5,FALSE)=0,
"ON X.CHAVE_IT=Y.CHAVE_SIMUL",
"ON X.CHAVE_IT1=Y.CHAVE_SIMUL1 AND X.CHAVE_IT2=Y.CHAVE_SIMUL2")</f>
        <v>ON X.CHAVE_IT=Y.CHAVE_SIMUL</v>
      </c>
      <c r="M247" s="32" t="str">
        <f>+IF(D247="Coerência",+IF(LEFT(H247,5)="FLOAT","SELECT '"&amp;UPPER(B247)&amp;"' AS TABELA, '"&amp;UPPER(D247)&amp;"' AS TIPOLOGIA_TESTE,'"&amp;E247&amp;"' AS TABELA_LT,'"&amp;F247&amp;"' AS TABELA_SIMUL,'"&amp;C247&amp;"'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"&amp;J247&amp;" INNER JOIN "&amp;K247&amp;" "&amp;L247,"SELECT '"&amp;UPPER(B247)&amp;"' AS TABELA, '"&amp;UPPER(D247)&amp;"' AS TIPOLOGIA_TESTE,'"&amp;E247&amp;"' AS TABELA_LT,'"&amp;F247&amp;"' AS TABELA_SIMUL,'"&amp;C247&amp;"'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"&amp;J247&amp;" INNER JOIN "&amp;K247&amp;" "&amp;L247))</f>
        <v>SELECT 'INSTRUMENT' AS TABELA, 'COERÊNCIA' AS TIPOLOGIA_TESTE,'CD_LOAN_TAPES_BCE.LT002_INSTRUMENT' AS TABELA_LT,'BU_LOANTAPE_WORK.LT002_INSTRUMENT' AS TABELA_SIMUL,'intrnl_sgmnt_ifrs9'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intrnl_sgmnt_ifrs9 AS CAMPO_IT FROM CD_LOAN_TAPES_BCE.LT002_INSTRUMENT WHERE ref_date='${ref_date}' AND nome_perimetro='Individual Local' AND segmento='ESTR' AND ambito='PM' AND entidade='00100')X INNER JOIN (SELECT instrmnt_id AS CHAVE_SIMUL, intrnl_sgmnt_ifrs9 AS CAMPO_SIMUL FROM BU_LOANTAPE_WORK.LT002_INSTRUMENT WHERE ref_date='${ref_date}' AND nome_perimetro='Individual Local' AND segmento='ESTR' AND ambito='PM' AND entidade='00100')Y ON X.CHAVE_IT=Y.CHAVE_SIMUL</v>
      </c>
      <c r="N247" s="33" t="str">
        <f t="shared" si="9"/>
        <v>UNION ALL SELECT 'INSTRUMENT' AS TABELA, 'COERÊNCIA' AS TIPOLOGIA_TESTE,'CD_LOAN_TAPES_BCE.LT002_INSTRUMENT' AS TABELA_LT,'BU_LOANTAPE_WORK.LT002_INSTRUMENT' AS TABELA_SIMUL,'intrnl_sgmnt_ifrs9'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intrnl_sgmnt_ifrs9 AS CAMPO_IT FROM CD_LOAN_TAPES_BCE.LT002_INSTRUMENT WHERE ref_date='${ref_date}' AND nome_perimetro='Individual Local' AND segmento='ESTR' AND ambito='PM' AND entidade='00100')X INNER JOIN (SELECT instrmnt_id AS CHAVE_SIMUL, intrnl_sgmnt_ifrs9 AS CAMPO_SIMUL FROM BU_LOANTAPE_WORK.LT002_INSTRUMENT WHERE ref_date='${ref_date}' AND nome_perimetro='Individual Local' AND segmento='ESTR' AND ambito='PM' AND entidade='00100')Y ON X.CHAVE_IT=Y.CHAVE_SIMUL</v>
      </c>
      <c r="O247" s="35" t="s">
        <v>35</v>
      </c>
    </row>
    <row r="248" spans="1:15">
      <c r="A248" s="57" t="str">
        <f t="shared" si="8"/>
        <v>Instrumentintrnl_sgmnt_cat_msta</v>
      </c>
      <c r="B248" s="32" t="s">
        <v>9</v>
      </c>
      <c r="C248" s="32" t="s">
        <v>415</v>
      </c>
      <c r="D248" s="32" t="s">
        <v>5</v>
      </c>
      <c r="E248" s="32" t="str">
        <f>+UPPER('0. Instruções'!$D$35&amp;"."&amp;VLOOKUP(B248,'0. Instruções'!$C$27:$D$32,2,FALSE))</f>
        <v>CD_LOAN_TAPES_BCE.LT002_INSTRUMENT</v>
      </c>
      <c r="F248" s="32" t="str">
        <f>+UPPER('0. Instruções'!$D$36&amp;"."&amp;VLOOKUP(B248,'0. Instruções'!$C$27:$E$32,3,FALSE))</f>
        <v>BU_LOANTAPE_WORK.LT002_INSTRUMENT</v>
      </c>
      <c r="H248" s="32"/>
      <c r="I248" s="32"/>
      <c r="J248" s="32" t="str">
        <f>IF(VLOOKUP(B248,'0. Instruções'!$C$27:$G$32,5,FALSE)=0,
"(SELECT "&amp;VLOOKUP(B248,'0. Instruções'!$C$27:$G$32,4,FALSE)&amp;" AS CHAVE_IT, "&amp;C248&amp;" AS CAMPO_IT FROM "&amp;E248&amp;" WHERE "&amp;'0. Instruções'!$D$43&amp;")X",
"(SELECT "&amp;VLOOKUP(B248,'0. Instruções'!$C$27:$G$32,4,FALSE)&amp;" AS CHAVE_IT1, "&amp;VLOOKUP(B248,'0. Instruções'!$C$27:$G$32,5,FALSE)&amp;" AS CHAVE_IT2, "&amp;C248&amp;" AS CAMPO_IT FROM "&amp;E248&amp;" WHERE "&amp;'0. Instruções'!$D$43&amp;")X")</f>
        <v>(SELECT instrmnt_id AS CHAVE_IT, intrnl_sgmnt_cat_msta AS CAMPO_IT FROM CD_LOAN_TAPES_BCE.LT002_INSTRUMENT WHERE ref_date='${ref_date}' AND nome_perimetro='Individual Local' AND segmento='ESTR' AND ambito='PM' AND entidade='00100')X</v>
      </c>
      <c r="K248" s="32" t="str">
        <f>IF(VLOOKUP(B248,'0. Instruções'!$C$27:$G$32,5,FALSE)=0,
"(SELECT "&amp;VLOOKUP(B248,'0. Instruções'!$C$27:$G$32,4,FALSE)&amp;" AS CHAVE_SIMUL, "&amp;C248&amp;" AS CAMPO_SIMUL FROM "&amp;F248&amp;" WHERE "&amp;'0. Instruções'!$D$42&amp;")Y",
"(SELECT "&amp;VLOOKUP(B248,'0. Instruções'!$C$27:$G$32,4,FALSE)&amp;" AS CHAVE_SIMUL1, "&amp;VLOOKUP(B248,'0. Instruções'!$C$27:$G$32,5,FALSE)&amp;" AS CHAVE_SIMUL2, "&amp;C248&amp;" AS CAMPO_SIMUL FROM "&amp;F248&amp;" WHERE "&amp;'0. Instruções'!$D$42&amp;")Y")</f>
        <v>(SELECT instrmnt_id AS CHAVE_SIMUL, intrnl_sgmnt_cat_msta AS CAMPO_SIMUL FROM BU_LOANTAPE_WORK.LT002_INSTRUMENT WHERE ref_date='${ref_date}' AND nome_perimetro='Individual Local' AND segmento='ESTR' AND ambito='PM' AND entidade='00100')Y</v>
      </c>
      <c r="L248" s="32" t="str">
        <f>IF(VLOOKUP(B248,'0. Instruções'!$C$27:$G$32,5,FALSE)=0,
"ON X.CHAVE_IT=Y.CHAVE_SIMUL",
"ON X.CHAVE_IT1=Y.CHAVE_SIMUL1 AND X.CHAVE_IT2=Y.CHAVE_SIMUL2")</f>
        <v>ON X.CHAVE_IT=Y.CHAVE_SIMUL</v>
      </c>
      <c r="M248" s="32" t="str">
        <f>+IF(D248="Coerência",+IF(LEFT(H248,5)="FLOAT","SELECT '"&amp;UPPER(B248)&amp;"' AS TABELA, '"&amp;UPPER(D248)&amp;"' AS TIPOLOGIA_TESTE,'"&amp;E248&amp;"' AS TABELA_LT,'"&amp;F248&amp;"' AS TABELA_SIMUL,'"&amp;C248&amp;"'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"&amp;J248&amp;" INNER JOIN "&amp;K248&amp;" "&amp;L248,"SELECT '"&amp;UPPER(B248)&amp;"' AS TABELA, '"&amp;UPPER(D248)&amp;"' AS TIPOLOGIA_TESTE,'"&amp;E248&amp;"' AS TABELA_LT,'"&amp;F248&amp;"' AS TABELA_SIMUL,'"&amp;C248&amp;"'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"&amp;J248&amp;" INNER JOIN "&amp;K248&amp;" "&amp;L248))</f>
        <v>SELECT 'INSTRUMENT' AS TABELA, 'COERÊNCIA' AS TIPOLOGIA_TESTE,'CD_LOAN_TAPES_BCE.LT002_INSTRUMENT' AS TABELA_LT,'BU_LOANTAPE_WORK.LT002_INSTRUMENT' AS TABELA_SIMUL,'intrnl_sgmnt_cat_msta'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intrnl_sgmnt_cat_msta AS CAMPO_IT FROM CD_LOAN_TAPES_BCE.LT002_INSTRUMENT WHERE ref_date='${ref_date}' AND nome_perimetro='Individual Local' AND segmento='ESTR' AND ambito='PM' AND entidade='00100')X INNER JOIN (SELECT instrmnt_id AS CHAVE_SIMUL, intrnl_sgmnt_cat_msta AS CAMPO_SIMUL FROM BU_LOANTAPE_WORK.LT002_INSTRUMENT WHERE ref_date='${ref_date}' AND nome_perimetro='Individual Local' AND segmento='ESTR' AND ambito='PM' AND entidade='00100')Y ON X.CHAVE_IT=Y.CHAVE_SIMUL</v>
      </c>
      <c r="N248" s="33" t="str">
        <f t="shared" si="9"/>
        <v>UNION ALL SELECT 'INSTRUMENT' AS TABELA, 'COERÊNCIA' AS TIPOLOGIA_TESTE,'CD_LOAN_TAPES_BCE.LT002_INSTRUMENT' AS TABELA_LT,'BU_LOANTAPE_WORK.LT002_INSTRUMENT' AS TABELA_SIMUL,'intrnl_sgmnt_cat_msta'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intrnl_sgmnt_cat_msta AS CAMPO_IT FROM CD_LOAN_TAPES_BCE.LT002_INSTRUMENT WHERE ref_date='${ref_date}' AND nome_perimetro='Individual Local' AND segmento='ESTR' AND ambito='PM' AND entidade='00100')X INNER JOIN (SELECT instrmnt_id AS CHAVE_SIMUL, intrnl_sgmnt_cat_msta AS CAMPO_SIMUL FROM BU_LOANTAPE_WORK.LT002_INSTRUMENT WHERE ref_date='${ref_date}' AND nome_perimetro='Individual Local' AND segmento='ESTR' AND ambito='PM' AND entidade='00100')Y ON X.CHAVE_IT=Y.CHAVE_SIMUL</v>
      </c>
      <c r="O248" s="35" t="s">
        <v>35</v>
      </c>
    </row>
    <row r="249" spans="1:15">
      <c r="A249" s="57" t="str">
        <f t="shared" si="8"/>
        <v>Instrumentintrnl_sgmnt_catgsub</v>
      </c>
      <c r="B249" s="32" t="s">
        <v>9</v>
      </c>
      <c r="C249" s="32" t="s">
        <v>416</v>
      </c>
      <c r="D249" s="32" t="s">
        <v>5</v>
      </c>
      <c r="E249" s="32" t="str">
        <f>+UPPER('0. Instruções'!$D$35&amp;"."&amp;VLOOKUP(B249,'0. Instruções'!$C$27:$D$32,2,FALSE))</f>
        <v>CD_LOAN_TAPES_BCE.LT002_INSTRUMENT</v>
      </c>
      <c r="F249" s="32" t="str">
        <f>+UPPER('0. Instruções'!$D$36&amp;"."&amp;VLOOKUP(B249,'0. Instruções'!$C$27:$E$32,3,FALSE))</f>
        <v>BU_LOANTAPE_WORK.LT002_INSTRUMENT</v>
      </c>
      <c r="H249" s="32"/>
      <c r="I249" s="32"/>
      <c r="J249" s="32" t="str">
        <f>IF(VLOOKUP(B249,'0. Instruções'!$C$27:$G$32,5,FALSE)=0,
"(SELECT "&amp;VLOOKUP(B249,'0. Instruções'!$C$27:$G$32,4,FALSE)&amp;" AS CHAVE_IT, "&amp;C249&amp;" AS CAMPO_IT FROM "&amp;E249&amp;" WHERE "&amp;'0. Instruções'!$D$43&amp;")X",
"(SELECT "&amp;VLOOKUP(B249,'0. Instruções'!$C$27:$G$32,4,FALSE)&amp;" AS CHAVE_IT1, "&amp;VLOOKUP(B249,'0. Instruções'!$C$27:$G$32,5,FALSE)&amp;" AS CHAVE_IT2, "&amp;C249&amp;" AS CAMPO_IT FROM "&amp;E249&amp;" WHERE "&amp;'0. Instruções'!$D$43&amp;")X")</f>
        <v>(SELECT instrmnt_id AS CHAVE_IT, intrnl_sgmnt_catgsub AS CAMPO_IT FROM CD_LOAN_TAPES_BCE.LT002_INSTRUMENT WHERE ref_date='${ref_date}' AND nome_perimetro='Individual Local' AND segmento='ESTR' AND ambito='PM' AND entidade='00100')X</v>
      </c>
      <c r="K249" s="32" t="str">
        <f>IF(VLOOKUP(B249,'0. Instruções'!$C$27:$G$32,5,FALSE)=0,
"(SELECT "&amp;VLOOKUP(B249,'0. Instruções'!$C$27:$G$32,4,FALSE)&amp;" AS CHAVE_SIMUL, "&amp;C249&amp;" AS CAMPO_SIMUL FROM "&amp;F249&amp;" WHERE "&amp;'0. Instruções'!$D$42&amp;")Y",
"(SELECT "&amp;VLOOKUP(B249,'0. Instruções'!$C$27:$G$32,4,FALSE)&amp;" AS CHAVE_SIMUL1, "&amp;VLOOKUP(B249,'0. Instruções'!$C$27:$G$32,5,FALSE)&amp;" AS CHAVE_SIMUL2, "&amp;C249&amp;" AS CAMPO_SIMUL FROM "&amp;F249&amp;" WHERE "&amp;'0. Instruções'!$D$42&amp;")Y")</f>
        <v>(SELECT instrmnt_id AS CHAVE_SIMUL, intrnl_sgmnt_catgsub AS CAMPO_SIMUL FROM BU_LOANTAPE_WORK.LT002_INSTRUMENT WHERE ref_date='${ref_date}' AND nome_perimetro='Individual Local' AND segmento='ESTR' AND ambito='PM' AND entidade='00100')Y</v>
      </c>
      <c r="L249" s="32" t="str">
        <f>IF(VLOOKUP(B249,'0. Instruções'!$C$27:$G$32,5,FALSE)=0,
"ON X.CHAVE_IT=Y.CHAVE_SIMUL",
"ON X.CHAVE_IT1=Y.CHAVE_SIMUL1 AND X.CHAVE_IT2=Y.CHAVE_SIMUL2")</f>
        <v>ON X.CHAVE_IT=Y.CHAVE_SIMUL</v>
      </c>
      <c r="M249" s="32" t="str">
        <f>+IF(D249="Coerência",+IF(LEFT(H249,5)="FLOAT","SELECT '"&amp;UPPER(B249)&amp;"' AS TABELA, '"&amp;UPPER(D249)&amp;"' AS TIPOLOGIA_TESTE,'"&amp;E249&amp;"' AS TABELA_LT,'"&amp;F249&amp;"' AS TABELA_SIMUL,'"&amp;C249&amp;"'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"&amp;J249&amp;" INNER JOIN "&amp;K249&amp;" "&amp;L249,"SELECT '"&amp;UPPER(B249)&amp;"' AS TABELA, '"&amp;UPPER(D249)&amp;"' AS TIPOLOGIA_TESTE,'"&amp;E249&amp;"' AS TABELA_LT,'"&amp;F249&amp;"' AS TABELA_SIMUL,'"&amp;C249&amp;"'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"&amp;J249&amp;" INNER JOIN "&amp;K249&amp;" "&amp;L249))</f>
        <v>SELECT 'INSTRUMENT' AS TABELA, 'COERÊNCIA' AS TIPOLOGIA_TESTE,'CD_LOAN_TAPES_BCE.LT002_INSTRUMENT' AS TABELA_LT,'BU_LOANTAPE_WORK.LT002_INSTRUMENT' AS TABELA_SIMUL,'intrnl_sgmnt_catgsub'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intrnl_sgmnt_catgsub AS CAMPO_IT FROM CD_LOAN_TAPES_BCE.LT002_INSTRUMENT WHERE ref_date='${ref_date}' AND nome_perimetro='Individual Local' AND segmento='ESTR' AND ambito='PM' AND entidade='00100')X INNER JOIN (SELECT instrmnt_id AS CHAVE_SIMUL, intrnl_sgmnt_catgsub AS CAMPO_SIMUL FROM BU_LOANTAPE_WORK.LT002_INSTRUMENT WHERE ref_date='${ref_date}' AND nome_perimetro='Individual Local' AND segmento='ESTR' AND ambito='PM' AND entidade='00100')Y ON X.CHAVE_IT=Y.CHAVE_SIMUL</v>
      </c>
      <c r="N249" s="33" t="str">
        <f t="shared" si="9"/>
        <v>UNION ALL SELECT 'INSTRUMENT' AS TABELA, 'COERÊNCIA' AS TIPOLOGIA_TESTE,'CD_LOAN_TAPES_BCE.LT002_INSTRUMENT' AS TABELA_LT,'BU_LOANTAPE_WORK.LT002_INSTRUMENT' AS TABELA_SIMUL,'intrnl_sgmnt_catgsub'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intrnl_sgmnt_catgsub AS CAMPO_IT FROM CD_LOAN_TAPES_BCE.LT002_INSTRUMENT WHERE ref_date='${ref_date}' AND nome_perimetro='Individual Local' AND segmento='ESTR' AND ambito='PM' AND entidade='00100')X INNER JOIN (SELECT instrmnt_id AS CHAVE_SIMUL, intrnl_sgmnt_catgsub AS CAMPO_SIMUL FROM BU_LOANTAPE_WORK.LT002_INSTRUMENT WHERE ref_date='${ref_date}' AND nome_perimetro='Individual Local' AND segmento='ESTR' AND ambito='PM' AND entidade='00100')Y ON X.CHAVE_IT=Y.CHAVE_SIMUL</v>
      </c>
      <c r="O249" s="35" t="s">
        <v>35</v>
      </c>
    </row>
    <row r="250" spans="1:15">
      <c r="A250" s="57" t="str">
        <f t="shared" si="8"/>
        <v>Instrumentcrrltn_cffcnt</v>
      </c>
      <c r="B250" s="32" t="s">
        <v>9</v>
      </c>
      <c r="C250" s="32" t="s">
        <v>417</v>
      </c>
      <c r="D250" s="32" t="s">
        <v>5</v>
      </c>
      <c r="E250" s="32" t="str">
        <f>+UPPER('0. Instruções'!$D$35&amp;"."&amp;VLOOKUP(B250,'0. Instruções'!$C$27:$D$32,2,FALSE))</f>
        <v>CD_LOAN_TAPES_BCE.LT002_INSTRUMENT</v>
      </c>
      <c r="F250" s="32" t="str">
        <f>+UPPER('0. Instruções'!$D$36&amp;"."&amp;VLOOKUP(B250,'0. Instruções'!$C$27:$E$32,3,FALSE))</f>
        <v>BU_LOANTAPE_WORK.LT002_INSTRUMENT</v>
      </c>
      <c r="H250" s="32"/>
      <c r="I250" s="32"/>
      <c r="J250" s="32" t="str">
        <f>IF(VLOOKUP(B250,'0. Instruções'!$C$27:$G$32,5,FALSE)=0,
"(SELECT "&amp;VLOOKUP(B250,'0. Instruções'!$C$27:$G$32,4,FALSE)&amp;" AS CHAVE_IT, "&amp;C250&amp;" AS CAMPO_IT FROM "&amp;E250&amp;" WHERE "&amp;'0. Instruções'!$D$43&amp;")X",
"(SELECT "&amp;VLOOKUP(B250,'0. Instruções'!$C$27:$G$32,4,FALSE)&amp;" AS CHAVE_IT1, "&amp;VLOOKUP(B250,'0. Instruções'!$C$27:$G$32,5,FALSE)&amp;" AS CHAVE_IT2, "&amp;C250&amp;" AS CAMPO_IT FROM "&amp;E250&amp;" WHERE "&amp;'0. Instruções'!$D$43&amp;")X")</f>
        <v>(SELECT instrmnt_id AS CHAVE_IT, crrltn_cffcnt AS CAMPO_IT FROM CD_LOAN_TAPES_BCE.LT002_INSTRUMENT WHERE ref_date='${ref_date}' AND nome_perimetro='Individual Local' AND segmento='ESTR' AND ambito='PM' AND entidade='00100')X</v>
      </c>
      <c r="K250" s="32" t="str">
        <f>IF(VLOOKUP(B250,'0. Instruções'!$C$27:$G$32,5,FALSE)=0,
"(SELECT "&amp;VLOOKUP(B250,'0. Instruções'!$C$27:$G$32,4,FALSE)&amp;" AS CHAVE_SIMUL, "&amp;C250&amp;" AS CAMPO_SIMUL FROM "&amp;F250&amp;" WHERE "&amp;'0. Instruções'!$D$42&amp;")Y",
"(SELECT "&amp;VLOOKUP(B250,'0. Instruções'!$C$27:$G$32,4,FALSE)&amp;" AS CHAVE_SIMUL1, "&amp;VLOOKUP(B250,'0. Instruções'!$C$27:$G$32,5,FALSE)&amp;" AS CHAVE_SIMUL2, "&amp;C250&amp;" AS CAMPO_SIMUL FROM "&amp;F250&amp;" WHERE "&amp;'0. Instruções'!$D$42&amp;")Y")</f>
        <v>(SELECT instrmnt_id AS CHAVE_SIMUL, crrltn_cffcnt AS CAMPO_SIMUL FROM BU_LOANTAPE_WORK.LT002_INSTRUMENT WHERE ref_date='${ref_date}' AND nome_perimetro='Individual Local' AND segmento='ESTR' AND ambito='PM' AND entidade='00100')Y</v>
      </c>
      <c r="L250" s="32" t="str">
        <f>IF(VLOOKUP(B250,'0. Instruções'!$C$27:$G$32,5,FALSE)=0,
"ON X.CHAVE_IT=Y.CHAVE_SIMUL",
"ON X.CHAVE_IT1=Y.CHAVE_SIMUL1 AND X.CHAVE_IT2=Y.CHAVE_SIMUL2")</f>
        <v>ON X.CHAVE_IT=Y.CHAVE_SIMUL</v>
      </c>
      <c r="M250" s="32" t="str">
        <f>+IF(D250="Coerência",+IF(LEFT(H250,5)="FLOAT","SELECT '"&amp;UPPER(B250)&amp;"' AS TABELA, '"&amp;UPPER(D250)&amp;"' AS TIPOLOGIA_TESTE,'"&amp;E250&amp;"' AS TABELA_LT,'"&amp;F250&amp;"' AS TABELA_SIMUL,'"&amp;C250&amp;"'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"&amp;J250&amp;" INNER JOIN "&amp;K250&amp;" "&amp;L250,"SELECT '"&amp;UPPER(B250)&amp;"' AS TABELA, '"&amp;UPPER(D250)&amp;"' AS TIPOLOGIA_TESTE,'"&amp;E250&amp;"' AS TABELA_LT,'"&amp;F250&amp;"' AS TABELA_SIMUL,'"&amp;C250&amp;"'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"&amp;J250&amp;" INNER JOIN "&amp;K250&amp;" "&amp;L250))</f>
        <v>SELECT 'INSTRUMENT' AS TABELA, 'COERÊNCIA' AS TIPOLOGIA_TESTE,'CD_LOAN_TAPES_BCE.LT002_INSTRUMENT' AS TABELA_LT,'BU_LOANTAPE_WORK.LT002_INSTRUMENT' AS TABELA_SIMUL,'crrltn_cffcnt'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crrltn_cffcnt AS CAMPO_IT FROM CD_LOAN_TAPES_BCE.LT002_INSTRUMENT WHERE ref_date='${ref_date}' AND nome_perimetro='Individual Local' AND segmento='ESTR' AND ambito='PM' AND entidade='00100')X INNER JOIN (SELECT instrmnt_id AS CHAVE_SIMUL, crrltn_cffcnt AS CAMPO_SIMUL FROM BU_LOANTAPE_WORK.LT002_INSTRUMENT WHERE ref_date='${ref_date}' AND nome_perimetro='Individual Local' AND segmento='ESTR' AND ambito='PM' AND entidade='00100')Y ON X.CHAVE_IT=Y.CHAVE_SIMUL</v>
      </c>
      <c r="N250" s="33" t="str">
        <f t="shared" si="9"/>
        <v>UNION ALL SELECT 'INSTRUMENT' AS TABELA, 'COERÊNCIA' AS TIPOLOGIA_TESTE,'CD_LOAN_TAPES_BCE.LT002_INSTRUMENT' AS TABELA_LT,'BU_LOANTAPE_WORK.LT002_INSTRUMENT' AS TABELA_SIMUL,'crrltn_cffcnt'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crrltn_cffcnt AS CAMPO_IT FROM CD_LOAN_TAPES_BCE.LT002_INSTRUMENT WHERE ref_date='${ref_date}' AND nome_perimetro='Individual Local' AND segmento='ESTR' AND ambito='PM' AND entidade='00100')X INNER JOIN (SELECT instrmnt_id AS CHAVE_SIMUL, crrltn_cffcnt AS CAMPO_SIMUL FROM BU_LOANTAPE_WORK.LT002_INSTRUMENT WHERE ref_date='${ref_date}' AND nome_perimetro='Individual Local' AND segmento='ESTR' AND ambito='PM' AND entidade='00100')Y ON X.CHAVE_IT=Y.CHAVE_SIMUL</v>
      </c>
      <c r="O250" s="35" t="s">
        <v>35</v>
      </c>
    </row>
    <row r="251" spans="1:15">
      <c r="A251" s="57" t="str">
        <f t="shared" si="8"/>
        <v>Instrumentisin_scrtstn</v>
      </c>
      <c r="B251" s="32" t="s">
        <v>9</v>
      </c>
      <c r="C251" s="32" t="s">
        <v>418</v>
      </c>
      <c r="D251" s="32" t="s">
        <v>5</v>
      </c>
      <c r="E251" s="32" t="str">
        <f>+UPPER('0. Instruções'!$D$35&amp;"."&amp;VLOOKUP(B251,'0. Instruções'!$C$27:$D$32,2,FALSE))</f>
        <v>CD_LOAN_TAPES_BCE.LT002_INSTRUMENT</v>
      </c>
      <c r="F251" s="32" t="str">
        <f>+UPPER('0. Instruções'!$D$36&amp;"."&amp;VLOOKUP(B251,'0. Instruções'!$C$27:$E$32,3,FALSE))</f>
        <v>BU_LOANTAPE_WORK.LT002_INSTRUMENT</v>
      </c>
      <c r="H251" s="32"/>
      <c r="I251" s="32"/>
      <c r="J251" s="32" t="str">
        <f>IF(VLOOKUP(B251,'0. Instruções'!$C$27:$G$32,5,FALSE)=0,
"(SELECT "&amp;VLOOKUP(B251,'0. Instruções'!$C$27:$G$32,4,FALSE)&amp;" AS CHAVE_IT, "&amp;C251&amp;" AS CAMPO_IT FROM "&amp;E251&amp;" WHERE "&amp;'0. Instruções'!$D$43&amp;")X",
"(SELECT "&amp;VLOOKUP(B251,'0. Instruções'!$C$27:$G$32,4,FALSE)&amp;" AS CHAVE_IT1, "&amp;VLOOKUP(B251,'0. Instruções'!$C$27:$G$32,5,FALSE)&amp;" AS CHAVE_IT2, "&amp;C251&amp;" AS CAMPO_IT FROM "&amp;E251&amp;" WHERE "&amp;'0. Instruções'!$D$43&amp;")X")</f>
        <v>(SELECT instrmnt_id AS CHAVE_IT, isin_scrtstn AS CAMPO_IT FROM CD_LOAN_TAPES_BCE.LT002_INSTRUMENT WHERE ref_date='${ref_date}' AND nome_perimetro='Individual Local' AND segmento='ESTR' AND ambito='PM' AND entidade='00100')X</v>
      </c>
      <c r="K251" s="32" t="str">
        <f>IF(VLOOKUP(B251,'0. Instruções'!$C$27:$G$32,5,FALSE)=0,
"(SELECT "&amp;VLOOKUP(B251,'0. Instruções'!$C$27:$G$32,4,FALSE)&amp;" AS CHAVE_SIMUL, "&amp;C251&amp;" AS CAMPO_SIMUL FROM "&amp;F251&amp;" WHERE "&amp;'0. Instruções'!$D$42&amp;")Y",
"(SELECT "&amp;VLOOKUP(B251,'0. Instruções'!$C$27:$G$32,4,FALSE)&amp;" AS CHAVE_SIMUL1, "&amp;VLOOKUP(B251,'0. Instruções'!$C$27:$G$32,5,FALSE)&amp;" AS CHAVE_SIMUL2, "&amp;C251&amp;" AS CAMPO_SIMUL FROM "&amp;F251&amp;" WHERE "&amp;'0. Instruções'!$D$42&amp;")Y")</f>
        <v>(SELECT instrmnt_id AS CHAVE_SIMUL, isin_scrtstn AS CAMPO_SIMUL FROM BU_LOANTAPE_WORK.LT002_INSTRUMENT WHERE ref_date='${ref_date}' AND nome_perimetro='Individual Local' AND segmento='ESTR' AND ambito='PM' AND entidade='00100')Y</v>
      </c>
      <c r="L251" s="32" t="str">
        <f>IF(VLOOKUP(B251,'0. Instruções'!$C$27:$G$32,5,FALSE)=0,
"ON X.CHAVE_IT=Y.CHAVE_SIMUL",
"ON X.CHAVE_IT1=Y.CHAVE_SIMUL1 AND X.CHAVE_IT2=Y.CHAVE_SIMUL2")</f>
        <v>ON X.CHAVE_IT=Y.CHAVE_SIMUL</v>
      </c>
      <c r="M251" s="32" t="str">
        <f>+IF(D251="Coerência",+IF(LEFT(H251,5)="FLOAT","SELECT '"&amp;UPPER(B251)&amp;"' AS TABELA, '"&amp;UPPER(D251)&amp;"' AS TIPOLOGIA_TESTE,'"&amp;E251&amp;"' AS TABELA_LT,'"&amp;F251&amp;"' AS TABELA_SIMUL,'"&amp;C251&amp;"'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"&amp;J251&amp;" INNER JOIN "&amp;K251&amp;" "&amp;L251,"SELECT '"&amp;UPPER(B251)&amp;"' AS TABELA, '"&amp;UPPER(D251)&amp;"' AS TIPOLOGIA_TESTE,'"&amp;E251&amp;"' AS TABELA_LT,'"&amp;F251&amp;"' AS TABELA_SIMUL,'"&amp;C251&amp;"'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"&amp;J251&amp;" INNER JOIN "&amp;K251&amp;" "&amp;L251))</f>
        <v>SELECT 'INSTRUMENT' AS TABELA, 'COERÊNCIA' AS TIPOLOGIA_TESTE,'CD_LOAN_TAPES_BCE.LT002_INSTRUMENT' AS TABELA_LT,'BU_LOANTAPE_WORK.LT002_INSTRUMENT' AS TABELA_SIMUL,'isin_scrtstn'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isin_scrtstn AS CAMPO_IT FROM CD_LOAN_TAPES_BCE.LT002_INSTRUMENT WHERE ref_date='${ref_date}' AND nome_perimetro='Individual Local' AND segmento='ESTR' AND ambito='PM' AND entidade='00100')X INNER JOIN (SELECT instrmnt_id AS CHAVE_SIMUL, isin_scrtstn AS CAMPO_SIMUL FROM BU_LOANTAPE_WORK.LT002_INSTRUMENT WHERE ref_date='${ref_date}' AND nome_perimetro='Individual Local' AND segmento='ESTR' AND ambito='PM' AND entidade='00100')Y ON X.CHAVE_IT=Y.CHAVE_SIMUL</v>
      </c>
      <c r="N251" s="33" t="str">
        <f t="shared" si="9"/>
        <v>UNION ALL SELECT 'INSTRUMENT' AS TABELA, 'COERÊNCIA' AS TIPOLOGIA_TESTE,'CD_LOAN_TAPES_BCE.LT002_INSTRUMENT' AS TABELA_LT,'BU_LOANTAPE_WORK.LT002_INSTRUMENT' AS TABELA_SIMUL,'isin_scrtstn'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isin_scrtstn AS CAMPO_IT FROM CD_LOAN_TAPES_BCE.LT002_INSTRUMENT WHERE ref_date='${ref_date}' AND nome_perimetro='Individual Local' AND segmento='ESTR' AND ambito='PM' AND entidade='00100')X INNER JOIN (SELECT instrmnt_id AS CHAVE_SIMUL, isin_scrtstn AS CAMPO_SIMUL FROM BU_LOANTAPE_WORK.LT002_INSTRUMENT WHERE ref_date='${ref_date}' AND nome_perimetro='Individual Local' AND segmento='ESTR' AND ambito='PM' AND entidade='00100')Y ON X.CHAVE_IT=Y.CHAVE_SIMUL</v>
      </c>
      <c r="O251" s="35" t="s">
        <v>35</v>
      </c>
    </row>
    <row r="252" spans="1:15">
      <c r="A252" s="57" t="str">
        <f t="shared" si="8"/>
        <v>Instrumentcntrct_id_bdr</v>
      </c>
      <c r="B252" s="32" t="s">
        <v>9</v>
      </c>
      <c r="C252" s="32" t="s">
        <v>419</v>
      </c>
      <c r="D252" s="32" t="s">
        <v>5</v>
      </c>
      <c r="E252" s="32" t="str">
        <f>+UPPER('0. Instruções'!$D$35&amp;"."&amp;VLOOKUP(B252,'0. Instruções'!$C$27:$D$32,2,FALSE))</f>
        <v>CD_LOAN_TAPES_BCE.LT002_INSTRUMENT</v>
      </c>
      <c r="F252" s="32" t="str">
        <f>+UPPER('0. Instruções'!$D$36&amp;"."&amp;VLOOKUP(B252,'0. Instruções'!$C$27:$E$32,3,FALSE))</f>
        <v>BU_LOANTAPE_WORK.LT002_INSTRUMENT</v>
      </c>
      <c r="H252" s="32"/>
      <c r="I252" s="32"/>
      <c r="J252" s="32" t="str">
        <f>IF(VLOOKUP(B252,'0. Instruções'!$C$27:$G$32,5,FALSE)=0,
"(SELECT "&amp;VLOOKUP(B252,'0. Instruções'!$C$27:$G$32,4,FALSE)&amp;" AS CHAVE_IT, "&amp;C252&amp;" AS CAMPO_IT FROM "&amp;E252&amp;" WHERE "&amp;'0. Instruções'!$D$43&amp;")X",
"(SELECT "&amp;VLOOKUP(B252,'0. Instruções'!$C$27:$G$32,4,FALSE)&amp;" AS CHAVE_IT1, "&amp;VLOOKUP(B252,'0. Instruções'!$C$27:$G$32,5,FALSE)&amp;" AS CHAVE_IT2, "&amp;C252&amp;" AS CAMPO_IT FROM "&amp;E252&amp;" WHERE "&amp;'0. Instruções'!$D$43&amp;")X")</f>
        <v>(SELECT instrmnt_id AS CHAVE_IT, cntrct_id_bdr AS CAMPO_IT FROM CD_LOAN_TAPES_BCE.LT002_INSTRUMENT WHERE ref_date='${ref_date}' AND nome_perimetro='Individual Local' AND segmento='ESTR' AND ambito='PM' AND entidade='00100')X</v>
      </c>
      <c r="K252" s="32" t="str">
        <f>IF(VLOOKUP(B252,'0. Instruções'!$C$27:$G$32,5,FALSE)=0,
"(SELECT "&amp;VLOOKUP(B252,'0. Instruções'!$C$27:$G$32,4,FALSE)&amp;" AS CHAVE_SIMUL, "&amp;C252&amp;" AS CAMPO_SIMUL FROM "&amp;F252&amp;" WHERE "&amp;'0. Instruções'!$D$42&amp;")Y",
"(SELECT "&amp;VLOOKUP(B252,'0. Instruções'!$C$27:$G$32,4,FALSE)&amp;" AS CHAVE_SIMUL1, "&amp;VLOOKUP(B252,'0. Instruções'!$C$27:$G$32,5,FALSE)&amp;" AS CHAVE_SIMUL2, "&amp;C252&amp;" AS CAMPO_SIMUL FROM "&amp;F252&amp;" WHERE "&amp;'0. Instruções'!$D$42&amp;")Y")</f>
        <v>(SELECT instrmnt_id AS CHAVE_SIMUL, cntrct_id_bdr AS CAMPO_SIMUL FROM BU_LOANTAPE_WORK.LT002_INSTRUMENT WHERE ref_date='${ref_date}' AND nome_perimetro='Individual Local' AND segmento='ESTR' AND ambito='PM' AND entidade='00100')Y</v>
      </c>
      <c r="L252" s="32" t="str">
        <f>IF(VLOOKUP(B252,'0. Instruções'!$C$27:$G$32,5,FALSE)=0,
"ON X.CHAVE_IT=Y.CHAVE_SIMUL",
"ON X.CHAVE_IT1=Y.CHAVE_SIMUL1 AND X.CHAVE_IT2=Y.CHAVE_SIMUL2")</f>
        <v>ON X.CHAVE_IT=Y.CHAVE_SIMUL</v>
      </c>
      <c r="M252" s="32" t="str">
        <f>+IF(D252="Coerência",+IF(LEFT(H252,5)="FLOAT","SELECT '"&amp;UPPER(B252)&amp;"' AS TABELA, '"&amp;UPPER(D252)&amp;"' AS TIPOLOGIA_TESTE,'"&amp;E252&amp;"' AS TABELA_LT,'"&amp;F252&amp;"' AS TABELA_SIMUL,'"&amp;C252&amp;"'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"&amp;J252&amp;" INNER JOIN "&amp;K252&amp;" "&amp;L252,"SELECT '"&amp;UPPER(B252)&amp;"' AS TABELA, '"&amp;UPPER(D252)&amp;"' AS TIPOLOGIA_TESTE,'"&amp;E252&amp;"' AS TABELA_LT,'"&amp;F252&amp;"' AS TABELA_SIMUL,'"&amp;C252&amp;"'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"&amp;J252&amp;" INNER JOIN "&amp;K252&amp;" "&amp;L252))</f>
        <v>SELECT 'INSTRUMENT' AS TABELA, 'COERÊNCIA' AS TIPOLOGIA_TESTE,'CD_LOAN_TAPES_BCE.LT002_INSTRUMENT' AS TABELA_LT,'BU_LOANTAPE_WORK.LT002_INSTRUMENT' AS TABELA_SIMUL,'cntrct_id_bdr'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cntrct_id_bdr AS CAMPO_IT FROM CD_LOAN_TAPES_BCE.LT002_INSTRUMENT WHERE ref_date='${ref_date}' AND nome_perimetro='Individual Local' AND segmento='ESTR' AND ambito='PM' AND entidade='00100')X INNER JOIN (SELECT instrmnt_id AS CHAVE_SIMUL, cntrct_id_bdr AS CAMPO_SIMUL FROM BU_LOANTAPE_WORK.LT002_INSTRUMENT WHERE ref_date='${ref_date}' AND nome_perimetro='Individual Local' AND segmento='ESTR' AND ambito='PM' AND entidade='00100')Y ON X.CHAVE_IT=Y.CHAVE_SIMUL</v>
      </c>
      <c r="N252" s="33" t="str">
        <f t="shared" si="9"/>
        <v>UNION ALL SELECT 'INSTRUMENT' AS TABELA, 'COERÊNCIA' AS TIPOLOGIA_TESTE,'CD_LOAN_TAPES_BCE.LT002_INSTRUMENT' AS TABELA_LT,'BU_LOANTAPE_WORK.LT002_INSTRUMENT' AS TABELA_SIMUL,'cntrct_id_bdr'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cntrct_id_bdr AS CAMPO_IT FROM CD_LOAN_TAPES_BCE.LT002_INSTRUMENT WHERE ref_date='${ref_date}' AND nome_perimetro='Individual Local' AND segmento='ESTR' AND ambito='PM' AND entidade='00100')X INNER JOIN (SELECT instrmnt_id AS CHAVE_SIMUL, cntrct_id_bdr AS CAMPO_SIMUL FROM BU_LOANTAPE_WORK.LT002_INSTRUMENT WHERE ref_date='${ref_date}' AND nome_perimetro='Individual Local' AND segmento='ESTR' AND ambito='PM' AND entidade='00100')Y ON X.CHAVE_IT=Y.CHAVE_SIMUL</v>
      </c>
      <c r="O252" s="35" t="s">
        <v>35</v>
      </c>
    </row>
    <row r="253" spans="1:15">
      <c r="A253" s="57" t="str">
        <f t="shared" si="8"/>
        <v>Instrumentsstnbl_indctr</v>
      </c>
      <c r="B253" s="32" t="s">
        <v>9</v>
      </c>
      <c r="C253" s="32" t="s">
        <v>173</v>
      </c>
      <c r="D253" s="32" t="s">
        <v>5</v>
      </c>
      <c r="E253" s="32" t="str">
        <f>+UPPER('0. Instruções'!$D$35&amp;"."&amp;VLOOKUP(B253,'0. Instruções'!$C$27:$D$32,2,FALSE))</f>
        <v>CD_LOAN_TAPES_BCE.LT002_INSTRUMENT</v>
      </c>
      <c r="F253" s="32" t="str">
        <f>+UPPER('0. Instruções'!$D$36&amp;"."&amp;VLOOKUP(B253,'0. Instruções'!$C$27:$E$32,3,FALSE))</f>
        <v>BU_LOANTAPE_WORK.LT002_INSTRUMENT</v>
      </c>
      <c r="H253" s="32"/>
      <c r="I253" s="32"/>
      <c r="J253" s="32" t="str">
        <f>IF(VLOOKUP(B253,'0. Instruções'!$C$27:$G$32,5,FALSE)=0,
"(SELECT "&amp;VLOOKUP(B253,'0. Instruções'!$C$27:$G$32,4,FALSE)&amp;" AS CHAVE_IT, "&amp;C253&amp;" AS CAMPO_IT FROM "&amp;E253&amp;" WHERE "&amp;'0. Instruções'!$D$43&amp;")X",
"(SELECT "&amp;VLOOKUP(B253,'0. Instruções'!$C$27:$G$32,4,FALSE)&amp;" AS CHAVE_IT1, "&amp;VLOOKUP(B253,'0. Instruções'!$C$27:$G$32,5,FALSE)&amp;" AS CHAVE_IT2, "&amp;C253&amp;" AS CAMPO_IT FROM "&amp;E253&amp;" WHERE "&amp;'0. Instruções'!$D$43&amp;")X")</f>
        <v>(SELECT instrmnt_id AS CHAVE_IT, sstnbl_indctr AS CAMPO_IT FROM CD_LOAN_TAPES_BCE.LT002_INSTRUMENT WHERE ref_date='${ref_date}' AND nome_perimetro='Individual Local' AND segmento='ESTR' AND ambito='PM' AND entidade='00100')X</v>
      </c>
      <c r="K253" s="32" t="str">
        <f>IF(VLOOKUP(B253,'0. Instruções'!$C$27:$G$32,5,FALSE)=0,
"(SELECT "&amp;VLOOKUP(B253,'0. Instruções'!$C$27:$G$32,4,FALSE)&amp;" AS CHAVE_SIMUL, "&amp;C253&amp;" AS CAMPO_SIMUL FROM "&amp;F253&amp;" WHERE "&amp;'0. Instruções'!$D$42&amp;")Y",
"(SELECT "&amp;VLOOKUP(B253,'0. Instruções'!$C$27:$G$32,4,FALSE)&amp;" AS CHAVE_SIMUL1, "&amp;VLOOKUP(B253,'0. Instruções'!$C$27:$G$32,5,FALSE)&amp;" AS CHAVE_SIMUL2, "&amp;C253&amp;" AS CAMPO_SIMUL FROM "&amp;F253&amp;" WHERE "&amp;'0. Instruções'!$D$42&amp;")Y")</f>
        <v>(SELECT instrmnt_id AS CHAVE_SIMUL, sstnbl_indctr AS CAMPO_SIMUL FROM BU_LOANTAPE_WORK.LT002_INSTRUMENT WHERE ref_date='${ref_date}' AND nome_perimetro='Individual Local' AND segmento='ESTR' AND ambito='PM' AND entidade='00100')Y</v>
      </c>
      <c r="L253" s="32" t="str">
        <f>IF(VLOOKUP(B253,'0. Instruções'!$C$27:$G$32,5,FALSE)=0,
"ON X.CHAVE_IT=Y.CHAVE_SIMUL",
"ON X.CHAVE_IT1=Y.CHAVE_SIMUL1 AND X.CHAVE_IT2=Y.CHAVE_SIMUL2")</f>
        <v>ON X.CHAVE_IT=Y.CHAVE_SIMUL</v>
      </c>
      <c r="M253" s="32" t="str">
        <f>+IF(D253="Coerência",+IF(LEFT(H253,5)="FLOAT","SELECT '"&amp;UPPER(B253)&amp;"' AS TABELA, '"&amp;UPPER(D253)&amp;"' AS TIPOLOGIA_TESTE,'"&amp;E253&amp;"' AS TABELA_LT,'"&amp;F253&amp;"' AS TABELA_SIMUL,'"&amp;C253&amp;"'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"&amp;J253&amp;" INNER JOIN "&amp;K253&amp;" "&amp;L253,"SELECT '"&amp;UPPER(B253)&amp;"' AS TABELA, '"&amp;UPPER(D253)&amp;"' AS TIPOLOGIA_TESTE,'"&amp;E253&amp;"' AS TABELA_LT,'"&amp;F253&amp;"' AS TABELA_SIMUL,'"&amp;C253&amp;"'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"&amp;J253&amp;" INNER JOIN "&amp;K253&amp;" "&amp;L253))</f>
        <v>SELECT 'INSTRUMENT' AS TABELA, 'COERÊNCIA' AS TIPOLOGIA_TESTE,'CD_LOAN_TAPES_BCE.LT002_INSTRUMENT' AS TABELA_LT,'BU_LOANTAPE_WORK.LT002_INSTRUMENT' AS TABELA_SIMUL,'sstnbl_indctr'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sstnbl_indctr AS CAMPO_IT FROM CD_LOAN_TAPES_BCE.LT002_INSTRUMENT WHERE ref_date='${ref_date}' AND nome_perimetro='Individual Local' AND segmento='ESTR' AND ambito='PM' AND entidade='00100')X INNER JOIN (SELECT instrmnt_id AS CHAVE_SIMUL, sstnbl_indctr AS CAMPO_SIMUL FROM BU_LOANTAPE_WORK.LT002_INSTRUMENT WHERE ref_date='${ref_date}' AND nome_perimetro='Individual Local' AND segmento='ESTR' AND ambito='PM' AND entidade='00100')Y ON X.CHAVE_IT=Y.CHAVE_SIMUL</v>
      </c>
      <c r="N253" s="33" t="str">
        <f t="shared" si="9"/>
        <v>UNION ALL SELECT 'INSTRUMENT' AS TABELA, 'COERÊNCIA' AS TIPOLOGIA_TESTE,'CD_LOAN_TAPES_BCE.LT002_INSTRUMENT' AS TABELA_LT,'BU_LOANTAPE_WORK.LT002_INSTRUMENT' AS TABELA_SIMUL,'sstnbl_indctr'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sstnbl_indctr AS CAMPO_IT FROM CD_LOAN_TAPES_BCE.LT002_INSTRUMENT WHERE ref_date='${ref_date}' AND nome_perimetro='Individual Local' AND segmento='ESTR' AND ambito='PM' AND entidade='00100')X INNER JOIN (SELECT instrmnt_id AS CHAVE_SIMUL, sstnbl_indctr AS CAMPO_SIMUL FROM BU_LOANTAPE_WORK.LT002_INSTRUMENT WHERE ref_date='${ref_date}' AND nome_perimetro='Individual Local' AND segmento='ESTR' AND ambito='PM' AND entidade='00100')Y ON X.CHAVE_IT=Y.CHAVE_SIMUL</v>
      </c>
      <c r="O253" s="35" t="s">
        <v>35</v>
      </c>
    </row>
    <row r="254" spans="1:15">
      <c r="A254" s="57" t="str">
        <f t="shared" si="8"/>
        <v>Instrumentsstnbl_ctgry</v>
      </c>
      <c r="B254" s="32" t="s">
        <v>9</v>
      </c>
      <c r="C254" s="32" t="s">
        <v>174</v>
      </c>
      <c r="D254" s="32" t="s">
        <v>5</v>
      </c>
      <c r="E254" s="32" t="str">
        <f>+UPPER('0. Instruções'!$D$35&amp;"."&amp;VLOOKUP(B254,'0. Instruções'!$C$27:$D$32,2,FALSE))</f>
        <v>CD_LOAN_TAPES_BCE.LT002_INSTRUMENT</v>
      </c>
      <c r="F254" s="32" t="str">
        <f>+UPPER('0. Instruções'!$D$36&amp;"."&amp;VLOOKUP(B254,'0. Instruções'!$C$27:$E$32,3,FALSE))</f>
        <v>BU_LOANTAPE_WORK.LT002_INSTRUMENT</v>
      </c>
      <c r="H254" s="32"/>
      <c r="I254" s="32"/>
      <c r="J254" s="32" t="str">
        <f>IF(VLOOKUP(B254,'0. Instruções'!$C$27:$G$32,5,FALSE)=0,
"(SELECT "&amp;VLOOKUP(B254,'0. Instruções'!$C$27:$G$32,4,FALSE)&amp;" AS CHAVE_IT, "&amp;C254&amp;" AS CAMPO_IT FROM "&amp;E254&amp;" WHERE "&amp;'0. Instruções'!$D$43&amp;")X",
"(SELECT "&amp;VLOOKUP(B254,'0. Instruções'!$C$27:$G$32,4,FALSE)&amp;" AS CHAVE_IT1, "&amp;VLOOKUP(B254,'0. Instruções'!$C$27:$G$32,5,FALSE)&amp;" AS CHAVE_IT2, "&amp;C254&amp;" AS CAMPO_IT FROM "&amp;E254&amp;" WHERE "&amp;'0. Instruções'!$D$43&amp;")X")</f>
        <v>(SELECT instrmnt_id AS CHAVE_IT, sstnbl_ctgry AS CAMPO_IT FROM CD_LOAN_TAPES_BCE.LT002_INSTRUMENT WHERE ref_date='${ref_date}' AND nome_perimetro='Individual Local' AND segmento='ESTR' AND ambito='PM' AND entidade='00100')X</v>
      </c>
      <c r="K254" s="32" t="str">
        <f>IF(VLOOKUP(B254,'0. Instruções'!$C$27:$G$32,5,FALSE)=0,
"(SELECT "&amp;VLOOKUP(B254,'0. Instruções'!$C$27:$G$32,4,FALSE)&amp;" AS CHAVE_SIMUL, "&amp;C254&amp;" AS CAMPO_SIMUL FROM "&amp;F254&amp;" WHERE "&amp;'0. Instruções'!$D$42&amp;")Y",
"(SELECT "&amp;VLOOKUP(B254,'0. Instruções'!$C$27:$G$32,4,FALSE)&amp;" AS CHAVE_SIMUL1, "&amp;VLOOKUP(B254,'0. Instruções'!$C$27:$G$32,5,FALSE)&amp;" AS CHAVE_SIMUL2, "&amp;C254&amp;" AS CAMPO_SIMUL FROM "&amp;F254&amp;" WHERE "&amp;'0. Instruções'!$D$42&amp;")Y")</f>
        <v>(SELECT instrmnt_id AS CHAVE_SIMUL, sstnbl_ctgry AS CAMPO_SIMUL FROM BU_LOANTAPE_WORK.LT002_INSTRUMENT WHERE ref_date='${ref_date}' AND nome_perimetro='Individual Local' AND segmento='ESTR' AND ambito='PM' AND entidade='00100')Y</v>
      </c>
      <c r="L254" s="32" t="str">
        <f>IF(VLOOKUP(B254,'0. Instruções'!$C$27:$G$32,5,FALSE)=0,
"ON X.CHAVE_IT=Y.CHAVE_SIMUL",
"ON X.CHAVE_IT1=Y.CHAVE_SIMUL1 AND X.CHAVE_IT2=Y.CHAVE_SIMUL2")</f>
        <v>ON X.CHAVE_IT=Y.CHAVE_SIMUL</v>
      </c>
      <c r="M254" s="32" t="str">
        <f>+IF(D254="Coerência",+IF(LEFT(H254,5)="FLOAT","SELECT '"&amp;UPPER(B254)&amp;"' AS TABELA, '"&amp;UPPER(D254)&amp;"' AS TIPOLOGIA_TESTE,'"&amp;E254&amp;"' AS TABELA_LT,'"&amp;F254&amp;"' AS TABELA_SIMUL,'"&amp;C254&amp;"'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"&amp;J254&amp;" INNER JOIN "&amp;K254&amp;" "&amp;L254,"SELECT '"&amp;UPPER(B254)&amp;"' AS TABELA, '"&amp;UPPER(D254)&amp;"' AS TIPOLOGIA_TESTE,'"&amp;E254&amp;"' AS TABELA_LT,'"&amp;F254&amp;"' AS TABELA_SIMUL,'"&amp;C254&amp;"'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"&amp;J254&amp;" INNER JOIN "&amp;K254&amp;" "&amp;L254))</f>
        <v>SELECT 'INSTRUMENT' AS TABELA, 'COERÊNCIA' AS TIPOLOGIA_TESTE,'CD_LOAN_TAPES_BCE.LT002_INSTRUMENT' AS TABELA_LT,'BU_LOANTAPE_WORK.LT002_INSTRUMENT' AS TABELA_SIMUL,'sstnbl_ctgry'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 AS CAMPO_IT FROM CD_LOAN_TAPES_BCE.LT002_INSTRUMENT WHERE ref_date='${ref_date}' AND nome_perimetro='Individual Local' AND segmento='ESTR' AND ambito='PM' AND entidade='00100')X INNER JOIN (SELECT instrmnt_id AS CHAVE_SIMUL, sstnbl_ctgry AS CAMPO_SIMUL FROM BU_LOANTAPE_WORK.LT002_INSTRUMENT WHERE ref_date='${ref_date}' AND nome_perimetro='Individual Local' AND segmento='ESTR' AND ambito='PM' AND entidade='00100')Y ON X.CHAVE_IT=Y.CHAVE_SIMUL</v>
      </c>
      <c r="N254" s="33" t="str">
        <f t="shared" si="9"/>
        <v>UNION ALL SELECT 'INSTRUMENT' AS TABELA, 'COERÊNCIA' AS TIPOLOGIA_TESTE,'CD_LOAN_TAPES_BCE.LT002_INSTRUMENT' AS TABELA_LT,'BU_LOANTAPE_WORK.LT002_INSTRUMENT' AS TABELA_SIMUL,'sstnbl_ctgry'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 AS CAMPO_IT FROM CD_LOAN_TAPES_BCE.LT002_INSTRUMENT WHERE ref_date='${ref_date}' AND nome_perimetro='Individual Local' AND segmento='ESTR' AND ambito='PM' AND entidade='00100')X INNER JOIN (SELECT instrmnt_id AS CHAVE_SIMUL, sstnbl_ctgry AS CAMPO_SIMUL FROM BU_LOANTAPE_WORK.LT002_INSTRUMENT WHERE ref_date='${ref_date}' AND nome_perimetro='Individual Local' AND segmento='ESTR' AND ambito='PM' AND entidade='00100')Y ON X.CHAVE_IT=Y.CHAVE_SIMUL</v>
      </c>
      <c r="O254" s="35" t="s">
        <v>35</v>
      </c>
    </row>
    <row r="255" spans="1:15">
      <c r="A255" s="57" t="str">
        <f t="shared" si="8"/>
        <v>Instrumentavrg_blnc</v>
      </c>
      <c r="B255" s="32" t="s">
        <v>9</v>
      </c>
      <c r="C255" s="32" t="s">
        <v>420</v>
      </c>
      <c r="D255" s="32" t="s">
        <v>5</v>
      </c>
      <c r="E255" s="32" t="str">
        <f>+UPPER('0. Instruções'!$D$35&amp;"."&amp;VLOOKUP(B255,'0. Instruções'!$C$27:$D$32,2,FALSE))</f>
        <v>CD_LOAN_TAPES_BCE.LT002_INSTRUMENT</v>
      </c>
      <c r="F255" s="32" t="str">
        <f>+UPPER('0. Instruções'!$D$36&amp;"."&amp;VLOOKUP(B255,'0. Instruções'!$C$27:$E$32,3,FALSE))</f>
        <v>BU_LOANTAPE_WORK.LT002_INSTRUMENT</v>
      </c>
      <c r="H255" s="32"/>
      <c r="I255" s="32"/>
      <c r="J255" s="32" t="str">
        <f>IF(VLOOKUP(B255,'0. Instruções'!$C$27:$G$32,5,FALSE)=0,
"(SELECT "&amp;VLOOKUP(B255,'0. Instruções'!$C$27:$G$32,4,FALSE)&amp;" AS CHAVE_IT, "&amp;C255&amp;" AS CAMPO_IT FROM "&amp;E255&amp;" WHERE "&amp;'0. Instruções'!$D$43&amp;")X",
"(SELECT "&amp;VLOOKUP(B255,'0. Instruções'!$C$27:$G$32,4,FALSE)&amp;" AS CHAVE_IT1, "&amp;VLOOKUP(B255,'0. Instruções'!$C$27:$G$32,5,FALSE)&amp;" AS CHAVE_IT2, "&amp;C255&amp;" AS CAMPO_IT FROM "&amp;E255&amp;" WHERE "&amp;'0. Instruções'!$D$43&amp;")X")</f>
        <v>(SELECT instrmnt_id AS CHAVE_IT, avrg_blnc AS CAMPO_IT FROM CD_LOAN_TAPES_BCE.LT002_INSTRUMENT WHERE ref_date='${ref_date}' AND nome_perimetro='Individual Local' AND segmento='ESTR' AND ambito='PM' AND entidade='00100')X</v>
      </c>
      <c r="K255" s="32" t="str">
        <f>IF(VLOOKUP(B255,'0. Instruções'!$C$27:$G$32,5,FALSE)=0,
"(SELECT "&amp;VLOOKUP(B255,'0. Instruções'!$C$27:$G$32,4,FALSE)&amp;" AS CHAVE_SIMUL, "&amp;C255&amp;" AS CAMPO_SIMUL FROM "&amp;F255&amp;" WHERE "&amp;'0. Instruções'!$D$42&amp;")Y",
"(SELECT "&amp;VLOOKUP(B255,'0. Instruções'!$C$27:$G$32,4,FALSE)&amp;" AS CHAVE_SIMUL1, "&amp;VLOOKUP(B255,'0. Instruções'!$C$27:$G$32,5,FALSE)&amp;" AS CHAVE_SIMUL2, "&amp;C255&amp;" AS CAMPO_SIMUL FROM "&amp;F255&amp;" WHERE "&amp;'0. Instruções'!$D$42&amp;")Y")</f>
        <v>(SELECT instrmnt_id AS CHAVE_SIMUL, avrg_blnc AS CAMPO_SIMUL FROM BU_LOANTAPE_WORK.LT002_INSTRUMENT WHERE ref_date='${ref_date}' AND nome_perimetro='Individual Local' AND segmento='ESTR' AND ambito='PM' AND entidade='00100')Y</v>
      </c>
      <c r="L255" s="32" t="str">
        <f>IF(VLOOKUP(B255,'0. Instruções'!$C$27:$G$32,5,FALSE)=0,
"ON X.CHAVE_IT=Y.CHAVE_SIMUL",
"ON X.CHAVE_IT1=Y.CHAVE_SIMUL1 AND X.CHAVE_IT2=Y.CHAVE_SIMUL2")</f>
        <v>ON X.CHAVE_IT=Y.CHAVE_SIMUL</v>
      </c>
      <c r="M255" s="32" t="str">
        <f>+IF(D255="Coerência",+IF(LEFT(H255,5)="FLOAT","SELECT '"&amp;UPPER(B255)&amp;"' AS TABELA, '"&amp;UPPER(D255)&amp;"' AS TIPOLOGIA_TESTE,'"&amp;E255&amp;"' AS TABELA_LT,'"&amp;F255&amp;"' AS TABELA_SIMUL,'"&amp;C255&amp;"'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"&amp;J255&amp;" INNER JOIN "&amp;K255&amp;" "&amp;L255,"SELECT '"&amp;UPPER(B255)&amp;"' AS TABELA, '"&amp;UPPER(D255)&amp;"' AS TIPOLOGIA_TESTE,'"&amp;E255&amp;"' AS TABELA_LT,'"&amp;F255&amp;"' AS TABELA_SIMUL,'"&amp;C255&amp;"'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"&amp;J255&amp;" INNER JOIN "&amp;K255&amp;" "&amp;L255))</f>
        <v>SELECT 'INSTRUMENT' AS TABELA, 'COERÊNCIA' AS TIPOLOGIA_TESTE,'CD_LOAN_TAPES_BCE.LT002_INSTRUMENT' AS TABELA_LT,'BU_LOANTAPE_WORK.LT002_INSTRUMENT' AS TABELA_SIMUL,'avrg_blnc'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 AS CAMPO_IT FROM CD_LOAN_TAPES_BCE.LT002_INSTRUMENT WHERE ref_date='${ref_date}' AND nome_perimetro='Individual Local' AND segmento='ESTR' AND ambito='PM' AND entidade='00100')X INNER JOIN (SELECT instrmnt_id AS CHAVE_SIMUL, avrg_blnc AS CAMPO_SIMUL FROM BU_LOANTAPE_WORK.LT002_INSTRUMENT WHERE ref_date='${ref_date}' AND nome_perimetro='Individual Local' AND segmento='ESTR' AND ambito='PM' AND entidade='00100')Y ON X.CHAVE_IT=Y.CHAVE_SIMUL</v>
      </c>
      <c r="N255" s="33" t="str">
        <f t="shared" si="9"/>
        <v>UNION ALL SELECT 'INSTRUMENT' AS TABELA, 'COERÊNCIA' AS TIPOLOGIA_TESTE,'CD_LOAN_TAPES_BCE.LT002_INSTRUMENT' AS TABELA_LT,'BU_LOANTAPE_WORK.LT002_INSTRUMENT' AS TABELA_SIMUL,'avrg_blnc'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 AS CAMPO_IT FROM CD_LOAN_TAPES_BCE.LT002_INSTRUMENT WHERE ref_date='${ref_date}' AND nome_perimetro='Individual Local' AND segmento='ESTR' AND ambito='PM' AND entidade='00100')X INNER JOIN (SELECT instrmnt_id AS CHAVE_SIMUL, avrg_blnc AS CAMPO_SIMUL FROM BU_LOANTAPE_WORK.LT002_INSTRUMENT WHERE ref_date='${ref_date}' AND nome_perimetro='Individual Local' AND segmento='ESTR' AND ambito='PM' AND entidade='00100')Y ON X.CHAVE_IT=Y.CHAVE_SIMUL</v>
      </c>
      <c r="O255" s="35" t="s">
        <v>35</v>
      </c>
    </row>
    <row r="256" spans="1:15">
      <c r="A256" s="57" t="str">
        <f t="shared" si="8"/>
        <v>Instrumentnw_bsnss</v>
      </c>
      <c r="B256" s="32" t="s">
        <v>9</v>
      </c>
      <c r="C256" s="32" t="s">
        <v>421</v>
      </c>
      <c r="D256" s="32" t="s">
        <v>5</v>
      </c>
      <c r="E256" s="32" t="str">
        <f>+UPPER('0. Instruções'!$D$35&amp;"."&amp;VLOOKUP(B256,'0. Instruções'!$C$27:$D$32,2,FALSE))</f>
        <v>CD_LOAN_TAPES_BCE.LT002_INSTRUMENT</v>
      </c>
      <c r="F256" s="32" t="str">
        <f>+UPPER('0. Instruções'!$D$36&amp;"."&amp;VLOOKUP(B256,'0. Instruções'!$C$27:$E$32,3,FALSE))</f>
        <v>BU_LOANTAPE_WORK.LT002_INSTRUMENT</v>
      </c>
      <c r="H256" s="32"/>
      <c r="I256" s="32"/>
      <c r="J256" s="32" t="str">
        <f>IF(VLOOKUP(B256,'0. Instruções'!$C$27:$G$32,5,FALSE)=0,
"(SELECT "&amp;VLOOKUP(B256,'0. Instruções'!$C$27:$G$32,4,FALSE)&amp;" AS CHAVE_IT, "&amp;C256&amp;" AS CAMPO_IT FROM "&amp;E256&amp;" WHERE "&amp;'0. Instruções'!$D$43&amp;")X",
"(SELECT "&amp;VLOOKUP(B256,'0. Instruções'!$C$27:$G$32,4,FALSE)&amp;" AS CHAVE_IT1, "&amp;VLOOKUP(B256,'0. Instruções'!$C$27:$G$32,5,FALSE)&amp;" AS CHAVE_IT2, "&amp;C256&amp;" AS CAMPO_IT FROM "&amp;E256&amp;" WHERE "&amp;'0. Instruções'!$D$43&amp;")X")</f>
        <v>(SELECT instrmnt_id AS CHAVE_IT, nw_bsnss AS CAMPO_IT FROM CD_LOAN_TAPES_BCE.LT002_INSTRUMENT WHERE ref_date='${ref_date}' AND nome_perimetro='Individual Local' AND segmento='ESTR' AND ambito='PM' AND entidade='00100')X</v>
      </c>
      <c r="K256" s="32" t="str">
        <f>IF(VLOOKUP(B256,'0. Instruções'!$C$27:$G$32,5,FALSE)=0,
"(SELECT "&amp;VLOOKUP(B256,'0. Instruções'!$C$27:$G$32,4,FALSE)&amp;" AS CHAVE_SIMUL, "&amp;C256&amp;" AS CAMPO_SIMUL FROM "&amp;F256&amp;" WHERE "&amp;'0. Instruções'!$D$42&amp;")Y",
"(SELECT "&amp;VLOOKUP(B256,'0. Instruções'!$C$27:$G$32,4,FALSE)&amp;" AS CHAVE_SIMUL1, "&amp;VLOOKUP(B256,'0. Instruções'!$C$27:$G$32,5,FALSE)&amp;" AS CHAVE_SIMUL2, "&amp;C256&amp;" AS CAMPO_SIMUL FROM "&amp;F256&amp;" WHERE "&amp;'0. Instruções'!$D$42&amp;")Y")</f>
        <v>(SELECT instrmnt_id AS CHAVE_SIMUL, nw_bsnss AS CAMPO_SIMUL FROM BU_LOANTAPE_WORK.LT002_INSTRUMENT WHERE ref_date='${ref_date}' AND nome_perimetro='Individual Local' AND segmento='ESTR' AND ambito='PM' AND entidade='00100')Y</v>
      </c>
      <c r="L256" s="32" t="str">
        <f>IF(VLOOKUP(B256,'0. Instruções'!$C$27:$G$32,5,FALSE)=0,
"ON X.CHAVE_IT=Y.CHAVE_SIMUL",
"ON X.CHAVE_IT1=Y.CHAVE_SIMUL1 AND X.CHAVE_IT2=Y.CHAVE_SIMUL2")</f>
        <v>ON X.CHAVE_IT=Y.CHAVE_SIMUL</v>
      </c>
      <c r="M256" s="32" t="str">
        <f>+IF(D256="Coerência",+IF(LEFT(H256,5)="FLOAT","SELECT '"&amp;UPPER(B256)&amp;"' AS TABELA, '"&amp;UPPER(D256)&amp;"' AS TIPOLOGIA_TESTE,'"&amp;E256&amp;"' AS TABELA_LT,'"&amp;F256&amp;"' AS TABELA_SIMUL,'"&amp;C256&amp;"'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"&amp;J256&amp;" INNER JOIN "&amp;K256&amp;" "&amp;L256,"SELECT '"&amp;UPPER(B256)&amp;"' AS TABELA, '"&amp;UPPER(D256)&amp;"' AS TIPOLOGIA_TESTE,'"&amp;E256&amp;"' AS TABELA_LT,'"&amp;F256&amp;"' AS TABELA_SIMUL,'"&amp;C256&amp;"'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"&amp;J256&amp;" INNER JOIN "&amp;K256&amp;" "&amp;L256))</f>
        <v>SELECT 'INSTRUMENT' AS TABELA, 'COERÊNCIA' AS TIPOLOGIA_TESTE,'CD_LOAN_TAPES_BCE.LT002_INSTRUMENT' AS TABELA_LT,'BU_LOANTAPE_WORK.LT002_INSTRUMENT' AS TABELA_SIMUL,'nw_bsnss'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nw_bsnss AS CAMPO_IT FROM CD_LOAN_TAPES_BCE.LT002_INSTRUMENT WHERE ref_date='${ref_date}' AND nome_perimetro='Individual Local' AND segmento='ESTR' AND ambito='PM' AND entidade='00100')X INNER JOIN (SELECT instrmnt_id AS CHAVE_SIMUL, nw_bsnss AS CAMPO_SIMUL FROM BU_LOANTAPE_WORK.LT002_INSTRUMENT WHERE ref_date='${ref_date}' AND nome_perimetro='Individual Local' AND segmento='ESTR' AND ambito='PM' AND entidade='00100')Y ON X.CHAVE_IT=Y.CHAVE_SIMUL</v>
      </c>
      <c r="N256" s="33" t="str">
        <f t="shared" si="9"/>
        <v>UNION ALL SELECT 'INSTRUMENT' AS TABELA, 'COERÊNCIA' AS TIPOLOGIA_TESTE,'CD_LOAN_TAPES_BCE.LT002_INSTRUMENT' AS TABELA_LT,'BU_LOANTAPE_WORK.LT002_INSTRUMENT' AS TABELA_SIMUL,'nw_bsnss'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nw_bsnss AS CAMPO_IT FROM CD_LOAN_TAPES_BCE.LT002_INSTRUMENT WHERE ref_date='${ref_date}' AND nome_perimetro='Individual Local' AND segmento='ESTR' AND ambito='PM' AND entidade='00100')X INNER JOIN (SELECT instrmnt_id AS CHAVE_SIMUL, nw_bsnss AS CAMPO_SIMUL FROM BU_LOANTAPE_WORK.LT002_INSTRUMENT WHERE ref_date='${ref_date}' AND nome_perimetro='Individual Local' AND segmento='ESTR' AND ambito='PM' AND entidade='00100')Y ON X.CHAVE_IT=Y.CHAVE_SIMUL</v>
      </c>
      <c r="O256" s="35" t="s">
        <v>35</v>
      </c>
    </row>
    <row r="257" spans="1:15">
      <c r="A257" s="57" t="str">
        <f t="shared" si="8"/>
        <v>Instrumentgrss_intrst_incm</v>
      </c>
      <c r="B257" s="32" t="s">
        <v>9</v>
      </c>
      <c r="C257" s="32" t="s">
        <v>151</v>
      </c>
      <c r="D257" s="32" t="s">
        <v>5</v>
      </c>
      <c r="E257" s="32" t="str">
        <f>+UPPER('0. Instruções'!$D$35&amp;"."&amp;VLOOKUP(B257,'0. Instruções'!$C$27:$D$32,2,FALSE))</f>
        <v>CD_LOAN_TAPES_BCE.LT002_INSTRUMENT</v>
      </c>
      <c r="F257" s="32" t="str">
        <f>+UPPER('0. Instruções'!$D$36&amp;"."&amp;VLOOKUP(B257,'0. Instruções'!$C$27:$E$32,3,FALSE))</f>
        <v>BU_LOANTAPE_WORK.LT002_INSTRUMENT</v>
      </c>
      <c r="H257" s="32"/>
      <c r="I257" s="32"/>
      <c r="J257" s="32" t="str">
        <f>IF(VLOOKUP(B257,'0. Instruções'!$C$27:$G$32,5,FALSE)=0,
"(SELECT "&amp;VLOOKUP(B257,'0. Instruções'!$C$27:$G$32,4,FALSE)&amp;" AS CHAVE_IT, "&amp;C257&amp;" AS CAMPO_IT FROM "&amp;E257&amp;" WHERE "&amp;'0. Instruções'!$D$43&amp;")X",
"(SELECT "&amp;VLOOKUP(B257,'0. Instruções'!$C$27:$G$32,4,FALSE)&amp;" AS CHAVE_IT1, "&amp;VLOOKUP(B257,'0. Instruções'!$C$27:$G$32,5,FALSE)&amp;" AS CHAVE_IT2, "&amp;C257&amp;" AS CAMPO_IT FROM "&amp;E257&amp;" WHERE "&amp;'0. Instruções'!$D$43&amp;")X")</f>
        <v>(SELECT instrmnt_id AS CHAVE_IT, grss_intrst_incm AS CAMPO_IT FROM CD_LOAN_TAPES_BCE.LT002_INSTRUMENT WHERE ref_date='${ref_date}' AND nome_perimetro='Individual Local' AND segmento='ESTR' AND ambito='PM' AND entidade='00100')X</v>
      </c>
      <c r="K257" s="32" t="str">
        <f>IF(VLOOKUP(B257,'0. Instruções'!$C$27:$G$32,5,FALSE)=0,
"(SELECT "&amp;VLOOKUP(B257,'0. Instruções'!$C$27:$G$32,4,FALSE)&amp;" AS CHAVE_SIMUL, "&amp;C257&amp;" AS CAMPO_SIMUL FROM "&amp;F257&amp;" WHERE "&amp;'0. Instruções'!$D$42&amp;")Y",
"(SELECT "&amp;VLOOKUP(B257,'0. Instruções'!$C$27:$G$32,4,FALSE)&amp;" AS CHAVE_SIMUL1, "&amp;VLOOKUP(B257,'0. Instruções'!$C$27:$G$32,5,FALSE)&amp;" AS CHAVE_SIMUL2, "&amp;C257&amp;" AS CAMPO_SIMUL FROM "&amp;F257&amp;" WHERE "&amp;'0. Instruções'!$D$42&amp;")Y")</f>
        <v>(SELECT instrmnt_id AS CHAVE_SIMUL, grss_intrst_incm AS CAMPO_SIMUL FROM BU_LOANTAPE_WORK.LT002_INSTRUMENT WHERE ref_date='${ref_date}' AND nome_perimetro='Individual Local' AND segmento='ESTR' AND ambito='PM' AND entidade='00100')Y</v>
      </c>
      <c r="L257" s="32" t="str">
        <f>IF(VLOOKUP(B257,'0. Instruções'!$C$27:$G$32,5,FALSE)=0,
"ON X.CHAVE_IT=Y.CHAVE_SIMUL",
"ON X.CHAVE_IT1=Y.CHAVE_SIMUL1 AND X.CHAVE_IT2=Y.CHAVE_SIMUL2")</f>
        <v>ON X.CHAVE_IT=Y.CHAVE_SIMUL</v>
      </c>
      <c r="M257" s="32" t="str">
        <f>+IF(D257="Coerência",+IF(LEFT(H257,5)="FLOAT","SELECT '"&amp;UPPER(B257)&amp;"' AS TABELA, '"&amp;UPPER(D257)&amp;"' AS TIPOLOGIA_TESTE,'"&amp;E257&amp;"' AS TABELA_LT,'"&amp;F257&amp;"' AS TABELA_SIMUL,'"&amp;C257&amp;"'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"&amp;J257&amp;" INNER JOIN "&amp;K257&amp;" "&amp;L257,"SELECT '"&amp;UPPER(B257)&amp;"' AS TABELA, '"&amp;UPPER(D257)&amp;"' AS TIPOLOGIA_TESTE,'"&amp;E257&amp;"' AS TABELA_LT,'"&amp;F257&amp;"' AS TABELA_SIMUL,'"&amp;C257&amp;"'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"&amp;J257&amp;" INNER JOIN "&amp;K257&amp;" "&amp;L257))</f>
        <v>SELECT 'INSTRUMENT' AS TABELA, 'COERÊNCIA' AS TIPOLOGIA_TESTE,'CD_LOAN_TAPES_BCE.LT002_INSTRUMENT' AS TABELA_LT,'BU_LOANTAPE_WORK.LT002_INSTRUMENT' AS TABELA_SIMUL,'grss_intrst_incm'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 AS CAMPO_IT FROM CD_LOAN_TAPES_BCE.LT002_INSTRUMENT WHERE ref_date='${ref_date}' AND nome_perimetro='Individual Local' AND segmento='ESTR' AND ambito='PM' AND entidade='00100')X INNER JOIN (SELECT instrmnt_id AS CHAVE_SIMUL, grss_intrst_incm AS CAMPO_SIMUL FROM BU_LOANTAPE_WORK.LT002_INSTRUMENT WHERE ref_date='${ref_date}' AND nome_perimetro='Individual Local' AND segmento='ESTR' AND ambito='PM' AND entidade='00100')Y ON X.CHAVE_IT=Y.CHAVE_SIMUL</v>
      </c>
      <c r="N257" s="33" t="str">
        <f t="shared" si="9"/>
        <v>UNION ALL SELECT 'INSTRUMENT' AS TABELA, 'COERÊNCIA' AS TIPOLOGIA_TESTE,'CD_LOAN_TAPES_BCE.LT002_INSTRUMENT' AS TABELA_LT,'BU_LOANTAPE_WORK.LT002_INSTRUMENT' AS TABELA_SIMUL,'grss_intrst_incm'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 AS CAMPO_IT FROM CD_LOAN_TAPES_BCE.LT002_INSTRUMENT WHERE ref_date='${ref_date}' AND nome_perimetro='Individual Local' AND segmento='ESTR' AND ambito='PM' AND entidade='00100')X INNER JOIN (SELECT instrmnt_id AS CHAVE_SIMUL, grss_intrst_incm AS CAMPO_SIMUL FROM BU_LOANTAPE_WORK.LT002_INSTRUMENT WHERE ref_date='${ref_date}' AND nome_perimetro='Individual Local' AND segmento='ESTR' AND ambito='PM' AND entidade='00100')Y ON X.CHAVE_IT=Y.CHAVE_SIMUL</v>
      </c>
      <c r="O257" s="35" t="s">
        <v>35</v>
      </c>
    </row>
    <row r="258" spans="1:15">
      <c r="A258" s="57" t="str">
        <f t="shared" si="8"/>
        <v>Instrumentgrss_cmmssn_incm</v>
      </c>
      <c r="B258" s="32" t="s">
        <v>9</v>
      </c>
      <c r="C258" s="32" t="s">
        <v>152</v>
      </c>
      <c r="D258" s="32" t="s">
        <v>5</v>
      </c>
      <c r="E258" s="32" t="str">
        <f>+UPPER('0. Instruções'!$D$35&amp;"."&amp;VLOOKUP(B258,'0. Instruções'!$C$27:$D$32,2,FALSE))</f>
        <v>CD_LOAN_TAPES_BCE.LT002_INSTRUMENT</v>
      </c>
      <c r="F258" s="32" t="str">
        <f>+UPPER('0. Instruções'!$D$36&amp;"."&amp;VLOOKUP(B258,'0. Instruções'!$C$27:$E$32,3,FALSE))</f>
        <v>BU_LOANTAPE_WORK.LT002_INSTRUMENT</v>
      </c>
      <c r="H258" s="32"/>
      <c r="I258" s="32"/>
      <c r="J258" s="32" t="str">
        <f>IF(VLOOKUP(B258,'0. Instruções'!$C$27:$G$32,5,FALSE)=0,
"(SELECT "&amp;VLOOKUP(B258,'0. Instruções'!$C$27:$G$32,4,FALSE)&amp;" AS CHAVE_IT, "&amp;C258&amp;" AS CAMPO_IT FROM "&amp;E258&amp;" WHERE "&amp;'0. Instruções'!$D$43&amp;")X",
"(SELECT "&amp;VLOOKUP(B258,'0. Instruções'!$C$27:$G$32,4,FALSE)&amp;" AS CHAVE_IT1, "&amp;VLOOKUP(B258,'0. Instruções'!$C$27:$G$32,5,FALSE)&amp;" AS CHAVE_IT2, "&amp;C258&amp;" AS CAMPO_IT FROM "&amp;E258&amp;" WHERE "&amp;'0. Instruções'!$D$43&amp;")X")</f>
        <v>(SELECT instrmnt_id AS CHAVE_IT, grss_cmmssn_incm AS CAMPO_IT FROM CD_LOAN_TAPES_BCE.LT002_INSTRUMENT WHERE ref_date='${ref_date}' AND nome_perimetro='Individual Local' AND segmento='ESTR' AND ambito='PM' AND entidade='00100')X</v>
      </c>
      <c r="K258" s="32" t="str">
        <f>IF(VLOOKUP(B258,'0. Instruções'!$C$27:$G$32,5,FALSE)=0,
"(SELECT "&amp;VLOOKUP(B258,'0. Instruções'!$C$27:$G$32,4,FALSE)&amp;" AS CHAVE_SIMUL, "&amp;C258&amp;" AS CAMPO_SIMUL FROM "&amp;F258&amp;" WHERE "&amp;'0. Instruções'!$D$42&amp;")Y",
"(SELECT "&amp;VLOOKUP(B258,'0. Instruções'!$C$27:$G$32,4,FALSE)&amp;" AS CHAVE_SIMUL1, "&amp;VLOOKUP(B258,'0. Instruções'!$C$27:$G$32,5,FALSE)&amp;" AS CHAVE_SIMUL2, "&amp;C258&amp;" AS CAMPO_SIMUL FROM "&amp;F258&amp;" WHERE "&amp;'0. Instruções'!$D$42&amp;")Y")</f>
        <v>(SELECT instrmnt_id AS CHAVE_SIMUL, grss_cmmssn_incm AS CAMPO_SIMUL FROM BU_LOANTAPE_WORK.LT002_INSTRUMENT WHERE ref_date='${ref_date}' AND nome_perimetro='Individual Local' AND segmento='ESTR' AND ambito='PM' AND entidade='00100')Y</v>
      </c>
      <c r="L258" s="32" t="str">
        <f>IF(VLOOKUP(B258,'0. Instruções'!$C$27:$G$32,5,FALSE)=0,
"ON X.CHAVE_IT=Y.CHAVE_SIMUL",
"ON X.CHAVE_IT1=Y.CHAVE_SIMUL1 AND X.CHAVE_IT2=Y.CHAVE_SIMUL2")</f>
        <v>ON X.CHAVE_IT=Y.CHAVE_SIMUL</v>
      </c>
      <c r="M258" s="32" t="str">
        <f>+IF(D258="Coerência",+IF(LEFT(H258,5)="FLOAT","SELECT '"&amp;UPPER(B258)&amp;"' AS TABELA, '"&amp;UPPER(D258)&amp;"' AS TIPOLOGIA_TESTE,'"&amp;E258&amp;"' AS TABELA_LT,'"&amp;F258&amp;"' AS TABELA_SIMUL,'"&amp;C258&amp;"'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"&amp;J258&amp;" INNER JOIN "&amp;K258&amp;" "&amp;L258,"SELECT '"&amp;UPPER(B258)&amp;"' AS TABELA, '"&amp;UPPER(D258)&amp;"' AS TIPOLOGIA_TESTE,'"&amp;E258&amp;"' AS TABELA_LT,'"&amp;F258&amp;"' AS TABELA_SIMUL,'"&amp;C258&amp;"'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"&amp;J258&amp;" INNER JOIN "&amp;K258&amp;" "&amp;L258))</f>
        <v>SELECT 'INSTRUMENT' AS TABELA, 'COERÊNCIA' AS TIPOLOGIA_TESTE,'CD_LOAN_TAPES_BCE.LT002_INSTRUMENT' AS TABELA_LT,'BU_LOANTAPE_WORK.LT002_INSTRUMENT' AS TABELA_SIMUL,'grss_cmmssn_incm'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 AS CAMPO_IT FROM CD_LOAN_TAPES_BCE.LT002_INSTRUMENT WHERE ref_date='${ref_date}' AND nome_perimetro='Individual Local' AND segmento='ESTR' AND ambito='PM' AND entidade='00100')X INNER JOIN (SELECT instrmnt_id AS CHAVE_SIMUL, grss_cmmssn_incm AS CAMPO_SIMUL FROM BU_LOANTAPE_WORK.LT002_INSTRUMENT WHERE ref_date='${ref_date}' AND nome_perimetro='Individual Local' AND segmento='ESTR' AND ambito='PM' AND entidade='00100')Y ON X.CHAVE_IT=Y.CHAVE_SIMUL</v>
      </c>
      <c r="N258" s="33" t="str">
        <f t="shared" si="9"/>
        <v>UNION ALL SELECT 'INSTRUMENT' AS TABELA, 'COERÊNCIA' AS TIPOLOGIA_TESTE,'CD_LOAN_TAPES_BCE.LT002_INSTRUMENT' AS TABELA_LT,'BU_LOANTAPE_WORK.LT002_INSTRUMENT' AS TABELA_SIMUL,'grss_cmmssn_incm'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 AS CAMPO_IT FROM CD_LOAN_TAPES_BCE.LT002_INSTRUMENT WHERE ref_date='${ref_date}' AND nome_perimetro='Individual Local' AND segmento='ESTR' AND ambito='PM' AND entidade='00100')X INNER JOIN (SELECT instrmnt_id AS CHAVE_SIMUL, grss_cmmssn_incm AS CAMPO_SIMUL FROM BU_LOANTAPE_WORK.LT002_INSTRUMENT WHERE ref_date='${ref_date}' AND nome_perimetro='Individual Local' AND segmento='ESTR' AND ambito='PM' AND entidade='00100')Y ON X.CHAVE_IT=Y.CHAVE_SIMUL</v>
      </c>
      <c r="O258" s="35" t="s">
        <v>35</v>
      </c>
    </row>
    <row r="259" spans="1:15">
      <c r="A259" s="57" t="str">
        <f t="shared" si="8"/>
        <v>Instrumentintrnl_trnsfr_rt</v>
      </c>
      <c r="B259" s="32" t="s">
        <v>9</v>
      </c>
      <c r="C259" s="32" t="s">
        <v>422</v>
      </c>
      <c r="D259" s="32" t="s">
        <v>5</v>
      </c>
      <c r="E259" s="32" t="str">
        <f>+UPPER('0. Instruções'!$D$35&amp;"."&amp;VLOOKUP(B259,'0. Instruções'!$C$27:$D$32,2,FALSE))</f>
        <v>CD_LOAN_TAPES_BCE.LT002_INSTRUMENT</v>
      </c>
      <c r="F259" s="32" t="str">
        <f>+UPPER('0. Instruções'!$D$36&amp;"."&amp;VLOOKUP(B259,'0. Instruções'!$C$27:$E$32,3,FALSE))</f>
        <v>BU_LOANTAPE_WORK.LT002_INSTRUMENT</v>
      </c>
      <c r="H259" s="32"/>
      <c r="I259" s="32"/>
      <c r="J259" s="32" t="str">
        <f>IF(VLOOKUP(B259,'0. Instruções'!$C$27:$G$32,5,FALSE)=0,
"(SELECT "&amp;VLOOKUP(B259,'0. Instruções'!$C$27:$G$32,4,FALSE)&amp;" AS CHAVE_IT, "&amp;C259&amp;" AS CAMPO_IT FROM "&amp;E259&amp;" WHERE "&amp;'0. Instruções'!$D$43&amp;")X",
"(SELECT "&amp;VLOOKUP(B259,'0. Instruções'!$C$27:$G$32,4,FALSE)&amp;" AS CHAVE_IT1, "&amp;VLOOKUP(B259,'0. Instruções'!$C$27:$G$32,5,FALSE)&amp;" AS CHAVE_IT2, "&amp;C259&amp;" AS CAMPO_IT FROM "&amp;E259&amp;" WHERE "&amp;'0. Instruções'!$D$43&amp;")X")</f>
        <v>(SELECT instrmnt_id AS CHAVE_IT, intrnl_trnsfr_rt AS CAMPO_IT FROM CD_LOAN_TAPES_BCE.LT002_INSTRUMENT WHERE ref_date='${ref_date}' AND nome_perimetro='Individual Local' AND segmento='ESTR' AND ambito='PM' AND entidade='00100')X</v>
      </c>
      <c r="K259" s="32" t="str">
        <f>IF(VLOOKUP(B259,'0. Instruções'!$C$27:$G$32,5,FALSE)=0,
"(SELECT "&amp;VLOOKUP(B259,'0. Instruções'!$C$27:$G$32,4,FALSE)&amp;" AS CHAVE_SIMUL, "&amp;C259&amp;" AS CAMPO_SIMUL FROM "&amp;F259&amp;" WHERE "&amp;'0. Instruções'!$D$42&amp;")Y",
"(SELECT "&amp;VLOOKUP(B259,'0. Instruções'!$C$27:$G$32,4,FALSE)&amp;" AS CHAVE_SIMUL1, "&amp;VLOOKUP(B259,'0. Instruções'!$C$27:$G$32,5,FALSE)&amp;" AS CHAVE_SIMUL2, "&amp;C259&amp;" AS CAMPO_SIMUL FROM "&amp;F259&amp;" WHERE "&amp;'0. Instruções'!$D$42&amp;")Y")</f>
        <v>(SELECT instrmnt_id AS CHAVE_SIMUL, intrnl_trnsfr_rt AS CAMPO_SIMUL FROM BU_LOANTAPE_WORK.LT002_INSTRUMENT WHERE ref_date='${ref_date}' AND nome_perimetro='Individual Local' AND segmento='ESTR' AND ambito='PM' AND entidade='00100')Y</v>
      </c>
      <c r="L259" s="32" t="str">
        <f>IF(VLOOKUP(B259,'0. Instruções'!$C$27:$G$32,5,FALSE)=0,
"ON X.CHAVE_IT=Y.CHAVE_SIMUL",
"ON X.CHAVE_IT1=Y.CHAVE_SIMUL1 AND X.CHAVE_IT2=Y.CHAVE_SIMUL2")</f>
        <v>ON X.CHAVE_IT=Y.CHAVE_SIMUL</v>
      </c>
      <c r="M259" s="32" t="str">
        <f>+IF(D259="Coerência",+IF(LEFT(H259,5)="FLOAT","SELECT '"&amp;UPPER(B259)&amp;"' AS TABELA, '"&amp;UPPER(D259)&amp;"' AS TIPOLOGIA_TESTE,'"&amp;E259&amp;"' AS TABELA_LT,'"&amp;F259&amp;"' AS TABELA_SIMUL,'"&amp;C259&amp;"'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"&amp;J259&amp;" INNER JOIN "&amp;K259&amp;" "&amp;L259,"SELECT '"&amp;UPPER(B259)&amp;"' AS TABELA, '"&amp;UPPER(D259)&amp;"' AS TIPOLOGIA_TESTE,'"&amp;E259&amp;"' AS TABELA_LT,'"&amp;F259&amp;"' AS TABELA_SIMUL,'"&amp;C259&amp;"'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"&amp;J259&amp;" INNER JOIN "&amp;K259&amp;" "&amp;L259))</f>
        <v>SELECT 'INSTRUMENT' AS TABELA, 'COERÊNCIA' AS TIPOLOGIA_TESTE,'CD_LOAN_TAPES_BCE.LT002_INSTRUMENT' AS TABELA_LT,'BU_LOANTAPE_WORK.LT002_INSTRUMENT' AS TABELA_SIMUL,'intrnl_trnsfr_rt'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 AS CAMPO_IT FROM CD_LOAN_TAPES_BCE.LT002_INSTRUMENT WHERE ref_date='${ref_date}' AND nome_perimetro='Individual Local' AND segmento='ESTR' AND ambito='PM' AND entidade='00100')X INNER JOIN (SELECT instrmnt_id AS CHAVE_SIMUL, intrnl_trnsfr_rt AS CAMPO_SIMUL FROM BU_LOANTAPE_WORK.LT002_INSTRUMENT WHERE ref_date='${ref_date}' AND nome_perimetro='Individual Local' AND segmento='ESTR' AND ambito='PM' AND entidade='00100')Y ON X.CHAVE_IT=Y.CHAVE_SIMUL</v>
      </c>
      <c r="N259" s="33" t="str">
        <f t="shared" si="9"/>
        <v>UNION ALL SELECT 'INSTRUMENT' AS TABELA, 'COERÊNCIA' AS TIPOLOGIA_TESTE,'CD_LOAN_TAPES_BCE.LT002_INSTRUMENT' AS TABELA_LT,'BU_LOANTAPE_WORK.LT002_INSTRUMENT' AS TABELA_SIMUL,'intrnl_trnsfr_rt'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 AS CAMPO_IT FROM CD_LOAN_TAPES_BCE.LT002_INSTRUMENT WHERE ref_date='${ref_date}' AND nome_perimetro='Individual Local' AND segmento='ESTR' AND ambito='PM' AND entidade='00100')X INNER JOIN (SELECT instrmnt_id AS CHAVE_SIMUL, intrnl_trnsfr_rt AS CAMPO_SIMUL FROM BU_LOANTAPE_WORK.LT002_INSTRUMENT WHERE ref_date='${ref_date}' AND nome_perimetro='Individual Local' AND segmento='ESTR' AND ambito='PM' AND entidade='00100')Y ON X.CHAVE_IT=Y.CHAVE_SIMUL</v>
      </c>
      <c r="O259" s="35" t="s">
        <v>35</v>
      </c>
    </row>
    <row r="260" spans="1:15">
      <c r="A260" s="57" t="str">
        <f t="shared" si="8"/>
        <v>Instrumentnt_ln_lss_prvsn</v>
      </c>
      <c r="B260" s="32" t="s">
        <v>9</v>
      </c>
      <c r="C260" s="32" t="s">
        <v>423</v>
      </c>
      <c r="D260" s="32" t="s">
        <v>5</v>
      </c>
      <c r="E260" s="32" t="str">
        <f>+UPPER('0. Instruções'!$D$35&amp;"."&amp;VLOOKUP(B260,'0. Instruções'!$C$27:$D$32,2,FALSE))</f>
        <v>CD_LOAN_TAPES_BCE.LT002_INSTRUMENT</v>
      </c>
      <c r="F260" s="32" t="str">
        <f>+UPPER('0. Instruções'!$D$36&amp;"."&amp;VLOOKUP(B260,'0. Instruções'!$C$27:$E$32,3,FALSE))</f>
        <v>BU_LOANTAPE_WORK.LT002_INSTRUMENT</v>
      </c>
      <c r="H260" s="32"/>
      <c r="I260" s="32"/>
      <c r="J260" s="32" t="str">
        <f>IF(VLOOKUP(B260,'0. Instruções'!$C$27:$G$32,5,FALSE)=0,
"(SELECT "&amp;VLOOKUP(B260,'0. Instruções'!$C$27:$G$32,4,FALSE)&amp;" AS CHAVE_IT, "&amp;C260&amp;" AS CAMPO_IT FROM "&amp;E260&amp;" WHERE "&amp;'0. Instruções'!$D$43&amp;")X",
"(SELECT "&amp;VLOOKUP(B260,'0. Instruções'!$C$27:$G$32,4,FALSE)&amp;" AS CHAVE_IT1, "&amp;VLOOKUP(B260,'0. Instruções'!$C$27:$G$32,5,FALSE)&amp;" AS CHAVE_IT2, "&amp;C260&amp;" AS CAMPO_IT FROM "&amp;E260&amp;" WHERE "&amp;'0. Instruções'!$D$43&amp;")X")</f>
        <v>(SELECT instrmnt_id AS CHAVE_IT, nt_ln_lss_prvsn AS CAMPO_IT FROM CD_LOAN_TAPES_BCE.LT002_INSTRUMENT WHERE ref_date='${ref_date}' AND nome_perimetro='Individual Local' AND segmento='ESTR' AND ambito='PM' AND entidade='00100')X</v>
      </c>
      <c r="K260" s="32" t="str">
        <f>IF(VLOOKUP(B260,'0. Instruções'!$C$27:$G$32,5,FALSE)=0,
"(SELECT "&amp;VLOOKUP(B260,'0. Instruções'!$C$27:$G$32,4,FALSE)&amp;" AS CHAVE_SIMUL, "&amp;C260&amp;" AS CAMPO_SIMUL FROM "&amp;F260&amp;" WHERE "&amp;'0. Instruções'!$D$42&amp;")Y",
"(SELECT "&amp;VLOOKUP(B260,'0. Instruções'!$C$27:$G$32,4,FALSE)&amp;" AS CHAVE_SIMUL1, "&amp;VLOOKUP(B260,'0. Instruções'!$C$27:$G$32,5,FALSE)&amp;" AS CHAVE_SIMUL2, "&amp;C260&amp;" AS CAMPO_SIMUL FROM "&amp;F260&amp;" WHERE "&amp;'0. Instruções'!$D$42&amp;")Y")</f>
        <v>(SELECT instrmnt_id AS CHAVE_SIMUL, nt_ln_lss_prvsn AS CAMPO_SIMUL FROM BU_LOANTAPE_WORK.LT002_INSTRUMENT WHERE ref_date='${ref_date}' AND nome_perimetro='Individual Local' AND segmento='ESTR' AND ambito='PM' AND entidade='00100')Y</v>
      </c>
      <c r="L260" s="32" t="str">
        <f>IF(VLOOKUP(B260,'0. Instruções'!$C$27:$G$32,5,FALSE)=0,
"ON X.CHAVE_IT=Y.CHAVE_SIMUL",
"ON X.CHAVE_IT1=Y.CHAVE_SIMUL1 AND X.CHAVE_IT2=Y.CHAVE_SIMUL2")</f>
        <v>ON X.CHAVE_IT=Y.CHAVE_SIMUL</v>
      </c>
      <c r="M260" s="32" t="str">
        <f>+IF(D260="Coerência",+IF(LEFT(H260,5)="FLOAT","SELECT '"&amp;UPPER(B260)&amp;"' AS TABELA, '"&amp;UPPER(D260)&amp;"' AS TIPOLOGIA_TESTE,'"&amp;E260&amp;"' AS TABELA_LT,'"&amp;F260&amp;"' AS TABELA_SIMUL,'"&amp;C260&amp;"'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"&amp;J260&amp;" INNER JOIN "&amp;K260&amp;" "&amp;L260,"SELECT '"&amp;UPPER(B260)&amp;"' AS TABELA, '"&amp;UPPER(D260)&amp;"' AS TIPOLOGIA_TESTE,'"&amp;E260&amp;"' AS TABELA_LT,'"&amp;F260&amp;"' AS TABELA_SIMUL,'"&amp;C260&amp;"'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"&amp;J260&amp;" INNER JOIN "&amp;K260&amp;" "&amp;L260))</f>
        <v>SELECT 'INSTRUMENT' AS TABELA, 'COERÊNCIA' AS TIPOLOGIA_TESTE,'CD_LOAN_TAPES_BCE.LT002_INSTRUMENT' AS TABELA_LT,'BU_LOANTAPE_WORK.LT002_INSTRUMENT' AS TABELA_SIMUL,'nt_ln_lss_prvsn'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 AS CAMPO_IT FROM CD_LOAN_TAPES_BCE.LT002_INSTRUMENT WHERE ref_date='${ref_date}' AND nome_perimetro='Individual Local' AND segmento='ESTR' AND ambito='PM' AND entidade='00100')X INNER JOIN (SELECT instrmnt_id AS CHAVE_SIMUL, nt_ln_lss_prvsn AS CAMPO_SIMUL FROM BU_LOANTAPE_WORK.LT002_INSTRUMENT WHERE ref_date='${ref_date}' AND nome_perimetro='Individual Local' AND segmento='ESTR' AND ambito='PM' AND entidade='00100')Y ON X.CHAVE_IT=Y.CHAVE_SIMUL</v>
      </c>
      <c r="N260" s="33" t="str">
        <f t="shared" si="9"/>
        <v>UNION ALL SELECT 'INSTRUMENT' AS TABELA, 'COERÊNCIA' AS TIPOLOGIA_TESTE,'CD_LOAN_TAPES_BCE.LT002_INSTRUMENT' AS TABELA_LT,'BU_LOANTAPE_WORK.LT002_INSTRUMENT' AS TABELA_SIMUL,'nt_ln_lss_prvsn'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 AS CAMPO_IT FROM CD_LOAN_TAPES_BCE.LT002_INSTRUMENT WHERE ref_date='${ref_date}' AND nome_perimetro='Individual Local' AND segmento='ESTR' AND ambito='PM' AND entidade='00100')X INNER JOIN (SELECT instrmnt_id AS CHAVE_SIMUL, nt_ln_lss_prvsn AS CAMPO_SIMUL FROM BU_LOANTAPE_WORK.LT002_INSTRUMENT WHERE ref_date='${ref_date}' AND nome_perimetro='Individual Local' AND segmento='ESTR' AND ambito='PM' AND entidade='00100')Y ON X.CHAVE_IT=Y.CHAVE_SIMUL</v>
      </c>
      <c r="O260" s="35" t="s">
        <v>35</v>
      </c>
    </row>
    <row r="261" spans="1:15">
      <c r="A261" s="57" t="str">
        <f t="shared" si="8"/>
        <v>Instrumentbsnss_area</v>
      </c>
      <c r="B261" s="32" t="s">
        <v>9</v>
      </c>
      <c r="C261" s="32" t="s">
        <v>424</v>
      </c>
      <c r="D261" s="32" t="s">
        <v>5</v>
      </c>
      <c r="E261" s="32" t="str">
        <f>+UPPER('0. Instruções'!$D$35&amp;"."&amp;VLOOKUP(B261,'0. Instruções'!$C$27:$D$32,2,FALSE))</f>
        <v>CD_LOAN_TAPES_BCE.LT002_INSTRUMENT</v>
      </c>
      <c r="F261" s="32" t="str">
        <f>+UPPER('0. Instruções'!$D$36&amp;"."&amp;VLOOKUP(B261,'0. Instruções'!$C$27:$E$32,3,FALSE))</f>
        <v>BU_LOANTAPE_WORK.LT002_INSTRUMENT</v>
      </c>
      <c r="H261" s="32"/>
      <c r="I261" s="32"/>
      <c r="J261" s="32" t="str">
        <f>IF(VLOOKUP(B261,'0. Instruções'!$C$27:$G$32,5,FALSE)=0,
"(SELECT "&amp;VLOOKUP(B261,'0. Instruções'!$C$27:$G$32,4,FALSE)&amp;" AS CHAVE_IT, "&amp;C261&amp;" AS CAMPO_IT FROM "&amp;E261&amp;" WHERE "&amp;'0. Instruções'!$D$43&amp;")X",
"(SELECT "&amp;VLOOKUP(B261,'0. Instruções'!$C$27:$G$32,4,FALSE)&amp;" AS CHAVE_IT1, "&amp;VLOOKUP(B261,'0. Instruções'!$C$27:$G$32,5,FALSE)&amp;" AS CHAVE_IT2, "&amp;C261&amp;" AS CAMPO_IT FROM "&amp;E261&amp;" WHERE "&amp;'0. Instruções'!$D$43&amp;")X")</f>
        <v>(SELECT instrmnt_id AS CHAVE_IT, bsnss_area AS CAMPO_IT FROM CD_LOAN_TAPES_BCE.LT002_INSTRUMENT WHERE ref_date='${ref_date}' AND nome_perimetro='Individual Local' AND segmento='ESTR' AND ambito='PM' AND entidade='00100')X</v>
      </c>
      <c r="K261" s="32" t="str">
        <f>IF(VLOOKUP(B261,'0. Instruções'!$C$27:$G$32,5,FALSE)=0,
"(SELECT "&amp;VLOOKUP(B261,'0. Instruções'!$C$27:$G$32,4,FALSE)&amp;" AS CHAVE_SIMUL, "&amp;C261&amp;" AS CAMPO_SIMUL FROM "&amp;F261&amp;" WHERE "&amp;'0. Instruções'!$D$42&amp;")Y",
"(SELECT "&amp;VLOOKUP(B261,'0. Instruções'!$C$27:$G$32,4,FALSE)&amp;" AS CHAVE_SIMUL1, "&amp;VLOOKUP(B261,'0. Instruções'!$C$27:$G$32,5,FALSE)&amp;" AS CHAVE_SIMUL2, "&amp;C261&amp;" AS CAMPO_SIMUL FROM "&amp;F261&amp;" WHERE "&amp;'0. Instruções'!$D$42&amp;")Y")</f>
        <v>(SELECT instrmnt_id AS CHAVE_SIMUL, bsnss_area AS CAMPO_SIMUL FROM BU_LOANTAPE_WORK.LT002_INSTRUMENT WHERE ref_date='${ref_date}' AND nome_perimetro='Individual Local' AND segmento='ESTR' AND ambito='PM' AND entidade='00100')Y</v>
      </c>
      <c r="L261" s="32" t="str">
        <f>IF(VLOOKUP(B261,'0. Instruções'!$C$27:$G$32,5,FALSE)=0,
"ON X.CHAVE_IT=Y.CHAVE_SIMUL",
"ON X.CHAVE_IT1=Y.CHAVE_SIMUL1 AND X.CHAVE_IT2=Y.CHAVE_SIMUL2")</f>
        <v>ON X.CHAVE_IT=Y.CHAVE_SIMUL</v>
      </c>
      <c r="M261" s="32" t="str">
        <f>+IF(D261="Coerência",+IF(LEFT(H261,5)="FLOAT","SELECT '"&amp;UPPER(B261)&amp;"' AS TABELA, '"&amp;UPPER(D261)&amp;"' AS TIPOLOGIA_TESTE,'"&amp;E261&amp;"' AS TABELA_LT,'"&amp;F261&amp;"' AS TABELA_SIMUL,'"&amp;C261&amp;"'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"&amp;J261&amp;" INNER JOIN "&amp;K261&amp;" "&amp;L261,"SELECT '"&amp;UPPER(B261)&amp;"' AS TABELA, '"&amp;UPPER(D261)&amp;"' AS TIPOLOGIA_TESTE,'"&amp;E261&amp;"' AS TABELA_LT,'"&amp;F261&amp;"' AS TABELA_SIMUL,'"&amp;C261&amp;"'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"&amp;J261&amp;" INNER JOIN "&amp;K261&amp;" "&amp;L261))</f>
        <v>SELECT 'INSTRUMENT' AS TABELA, 'COERÊNCIA' AS TIPOLOGIA_TESTE,'CD_LOAN_TAPES_BCE.LT002_INSTRUMENT' AS TABELA_LT,'BU_LOANTAPE_WORK.LT002_INSTRUMENT' AS TABELA_SIMUL,'bsnss_area'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 AS CAMPO_IT FROM CD_LOAN_TAPES_BCE.LT002_INSTRUMENT WHERE ref_date='${ref_date}' AND nome_perimetro='Individual Local' AND segmento='ESTR' AND ambito='PM' AND entidade='00100')X INNER JOIN (SELECT instrmnt_id AS CHAVE_SIMUL, bsnss_area AS CAMPO_SIMUL FROM BU_LOANTAPE_WORK.LT002_INSTRUMENT WHERE ref_date='${ref_date}' AND nome_perimetro='Individual Local' AND segmento='ESTR' AND ambito='PM' AND entidade='00100')Y ON X.CHAVE_IT=Y.CHAVE_SIMUL</v>
      </c>
      <c r="N261" s="33" t="str">
        <f t="shared" si="9"/>
        <v>UNION ALL SELECT 'INSTRUMENT' AS TABELA, 'COERÊNCIA' AS TIPOLOGIA_TESTE,'CD_LOAN_TAPES_BCE.LT002_INSTRUMENT' AS TABELA_LT,'BU_LOANTAPE_WORK.LT002_INSTRUMENT' AS TABELA_SIMUL,'bsnss_area'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 AS CAMPO_IT FROM CD_LOAN_TAPES_BCE.LT002_INSTRUMENT WHERE ref_date='${ref_date}' AND nome_perimetro='Individual Local' AND segmento='ESTR' AND ambito='PM' AND entidade='00100')X INNER JOIN (SELECT instrmnt_id AS CHAVE_SIMUL, bsnss_area AS CAMPO_SIMUL FROM BU_LOANTAPE_WORK.LT002_INSTRUMENT WHERE ref_date='${ref_date}' AND nome_perimetro='Individual Local' AND segmento='ESTR' AND ambito='PM' AND entidade='00100')Y ON X.CHAVE_IT=Y.CHAVE_SIMUL</v>
      </c>
      <c r="O261" s="35" t="s">
        <v>35</v>
      </c>
    </row>
    <row r="262" spans="1:15">
      <c r="A262" s="57" t="str">
        <f t="shared" si="8"/>
        <v>Instrumentmngmnt_prdct</v>
      </c>
      <c r="B262" s="32" t="s">
        <v>9</v>
      </c>
      <c r="C262" s="32" t="s">
        <v>425</v>
      </c>
      <c r="D262" s="32" t="s">
        <v>5</v>
      </c>
      <c r="E262" s="32" t="str">
        <f>+UPPER('0. Instruções'!$D$35&amp;"."&amp;VLOOKUP(B262,'0. Instruções'!$C$27:$D$32,2,FALSE))</f>
        <v>CD_LOAN_TAPES_BCE.LT002_INSTRUMENT</v>
      </c>
      <c r="F262" s="32" t="str">
        <f>+UPPER('0. Instruções'!$D$36&amp;"."&amp;VLOOKUP(B262,'0. Instruções'!$C$27:$E$32,3,FALSE))</f>
        <v>BU_LOANTAPE_WORK.LT002_INSTRUMENT</v>
      </c>
      <c r="H262" s="32"/>
      <c r="I262" s="32"/>
      <c r="J262" s="32" t="str">
        <f>IF(VLOOKUP(B262,'0. Instruções'!$C$27:$G$32,5,FALSE)=0,
"(SELECT "&amp;VLOOKUP(B262,'0. Instruções'!$C$27:$G$32,4,FALSE)&amp;" AS CHAVE_IT, "&amp;C262&amp;" AS CAMPO_IT FROM "&amp;E262&amp;" WHERE "&amp;'0. Instruções'!$D$43&amp;")X",
"(SELECT "&amp;VLOOKUP(B262,'0. Instruções'!$C$27:$G$32,4,FALSE)&amp;" AS CHAVE_IT1, "&amp;VLOOKUP(B262,'0. Instruções'!$C$27:$G$32,5,FALSE)&amp;" AS CHAVE_IT2, "&amp;C262&amp;" AS CAMPO_IT FROM "&amp;E262&amp;" WHERE "&amp;'0. Instruções'!$D$43&amp;")X")</f>
        <v>(SELECT instrmnt_id AS CHAVE_IT, mngmnt_prdct AS CAMPO_IT FROM CD_LOAN_TAPES_BCE.LT002_INSTRUMENT WHERE ref_date='${ref_date}' AND nome_perimetro='Individual Local' AND segmento='ESTR' AND ambito='PM' AND entidade='00100')X</v>
      </c>
      <c r="K262" s="32" t="str">
        <f>IF(VLOOKUP(B262,'0. Instruções'!$C$27:$G$32,5,FALSE)=0,
"(SELECT "&amp;VLOOKUP(B262,'0. Instruções'!$C$27:$G$32,4,FALSE)&amp;" AS CHAVE_SIMUL, "&amp;C262&amp;" AS CAMPO_SIMUL FROM "&amp;F262&amp;" WHERE "&amp;'0. Instruções'!$D$42&amp;")Y",
"(SELECT "&amp;VLOOKUP(B262,'0. Instruções'!$C$27:$G$32,4,FALSE)&amp;" AS CHAVE_SIMUL1, "&amp;VLOOKUP(B262,'0. Instruções'!$C$27:$G$32,5,FALSE)&amp;" AS CHAVE_SIMUL2, "&amp;C262&amp;" AS CAMPO_SIMUL FROM "&amp;F262&amp;" WHERE "&amp;'0. Instruções'!$D$42&amp;")Y")</f>
        <v>(SELECT instrmnt_id AS CHAVE_SIMUL, mngmnt_prdct AS CAMPO_SIMUL FROM BU_LOANTAPE_WORK.LT002_INSTRUMENT WHERE ref_date='${ref_date}' AND nome_perimetro='Individual Local' AND segmento='ESTR' AND ambito='PM' AND entidade='00100')Y</v>
      </c>
      <c r="L262" s="32" t="str">
        <f>IF(VLOOKUP(B262,'0. Instruções'!$C$27:$G$32,5,FALSE)=0,
"ON X.CHAVE_IT=Y.CHAVE_SIMUL",
"ON X.CHAVE_IT1=Y.CHAVE_SIMUL1 AND X.CHAVE_IT2=Y.CHAVE_SIMUL2")</f>
        <v>ON X.CHAVE_IT=Y.CHAVE_SIMUL</v>
      </c>
      <c r="M262" s="32" t="str">
        <f>+IF(D262="Coerência",+IF(LEFT(H262,5)="FLOAT","SELECT '"&amp;UPPER(B262)&amp;"' AS TABELA, '"&amp;UPPER(D262)&amp;"' AS TIPOLOGIA_TESTE,'"&amp;E262&amp;"' AS TABELA_LT,'"&amp;F262&amp;"' AS TABELA_SIMUL,'"&amp;C262&amp;"'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"&amp;J262&amp;" INNER JOIN "&amp;K262&amp;" "&amp;L262,"SELECT '"&amp;UPPER(B262)&amp;"' AS TABELA, '"&amp;UPPER(D262)&amp;"' AS TIPOLOGIA_TESTE,'"&amp;E262&amp;"' AS TABELA_LT,'"&amp;F262&amp;"' AS TABELA_SIMUL,'"&amp;C262&amp;"'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"&amp;J262&amp;" INNER JOIN "&amp;K262&amp;" "&amp;L262))</f>
        <v>SELECT 'INSTRUMENT' AS TABELA, 'COERÊNCIA' AS TIPOLOGIA_TESTE,'CD_LOAN_TAPES_BCE.LT002_INSTRUMENT' AS TABELA_LT,'BU_LOANTAPE_WORK.LT002_INSTRUMENT' AS TABELA_SIMUL,'mngmnt_prdct'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mngmnt_prdct AS CAMPO_IT FROM CD_LOAN_TAPES_BCE.LT002_INSTRUMENT WHERE ref_date='${ref_date}' AND nome_perimetro='Individual Local' AND segmento='ESTR' AND ambito='PM' AND entidade='00100')X INNER JOIN (SELECT instrmnt_id AS CHAVE_SIMUL, mngmnt_prdct AS CAMPO_SIMUL FROM BU_LOANTAPE_WORK.LT002_INSTRUMENT WHERE ref_date='${ref_date}' AND nome_perimetro='Individual Local' AND segmento='ESTR' AND ambito='PM' AND entidade='00100')Y ON X.CHAVE_IT=Y.CHAVE_SIMUL</v>
      </c>
      <c r="N262" s="33" t="str">
        <f t="shared" si="9"/>
        <v>UNION ALL SELECT 'INSTRUMENT' AS TABELA, 'COERÊNCIA' AS TIPOLOGIA_TESTE,'CD_LOAN_TAPES_BCE.LT002_INSTRUMENT' AS TABELA_LT,'BU_LOANTAPE_WORK.LT002_INSTRUMENT' AS TABELA_SIMUL,'mngmnt_prdct'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mngmnt_prdct AS CAMPO_IT FROM CD_LOAN_TAPES_BCE.LT002_INSTRUMENT WHERE ref_date='${ref_date}' AND nome_perimetro='Individual Local' AND segmento='ESTR' AND ambito='PM' AND entidade='00100')X INNER JOIN (SELECT instrmnt_id AS CHAVE_SIMUL, mngmnt_prdct AS CAMPO_SIMUL FROM BU_LOANTAPE_WORK.LT002_INSTRUMENT WHERE ref_date='${ref_date}' AND nome_perimetro='Individual Local' AND segmento='ESTR' AND ambito='PM' AND entidade='00100')Y ON X.CHAVE_IT=Y.CHAVE_SIMUL</v>
      </c>
      <c r="O262" s="35" t="s">
        <v>35</v>
      </c>
    </row>
    <row r="263" spans="1:15">
      <c r="A263" s="57" t="str">
        <f t="shared" si="8"/>
        <v>Instrumentgrss_cmmssn_expns</v>
      </c>
      <c r="B263" s="32" t="s">
        <v>9</v>
      </c>
      <c r="C263" s="32" t="s">
        <v>426</v>
      </c>
      <c r="D263" s="32" t="s">
        <v>5</v>
      </c>
      <c r="E263" s="32" t="str">
        <f>+UPPER('0. Instruções'!$D$35&amp;"."&amp;VLOOKUP(B263,'0. Instruções'!$C$27:$D$32,2,FALSE))</f>
        <v>CD_LOAN_TAPES_BCE.LT002_INSTRUMENT</v>
      </c>
      <c r="F263" s="32" t="str">
        <f>+UPPER('0. Instruções'!$D$36&amp;"."&amp;VLOOKUP(B263,'0. Instruções'!$C$27:$E$32,3,FALSE))</f>
        <v>BU_LOANTAPE_WORK.LT002_INSTRUMENT</v>
      </c>
      <c r="H263" s="32"/>
      <c r="I263" s="32"/>
      <c r="J263" s="32" t="str">
        <f>IF(VLOOKUP(B263,'0. Instruções'!$C$27:$G$32,5,FALSE)=0,
"(SELECT "&amp;VLOOKUP(B263,'0. Instruções'!$C$27:$G$32,4,FALSE)&amp;" AS CHAVE_IT, "&amp;C263&amp;" AS CAMPO_IT FROM "&amp;E263&amp;" WHERE "&amp;'0. Instruções'!$D$43&amp;")X",
"(SELECT "&amp;VLOOKUP(B263,'0. Instruções'!$C$27:$G$32,4,FALSE)&amp;" AS CHAVE_IT1, "&amp;VLOOKUP(B263,'0. Instruções'!$C$27:$G$32,5,FALSE)&amp;" AS CHAVE_IT2, "&amp;C263&amp;" AS CAMPO_IT FROM "&amp;E263&amp;" WHERE "&amp;'0. Instruções'!$D$43&amp;")X")</f>
        <v>(SELECT instrmnt_id AS CHAVE_IT, grss_cmmssn_expns AS CAMPO_IT FROM CD_LOAN_TAPES_BCE.LT002_INSTRUMENT WHERE ref_date='${ref_date}' AND nome_perimetro='Individual Local' AND segmento='ESTR' AND ambito='PM' AND entidade='00100')X</v>
      </c>
      <c r="K263" s="32" t="str">
        <f>IF(VLOOKUP(B263,'0. Instruções'!$C$27:$G$32,5,FALSE)=0,
"(SELECT "&amp;VLOOKUP(B263,'0. Instruções'!$C$27:$G$32,4,FALSE)&amp;" AS CHAVE_SIMUL, "&amp;C263&amp;" AS CAMPO_SIMUL FROM "&amp;F263&amp;" WHERE "&amp;'0. Instruções'!$D$42&amp;")Y",
"(SELECT "&amp;VLOOKUP(B263,'0. Instruções'!$C$27:$G$32,4,FALSE)&amp;" AS CHAVE_SIMUL1, "&amp;VLOOKUP(B263,'0. Instruções'!$C$27:$G$32,5,FALSE)&amp;" AS CHAVE_SIMUL2, "&amp;C263&amp;" AS CAMPO_SIMUL FROM "&amp;F263&amp;" WHERE "&amp;'0. Instruções'!$D$42&amp;")Y")</f>
        <v>(SELECT instrmnt_id AS CHAVE_SIMUL, grss_cmmssn_expns AS CAMPO_SIMUL FROM BU_LOANTAPE_WORK.LT002_INSTRUMENT WHERE ref_date='${ref_date}' AND nome_perimetro='Individual Local' AND segmento='ESTR' AND ambito='PM' AND entidade='00100')Y</v>
      </c>
      <c r="L263" s="32" t="str">
        <f>IF(VLOOKUP(B263,'0. Instruções'!$C$27:$G$32,5,FALSE)=0,
"ON X.CHAVE_IT=Y.CHAVE_SIMUL",
"ON X.CHAVE_IT1=Y.CHAVE_SIMUL1 AND X.CHAVE_IT2=Y.CHAVE_SIMUL2")</f>
        <v>ON X.CHAVE_IT=Y.CHAVE_SIMUL</v>
      </c>
      <c r="M263" s="32" t="str">
        <f>+IF(D263="Coerência",+IF(LEFT(H263,5)="FLOAT","SELECT '"&amp;UPPER(B263)&amp;"' AS TABELA, '"&amp;UPPER(D263)&amp;"' AS TIPOLOGIA_TESTE,'"&amp;E263&amp;"' AS TABELA_LT,'"&amp;F263&amp;"' AS TABELA_SIMUL,'"&amp;C263&amp;"'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"&amp;J263&amp;" INNER JOIN "&amp;K263&amp;" "&amp;L263,"SELECT '"&amp;UPPER(B263)&amp;"' AS TABELA, '"&amp;UPPER(D263)&amp;"' AS TIPOLOGIA_TESTE,'"&amp;E263&amp;"' AS TABELA_LT,'"&amp;F263&amp;"' AS TABELA_SIMUL,'"&amp;C263&amp;"'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"&amp;J263&amp;" INNER JOIN "&amp;K263&amp;" "&amp;L263))</f>
        <v>SELECT 'INSTRUMENT' AS TABELA, 'COERÊNCIA' AS TIPOLOGIA_TESTE,'CD_LOAN_TAPES_BCE.LT002_INSTRUMENT' AS TABELA_LT,'BU_LOANTAPE_WORK.LT002_INSTRUMENT' AS TABELA_SIMUL,'grss_cmmssn_expns'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 AS CAMPO_IT FROM CD_LOAN_TAPES_BCE.LT002_INSTRUMENT WHERE ref_date='${ref_date}' AND nome_perimetro='Individual Local' AND segmento='ESTR' AND ambito='PM' AND entidade='00100')X INNER JOIN (SELECT instrmnt_id AS CHAVE_SIMUL, grss_cmmssn_expns AS CAMPO_SIMUL FROM BU_LOANTAPE_WORK.LT002_INSTRUMENT WHERE ref_date='${ref_date}' AND nome_perimetro='Individual Local' AND segmento='ESTR' AND ambito='PM' AND entidade='00100')Y ON X.CHAVE_IT=Y.CHAVE_SIMUL</v>
      </c>
      <c r="N263" s="33" t="str">
        <f t="shared" si="9"/>
        <v>UNION ALL SELECT 'INSTRUMENT' AS TABELA, 'COERÊNCIA' AS TIPOLOGIA_TESTE,'CD_LOAN_TAPES_BCE.LT002_INSTRUMENT' AS TABELA_LT,'BU_LOANTAPE_WORK.LT002_INSTRUMENT' AS TABELA_SIMUL,'grss_cmmssn_expns'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 AS CAMPO_IT FROM CD_LOAN_TAPES_BCE.LT002_INSTRUMENT WHERE ref_date='${ref_date}' AND nome_perimetro='Individual Local' AND segmento='ESTR' AND ambito='PM' AND entidade='00100')X INNER JOIN (SELECT instrmnt_id AS CHAVE_SIMUL, grss_cmmssn_expns AS CAMPO_SIMUL FROM BU_LOANTAPE_WORK.LT002_INSTRUMENT WHERE ref_date='${ref_date}' AND nome_perimetro='Individual Local' AND segmento='ESTR' AND ambito='PM' AND entidade='00100')Y ON X.CHAVE_IT=Y.CHAVE_SIMUL</v>
      </c>
      <c r="O263" s="35" t="s">
        <v>35</v>
      </c>
    </row>
    <row r="264" spans="1:15">
      <c r="A264" s="57" t="str">
        <f t="shared" si="8"/>
        <v>Instrumentgns_fnncl_trnsctn_exchng_dffrncs</v>
      </c>
      <c r="B264" s="32" t="s">
        <v>9</v>
      </c>
      <c r="C264" s="32" t="s">
        <v>427</v>
      </c>
      <c r="D264" s="32" t="s">
        <v>5</v>
      </c>
      <c r="E264" s="32" t="str">
        <f>+UPPER('0. Instruções'!$D$35&amp;"."&amp;VLOOKUP(B264,'0. Instruções'!$C$27:$D$32,2,FALSE))</f>
        <v>CD_LOAN_TAPES_BCE.LT002_INSTRUMENT</v>
      </c>
      <c r="F264" s="32" t="str">
        <f>+UPPER('0. Instruções'!$D$36&amp;"."&amp;VLOOKUP(B264,'0. Instruções'!$C$27:$E$32,3,FALSE))</f>
        <v>BU_LOANTAPE_WORK.LT002_INSTRUMENT</v>
      </c>
      <c r="H264" s="32"/>
      <c r="I264" s="32"/>
      <c r="J264" s="32" t="str">
        <f>IF(VLOOKUP(B264,'0. Instruções'!$C$27:$G$32,5,FALSE)=0,
"(SELECT "&amp;VLOOKUP(B264,'0. Instruções'!$C$27:$G$32,4,FALSE)&amp;" AS CHAVE_IT, "&amp;C264&amp;" AS CAMPO_IT FROM "&amp;E264&amp;" WHERE "&amp;'0. Instruções'!$D$43&amp;")X",
"(SELECT "&amp;VLOOKUP(B264,'0. Instruções'!$C$27:$G$32,4,FALSE)&amp;" AS CHAVE_IT1, "&amp;VLOOKUP(B264,'0. Instruções'!$C$27:$G$32,5,FALSE)&amp;" AS CHAVE_IT2, "&amp;C264&amp;" AS CAMPO_IT FROM "&amp;E264&amp;" WHERE "&amp;'0. Instruções'!$D$43&amp;")X")</f>
        <v>(SELECT instrmnt_id AS CHAVE_IT, gns_fnncl_trnsctn_exchng_dffrncs AS CAMPO_IT FROM CD_LOAN_TAPES_BCE.LT002_INSTRUMENT WHERE ref_date='${ref_date}' AND nome_perimetro='Individual Local' AND segmento='ESTR' AND ambito='PM' AND entidade='00100')X</v>
      </c>
      <c r="K264" s="32" t="str">
        <f>IF(VLOOKUP(B264,'0. Instruções'!$C$27:$G$32,5,FALSE)=0,
"(SELECT "&amp;VLOOKUP(B264,'0. Instruções'!$C$27:$G$32,4,FALSE)&amp;" AS CHAVE_SIMUL, "&amp;C264&amp;" AS CAMPO_SIMUL FROM "&amp;F264&amp;" WHERE "&amp;'0. Instruções'!$D$42&amp;")Y",
"(SELECT "&amp;VLOOKUP(B264,'0. Instruções'!$C$27:$G$32,4,FALSE)&amp;" AS CHAVE_SIMUL1, "&amp;VLOOKUP(B264,'0. Instruções'!$C$27:$G$32,5,FALSE)&amp;" AS CHAVE_SIMUL2, "&amp;C264&amp;" AS CAMPO_SIMUL FROM "&amp;F264&amp;" WHERE "&amp;'0. Instruções'!$D$42&amp;")Y")</f>
        <v>(SELECT instrmnt_id AS CHAVE_SIMUL, gns_fnncl_trnsctn_exchng_dffrncs AS CAMPO_SIMUL FROM BU_LOANTAPE_WORK.LT002_INSTRUMENT WHERE ref_date='${ref_date}' AND nome_perimetro='Individual Local' AND segmento='ESTR' AND ambito='PM' AND entidade='00100')Y</v>
      </c>
      <c r="L264" s="32" t="str">
        <f>IF(VLOOKUP(B264,'0. Instruções'!$C$27:$G$32,5,FALSE)=0,
"ON X.CHAVE_IT=Y.CHAVE_SIMUL",
"ON X.CHAVE_IT1=Y.CHAVE_SIMUL1 AND X.CHAVE_IT2=Y.CHAVE_SIMUL2")</f>
        <v>ON X.CHAVE_IT=Y.CHAVE_SIMUL</v>
      </c>
      <c r="M264" s="32" t="str">
        <f>+IF(D264="Coerência",+IF(LEFT(H264,5)="FLOAT","SELECT '"&amp;UPPER(B264)&amp;"' AS TABELA, '"&amp;UPPER(D264)&amp;"' AS TIPOLOGIA_TESTE,'"&amp;E264&amp;"' AS TABELA_LT,'"&amp;F264&amp;"' AS TABELA_SIMUL,'"&amp;C264&amp;"'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"&amp;J264&amp;" INNER JOIN "&amp;K264&amp;" "&amp;L264,"SELECT '"&amp;UPPER(B264)&amp;"' AS TABELA, '"&amp;UPPER(D264)&amp;"' AS TIPOLOGIA_TESTE,'"&amp;E264&amp;"' AS TABELA_LT,'"&amp;F264&amp;"' AS TABELA_SIMUL,'"&amp;C264&amp;"'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"&amp;J264&amp;" INNER JOIN "&amp;K264&amp;" "&amp;L264))</f>
        <v>SELECT 'INSTRUMENT' AS TABELA, 'COERÊNCIA' AS TIPOLOGIA_TESTE,'CD_LOAN_TAPES_BCE.LT002_INSTRUMENT' AS TABELA_LT,'BU_LOANTAPE_WORK.LT002_INSTRUMENT' AS TABELA_SIMUL,'gns_fnncl_trnsctn_exchng_dffrncs'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gns_fnncl_trnsctn_exchng_dffrncs AS CAMPO_IT FROM CD_LOAN_TAPES_BCE.LT002_INSTRUMENT WHERE ref_date='${ref_date}' AND nome_perimetro='Individual Local' AND segmento='ESTR' AND ambito='PM' AND entidade='00100')X INNER JOIN (SELECT instrmnt_id AS CHAVE_SIMUL, gns_fnncl_trnsctn_exchng_dffrncs AS CAMPO_SIMUL FROM BU_LOANTAPE_WORK.LT002_INSTRUMENT WHERE ref_date='${ref_date}' AND nome_perimetro='Individual Local' AND segmento='ESTR' AND ambito='PM' AND entidade='00100')Y ON X.CHAVE_IT=Y.CHAVE_SIMUL</v>
      </c>
      <c r="N264" s="33" t="str">
        <f t="shared" si="9"/>
        <v>UNION ALL SELECT 'INSTRUMENT' AS TABELA, 'COERÊNCIA' AS TIPOLOGIA_TESTE,'CD_LOAN_TAPES_BCE.LT002_INSTRUMENT' AS TABELA_LT,'BU_LOANTAPE_WORK.LT002_INSTRUMENT' AS TABELA_SIMUL,'gns_fnncl_trnsctn_exchng_dffrncs'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gns_fnncl_trnsctn_exchng_dffrncs AS CAMPO_IT FROM CD_LOAN_TAPES_BCE.LT002_INSTRUMENT WHERE ref_date='${ref_date}' AND nome_perimetro='Individual Local' AND segmento='ESTR' AND ambito='PM' AND entidade='00100')X INNER JOIN (SELECT instrmnt_id AS CHAVE_SIMUL, gns_fnncl_trnsctn_exchng_dffrncs AS CAMPO_SIMUL FROM BU_LOANTAPE_WORK.LT002_INSTRUMENT WHERE ref_date='${ref_date}' AND nome_perimetro='Individual Local' AND segmento='ESTR' AND ambito='PM' AND entidade='00100')Y ON X.CHAVE_IT=Y.CHAVE_SIMUL</v>
      </c>
      <c r="O264" s="35" t="s">
        <v>35</v>
      </c>
    </row>
    <row r="265" spans="1:15">
      <c r="A265" s="57" t="str">
        <f t="shared" ref="A265:A328" si="10">+B265&amp;C265</f>
        <v>Instrumentflg_intrbsnss</v>
      </c>
      <c r="B265" s="32" t="s">
        <v>9</v>
      </c>
      <c r="C265" s="32" t="s">
        <v>428</v>
      </c>
      <c r="D265" s="32" t="s">
        <v>5</v>
      </c>
      <c r="E265" s="32" t="str">
        <f>+UPPER('0. Instruções'!$D$35&amp;"."&amp;VLOOKUP(B265,'0. Instruções'!$C$27:$D$32,2,FALSE))</f>
        <v>CD_LOAN_TAPES_BCE.LT002_INSTRUMENT</v>
      </c>
      <c r="F265" s="32" t="str">
        <f>+UPPER('0. Instruções'!$D$36&amp;"."&amp;VLOOKUP(B265,'0. Instruções'!$C$27:$E$32,3,FALSE))</f>
        <v>BU_LOANTAPE_WORK.LT002_INSTRUMENT</v>
      </c>
      <c r="H265" s="32"/>
      <c r="I265" s="32"/>
      <c r="J265" s="32" t="str">
        <f>IF(VLOOKUP(B265,'0. Instruções'!$C$27:$G$32,5,FALSE)=0,
"(SELECT "&amp;VLOOKUP(B265,'0. Instruções'!$C$27:$G$32,4,FALSE)&amp;" AS CHAVE_IT, "&amp;C265&amp;" AS CAMPO_IT FROM "&amp;E265&amp;" WHERE "&amp;'0. Instruções'!$D$43&amp;")X",
"(SELECT "&amp;VLOOKUP(B265,'0. Instruções'!$C$27:$G$32,4,FALSE)&amp;" AS CHAVE_IT1, "&amp;VLOOKUP(B265,'0. Instruções'!$C$27:$G$32,5,FALSE)&amp;" AS CHAVE_IT2, "&amp;C265&amp;" AS CAMPO_IT FROM "&amp;E265&amp;" WHERE "&amp;'0. Instruções'!$D$43&amp;")X")</f>
        <v>(SELECT instrmnt_id AS CHAVE_IT, flg_intrbsnss AS CAMPO_IT FROM CD_LOAN_TAPES_BCE.LT002_INSTRUMENT WHERE ref_date='${ref_date}' AND nome_perimetro='Individual Local' AND segmento='ESTR' AND ambito='PM' AND entidade='00100')X</v>
      </c>
      <c r="K265" s="32" t="str">
        <f>IF(VLOOKUP(B265,'0. Instruções'!$C$27:$G$32,5,FALSE)=0,
"(SELECT "&amp;VLOOKUP(B265,'0. Instruções'!$C$27:$G$32,4,FALSE)&amp;" AS CHAVE_SIMUL, "&amp;C265&amp;" AS CAMPO_SIMUL FROM "&amp;F265&amp;" WHERE "&amp;'0. Instruções'!$D$42&amp;")Y",
"(SELECT "&amp;VLOOKUP(B265,'0. Instruções'!$C$27:$G$32,4,FALSE)&amp;" AS CHAVE_SIMUL1, "&amp;VLOOKUP(B265,'0. Instruções'!$C$27:$G$32,5,FALSE)&amp;" AS CHAVE_SIMUL2, "&amp;C265&amp;" AS CAMPO_SIMUL FROM "&amp;F265&amp;" WHERE "&amp;'0. Instruções'!$D$42&amp;")Y")</f>
        <v>(SELECT instrmnt_id AS CHAVE_SIMUL, flg_intrbsnss AS CAMPO_SIMUL FROM BU_LOANTAPE_WORK.LT002_INSTRUMENT WHERE ref_date='${ref_date}' AND nome_perimetro='Individual Local' AND segmento='ESTR' AND ambito='PM' AND entidade='00100')Y</v>
      </c>
      <c r="L265" s="32" t="str">
        <f>IF(VLOOKUP(B265,'0. Instruções'!$C$27:$G$32,5,FALSE)=0,
"ON X.CHAVE_IT=Y.CHAVE_SIMUL",
"ON X.CHAVE_IT1=Y.CHAVE_SIMUL1 AND X.CHAVE_IT2=Y.CHAVE_SIMUL2")</f>
        <v>ON X.CHAVE_IT=Y.CHAVE_SIMUL</v>
      </c>
      <c r="M265" s="32" t="str">
        <f>+IF(D265="Coerência",+IF(LEFT(H265,5)="FLOAT","SELECT '"&amp;UPPER(B265)&amp;"' AS TABELA, '"&amp;UPPER(D265)&amp;"' AS TIPOLOGIA_TESTE,'"&amp;E265&amp;"' AS TABELA_LT,'"&amp;F265&amp;"' AS TABELA_SIMUL,'"&amp;C265&amp;"'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"&amp;J265&amp;" INNER JOIN "&amp;K265&amp;" "&amp;L265,"SELECT '"&amp;UPPER(B265)&amp;"' AS TABELA, '"&amp;UPPER(D265)&amp;"' AS TIPOLOGIA_TESTE,'"&amp;E265&amp;"' AS TABELA_LT,'"&amp;F265&amp;"' AS TABELA_SIMUL,'"&amp;C265&amp;"'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"&amp;J265&amp;" INNER JOIN "&amp;K265&amp;" "&amp;L265))</f>
        <v>SELECT 'INSTRUMENT' AS TABELA, 'COERÊNCIA' AS TIPOLOGIA_TESTE,'CD_LOAN_TAPES_BCE.LT002_INSTRUMENT' AS TABELA_LT,'BU_LOANTAPE_WORK.LT002_INSTRUMENT' AS TABELA_SIMUL,'flg_intrbsnss'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flg_intrbsnss AS CAMPO_IT FROM CD_LOAN_TAPES_BCE.LT002_INSTRUMENT WHERE ref_date='${ref_date}' AND nome_perimetro='Individual Local' AND segmento='ESTR' AND ambito='PM' AND entidade='00100')X INNER JOIN (SELECT instrmnt_id AS CHAVE_SIMUL, flg_intrbsnss AS CAMPO_SIMUL FROM BU_LOANTAPE_WORK.LT002_INSTRUMENT WHERE ref_date='${ref_date}' AND nome_perimetro='Individual Local' AND segmento='ESTR' AND ambito='PM' AND entidade='00100')Y ON X.CHAVE_IT=Y.CHAVE_SIMUL</v>
      </c>
      <c r="N265" s="33" t="str">
        <f t="shared" si="9"/>
        <v>UNION ALL SELECT 'INSTRUMENT' AS TABELA, 'COERÊNCIA' AS TIPOLOGIA_TESTE,'CD_LOAN_TAPES_BCE.LT002_INSTRUMENT' AS TABELA_LT,'BU_LOANTAPE_WORK.LT002_INSTRUMENT' AS TABELA_SIMUL,'flg_intrbsnss'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flg_intrbsnss AS CAMPO_IT FROM CD_LOAN_TAPES_BCE.LT002_INSTRUMENT WHERE ref_date='${ref_date}' AND nome_perimetro='Individual Local' AND segmento='ESTR' AND ambito='PM' AND entidade='00100')X INNER JOIN (SELECT instrmnt_id AS CHAVE_SIMUL, flg_intrbsnss AS CAMPO_SIMUL FROM BU_LOANTAPE_WORK.LT002_INSTRUMENT WHERE ref_date='${ref_date}' AND nome_perimetro='Individual Local' AND segmento='ESTR' AND ambito='PM' AND entidade='00100')Y ON X.CHAVE_IT=Y.CHAVE_SIMUL</v>
      </c>
      <c r="O265" s="35" t="s">
        <v>35</v>
      </c>
    </row>
    <row r="266" spans="1:15">
      <c r="A266" s="57" t="str">
        <f t="shared" si="10"/>
        <v>Instrumentintrbsnss_adj_cod</v>
      </c>
      <c r="B266" s="32" t="s">
        <v>9</v>
      </c>
      <c r="C266" s="32" t="s">
        <v>429</v>
      </c>
      <c r="D266" s="32" t="s">
        <v>5</v>
      </c>
      <c r="E266" s="32" t="str">
        <f>+UPPER('0. Instruções'!$D$35&amp;"."&amp;VLOOKUP(B266,'0. Instruções'!$C$27:$D$32,2,FALSE))</f>
        <v>CD_LOAN_TAPES_BCE.LT002_INSTRUMENT</v>
      </c>
      <c r="F266" s="32" t="str">
        <f>+UPPER('0. Instruções'!$D$36&amp;"."&amp;VLOOKUP(B266,'0. Instruções'!$C$27:$E$32,3,FALSE))</f>
        <v>BU_LOANTAPE_WORK.LT002_INSTRUMENT</v>
      </c>
      <c r="H266" s="32"/>
      <c r="I266" s="32"/>
      <c r="J266" s="32" t="str">
        <f>IF(VLOOKUP(B266,'0. Instruções'!$C$27:$G$32,5,FALSE)=0,
"(SELECT "&amp;VLOOKUP(B266,'0. Instruções'!$C$27:$G$32,4,FALSE)&amp;" AS CHAVE_IT, "&amp;C266&amp;" AS CAMPO_IT FROM "&amp;E266&amp;" WHERE "&amp;'0. Instruções'!$D$43&amp;")X",
"(SELECT "&amp;VLOOKUP(B266,'0. Instruções'!$C$27:$G$32,4,FALSE)&amp;" AS CHAVE_IT1, "&amp;VLOOKUP(B266,'0. Instruções'!$C$27:$G$32,5,FALSE)&amp;" AS CHAVE_IT2, "&amp;C266&amp;" AS CAMPO_IT FROM "&amp;E266&amp;" WHERE "&amp;'0. Instruções'!$D$43&amp;")X")</f>
        <v>(SELECT instrmnt_id AS CHAVE_IT, intrbsnss_adj_cod AS CAMPO_IT FROM CD_LOAN_TAPES_BCE.LT002_INSTRUMENT WHERE ref_date='${ref_date}' AND nome_perimetro='Individual Local' AND segmento='ESTR' AND ambito='PM' AND entidade='00100')X</v>
      </c>
      <c r="K266" s="32" t="str">
        <f>IF(VLOOKUP(B266,'0. Instruções'!$C$27:$G$32,5,FALSE)=0,
"(SELECT "&amp;VLOOKUP(B266,'0. Instruções'!$C$27:$G$32,4,FALSE)&amp;" AS CHAVE_SIMUL, "&amp;C266&amp;" AS CAMPO_SIMUL FROM "&amp;F266&amp;" WHERE "&amp;'0. Instruções'!$D$42&amp;")Y",
"(SELECT "&amp;VLOOKUP(B266,'0. Instruções'!$C$27:$G$32,4,FALSE)&amp;" AS CHAVE_SIMUL1, "&amp;VLOOKUP(B266,'0. Instruções'!$C$27:$G$32,5,FALSE)&amp;" AS CHAVE_SIMUL2, "&amp;C266&amp;" AS CAMPO_SIMUL FROM "&amp;F266&amp;" WHERE "&amp;'0. Instruções'!$D$42&amp;")Y")</f>
        <v>(SELECT instrmnt_id AS CHAVE_SIMUL, intrbsnss_adj_cod AS CAMPO_SIMUL FROM BU_LOANTAPE_WORK.LT002_INSTRUMENT WHERE ref_date='${ref_date}' AND nome_perimetro='Individual Local' AND segmento='ESTR' AND ambito='PM' AND entidade='00100')Y</v>
      </c>
      <c r="L266" s="32" t="str">
        <f>IF(VLOOKUP(B266,'0. Instruções'!$C$27:$G$32,5,FALSE)=0,
"ON X.CHAVE_IT=Y.CHAVE_SIMUL",
"ON X.CHAVE_IT1=Y.CHAVE_SIMUL1 AND X.CHAVE_IT2=Y.CHAVE_SIMUL2")</f>
        <v>ON X.CHAVE_IT=Y.CHAVE_SIMUL</v>
      </c>
      <c r="M266" s="32" t="str">
        <f>+IF(D266="Coerência",+IF(LEFT(H266,5)="FLOAT","SELECT '"&amp;UPPER(B266)&amp;"' AS TABELA, '"&amp;UPPER(D266)&amp;"' AS TIPOLOGIA_TESTE,'"&amp;E266&amp;"' AS TABELA_LT,'"&amp;F266&amp;"' AS TABELA_SIMUL,'"&amp;C266&amp;"'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"&amp;J266&amp;" INNER JOIN "&amp;K266&amp;" "&amp;L266,"SELECT '"&amp;UPPER(B266)&amp;"' AS TABELA, '"&amp;UPPER(D266)&amp;"' AS TIPOLOGIA_TESTE,'"&amp;E266&amp;"' AS TABELA_LT,'"&amp;F266&amp;"' AS TABELA_SIMUL,'"&amp;C266&amp;"'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"&amp;J266&amp;" INNER JOIN "&amp;K266&amp;" "&amp;L266))</f>
        <v>SELECT 'INSTRUMENT' AS TABELA, 'COERÊNCIA' AS TIPOLOGIA_TESTE,'CD_LOAN_TAPES_BCE.LT002_INSTRUMENT' AS TABELA_LT,'BU_LOANTAPE_WORK.LT002_INSTRUMENT' AS TABELA_SIMUL,'intrbsnss_adj_cod'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intrbsnss_adj_cod AS CAMPO_IT FROM CD_LOAN_TAPES_BCE.LT002_INSTRUMENT WHERE ref_date='${ref_date}' AND nome_perimetro='Individual Local' AND segmento='ESTR' AND ambito='PM' AND entidade='00100')X INNER JOIN (SELECT instrmnt_id AS CHAVE_SIMUL, intrbsnss_adj_cod AS CAMPO_SIMUL FROM BU_LOANTAPE_WORK.LT002_INSTRUMENT WHERE ref_date='${ref_date}' AND nome_perimetro='Individual Local' AND segmento='ESTR' AND ambito='PM' AND entidade='00100')Y ON X.CHAVE_IT=Y.CHAVE_SIMUL</v>
      </c>
      <c r="N266" s="33" t="str">
        <f t="shared" si="9"/>
        <v>UNION ALL SELECT 'INSTRUMENT' AS TABELA, 'COERÊNCIA' AS TIPOLOGIA_TESTE,'CD_LOAN_TAPES_BCE.LT002_INSTRUMENT' AS TABELA_LT,'BU_LOANTAPE_WORK.LT002_INSTRUMENT' AS TABELA_SIMUL,'intrbsnss_adj_cod'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intrbsnss_adj_cod AS CAMPO_IT FROM CD_LOAN_TAPES_BCE.LT002_INSTRUMENT WHERE ref_date='${ref_date}' AND nome_perimetro='Individual Local' AND segmento='ESTR' AND ambito='PM' AND entidade='00100')X INNER JOIN (SELECT instrmnt_id AS CHAVE_SIMUL, intrbsnss_adj_cod AS CAMPO_SIMUL FROM BU_LOANTAPE_WORK.LT002_INSTRUMENT WHERE ref_date='${ref_date}' AND nome_perimetro='Individual Local' AND segmento='ESTR' AND ambito='PM' AND entidade='00100')Y ON X.CHAVE_IT=Y.CHAVE_SIMUL</v>
      </c>
      <c r="O266" s="35" t="s">
        <v>35</v>
      </c>
    </row>
    <row r="267" spans="1:15">
      <c r="A267" s="57" t="str">
        <f t="shared" si="10"/>
        <v>Instrumentcod_soc_dstntn</v>
      </c>
      <c r="B267" s="32" t="s">
        <v>9</v>
      </c>
      <c r="C267" s="32" t="s">
        <v>430</v>
      </c>
      <c r="D267" s="32" t="s">
        <v>5</v>
      </c>
      <c r="E267" s="32" t="str">
        <f>+UPPER('0. Instruções'!$D$35&amp;"."&amp;VLOOKUP(B267,'0. Instruções'!$C$27:$D$32,2,FALSE))</f>
        <v>CD_LOAN_TAPES_BCE.LT002_INSTRUMENT</v>
      </c>
      <c r="F267" s="32" t="str">
        <f>+UPPER('0. Instruções'!$D$36&amp;"."&amp;VLOOKUP(B267,'0. Instruções'!$C$27:$E$32,3,FALSE))</f>
        <v>BU_LOANTAPE_WORK.LT002_INSTRUMENT</v>
      </c>
      <c r="H267" s="32"/>
      <c r="I267" s="32"/>
      <c r="J267" s="32" t="str">
        <f>IF(VLOOKUP(B267,'0. Instruções'!$C$27:$G$32,5,FALSE)=0,
"(SELECT "&amp;VLOOKUP(B267,'0. Instruções'!$C$27:$G$32,4,FALSE)&amp;" AS CHAVE_IT, "&amp;C267&amp;" AS CAMPO_IT FROM "&amp;E267&amp;" WHERE "&amp;'0. Instruções'!$D$43&amp;")X",
"(SELECT "&amp;VLOOKUP(B267,'0. Instruções'!$C$27:$G$32,4,FALSE)&amp;" AS CHAVE_IT1, "&amp;VLOOKUP(B267,'0. Instruções'!$C$27:$G$32,5,FALSE)&amp;" AS CHAVE_IT2, "&amp;C267&amp;" AS CAMPO_IT FROM "&amp;E267&amp;" WHERE "&amp;'0. Instruções'!$D$43&amp;")X")</f>
        <v>(SELECT instrmnt_id AS CHAVE_IT, cod_soc_dstntn AS CAMPO_IT FROM CD_LOAN_TAPES_BCE.LT002_INSTRUMENT WHERE ref_date='${ref_date}' AND nome_perimetro='Individual Local' AND segmento='ESTR' AND ambito='PM' AND entidade='00100')X</v>
      </c>
      <c r="K267" s="32" t="str">
        <f>IF(VLOOKUP(B267,'0. Instruções'!$C$27:$G$32,5,FALSE)=0,
"(SELECT "&amp;VLOOKUP(B267,'0. Instruções'!$C$27:$G$32,4,FALSE)&amp;" AS CHAVE_SIMUL, "&amp;C267&amp;" AS CAMPO_SIMUL FROM "&amp;F267&amp;" WHERE "&amp;'0. Instruções'!$D$42&amp;")Y",
"(SELECT "&amp;VLOOKUP(B267,'0. Instruções'!$C$27:$G$32,4,FALSE)&amp;" AS CHAVE_SIMUL1, "&amp;VLOOKUP(B267,'0. Instruções'!$C$27:$G$32,5,FALSE)&amp;" AS CHAVE_SIMUL2, "&amp;C267&amp;" AS CAMPO_SIMUL FROM "&amp;F267&amp;" WHERE "&amp;'0. Instruções'!$D$42&amp;")Y")</f>
        <v>(SELECT instrmnt_id AS CHAVE_SIMUL, cod_soc_dstntn AS CAMPO_SIMUL FROM BU_LOANTAPE_WORK.LT002_INSTRUMENT WHERE ref_date='${ref_date}' AND nome_perimetro='Individual Local' AND segmento='ESTR' AND ambito='PM' AND entidade='00100')Y</v>
      </c>
      <c r="L267" s="32" t="str">
        <f>IF(VLOOKUP(B267,'0. Instruções'!$C$27:$G$32,5,FALSE)=0,
"ON X.CHAVE_IT=Y.CHAVE_SIMUL",
"ON X.CHAVE_IT1=Y.CHAVE_SIMUL1 AND X.CHAVE_IT2=Y.CHAVE_SIMUL2")</f>
        <v>ON X.CHAVE_IT=Y.CHAVE_SIMUL</v>
      </c>
      <c r="M267" s="32" t="str">
        <f>+IF(D267="Coerência",+IF(LEFT(H267,5)="FLOAT","SELECT '"&amp;UPPER(B267)&amp;"' AS TABELA, '"&amp;UPPER(D267)&amp;"' AS TIPOLOGIA_TESTE,'"&amp;E267&amp;"' AS TABELA_LT,'"&amp;F267&amp;"' AS TABELA_SIMUL,'"&amp;C267&amp;"'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"&amp;J267&amp;" INNER JOIN "&amp;K267&amp;" "&amp;L267,"SELECT '"&amp;UPPER(B267)&amp;"' AS TABELA, '"&amp;UPPER(D267)&amp;"' AS TIPOLOGIA_TESTE,'"&amp;E267&amp;"' AS TABELA_LT,'"&amp;F267&amp;"' AS TABELA_SIMUL,'"&amp;C267&amp;"'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"&amp;J267&amp;" INNER JOIN "&amp;K267&amp;" "&amp;L267))</f>
        <v>SELECT 'INSTRUMENT' AS TABELA, 'COERÊNCIA' AS TIPOLOGIA_TESTE,'CD_LOAN_TAPES_BCE.LT002_INSTRUMENT' AS TABELA_LT,'BU_LOANTAPE_WORK.LT002_INSTRUMENT' AS TABELA_SIMUL,'cod_soc_dstntn'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cod_soc_dstntn AS CAMPO_IT FROM CD_LOAN_TAPES_BCE.LT002_INSTRUMENT WHERE ref_date='${ref_date}' AND nome_perimetro='Individual Local' AND segmento='ESTR' AND ambito='PM' AND entidade='00100')X INNER JOIN (SELECT instrmnt_id AS CHAVE_SIMUL, cod_soc_dstntn AS CAMPO_SIMUL FROM BU_LOANTAPE_WORK.LT002_INSTRUMENT WHERE ref_date='${ref_date}' AND nome_perimetro='Individual Local' AND segmento='ESTR' AND ambito='PM' AND entidade='00100')Y ON X.CHAVE_IT=Y.CHAVE_SIMUL</v>
      </c>
      <c r="N267" s="33" t="str">
        <f t="shared" si="9"/>
        <v>UNION ALL SELECT 'INSTRUMENT' AS TABELA, 'COERÊNCIA' AS TIPOLOGIA_TESTE,'CD_LOAN_TAPES_BCE.LT002_INSTRUMENT' AS TABELA_LT,'BU_LOANTAPE_WORK.LT002_INSTRUMENT' AS TABELA_SIMUL,'cod_soc_dstntn'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cod_soc_dstntn AS CAMPO_IT FROM CD_LOAN_TAPES_BCE.LT002_INSTRUMENT WHERE ref_date='${ref_date}' AND nome_perimetro='Individual Local' AND segmento='ESTR' AND ambito='PM' AND entidade='00100')X INNER JOIN (SELECT instrmnt_id AS CHAVE_SIMUL, cod_soc_dstntn AS CAMPO_SIMUL FROM BU_LOANTAPE_WORK.LT002_INSTRUMENT WHERE ref_date='${ref_date}' AND nome_perimetro='Individual Local' AND segmento='ESTR' AND ambito='PM' AND entidade='00100')Y ON X.CHAVE_IT=Y.CHAVE_SIMUL</v>
      </c>
      <c r="O267" s="35" t="s">
        <v>35</v>
      </c>
    </row>
    <row r="268" spans="1:15">
      <c r="A268" s="57" t="str">
        <f t="shared" si="10"/>
        <v>Instrumentbsnss_area_dstntn</v>
      </c>
      <c r="B268" s="32" t="s">
        <v>9</v>
      </c>
      <c r="C268" s="32" t="s">
        <v>431</v>
      </c>
      <c r="D268" s="32" t="s">
        <v>5</v>
      </c>
      <c r="E268" s="32" t="str">
        <f>+UPPER('0. Instruções'!$D$35&amp;"."&amp;VLOOKUP(B268,'0. Instruções'!$C$27:$D$32,2,FALSE))</f>
        <v>CD_LOAN_TAPES_BCE.LT002_INSTRUMENT</v>
      </c>
      <c r="F268" s="32" t="str">
        <f>+UPPER('0. Instruções'!$D$36&amp;"."&amp;VLOOKUP(B268,'0. Instruções'!$C$27:$E$32,3,FALSE))</f>
        <v>BU_LOANTAPE_WORK.LT002_INSTRUMENT</v>
      </c>
      <c r="H268" s="32"/>
      <c r="I268" s="32"/>
      <c r="J268" s="32" t="str">
        <f>IF(VLOOKUP(B268,'0. Instruções'!$C$27:$G$32,5,FALSE)=0,
"(SELECT "&amp;VLOOKUP(B268,'0. Instruções'!$C$27:$G$32,4,FALSE)&amp;" AS CHAVE_IT, "&amp;C268&amp;" AS CAMPO_IT FROM "&amp;E268&amp;" WHERE "&amp;'0. Instruções'!$D$43&amp;")X",
"(SELECT "&amp;VLOOKUP(B268,'0. Instruções'!$C$27:$G$32,4,FALSE)&amp;" AS CHAVE_IT1, "&amp;VLOOKUP(B268,'0. Instruções'!$C$27:$G$32,5,FALSE)&amp;" AS CHAVE_IT2, "&amp;C268&amp;" AS CAMPO_IT FROM "&amp;E268&amp;" WHERE "&amp;'0. Instruções'!$D$43&amp;")X")</f>
        <v>(SELECT instrmnt_id AS CHAVE_IT, bsnss_area_dstntn AS CAMPO_IT FROM CD_LOAN_TAPES_BCE.LT002_INSTRUMENT WHERE ref_date='${ref_date}' AND nome_perimetro='Individual Local' AND segmento='ESTR' AND ambito='PM' AND entidade='00100')X</v>
      </c>
      <c r="K268" s="32" t="str">
        <f>IF(VLOOKUP(B268,'0. Instruções'!$C$27:$G$32,5,FALSE)=0,
"(SELECT "&amp;VLOOKUP(B268,'0. Instruções'!$C$27:$G$32,4,FALSE)&amp;" AS CHAVE_SIMUL, "&amp;C268&amp;" AS CAMPO_SIMUL FROM "&amp;F268&amp;" WHERE "&amp;'0. Instruções'!$D$42&amp;")Y",
"(SELECT "&amp;VLOOKUP(B268,'0. Instruções'!$C$27:$G$32,4,FALSE)&amp;" AS CHAVE_SIMUL1, "&amp;VLOOKUP(B268,'0. Instruções'!$C$27:$G$32,5,FALSE)&amp;" AS CHAVE_SIMUL2, "&amp;C268&amp;" AS CAMPO_SIMUL FROM "&amp;F268&amp;" WHERE "&amp;'0. Instruções'!$D$42&amp;")Y")</f>
        <v>(SELECT instrmnt_id AS CHAVE_SIMUL, bsnss_area_dstntn AS CAMPO_SIMUL FROM BU_LOANTAPE_WORK.LT002_INSTRUMENT WHERE ref_date='${ref_date}' AND nome_perimetro='Individual Local' AND segmento='ESTR' AND ambito='PM' AND entidade='00100')Y</v>
      </c>
      <c r="L268" s="32" t="str">
        <f>IF(VLOOKUP(B268,'0. Instruções'!$C$27:$G$32,5,FALSE)=0,
"ON X.CHAVE_IT=Y.CHAVE_SIMUL",
"ON X.CHAVE_IT1=Y.CHAVE_SIMUL1 AND X.CHAVE_IT2=Y.CHAVE_SIMUL2")</f>
        <v>ON X.CHAVE_IT=Y.CHAVE_SIMUL</v>
      </c>
      <c r="M268" s="32" t="str">
        <f>+IF(D268="Coerência",+IF(LEFT(H268,5)="FLOAT","SELECT '"&amp;UPPER(B268)&amp;"' AS TABELA, '"&amp;UPPER(D268)&amp;"' AS TIPOLOGIA_TESTE,'"&amp;E268&amp;"' AS TABELA_LT,'"&amp;F268&amp;"' AS TABELA_SIMUL,'"&amp;C268&amp;"'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"&amp;J268&amp;" INNER JOIN "&amp;K268&amp;" "&amp;L268,"SELECT '"&amp;UPPER(B268)&amp;"' AS TABELA, '"&amp;UPPER(D268)&amp;"' AS TIPOLOGIA_TESTE,'"&amp;E268&amp;"' AS TABELA_LT,'"&amp;F268&amp;"' AS TABELA_SIMUL,'"&amp;C268&amp;"'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"&amp;J268&amp;" INNER JOIN "&amp;K268&amp;" "&amp;L268))</f>
        <v>SELECT 'INSTRUMENT' AS TABELA, 'COERÊNCIA' AS TIPOLOGIA_TESTE,'CD_LOAN_TAPES_BCE.LT002_INSTRUMENT' AS TABELA_LT,'BU_LOANTAPE_WORK.LT002_INSTRUMENT' AS TABELA_SIMUL,'bsnss_area_dstntn'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bsnss_area_dstntn AS CAMPO_IT FROM CD_LOAN_TAPES_BCE.LT002_INSTRUMENT WHERE ref_date='${ref_date}' AND nome_perimetro='Individual Local' AND segmento='ESTR' AND ambito='PM' AND entidade='00100')X INNER JOIN (SELECT instrmnt_id AS CHAVE_SIMUL, bsnss_area_dstntn AS CAMPO_SIMUL FROM BU_LOANTAPE_WORK.LT002_INSTRUMENT WHERE ref_date='${ref_date}' AND nome_perimetro='Individual Local' AND segmento='ESTR' AND ambito='PM' AND entidade='00100')Y ON X.CHAVE_IT=Y.CHAVE_SIMUL</v>
      </c>
      <c r="N268" s="33" t="str">
        <f t="shared" si="9"/>
        <v>UNION ALL SELECT 'INSTRUMENT' AS TABELA, 'COERÊNCIA' AS TIPOLOGIA_TESTE,'CD_LOAN_TAPES_BCE.LT002_INSTRUMENT' AS TABELA_LT,'BU_LOANTAPE_WORK.LT002_INSTRUMENT' AS TABELA_SIMUL,'bsnss_area_dstntn'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bsnss_area_dstntn AS CAMPO_IT FROM CD_LOAN_TAPES_BCE.LT002_INSTRUMENT WHERE ref_date='${ref_date}' AND nome_perimetro='Individual Local' AND segmento='ESTR' AND ambito='PM' AND entidade='00100')X INNER JOIN (SELECT instrmnt_id AS CHAVE_SIMUL, bsnss_area_dstntn AS CAMPO_SIMUL FROM BU_LOANTAPE_WORK.LT002_INSTRUMENT WHERE ref_date='${ref_date}' AND nome_perimetro='Individual Local' AND segmento='ESTR' AND ambito='PM' AND entidade='00100')Y ON X.CHAVE_IT=Y.CHAVE_SIMUL</v>
      </c>
      <c r="O268" s="35" t="s">
        <v>35</v>
      </c>
    </row>
    <row r="269" spans="1:15">
      <c r="A269" s="57" t="str">
        <f t="shared" si="10"/>
        <v>Instrumentavrg_blnc_off_blnc</v>
      </c>
      <c r="B269" s="32" t="s">
        <v>9</v>
      </c>
      <c r="C269" s="32" t="s">
        <v>432</v>
      </c>
      <c r="D269" s="32" t="s">
        <v>5</v>
      </c>
      <c r="E269" s="32" t="str">
        <f>+UPPER('0. Instruções'!$D$35&amp;"."&amp;VLOOKUP(B269,'0. Instruções'!$C$27:$D$32,2,FALSE))</f>
        <v>CD_LOAN_TAPES_BCE.LT002_INSTRUMENT</v>
      </c>
      <c r="F269" s="32" t="str">
        <f>+UPPER('0. Instruções'!$D$36&amp;"."&amp;VLOOKUP(B269,'0. Instruções'!$C$27:$E$32,3,FALSE))</f>
        <v>BU_LOANTAPE_WORK.LT002_INSTRUMENT</v>
      </c>
      <c r="H269" s="32"/>
      <c r="I269" s="32"/>
      <c r="J269" s="32" t="str">
        <f>IF(VLOOKUP(B269,'0. Instruções'!$C$27:$G$32,5,FALSE)=0,
"(SELECT "&amp;VLOOKUP(B269,'0. Instruções'!$C$27:$G$32,4,FALSE)&amp;" AS CHAVE_IT, "&amp;C269&amp;" AS CAMPO_IT FROM "&amp;E269&amp;" WHERE "&amp;'0. Instruções'!$D$43&amp;")X",
"(SELECT "&amp;VLOOKUP(B269,'0. Instruções'!$C$27:$G$32,4,FALSE)&amp;" AS CHAVE_IT1, "&amp;VLOOKUP(B269,'0. Instruções'!$C$27:$G$32,5,FALSE)&amp;" AS CHAVE_IT2, "&amp;C269&amp;" AS CAMPO_IT FROM "&amp;E269&amp;" WHERE "&amp;'0. Instruções'!$D$43&amp;")X")</f>
        <v>(SELECT instrmnt_id AS CHAVE_IT, avrg_blnc_off_blnc AS CAMPO_IT FROM CD_LOAN_TAPES_BCE.LT002_INSTRUMENT WHERE ref_date='${ref_date}' AND nome_perimetro='Individual Local' AND segmento='ESTR' AND ambito='PM' AND entidade='00100')X</v>
      </c>
      <c r="K269" s="32" t="str">
        <f>IF(VLOOKUP(B269,'0. Instruções'!$C$27:$G$32,5,FALSE)=0,
"(SELECT "&amp;VLOOKUP(B269,'0. Instruções'!$C$27:$G$32,4,FALSE)&amp;" AS CHAVE_SIMUL, "&amp;C269&amp;" AS CAMPO_SIMUL FROM "&amp;F269&amp;" WHERE "&amp;'0. Instruções'!$D$42&amp;")Y",
"(SELECT "&amp;VLOOKUP(B269,'0. Instruções'!$C$27:$G$32,4,FALSE)&amp;" AS CHAVE_SIMUL1, "&amp;VLOOKUP(B269,'0. Instruções'!$C$27:$G$32,5,FALSE)&amp;" AS CHAVE_SIMUL2, "&amp;C269&amp;" AS CAMPO_SIMUL FROM "&amp;F269&amp;" WHERE "&amp;'0. Instruções'!$D$42&amp;")Y")</f>
        <v>(SELECT instrmnt_id AS CHAVE_SIMUL, avrg_blnc_off_blnc AS CAMPO_SIMUL FROM BU_LOANTAPE_WORK.LT002_INSTRUMENT WHERE ref_date='${ref_date}' AND nome_perimetro='Individual Local' AND segmento='ESTR' AND ambito='PM' AND entidade='00100')Y</v>
      </c>
      <c r="L269" s="32" t="str">
        <f>IF(VLOOKUP(B269,'0. Instruções'!$C$27:$G$32,5,FALSE)=0,
"ON X.CHAVE_IT=Y.CHAVE_SIMUL",
"ON X.CHAVE_IT1=Y.CHAVE_SIMUL1 AND X.CHAVE_IT2=Y.CHAVE_SIMUL2")</f>
        <v>ON X.CHAVE_IT=Y.CHAVE_SIMUL</v>
      </c>
      <c r="M269" s="32" t="str">
        <f>+IF(D269="Coerência",+IF(LEFT(H269,5)="FLOAT","SELECT '"&amp;UPPER(B269)&amp;"' AS TABELA, '"&amp;UPPER(D269)&amp;"' AS TIPOLOGIA_TESTE,'"&amp;E269&amp;"' AS TABELA_LT,'"&amp;F269&amp;"' AS TABELA_SIMUL,'"&amp;C269&amp;"'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"&amp;J269&amp;" INNER JOIN "&amp;K269&amp;" "&amp;L269,"SELECT '"&amp;UPPER(B269)&amp;"' AS TABELA, '"&amp;UPPER(D269)&amp;"' AS TIPOLOGIA_TESTE,'"&amp;E269&amp;"' AS TABELA_LT,'"&amp;F269&amp;"' AS TABELA_SIMUL,'"&amp;C269&amp;"'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"&amp;J269&amp;" INNER JOIN "&amp;K269&amp;" "&amp;L269))</f>
        <v>SELECT 'INSTRUMENT' AS TABELA, 'COERÊNCIA' AS TIPOLOGIA_TESTE,'CD_LOAN_TAPES_BCE.LT002_INSTRUMENT' AS TABELA_LT,'BU_LOANTAPE_WORK.LT002_INSTRUMENT' AS TABELA_SIMUL,'avrg_blnc_off_blnc'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avrg_blnc_off_blnc AS CAMPO_IT FROM CD_LOAN_TAPES_BCE.LT002_INSTRUMENT WHERE ref_date='${ref_date}' AND nome_perimetro='Individual Local' AND segmento='ESTR' AND ambito='PM' AND entidade='00100')X INNER JOIN (SELECT instrmnt_id AS CHAVE_SIMUL, avrg_blnc_off_blnc AS CAMPO_SIMUL FROM BU_LOANTAPE_WORK.LT002_INSTRUMENT WHERE ref_date='${ref_date}' AND nome_perimetro='Individual Local' AND segmento='ESTR' AND ambito='PM' AND entidade='00100')Y ON X.CHAVE_IT=Y.CHAVE_SIMUL</v>
      </c>
      <c r="N269" s="33" t="str">
        <f t="shared" si="9"/>
        <v>UNION ALL SELECT 'INSTRUMENT' AS TABELA, 'COERÊNCIA' AS TIPOLOGIA_TESTE,'CD_LOAN_TAPES_BCE.LT002_INSTRUMENT' AS TABELA_LT,'BU_LOANTAPE_WORK.LT002_INSTRUMENT' AS TABELA_SIMUL,'avrg_blnc_off_blnc'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avrg_blnc_off_blnc AS CAMPO_IT FROM CD_LOAN_TAPES_BCE.LT002_INSTRUMENT WHERE ref_date='${ref_date}' AND nome_perimetro='Individual Local' AND segmento='ESTR' AND ambito='PM' AND entidade='00100')X INNER JOIN (SELECT instrmnt_id AS CHAVE_SIMUL, avrg_blnc_off_blnc AS CAMPO_SIMUL FROM BU_LOANTAPE_WORK.LT002_INSTRUMENT WHERE ref_date='${ref_date}' AND nome_perimetro='Individual Local' AND segmento='ESTR' AND ambito='PM' AND entidade='00100')Y ON X.CHAVE_IT=Y.CHAVE_SIMUL</v>
      </c>
      <c r="O269" s="35" t="s">
        <v>35</v>
      </c>
    </row>
    <row r="270" spans="1:15">
      <c r="A270" s="57" t="str">
        <f t="shared" si="10"/>
        <v>Instrumentintrnl_trnsfr_rt_off_blnc</v>
      </c>
      <c r="B270" s="32" t="s">
        <v>9</v>
      </c>
      <c r="C270" s="32" t="s">
        <v>433</v>
      </c>
      <c r="D270" s="32" t="s">
        <v>5</v>
      </c>
      <c r="E270" s="32" t="str">
        <f>+UPPER('0. Instruções'!$D$35&amp;"."&amp;VLOOKUP(B270,'0. Instruções'!$C$27:$D$32,2,FALSE))</f>
        <v>CD_LOAN_TAPES_BCE.LT002_INSTRUMENT</v>
      </c>
      <c r="F270" s="32" t="str">
        <f>+UPPER('0. Instruções'!$D$36&amp;"."&amp;VLOOKUP(B270,'0. Instruções'!$C$27:$E$32,3,FALSE))</f>
        <v>BU_LOANTAPE_WORK.LT002_INSTRUMENT</v>
      </c>
      <c r="H270" s="32"/>
      <c r="I270" s="32"/>
      <c r="J270" s="32" t="str">
        <f>IF(VLOOKUP(B270,'0. Instruções'!$C$27:$G$32,5,FALSE)=0,
"(SELECT "&amp;VLOOKUP(B270,'0. Instruções'!$C$27:$G$32,4,FALSE)&amp;" AS CHAVE_IT, "&amp;C270&amp;" AS CAMPO_IT FROM "&amp;E270&amp;" WHERE "&amp;'0. Instruções'!$D$43&amp;")X",
"(SELECT "&amp;VLOOKUP(B270,'0. Instruções'!$C$27:$G$32,4,FALSE)&amp;" AS CHAVE_IT1, "&amp;VLOOKUP(B270,'0. Instruções'!$C$27:$G$32,5,FALSE)&amp;" AS CHAVE_IT2, "&amp;C270&amp;" AS CAMPO_IT FROM "&amp;E270&amp;" WHERE "&amp;'0. Instruções'!$D$43&amp;")X")</f>
        <v>(SELECT instrmnt_id AS CHAVE_IT, intrnl_trnsfr_rt_off_blnc AS CAMPO_IT FROM CD_LOAN_TAPES_BCE.LT002_INSTRUMENT WHERE ref_date='${ref_date}' AND nome_perimetro='Individual Local' AND segmento='ESTR' AND ambito='PM' AND entidade='00100')X</v>
      </c>
      <c r="K270" s="32" t="str">
        <f>IF(VLOOKUP(B270,'0. Instruções'!$C$27:$G$32,5,FALSE)=0,
"(SELECT "&amp;VLOOKUP(B270,'0. Instruções'!$C$27:$G$32,4,FALSE)&amp;" AS CHAVE_SIMUL, "&amp;C270&amp;" AS CAMPO_SIMUL FROM "&amp;F270&amp;" WHERE "&amp;'0. Instruções'!$D$42&amp;")Y",
"(SELECT "&amp;VLOOKUP(B270,'0. Instruções'!$C$27:$G$32,4,FALSE)&amp;" AS CHAVE_SIMUL1, "&amp;VLOOKUP(B270,'0. Instruções'!$C$27:$G$32,5,FALSE)&amp;" AS CHAVE_SIMUL2, "&amp;C270&amp;" AS CAMPO_SIMUL FROM "&amp;F270&amp;" WHERE "&amp;'0. Instruções'!$D$42&amp;")Y")</f>
        <v>(SELECT instrmnt_id AS CHAVE_SIMUL, intrnl_trnsfr_rt_off_blnc AS CAMPO_SIMUL FROM BU_LOANTAPE_WORK.LT002_INSTRUMENT WHERE ref_date='${ref_date}' AND nome_perimetro='Individual Local' AND segmento='ESTR' AND ambito='PM' AND entidade='00100')Y</v>
      </c>
      <c r="L270" s="32" t="str">
        <f>IF(VLOOKUP(B270,'0. Instruções'!$C$27:$G$32,5,FALSE)=0,
"ON X.CHAVE_IT=Y.CHAVE_SIMUL",
"ON X.CHAVE_IT1=Y.CHAVE_SIMUL1 AND X.CHAVE_IT2=Y.CHAVE_SIMUL2")</f>
        <v>ON X.CHAVE_IT=Y.CHAVE_SIMUL</v>
      </c>
      <c r="M270" s="32" t="str">
        <f>+IF(D270="Coerência",+IF(LEFT(H270,5)="FLOAT","SELECT '"&amp;UPPER(B270)&amp;"' AS TABELA, '"&amp;UPPER(D270)&amp;"' AS TIPOLOGIA_TESTE,'"&amp;E270&amp;"' AS TABELA_LT,'"&amp;F270&amp;"' AS TABELA_SIMUL,'"&amp;C270&amp;"'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"&amp;J270&amp;" INNER JOIN "&amp;K270&amp;" "&amp;L270,"SELECT '"&amp;UPPER(B270)&amp;"' AS TABELA, '"&amp;UPPER(D270)&amp;"' AS TIPOLOGIA_TESTE,'"&amp;E270&amp;"' AS TABELA_LT,'"&amp;F270&amp;"' AS TABELA_SIMUL,'"&amp;C270&amp;"'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"&amp;J270&amp;" INNER JOIN "&amp;K270&amp;" "&amp;L270))</f>
        <v>SELECT 'INSTRUMENT' AS TABELA, 'COERÊNCIA' AS TIPOLOGIA_TESTE,'CD_LOAN_TAPES_BCE.LT002_INSTRUMENT' AS TABELA_LT,'BU_LOANTAPE_WORK.LT002_INSTRUMENT' AS TABELA_SIMUL,'intrnl_trnsfr_rt_off_blnc'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intrnl_trnsfr_rt_off_blnc AS CAMPO_IT FROM CD_LOAN_TAPES_BCE.LT002_INSTRUMENT WHERE ref_date='${ref_date}' AND nome_perimetro='Individual Local' AND segmento='ESTR' AND ambito='PM' AND entidade='00100')X INNER JOIN (SELECT instrmnt_id AS CHAVE_SIMUL, intrnl_trnsfr_rt_off_blnc AS CAMPO_SIMUL FROM BU_LOANTAPE_WORK.LT002_INSTRUMENT WHERE ref_date='${ref_date}' AND nome_perimetro='Individual Local' AND segmento='ESTR' AND ambito='PM' AND entidade='00100')Y ON X.CHAVE_IT=Y.CHAVE_SIMUL</v>
      </c>
      <c r="N270" s="33" t="str">
        <f t="shared" si="9"/>
        <v>UNION ALL SELECT 'INSTRUMENT' AS TABELA, 'COERÊNCIA' AS TIPOLOGIA_TESTE,'CD_LOAN_TAPES_BCE.LT002_INSTRUMENT' AS TABELA_LT,'BU_LOANTAPE_WORK.LT002_INSTRUMENT' AS TABELA_SIMUL,'intrnl_trnsfr_rt_off_blnc'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intrnl_trnsfr_rt_off_blnc AS CAMPO_IT FROM CD_LOAN_TAPES_BCE.LT002_INSTRUMENT WHERE ref_date='${ref_date}' AND nome_perimetro='Individual Local' AND segmento='ESTR' AND ambito='PM' AND entidade='00100')X INNER JOIN (SELECT instrmnt_id AS CHAVE_SIMUL, intrnl_trnsfr_rt_off_blnc AS CAMPO_SIMUL FROM BU_LOANTAPE_WORK.LT002_INSTRUMENT WHERE ref_date='${ref_date}' AND nome_perimetro='Individual Local' AND segmento='ESTR' AND ambito='PM' AND entidade='00100')Y ON X.CHAVE_IT=Y.CHAVE_SIMUL</v>
      </c>
      <c r="O270" s="35" t="s">
        <v>35</v>
      </c>
    </row>
    <row r="271" spans="1:15">
      <c r="A271" s="57" t="str">
        <f t="shared" si="10"/>
        <v>Instrumentgrss_cmmssn_incm_off_blnc</v>
      </c>
      <c r="B271" s="32" t="s">
        <v>9</v>
      </c>
      <c r="C271" s="32" t="s">
        <v>153</v>
      </c>
      <c r="D271" s="32" t="s">
        <v>5</v>
      </c>
      <c r="E271" s="32" t="str">
        <f>+UPPER('0. Instruções'!$D$35&amp;"."&amp;VLOOKUP(B271,'0. Instruções'!$C$27:$D$32,2,FALSE))</f>
        <v>CD_LOAN_TAPES_BCE.LT002_INSTRUMENT</v>
      </c>
      <c r="F271" s="32" t="str">
        <f>+UPPER('0. Instruções'!$D$36&amp;"."&amp;VLOOKUP(B271,'0. Instruções'!$C$27:$E$32,3,FALSE))</f>
        <v>BU_LOANTAPE_WORK.LT002_INSTRUMENT</v>
      </c>
      <c r="H271" s="32"/>
      <c r="I271" s="32"/>
      <c r="J271" s="32" t="str">
        <f>IF(VLOOKUP(B271,'0. Instruções'!$C$27:$G$32,5,FALSE)=0,
"(SELECT "&amp;VLOOKUP(B271,'0. Instruções'!$C$27:$G$32,4,FALSE)&amp;" AS CHAVE_IT, "&amp;C271&amp;" AS CAMPO_IT FROM "&amp;E271&amp;" WHERE "&amp;'0. Instruções'!$D$43&amp;")X",
"(SELECT "&amp;VLOOKUP(B271,'0. Instruções'!$C$27:$G$32,4,FALSE)&amp;" AS CHAVE_IT1, "&amp;VLOOKUP(B271,'0. Instruções'!$C$27:$G$32,5,FALSE)&amp;" AS CHAVE_IT2, "&amp;C271&amp;" AS CAMPO_IT FROM "&amp;E271&amp;" WHERE "&amp;'0. Instruções'!$D$43&amp;")X")</f>
        <v>(SELECT instrmnt_id AS CHAVE_IT, grss_cmmssn_incm_off_blnc AS CAMPO_IT FROM CD_LOAN_TAPES_BCE.LT002_INSTRUMENT WHERE ref_date='${ref_date}' AND nome_perimetro='Individual Local' AND segmento='ESTR' AND ambito='PM' AND entidade='00100')X</v>
      </c>
      <c r="K271" s="32" t="str">
        <f>IF(VLOOKUP(B271,'0. Instruções'!$C$27:$G$32,5,FALSE)=0,
"(SELECT "&amp;VLOOKUP(B271,'0. Instruções'!$C$27:$G$32,4,FALSE)&amp;" AS CHAVE_SIMUL, "&amp;C271&amp;" AS CAMPO_SIMUL FROM "&amp;F271&amp;" WHERE "&amp;'0. Instruções'!$D$42&amp;")Y",
"(SELECT "&amp;VLOOKUP(B271,'0. Instruções'!$C$27:$G$32,4,FALSE)&amp;" AS CHAVE_SIMUL1, "&amp;VLOOKUP(B271,'0. Instruções'!$C$27:$G$32,5,FALSE)&amp;" AS CHAVE_SIMUL2, "&amp;C271&amp;" AS CAMPO_SIMUL FROM "&amp;F271&amp;" WHERE "&amp;'0. Instruções'!$D$42&amp;")Y")</f>
        <v>(SELECT instrmnt_id AS CHAVE_SIMUL, grss_cmmssn_incm_off_blnc AS CAMPO_SIMUL FROM BU_LOANTAPE_WORK.LT002_INSTRUMENT WHERE ref_date='${ref_date}' AND nome_perimetro='Individual Local' AND segmento='ESTR' AND ambito='PM' AND entidade='00100')Y</v>
      </c>
      <c r="L271" s="32" t="str">
        <f>IF(VLOOKUP(B271,'0. Instruções'!$C$27:$G$32,5,FALSE)=0,
"ON X.CHAVE_IT=Y.CHAVE_SIMUL",
"ON X.CHAVE_IT1=Y.CHAVE_SIMUL1 AND X.CHAVE_IT2=Y.CHAVE_SIMUL2")</f>
        <v>ON X.CHAVE_IT=Y.CHAVE_SIMUL</v>
      </c>
      <c r="M271" s="32" t="str">
        <f>+IF(D271="Coerência",+IF(LEFT(H271,5)="FLOAT","SELECT '"&amp;UPPER(B271)&amp;"' AS TABELA, '"&amp;UPPER(D271)&amp;"' AS TIPOLOGIA_TESTE,'"&amp;E271&amp;"' AS TABELA_LT,'"&amp;F271&amp;"' AS TABELA_SIMUL,'"&amp;C271&amp;"'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"&amp;J271&amp;" INNER JOIN "&amp;K271&amp;" "&amp;L271,"SELECT '"&amp;UPPER(B271)&amp;"' AS TABELA, '"&amp;UPPER(D271)&amp;"' AS TIPOLOGIA_TESTE,'"&amp;E271&amp;"' AS TABELA_LT,'"&amp;F271&amp;"' AS TABELA_SIMUL,'"&amp;C271&amp;"'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"&amp;J271&amp;" INNER JOIN "&amp;K271&amp;" "&amp;L271))</f>
        <v>SELECT 'INSTRUMENT' AS TABELA, 'COERÊNCIA' AS TIPOLOGIA_TESTE,'CD_LOAN_TAPES_BCE.LT002_INSTRUMENT' AS TABELA_LT,'BU_LOANTAPE_WORK.LT002_INSTRUMENT' AS TABELA_SIMUL,'grss_cmmssn_incm_off_blnc'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 AS CAMPO_IT FROM CD_LOAN_TAPES_BCE.LT002_INSTRUMENT WHERE ref_date='${ref_date}' AND nome_perimetro='Individual Local' AND segmento='ESTR' AND ambito='PM' AND entidade='00100')X INNER JOIN (SELECT instrmnt_id AS CHAVE_SIMUL, grss_cmmssn_incm_off_blnc AS CAMPO_SIMUL FROM BU_LOANTAPE_WORK.LT002_INSTRUMENT WHERE ref_date='${ref_date}' AND nome_perimetro='Individual Local' AND segmento='ESTR' AND ambito='PM' AND entidade='00100')Y ON X.CHAVE_IT=Y.CHAVE_SIMUL</v>
      </c>
      <c r="N271" s="33" t="str">
        <f t="shared" si="9"/>
        <v>UNION ALL SELECT 'INSTRUMENT' AS TABELA, 'COERÊNCIA' AS TIPOLOGIA_TESTE,'CD_LOAN_TAPES_BCE.LT002_INSTRUMENT' AS TABELA_LT,'BU_LOANTAPE_WORK.LT002_INSTRUMENT' AS TABELA_SIMUL,'grss_cmmssn_incm_off_blnc'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 AS CAMPO_IT FROM CD_LOAN_TAPES_BCE.LT002_INSTRUMENT WHERE ref_date='${ref_date}' AND nome_perimetro='Individual Local' AND segmento='ESTR' AND ambito='PM' AND entidade='00100')X INNER JOIN (SELECT instrmnt_id AS CHAVE_SIMUL, grss_cmmssn_incm_off_blnc AS CAMPO_SIMUL FROM BU_LOANTAPE_WORK.LT002_INSTRUMENT WHERE ref_date='${ref_date}' AND nome_perimetro='Individual Local' AND segmento='ESTR' AND ambito='PM' AND entidade='00100')Y ON X.CHAVE_IT=Y.CHAVE_SIMUL</v>
      </c>
      <c r="O271" s="35" t="s">
        <v>35</v>
      </c>
    </row>
    <row r="272" spans="1:15">
      <c r="A272" s="57" t="str">
        <f t="shared" si="10"/>
        <v>Instrumentgrss_cmmssn_expns_off_blnc</v>
      </c>
      <c r="B272" s="32" t="s">
        <v>9</v>
      </c>
      <c r="C272" s="32" t="s">
        <v>434</v>
      </c>
      <c r="D272" s="32" t="s">
        <v>5</v>
      </c>
      <c r="E272" s="32" t="str">
        <f>+UPPER('0. Instruções'!$D$35&amp;"."&amp;VLOOKUP(B272,'0. Instruções'!$C$27:$D$32,2,FALSE))</f>
        <v>CD_LOAN_TAPES_BCE.LT002_INSTRUMENT</v>
      </c>
      <c r="F272" s="32" t="str">
        <f>+UPPER('0. Instruções'!$D$36&amp;"."&amp;VLOOKUP(B272,'0. Instruções'!$C$27:$E$32,3,FALSE))</f>
        <v>BU_LOANTAPE_WORK.LT002_INSTRUMENT</v>
      </c>
      <c r="H272" s="32"/>
      <c r="I272" s="32"/>
      <c r="J272" s="32" t="str">
        <f>IF(VLOOKUP(B272,'0. Instruções'!$C$27:$G$32,5,FALSE)=0,
"(SELECT "&amp;VLOOKUP(B272,'0. Instruções'!$C$27:$G$32,4,FALSE)&amp;" AS CHAVE_IT, "&amp;C272&amp;" AS CAMPO_IT FROM "&amp;E272&amp;" WHERE "&amp;'0. Instruções'!$D$43&amp;")X",
"(SELECT "&amp;VLOOKUP(B272,'0. Instruções'!$C$27:$G$32,4,FALSE)&amp;" AS CHAVE_IT1, "&amp;VLOOKUP(B272,'0. Instruções'!$C$27:$G$32,5,FALSE)&amp;" AS CHAVE_IT2, "&amp;C272&amp;" AS CAMPO_IT FROM "&amp;E272&amp;" WHERE "&amp;'0. Instruções'!$D$43&amp;")X")</f>
        <v>(SELECT instrmnt_id AS CHAVE_IT, grss_cmmssn_expns_off_blnc AS CAMPO_IT FROM CD_LOAN_TAPES_BCE.LT002_INSTRUMENT WHERE ref_date='${ref_date}' AND nome_perimetro='Individual Local' AND segmento='ESTR' AND ambito='PM' AND entidade='00100')X</v>
      </c>
      <c r="K272" s="32" t="str">
        <f>IF(VLOOKUP(B272,'0. Instruções'!$C$27:$G$32,5,FALSE)=0,
"(SELECT "&amp;VLOOKUP(B272,'0. Instruções'!$C$27:$G$32,4,FALSE)&amp;" AS CHAVE_SIMUL, "&amp;C272&amp;" AS CAMPO_SIMUL FROM "&amp;F272&amp;" WHERE "&amp;'0. Instruções'!$D$42&amp;")Y",
"(SELECT "&amp;VLOOKUP(B272,'0. Instruções'!$C$27:$G$32,4,FALSE)&amp;" AS CHAVE_SIMUL1, "&amp;VLOOKUP(B272,'0. Instruções'!$C$27:$G$32,5,FALSE)&amp;" AS CHAVE_SIMUL2, "&amp;C272&amp;" AS CAMPO_SIMUL FROM "&amp;F272&amp;" WHERE "&amp;'0. Instruções'!$D$42&amp;")Y")</f>
        <v>(SELECT instrmnt_id AS CHAVE_SIMUL, grss_cmmssn_expns_off_blnc AS CAMPO_SIMUL FROM BU_LOANTAPE_WORK.LT002_INSTRUMENT WHERE ref_date='${ref_date}' AND nome_perimetro='Individual Local' AND segmento='ESTR' AND ambito='PM' AND entidade='00100')Y</v>
      </c>
      <c r="L272" s="32" t="str">
        <f>IF(VLOOKUP(B272,'0. Instruções'!$C$27:$G$32,5,FALSE)=0,
"ON X.CHAVE_IT=Y.CHAVE_SIMUL",
"ON X.CHAVE_IT1=Y.CHAVE_SIMUL1 AND X.CHAVE_IT2=Y.CHAVE_SIMUL2")</f>
        <v>ON X.CHAVE_IT=Y.CHAVE_SIMUL</v>
      </c>
      <c r="M272" s="32" t="str">
        <f>+IF(D272="Coerência",+IF(LEFT(H272,5)="FLOAT","SELECT '"&amp;UPPER(B272)&amp;"' AS TABELA, '"&amp;UPPER(D272)&amp;"' AS TIPOLOGIA_TESTE,'"&amp;E272&amp;"' AS TABELA_LT,'"&amp;F272&amp;"' AS TABELA_SIMUL,'"&amp;C272&amp;"'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"&amp;J272&amp;" INNER JOIN "&amp;K272&amp;" "&amp;L272,"SELECT '"&amp;UPPER(B272)&amp;"' AS TABELA, '"&amp;UPPER(D272)&amp;"' AS TIPOLOGIA_TESTE,'"&amp;E272&amp;"' AS TABELA_LT,'"&amp;F272&amp;"' AS TABELA_SIMUL,'"&amp;C272&amp;"'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"&amp;J272&amp;" INNER JOIN "&amp;K272&amp;" "&amp;L272))</f>
        <v>SELECT 'INSTRUMENT' AS TABELA, 'COERÊNCIA' AS TIPOLOGIA_TESTE,'CD_LOAN_TAPES_BCE.LT002_INSTRUMENT' AS TABELA_LT,'BU_LOANTAPE_WORK.LT002_INSTRUMENT' AS TABELA_SIMUL,'grss_cmmssn_expns_off_blnc'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 AS CAMPO_IT FROM CD_LOAN_TAPES_BCE.LT002_INSTRUMENT WHERE ref_date='${ref_date}' AND nome_perimetro='Individual Local' AND segmento='ESTR' AND ambito='PM' AND entidade='00100')X INNER JOIN (SELECT instrmnt_id AS CHAVE_SIMUL, grss_cmmssn_expns_off_blnc AS CAMPO_SIMUL FROM BU_LOANTAPE_WORK.LT002_INSTRUMENT WHERE ref_date='${ref_date}' AND nome_perimetro='Individual Local' AND segmento='ESTR' AND ambito='PM' AND entidade='00100')Y ON X.CHAVE_IT=Y.CHAVE_SIMUL</v>
      </c>
      <c r="N272" s="33" t="str">
        <f t="shared" si="9"/>
        <v>UNION ALL SELECT 'INSTRUMENT' AS TABELA, 'COERÊNCIA' AS TIPOLOGIA_TESTE,'CD_LOAN_TAPES_BCE.LT002_INSTRUMENT' AS TABELA_LT,'BU_LOANTAPE_WORK.LT002_INSTRUMENT' AS TABELA_SIMUL,'grss_cmmssn_expns_off_blnc'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 AS CAMPO_IT FROM CD_LOAN_TAPES_BCE.LT002_INSTRUMENT WHERE ref_date='${ref_date}' AND nome_perimetro='Individual Local' AND segmento='ESTR' AND ambito='PM' AND entidade='00100')X INNER JOIN (SELECT instrmnt_id AS CHAVE_SIMUL, grss_cmmssn_expns_off_blnc AS CAMPO_SIMUL FROM BU_LOANTAPE_WORK.LT002_INSTRUMENT WHERE ref_date='${ref_date}' AND nome_perimetro='Individual Local' AND segmento='ESTR' AND ambito='PM' AND entidade='00100')Y ON X.CHAVE_IT=Y.CHAVE_SIMUL</v>
      </c>
      <c r="O272" s="35" t="s">
        <v>35</v>
      </c>
    </row>
    <row r="273" spans="1:15">
      <c r="A273" s="57" t="str">
        <f t="shared" si="10"/>
        <v>Instrumentrwa_off_blnc</v>
      </c>
      <c r="B273" s="32" t="s">
        <v>9</v>
      </c>
      <c r="C273" s="32" t="s">
        <v>435</v>
      </c>
      <c r="D273" s="32" t="s">
        <v>5</v>
      </c>
      <c r="E273" s="32" t="str">
        <f>+UPPER('0. Instruções'!$D$35&amp;"."&amp;VLOOKUP(B273,'0. Instruções'!$C$27:$D$32,2,FALSE))</f>
        <v>CD_LOAN_TAPES_BCE.LT002_INSTRUMENT</v>
      </c>
      <c r="F273" s="32" t="str">
        <f>+UPPER('0. Instruções'!$D$36&amp;"."&amp;VLOOKUP(B273,'0. Instruções'!$C$27:$E$32,3,FALSE))</f>
        <v>BU_LOANTAPE_WORK.LT002_INSTRUMENT</v>
      </c>
      <c r="H273" s="32"/>
      <c r="I273" s="32"/>
      <c r="J273" s="32" t="str">
        <f>IF(VLOOKUP(B273,'0. Instruções'!$C$27:$G$32,5,FALSE)=0,
"(SELECT "&amp;VLOOKUP(B273,'0. Instruções'!$C$27:$G$32,4,FALSE)&amp;" AS CHAVE_IT, "&amp;C273&amp;" AS CAMPO_IT FROM "&amp;E273&amp;" WHERE "&amp;'0. Instruções'!$D$43&amp;")X",
"(SELECT "&amp;VLOOKUP(B273,'0. Instruções'!$C$27:$G$32,4,FALSE)&amp;" AS CHAVE_IT1, "&amp;VLOOKUP(B273,'0. Instruções'!$C$27:$G$32,5,FALSE)&amp;" AS CHAVE_IT2, "&amp;C273&amp;" AS CAMPO_IT FROM "&amp;E273&amp;" WHERE "&amp;'0. Instruções'!$D$43&amp;")X")</f>
        <v>(SELECT instrmnt_id AS CHAVE_IT, rwa_off_blnc AS CAMPO_IT FROM CD_LOAN_TAPES_BCE.LT002_INSTRUMENT WHERE ref_date='${ref_date}' AND nome_perimetro='Individual Local' AND segmento='ESTR' AND ambito='PM' AND entidade='00100')X</v>
      </c>
      <c r="K273" s="32" t="str">
        <f>IF(VLOOKUP(B273,'0. Instruções'!$C$27:$G$32,5,FALSE)=0,
"(SELECT "&amp;VLOOKUP(B273,'0. Instruções'!$C$27:$G$32,4,FALSE)&amp;" AS CHAVE_SIMUL, "&amp;C273&amp;" AS CAMPO_SIMUL FROM "&amp;F273&amp;" WHERE "&amp;'0. Instruções'!$D$42&amp;")Y",
"(SELECT "&amp;VLOOKUP(B273,'0. Instruções'!$C$27:$G$32,4,FALSE)&amp;" AS CHAVE_SIMUL1, "&amp;VLOOKUP(B273,'0. Instruções'!$C$27:$G$32,5,FALSE)&amp;" AS CHAVE_SIMUL2, "&amp;C273&amp;" AS CAMPO_SIMUL FROM "&amp;F273&amp;" WHERE "&amp;'0. Instruções'!$D$42&amp;")Y")</f>
        <v>(SELECT instrmnt_id AS CHAVE_SIMUL, rwa_off_blnc AS CAMPO_SIMUL FROM BU_LOANTAPE_WORK.LT002_INSTRUMENT WHERE ref_date='${ref_date}' AND nome_perimetro='Individual Local' AND segmento='ESTR' AND ambito='PM' AND entidade='00100')Y</v>
      </c>
      <c r="L273" s="32" t="str">
        <f>IF(VLOOKUP(B273,'0. Instruções'!$C$27:$G$32,5,FALSE)=0,
"ON X.CHAVE_IT=Y.CHAVE_SIMUL",
"ON X.CHAVE_IT1=Y.CHAVE_SIMUL1 AND X.CHAVE_IT2=Y.CHAVE_SIMUL2")</f>
        <v>ON X.CHAVE_IT=Y.CHAVE_SIMUL</v>
      </c>
      <c r="M273" s="32" t="str">
        <f>+IF(D273="Coerência",+IF(LEFT(H273,5)="FLOAT","SELECT '"&amp;UPPER(B273)&amp;"' AS TABELA, '"&amp;UPPER(D273)&amp;"' AS TIPOLOGIA_TESTE,'"&amp;E273&amp;"' AS TABELA_LT,'"&amp;F273&amp;"' AS TABELA_SIMUL,'"&amp;C273&amp;"'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"&amp;J273&amp;" INNER JOIN "&amp;K273&amp;" "&amp;L273,"SELECT '"&amp;UPPER(B273)&amp;"' AS TABELA, '"&amp;UPPER(D273)&amp;"' AS TIPOLOGIA_TESTE,'"&amp;E273&amp;"' AS TABELA_LT,'"&amp;F273&amp;"' AS TABELA_SIMUL,'"&amp;C273&amp;"'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"&amp;J273&amp;" INNER JOIN "&amp;K273&amp;" "&amp;L273))</f>
        <v>SELECT 'INSTRUMENT' AS TABELA, 'COERÊNCIA' AS TIPOLOGIA_TESTE,'CD_LOAN_TAPES_BCE.LT002_INSTRUMENT' AS TABELA_LT,'BU_LOANTAPE_WORK.LT002_INSTRUMENT' AS TABELA_SIMUL,'rwa_off_blnc'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rwa_off_blnc AS CAMPO_IT FROM CD_LOAN_TAPES_BCE.LT002_INSTRUMENT WHERE ref_date='${ref_date}' AND nome_perimetro='Individual Local' AND segmento='ESTR' AND ambito='PM' AND entidade='00100')X INNER JOIN (SELECT instrmnt_id AS CHAVE_SIMUL, rwa_off_blnc AS CAMPO_SIMUL FROM BU_LOANTAPE_WORK.LT002_INSTRUMENT WHERE ref_date='${ref_date}' AND nome_perimetro='Individual Local' AND segmento='ESTR' AND ambito='PM' AND entidade='00100')Y ON X.CHAVE_IT=Y.CHAVE_SIMUL</v>
      </c>
      <c r="N273" s="33" t="str">
        <f t="shared" si="9"/>
        <v>UNION ALL SELECT 'INSTRUMENT' AS TABELA, 'COERÊNCIA' AS TIPOLOGIA_TESTE,'CD_LOAN_TAPES_BCE.LT002_INSTRUMENT' AS TABELA_LT,'BU_LOANTAPE_WORK.LT002_INSTRUMENT' AS TABELA_SIMUL,'rwa_off_blnc'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rwa_off_blnc AS CAMPO_IT FROM CD_LOAN_TAPES_BCE.LT002_INSTRUMENT WHERE ref_date='${ref_date}' AND nome_perimetro='Individual Local' AND segmento='ESTR' AND ambito='PM' AND entidade='00100')X INNER JOIN (SELECT instrmnt_id AS CHAVE_SIMUL, rwa_off_blnc AS CAMPO_SIMUL FROM BU_LOANTAPE_WORK.LT002_INSTRUMENT WHERE ref_date='${ref_date}' AND nome_perimetro='Individual Local' AND segmento='ESTR' AND ambito='PM' AND entidade='00100')Y ON X.CHAVE_IT=Y.CHAVE_SIMUL</v>
      </c>
      <c r="O273" s="35" t="s">
        <v>35</v>
      </c>
    </row>
    <row r="274" spans="1:15">
      <c r="A274" s="57" t="str">
        <f t="shared" si="10"/>
        <v>Instrumentgrss_intrst_expns</v>
      </c>
      <c r="B274" s="32" t="s">
        <v>9</v>
      </c>
      <c r="C274" s="32" t="s">
        <v>436</v>
      </c>
      <c r="D274" s="32" t="s">
        <v>5</v>
      </c>
      <c r="E274" s="32" t="str">
        <f>+UPPER('0. Instruções'!$D$35&amp;"."&amp;VLOOKUP(B274,'0. Instruções'!$C$27:$D$32,2,FALSE))</f>
        <v>CD_LOAN_TAPES_BCE.LT002_INSTRUMENT</v>
      </c>
      <c r="F274" s="32" t="str">
        <f>+UPPER('0. Instruções'!$D$36&amp;"."&amp;VLOOKUP(B274,'0. Instruções'!$C$27:$E$32,3,FALSE))</f>
        <v>BU_LOANTAPE_WORK.LT002_INSTRUMENT</v>
      </c>
      <c r="H274" s="32"/>
      <c r="I274" s="32"/>
      <c r="J274" s="32" t="str">
        <f>IF(VLOOKUP(B274,'0. Instruções'!$C$27:$G$32,5,FALSE)=0,
"(SELECT "&amp;VLOOKUP(B274,'0. Instruções'!$C$27:$G$32,4,FALSE)&amp;" AS CHAVE_IT, "&amp;C274&amp;" AS CAMPO_IT FROM "&amp;E274&amp;" WHERE "&amp;'0. Instruções'!$D$43&amp;")X",
"(SELECT "&amp;VLOOKUP(B274,'0. Instruções'!$C$27:$G$32,4,FALSE)&amp;" AS CHAVE_IT1, "&amp;VLOOKUP(B274,'0. Instruções'!$C$27:$G$32,5,FALSE)&amp;" AS CHAVE_IT2, "&amp;C274&amp;" AS CAMPO_IT FROM "&amp;E274&amp;" WHERE "&amp;'0. Instruções'!$D$43&amp;")X")</f>
        <v>(SELECT instrmnt_id AS CHAVE_IT, grss_intrst_expns AS CAMPO_IT FROM CD_LOAN_TAPES_BCE.LT002_INSTRUMENT WHERE ref_date='${ref_date}' AND nome_perimetro='Individual Local' AND segmento='ESTR' AND ambito='PM' AND entidade='00100')X</v>
      </c>
      <c r="K274" s="32" t="str">
        <f>IF(VLOOKUP(B274,'0. Instruções'!$C$27:$G$32,5,FALSE)=0,
"(SELECT "&amp;VLOOKUP(B274,'0. Instruções'!$C$27:$G$32,4,FALSE)&amp;" AS CHAVE_SIMUL, "&amp;C274&amp;" AS CAMPO_SIMUL FROM "&amp;F274&amp;" WHERE "&amp;'0. Instruções'!$D$42&amp;")Y",
"(SELECT "&amp;VLOOKUP(B274,'0. Instruções'!$C$27:$G$32,4,FALSE)&amp;" AS CHAVE_SIMUL1, "&amp;VLOOKUP(B274,'0. Instruções'!$C$27:$G$32,5,FALSE)&amp;" AS CHAVE_SIMUL2, "&amp;C274&amp;" AS CAMPO_SIMUL FROM "&amp;F274&amp;" WHERE "&amp;'0. Instruções'!$D$42&amp;")Y")</f>
        <v>(SELECT instrmnt_id AS CHAVE_SIMUL, grss_intrst_expns AS CAMPO_SIMUL FROM BU_LOANTAPE_WORK.LT002_INSTRUMENT WHERE ref_date='${ref_date}' AND nome_perimetro='Individual Local' AND segmento='ESTR' AND ambito='PM' AND entidade='00100')Y</v>
      </c>
      <c r="L274" s="32" t="str">
        <f>IF(VLOOKUP(B274,'0. Instruções'!$C$27:$G$32,5,FALSE)=0,
"ON X.CHAVE_IT=Y.CHAVE_SIMUL",
"ON X.CHAVE_IT1=Y.CHAVE_SIMUL1 AND X.CHAVE_IT2=Y.CHAVE_SIMUL2")</f>
        <v>ON X.CHAVE_IT=Y.CHAVE_SIMUL</v>
      </c>
      <c r="M274" s="32" t="str">
        <f>+IF(D274="Coerência",+IF(LEFT(H274,5)="FLOAT","SELECT '"&amp;UPPER(B274)&amp;"' AS TABELA, '"&amp;UPPER(D274)&amp;"' AS TIPOLOGIA_TESTE,'"&amp;E274&amp;"' AS TABELA_LT,'"&amp;F274&amp;"' AS TABELA_SIMUL,'"&amp;C274&amp;"'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"&amp;J274&amp;" INNER JOIN "&amp;K274&amp;" "&amp;L274,"SELECT '"&amp;UPPER(B274)&amp;"' AS TABELA, '"&amp;UPPER(D274)&amp;"' AS TIPOLOGIA_TESTE,'"&amp;E274&amp;"' AS TABELA_LT,'"&amp;F274&amp;"' AS TABELA_SIMUL,'"&amp;C274&amp;"'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"&amp;J274&amp;" INNER JOIN "&amp;K274&amp;" "&amp;L274))</f>
        <v>SELECT 'INSTRUMENT' AS TABELA, 'COERÊNCIA' AS TIPOLOGIA_TESTE,'CD_LOAN_TAPES_BCE.LT002_INSTRUMENT' AS TABELA_LT,'BU_LOANTAPE_WORK.LT002_INSTRUMENT' AS TABELA_SIMUL,'grss_intrst_expns'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 AS CAMPO_IT FROM CD_LOAN_TAPES_BCE.LT002_INSTRUMENT WHERE ref_date='${ref_date}' AND nome_perimetro='Individual Local' AND segmento='ESTR' AND ambito='PM' AND entidade='00100')X INNER JOIN (SELECT instrmnt_id AS CHAVE_SIMUL, grss_intrst_expns AS CAMPO_SIMUL FROM BU_LOANTAPE_WORK.LT002_INSTRUMENT WHERE ref_date='${ref_date}' AND nome_perimetro='Individual Local' AND segmento='ESTR' AND ambito='PM' AND entidade='00100')Y ON X.CHAVE_IT=Y.CHAVE_SIMUL</v>
      </c>
      <c r="N274" s="33" t="str">
        <f t="shared" si="9"/>
        <v>UNION ALL SELECT 'INSTRUMENT' AS TABELA, 'COERÊNCIA' AS TIPOLOGIA_TESTE,'CD_LOAN_TAPES_BCE.LT002_INSTRUMENT' AS TABELA_LT,'BU_LOANTAPE_WORK.LT002_INSTRUMENT' AS TABELA_SIMUL,'grss_intrst_expns'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 AS CAMPO_IT FROM CD_LOAN_TAPES_BCE.LT002_INSTRUMENT WHERE ref_date='${ref_date}' AND nome_perimetro='Individual Local' AND segmento='ESTR' AND ambito='PM' AND entidade='00100')X INNER JOIN (SELECT instrmnt_id AS CHAVE_SIMUL, grss_intrst_expns AS CAMPO_SIMUL FROM BU_LOANTAPE_WORK.LT002_INSTRUMENT WHERE ref_date='${ref_date}' AND nome_perimetro='Individual Local' AND segmento='ESTR' AND ambito='PM' AND entidade='00100')Y ON X.CHAVE_IT=Y.CHAVE_SIMUL</v>
      </c>
      <c r="O274" s="35" t="s">
        <v>35</v>
      </c>
    </row>
    <row r="275" spans="1:15">
      <c r="A275" s="57" t="str">
        <f t="shared" si="10"/>
        <v>Instrumentnt_ln_lss_prvsn_off_blnc</v>
      </c>
      <c r="B275" s="32" t="s">
        <v>9</v>
      </c>
      <c r="C275" s="32" t="s">
        <v>437</v>
      </c>
      <c r="D275" s="32" t="s">
        <v>5</v>
      </c>
      <c r="E275" s="32" t="str">
        <f>+UPPER('0. Instruções'!$D$35&amp;"."&amp;VLOOKUP(B275,'0. Instruções'!$C$27:$D$32,2,FALSE))</f>
        <v>CD_LOAN_TAPES_BCE.LT002_INSTRUMENT</v>
      </c>
      <c r="F275" s="32" t="str">
        <f>+UPPER('0. Instruções'!$D$36&amp;"."&amp;VLOOKUP(B275,'0. Instruções'!$C$27:$E$32,3,FALSE))</f>
        <v>BU_LOANTAPE_WORK.LT002_INSTRUMENT</v>
      </c>
      <c r="H275" s="32"/>
      <c r="I275" s="32"/>
      <c r="J275" s="32" t="str">
        <f>IF(VLOOKUP(B275,'0. Instruções'!$C$27:$G$32,5,FALSE)=0,
"(SELECT "&amp;VLOOKUP(B275,'0. Instruções'!$C$27:$G$32,4,FALSE)&amp;" AS CHAVE_IT, "&amp;C275&amp;" AS CAMPO_IT FROM "&amp;E275&amp;" WHERE "&amp;'0. Instruções'!$D$43&amp;")X",
"(SELECT "&amp;VLOOKUP(B275,'0. Instruções'!$C$27:$G$32,4,FALSE)&amp;" AS CHAVE_IT1, "&amp;VLOOKUP(B275,'0. Instruções'!$C$27:$G$32,5,FALSE)&amp;" AS CHAVE_IT2, "&amp;C275&amp;" AS CAMPO_IT FROM "&amp;E275&amp;" WHERE "&amp;'0. Instruções'!$D$43&amp;")X")</f>
        <v>(SELECT instrmnt_id AS CHAVE_IT, nt_ln_lss_prvsn_off_blnc AS CAMPO_IT FROM CD_LOAN_TAPES_BCE.LT002_INSTRUMENT WHERE ref_date='${ref_date}' AND nome_perimetro='Individual Local' AND segmento='ESTR' AND ambito='PM' AND entidade='00100')X</v>
      </c>
      <c r="K275" s="32" t="str">
        <f>IF(VLOOKUP(B275,'0. Instruções'!$C$27:$G$32,5,FALSE)=0,
"(SELECT "&amp;VLOOKUP(B275,'0. Instruções'!$C$27:$G$32,4,FALSE)&amp;" AS CHAVE_SIMUL, "&amp;C275&amp;" AS CAMPO_SIMUL FROM "&amp;F275&amp;" WHERE "&amp;'0. Instruções'!$D$42&amp;")Y",
"(SELECT "&amp;VLOOKUP(B275,'0. Instruções'!$C$27:$G$32,4,FALSE)&amp;" AS CHAVE_SIMUL1, "&amp;VLOOKUP(B275,'0. Instruções'!$C$27:$G$32,5,FALSE)&amp;" AS CHAVE_SIMUL2, "&amp;C275&amp;" AS CAMPO_SIMUL FROM "&amp;F275&amp;" WHERE "&amp;'0. Instruções'!$D$42&amp;")Y")</f>
        <v>(SELECT instrmnt_id AS CHAVE_SIMUL, nt_ln_lss_prvsn_off_blnc AS CAMPO_SIMUL FROM BU_LOANTAPE_WORK.LT002_INSTRUMENT WHERE ref_date='${ref_date}' AND nome_perimetro='Individual Local' AND segmento='ESTR' AND ambito='PM' AND entidade='00100')Y</v>
      </c>
      <c r="L275" s="32" t="str">
        <f>IF(VLOOKUP(B275,'0. Instruções'!$C$27:$G$32,5,FALSE)=0,
"ON X.CHAVE_IT=Y.CHAVE_SIMUL",
"ON X.CHAVE_IT1=Y.CHAVE_SIMUL1 AND X.CHAVE_IT2=Y.CHAVE_SIMUL2")</f>
        <v>ON X.CHAVE_IT=Y.CHAVE_SIMUL</v>
      </c>
      <c r="M275" s="32" t="str">
        <f>+IF(D275="Coerência",+IF(LEFT(H275,5)="FLOAT","SELECT '"&amp;UPPER(B275)&amp;"' AS TABELA, '"&amp;UPPER(D275)&amp;"' AS TIPOLOGIA_TESTE,'"&amp;E275&amp;"' AS TABELA_LT,'"&amp;F275&amp;"' AS TABELA_SIMUL,'"&amp;C275&amp;"'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"&amp;J275&amp;" INNER JOIN "&amp;K275&amp;" "&amp;L275,"SELECT '"&amp;UPPER(B275)&amp;"' AS TABELA, '"&amp;UPPER(D275)&amp;"' AS TIPOLOGIA_TESTE,'"&amp;E275&amp;"' AS TABELA_LT,'"&amp;F275&amp;"' AS TABELA_SIMUL,'"&amp;C275&amp;"'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"&amp;J275&amp;" INNER JOIN "&amp;K275&amp;" "&amp;L275))</f>
        <v>SELECT 'INSTRUMENT' AS TABELA, 'COERÊNCIA' AS TIPOLOGIA_TESTE,'CD_LOAN_TAPES_BCE.LT002_INSTRUMENT' AS TABELA_LT,'BU_LOANTAPE_WORK.LT002_INSTRUMENT' AS TABELA_SIMUL,'nt_ln_lss_prvsn_off_blnc'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nt_ln_lss_prvsn_off_blnc AS CAMPO_IT FROM CD_LOAN_TAPES_BCE.LT002_INSTRUMENT WHERE ref_date='${ref_date}' AND nome_perimetro='Individual Local' AND segmento='ESTR' AND ambito='PM' AND entidade='00100')X INNER JOIN (SELECT instrmnt_id AS CHAVE_SIMUL, nt_ln_lss_prvsn_off_blnc AS CAMPO_SIMUL FROM BU_LOANTAPE_WORK.LT002_INSTRUMENT WHERE ref_date='${ref_date}' AND nome_perimetro='Individual Local' AND segmento='ESTR' AND ambito='PM' AND entidade='00100')Y ON X.CHAVE_IT=Y.CHAVE_SIMUL</v>
      </c>
      <c r="N275" s="33" t="str">
        <f t="shared" si="9"/>
        <v>UNION ALL SELECT 'INSTRUMENT' AS TABELA, 'COERÊNCIA' AS TIPOLOGIA_TESTE,'CD_LOAN_TAPES_BCE.LT002_INSTRUMENT' AS TABELA_LT,'BU_LOANTAPE_WORK.LT002_INSTRUMENT' AS TABELA_SIMUL,'nt_ln_lss_prvsn_off_blnc'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nt_ln_lss_prvsn_off_blnc AS CAMPO_IT FROM CD_LOAN_TAPES_BCE.LT002_INSTRUMENT WHERE ref_date='${ref_date}' AND nome_perimetro='Individual Local' AND segmento='ESTR' AND ambito='PM' AND entidade='00100')X INNER JOIN (SELECT instrmnt_id AS CHAVE_SIMUL, nt_ln_lss_prvsn_off_blnc AS CAMPO_SIMUL FROM BU_LOANTAPE_WORK.LT002_INSTRUMENT WHERE ref_date='${ref_date}' AND nome_perimetro='Individual Local' AND segmento='ESTR' AND ambito='PM' AND entidade='00100')Y ON X.CHAVE_IT=Y.CHAVE_SIMUL</v>
      </c>
      <c r="O275" s="35" t="s">
        <v>35</v>
      </c>
    </row>
    <row r="276" spans="1:15">
      <c r="A276" s="57" t="str">
        <f t="shared" si="10"/>
        <v>Instrumentgrss_intrst_incm_ccrr</v>
      </c>
      <c r="B276" s="32" t="s">
        <v>9</v>
      </c>
      <c r="C276" s="32" t="s">
        <v>438</v>
      </c>
      <c r="D276" s="32" t="s">
        <v>5</v>
      </c>
      <c r="E276" s="32" t="str">
        <f>+UPPER('0. Instruções'!$D$35&amp;"."&amp;VLOOKUP(B276,'0. Instruções'!$C$27:$D$32,2,FALSE))</f>
        <v>CD_LOAN_TAPES_BCE.LT002_INSTRUMENT</v>
      </c>
      <c r="F276" s="32" t="str">
        <f>+UPPER('0. Instruções'!$D$36&amp;"."&amp;VLOOKUP(B276,'0. Instruções'!$C$27:$E$32,3,FALSE))</f>
        <v>BU_LOANTAPE_WORK.LT002_INSTRUMENT</v>
      </c>
      <c r="H276" s="32"/>
      <c r="I276" s="32"/>
      <c r="J276" s="32" t="str">
        <f>IF(VLOOKUP(B276,'0. Instruções'!$C$27:$G$32,5,FALSE)=0,
"(SELECT "&amp;VLOOKUP(B276,'0. Instruções'!$C$27:$G$32,4,FALSE)&amp;" AS CHAVE_IT, "&amp;C276&amp;" AS CAMPO_IT FROM "&amp;E276&amp;" WHERE "&amp;'0. Instruções'!$D$43&amp;")X",
"(SELECT "&amp;VLOOKUP(B276,'0. Instruções'!$C$27:$G$32,4,FALSE)&amp;" AS CHAVE_IT1, "&amp;VLOOKUP(B276,'0. Instruções'!$C$27:$G$32,5,FALSE)&amp;" AS CHAVE_IT2, "&amp;C276&amp;" AS CAMPO_IT FROM "&amp;E276&amp;" WHERE "&amp;'0. Instruções'!$D$43&amp;")X")</f>
        <v>(SELECT instrmnt_id AS CHAVE_IT, grss_intrst_incm_ccrr AS CAMPO_IT FROM CD_LOAN_TAPES_BCE.LT002_INSTRUMENT WHERE ref_date='${ref_date}' AND nome_perimetro='Individual Local' AND segmento='ESTR' AND ambito='PM' AND entidade='00100')X</v>
      </c>
      <c r="K276" s="32" t="str">
        <f>IF(VLOOKUP(B276,'0. Instruções'!$C$27:$G$32,5,FALSE)=0,
"(SELECT "&amp;VLOOKUP(B276,'0. Instruções'!$C$27:$G$32,4,FALSE)&amp;" AS CHAVE_SIMUL, "&amp;C276&amp;" AS CAMPO_SIMUL FROM "&amp;F276&amp;" WHERE "&amp;'0. Instruções'!$D$42&amp;")Y",
"(SELECT "&amp;VLOOKUP(B276,'0. Instruções'!$C$27:$G$32,4,FALSE)&amp;" AS CHAVE_SIMUL1, "&amp;VLOOKUP(B276,'0. Instruções'!$C$27:$G$32,5,FALSE)&amp;" AS CHAVE_SIMUL2, "&amp;C276&amp;" AS CAMPO_SIMUL FROM "&amp;F276&amp;" WHERE "&amp;'0. Instruções'!$D$42&amp;")Y")</f>
        <v>(SELECT instrmnt_id AS CHAVE_SIMUL, grss_intrst_incm_ccrr AS CAMPO_SIMUL FROM BU_LOANTAPE_WORK.LT002_INSTRUMENT WHERE ref_date='${ref_date}' AND nome_perimetro='Individual Local' AND segmento='ESTR' AND ambito='PM' AND entidade='00100')Y</v>
      </c>
      <c r="L276" s="32" t="str">
        <f>IF(VLOOKUP(B276,'0. Instruções'!$C$27:$G$32,5,FALSE)=0,
"ON X.CHAVE_IT=Y.CHAVE_SIMUL",
"ON X.CHAVE_IT1=Y.CHAVE_SIMUL1 AND X.CHAVE_IT2=Y.CHAVE_SIMUL2")</f>
        <v>ON X.CHAVE_IT=Y.CHAVE_SIMUL</v>
      </c>
      <c r="M276" s="32" t="str">
        <f>+IF(D276="Coerência",+IF(LEFT(H276,5)="FLOAT","SELECT '"&amp;UPPER(B276)&amp;"' AS TABELA, '"&amp;UPPER(D276)&amp;"' AS TIPOLOGIA_TESTE,'"&amp;E276&amp;"' AS TABELA_LT,'"&amp;F276&amp;"' AS TABELA_SIMUL,'"&amp;C276&amp;"'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"&amp;J276&amp;" INNER JOIN "&amp;K276&amp;" "&amp;L276,"SELECT '"&amp;UPPER(B276)&amp;"' AS TABELA, '"&amp;UPPER(D276)&amp;"' AS TIPOLOGIA_TESTE,'"&amp;E276&amp;"' AS TABELA_LT,'"&amp;F276&amp;"' AS TABELA_SIMUL,'"&amp;C276&amp;"'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"&amp;J276&amp;" INNER JOIN "&amp;K276&amp;" "&amp;L276))</f>
        <v>SELECT 'INSTRUMENT' AS TABELA, 'COERÊNCIA' AS TIPOLOGIA_TESTE,'CD_LOAN_TAPES_BCE.LT002_INSTRUMENT' AS TABELA_LT,'BU_LOANTAPE_WORK.LT002_INSTRUMENT' AS TABELA_SIMUL,'grss_intrst_incm_ccrr'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grss_intrst_incm_ccrr AS CAMPO_IT FROM CD_LOAN_TAPES_BCE.LT002_INSTRUMENT WHERE ref_date='${ref_date}' AND nome_perimetro='Individual Local' AND segmento='ESTR' AND ambito='PM' AND entidade='00100')X INNER JOIN (SELECT instrmnt_id AS CHAVE_SIMUL, grss_intrst_incm_ccrr AS CAMPO_SIMUL FROM BU_LOANTAPE_WORK.LT002_INSTRUMENT WHERE ref_date='${ref_date}' AND nome_perimetro='Individual Local' AND segmento='ESTR' AND ambito='PM' AND entidade='00100')Y ON X.CHAVE_IT=Y.CHAVE_SIMUL</v>
      </c>
      <c r="N276" s="33" t="str">
        <f t="shared" si="9"/>
        <v>UNION ALL SELECT 'INSTRUMENT' AS TABELA, 'COERÊNCIA' AS TIPOLOGIA_TESTE,'CD_LOAN_TAPES_BCE.LT002_INSTRUMENT' AS TABELA_LT,'BU_LOANTAPE_WORK.LT002_INSTRUMENT' AS TABELA_SIMUL,'grss_intrst_incm_ccrr'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grss_intrst_incm_ccrr AS CAMPO_IT FROM CD_LOAN_TAPES_BCE.LT002_INSTRUMENT WHERE ref_date='${ref_date}' AND nome_perimetro='Individual Local' AND segmento='ESTR' AND ambito='PM' AND entidade='00100')X INNER JOIN (SELECT instrmnt_id AS CHAVE_SIMUL, grss_intrst_incm_ccrr AS CAMPO_SIMUL FROM BU_LOANTAPE_WORK.LT002_INSTRUMENT WHERE ref_date='${ref_date}' AND nome_perimetro='Individual Local' AND segmento='ESTR' AND ambito='PM' AND entidade='00100')Y ON X.CHAVE_IT=Y.CHAVE_SIMUL</v>
      </c>
      <c r="O276" s="35" t="s">
        <v>35</v>
      </c>
    </row>
    <row r="277" spans="1:15">
      <c r="A277" s="57" t="str">
        <f t="shared" si="10"/>
        <v>Instrumentgrss_intrst_expns_ccrr</v>
      </c>
      <c r="B277" s="32" t="s">
        <v>9</v>
      </c>
      <c r="C277" s="32" t="s">
        <v>439</v>
      </c>
      <c r="D277" s="32" t="s">
        <v>5</v>
      </c>
      <c r="E277" s="32" t="str">
        <f>+UPPER('0. Instruções'!$D$35&amp;"."&amp;VLOOKUP(B277,'0. Instruções'!$C$27:$D$32,2,FALSE))</f>
        <v>CD_LOAN_TAPES_BCE.LT002_INSTRUMENT</v>
      </c>
      <c r="F277" s="32" t="str">
        <f>+UPPER('0. Instruções'!$D$36&amp;"."&amp;VLOOKUP(B277,'0. Instruções'!$C$27:$E$32,3,FALSE))</f>
        <v>BU_LOANTAPE_WORK.LT002_INSTRUMENT</v>
      </c>
      <c r="H277" s="32"/>
      <c r="I277" s="32"/>
      <c r="J277" s="32" t="str">
        <f>IF(VLOOKUP(B277,'0. Instruções'!$C$27:$G$32,5,FALSE)=0,
"(SELECT "&amp;VLOOKUP(B277,'0. Instruções'!$C$27:$G$32,4,FALSE)&amp;" AS CHAVE_IT, "&amp;C277&amp;" AS CAMPO_IT FROM "&amp;E277&amp;" WHERE "&amp;'0. Instruções'!$D$43&amp;")X",
"(SELECT "&amp;VLOOKUP(B277,'0. Instruções'!$C$27:$G$32,4,FALSE)&amp;" AS CHAVE_IT1, "&amp;VLOOKUP(B277,'0. Instruções'!$C$27:$G$32,5,FALSE)&amp;" AS CHAVE_IT2, "&amp;C277&amp;" AS CAMPO_IT FROM "&amp;E277&amp;" WHERE "&amp;'0. Instruções'!$D$43&amp;")X")</f>
        <v>(SELECT instrmnt_id AS CHAVE_IT, grss_intrst_expns_ccrr AS CAMPO_IT FROM CD_LOAN_TAPES_BCE.LT002_INSTRUMENT WHERE ref_date='${ref_date}' AND nome_perimetro='Individual Local' AND segmento='ESTR' AND ambito='PM' AND entidade='00100')X</v>
      </c>
      <c r="K277" s="32" t="str">
        <f>IF(VLOOKUP(B277,'0. Instruções'!$C$27:$G$32,5,FALSE)=0,
"(SELECT "&amp;VLOOKUP(B277,'0. Instruções'!$C$27:$G$32,4,FALSE)&amp;" AS CHAVE_SIMUL, "&amp;C277&amp;" AS CAMPO_SIMUL FROM "&amp;F277&amp;" WHERE "&amp;'0. Instruções'!$D$42&amp;")Y",
"(SELECT "&amp;VLOOKUP(B277,'0. Instruções'!$C$27:$G$32,4,FALSE)&amp;" AS CHAVE_SIMUL1, "&amp;VLOOKUP(B277,'0. Instruções'!$C$27:$G$32,5,FALSE)&amp;" AS CHAVE_SIMUL2, "&amp;C277&amp;" AS CAMPO_SIMUL FROM "&amp;F277&amp;" WHERE "&amp;'0. Instruções'!$D$42&amp;")Y")</f>
        <v>(SELECT instrmnt_id AS CHAVE_SIMUL, grss_intrst_expns_ccrr AS CAMPO_SIMUL FROM BU_LOANTAPE_WORK.LT002_INSTRUMENT WHERE ref_date='${ref_date}' AND nome_perimetro='Individual Local' AND segmento='ESTR' AND ambito='PM' AND entidade='00100')Y</v>
      </c>
      <c r="L277" s="32" t="str">
        <f>IF(VLOOKUP(B277,'0. Instruções'!$C$27:$G$32,5,FALSE)=0,
"ON X.CHAVE_IT=Y.CHAVE_SIMUL",
"ON X.CHAVE_IT1=Y.CHAVE_SIMUL1 AND X.CHAVE_IT2=Y.CHAVE_SIMUL2")</f>
        <v>ON X.CHAVE_IT=Y.CHAVE_SIMUL</v>
      </c>
      <c r="M277" s="32" t="str">
        <f>+IF(D277="Coerência",+IF(LEFT(H277,5)="FLOAT","SELECT '"&amp;UPPER(B277)&amp;"' AS TABELA, '"&amp;UPPER(D277)&amp;"' AS TIPOLOGIA_TESTE,'"&amp;E277&amp;"' AS TABELA_LT,'"&amp;F277&amp;"' AS TABELA_SIMUL,'"&amp;C277&amp;"'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"&amp;J277&amp;" INNER JOIN "&amp;K277&amp;" "&amp;L277,"SELECT '"&amp;UPPER(B277)&amp;"' AS TABELA, '"&amp;UPPER(D277)&amp;"' AS TIPOLOGIA_TESTE,'"&amp;E277&amp;"' AS TABELA_LT,'"&amp;F277&amp;"' AS TABELA_SIMUL,'"&amp;C277&amp;"'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"&amp;J277&amp;" INNER JOIN "&amp;K277&amp;" "&amp;L277))</f>
        <v>SELECT 'INSTRUMENT' AS TABELA, 'COERÊNCIA' AS TIPOLOGIA_TESTE,'CD_LOAN_TAPES_BCE.LT002_INSTRUMENT' AS TABELA_LT,'BU_LOANTAPE_WORK.LT002_INSTRUMENT' AS TABELA_SIMUL,'grss_intrst_expns_ccrr'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grss_intrst_expns_ccrr AS CAMPO_IT FROM CD_LOAN_TAPES_BCE.LT002_INSTRUMENT WHERE ref_date='${ref_date}' AND nome_perimetro='Individual Local' AND segmento='ESTR' AND ambito='PM' AND entidade='00100')X INNER JOIN (SELECT instrmnt_id AS CHAVE_SIMUL, grss_intrst_expns_ccrr AS CAMPO_SIMUL FROM BU_LOANTAPE_WORK.LT002_INSTRUMENT WHERE ref_date='${ref_date}' AND nome_perimetro='Individual Local' AND segmento='ESTR' AND ambito='PM' AND entidade='00100')Y ON X.CHAVE_IT=Y.CHAVE_SIMUL</v>
      </c>
      <c r="N277" s="33" t="str">
        <f t="shared" si="9"/>
        <v>UNION ALL SELECT 'INSTRUMENT' AS TABELA, 'COERÊNCIA' AS TIPOLOGIA_TESTE,'CD_LOAN_TAPES_BCE.LT002_INSTRUMENT' AS TABELA_LT,'BU_LOANTAPE_WORK.LT002_INSTRUMENT' AS TABELA_SIMUL,'grss_intrst_expns_ccrr'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grss_intrst_expns_ccrr AS CAMPO_IT FROM CD_LOAN_TAPES_BCE.LT002_INSTRUMENT WHERE ref_date='${ref_date}' AND nome_perimetro='Individual Local' AND segmento='ESTR' AND ambito='PM' AND entidade='00100')X INNER JOIN (SELECT instrmnt_id AS CHAVE_SIMUL, grss_intrst_expns_ccrr AS CAMPO_SIMUL FROM BU_LOANTAPE_WORK.LT002_INSTRUMENT WHERE ref_date='${ref_date}' AND nome_perimetro='Individual Local' AND segmento='ESTR' AND ambito='PM' AND entidade='00100')Y ON X.CHAVE_IT=Y.CHAVE_SIMUL</v>
      </c>
      <c r="O277" s="35" t="s">
        <v>35</v>
      </c>
    </row>
    <row r="278" spans="1:15">
      <c r="A278" s="57" t="str">
        <f t="shared" si="10"/>
        <v>Instrumentgrss_cmmssn_incm_ccrr</v>
      </c>
      <c r="B278" s="32" t="s">
        <v>9</v>
      </c>
      <c r="C278" s="32" t="s">
        <v>440</v>
      </c>
      <c r="D278" s="32" t="s">
        <v>5</v>
      </c>
      <c r="E278" s="32" t="str">
        <f>+UPPER('0. Instruções'!$D$35&amp;"."&amp;VLOOKUP(B278,'0. Instruções'!$C$27:$D$32,2,FALSE))</f>
        <v>CD_LOAN_TAPES_BCE.LT002_INSTRUMENT</v>
      </c>
      <c r="F278" s="32" t="str">
        <f>+UPPER('0. Instruções'!$D$36&amp;"."&amp;VLOOKUP(B278,'0. Instruções'!$C$27:$E$32,3,FALSE))</f>
        <v>BU_LOANTAPE_WORK.LT002_INSTRUMENT</v>
      </c>
      <c r="H278" s="32"/>
      <c r="I278" s="32"/>
      <c r="J278" s="32" t="str">
        <f>IF(VLOOKUP(B278,'0. Instruções'!$C$27:$G$32,5,FALSE)=0,
"(SELECT "&amp;VLOOKUP(B278,'0. Instruções'!$C$27:$G$32,4,FALSE)&amp;" AS CHAVE_IT, "&amp;C278&amp;" AS CAMPO_IT FROM "&amp;E278&amp;" WHERE "&amp;'0. Instruções'!$D$43&amp;")X",
"(SELECT "&amp;VLOOKUP(B278,'0. Instruções'!$C$27:$G$32,4,FALSE)&amp;" AS CHAVE_IT1, "&amp;VLOOKUP(B278,'0. Instruções'!$C$27:$G$32,5,FALSE)&amp;" AS CHAVE_IT2, "&amp;C278&amp;" AS CAMPO_IT FROM "&amp;E278&amp;" WHERE "&amp;'0. Instruções'!$D$43&amp;")X")</f>
        <v>(SELECT instrmnt_id AS CHAVE_IT, grss_cmmssn_incm_ccrr AS CAMPO_IT FROM CD_LOAN_TAPES_BCE.LT002_INSTRUMENT WHERE ref_date='${ref_date}' AND nome_perimetro='Individual Local' AND segmento='ESTR' AND ambito='PM' AND entidade='00100')X</v>
      </c>
      <c r="K278" s="32" t="str">
        <f>IF(VLOOKUP(B278,'0. Instruções'!$C$27:$G$32,5,FALSE)=0,
"(SELECT "&amp;VLOOKUP(B278,'0. Instruções'!$C$27:$G$32,4,FALSE)&amp;" AS CHAVE_SIMUL, "&amp;C278&amp;" AS CAMPO_SIMUL FROM "&amp;F278&amp;" WHERE "&amp;'0. Instruções'!$D$42&amp;")Y",
"(SELECT "&amp;VLOOKUP(B278,'0. Instruções'!$C$27:$G$32,4,FALSE)&amp;" AS CHAVE_SIMUL1, "&amp;VLOOKUP(B278,'0. Instruções'!$C$27:$G$32,5,FALSE)&amp;" AS CHAVE_SIMUL2, "&amp;C278&amp;" AS CAMPO_SIMUL FROM "&amp;F278&amp;" WHERE "&amp;'0. Instruções'!$D$42&amp;")Y")</f>
        <v>(SELECT instrmnt_id AS CHAVE_SIMUL, grss_cmmssn_incm_ccrr AS CAMPO_SIMUL FROM BU_LOANTAPE_WORK.LT002_INSTRUMENT WHERE ref_date='${ref_date}' AND nome_perimetro='Individual Local' AND segmento='ESTR' AND ambito='PM' AND entidade='00100')Y</v>
      </c>
      <c r="L278" s="32" t="str">
        <f>IF(VLOOKUP(B278,'0. Instruções'!$C$27:$G$32,5,FALSE)=0,
"ON X.CHAVE_IT=Y.CHAVE_SIMUL",
"ON X.CHAVE_IT1=Y.CHAVE_SIMUL1 AND X.CHAVE_IT2=Y.CHAVE_SIMUL2")</f>
        <v>ON X.CHAVE_IT=Y.CHAVE_SIMUL</v>
      </c>
      <c r="M278" s="32" t="str">
        <f>+IF(D278="Coerência",+IF(LEFT(H278,5)="FLOAT","SELECT '"&amp;UPPER(B278)&amp;"' AS TABELA, '"&amp;UPPER(D278)&amp;"' AS TIPOLOGIA_TESTE,'"&amp;E278&amp;"' AS TABELA_LT,'"&amp;F278&amp;"' AS TABELA_SIMUL,'"&amp;C278&amp;"'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"&amp;J278&amp;" INNER JOIN "&amp;K278&amp;" "&amp;L278,"SELECT '"&amp;UPPER(B278)&amp;"' AS TABELA, '"&amp;UPPER(D278)&amp;"' AS TIPOLOGIA_TESTE,'"&amp;E278&amp;"' AS TABELA_LT,'"&amp;F278&amp;"' AS TABELA_SIMUL,'"&amp;C278&amp;"'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"&amp;J278&amp;" INNER JOIN "&amp;K278&amp;" "&amp;L278))</f>
        <v>SELECT 'INSTRUMENT' AS TABELA, 'COERÊNCIA' AS TIPOLOGIA_TESTE,'CD_LOAN_TAPES_BCE.LT002_INSTRUMENT' AS TABELA_LT,'BU_LOANTAPE_WORK.LT002_INSTRUMENT' AS TABELA_SIMUL,'grss_cmmssn_incm_ccrr'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grss_cmmssn_incm_ccrr AS CAMPO_IT FROM CD_LOAN_TAPES_BCE.LT002_INSTRUMENT WHERE ref_date='${ref_date}' AND nome_perimetro='Individual Local' AND segmento='ESTR' AND ambito='PM' AND entidade='00100')X INNER JOIN (SELECT instrmnt_id AS CHAVE_SIMUL, grss_cmmssn_incm_ccrr AS CAMPO_SIMUL FROM BU_LOANTAPE_WORK.LT002_INSTRUMENT WHERE ref_date='${ref_date}' AND nome_perimetro='Individual Local' AND segmento='ESTR' AND ambito='PM' AND entidade='00100')Y ON X.CHAVE_IT=Y.CHAVE_SIMUL</v>
      </c>
      <c r="N278" s="33" t="str">
        <f t="shared" si="9"/>
        <v>UNION ALL SELECT 'INSTRUMENT' AS TABELA, 'COERÊNCIA' AS TIPOLOGIA_TESTE,'CD_LOAN_TAPES_BCE.LT002_INSTRUMENT' AS TABELA_LT,'BU_LOANTAPE_WORK.LT002_INSTRUMENT' AS TABELA_SIMUL,'grss_cmmssn_incm_ccrr'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grss_cmmssn_incm_ccrr AS CAMPO_IT FROM CD_LOAN_TAPES_BCE.LT002_INSTRUMENT WHERE ref_date='${ref_date}' AND nome_perimetro='Individual Local' AND segmento='ESTR' AND ambito='PM' AND entidade='00100')X INNER JOIN (SELECT instrmnt_id AS CHAVE_SIMUL, grss_cmmssn_incm_ccrr AS CAMPO_SIMUL FROM BU_LOANTAPE_WORK.LT002_INSTRUMENT WHERE ref_date='${ref_date}' AND nome_perimetro='Individual Local' AND segmento='ESTR' AND ambito='PM' AND entidade='00100')Y ON X.CHAVE_IT=Y.CHAVE_SIMUL</v>
      </c>
      <c r="O278" s="35" t="s">
        <v>35</v>
      </c>
    </row>
    <row r="279" spans="1:15">
      <c r="A279" s="57" t="str">
        <f t="shared" si="10"/>
        <v>Instrumentgrss_cmmssn_expns_ccrr</v>
      </c>
      <c r="B279" s="32" t="s">
        <v>9</v>
      </c>
      <c r="C279" s="32" t="s">
        <v>441</v>
      </c>
      <c r="D279" s="32" t="s">
        <v>5</v>
      </c>
      <c r="E279" s="32" t="str">
        <f>+UPPER('0. Instruções'!$D$35&amp;"."&amp;VLOOKUP(B279,'0. Instruções'!$C$27:$D$32,2,FALSE))</f>
        <v>CD_LOAN_TAPES_BCE.LT002_INSTRUMENT</v>
      </c>
      <c r="F279" s="32" t="str">
        <f>+UPPER('0. Instruções'!$D$36&amp;"."&amp;VLOOKUP(B279,'0. Instruções'!$C$27:$E$32,3,FALSE))</f>
        <v>BU_LOANTAPE_WORK.LT002_INSTRUMENT</v>
      </c>
      <c r="H279" s="32"/>
      <c r="I279" s="32"/>
      <c r="J279" s="32" t="str">
        <f>IF(VLOOKUP(B279,'0. Instruções'!$C$27:$G$32,5,FALSE)=0,
"(SELECT "&amp;VLOOKUP(B279,'0. Instruções'!$C$27:$G$32,4,FALSE)&amp;" AS CHAVE_IT, "&amp;C279&amp;" AS CAMPO_IT FROM "&amp;E279&amp;" WHERE "&amp;'0. Instruções'!$D$43&amp;")X",
"(SELECT "&amp;VLOOKUP(B279,'0. Instruções'!$C$27:$G$32,4,FALSE)&amp;" AS CHAVE_IT1, "&amp;VLOOKUP(B279,'0. Instruções'!$C$27:$G$32,5,FALSE)&amp;" AS CHAVE_IT2, "&amp;C279&amp;" AS CAMPO_IT FROM "&amp;E279&amp;" WHERE "&amp;'0. Instruções'!$D$43&amp;")X")</f>
        <v>(SELECT instrmnt_id AS CHAVE_IT, grss_cmmssn_expns_ccrr AS CAMPO_IT FROM CD_LOAN_TAPES_BCE.LT002_INSTRUMENT WHERE ref_date='${ref_date}' AND nome_perimetro='Individual Local' AND segmento='ESTR' AND ambito='PM' AND entidade='00100')X</v>
      </c>
      <c r="K279" s="32" t="str">
        <f>IF(VLOOKUP(B279,'0. Instruções'!$C$27:$G$32,5,FALSE)=0,
"(SELECT "&amp;VLOOKUP(B279,'0. Instruções'!$C$27:$G$32,4,FALSE)&amp;" AS CHAVE_SIMUL, "&amp;C279&amp;" AS CAMPO_SIMUL FROM "&amp;F279&amp;" WHERE "&amp;'0. Instruções'!$D$42&amp;")Y",
"(SELECT "&amp;VLOOKUP(B279,'0. Instruções'!$C$27:$G$32,4,FALSE)&amp;" AS CHAVE_SIMUL1, "&amp;VLOOKUP(B279,'0. Instruções'!$C$27:$G$32,5,FALSE)&amp;" AS CHAVE_SIMUL2, "&amp;C279&amp;" AS CAMPO_SIMUL FROM "&amp;F279&amp;" WHERE "&amp;'0. Instruções'!$D$42&amp;")Y")</f>
        <v>(SELECT instrmnt_id AS CHAVE_SIMUL, grss_cmmssn_expns_ccrr AS CAMPO_SIMUL FROM BU_LOANTAPE_WORK.LT002_INSTRUMENT WHERE ref_date='${ref_date}' AND nome_perimetro='Individual Local' AND segmento='ESTR' AND ambito='PM' AND entidade='00100')Y</v>
      </c>
      <c r="L279" s="32" t="str">
        <f>IF(VLOOKUP(B279,'0. Instruções'!$C$27:$G$32,5,FALSE)=0,
"ON X.CHAVE_IT=Y.CHAVE_SIMUL",
"ON X.CHAVE_IT1=Y.CHAVE_SIMUL1 AND X.CHAVE_IT2=Y.CHAVE_SIMUL2")</f>
        <v>ON X.CHAVE_IT=Y.CHAVE_SIMUL</v>
      </c>
      <c r="M279" s="32" t="str">
        <f>+IF(D279="Coerência",+IF(LEFT(H279,5)="FLOAT","SELECT '"&amp;UPPER(B279)&amp;"' AS TABELA, '"&amp;UPPER(D279)&amp;"' AS TIPOLOGIA_TESTE,'"&amp;E279&amp;"' AS TABELA_LT,'"&amp;F279&amp;"' AS TABELA_SIMUL,'"&amp;C279&amp;"'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"&amp;J279&amp;" INNER JOIN "&amp;K279&amp;" "&amp;L279,"SELECT '"&amp;UPPER(B279)&amp;"' AS TABELA, '"&amp;UPPER(D279)&amp;"' AS TIPOLOGIA_TESTE,'"&amp;E279&amp;"' AS TABELA_LT,'"&amp;F279&amp;"' AS TABELA_SIMUL,'"&amp;C279&amp;"'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"&amp;J279&amp;" INNER JOIN "&amp;K279&amp;" "&amp;L279))</f>
        <v>SELECT 'INSTRUMENT' AS TABELA, 'COERÊNCIA' AS TIPOLOGIA_TESTE,'CD_LOAN_TAPES_BCE.LT002_INSTRUMENT' AS TABELA_LT,'BU_LOANTAPE_WORK.LT002_INSTRUMENT' AS TABELA_SIMUL,'grss_cmmssn_expns_ccrr'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grss_cmmssn_expns_ccrr AS CAMPO_IT FROM CD_LOAN_TAPES_BCE.LT002_INSTRUMENT WHERE ref_date='${ref_date}' AND nome_perimetro='Individual Local' AND segmento='ESTR' AND ambito='PM' AND entidade='00100')X INNER JOIN (SELECT instrmnt_id AS CHAVE_SIMUL, grss_cmmssn_expns_ccrr AS CAMPO_SIMUL FROM BU_LOANTAPE_WORK.LT002_INSTRUMENT WHERE ref_date='${ref_date}' AND nome_perimetro='Individual Local' AND segmento='ESTR' AND ambito='PM' AND entidade='00100')Y ON X.CHAVE_IT=Y.CHAVE_SIMUL</v>
      </c>
      <c r="N279" s="33" t="str">
        <f t="shared" si="9"/>
        <v>UNION ALL SELECT 'INSTRUMENT' AS TABELA, 'COERÊNCIA' AS TIPOLOGIA_TESTE,'CD_LOAN_TAPES_BCE.LT002_INSTRUMENT' AS TABELA_LT,'BU_LOANTAPE_WORK.LT002_INSTRUMENT' AS TABELA_SIMUL,'grss_cmmssn_expns_ccrr'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grss_cmmssn_expns_ccrr AS CAMPO_IT FROM CD_LOAN_TAPES_BCE.LT002_INSTRUMENT WHERE ref_date='${ref_date}' AND nome_perimetro='Individual Local' AND segmento='ESTR' AND ambito='PM' AND entidade='00100')X INNER JOIN (SELECT instrmnt_id AS CHAVE_SIMUL, grss_cmmssn_expns_ccrr AS CAMPO_SIMUL FROM BU_LOANTAPE_WORK.LT002_INSTRUMENT WHERE ref_date='${ref_date}' AND nome_perimetro='Individual Local' AND segmento='ESTR' AND ambito='PM' AND entidade='00100')Y ON X.CHAVE_IT=Y.CHAVE_SIMUL</v>
      </c>
      <c r="O279" s="35" t="s">
        <v>35</v>
      </c>
    </row>
    <row r="280" spans="1:15">
      <c r="A280" s="57" t="str">
        <f t="shared" si="10"/>
        <v>Instrumentgns_fnncl_trnsctn_exchng_ccrr</v>
      </c>
      <c r="B280" s="32" t="s">
        <v>9</v>
      </c>
      <c r="C280" s="32" t="s">
        <v>442</v>
      </c>
      <c r="D280" s="32" t="s">
        <v>5</v>
      </c>
      <c r="E280" s="32" t="str">
        <f>+UPPER('0. Instruções'!$D$35&amp;"."&amp;VLOOKUP(B280,'0. Instruções'!$C$27:$D$32,2,FALSE))</f>
        <v>CD_LOAN_TAPES_BCE.LT002_INSTRUMENT</v>
      </c>
      <c r="F280" s="32" t="str">
        <f>+UPPER('0. Instruções'!$D$36&amp;"."&amp;VLOOKUP(B280,'0. Instruções'!$C$27:$E$32,3,FALSE))</f>
        <v>BU_LOANTAPE_WORK.LT002_INSTRUMENT</v>
      </c>
      <c r="H280" s="32"/>
      <c r="I280" s="32"/>
      <c r="J280" s="32" t="str">
        <f>IF(VLOOKUP(B280,'0. Instruções'!$C$27:$G$32,5,FALSE)=0,
"(SELECT "&amp;VLOOKUP(B280,'0. Instruções'!$C$27:$G$32,4,FALSE)&amp;" AS CHAVE_IT, "&amp;C280&amp;" AS CAMPO_IT FROM "&amp;E280&amp;" WHERE "&amp;'0. Instruções'!$D$43&amp;")X",
"(SELECT "&amp;VLOOKUP(B280,'0. Instruções'!$C$27:$G$32,4,FALSE)&amp;" AS CHAVE_IT1, "&amp;VLOOKUP(B280,'0. Instruções'!$C$27:$G$32,5,FALSE)&amp;" AS CHAVE_IT2, "&amp;C280&amp;" AS CAMPO_IT FROM "&amp;E280&amp;" WHERE "&amp;'0. Instruções'!$D$43&amp;")X")</f>
        <v>(SELECT instrmnt_id AS CHAVE_IT, gns_fnncl_trnsctn_exchng_ccrr AS CAMPO_IT FROM CD_LOAN_TAPES_BCE.LT002_INSTRUMENT WHERE ref_date='${ref_date}' AND nome_perimetro='Individual Local' AND segmento='ESTR' AND ambito='PM' AND entidade='00100')X</v>
      </c>
      <c r="K280" s="32" t="str">
        <f>IF(VLOOKUP(B280,'0. Instruções'!$C$27:$G$32,5,FALSE)=0,
"(SELECT "&amp;VLOOKUP(B280,'0. Instruções'!$C$27:$G$32,4,FALSE)&amp;" AS CHAVE_SIMUL, "&amp;C280&amp;" AS CAMPO_SIMUL FROM "&amp;F280&amp;" WHERE "&amp;'0. Instruções'!$D$42&amp;")Y",
"(SELECT "&amp;VLOOKUP(B280,'0. Instruções'!$C$27:$G$32,4,FALSE)&amp;" AS CHAVE_SIMUL1, "&amp;VLOOKUP(B280,'0. Instruções'!$C$27:$G$32,5,FALSE)&amp;" AS CHAVE_SIMUL2, "&amp;C280&amp;" AS CAMPO_SIMUL FROM "&amp;F280&amp;" WHERE "&amp;'0. Instruções'!$D$42&amp;")Y")</f>
        <v>(SELECT instrmnt_id AS CHAVE_SIMUL, gns_fnncl_trnsctn_exchng_ccrr AS CAMPO_SIMUL FROM BU_LOANTAPE_WORK.LT002_INSTRUMENT WHERE ref_date='${ref_date}' AND nome_perimetro='Individual Local' AND segmento='ESTR' AND ambito='PM' AND entidade='00100')Y</v>
      </c>
      <c r="L280" s="32" t="str">
        <f>IF(VLOOKUP(B280,'0. Instruções'!$C$27:$G$32,5,FALSE)=0,
"ON X.CHAVE_IT=Y.CHAVE_SIMUL",
"ON X.CHAVE_IT1=Y.CHAVE_SIMUL1 AND X.CHAVE_IT2=Y.CHAVE_SIMUL2")</f>
        <v>ON X.CHAVE_IT=Y.CHAVE_SIMUL</v>
      </c>
      <c r="M280" s="32" t="str">
        <f>+IF(D280="Coerência",+IF(LEFT(H280,5)="FLOAT","SELECT '"&amp;UPPER(B280)&amp;"' AS TABELA, '"&amp;UPPER(D280)&amp;"' AS TIPOLOGIA_TESTE,'"&amp;E280&amp;"' AS TABELA_LT,'"&amp;F280&amp;"' AS TABELA_SIMUL,'"&amp;C280&amp;"'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"&amp;J280&amp;" INNER JOIN "&amp;K280&amp;" "&amp;L280,"SELECT '"&amp;UPPER(B280)&amp;"' AS TABELA, '"&amp;UPPER(D280)&amp;"' AS TIPOLOGIA_TESTE,'"&amp;E280&amp;"' AS TABELA_LT,'"&amp;F280&amp;"' AS TABELA_SIMUL,'"&amp;C280&amp;"'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"&amp;J280&amp;" INNER JOIN "&amp;K280&amp;" "&amp;L280))</f>
        <v>SELECT 'INSTRUMENT' AS TABELA, 'COERÊNCIA' AS TIPOLOGIA_TESTE,'CD_LOAN_TAPES_BCE.LT002_INSTRUMENT' AS TABELA_LT,'BU_LOANTAPE_WORK.LT002_INSTRUMENT' AS TABELA_SIMUL,'gns_fnncl_trnsctn_exchng_ccrr'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gns_fnncl_trnsctn_exchng_ccrr AS CAMPO_IT FROM CD_LOAN_TAPES_BCE.LT002_INSTRUMENT WHERE ref_date='${ref_date}' AND nome_perimetro='Individual Local' AND segmento='ESTR' AND ambito='PM' AND entidade='00100')X INNER JOIN (SELECT instrmnt_id AS CHAVE_SIMUL, gns_fnncl_trnsctn_exchng_ccrr AS CAMPO_SIMUL FROM BU_LOANTAPE_WORK.LT002_INSTRUMENT WHERE ref_date='${ref_date}' AND nome_perimetro='Individual Local' AND segmento='ESTR' AND ambito='PM' AND entidade='00100')Y ON X.CHAVE_IT=Y.CHAVE_SIMUL</v>
      </c>
      <c r="N280" s="33" t="str">
        <f t="shared" si="9"/>
        <v>UNION ALL SELECT 'INSTRUMENT' AS TABELA, 'COERÊNCIA' AS TIPOLOGIA_TESTE,'CD_LOAN_TAPES_BCE.LT002_INSTRUMENT' AS TABELA_LT,'BU_LOANTAPE_WORK.LT002_INSTRUMENT' AS TABELA_SIMUL,'gns_fnncl_trnsctn_exchng_ccrr'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gns_fnncl_trnsctn_exchng_ccrr AS CAMPO_IT FROM CD_LOAN_TAPES_BCE.LT002_INSTRUMENT WHERE ref_date='${ref_date}' AND nome_perimetro='Individual Local' AND segmento='ESTR' AND ambito='PM' AND entidade='00100')X INNER JOIN (SELECT instrmnt_id AS CHAVE_SIMUL, gns_fnncl_trnsctn_exchng_ccrr AS CAMPO_SIMUL FROM BU_LOANTAPE_WORK.LT002_INSTRUMENT WHERE ref_date='${ref_date}' AND nome_perimetro='Individual Local' AND segmento='ESTR' AND ambito='PM' AND entidade='00100')Y ON X.CHAVE_IT=Y.CHAVE_SIMUL</v>
      </c>
      <c r="O280" s="35" t="s">
        <v>35</v>
      </c>
    </row>
    <row r="281" spans="1:15">
      <c r="A281" s="57" t="str">
        <f t="shared" si="10"/>
        <v>Instrumentbsnss_area_ccrr</v>
      </c>
      <c r="B281" s="32" t="s">
        <v>9</v>
      </c>
      <c r="C281" s="32" t="s">
        <v>443</v>
      </c>
      <c r="D281" s="32" t="s">
        <v>5</v>
      </c>
      <c r="E281" s="32" t="str">
        <f>+UPPER('0. Instruções'!$D$35&amp;"."&amp;VLOOKUP(B281,'0. Instruções'!$C$27:$D$32,2,FALSE))</f>
        <v>CD_LOAN_TAPES_BCE.LT002_INSTRUMENT</v>
      </c>
      <c r="F281" s="32" t="str">
        <f>+UPPER('0. Instruções'!$D$36&amp;"."&amp;VLOOKUP(B281,'0. Instruções'!$C$27:$E$32,3,FALSE))</f>
        <v>BU_LOANTAPE_WORK.LT002_INSTRUMENT</v>
      </c>
      <c r="H281" s="32"/>
      <c r="I281" s="32"/>
      <c r="J281" s="32" t="str">
        <f>IF(VLOOKUP(B281,'0. Instruções'!$C$27:$G$32,5,FALSE)=0,
"(SELECT "&amp;VLOOKUP(B281,'0. Instruções'!$C$27:$G$32,4,FALSE)&amp;" AS CHAVE_IT, "&amp;C281&amp;" AS CAMPO_IT FROM "&amp;E281&amp;" WHERE "&amp;'0. Instruções'!$D$43&amp;")X",
"(SELECT "&amp;VLOOKUP(B281,'0. Instruções'!$C$27:$G$32,4,FALSE)&amp;" AS CHAVE_IT1, "&amp;VLOOKUP(B281,'0. Instruções'!$C$27:$G$32,5,FALSE)&amp;" AS CHAVE_IT2, "&amp;C281&amp;" AS CAMPO_IT FROM "&amp;E281&amp;" WHERE "&amp;'0. Instruções'!$D$43&amp;")X")</f>
        <v>(SELECT instrmnt_id AS CHAVE_IT, bsnss_area_ccrr AS CAMPO_IT FROM CD_LOAN_TAPES_BCE.LT002_INSTRUMENT WHERE ref_date='${ref_date}' AND nome_perimetro='Individual Local' AND segmento='ESTR' AND ambito='PM' AND entidade='00100')X</v>
      </c>
      <c r="K281" s="32" t="str">
        <f>IF(VLOOKUP(B281,'0. Instruções'!$C$27:$G$32,5,FALSE)=0,
"(SELECT "&amp;VLOOKUP(B281,'0. Instruções'!$C$27:$G$32,4,FALSE)&amp;" AS CHAVE_SIMUL, "&amp;C281&amp;" AS CAMPO_SIMUL FROM "&amp;F281&amp;" WHERE "&amp;'0. Instruções'!$D$42&amp;")Y",
"(SELECT "&amp;VLOOKUP(B281,'0. Instruções'!$C$27:$G$32,4,FALSE)&amp;" AS CHAVE_SIMUL1, "&amp;VLOOKUP(B281,'0. Instruções'!$C$27:$G$32,5,FALSE)&amp;" AS CHAVE_SIMUL2, "&amp;C281&amp;" AS CAMPO_SIMUL FROM "&amp;F281&amp;" WHERE "&amp;'0. Instruções'!$D$42&amp;")Y")</f>
        <v>(SELECT instrmnt_id AS CHAVE_SIMUL, bsnss_area_ccrr AS CAMPO_SIMUL FROM BU_LOANTAPE_WORK.LT002_INSTRUMENT WHERE ref_date='${ref_date}' AND nome_perimetro='Individual Local' AND segmento='ESTR' AND ambito='PM' AND entidade='00100')Y</v>
      </c>
      <c r="L281" s="32" t="str">
        <f>IF(VLOOKUP(B281,'0. Instruções'!$C$27:$G$32,5,FALSE)=0,
"ON X.CHAVE_IT=Y.CHAVE_SIMUL",
"ON X.CHAVE_IT1=Y.CHAVE_SIMUL1 AND X.CHAVE_IT2=Y.CHAVE_SIMUL2")</f>
        <v>ON X.CHAVE_IT=Y.CHAVE_SIMUL</v>
      </c>
      <c r="M281" s="32" t="str">
        <f>+IF(D281="Coerência",+IF(LEFT(H281,5)="FLOAT","SELECT '"&amp;UPPER(B281)&amp;"' AS TABELA, '"&amp;UPPER(D281)&amp;"' AS TIPOLOGIA_TESTE,'"&amp;E281&amp;"' AS TABELA_LT,'"&amp;F281&amp;"' AS TABELA_SIMUL,'"&amp;C281&amp;"'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"&amp;J281&amp;" INNER JOIN "&amp;K281&amp;" "&amp;L281,"SELECT '"&amp;UPPER(B281)&amp;"' AS TABELA, '"&amp;UPPER(D281)&amp;"' AS TIPOLOGIA_TESTE,'"&amp;E281&amp;"' AS TABELA_LT,'"&amp;F281&amp;"' AS TABELA_SIMUL,'"&amp;C281&amp;"'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"&amp;J281&amp;" INNER JOIN "&amp;K281&amp;" "&amp;L281))</f>
        <v>SELECT 'INSTRUMENT' AS TABELA, 'COERÊNCIA' AS TIPOLOGIA_TESTE,'CD_LOAN_TAPES_BCE.LT002_INSTRUMENT' AS TABELA_LT,'BU_LOANTAPE_WORK.LT002_INSTRUMENT' AS TABELA_SIMUL,'bsnss_area_ccrr'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bsnss_area_ccrr AS CAMPO_IT FROM CD_LOAN_TAPES_BCE.LT002_INSTRUMENT WHERE ref_date='${ref_date}' AND nome_perimetro='Individual Local' AND segmento='ESTR' AND ambito='PM' AND entidade='00100')X INNER JOIN (SELECT instrmnt_id AS CHAVE_SIMUL, bsnss_area_ccrr AS CAMPO_SIMUL FROM BU_LOANTAPE_WORK.LT002_INSTRUMENT WHERE ref_date='${ref_date}' AND nome_perimetro='Individual Local' AND segmento='ESTR' AND ambito='PM' AND entidade='00100')Y ON X.CHAVE_IT=Y.CHAVE_SIMUL</v>
      </c>
      <c r="N281" s="33" t="str">
        <f t="shared" si="9"/>
        <v>UNION ALL SELECT 'INSTRUMENT' AS TABELA, 'COERÊNCIA' AS TIPOLOGIA_TESTE,'CD_LOAN_TAPES_BCE.LT002_INSTRUMENT' AS TABELA_LT,'BU_LOANTAPE_WORK.LT002_INSTRUMENT' AS TABELA_SIMUL,'bsnss_area_ccrr'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bsnss_area_ccrr AS CAMPO_IT FROM CD_LOAN_TAPES_BCE.LT002_INSTRUMENT WHERE ref_date='${ref_date}' AND nome_perimetro='Individual Local' AND segmento='ESTR' AND ambito='PM' AND entidade='00100')X INNER JOIN (SELECT instrmnt_id AS CHAVE_SIMUL, bsnss_area_ccrr AS CAMPO_SIMUL FROM BU_LOANTAPE_WORK.LT002_INSTRUMENT WHERE ref_date='${ref_date}' AND nome_perimetro='Individual Local' AND segmento='ESTR' AND ambito='PM' AND entidade='00100')Y ON X.CHAVE_IT=Y.CHAVE_SIMUL</v>
      </c>
      <c r="O281" s="35" t="s">
        <v>35</v>
      </c>
    </row>
    <row r="282" spans="1:15">
      <c r="A282" s="57" t="str">
        <f t="shared" si="10"/>
        <v>Instrumentgrss_cmmssn_incm_off_blnc_ccrr</v>
      </c>
      <c r="B282" s="32" t="s">
        <v>9</v>
      </c>
      <c r="C282" s="32" t="s">
        <v>444</v>
      </c>
      <c r="D282" s="32" t="s">
        <v>5</v>
      </c>
      <c r="E282" s="32" t="str">
        <f>+UPPER('0. Instruções'!$D$35&amp;"."&amp;VLOOKUP(B282,'0. Instruções'!$C$27:$D$32,2,FALSE))</f>
        <v>CD_LOAN_TAPES_BCE.LT002_INSTRUMENT</v>
      </c>
      <c r="F282" s="32" t="str">
        <f>+UPPER('0. Instruções'!$D$36&amp;"."&amp;VLOOKUP(B282,'0. Instruções'!$C$27:$E$32,3,FALSE))</f>
        <v>BU_LOANTAPE_WORK.LT002_INSTRUMENT</v>
      </c>
      <c r="H282" s="32"/>
      <c r="I282" s="32"/>
      <c r="J282" s="32" t="str">
        <f>IF(VLOOKUP(B282,'0. Instruções'!$C$27:$G$32,5,FALSE)=0,
"(SELECT "&amp;VLOOKUP(B282,'0. Instruções'!$C$27:$G$32,4,FALSE)&amp;" AS CHAVE_IT, "&amp;C282&amp;" AS CAMPO_IT FROM "&amp;E282&amp;" WHERE "&amp;'0. Instruções'!$D$43&amp;")X",
"(SELECT "&amp;VLOOKUP(B282,'0. Instruções'!$C$27:$G$32,4,FALSE)&amp;" AS CHAVE_IT1, "&amp;VLOOKUP(B282,'0. Instruções'!$C$27:$G$32,5,FALSE)&amp;" AS CHAVE_IT2, "&amp;C282&amp;" AS CAMPO_IT FROM "&amp;E282&amp;" WHERE "&amp;'0. Instruções'!$D$43&amp;")X")</f>
        <v>(SELECT instrmnt_id AS CHAVE_IT, grss_cmmssn_incm_off_blnc_ccrr AS CAMPO_IT FROM CD_LOAN_TAPES_BCE.LT002_INSTRUMENT WHERE ref_date='${ref_date}' AND nome_perimetro='Individual Local' AND segmento='ESTR' AND ambito='PM' AND entidade='00100')X</v>
      </c>
      <c r="K282" s="32" t="str">
        <f>IF(VLOOKUP(B282,'0. Instruções'!$C$27:$G$32,5,FALSE)=0,
"(SELECT "&amp;VLOOKUP(B282,'0. Instruções'!$C$27:$G$32,4,FALSE)&amp;" AS CHAVE_SIMUL, "&amp;C282&amp;" AS CAMPO_SIMUL FROM "&amp;F282&amp;" WHERE "&amp;'0. Instruções'!$D$42&amp;")Y",
"(SELECT "&amp;VLOOKUP(B282,'0. Instruções'!$C$27:$G$32,4,FALSE)&amp;" AS CHAVE_SIMUL1, "&amp;VLOOKUP(B282,'0. Instruções'!$C$27:$G$32,5,FALSE)&amp;" AS CHAVE_SIMUL2, "&amp;C282&amp;" AS CAMPO_SIMUL FROM "&amp;F282&amp;" WHERE "&amp;'0. Instruções'!$D$42&amp;")Y")</f>
        <v>(SELECT instrmnt_id AS CHAVE_SIMUL, grss_cmmssn_incm_off_blnc_ccrr AS CAMPO_SIMUL FROM BU_LOANTAPE_WORK.LT002_INSTRUMENT WHERE ref_date='${ref_date}' AND nome_perimetro='Individual Local' AND segmento='ESTR' AND ambito='PM' AND entidade='00100')Y</v>
      </c>
      <c r="L282" s="32" t="str">
        <f>IF(VLOOKUP(B282,'0. Instruções'!$C$27:$G$32,5,FALSE)=0,
"ON X.CHAVE_IT=Y.CHAVE_SIMUL",
"ON X.CHAVE_IT1=Y.CHAVE_SIMUL1 AND X.CHAVE_IT2=Y.CHAVE_SIMUL2")</f>
        <v>ON X.CHAVE_IT=Y.CHAVE_SIMUL</v>
      </c>
      <c r="M282" s="32" t="str">
        <f>+IF(D282="Coerência",+IF(LEFT(H282,5)="FLOAT","SELECT '"&amp;UPPER(B282)&amp;"' AS TABELA, '"&amp;UPPER(D282)&amp;"' AS TIPOLOGIA_TESTE,'"&amp;E282&amp;"' AS TABELA_LT,'"&amp;F282&amp;"' AS TABELA_SIMUL,'"&amp;C282&amp;"'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"&amp;J282&amp;" INNER JOIN "&amp;K282&amp;" "&amp;L282,"SELECT '"&amp;UPPER(B282)&amp;"' AS TABELA, '"&amp;UPPER(D282)&amp;"' AS TIPOLOGIA_TESTE,'"&amp;E282&amp;"' AS TABELA_LT,'"&amp;F282&amp;"' AS TABELA_SIMUL,'"&amp;C282&amp;"'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"&amp;J282&amp;" INNER JOIN "&amp;K282&amp;" "&amp;L282))</f>
        <v>SELECT 'INSTRUMENT' AS TABELA, 'COERÊNCIA' AS TIPOLOGIA_TESTE,'CD_LOAN_TAPES_BCE.LT002_INSTRUMENT' AS TABELA_LT,'BU_LOANTAPE_WORK.LT002_INSTRUMENT' AS TABELA_SIMUL,'grss_cmmssn_incm_off_blnc_ccrr'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grss_cmmssn_incm_off_blnc_ccrr AS CAMPO_IT FROM CD_LOAN_TAPES_BCE.LT002_INSTRUMENT WHERE ref_date='${ref_date}' AND nome_perimetro='Individual Local' AND segmento='ESTR' AND ambito='PM' AND entidade='00100')X INNER JOIN (SELECT instrmnt_id AS CHAVE_SIMUL, grss_cmmssn_incm_off_blnc_ccrr AS CAMPO_SIMUL FROM BU_LOANTAPE_WORK.LT002_INSTRUMENT WHERE ref_date='${ref_date}' AND nome_perimetro='Individual Local' AND segmento='ESTR' AND ambito='PM' AND entidade='00100')Y ON X.CHAVE_IT=Y.CHAVE_SIMUL</v>
      </c>
      <c r="N282" s="33" t="str">
        <f t="shared" si="9"/>
        <v>UNION ALL SELECT 'INSTRUMENT' AS TABELA, 'COERÊNCIA' AS TIPOLOGIA_TESTE,'CD_LOAN_TAPES_BCE.LT002_INSTRUMENT' AS TABELA_LT,'BU_LOANTAPE_WORK.LT002_INSTRUMENT' AS TABELA_SIMUL,'grss_cmmssn_incm_off_blnc_ccrr'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grss_cmmssn_incm_off_blnc_ccrr AS CAMPO_IT FROM CD_LOAN_TAPES_BCE.LT002_INSTRUMENT WHERE ref_date='${ref_date}' AND nome_perimetro='Individual Local' AND segmento='ESTR' AND ambito='PM' AND entidade='00100')X INNER JOIN (SELECT instrmnt_id AS CHAVE_SIMUL, grss_cmmssn_incm_off_blnc_ccrr AS CAMPO_SIMUL FROM BU_LOANTAPE_WORK.LT002_INSTRUMENT WHERE ref_date='${ref_date}' AND nome_perimetro='Individual Local' AND segmento='ESTR' AND ambito='PM' AND entidade='00100')Y ON X.CHAVE_IT=Y.CHAVE_SIMUL</v>
      </c>
      <c r="O282" s="35" t="s">
        <v>35</v>
      </c>
    </row>
    <row r="283" spans="1:15">
      <c r="A283" s="57" t="str">
        <f t="shared" si="10"/>
        <v>Instrumentgrss_cmmssn_expns_off_blnc_ccrr</v>
      </c>
      <c r="B283" s="32" t="s">
        <v>9</v>
      </c>
      <c r="C283" s="32" t="s">
        <v>445</v>
      </c>
      <c r="D283" s="32" t="s">
        <v>5</v>
      </c>
      <c r="E283" s="32" t="str">
        <f>+UPPER('0. Instruções'!$D$35&amp;"."&amp;VLOOKUP(B283,'0. Instruções'!$C$27:$D$32,2,FALSE))</f>
        <v>CD_LOAN_TAPES_BCE.LT002_INSTRUMENT</v>
      </c>
      <c r="F283" s="32" t="str">
        <f>+UPPER('0. Instruções'!$D$36&amp;"."&amp;VLOOKUP(B283,'0. Instruções'!$C$27:$E$32,3,FALSE))</f>
        <v>BU_LOANTAPE_WORK.LT002_INSTRUMENT</v>
      </c>
      <c r="H283" s="32"/>
      <c r="I283" s="32"/>
      <c r="J283" s="32" t="str">
        <f>IF(VLOOKUP(B283,'0. Instruções'!$C$27:$G$32,5,FALSE)=0,
"(SELECT "&amp;VLOOKUP(B283,'0. Instruções'!$C$27:$G$32,4,FALSE)&amp;" AS CHAVE_IT, "&amp;C283&amp;" AS CAMPO_IT FROM "&amp;E283&amp;" WHERE "&amp;'0. Instruções'!$D$43&amp;")X",
"(SELECT "&amp;VLOOKUP(B283,'0. Instruções'!$C$27:$G$32,4,FALSE)&amp;" AS CHAVE_IT1, "&amp;VLOOKUP(B283,'0. Instruções'!$C$27:$G$32,5,FALSE)&amp;" AS CHAVE_IT2, "&amp;C283&amp;" AS CAMPO_IT FROM "&amp;E283&amp;" WHERE "&amp;'0. Instruções'!$D$43&amp;")X")</f>
        <v>(SELECT instrmnt_id AS CHAVE_IT, grss_cmmssn_expns_off_blnc_ccrr AS CAMPO_IT FROM CD_LOAN_TAPES_BCE.LT002_INSTRUMENT WHERE ref_date='${ref_date}' AND nome_perimetro='Individual Local' AND segmento='ESTR' AND ambito='PM' AND entidade='00100')X</v>
      </c>
      <c r="K283" s="32" t="str">
        <f>IF(VLOOKUP(B283,'0. Instruções'!$C$27:$G$32,5,FALSE)=0,
"(SELECT "&amp;VLOOKUP(B283,'0. Instruções'!$C$27:$G$32,4,FALSE)&amp;" AS CHAVE_SIMUL, "&amp;C283&amp;" AS CAMPO_SIMUL FROM "&amp;F283&amp;" WHERE "&amp;'0. Instruções'!$D$42&amp;")Y",
"(SELECT "&amp;VLOOKUP(B283,'0. Instruções'!$C$27:$G$32,4,FALSE)&amp;" AS CHAVE_SIMUL1, "&amp;VLOOKUP(B283,'0. Instruções'!$C$27:$G$32,5,FALSE)&amp;" AS CHAVE_SIMUL2, "&amp;C283&amp;" AS CAMPO_SIMUL FROM "&amp;F283&amp;" WHERE "&amp;'0. Instruções'!$D$42&amp;")Y")</f>
        <v>(SELECT instrmnt_id AS CHAVE_SIMUL, grss_cmmssn_expns_off_blnc_ccrr AS CAMPO_SIMUL FROM BU_LOANTAPE_WORK.LT002_INSTRUMENT WHERE ref_date='${ref_date}' AND nome_perimetro='Individual Local' AND segmento='ESTR' AND ambito='PM' AND entidade='00100')Y</v>
      </c>
      <c r="L283" s="32" t="str">
        <f>IF(VLOOKUP(B283,'0. Instruções'!$C$27:$G$32,5,FALSE)=0,
"ON X.CHAVE_IT=Y.CHAVE_SIMUL",
"ON X.CHAVE_IT1=Y.CHAVE_SIMUL1 AND X.CHAVE_IT2=Y.CHAVE_SIMUL2")</f>
        <v>ON X.CHAVE_IT=Y.CHAVE_SIMUL</v>
      </c>
      <c r="M283" s="32" t="str">
        <f>+IF(D283="Coerência",+IF(LEFT(H283,5)="FLOAT","SELECT '"&amp;UPPER(B283)&amp;"' AS TABELA, '"&amp;UPPER(D283)&amp;"' AS TIPOLOGIA_TESTE,'"&amp;E283&amp;"' AS TABELA_LT,'"&amp;F283&amp;"' AS TABELA_SIMUL,'"&amp;C283&amp;"'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"&amp;J283&amp;" INNER JOIN "&amp;K283&amp;" "&amp;L283,"SELECT '"&amp;UPPER(B283)&amp;"' AS TABELA, '"&amp;UPPER(D283)&amp;"' AS TIPOLOGIA_TESTE,'"&amp;E283&amp;"' AS TABELA_LT,'"&amp;F283&amp;"' AS TABELA_SIMUL,'"&amp;C283&amp;"'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"&amp;J283&amp;" INNER JOIN "&amp;K283&amp;" "&amp;L283))</f>
        <v>SELECT 'INSTRUMENT' AS TABELA, 'COERÊNCIA' AS TIPOLOGIA_TESTE,'CD_LOAN_TAPES_BCE.LT002_INSTRUMENT' AS TABELA_LT,'BU_LOANTAPE_WORK.LT002_INSTRUMENT' AS TABELA_SIMUL,'grss_cmmssn_expns_off_blnc_ccrr'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grss_cmmssn_expns_off_blnc_ccrr AS CAMPO_IT FROM CD_LOAN_TAPES_BCE.LT002_INSTRUMENT WHERE ref_date='${ref_date}' AND nome_perimetro='Individual Local' AND segmento='ESTR' AND ambito='PM' AND entidade='00100')X INNER JOIN (SELECT instrmnt_id AS CHAVE_SIMUL, grss_cmmssn_expns_off_blnc_ccrr AS CAMPO_SIMUL FROM BU_LOANTAPE_WORK.LT002_INSTRUMENT WHERE ref_date='${ref_date}' AND nome_perimetro='Individual Local' AND segmento='ESTR' AND ambito='PM' AND entidade='00100')Y ON X.CHAVE_IT=Y.CHAVE_SIMUL</v>
      </c>
      <c r="N283" s="33" t="str">
        <f t="shared" si="9"/>
        <v>UNION ALL SELECT 'INSTRUMENT' AS TABELA, 'COERÊNCIA' AS TIPOLOGIA_TESTE,'CD_LOAN_TAPES_BCE.LT002_INSTRUMENT' AS TABELA_LT,'BU_LOANTAPE_WORK.LT002_INSTRUMENT' AS TABELA_SIMUL,'grss_cmmssn_expns_off_blnc_ccrr'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grss_cmmssn_expns_off_blnc_ccrr AS CAMPO_IT FROM CD_LOAN_TAPES_BCE.LT002_INSTRUMENT WHERE ref_date='${ref_date}' AND nome_perimetro='Individual Local' AND segmento='ESTR' AND ambito='PM' AND entidade='00100')X INNER JOIN (SELECT instrmnt_id AS CHAVE_SIMUL, grss_cmmssn_expns_off_blnc_ccrr AS CAMPO_SIMUL FROM BU_LOANTAPE_WORK.LT002_INSTRUMENT WHERE ref_date='${ref_date}' AND nome_perimetro='Individual Local' AND segmento='ESTR' AND ambito='PM' AND entidade='00100')Y ON X.CHAVE_IT=Y.CHAVE_SIMUL</v>
      </c>
      <c r="O283" s="35" t="s">
        <v>35</v>
      </c>
    </row>
    <row r="284" spans="1:15">
      <c r="A284" s="57" t="str">
        <f t="shared" si="10"/>
        <v>Instrumentlcl_instmrnt_id</v>
      </c>
      <c r="B284" s="32" t="s">
        <v>9</v>
      </c>
      <c r="C284" s="32" t="s">
        <v>150</v>
      </c>
      <c r="D284" s="32" t="s">
        <v>5</v>
      </c>
      <c r="E284" s="32" t="str">
        <f>+UPPER('0. Instruções'!$D$35&amp;"."&amp;VLOOKUP(B284,'0. Instruções'!$C$27:$D$32,2,FALSE))</f>
        <v>CD_LOAN_TAPES_BCE.LT002_INSTRUMENT</v>
      </c>
      <c r="F284" s="32" t="str">
        <f>+UPPER('0. Instruções'!$D$36&amp;"."&amp;VLOOKUP(B284,'0. Instruções'!$C$27:$E$32,3,FALSE))</f>
        <v>BU_LOANTAPE_WORK.LT002_INSTRUMENT</v>
      </c>
      <c r="H284" s="32"/>
      <c r="I284" s="32"/>
      <c r="J284" s="32" t="str">
        <f>IF(VLOOKUP(B284,'0. Instruções'!$C$27:$G$32,5,FALSE)=0,
"(SELECT "&amp;VLOOKUP(B284,'0. Instruções'!$C$27:$G$32,4,FALSE)&amp;" AS CHAVE_IT, "&amp;C284&amp;" AS CAMPO_IT FROM "&amp;E284&amp;" WHERE "&amp;'0. Instruções'!$D$43&amp;")X",
"(SELECT "&amp;VLOOKUP(B284,'0. Instruções'!$C$27:$G$32,4,FALSE)&amp;" AS CHAVE_IT1, "&amp;VLOOKUP(B284,'0. Instruções'!$C$27:$G$32,5,FALSE)&amp;" AS CHAVE_IT2, "&amp;C284&amp;" AS CAMPO_IT FROM "&amp;E284&amp;" WHERE "&amp;'0. Instruções'!$D$43&amp;")X")</f>
        <v>(SELECT instrmnt_id AS CHAVE_IT, lcl_instmrnt_id AS CAMPO_IT FROM CD_LOAN_TAPES_BCE.LT002_INSTRUMENT WHERE ref_date='${ref_date}' AND nome_perimetro='Individual Local' AND segmento='ESTR' AND ambito='PM' AND entidade='00100')X</v>
      </c>
      <c r="K284" s="32" t="str">
        <f>IF(VLOOKUP(B284,'0. Instruções'!$C$27:$G$32,5,FALSE)=0,
"(SELECT "&amp;VLOOKUP(B284,'0. Instruções'!$C$27:$G$32,4,FALSE)&amp;" AS CHAVE_SIMUL, "&amp;C284&amp;" AS CAMPO_SIMUL FROM "&amp;F284&amp;" WHERE "&amp;'0. Instruções'!$D$42&amp;")Y",
"(SELECT "&amp;VLOOKUP(B284,'0. Instruções'!$C$27:$G$32,4,FALSE)&amp;" AS CHAVE_SIMUL1, "&amp;VLOOKUP(B284,'0. Instruções'!$C$27:$G$32,5,FALSE)&amp;" AS CHAVE_SIMUL2, "&amp;C284&amp;" AS CAMPO_SIMUL FROM "&amp;F284&amp;" WHERE "&amp;'0. Instruções'!$D$42&amp;")Y")</f>
        <v>(SELECT instrmnt_id AS CHAVE_SIMUL, lcl_instmrnt_id AS CAMPO_SIMUL FROM BU_LOANTAPE_WORK.LT002_INSTRUMENT WHERE ref_date='${ref_date}' AND nome_perimetro='Individual Local' AND segmento='ESTR' AND ambito='PM' AND entidade='00100')Y</v>
      </c>
      <c r="L284" s="32" t="str">
        <f>IF(VLOOKUP(B284,'0. Instruções'!$C$27:$G$32,5,FALSE)=0,
"ON X.CHAVE_IT=Y.CHAVE_SIMUL",
"ON X.CHAVE_IT1=Y.CHAVE_SIMUL1 AND X.CHAVE_IT2=Y.CHAVE_SIMUL2")</f>
        <v>ON X.CHAVE_IT=Y.CHAVE_SIMUL</v>
      </c>
      <c r="M284" s="32" t="str">
        <f>+IF(D284="Coerência",+IF(LEFT(H284,5)="FLOAT","SELECT '"&amp;UPPER(B284)&amp;"' AS TABELA, '"&amp;UPPER(D284)&amp;"' AS TIPOLOGIA_TESTE,'"&amp;E284&amp;"' AS TABELA_LT,'"&amp;F284&amp;"' AS TABELA_SIMUL,'"&amp;C284&amp;"'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"&amp;J284&amp;" INNER JOIN "&amp;K284&amp;" "&amp;L284,"SELECT '"&amp;UPPER(B284)&amp;"' AS TABELA, '"&amp;UPPER(D284)&amp;"' AS TIPOLOGIA_TESTE,'"&amp;E284&amp;"' AS TABELA_LT,'"&amp;F284&amp;"' AS TABELA_SIMUL,'"&amp;C284&amp;"'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"&amp;J284&amp;" INNER JOIN "&amp;K284&amp;" "&amp;L284))</f>
        <v>SELECT 'INSTRUMENT' AS TABELA, 'COERÊNCIA' AS TIPOLOGIA_TESTE,'CD_LOAN_TAPES_BCE.LT002_INSTRUMENT' AS TABELA_LT,'BU_LOANTAPE_WORK.LT002_INSTRUMENT' AS TABELA_SIMUL,'lcl_instmrnt_id'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lcl_instmrnt_id AS CAMPO_IT FROM CD_LOAN_TAPES_BCE.LT002_INSTRUMENT WHERE ref_date='${ref_date}' AND nome_perimetro='Individual Local' AND segmento='ESTR' AND ambito='PM' AND entidade='00100')X INNER JOIN (SELECT instrmnt_id AS CHAVE_SIMUL, lcl_instmrnt_id AS CAMPO_SIMUL FROM BU_LOANTAPE_WORK.LT002_INSTRUMENT WHERE ref_date='${ref_date}' AND nome_perimetro='Individual Local' AND segmento='ESTR' AND ambito='PM' AND entidade='00100')Y ON X.CHAVE_IT=Y.CHAVE_SIMUL</v>
      </c>
      <c r="N284" s="33" t="str">
        <f t="shared" si="9"/>
        <v>UNION ALL SELECT 'INSTRUMENT' AS TABELA, 'COERÊNCIA' AS TIPOLOGIA_TESTE,'CD_LOAN_TAPES_BCE.LT002_INSTRUMENT' AS TABELA_LT,'BU_LOANTAPE_WORK.LT002_INSTRUMENT' AS TABELA_SIMUL,'lcl_instmrnt_id'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lcl_instmrnt_id AS CAMPO_IT FROM CD_LOAN_TAPES_BCE.LT002_INSTRUMENT WHERE ref_date='${ref_date}' AND nome_perimetro='Individual Local' AND segmento='ESTR' AND ambito='PM' AND entidade='00100')X INNER JOIN (SELECT instrmnt_id AS CHAVE_SIMUL, lcl_instmrnt_id AS CAMPO_SIMUL FROM BU_LOANTAPE_WORK.LT002_INSTRUMENT WHERE ref_date='${ref_date}' AND nome_perimetro='Individual Local' AND segmento='ESTR' AND ambito='PM' AND entidade='00100')Y ON X.CHAVE_IT=Y.CHAVE_SIMUL</v>
      </c>
      <c r="O284" s="35" t="s">
        <v>35</v>
      </c>
    </row>
    <row r="285" spans="1:15">
      <c r="A285" s="57" t="str">
        <f t="shared" si="10"/>
        <v>Instrumentcnclld_instrmnt_stts</v>
      </c>
      <c r="B285" s="32" t="s">
        <v>9</v>
      </c>
      <c r="C285" s="32" t="s">
        <v>446</v>
      </c>
      <c r="D285" s="32" t="s">
        <v>5</v>
      </c>
      <c r="E285" s="32" t="str">
        <f>+UPPER('0. Instruções'!$D$35&amp;"."&amp;VLOOKUP(B285,'0. Instruções'!$C$27:$D$32,2,FALSE))</f>
        <v>CD_LOAN_TAPES_BCE.LT002_INSTRUMENT</v>
      </c>
      <c r="F285" s="32" t="str">
        <f>+UPPER('0. Instruções'!$D$36&amp;"."&amp;VLOOKUP(B285,'0. Instruções'!$C$27:$E$32,3,FALSE))</f>
        <v>BU_LOANTAPE_WORK.LT002_INSTRUMENT</v>
      </c>
      <c r="H285" s="32"/>
      <c r="I285" s="32"/>
      <c r="J285" s="32" t="str">
        <f>IF(VLOOKUP(B285,'0. Instruções'!$C$27:$G$32,5,FALSE)=0,
"(SELECT "&amp;VLOOKUP(B285,'0. Instruções'!$C$27:$G$32,4,FALSE)&amp;" AS CHAVE_IT, "&amp;C285&amp;" AS CAMPO_IT FROM "&amp;E285&amp;" WHERE "&amp;'0. Instruções'!$D$43&amp;")X",
"(SELECT "&amp;VLOOKUP(B285,'0. Instruções'!$C$27:$G$32,4,FALSE)&amp;" AS CHAVE_IT1, "&amp;VLOOKUP(B285,'0. Instruções'!$C$27:$G$32,5,FALSE)&amp;" AS CHAVE_IT2, "&amp;C285&amp;" AS CAMPO_IT FROM "&amp;E285&amp;" WHERE "&amp;'0. Instruções'!$D$43&amp;")X")</f>
        <v>(SELECT instrmnt_id AS CHAVE_IT, cnclld_instrmnt_stts AS CAMPO_IT FROM CD_LOAN_TAPES_BCE.LT002_INSTRUMENT WHERE ref_date='${ref_date}' AND nome_perimetro='Individual Local' AND segmento='ESTR' AND ambito='PM' AND entidade='00100')X</v>
      </c>
      <c r="K285" s="32" t="str">
        <f>IF(VLOOKUP(B285,'0. Instruções'!$C$27:$G$32,5,FALSE)=0,
"(SELECT "&amp;VLOOKUP(B285,'0. Instruções'!$C$27:$G$32,4,FALSE)&amp;" AS CHAVE_SIMUL, "&amp;C285&amp;" AS CAMPO_SIMUL FROM "&amp;F285&amp;" WHERE "&amp;'0. Instruções'!$D$42&amp;")Y",
"(SELECT "&amp;VLOOKUP(B285,'0. Instruções'!$C$27:$G$32,4,FALSE)&amp;" AS CHAVE_SIMUL1, "&amp;VLOOKUP(B285,'0. Instruções'!$C$27:$G$32,5,FALSE)&amp;" AS CHAVE_SIMUL2, "&amp;C285&amp;" AS CAMPO_SIMUL FROM "&amp;F285&amp;" WHERE "&amp;'0. Instruções'!$D$42&amp;")Y")</f>
        <v>(SELECT instrmnt_id AS CHAVE_SIMUL, cnclld_instrmnt_stts AS CAMPO_SIMUL FROM BU_LOANTAPE_WORK.LT002_INSTRUMENT WHERE ref_date='${ref_date}' AND nome_perimetro='Individual Local' AND segmento='ESTR' AND ambito='PM' AND entidade='00100')Y</v>
      </c>
      <c r="L285" s="32" t="str">
        <f>IF(VLOOKUP(B285,'0. Instruções'!$C$27:$G$32,5,FALSE)=0,
"ON X.CHAVE_IT=Y.CHAVE_SIMUL",
"ON X.CHAVE_IT1=Y.CHAVE_SIMUL1 AND X.CHAVE_IT2=Y.CHAVE_SIMUL2")</f>
        <v>ON X.CHAVE_IT=Y.CHAVE_SIMUL</v>
      </c>
      <c r="M285" s="32" t="str">
        <f>+IF(D285="Coerência",+IF(LEFT(H285,5)="FLOAT","SELECT '"&amp;UPPER(B285)&amp;"' AS TABELA, '"&amp;UPPER(D285)&amp;"' AS TIPOLOGIA_TESTE,'"&amp;E285&amp;"' AS TABELA_LT,'"&amp;F285&amp;"' AS TABELA_SIMUL,'"&amp;C285&amp;"'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"&amp;J285&amp;" INNER JOIN "&amp;K285&amp;" "&amp;L285,"SELECT '"&amp;UPPER(B285)&amp;"' AS TABELA, '"&amp;UPPER(D285)&amp;"' AS TIPOLOGIA_TESTE,'"&amp;E285&amp;"' AS TABELA_LT,'"&amp;F285&amp;"' AS TABELA_SIMUL,'"&amp;C285&amp;"'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"&amp;J285&amp;" INNER JOIN "&amp;K285&amp;" "&amp;L285))</f>
        <v>SELECT 'INSTRUMENT' AS TABELA, 'COERÊNCIA' AS TIPOLOGIA_TESTE,'CD_LOAN_TAPES_BCE.LT002_INSTRUMENT' AS TABELA_LT,'BU_LOANTAPE_WORK.LT002_INSTRUMENT' AS TABELA_SIMUL,'cnclld_instrmnt_stts'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cnclld_instrmnt_stts AS CAMPO_IT FROM CD_LOAN_TAPES_BCE.LT002_INSTRUMENT WHERE ref_date='${ref_date}' AND nome_perimetro='Individual Local' AND segmento='ESTR' AND ambito='PM' AND entidade='00100')X INNER JOIN (SELECT instrmnt_id AS CHAVE_SIMUL, cnclld_instrmnt_stts AS CAMPO_SIMUL FROM BU_LOANTAPE_WORK.LT002_INSTRUMENT WHERE ref_date='${ref_date}' AND nome_perimetro='Individual Local' AND segmento='ESTR' AND ambito='PM' AND entidade='00100')Y ON X.CHAVE_IT=Y.CHAVE_SIMUL</v>
      </c>
      <c r="N285" s="33" t="str">
        <f t="shared" si="9"/>
        <v>UNION ALL SELECT 'INSTRUMENT' AS TABELA, 'COERÊNCIA' AS TIPOLOGIA_TESTE,'CD_LOAN_TAPES_BCE.LT002_INSTRUMENT' AS TABELA_LT,'BU_LOANTAPE_WORK.LT002_INSTRUMENT' AS TABELA_SIMUL,'cnclld_instrmnt_stts'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cnclld_instrmnt_stts AS CAMPO_IT FROM CD_LOAN_TAPES_BCE.LT002_INSTRUMENT WHERE ref_date='${ref_date}' AND nome_perimetro='Individual Local' AND segmento='ESTR' AND ambito='PM' AND entidade='00100')X INNER JOIN (SELECT instrmnt_id AS CHAVE_SIMUL, cnclld_instrmnt_stts AS CAMPO_SIMUL FROM BU_LOANTAPE_WORK.LT002_INSTRUMENT WHERE ref_date='${ref_date}' AND nome_perimetro='Individual Local' AND segmento='ESTR' AND ambito='PM' AND entidade='00100')Y ON X.CHAVE_IT=Y.CHAVE_SIMUL</v>
      </c>
      <c r="O285" s="35" t="s">
        <v>35</v>
      </c>
    </row>
    <row r="286" spans="1:15">
      <c r="A286" s="57" t="str">
        <f t="shared" si="10"/>
        <v>Instrumentidcmb</v>
      </c>
      <c r="B286" s="32" t="s">
        <v>9</v>
      </c>
      <c r="C286" s="32" t="s">
        <v>154</v>
      </c>
      <c r="D286" s="32" t="s">
        <v>5</v>
      </c>
      <c r="E286" s="32" t="str">
        <f>+UPPER('0. Instruções'!$D$35&amp;"."&amp;VLOOKUP(B286,'0. Instruções'!$C$27:$D$32,2,FALSE))</f>
        <v>CD_LOAN_TAPES_BCE.LT002_INSTRUMENT</v>
      </c>
      <c r="F286" s="32" t="str">
        <f>+UPPER('0. Instruções'!$D$36&amp;"."&amp;VLOOKUP(B286,'0. Instruções'!$C$27:$E$32,3,FALSE))</f>
        <v>BU_LOANTAPE_WORK.LT002_INSTRUMENT</v>
      </c>
      <c r="H286" s="32"/>
      <c r="I286" s="32"/>
      <c r="J286" s="32" t="str">
        <f>IF(VLOOKUP(B286,'0. Instruções'!$C$27:$G$32,5,FALSE)=0,
"(SELECT "&amp;VLOOKUP(B286,'0. Instruções'!$C$27:$G$32,4,FALSE)&amp;" AS CHAVE_IT, "&amp;C286&amp;" AS CAMPO_IT FROM "&amp;E286&amp;" WHERE "&amp;'0. Instruções'!$D$43&amp;")X",
"(SELECT "&amp;VLOOKUP(B286,'0. Instruções'!$C$27:$G$32,4,FALSE)&amp;" AS CHAVE_IT1, "&amp;VLOOKUP(B286,'0. Instruções'!$C$27:$G$32,5,FALSE)&amp;" AS CHAVE_IT2, "&amp;C286&amp;" AS CAMPO_IT FROM "&amp;E286&amp;" WHERE "&amp;'0. Instruções'!$D$43&amp;")X")</f>
        <v>(SELECT instrmnt_id AS CHAVE_IT, idcmb AS CAMPO_IT FROM CD_LOAN_TAPES_BCE.LT002_INSTRUMENT WHERE ref_date='${ref_date}' AND nome_perimetro='Individual Local' AND segmento='ESTR' AND ambito='PM' AND entidade='00100')X</v>
      </c>
      <c r="K286" s="32" t="str">
        <f>IF(VLOOKUP(B286,'0. Instruções'!$C$27:$G$32,5,FALSE)=0,
"(SELECT "&amp;VLOOKUP(B286,'0. Instruções'!$C$27:$G$32,4,FALSE)&amp;" AS CHAVE_SIMUL, "&amp;C286&amp;" AS CAMPO_SIMUL FROM "&amp;F286&amp;" WHERE "&amp;'0. Instruções'!$D$42&amp;")Y",
"(SELECT "&amp;VLOOKUP(B286,'0. Instruções'!$C$27:$G$32,4,FALSE)&amp;" AS CHAVE_SIMUL1, "&amp;VLOOKUP(B286,'0. Instruções'!$C$27:$G$32,5,FALSE)&amp;" AS CHAVE_SIMUL2, "&amp;C286&amp;" AS CAMPO_SIMUL FROM "&amp;F286&amp;" WHERE "&amp;'0. Instruções'!$D$42&amp;")Y")</f>
        <v>(SELECT instrmnt_id AS CHAVE_SIMUL, idcmb AS CAMPO_SIMUL FROM BU_LOANTAPE_WORK.LT002_INSTRUMENT WHERE ref_date='${ref_date}' AND nome_perimetro='Individual Local' AND segmento='ESTR' AND ambito='PM' AND entidade='00100')Y</v>
      </c>
      <c r="L286" s="32" t="str">
        <f>IF(VLOOKUP(B286,'0. Instruções'!$C$27:$G$32,5,FALSE)=0,
"ON X.CHAVE_IT=Y.CHAVE_SIMUL",
"ON X.CHAVE_IT1=Y.CHAVE_SIMUL1 AND X.CHAVE_IT2=Y.CHAVE_SIMUL2")</f>
        <v>ON X.CHAVE_IT=Y.CHAVE_SIMUL</v>
      </c>
      <c r="M286" s="32" t="str">
        <f>+IF(D286="Coerência",+IF(LEFT(H286,5)="FLOAT","SELECT '"&amp;UPPER(B286)&amp;"' AS TABELA, '"&amp;UPPER(D286)&amp;"' AS TIPOLOGIA_TESTE,'"&amp;E286&amp;"' AS TABELA_LT,'"&amp;F286&amp;"' AS TABELA_SIMUL,'"&amp;C286&amp;"'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"&amp;J286&amp;" INNER JOIN "&amp;K286&amp;" "&amp;L286,"SELECT '"&amp;UPPER(B286)&amp;"' AS TABELA, '"&amp;UPPER(D286)&amp;"' AS TIPOLOGIA_TESTE,'"&amp;E286&amp;"' AS TABELA_LT,'"&amp;F286&amp;"' AS TABELA_SIMUL,'"&amp;C286&amp;"'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"&amp;J286&amp;" INNER JOIN "&amp;K286&amp;" "&amp;L286))</f>
        <v>SELECT 'INSTRUMENT' AS TABELA, 'COERÊNCIA' AS TIPOLOGIA_TESTE,'CD_LOAN_TAPES_BCE.LT002_INSTRUMENT' AS TABELA_LT,'BU_LOANTAPE_WORK.LT002_INSTRUMENT' AS TABELA_SIMUL,'idcmb'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idcmb AS CAMPO_IT FROM CD_LOAN_TAPES_BCE.LT002_INSTRUMENT WHERE ref_date='${ref_date}' AND nome_perimetro='Individual Local' AND segmento='ESTR' AND ambito='PM' AND entidade='00100')X INNER JOIN (SELECT instrmnt_id AS CHAVE_SIMUL, idcmb AS CAMPO_SIMUL FROM BU_LOANTAPE_WORK.LT002_INSTRUMENT WHERE ref_date='${ref_date}' AND nome_perimetro='Individual Local' AND segmento='ESTR' AND ambito='PM' AND entidade='00100')Y ON X.CHAVE_IT=Y.CHAVE_SIMUL</v>
      </c>
      <c r="N286" s="33" t="str">
        <f t="shared" si="9"/>
        <v>UNION ALL SELECT 'INSTRUMENT' AS TABELA, 'COERÊNCIA' AS TIPOLOGIA_TESTE,'CD_LOAN_TAPES_BCE.LT002_INSTRUMENT' AS TABELA_LT,'BU_LOANTAPE_WORK.LT002_INSTRUMENT' AS TABELA_SIMUL,'idcmb'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idcmb AS CAMPO_IT FROM CD_LOAN_TAPES_BCE.LT002_INSTRUMENT WHERE ref_date='${ref_date}' AND nome_perimetro='Individual Local' AND segmento='ESTR' AND ambito='PM' AND entidade='00100')X INNER JOIN (SELECT instrmnt_id AS CHAVE_SIMUL, idcmb AS CAMPO_SIMUL FROM BU_LOANTAPE_WORK.LT002_INSTRUMENT WHERE ref_date='${ref_date}' AND nome_perimetro='Individual Local' AND segmento='ESTR' AND ambito='PM' AND entidade='00100')Y ON X.CHAVE_IT=Y.CHAVE_SIMUL</v>
      </c>
      <c r="O286" s="35" t="s">
        <v>35</v>
      </c>
    </row>
    <row r="287" spans="1:15">
      <c r="A287" s="57" t="str">
        <f t="shared" si="10"/>
        <v>Instrumentcod_soc_intrgrp</v>
      </c>
      <c r="B287" s="32" t="s">
        <v>9</v>
      </c>
      <c r="C287" s="32" t="s">
        <v>447</v>
      </c>
      <c r="D287" s="32" t="s">
        <v>5</v>
      </c>
      <c r="E287" s="32" t="str">
        <f>+UPPER('0. Instruções'!$D$35&amp;"."&amp;VLOOKUP(B287,'0. Instruções'!$C$27:$D$32,2,FALSE))</f>
        <v>CD_LOAN_TAPES_BCE.LT002_INSTRUMENT</v>
      </c>
      <c r="F287" s="32" t="str">
        <f>+UPPER('0. Instruções'!$D$36&amp;"."&amp;VLOOKUP(B287,'0. Instruções'!$C$27:$E$32,3,FALSE))</f>
        <v>BU_LOANTAPE_WORK.LT002_INSTRUMENT</v>
      </c>
      <c r="H287" s="32"/>
      <c r="I287" s="32"/>
      <c r="J287" s="32" t="str">
        <f>IF(VLOOKUP(B287,'0. Instruções'!$C$27:$G$32,5,FALSE)=0,
"(SELECT "&amp;VLOOKUP(B287,'0. Instruções'!$C$27:$G$32,4,FALSE)&amp;" AS CHAVE_IT, "&amp;C287&amp;" AS CAMPO_IT FROM "&amp;E287&amp;" WHERE "&amp;'0. Instruções'!$D$43&amp;")X",
"(SELECT "&amp;VLOOKUP(B287,'0. Instruções'!$C$27:$G$32,4,FALSE)&amp;" AS CHAVE_IT1, "&amp;VLOOKUP(B287,'0. Instruções'!$C$27:$G$32,5,FALSE)&amp;" AS CHAVE_IT2, "&amp;C287&amp;" AS CAMPO_IT FROM "&amp;E287&amp;" WHERE "&amp;'0. Instruções'!$D$43&amp;")X")</f>
        <v>(SELECT instrmnt_id AS CHAVE_IT, cod_soc_intrgrp AS CAMPO_IT FROM CD_LOAN_TAPES_BCE.LT002_INSTRUMENT WHERE ref_date='${ref_date}' AND nome_perimetro='Individual Local' AND segmento='ESTR' AND ambito='PM' AND entidade='00100')X</v>
      </c>
      <c r="K287" s="32" t="str">
        <f>IF(VLOOKUP(B287,'0. Instruções'!$C$27:$G$32,5,FALSE)=0,
"(SELECT "&amp;VLOOKUP(B287,'0. Instruções'!$C$27:$G$32,4,FALSE)&amp;" AS CHAVE_SIMUL, "&amp;C287&amp;" AS CAMPO_SIMUL FROM "&amp;F287&amp;" WHERE "&amp;'0. Instruções'!$D$42&amp;")Y",
"(SELECT "&amp;VLOOKUP(B287,'0. Instruções'!$C$27:$G$32,4,FALSE)&amp;" AS CHAVE_SIMUL1, "&amp;VLOOKUP(B287,'0. Instruções'!$C$27:$G$32,5,FALSE)&amp;" AS CHAVE_SIMUL2, "&amp;C287&amp;" AS CAMPO_SIMUL FROM "&amp;F287&amp;" WHERE "&amp;'0. Instruções'!$D$42&amp;")Y")</f>
        <v>(SELECT instrmnt_id AS CHAVE_SIMUL, cod_soc_intrgrp AS CAMPO_SIMUL FROM BU_LOANTAPE_WORK.LT002_INSTRUMENT WHERE ref_date='${ref_date}' AND nome_perimetro='Individual Local' AND segmento='ESTR' AND ambito='PM' AND entidade='00100')Y</v>
      </c>
      <c r="L287" s="32" t="str">
        <f>IF(VLOOKUP(B287,'0. Instruções'!$C$27:$G$32,5,FALSE)=0,
"ON X.CHAVE_IT=Y.CHAVE_SIMUL",
"ON X.CHAVE_IT1=Y.CHAVE_SIMUL1 AND X.CHAVE_IT2=Y.CHAVE_SIMUL2")</f>
        <v>ON X.CHAVE_IT=Y.CHAVE_SIMUL</v>
      </c>
      <c r="M287" s="32" t="str">
        <f>+IF(D287="Coerência",+IF(LEFT(H287,5)="FLOAT","SELECT '"&amp;UPPER(B287)&amp;"' AS TABELA, '"&amp;UPPER(D287)&amp;"' AS TIPOLOGIA_TESTE,'"&amp;E287&amp;"' AS TABELA_LT,'"&amp;F287&amp;"' AS TABELA_SIMUL,'"&amp;C287&amp;"'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"&amp;J287&amp;" INNER JOIN "&amp;K287&amp;" "&amp;L287,"SELECT '"&amp;UPPER(B287)&amp;"' AS TABELA, '"&amp;UPPER(D287)&amp;"' AS TIPOLOGIA_TESTE,'"&amp;E287&amp;"' AS TABELA_LT,'"&amp;F287&amp;"' AS TABELA_SIMUL,'"&amp;C287&amp;"'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"&amp;J287&amp;" INNER JOIN "&amp;K287&amp;" "&amp;L287))</f>
        <v>SELECT 'INSTRUMENT' AS TABELA, 'COERÊNCIA' AS TIPOLOGIA_TESTE,'CD_LOAN_TAPES_BCE.LT002_INSTRUMENT' AS TABELA_LT,'BU_LOANTAPE_WORK.LT002_INSTRUMENT' AS TABELA_SIMUL,'cod_soc_intrgrp'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cod_soc_intrgrp AS CAMPO_IT FROM CD_LOAN_TAPES_BCE.LT002_INSTRUMENT WHERE ref_date='${ref_date}' AND nome_perimetro='Individual Local' AND segmento='ESTR' AND ambito='PM' AND entidade='00100')X INNER JOIN (SELECT instrmnt_id AS CHAVE_SIMUL, cod_soc_intrgrp AS CAMPO_SIMUL FROM BU_LOANTAPE_WORK.LT002_INSTRUMENT WHERE ref_date='${ref_date}' AND nome_perimetro='Individual Local' AND segmento='ESTR' AND ambito='PM' AND entidade='00100')Y ON X.CHAVE_IT=Y.CHAVE_SIMUL</v>
      </c>
      <c r="N287" s="33" t="str">
        <f t="shared" si="9"/>
        <v>UNION ALL SELECT 'INSTRUMENT' AS TABELA, 'COERÊNCIA' AS TIPOLOGIA_TESTE,'CD_LOAN_TAPES_BCE.LT002_INSTRUMENT' AS TABELA_LT,'BU_LOANTAPE_WORK.LT002_INSTRUMENT' AS TABELA_SIMUL,'cod_soc_intrgrp'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cod_soc_intrgrp AS CAMPO_IT FROM CD_LOAN_TAPES_BCE.LT002_INSTRUMENT WHERE ref_date='${ref_date}' AND nome_perimetro='Individual Local' AND segmento='ESTR' AND ambito='PM' AND entidade='00100')X INNER JOIN (SELECT instrmnt_id AS CHAVE_SIMUL, cod_soc_intrgrp AS CAMPO_SIMUL FROM BU_LOANTAPE_WORK.LT002_INSTRUMENT WHERE ref_date='${ref_date}' AND nome_perimetro='Individual Local' AND segmento='ESTR' AND ambito='PM' AND entidade='00100')Y ON X.CHAVE_IT=Y.CHAVE_SIMUL</v>
      </c>
      <c r="O287" s="35" t="s">
        <v>35</v>
      </c>
    </row>
    <row r="288" spans="1:15">
      <c r="A288" s="57" t="str">
        <f t="shared" si="10"/>
        <v>Instrumentexpctd_lss_crr</v>
      </c>
      <c r="B288" s="32" t="s">
        <v>9</v>
      </c>
      <c r="C288" s="32" t="s">
        <v>448</v>
      </c>
      <c r="D288" s="32" t="s">
        <v>5</v>
      </c>
      <c r="E288" s="32" t="str">
        <f>+UPPER('0. Instruções'!$D$35&amp;"."&amp;VLOOKUP(B288,'0. Instruções'!$C$27:$D$32,2,FALSE))</f>
        <v>CD_LOAN_TAPES_BCE.LT002_INSTRUMENT</v>
      </c>
      <c r="F288" s="32" t="str">
        <f>+UPPER('0. Instruções'!$D$36&amp;"."&amp;VLOOKUP(B288,'0. Instruções'!$C$27:$E$32,3,FALSE))</f>
        <v>BU_LOANTAPE_WORK.LT002_INSTRUMENT</v>
      </c>
      <c r="H288" s="32"/>
      <c r="I288" s="32"/>
      <c r="J288" s="32" t="str">
        <f>IF(VLOOKUP(B288,'0. Instruções'!$C$27:$G$32,5,FALSE)=0,
"(SELECT "&amp;VLOOKUP(B288,'0. Instruções'!$C$27:$G$32,4,FALSE)&amp;" AS CHAVE_IT, "&amp;C288&amp;" AS CAMPO_IT FROM "&amp;E288&amp;" WHERE "&amp;'0. Instruções'!$D$43&amp;")X",
"(SELECT "&amp;VLOOKUP(B288,'0. Instruções'!$C$27:$G$32,4,FALSE)&amp;" AS CHAVE_IT1, "&amp;VLOOKUP(B288,'0. Instruções'!$C$27:$G$32,5,FALSE)&amp;" AS CHAVE_IT2, "&amp;C288&amp;" AS CAMPO_IT FROM "&amp;E288&amp;" WHERE "&amp;'0. Instruções'!$D$43&amp;")X")</f>
        <v>(SELECT instrmnt_id AS CHAVE_IT, expctd_lss_crr AS CAMPO_IT FROM CD_LOAN_TAPES_BCE.LT002_INSTRUMENT WHERE ref_date='${ref_date}' AND nome_perimetro='Individual Local' AND segmento='ESTR' AND ambito='PM' AND entidade='00100')X</v>
      </c>
      <c r="K288" s="32" t="str">
        <f>IF(VLOOKUP(B288,'0. Instruções'!$C$27:$G$32,5,FALSE)=0,
"(SELECT "&amp;VLOOKUP(B288,'0. Instruções'!$C$27:$G$32,4,FALSE)&amp;" AS CHAVE_SIMUL, "&amp;C288&amp;" AS CAMPO_SIMUL FROM "&amp;F288&amp;" WHERE "&amp;'0. Instruções'!$D$42&amp;")Y",
"(SELECT "&amp;VLOOKUP(B288,'0. Instruções'!$C$27:$G$32,4,FALSE)&amp;" AS CHAVE_SIMUL1, "&amp;VLOOKUP(B288,'0. Instruções'!$C$27:$G$32,5,FALSE)&amp;" AS CHAVE_SIMUL2, "&amp;C288&amp;" AS CAMPO_SIMUL FROM "&amp;F288&amp;" WHERE "&amp;'0. Instruções'!$D$42&amp;")Y")</f>
        <v>(SELECT instrmnt_id AS CHAVE_SIMUL, expctd_lss_crr AS CAMPO_SIMUL FROM BU_LOANTAPE_WORK.LT002_INSTRUMENT WHERE ref_date='${ref_date}' AND nome_perimetro='Individual Local' AND segmento='ESTR' AND ambito='PM' AND entidade='00100')Y</v>
      </c>
      <c r="L288" s="32" t="str">
        <f>IF(VLOOKUP(B288,'0. Instruções'!$C$27:$G$32,5,FALSE)=0,
"ON X.CHAVE_IT=Y.CHAVE_SIMUL",
"ON X.CHAVE_IT1=Y.CHAVE_SIMUL1 AND X.CHAVE_IT2=Y.CHAVE_SIMUL2")</f>
        <v>ON X.CHAVE_IT=Y.CHAVE_SIMUL</v>
      </c>
      <c r="M288" s="32" t="str">
        <f>+IF(D288="Coerência",+IF(LEFT(H288,5)="FLOAT","SELECT '"&amp;UPPER(B288)&amp;"' AS TABELA, '"&amp;UPPER(D288)&amp;"' AS TIPOLOGIA_TESTE,'"&amp;E288&amp;"' AS TABELA_LT,'"&amp;F288&amp;"' AS TABELA_SIMUL,'"&amp;C288&amp;"'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"&amp;J288&amp;" INNER JOIN "&amp;K288&amp;" "&amp;L288,"SELECT '"&amp;UPPER(B288)&amp;"' AS TABELA, '"&amp;UPPER(D288)&amp;"' AS TIPOLOGIA_TESTE,'"&amp;E288&amp;"' AS TABELA_LT,'"&amp;F288&amp;"' AS TABELA_SIMUL,'"&amp;C288&amp;"'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"&amp;J288&amp;" INNER JOIN "&amp;K288&amp;" "&amp;L288))</f>
        <v>SELECT 'INSTRUMENT' AS TABELA, 'COERÊNCIA' AS TIPOLOGIA_TESTE,'CD_LOAN_TAPES_BCE.LT002_INSTRUMENT' AS TABELA_LT,'BU_LOANTAPE_WORK.LT002_INSTRUMENT' AS TABELA_SIMUL,'expctd_lss_crr'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expctd_lss_crr AS CAMPO_IT FROM CD_LOAN_TAPES_BCE.LT002_INSTRUMENT WHERE ref_date='${ref_date}' AND nome_perimetro='Individual Local' AND segmento='ESTR' AND ambito='PM' AND entidade='00100')X INNER JOIN (SELECT instrmnt_id AS CHAVE_SIMUL, expctd_lss_crr AS CAMPO_SIMUL FROM BU_LOANTAPE_WORK.LT002_INSTRUMENT WHERE ref_date='${ref_date}' AND nome_perimetro='Individual Local' AND segmento='ESTR' AND ambito='PM' AND entidade='00100')Y ON X.CHAVE_IT=Y.CHAVE_SIMUL</v>
      </c>
      <c r="N288" s="33" t="str">
        <f t="shared" si="9"/>
        <v>UNION ALL SELECT 'INSTRUMENT' AS TABELA, 'COERÊNCIA' AS TIPOLOGIA_TESTE,'CD_LOAN_TAPES_BCE.LT002_INSTRUMENT' AS TABELA_LT,'BU_LOANTAPE_WORK.LT002_INSTRUMENT' AS TABELA_SIMUL,'expctd_lss_crr'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expctd_lss_crr AS CAMPO_IT FROM CD_LOAN_TAPES_BCE.LT002_INSTRUMENT WHERE ref_date='${ref_date}' AND nome_perimetro='Individual Local' AND segmento='ESTR' AND ambito='PM' AND entidade='00100')X INNER JOIN (SELECT instrmnt_id AS CHAVE_SIMUL, expctd_lss_crr AS CAMPO_SIMUL FROM BU_LOANTAPE_WORK.LT002_INSTRUMENT WHERE ref_date='${ref_date}' AND nome_perimetro='Individual Local' AND segmento='ESTR' AND ambito='PM' AND entidade='00100')Y ON X.CHAVE_IT=Y.CHAVE_SIMUL</v>
      </c>
      <c r="O288" s="35" t="s">
        <v>35</v>
      </c>
    </row>
    <row r="289" spans="1:15">
      <c r="A289" s="57" t="str">
        <f t="shared" si="10"/>
        <v>Instrumentlsti</v>
      </c>
      <c r="B289" s="32" t="s">
        <v>9</v>
      </c>
      <c r="C289" s="32" t="s">
        <v>449</v>
      </c>
      <c r="D289" s="32" t="s">
        <v>5</v>
      </c>
      <c r="E289" s="32" t="str">
        <f>+UPPER('0. Instruções'!$D$35&amp;"."&amp;VLOOKUP(B289,'0. Instruções'!$C$27:$D$32,2,FALSE))</f>
        <v>CD_LOAN_TAPES_BCE.LT002_INSTRUMENT</v>
      </c>
      <c r="F289" s="32" t="str">
        <f>+UPPER('0. Instruções'!$D$36&amp;"."&amp;VLOOKUP(B289,'0. Instruções'!$C$27:$E$32,3,FALSE))</f>
        <v>BU_LOANTAPE_WORK.LT002_INSTRUMENT</v>
      </c>
      <c r="H289" s="32"/>
      <c r="I289" s="32"/>
      <c r="J289" s="32" t="str">
        <f>IF(VLOOKUP(B289,'0. Instruções'!$C$27:$G$32,5,FALSE)=0,
"(SELECT "&amp;VLOOKUP(B289,'0. Instruções'!$C$27:$G$32,4,FALSE)&amp;" AS CHAVE_IT, "&amp;C289&amp;" AS CAMPO_IT FROM "&amp;E289&amp;" WHERE "&amp;'0. Instruções'!$D$43&amp;")X",
"(SELECT "&amp;VLOOKUP(B289,'0. Instruções'!$C$27:$G$32,4,FALSE)&amp;" AS CHAVE_IT1, "&amp;VLOOKUP(B289,'0. Instruções'!$C$27:$G$32,5,FALSE)&amp;" AS CHAVE_IT2, "&amp;C289&amp;" AS CAMPO_IT FROM "&amp;E289&amp;" WHERE "&amp;'0. Instruções'!$D$43&amp;")X")</f>
        <v>(SELECT instrmnt_id AS CHAVE_IT, lsti AS CAMPO_IT FROM CD_LOAN_TAPES_BCE.LT002_INSTRUMENT WHERE ref_date='${ref_date}' AND nome_perimetro='Individual Local' AND segmento='ESTR' AND ambito='PM' AND entidade='00100')X</v>
      </c>
      <c r="K289" s="32" t="str">
        <f>IF(VLOOKUP(B289,'0. Instruções'!$C$27:$G$32,5,FALSE)=0,
"(SELECT "&amp;VLOOKUP(B289,'0. Instruções'!$C$27:$G$32,4,FALSE)&amp;" AS CHAVE_SIMUL, "&amp;C289&amp;" AS CAMPO_SIMUL FROM "&amp;F289&amp;" WHERE "&amp;'0. Instruções'!$D$42&amp;")Y",
"(SELECT "&amp;VLOOKUP(B289,'0. Instruções'!$C$27:$G$32,4,FALSE)&amp;" AS CHAVE_SIMUL1, "&amp;VLOOKUP(B289,'0. Instruções'!$C$27:$G$32,5,FALSE)&amp;" AS CHAVE_SIMUL2, "&amp;C289&amp;" AS CAMPO_SIMUL FROM "&amp;F289&amp;" WHERE "&amp;'0. Instruções'!$D$42&amp;")Y")</f>
        <v>(SELECT instrmnt_id AS CHAVE_SIMUL, lsti AS CAMPO_SIMUL FROM BU_LOANTAPE_WORK.LT002_INSTRUMENT WHERE ref_date='${ref_date}' AND nome_perimetro='Individual Local' AND segmento='ESTR' AND ambito='PM' AND entidade='00100')Y</v>
      </c>
      <c r="L289" s="32" t="str">
        <f>IF(VLOOKUP(B289,'0. Instruções'!$C$27:$G$32,5,FALSE)=0,
"ON X.CHAVE_IT=Y.CHAVE_SIMUL",
"ON X.CHAVE_IT1=Y.CHAVE_SIMUL1 AND X.CHAVE_IT2=Y.CHAVE_SIMUL2")</f>
        <v>ON X.CHAVE_IT=Y.CHAVE_SIMUL</v>
      </c>
      <c r="M289" s="32" t="str">
        <f>+IF(D289="Coerência",+IF(LEFT(H289,5)="FLOAT","SELECT '"&amp;UPPER(B289)&amp;"' AS TABELA, '"&amp;UPPER(D289)&amp;"' AS TIPOLOGIA_TESTE,'"&amp;E289&amp;"' AS TABELA_LT,'"&amp;F289&amp;"' AS TABELA_SIMUL,'"&amp;C289&amp;"'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"&amp;J289&amp;" INNER JOIN "&amp;K289&amp;" "&amp;L289,"SELECT '"&amp;UPPER(B289)&amp;"' AS TABELA, '"&amp;UPPER(D289)&amp;"' AS TIPOLOGIA_TESTE,'"&amp;E289&amp;"' AS TABELA_LT,'"&amp;F289&amp;"' AS TABELA_SIMUL,'"&amp;C289&amp;"'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"&amp;J289&amp;" INNER JOIN "&amp;K289&amp;" "&amp;L289))</f>
        <v>SELECT 'INSTRUMENT' AS TABELA, 'COERÊNCIA' AS TIPOLOGIA_TESTE,'CD_LOAN_TAPES_BCE.LT002_INSTRUMENT' AS TABELA_LT,'BU_LOANTAPE_WORK.LT002_INSTRUMENT' AS TABELA_SIMUL,'lsti'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lsti AS CAMPO_IT FROM CD_LOAN_TAPES_BCE.LT002_INSTRUMENT WHERE ref_date='${ref_date}' AND nome_perimetro='Individual Local' AND segmento='ESTR' AND ambito='PM' AND entidade='00100')X INNER JOIN (SELECT instrmnt_id AS CHAVE_SIMUL, lsti AS CAMPO_SIMUL FROM BU_LOANTAPE_WORK.LT002_INSTRUMENT WHERE ref_date='${ref_date}' AND nome_perimetro='Individual Local' AND segmento='ESTR' AND ambito='PM' AND entidade='00100')Y ON X.CHAVE_IT=Y.CHAVE_SIMUL</v>
      </c>
      <c r="N289" s="33" t="str">
        <f t="shared" si="9"/>
        <v>UNION ALL SELECT 'INSTRUMENT' AS TABELA, 'COERÊNCIA' AS TIPOLOGIA_TESTE,'CD_LOAN_TAPES_BCE.LT002_INSTRUMENT' AS TABELA_LT,'BU_LOANTAPE_WORK.LT002_INSTRUMENT' AS TABELA_SIMUL,'lsti'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lsti AS CAMPO_IT FROM CD_LOAN_TAPES_BCE.LT002_INSTRUMENT WHERE ref_date='${ref_date}' AND nome_perimetro='Individual Local' AND segmento='ESTR' AND ambito='PM' AND entidade='00100')X INNER JOIN (SELECT instrmnt_id AS CHAVE_SIMUL, lsti AS CAMPO_SIMUL FROM BU_LOANTAPE_WORK.LT002_INSTRUMENT WHERE ref_date='${ref_date}' AND nome_perimetro='Individual Local' AND segmento='ESTR' AND ambito='PM' AND entidade='00100')Y ON X.CHAVE_IT=Y.CHAVE_SIMUL</v>
      </c>
      <c r="O289" s="35" t="s">
        <v>35</v>
      </c>
    </row>
    <row r="290" spans="1:15">
      <c r="A290" s="57" t="str">
        <f t="shared" si="10"/>
        <v>Instrumentdsti</v>
      </c>
      <c r="B290" s="32" t="s">
        <v>9</v>
      </c>
      <c r="C290" s="32" t="s">
        <v>450</v>
      </c>
      <c r="D290" s="32" t="s">
        <v>5</v>
      </c>
      <c r="E290" s="32" t="str">
        <f>+UPPER('0. Instruções'!$D$35&amp;"."&amp;VLOOKUP(B290,'0. Instruções'!$C$27:$D$32,2,FALSE))</f>
        <v>CD_LOAN_TAPES_BCE.LT002_INSTRUMENT</v>
      </c>
      <c r="F290" s="32" t="str">
        <f>+UPPER('0. Instruções'!$D$36&amp;"."&amp;VLOOKUP(B290,'0. Instruções'!$C$27:$E$32,3,FALSE))</f>
        <v>BU_LOANTAPE_WORK.LT002_INSTRUMENT</v>
      </c>
      <c r="H290" s="32"/>
      <c r="I290" s="32"/>
      <c r="J290" s="32" t="str">
        <f>IF(VLOOKUP(B290,'0. Instruções'!$C$27:$G$32,5,FALSE)=0,
"(SELECT "&amp;VLOOKUP(B290,'0. Instruções'!$C$27:$G$32,4,FALSE)&amp;" AS CHAVE_IT, "&amp;C290&amp;" AS CAMPO_IT FROM "&amp;E290&amp;" WHERE "&amp;'0. Instruções'!$D$43&amp;")X",
"(SELECT "&amp;VLOOKUP(B290,'0. Instruções'!$C$27:$G$32,4,FALSE)&amp;" AS CHAVE_IT1, "&amp;VLOOKUP(B290,'0. Instruções'!$C$27:$G$32,5,FALSE)&amp;" AS CHAVE_IT2, "&amp;C290&amp;" AS CAMPO_IT FROM "&amp;E290&amp;" WHERE "&amp;'0. Instruções'!$D$43&amp;")X")</f>
        <v>(SELECT instrmnt_id AS CHAVE_IT, dsti AS CAMPO_IT FROM CD_LOAN_TAPES_BCE.LT002_INSTRUMENT WHERE ref_date='${ref_date}' AND nome_perimetro='Individual Local' AND segmento='ESTR' AND ambito='PM' AND entidade='00100')X</v>
      </c>
      <c r="K290" s="32" t="str">
        <f>IF(VLOOKUP(B290,'0. Instruções'!$C$27:$G$32,5,FALSE)=0,
"(SELECT "&amp;VLOOKUP(B290,'0. Instruções'!$C$27:$G$32,4,FALSE)&amp;" AS CHAVE_SIMUL, "&amp;C290&amp;" AS CAMPO_SIMUL FROM "&amp;F290&amp;" WHERE "&amp;'0. Instruções'!$D$42&amp;")Y",
"(SELECT "&amp;VLOOKUP(B290,'0. Instruções'!$C$27:$G$32,4,FALSE)&amp;" AS CHAVE_SIMUL1, "&amp;VLOOKUP(B290,'0. Instruções'!$C$27:$G$32,5,FALSE)&amp;" AS CHAVE_SIMUL2, "&amp;C290&amp;" AS CAMPO_SIMUL FROM "&amp;F290&amp;" WHERE "&amp;'0. Instruções'!$D$42&amp;")Y")</f>
        <v>(SELECT instrmnt_id AS CHAVE_SIMUL, dsti AS CAMPO_SIMUL FROM BU_LOANTAPE_WORK.LT002_INSTRUMENT WHERE ref_date='${ref_date}' AND nome_perimetro='Individual Local' AND segmento='ESTR' AND ambito='PM' AND entidade='00100')Y</v>
      </c>
      <c r="L290" s="32" t="str">
        <f>IF(VLOOKUP(B290,'0. Instruções'!$C$27:$G$32,5,FALSE)=0,
"ON X.CHAVE_IT=Y.CHAVE_SIMUL",
"ON X.CHAVE_IT1=Y.CHAVE_SIMUL1 AND X.CHAVE_IT2=Y.CHAVE_SIMUL2")</f>
        <v>ON X.CHAVE_IT=Y.CHAVE_SIMUL</v>
      </c>
      <c r="M290" s="32" t="str">
        <f>+IF(D290="Coerência",+IF(LEFT(H290,5)="FLOAT","SELECT '"&amp;UPPER(B290)&amp;"' AS TABELA, '"&amp;UPPER(D290)&amp;"' AS TIPOLOGIA_TESTE,'"&amp;E290&amp;"' AS TABELA_LT,'"&amp;F290&amp;"' AS TABELA_SIMUL,'"&amp;C290&amp;"'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"&amp;J290&amp;" INNER JOIN "&amp;K290&amp;" "&amp;L290,"SELECT '"&amp;UPPER(B290)&amp;"' AS TABELA, '"&amp;UPPER(D290)&amp;"' AS TIPOLOGIA_TESTE,'"&amp;E290&amp;"' AS TABELA_LT,'"&amp;F290&amp;"' AS TABELA_SIMUL,'"&amp;C290&amp;"'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"&amp;J290&amp;" INNER JOIN "&amp;K290&amp;" "&amp;L290))</f>
        <v>SELECT 'INSTRUMENT' AS TABELA, 'COERÊNCIA' AS TIPOLOGIA_TESTE,'CD_LOAN_TAPES_BCE.LT002_INSTRUMENT' AS TABELA_LT,'BU_LOANTAPE_WORK.LT002_INSTRUMENT' AS TABELA_SIMUL,'dsti'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dsti AS CAMPO_IT FROM CD_LOAN_TAPES_BCE.LT002_INSTRUMENT WHERE ref_date='${ref_date}' AND nome_perimetro='Individual Local' AND segmento='ESTR' AND ambito='PM' AND entidade='00100')X INNER JOIN (SELECT instrmnt_id AS CHAVE_SIMUL, dsti AS CAMPO_SIMUL FROM BU_LOANTAPE_WORK.LT002_INSTRUMENT WHERE ref_date='${ref_date}' AND nome_perimetro='Individual Local' AND segmento='ESTR' AND ambito='PM' AND entidade='00100')Y ON X.CHAVE_IT=Y.CHAVE_SIMUL</v>
      </c>
      <c r="N290" s="33" t="str">
        <f t="shared" si="9"/>
        <v>UNION ALL SELECT 'INSTRUMENT' AS TABELA, 'COERÊNCIA' AS TIPOLOGIA_TESTE,'CD_LOAN_TAPES_BCE.LT002_INSTRUMENT' AS TABELA_LT,'BU_LOANTAPE_WORK.LT002_INSTRUMENT' AS TABELA_SIMUL,'dsti'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dsti AS CAMPO_IT FROM CD_LOAN_TAPES_BCE.LT002_INSTRUMENT WHERE ref_date='${ref_date}' AND nome_perimetro='Individual Local' AND segmento='ESTR' AND ambito='PM' AND entidade='00100')X INNER JOIN (SELECT instrmnt_id AS CHAVE_SIMUL, dsti AS CAMPO_SIMUL FROM BU_LOANTAPE_WORK.LT002_INSTRUMENT WHERE ref_date='${ref_date}' AND nome_perimetro='Individual Local' AND segmento='ESTR' AND ambito='PM' AND entidade='00100')Y ON X.CHAVE_IT=Y.CHAVE_SIMUL</v>
      </c>
      <c r="O290" s="35" t="s">
        <v>35</v>
      </c>
    </row>
    <row r="291" spans="1:15">
      <c r="A291" s="57" t="str">
        <f t="shared" si="10"/>
        <v>Instrumentlti_instrmnt</v>
      </c>
      <c r="B291" s="32" t="s">
        <v>9</v>
      </c>
      <c r="C291" s="32" t="s">
        <v>451</v>
      </c>
      <c r="D291" s="32" t="s">
        <v>5</v>
      </c>
      <c r="E291" s="32" t="str">
        <f>+UPPER('0. Instruções'!$D$35&amp;"."&amp;VLOOKUP(B291,'0. Instruções'!$C$27:$D$32,2,FALSE))</f>
        <v>CD_LOAN_TAPES_BCE.LT002_INSTRUMENT</v>
      </c>
      <c r="F291" s="32" t="str">
        <f>+UPPER('0. Instruções'!$D$36&amp;"."&amp;VLOOKUP(B291,'0. Instruções'!$C$27:$E$32,3,FALSE))</f>
        <v>BU_LOANTAPE_WORK.LT002_INSTRUMENT</v>
      </c>
      <c r="H291" s="32"/>
      <c r="I291" s="32"/>
      <c r="J291" s="32" t="str">
        <f>IF(VLOOKUP(B291,'0. Instruções'!$C$27:$G$32,5,FALSE)=0,
"(SELECT "&amp;VLOOKUP(B291,'0. Instruções'!$C$27:$G$32,4,FALSE)&amp;" AS CHAVE_IT, "&amp;C291&amp;" AS CAMPO_IT FROM "&amp;E291&amp;" WHERE "&amp;'0. Instruções'!$D$43&amp;")X",
"(SELECT "&amp;VLOOKUP(B291,'0. Instruções'!$C$27:$G$32,4,FALSE)&amp;" AS CHAVE_IT1, "&amp;VLOOKUP(B291,'0. Instruções'!$C$27:$G$32,5,FALSE)&amp;" AS CHAVE_IT2, "&amp;C291&amp;" AS CAMPO_IT FROM "&amp;E291&amp;" WHERE "&amp;'0. Instruções'!$D$43&amp;")X")</f>
        <v>(SELECT instrmnt_id AS CHAVE_IT, lti_instrmnt AS CAMPO_IT FROM CD_LOAN_TAPES_BCE.LT002_INSTRUMENT WHERE ref_date='${ref_date}' AND nome_perimetro='Individual Local' AND segmento='ESTR' AND ambito='PM' AND entidade='00100')X</v>
      </c>
      <c r="K291" s="32" t="str">
        <f>IF(VLOOKUP(B291,'0. Instruções'!$C$27:$G$32,5,FALSE)=0,
"(SELECT "&amp;VLOOKUP(B291,'0. Instruções'!$C$27:$G$32,4,FALSE)&amp;" AS CHAVE_SIMUL, "&amp;C291&amp;" AS CAMPO_SIMUL FROM "&amp;F291&amp;" WHERE "&amp;'0. Instruções'!$D$42&amp;")Y",
"(SELECT "&amp;VLOOKUP(B291,'0. Instruções'!$C$27:$G$32,4,FALSE)&amp;" AS CHAVE_SIMUL1, "&amp;VLOOKUP(B291,'0. Instruções'!$C$27:$G$32,5,FALSE)&amp;" AS CHAVE_SIMUL2, "&amp;C291&amp;" AS CAMPO_SIMUL FROM "&amp;F291&amp;" WHERE "&amp;'0. Instruções'!$D$42&amp;")Y")</f>
        <v>(SELECT instrmnt_id AS CHAVE_SIMUL, lti_instrmnt AS CAMPO_SIMUL FROM BU_LOANTAPE_WORK.LT002_INSTRUMENT WHERE ref_date='${ref_date}' AND nome_perimetro='Individual Local' AND segmento='ESTR' AND ambito='PM' AND entidade='00100')Y</v>
      </c>
      <c r="L291" s="32" t="str">
        <f>IF(VLOOKUP(B291,'0. Instruções'!$C$27:$G$32,5,FALSE)=0,
"ON X.CHAVE_IT=Y.CHAVE_SIMUL",
"ON X.CHAVE_IT1=Y.CHAVE_SIMUL1 AND X.CHAVE_IT2=Y.CHAVE_SIMUL2")</f>
        <v>ON X.CHAVE_IT=Y.CHAVE_SIMUL</v>
      </c>
      <c r="M291" s="32" t="str">
        <f>+IF(D291="Coerência",+IF(LEFT(H291,5)="FLOAT","SELECT '"&amp;UPPER(B291)&amp;"' AS TABELA, '"&amp;UPPER(D291)&amp;"' AS TIPOLOGIA_TESTE,'"&amp;E291&amp;"' AS TABELA_LT,'"&amp;F291&amp;"' AS TABELA_SIMUL,'"&amp;C291&amp;"'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"&amp;J291&amp;" INNER JOIN "&amp;K291&amp;" "&amp;L291,"SELECT '"&amp;UPPER(B291)&amp;"' AS TABELA, '"&amp;UPPER(D291)&amp;"' AS TIPOLOGIA_TESTE,'"&amp;E291&amp;"' AS TABELA_LT,'"&amp;F291&amp;"' AS TABELA_SIMUL,'"&amp;C291&amp;"'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"&amp;J291&amp;" INNER JOIN "&amp;K291&amp;" "&amp;L291))</f>
        <v>SELECT 'INSTRUMENT' AS TABELA, 'COERÊNCIA' AS TIPOLOGIA_TESTE,'CD_LOAN_TAPES_BCE.LT002_INSTRUMENT' AS TABELA_LT,'BU_LOANTAPE_WORK.LT002_INSTRUMENT' AS TABELA_SIMUL,'lti_instrmnt'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lti_instrmnt AS CAMPO_IT FROM CD_LOAN_TAPES_BCE.LT002_INSTRUMENT WHERE ref_date='${ref_date}' AND nome_perimetro='Individual Local' AND segmento='ESTR' AND ambito='PM' AND entidade='00100')X INNER JOIN (SELECT instrmnt_id AS CHAVE_SIMUL, lti_instrmnt AS CAMPO_SIMUL FROM BU_LOANTAPE_WORK.LT002_INSTRUMENT WHERE ref_date='${ref_date}' AND nome_perimetro='Individual Local' AND segmento='ESTR' AND ambito='PM' AND entidade='00100')Y ON X.CHAVE_IT=Y.CHAVE_SIMUL</v>
      </c>
      <c r="N291" s="33" t="str">
        <f t="shared" si="9"/>
        <v>UNION ALL SELECT 'INSTRUMENT' AS TABELA, 'COERÊNCIA' AS TIPOLOGIA_TESTE,'CD_LOAN_TAPES_BCE.LT002_INSTRUMENT' AS TABELA_LT,'BU_LOANTAPE_WORK.LT002_INSTRUMENT' AS TABELA_SIMUL,'lti_instrmnt'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lti_instrmnt AS CAMPO_IT FROM CD_LOAN_TAPES_BCE.LT002_INSTRUMENT WHERE ref_date='${ref_date}' AND nome_perimetro='Individual Local' AND segmento='ESTR' AND ambito='PM' AND entidade='00100')X INNER JOIN (SELECT instrmnt_id AS CHAVE_SIMUL, lti_instrmnt AS CAMPO_SIMUL FROM BU_LOANTAPE_WORK.LT002_INSTRUMENT WHERE ref_date='${ref_date}' AND nome_perimetro='Individual Local' AND segmento='ESTR' AND ambito='PM' AND entidade='00100')Y ON X.CHAVE_IT=Y.CHAVE_SIMUL</v>
      </c>
      <c r="O291" s="35" t="s">
        <v>35</v>
      </c>
    </row>
    <row r="292" spans="1:15">
      <c r="A292" s="57" t="str">
        <f t="shared" si="10"/>
        <v>Instrumentrsk_mtgtd_cct</v>
      </c>
      <c r="B292" s="32" t="s">
        <v>9</v>
      </c>
      <c r="C292" s="32" t="s">
        <v>125</v>
      </c>
      <c r="D292" s="32" t="s">
        <v>5</v>
      </c>
      <c r="E292" s="32" t="str">
        <f>+UPPER('0. Instruções'!$D$35&amp;"."&amp;VLOOKUP(B292,'0. Instruções'!$C$27:$D$32,2,FALSE))</f>
        <v>CD_LOAN_TAPES_BCE.LT002_INSTRUMENT</v>
      </c>
      <c r="F292" s="32" t="str">
        <f>+UPPER('0. Instruções'!$D$36&amp;"."&amp;VLOOKUP(B292,'0. Instruções'!$C$27:$E$32,3,FALSE))</f>
        <v>BU_LOANTAPE_WORK.LT002_INSTRUMENT</v>
      </c>
      <c r="H292" s="32"/>
      <c r="I292" s="32"/>
      <c r="J292" s="32" t="str">
        <f>IF(VLOOKUP(B292,'0. Instruções'!$C$27:$G$32,5,FALSE)=0,
"(SELECT "&amp;VLOOKUP(B292,'0. Instruções'!$C$27:$G$32,4,FALSE)&amp;" AS CHAVE_IT, "&amp;C292&amp;" AS CAMPO_IT FROM "&amp;E292&amp;" WHERE "&amp;'0. Instruções'!$D$43&amp;")X",
"(SELECT "&amp;VLOOKUP(B292,'0. Instruções'!$C$27:$G$32,4,FALSE)&amp;" AS CHAVE_IT1, "&amp;VLOOKUP(B292,'0. Instruções'!$C$27:$G$32,5,FALSE)&amp;" AS CHAVE_IT2, "&amp;C292&amp;" AS CAMPO_IT FROM "&amp;E292&amp;" WHERE "&amp;'0. Instruções'!$D$43&amp;")X")</f>
        <v>(SELECT instrmnt_id AS CHAVE_IT, rsk_mtgtd_cct AS CAMPO_IT FROM CD_LOAN_TAPES_BCE.LT002_INSTRUMENT WHERE ref_date='${ref_date}' AND nome_perimetro='Individual Local' AND segmento='ESTR' AND ambito='PM' AND entidade='00100')X</v>
      </c>
      <c r="K292" s="32" t="str">
        <f>IF(VLOOKUP(B292,'0. Instruções'!$C$27:$G$32,5,FALSE)=0,
"(SELECT "&amp;VLOOKUP(B292,'0. Instruções'!$C$27:$G$32,4,FALSE)&amp;" AS CHAVE_SIMUL, "&amp;C292&amp;" AS CAMPO_SIMUL FROM "&amp;F292&amp;" WHERE "&amp;'0. Instruções'!$D$42&amp;")Y",
"(SELECT "&amp;VLOOKUP(B292,'0. Instruções'!$C$27:$G$32,4,FALSE)&amp;" AS CHAVE_SIMUL1, "&amp;VLOOKUP(B292,'0. Instruções'!$C$27:$G$32,5,FALSE)&amp;" AS CHAVE_SIMUL2, "&amp;C292&amp;" AS CAMPO_SIMUL FROM "&amp;F292&amp;" WHERE "&amp;'0. Instruções'!$D$42&amp;")Y")</f>
        <v>(SELECT instrmnt_id AS CHAVE_SIMUL, rsk_mtgtd_cct AS CAMPO_SIMUL FROM BU_LOANTAPE_WORK.LT002_INSTRUMENT WHERE ref_date='${ref_date}' AND nome_perimetro='Individual Local' AND segmento='ESTR' AND ambito='PM' AND entidade='00100')Y</v>
      </c>
      <c r="L292" s="32" t="str">
        <f>IF(VLOOKUP(B292,'0. Instruções'!$C$27:$G$32,5,FALSE)=0,
"ON X.CHAVE_IT=Y.CHAVE_SIMUL",
"ON X.CHAVE_IT1=Y.CHAVE_SIMUL1 AND X.CHAVE_IT2=Y.CHAVE_SIMUL2")</f>
        <v>ON X.CHAVE_IT=Y.CHAVE_SIMUL</v>
      </c>
      <c r="M292" s="32" t="str">
        <f>+IF(D292="Coerência",+IF(LEFT(H292,5)="FLOAT","SELECT '"&amp;UPPER(B292)&amp;"' AS TABELA, '"&amp;UPPER(D292)&amp;"' AS TIPOLOGIA_TESTE,'"&amp;E292&amp;"' AS TABELA_LT,'"&amp;F292&amp;"' AS TABELA_SIMUL,'"&amp;C292&amp;"'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"&amp;J292&amp;" INNER JOIN "&amp;K292&amp;" "&amp;L292,"SELECT '"&amp;UPPER(B292)&amp;"' AS TABELA, '"&amp;UPPER(D292)&amp;"' AS TIPOLOGIA_TESTE,'"&amp;E292&amp;"' AS TABELA_LT,'"&amp;F292&amp;"' AS TABELA_SIMUL,'"&amp;C292&amp;"'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"&amp;J292&amp;" INNER JOIN "&amp;K292&amp;" "&amp;L292))</f>
        <v>SELECT 'INSTRUMENT' AS TABELA, 'COERÊNCIA' AS TIPOLOGIA_TESTE,'CD_LOAN_TAPES_BCE.LT002_INSTRUMENT' AS TABELA_LT,'BU_LOANTAPE_WORK.LT002_INSTRUMENT' AS TABELA_SIMUL,'rsk_mtgtd_cct'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rsk_mtgtd_cct AS CAMPO_IT FROM CD_LOAN_TAPES_BCE.LT002_INSTRUMENT WHERE ref_date='${ref_date}' AND nome_perimetro='Individual Local' AND segmento='ESTR' AND ambito='PM' AND entidade='00100')X INNER JOIN (SELECT instrmnt_id AS CHAVE_SIMUL, rsk_mtgtd_cct AS CAMPO_SIMUL FROM BU_LOANTAPE_WORK.LT002_INSTRUMENT WHERE ref_date='${ref_date}' AND nome_perimetro='Individual Local' AND segmento='ESTR' AND ambito='PM' AND entidade='00100')Y ON X.CHAVE_IT=Y.CHAVE_SIMUL</v>
      </c>
      <c r="N292" s="33" t="str">
        <f t="shared" si="9"/>
        <v>UNION ALL SELECT 'INSTRUMENT' AS TABELA, 'COERÊNCIA' AS TIPOLOGIA_TESTE,'CD_LOAN_TAPES_BCE.LT002_INSTRUMENT' AS TABELA_LT,'BU_LOANTAPE_WORK.LT002_INSTRUMENT' AS TABELA_SIMUL,'rsk_mtgtd_cct'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rsk_mtgtd_cct AS CAMPO_IT FROM CD_LOAN_TAPES_BCE.LT002_INSTRUMENT WHERE ref_date='${ref_date}' AND nome_perimetro='Individual Local' AND segmento='ESTR' AND ambito='PM' AND entidade='00100')X INNER JOIN (SELECT instrmnt_id AS CHAVE_SIMUL, rsk_mtgtd_cct AS CAMPO_SIMUL FROM BU_LOANTAPE_WORK.LT002_INSTRUMENT WHERE ref_date='${ref_date}' AND nome_perimetro='Individual Local' AND segmento='ESTR' AND ambito='PM' AND entidade='00100')Y ON X.CHAVE_IT=Y.CHAVE_SIMUL</v>
      </c>
      <c r="O292" s="35" t="s">
        <v>35</v>
      </c>
    </row>
    <row r="293" spans="1:15">
      <c r="A293" s="57" t="str">
        <f t="shared" si="10"/>
        <v>Instrumentrsk_mtgtd_ccp</v>
      </c>
      <c r="B293" s="32" t="s">
        <v>9</v>
      </c>
      <c r="C293" s="32" t="s">
        <v>126</v>
      </c>
      <c r="D293" s="32" t="s">
        <v>5</v>
      </c>
      <c r="E293" s="32" t="str">
        <f>+UPPER('0. Instruções'!$D$35&amp;"."&amp;VLOOKUP(B293,'0. Instruções'!$C$27:$D$32,2,FALSE))</f>
        <v>CD_LOAN_TAPES_BCE.LT002_INSTRUMENT</v>
      </c>
      <c r="F293" s="32" t="str">
        <f>+UPPER('0. Instruções'!$D$36&amp;"."&amp;VLOOKUP(B293,'0. Instruções'!$C$27:$E$32,3,FALSE))</f>
        <v>BU_LOANTAPE_WORK.LT002_INSTRUMENT</v>
      </c>
      <c r="H293" s="32"/>
      <c r="I293" s="32"/>
      <c r="J293" s="32" t="str">
        <f>IF(VLOOKUP(B293,'0. Instruções'!$C$27:$G$32,5,FALSE)=0,
"(SELECT "&amp;VLOOKUP(B293,'0. Instruções'!$C$27:$G$32,4,FALSE)&amp;" AS CHAVE_IT, "&amp;C293&amp;" AS CAMPO_IT FROM "&amp;E293&amp;" WHERE "&amp;'0. Instruções'!$D$43&amp;")X",
"(SELECT "&amp;VLOOKUP(B293,'0. Instruções'!$C$27:$G$32,4,FALSE)&amp;" AS CHAVE_IT1, "&amp;VLOOKUP(B293,'0. Instruções'!$C$27:$G$32,5,FALSE)&amp;" AS CHAVE_IT2, "&amp;C293&amp;" AS CAMPO_IT FROM "&amp;E293&amp;" WHERE "&amp;'0. Instruções'!$D$43&amp;")X")</f>
        <v>(SELECT instrmnt_id AS CHAVE_IT, rsk_mtgtd_ccp AS CAMPO_IT FROM CD_LOAN_TAPES_BCE.LT002_INSTRUMENT WHERE ref_date='${ref_date}' AND nome_perimetro='Individual Local' AND segmento='ESTR' AND ambito='PM' AND entidade='00100')X</v>
      </c>
      <c r="K293" s="32" t="str">
        <f>IF(VLOOKUP(B293,'0. Instruções'!$C$27:$G$32,5,FALSE)=0,
"(SELECT "&amp;VLOOKUP(B293,'0. Instruções'!$C$27:$G$32,4,FALSE)&amp;" AS CHAVE_SIMUL, "&amp;C293&amp;" AS CAMPO_SIMUL FROM "&amp;F293&amp;" WHERE "&amp;'0. Instruções'!$D$42&amp;")Y",
"(SELECT "&amp;VLOOKUP(B293,'0. Instruções'!$C$27:$G$32,4,FALSE)&amp;" AS CHAVE_SIMUL1, "&amp;VLOOKUP(B293,'0. Instruções'!$C$27:$G$32,5,FALSE)&amp;" AS CHAVE_SIMUL2, "&amp;C293&amp;" AS CAMPO_SIMUL FROM "&amp;F293&amp;" WHERE "&amp;'0. Instruções'!$D$42&amp;")Y")</f>
        <v>(SELECT instrmnt_id AS CHAVE_SIMUL, rsk_mtgtd_ccp AS CAMPO_SIMUL FROM BU_LOANTAPE_WORK.LT002_INSTRUMENT WHERE ref_date='${ref_date}' AND nome_perimetro='Individual Local' AND segmento='ESTR' AND ambito='PM' AND entidade='00100')Y</v>
      </c>
      <c r="L293" s="32" t="str">
        <f>IF(VLOOKUP(B293,'0. Instruções'!$C$27:$G$32,5,FALSE)=0,
"ON X.CHAVE_IT=Y.CHAVE_SIMUL",
"ON X.CHAVE_IT1=Y.CHAVE_SIMUL1 AND X.CHAVE_IT2=Y.CHAVE_SIMUL2")</f>
        <v>ON X.CHAVE_IT=Y.CHAVE_SIMUL</v>
      </c>
      <c r="M293" s="32" t="str">
        <f>+IF(D293="Coerência",+IF(LEFT(H293,5)="FLOAT","SELECT '"&amp;UPPER(B293)&amp;"' AS TABELA, '"&amp;UPPER(D293)&amp;"' AS TIPOLOGIA_TESTE,'"&amp;E293&amp;"' AS TABELA_LT,'"&amp;F293&amp;"' AS TABELA_SIMUL,'"&amp;C293&amp;"'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"&amp;J293&amp;" INNER JOIN "&amp;K293&amp;" "&amp;L293,"SELECT '"&amp;UPPER(B293)&amp;"' AS TABELA, '"&amp;UPPER(D293)&amp;"' AS TIPOLOGIA_TESTE,'"&amp;E293&amp;"' AS TABELA_LT,'"&amp;F293&amp;"' AS TABELA_SIMUL,'"&amp;C293&amp;"'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"&amp;J293&amp;" INNER JOIN "&amp;K293&amp;" "&amp;L293))</f>
        <v>SELECT 'INSTRUMENT' AS TABELA, 'COERÊNCIA' AS TIPOLOGIA_TESTE,'CD_LOAN_TAPES_BCE.LT002_INSTRUMENT' AS TABELA_LT,'BU_LOANTAPE_WORK.LT002_INSTRUMENT' AS TABELA_SIMUL,'rsk_mtgtd_ccp'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rsk_mtgtd_ccp AS CAMPO_IT FROM CD_LOAN_TAPES_BCE.LT002_INSTRUMENT WHERE ref_date='${ref_date}' AND nome_perimetro='Individual Local' AND segmento='ESTR' AND ambito='PM' AND entidade='00100')X INNER JOIN (SELECT instrmnt_id AS CHAVE_SIMUL, rsk_mtgtd_ccp AS CAMPO_SIMUL FROM BU_LOANTAPE_WORK.LT002_INSTRUMENT WHERE ref_date='${ref_date}' AND nome_perimetro='Individual Local' AND segmento='ESTR' AND ambito='PM' AND entidade='00100')Y ON X.CHAVE_IT=Y.CHAVE_SIMUL</v>
      </c>
      <c r="N293" s="33" t="str">
        <f t="shared" si="9"/>
        <v>UNION ALL SELECT 'INSTRUMENT' AS TABELA, 'COERÊNCIA' AS TIPOLOGIA_TESTE,'CD_LOAN_TAPES_BCE.LT002_INSTRUMENT' AS TABELA_LT,'BU_LOANTAPE_WORK.LT002_INSTRUMENT' AS TABELA_SIMUL,'rsk_mtgtd_ccp'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rsk_mtgtd_ccp AS CAMPO_IT FROM CD_LOAN_TAPES_BCE.LT002_INSTRUMENT WHERE ref_date='${ref_date}' AND nome_perimetro='Individual Local' AND segmento='ESTR' AND ambito='PM' AND entidade='00100')X INNER JOIN (SELECT instrmnt_id AS CHAVE_SIMUL, rsk_mtgtd_ccp AS CAMPO_SIMUL FROM BU_LOANTAPE_WORK.LT002_INSTRUMENT WHERE ref_date='${ref_date}' AND nome_perimetro='Individual Local' AND segmento='ESTR' AND ambito='PM' AND entidade='00100')Y ON X.CHAVE_IT=Y.CHAVE_SIMUL</v>
      </c>
      <c r="O293" s="35" t="s">
        <v>35</v>
      </c>
    </row>
    <row r="294" spans="1:15">
      <c r="A294" s="57" t="str">
        <f t="shared" si="10"/>
        <v>Instrumentenvrnmntl_objctv</v>
      </c>
      <c r="B294" s="32" t="s">
        <v>9</v>
      </c>
      <c r="C294" s="32" t="s">
        <v>127</v>
      </c>
      <c r="D294" s="32" t="s">
        <v>5</v>
      </c>
      <c r="E294" s="32" t="str">
        <f>+UPPER('0. Instruções'!$D$35&amp;"."&amp;VLOOKUP(B294,'0. Instruções'!$C$27:$D$32,2,FALSE))</f>
        <v>CD_LOAN_TAPES_BCE.LT002_INSTRUMENT</v>
      </c>
      <c r="F294" s="32" t="str">
        <f>+UPPER('0. Instruções'!$D$36&amp;"."&amp;VLOOKUP(B294,'0. Instruções'!$C$27:$E$32,3,FALSE))</f>
        <v>BU_LOANTAPE_WORK.LT002_INSTRUMENT</v>
      </c>
      <c r="H294" s="32"/>
      <c r="I294" s="32"/>
      <c r="J294" s="32" t="str">
        <f>IF(VLOOKUP(B294,'0. Instruções'!$C$27:$G$32,5,FALSE)=0,
"(SELECT "&amp;VLOOKUP(B294,'0. Instruções'!$C$27:$G$32,4,FALSE)&amp;" AS CHAVE_IT, "&amp;C294&amp;" AS CAMPO_IT FROM "&amp;E294&amp;" WHERE "&amp;'0. Instruções'!$D$43&amp;")X",
"(SELECT "&amp;VLOOKUP(B294,'0. Instruções'!$C$27:$G$32,4,FALSE)&amp;" AS CHAVE_IT1, "&amp;VLOOKUP(B294,'0. Instruções'!$C$27:$G$32,5,FALSE)&amp;" AS CHAVE_IT2, "&amp;C294&amp;" AS CAMPO_IT FROM "&amp;E294&amp;" WHERE "&amp;'0. Instruções'!$D$43&amp;")X")</f>
        <v>(SELECT instrmnt_id AS CHAVE_IT, envrnmntl_objctv AS CAMPO_IT FROM CD_LOAN_TAPES_BCE.LT002_INSTRUMENT WHERE ref_date='${ref_date}' AND nome_perimetro='Individual Local' AND segmento='ESTR' AND ambito='PM' AND entidade='00100')X</v>
      </c>
      <c r="K294" s="32" t="str">
        <f>IF(VLOOKUP(B294,'0. Instruções'!$C$27:$G$32,5,FALSE)=0,
"(SELECT "&amp;VLOOKUP(B294,'0. Instruções'!$C$27:$G$32,4,FALSE)&amp;" AS CHAVE_SIMUL, "&amp;C294&amp;" AS CAMPO_SIMUL FROM "&amp;F294&amp;" WHERE "&amp;'0. Instruções'!$D$42&amp;")Y",
"(SELECT "&amp;VLOOKUP(B294,'0. Instruções'!$C$27:$G$32,4,FALSE)&amp;" AS CHAVE_SIMUL1, "&amp;VLOOKUP(B294,'0. Instruções'!$C$27:$G$32,5,FALSE)&amp;" AS CHAVE_SIMUL2, "&amp;C294&amp;" AS CAMPO_SIMUL FROM "&amp;F294&amp;" WHERE "&amp;'0. Instruções'!$D$42&amp;")Y")</f>
        <v>(SELECT instrmnt_id AS CHAVE_SIMUL, envrnmntl_objctv AS CAMPO_SIMUL FROM BU_LOANTAPE_WORK.LT002_INSTRUMENT WHERE ref_date='${ref_date}' AND nome_perimetro='Individual Local' AND segmento='ESTR' AND ambito='PM' AND entidade='00100')Y</v>
      </c>
      <c r="L294" s="32" t="str">
        <f>IF(VLOOKUP(B294,'0. Instruções'!$C$27:$G$32,5,FALSE)=0,
"ON X.CHAVE_IT=Y.CHAVE_SIMUL",
"ON X.CHAVE_IT1=Y.CHAVE_SIMUL1 AND X.CHAVE_IT2=Y.CHAVE_SIMUL2")</f>
        <v>ON X.CHAVE_IT=Y.CHAVE_SIMUL</v>
      </c>
      <c r="M294" s="32" t="str">
        <f>+IF(D294="Coerência",+IF(LEFT(H294,5)="FLOAT","SELECT '"&amp;UPPER(B294)&amp;"' AS TABELA, '"&amp;UPPER(D294)&amp;"' AS TIPOLOGIA_TESTE,'"&amp;E294&amp;"' AS TABELA_LT,'"&amp;F294&amp;"' AS TABELA_SIMUL,'"&amp;C294&amp;"'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"&amp;J294&amp;" INNER JOIN "&amp;K294&amp;" "&amp;L294,"SELECT '"&amp;UPPER(B294)&amp;"' AS TABELA, '"&amp;UPPER(D294)&amp;"' AS TIPOLOGIA_TESTE,'"&amp;E294&amp;"' AS TABELA_LT,'"&amp;F294&amp;"' AS TABELA_SIMUL,'"&amp;C294&amp;"'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"&amp;J294&amp;" INNER JOIN "&amp;K294&amp;" "&amp;L294))</f>
        <v>SELECT 'INSTRUMENT' AS TABELA, 'COERÊNCIA' AS TIPOLOGIA_TESTE,'CD_LOAN_TAPES_BCE.LT002_INSTRUMENT' AS TABELA_LT,'BU_LOANTAPE_WORK.LT002_INSTRUMENT' AS TABELA_SIMUL,'envrnmntl_objctv'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envrnmntl_objctv AS CAMPO_IT FROM CD_LOAN_TAPES_BCE.LT002_INSTRUMENT WHERE ref_date='${ref_date}' AND nome_perimetro='Individual Local' AND segmento='ESTR' AND ambito='PM' AND entidade='00100')X INNER JOIN (SELECT instrmnt_id AS CHAVE_SIMUL, envrnmntl_objctv AS CAMPO_SIMUL FROM BU_LOANTAPE_WORK.LT002_INSTRUMENT WHERE ref_date='${ref_date}' AND nome_perimetro='Individual Local' AND segmento='ESTR' AND ambito='PM' AND entidade='00100')Y ON X.CHAVE_IT=Y.CHAVE_SIMUL</v>
      </c>
      <c r="N294" s="33" t="str">
        <f t="shared" ref="N294:N357" si="11">+"UNION ALL "&amp;M294</f>
        <v>UNION ALL SELECT 'INSTRUMENT' AS TABELA, 'COERÊNCIA' AS TIPOLOGIA_TESTE,'CD_LOAN_TAPES_BCE.LT002_INSTRUMENT' AS TABELA_LT,'BU_LOANTAPE_WORK.LT002_INSTRUMENT' AS TABELA_SIMUL,'envrnmntl_objctv'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envrnmntl_objctv AS CAMPO_IT FROM CD_LOAN_TAPES_BCE.LT002_INSTRUMENT WHERE ref_date='${ref_date}' AND nome_perimetro='Individual Local' AND segmento='ESTR' AND ambito='PM' AND entidade='00100')X INNER JOIN (SELECT instrmnt_id AS CHAVE_SIMUL, envrnmntl_objctv AS CAMPO_SIMUL FROM BU_LOANTAPE_WORK.LT002_INSTRUMENT WHERE ref_date='${ref_date}' AND nome_perimetro='Individual Local' AND segmento='ESTR' AND ambito='PM' AND entidade='00100')Y ON X.CHAVE_IT=Y.CHAVE_SIMUL</v>
      </c>
      <c r="O294" s="35" t="s">
        <v>35</v>
      </c>
    </row>
    <row r="295" spans="1:15">
      <c r="A295" s="57" t="str">
        <f t="shared" si="10"/>
        <v>Instrumenttyp_actvty</v>
      </c>
      <c r="B295" s="32" t="s">
        <v>9</v>
      </c>
      <c r="C295" s="32" t="s">
        <v>128</v>
      </c>
      <c r="D295" s="32" t="s">
        <v>5</v>
      </c>
      <c r="E295" s="32" t="str">
        <f>+UPPER('0. Instruções'!$D$35&amp;"."&amp;VLOOKUP(B295,'0. Instruções'!$C$27:$D$32,2,FALSE))</f>
        <v>CD_LOAN_TAPES_BCE.LT002_INSTRUMENT</v>
      </c>
      <c r="F295" s="32" t="str">
        <f>+UPPER('0. Instruções'!$D$36&amp;"."&amp;VLOOKUP(B295,'0. Instruções'!$C$27:$E$32,3,FALSE))</f>
        <v>BU_LOANTAPE_WORK.LT002_INSTRUMENT</v>
      </c>
      <c r="H295" s="32"/>
      <c r="I295" s="32"/>
      <c r="J295" s="32" t="str">
        <f>IF(VLOOKUP(B295,'0. Instruções'!$C$27:$G$32,5,FALSE)=0,
"(SELECT "&amp;VLOOKUP(B295,'0. Instruções'!$C$27:$G$32,4,FALSE)&amp;" AS CHAVE_IT, "&amp;C295&amp;" AS CAMPO_IT FROM "&amp;E295&amp;" WHERE "&amp;'0. Instruções'!$D$43&amp;")X",
"(SELECT "&amp;VLOOKUP(B295,'0. Instruções'!$C$27:$G$32,4,FALSE)&amp;" AS CHAVE_IT1, "&amp;VLOOKUP(B295,'0. Instruções'!$C$27:$G$32,5,FALSE)&amp;" AS CHAVE_IT2, "&amp;C295&amp;" AS CAMPO_IT FROM "&amp;E295&amp;" WHERE "&amp;'0. Instruções'!$D$43&amp;")X")</f>
        <v>(SELECT instrmnt_id AS CHAVE_IT, typ_actvty AS CAMPO_IT FROM CD_LOAN_TAPES_BCE.LT002_INSTRUMENT WHERE ref_date='${ref_date}' AND nome_perimetro='Individual Local' AND segmento='ESTR' AND ambito='PM' AND entidade='00100')X</v>
      </c>
      <c r="K295" s="32" t="str">
        <f>IF(VLOOKUP(B295,'0. Instruções'!$C$27:$G$32,5,FALSE)=0,
"(SELECT "&amp;VLOOKUP(B295,'0. Instruções'!$C$27:$G$32,4,FALSE)&amp;" AS CHAVE_SIMUL, "&amp;C295&amp;" AS CAMPO_SIMUL FROM "&amp;F295&amp;" WHERE "&amp;'0. Instruções'!$D$42&amp;")Y",
"(SELECT "&amp;VLOOKUP(B295,'0. Instruções'!$C$27:$G$32,4,FALSE)&amp;" AS CHAVE_SIMUL1, "&amp;VLOOKUP(B295,'0. Instruções'!$C$27:$G$32,5,FALSE)&amp;" AS CHAVE_SIMUL2, "&amp;C295&amp;" AS CAMPO_SIMUL FROM "&amp;F295&amp;" WHERE "&amp;'0. Instruções'!$D$42&amp;")Y")</f>
        <v>(SELECT instrmnt_id AS CHAVE_SIMUL, typ_actvty AS CAMPO_SIMUL FROM BU_LOANTAPE_WORK.LT002_INSTRUMENT WHERE ref_date='${ref_date}' AND nome_perimetro='Individual Local' AND segmento='ESTR' AND ambito='PM' AND entidade='00100')Y</v>
      </c>
      <c r="L295" s="32" t="str">
        <f>IF(VLOOKUP(B295,'0. Instruções'!$C$27:$G$32,5,FALSE)=0,
"ON X.CHAVE_IT=Y.CHAVE_SIMUL",
"ON X.CHAVE_IT1=Y.CHAVE_SIMUL1 AND X.CHAVE_IT2=Y.CHAVE_SIMUL2")</f>
        <v>ON X.CHAVE_IT=Y.CHAVE_SIMUL</v>
      </c>
      <c r="M295" s="32" t="str">
        <f>+IF(D295="Coerência",+IF(LEFT(H295,5)="FLOAT","SELECT '"&amp;UPPER(B295)&amp;"' AS TABELA, '"&amp;UPPER(D295)&amp;"' AS TIPOLOGIA_TESTE,'"&amp;E295&amp;"' AS TABELA_LT,'"&amp;F295&amp;"' AS TABELA_SIMUL,'"&amp;C295&amp;"'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"&amp;J295&amp;" INNER JOIN "&amp;K295&amp;" "&amp;L295,"SELECT '"&amp;UPPER(B295)&amp;"' AS TABELA, '"&amp;UPPER(D295)&amp;"' AS TIPOLOGIA_TESTE,'"&amp;E295&amp;"' AS TABELA_LT,'"&amp;F295&amp;"' AS TABELA_SIMUL,'"&amp;C295&amp;"'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"&amp;J295&amp;" INNER JOIN "&amp;K295&amp;" "&amp;L295))</f>
        <v>SELECT 'INSTRUMENT' AS TABELA, 'COERÊNCIA' AS TIPOLOGIA_TESTE,'CD_LOAN_TAPES_BCE.LT002_INSTRUMENT' AS TABELA_LT,'BU_LOANTAPE_WORK.LT002_INSTRUMENT' AS TABELA_SIMUL,'typ_actvty'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typ_actvty AS CAMPO_IT FROM CD_LOAN_TAPES_BCE.LT002_INSTRUMENT WHERE ref_date='${ref_date}' AND nome_perimetro='Individual Local' AND segmento='ESTR' AND ambito='PM' AND entidade='00100')X INNER JOIN (SELECT instrmnt_id AS CHAVE_SIMUL, typ_actvty AS CAMPO_SIMUL FROM BU_LOANTAPE_WORK.LT002_INSTRUMENT WHERE ref_date='${ref_date}' AND nome_perimetro='Individual Local' AND segmento='ESTR' AND ambito='PM' AND entidade='00100')Y ON X.CHAVE_IT=Y.CHAVE_SIMUL</v>
      </c>
      <c r="N295" s="33" t="str">
        <f t="shared" si="11"/>
        <v>UNION ALL SELECT 'INSTRUMENT' AS TABELA, 'COERÊNCIA' AS TIPOLOGIA_TESTE,'CD_LOAN_TAPES_BCE.LT002_INSTRUMENT' AS TABELA_LT,'BU_LOANTAPE_WORK.LT002_INSTRUMENT' AS TABELA_SIMUL,'typ_actvty'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typ_actvty AS CAMPO_IT FROM CD_LOAN_TAPES_BCE.LT002_INSTRUMENT WHERE ref_date='${ref_date}' AND nome_perimetro='Individual Local' AND segmento='ESTR' AND ambito='PM' AND entidade='00100')X INNER JOIN (SELECT instrmnt_id AS CHAVE_SIMUL, typ_actvty AS CAMPO_SIMUL FROM BU_LOANTAPE_WORK.LT002_INSTRUMENT WHERE ref_date='${ref_date}' AND nome_perimetro='Individual Local' AND segmento='ESTR' AND ambito='PM' AND entidade='00100')Y ON X.CHAVE_IT=Y.CHAVE_SIMUL</v>
      </c>
      <c r="O295" s="35" t="s">
        <v>35</v>
      </c>
    </row>
    <row r="296" spans="1:15">
      <c r="A296" s="57" t="str">
        <f t="shared" si="10"/>
        <v>Instrumentlns_clltrlzd_clssfctn</v>
      </c>
      <c r="B296" s="32" t="s">
        <v>9</v>
      </c>
      <c r="C296" s="32" t="s">
        <v>129</v>
      </c>
      <c r="D296" s="32" t="s">
        <v>5</v>
      </c>
      <c r="E296" s="32" t="str">
        <f>+UPPER('0. Instruções'!$D$35&amp;"."&amp;VLOOKUP(B296,'0. Instruções'!$C$27:$D$32,2,FALSE))</f>
        <v>CD_LOAN_TAPES_BCE.LT002_INSTRUMENT</v>
      </c>
      <c r="F296" s="32" t="str">
        <f>+UPPER('0. Instruções'!$D$36&amp;"."&amp;VLOOKUP(B296,'0. Instruções'!$C$27:$E$32,3,FALSE))</f>
        <v>BU_LOANTAPE_WORK.LT002_INSTRUMENT</v>
      </c>
      <c r="H296" s="32"/>
      <c r="I296" s="32"/>
      <c r="J296" s="32" t="str">
        <f>IF(VLOOKUP(B296,'0. Instruções'!$C$27:$G$32,5,FALSE)=0,
"(SELECT "&amp;VLOOKUP(B296,'0. Instruções'!$C$27:$G$32,4,FALSE)&amp;" AS CHAVE_IT, "&amp;C296&amp;" AS CAMPO_IT FROM "&amp;E296&amp;" WHERE "&amp;'0. Instruções'!$D$43&amp;")X",
"(SELECT "&amp;VLOOKUP(B296,'0. Instruções'!$C$27:$G$32,4,FALSE)&amp;" AS CHAVE_IT1, "&amp;VLOOKUP(B296,'0. Instruções'!$C$27:$G$32,5,FALSE)&amp;" AS CHAVE_IT2, "&amp;C296&amp;" AS CAMPO_IT FROM "&amp;E296&amp;" WHERE "&amp;'0. Instruções'!$D$43&amp;")X")</f>
        <v>(SELECT instrmnt_id AS CHAVE_IT, lns_clltrlzd_clssfctn AS CAMPO_IT FROM CD_LOAN_TAPES_BCE.LT002_INSTRUMENT WHERE ref_date='${ref_date}' AND nome_perimetro='Individual Local' AND segmento='ESTR' AND ambito='PM' AND entidade='00100')X</v>
      </c>
      <c r="K296" s="32" t="str">
        <f>IF(VLOOKUP(B296,'0. Instruções'!$C$27:$G$32,5,FALSE)=0,
"(SELECT "&amp;VLOOKUP(B296,'0. Instruções'!$C$27:$G$32,4,FALSE)&amp;" AS CHAVE_SIMUL, "&amp;C296&amp;" AS CAMPO_SIMUL FROM "&amp;F296&amp;" WHERE "&amp;'0. Instruções'!$D$42&amp;")Y",
"(SELECT "&amp;VLOOKUP(B296,'0. Instruções'!$C$27:$G$32,4,FALSE)&amp;" AS CHAVE_SIMUL1, "&amp;VLOOKUP(B296,'0. Instruções'!$C$27:$G$32,5,FALSE)&amp;" AS CHAVE_SIMUL2, "&amp;C296&amp;" AS CAMPO_SIMUL FROM "&amp;F296&amp;" WHERE "&amp;'0. Instruções'!$D$42&amp;")Y")</f>
        <v>(SELECT instrmnt_id AS CHAVE_SIMUL, lns_clltrlzd_clssfctn AS CAMPO_SIMUL FROM BU_LOANTAPE_WORK.LT002_INSTRUMENT WHERE ref_date='${ref_date}' AND nome_perimetro='Individual Local' AND segmento='ESTR' AND ambito='PM' AND entidade='00100')Y</v>
      </c>
      <c r="L296" s="32" t="str">
        <f>IF(VLOOKUP(B296,'0. Instruções'!$C$27:$G$32,5,FALSE)=0,
"ON X.CHAVE_IT=Y.CHAVE_SIMUL",
"ON X.CHAVE_IT1=Y.CHAVE_SIMUL1 AND X.CHAVE_IT2=Y.CHAVE_SIMUL2")</f>
        <v>ON X.CHAVE_IT=Y.CHAVE_SIMUL</v>
      </c>
      <c r="M296" s="32" t="str">
        <f>+IF(D296="Coerência",+IF(LEFT(H296,5)="FLOAT","SELECT '"&amp;UPPER(B296)&amp;"' AS TABELA, '"&amp;UPPER(D296)&amp;"' AS TIPOLOGIA_TESTE,'"&amp;E296&amp;"' AS TABELA_LT,'"&amp;F296&amp;"' AS TABELA_SIMUL,'"&amp;C296&amp;"'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"&amp;J296&amp;" INNER JOIN "&amp;K296&amp;" "&amp;L296,"SELECT '"&amp;UPPER(B296)&amp;"' AS TABELA, '"&amp;UPPER(D296)&amp;"' AS TIPOLOGIA_TESTE,'"&amp;E296&amp;"' AS TABELA_LT,'"&amp;F296&amp;"' AS TABELA_SIMUL,'"&amp;C296&amp;"'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"&amp;J296&amp;" INNER JOIN "&amp;K296&amp;" "&amp;L296))</f>
        <v>SELECT 'INSTRUMENT' AS TABELA, 'COERÊNCIA' AS TIPOLOGIA_TESTE,'CD_LOAN_TAPES_BCE.LT002_INSTRUMENT' AS TABELA_LT,'BU_LOANTAPE_WORK.LT002_INSTRUMENT' AS TABELA_SIMUL,'lns_clltrlzd_clssfctn'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lns_clltrlzd_clssfctn AS CAMPO_IT FROM CD_LOAN_TAPES_BCE.LT002_INSTRUMENT WHERE ref_date='${ref_date}' AND nome_perimetro='Individual Local' AND segmento='ESTR' AND ambito='PM' AND entidade='00100')X INNER JOIN (SELECT instrmnt_id AS CHAVE_SIMUL, lns_clltrlzd_clssfctn AS CAMPO_SIMUL FROM BU_LOANTAPE_WORK.LT002_INSTRUMENT WHERE ref_date='${ref_date}' AND nome_perimetro='Individual Local' AND segmento='ESTR' AND ambito='PM' AND entidade='00100')Y ON X.CHAVE_IT=Y.CHAVE_SIMUL</v>
      </c>
      <c r="N296" s="33" t="str">
        <f t="shared" si="11"/>
        <v>UNION ALL SELECT 'INSTRUMENT' AS TABELA, 'COERÊNCIA' AS TIPOLOGIA_TESTE,'CD_LOAN_TAPES_BCE.LT002_INSTRUMENT' AS TABELA_LT,'BU_LOANTAPE_WORK.LT002_INSTRUMENT' AS TABELA_SIMUL,'lns_clltrlzd_clssfctn'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lns_clltrlzd_clssfctn AS CAMPO_IT FROM CD_LOAN_TAPES_BCE.LT002_INSTRUMENT WHERE ref_date='${ref_date}' AND nome_perimetro='Individual Local' AND segmento='ESTR' AND ambito='PM' AND entidade='00100')X INNER JOIN (SELECT instrmnt_id AS CHAVE_SIMUL, lns_clltrlzd_clssfctn AS CAMPO_SIMUL FROM BU_LOANTAPE_WORK.LT002_INSTRUMENT WHERE ref_date='${ref_date}' AND nome_perimetro='Individual Local' AND segmento='ESTR' AND ambito='PM' AND entidade='00100')Y ON X.CHAVE_IT=Y.CHAVE_SIMUL</v>
      </c>
      <c r="O296" s="35" t="s">
        <v>35</v>
      </c>
    </row>
    <row r="297" spans="1:15">
      <c r="A297" s="57" t="str">
        <f t="shared" si="10"/>
        <v>Instrumentmthd_usd_instrmnt_scp_1</v>
      </c>
      <c r="B297" s="32" t="s">
        <v>9</v>
      </c>
      <c r="C297" s="32" t="s">
        <v>130</v>
      </c>
      <c r="D297" s="32" t="s">
        <v>5</v>
      </c>
      <c r="E297" s="32" t="str">
        <f>+UPPER('0. Instruções'!$D$35&amp;"."&amp;VLOOKUP(B297,'0. Instruções'!$C$27:$D$32,2,FALSE))</f>
        <v>CD_LOAN_TAPES_BCE.LT002_INSTRUMENT</v>
      </c>
      <c r="F297" s="32" t="str">
        <f>+UPPER('0. Instruções'!$D$36&amp;"."&amp;VLOOKUP(B297,'0. Instruções'!$C$27:$E$32,3,FALSE))</f>
        <v>BU_LOANTAPE_WORK.LT002_INSTRUMENT</v>
      </c>
      <c r="H297" s="32"/>
      <c r="I297" s="32"/>
      <c r="J297" s="32" t="str">
        <f>IF(VLOOKUP(B297,'0. Instruções'!$C$27:$G$32,5,FALSE)=0,
"(SELECT "&amp;VLOOKUP(B297,'0. Instruções'!$C$27:$G$32,4,FALSE)&amp;" AS CHAVE_IT, "&amp;C297&amp;" AS CAMPO_IT FROM "&amp;E297&amp;" WHERE "&amp;'0. Instruções'!$D$43&amp;")X",
"(SELECT "&amp;VLOOKUP(B297,'0. Instruções'!$C$27:$G$32,4,FALSE)&amp;" AS CHAVE_IT1, "&amp;VLOOKUP(B297,'0. Instruções'!$C$27:$G$32,5,FALSE)&amp;" AS CHAVE_IT2, "&amp;C297&amp;" AS CAMPO_IT FROM "&amp;E297&amp;" WHERE "&amp;'0. Instruções'!$D$43&amp;")X")</f>
        <v>(SELECT instrmnt_id AS CHAVE_IT, mthd_usd_instrmnt_scp_1 AS CAMPO_IT FROM CD_LOAN_TAPES_BCE.LT002_INSTRUMENT WHERE ref_date='${ref_date}' AND nome_perimetro='Individual Local' AND segmento='ESTR' AND ambito='PM' AND entidade='00100')X</v>
      </c>
      <c r="K297" s="32" t="str">
        <f>IF(VLOOKUP(B297,'0. Instruções'!$C$27:$G$32,5,FALSE)=0,
"(SELECT "&amp;VLOOKUP(B297,'0. Instruções'!$C$27:$G$32,4,FALSE)&amp;" AS CHAVE_SIMUL, "&amp;C297&amp;" AS CAMPO_SIMUL FROM "&amp;F297&amp;" WHERE "&amp;'0. Instruções'!$D$42&amp;")Y",
"(SELECT "&amp;VLOOKUP(B297,'0. Instruções'!$C$27:$G$32,4,FALSE)&amp;" AS CHAVE_SIMUL1, "&amp;VLOOKUP(B297,'0. Instruções'!$C$27:$G$32,5,FALSE)&amp;" AS CHAVE_SIMUL2, "&amp;C297&amp;" AS CAMPO_SIMUL FROM "&amp;F297&amp;" WHERE "&amp;'0. Instruções'!$D$42&amp;")Y")</f>
        <v>(SELECT instrmnt_id AS CHAVE_SIMUL, mthd_usd_instrmnt_scp_1 AS CAMPO_SIMUL FROM BU_LOANTAPE_WORK.LT002_INSTRUMENT WHERE ref_date='${ref_date}' AND nome_perimetro='Individual Local' AND segmento='ESTR' AND ambito='PM' AND entidade='00100')Y</v>
      </c>
      <c r="L297" s="32" t="str">
        <f>IF(VLOOKUP(B297,'0. Instruções'!$C$27:$G$32,5,FALSE)=0,
"ON X.CHAVE_IT=Y.CHAVE_SIMUL",
"ON X.CHAVE_IT1=Y.CHAVE_SIMUL1 AND X.CHAVE_IT2=Y.CHAVE_SIMUL2")</f>
        <v>ON X.CHAVE_IT=Y.CHAVE_SIMUL</v>
      </c>
      <c r="M297" s="32" t="str">
        <f>+IF(D297="Coerência",+IF(LEFT(H297,5)="FLOAT","SELECT '"&amp;UPPER(B297)&amp;"' AS TABELA, '"&amp;UPPER(D297)&amp;"' AS TIPOLOGIA_TESTE,'"&amp;E297&amp;"' AS TABELA_LT,'"&amp;F297&amp;"' AS TABELA_SIMUL,'"&amp;C297&amp;"'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"&amp;J297&amp;" INNER JOIN "&amp;K297&amp;" "&amp;L297,"SELECT '"&amp;UPPER(B297)&amp;"' AS TABELA, '"&amp;UPPER(D297)&amp;"' AS TIPOLOGIA_TESTE,'"&amp;E297&amp;"' AS TABELA_LT,'"&amp;F297&amp;"' AS TABELA_SIMUL,'"&amp;C297&amp;"'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"&amp;J297&amp;" INNER JOIN "&amp;K297&amp;" "&amp;L297))</f>
        <v>SELECT 'INSTRUMENT' AS TABELA, 'COERÊNCIA' AS TIPOLOGIA_TESTE,'CD_LOAN_TAPES_BCE.LT002_INSTRUMENT' AS TABELA_LT,'BU_LOANTAPE_WORK.LT002_INSTRUMENT' AS TABELA_SIMUL,'mthd_usd_instrmnt_scp_1'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mthd_usd_instrmnt_scp_1 AS CAMPO_IT FROM CD_LOAN_TAPES_BCE.LT002_INSTRUMENT WHERE ref_date='${ref_date}' AND nome_perimetro='Individual Local' AND segmento='ESTR' AND ambito='PM' AND entidade='00100')X INNER JOIN (SELECT instrmnt_id AS CHAVE_SIMUL, mthd_usd_instrmnt_scp_1 AS CAMPO_SIMUL FROM BU_LOANTAPE_WORK.LT002_INSTRUMENT WHERE ref_date='${ref_date}' AND nome_perimetro='Individual Local' AND segmento='ESTR' AND ambito='PM' AND entidade='00100')Y ON X.CHAVE_IT=Y.CHAVE_SIMUL</v>
      </c>
      <c r="N297" s="33" t="str">
        <f t="shared" si="11"/>
        <v>UNION ALL SELECT 'INSTRUMENT' AS TABELA, 'COERÊNCIA' AS TIPOLOGIA_TESTE,'CD_LOAN_TAPES_BCE.LT002_INSTRUMENT' AS TABELA_LT,'BU_LOANTAPE_WORK.LT002_INSTRUMENT' AS TABELA_SIMUL,'mthd_usd_instrmnt_scp_1'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mthd_usd_instrmnt_scp_1 AS CAMPO_IT FROM CD_LOAN_TAPES_BCE.LT002_INSTRUMENT WHERE ref_date='${ref_date}' AND nome_perimetro='Individual Local' AND segmento='ESTR' AND ambito='PM' AND entidade='00100')X INNER JOIN (SELECT instrmnt_id AS CHAVE_SIMUL, mthd_usd_instrmnt_scp_1 AS CAMPO_SIMUL FROM BU_LOANTAPE_WORK.LT002_INSTRUMENT WHERE ref_date='${ref_date}' AND nome_perimetro='Individual Local' AND segmento='ESTR' AND ambito='PM' AND entidade='00100')Y ON X.CHAVE_IT=Y.CHAVE_SIMUL</v>
      </c>
      <c r="O297" s="35" t="s">
        <v>35</v>
      </c>
    </row>
    <row r="298" spans="1:15">
      <c r="A298" s="57" t="str">
        <f t="shared" si="10"/>
        <v>Instrumentmthd_usd_instrmnt_scp_2</v>
      </c>
      <c r="B298" s="32" t="s">
        <v>9</v>
      </c>
      <c r="C298" s="32" t="s">
        <v>131</v>
      </c>
      <c r="D298" s="32" t="s">
        <v>5</v>
      </c>
      <c r="E298" s="32" t="str">
        <f>+UPPER('0. Instruções'!$D$35&amp;"."&amp;VLOOKUP(B298,'0. Instruções'!$C$27:$D$32,2,FALSE))</f>
        <v>CD_LOAN_TAPES_BCE.LT002_INSTRUMENT</v>
      </c>
      <c r="F298" s="32" t="str">
        <f>+UPPER('0. Instruções'!$D$36&amp;"."&amp;VLOOKUP(B298,'0. Instruções'!$C$27:$E$32,3,FALSE))</f>
        <v>BU_LOANTAPE_WORK.LT002_INSTRUMENT</v>
      </c>
      <c r="H298" s="32"/>
      <c r="I298" s="32"/>
      <c r="J298" s="32" t="str">
        <f>IF(VLOOKUP(B298,'0. Instruções'!$C$27:$G$32,5,FALSE)=0,
"(SELECT "&amp;VLOOKUP(B298,'0. Instruções'!$C$27:$G$32,4,FALSE)&amp;" AS CHAVE_IT, "&amp;C298&amp;" AS CAMPO_IT FROM "&amp;E298&amp;" WHERE "&amp;'0. Instruções'!$D$43&amp;")X",
"(SELECT "&amp;VLOOKUP(B298,'0. Instruções'!$C$27:$G$32,4,FALSE)&amp;" AS CHAVE_IT1, "&amp;VLOOKUP(B298,'0. Instruções'!$C$27:$G$32,5,FALSE)&amp;" AS CHAVE_IT2, "&amp;C298&amp;" AS CAMPO_IT FROM "&amp;E298&amp;" WHERE "&amp;'0. Instruções'!$D$43&amp;")X")</f>
        <v>(SELECT instrmnt_id AS CHAVE_IT, mthd_usd_instrmnt_scp_2 AS CAMPO_IT FROM CD_LOAN_TAPES_BCE.LT002_INSTRUMENT WHERE ref_date='${ref_date}' AND nome_perimetro='Individual Local' AND segmento='ESTR' AND ambito='PM' AND entidade='00100')X</v>
      </c>
      <c r="K298" s="32" t="str">
        <f>IF(VLOOKUP(B298,'0. Instruções'!$C$27:$G$32,5,FALSE)=0,
"(SELECT "&amp;VLOOKUP(B298,'0. Instruções'!$C$27:$G$32,4,FALSE)&amp;" AS CHAVE_SIMUL, "&amp;C298&amp;" AS CAMPO_SIMUL FROM "&amp;F298&amp;" WHERE "&amp;'0. Instruções'!$D$42&amp;")Y",
"(SELECT "&amp;VLOOKUP(B298,'0. Instruções'!$C$27:$G$32,4,FALSE)&amp;" AS CHAVE_SIMUL1, "&amp;VLOOKUP(B298,'0. Instruções'!$C$27:$G$32,5,FALSE)&amp;" AS CHAVE_SIMUL2, "&amp;C298&amp;" AS CAMPO_SIMUL FROM "&amp;F298&amp;" WHERE "&amp;'0. Instruções'!$D$42&amp;")Y")</f>
        <v>(SELECT instrmnt_id AS CHAVE_SIMUL, mthd_usd_instrmnt_scp_2 AS CAMPO_SIMUL FROM BU_LOANTAPE_WORK.LT002_INSTRUMENT WHERE ref_date='${ref_date}' AND nome_perimetro='Individual Local' AND segmento='ESTR' AND ambito='PM' AND entidade='00100')Y</v>
      </c>
      <c r="L298" s="32" t="str">
        <f>IF(VLOOKUP(B298,'0. Instruções'!$C$27:$G$32,5,FALSE)=0,
"ON X.CHAVE_IT=Y.CHAVE_SIMUL",
"ON X.CHAVE_IT1=Y.CHAVE_SIMUL1 AND X.CHAVE_IT2=Y.CHAVE_SIMUL2")</f>
        <v>ON X.CHAVE_IT=Y.CHAVE_SIMUL</v>
      </c>
      <c r="M298" s="32" t="str">
        <f>+IF(D298="Coerência",+IF(LEFT(H298,5)="FLOAT","SELECT '"&amp;UPPER(B298)&amp;"' AS TABELA, '"&amp;UPPER(D298)&amp;"' AS TIPOLOGIA_TESTE,'"&amp;E298&amp;"' AS TABELA_LT,'"&amp;F298&amp;"' AS TABELA_SIMUL,'"&amp;C298&amp;"'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"&amp;J298&amp;" INNER JOIN "&amp;K298&amp;" "&amp;L298,"SELECT '"&amp;UPPER(B298)&amp;"' AS TABELA, '"&amp;UPPER(D298)&amp;"' AS TIPOLOGIA_TESTE,'"&amp;E298&amp;"' AS TABELA_LT,'"&amp;F298&amp;"' AS TABELA_SIMUL,'"&amp;C298&amp;"'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"&amp;J298&amp;" INNER JOIN "&amp;K298&amp;" "&amp;L298))</f>
        <v>SELECT 'INSTRUMENT' AS TABELA, 'COERÊNCIA' AS TIPOLOGIA_TESTE,'CD_LOAN_TAPES_BCE.LT002_INSTRUMENT' AS TABELA_LT,'BU_LOANTAPE_WORK.LT002_INSTRUMENT' AS TABELA_SIMUL,'mthd_usd_instrmnt_scp_2'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mthd_usd_instrmnt_scp_2 AS CAMPO_IT FROM CD_LOAN_TAPES_BCE.LT002_INSTRUMENT WHERE ref_date='${ref_date}' AND nome_perimetro='Individual Local' AND segmento='ESTR' AND ambito='PM' AND entidade='00100')X INNER JOIN (SELECT instrmnt_id AS CHAVE_SIMUL, mthd_usd_instrmnt_scp_2 AS CAMPO_SIMUL FROM BU_LOANTAPE_WORK.LT002_INSTRUMENT WHERE ref_date='${ref_date}' AND nome_perimetro='Individual Local' AND segmento='ESTR' AND ambito='PM' AND entidade='00100')Y ON X.CHAVE_IT=Y.CHAVE_SIMUL</v>
      </c>
      <c r="N298" s="33" t="str">
        <f t="shared" si="11"/>
        <v>UNION ALL SELECT 'INSTRUMENT' AS TABELA, 'COERÊNCIA' AS TIPOLOGIA_TESTE,'CD_LOAN_TAPES_BCE.LT002_INSTRUMENT' AS TABELA_LT,'BU_LOANTAPE_WORK.LT002_INSTRUMENT' AS TABELA_SIMUL,'mthd_usd_instrmnt_scp_2'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mthd_usd_instrmnt_scp_2 AS CAMPO_IT FROM CD_LOAN_TAPES_BCE.LT002_INSTRUMENT WHERE ref_date='${ref_date}' AND nome_perimetro='Individual Local' AND segmento='ESTR' AND ambito='PM' AND entidade='00100')X INNER JOIN (SELECT instrmnt_id AS CHAVE_SIMUL, mthd_usd_instrmnt_scp_2 AS CAMPO_SIMUL FROM BU_LOANTAPE_WORK.LT002_INSTRUMENT WHERE ref_date='${ref_date}' AND nome_perimetro='Individual Local' AND segmento='ESTR' AND ambito='PM' AND entidade='00100')Y ON X.CHAVE_IT=Y.CHAVE_SIMUL</v>
      </c>
      <c r="O298" s="35" t="s">
        <v>35</v>
      </c>
    </row>
    <row r="299" spans="1:15">
      <c r="A299" s="57" t="str">
        <f t="shared" si="10"/>
        <v>Instrumentmthd_usd_instrmnt_scp_3</v>
      </c>
      <c r="B299" s="32" t="s">
        <v>9</v>
      </c>
      <c r="C299" s="32" t="s">
        <v>132</v>
      </c>
      <c r="D299" s="32" t="s">
        <v>5</v>
      </c>
      <c r="E299" s="32" t="str">
        <f>+UPPER('0. Instruções'!$D$35&amp;"."&amp;VLOOKUP(B299,'0. Instruções'!$C$27:$D$32,2,FALSE))</f>
        <v>CD_LOAN_TAPES_BCE.LT002_INSTRUMENT</v>
      </c>
      <c r="F299" s="32" t="str">
        <f>+UPPER('0. Instruções'!$D$36&amp;"."&amp;VLOOKUP(B299,'0. Instruções'!$C$27:$E$32,3,FALSE))</f>
        <v>BU_LOANTAPE_WORK.LT002_INSTRUMENT</v>
      </c>
      <c r="H299" s="32"/>
      <c r="I299" s="32"/>
      <c r="J299" s="32" t="str">
        <f>IF(VLOOKUP(B299,'0. Instruções'!$C$27:$G$32,5,FALSE)=0,
"(SELECT "&amp;VLOOKUP(B299,'0. Instruções'!$C$27:$G$32,4,FALSE)&amp;" AS CHAVE_IT, "&amp;C299&amp;" AS CAMPO_IT FROM "&amp;E299&amp;" WHERE "&amp;'0. Instruções'!$D$43&amp;")X",
"(SELECT "&amp;VLOOKUP(B299,'0. Instruções'!$C$27:$G$32,4,FALSE)&amp;" AS CHAVE_IT1, "&amp;VLOOKUP(B299,'0. Instruções'!$C$27:$G$32,5,FALSE)&amp;" AS CHAVE_IT2, "&amp;C299&amp;" AS CAMPO_IT FROM "&amp;E299&amp;" WHERE "&amp;'0. Instruções'!$D$43&amp;")X")</f>
        <v>(SELECT instrmnt_id AS CHAVE_IT, mthd_usd_instrmnt_scp_3 AS CAMPO_IT FROM CD_LOAN_TAPES_BCE.LT002_INSTRUMENT WHERE ref_date='${ref_date}' AND nome_perimetro='Individual Local' AND segmento='ESTR' AND ambito='PM' AND entidade='00100')X</v>
      </c>
      <c r="K299" s="32" t="str">
        <f>IF(VLOOKUP(B299,'0. Instruções'!$C$27:$G$32,5,FALSE)=0,
"(SELECT "&amp;VLOOKUP(B299,'0. Instruções'!$C$27:$G$32,4,FALSE)&amp;" AS CHAVE_SIMUL, "&amp;C299&amp;" AS CAMPO_SIMUL FROM "&amp;F299&amp;" WHERE "&amp;'0. Instruções'!$D$42&amp;")Y",
"(SELECT "&amp;VLOOKUP(B299,'0. Instruções'!$C$27:$G$32,4,FALSE)&amp;" AS CHAVE_SIMUL1, "&amp;VLOOKUP(B299,'0. Instruções'!$C$27:$G$32,5,FALSE)&amp;" AS CHAVE_SIMUL2, "&amp;C299&amp;" AS CAMPO_SIMUL FROM "&amp;F299&amp;" WHERE "&amp;'0. Instruções'!$D$42&amp;")Y")</f>
        <v>(SELECT instrmnt_id AS CHAVE_SIMUL, mthd_usd_instrmnt_scp_3 AS CAMPO_SIMUL FROM BU_LOANTAPE_WORK.LT002_INSTRUMENT WHERE ref_date='${ref_date}' AND nome_perimetro='Individual Local' AND segmento='ESTR' AND ambito='PM' AND entidade='00100')Y</v>
      </c>
      <c r="L299" s="32" t="str">
        <f>IF(VLOOKUP(B299,'0. Instruções'!$C$27:$G$32,5,FALSE)=0,
"ON X.CHAVE_IT=Y.CHAVE_SIMUL",
"ON X.CHAVE_IT1=Y.CHAVE_SIMUL1 AND X.CHAVE_IT2=Y.CHAVE_SIMUL2")</f>
        <v>ON X.CHAVE_IT=Y.CHAVE_SIMUL</v>
      </c>
      <c r="M299" s="32" t="str">
        <f>+IF(D299="Coerência",+IF(LEFT(H299,5)="FLOAT","SELECT '"&amp;UPPER(B299)&amp;"' AS TABELA, '"&amp;UPPER(D299)&amp;"' AS TIPOLOGIA_TESTE,'"&amp;E299&amp;"' AS TABELA_LT,'"&amp;F299&amp;"' AS TABELA_SIMUL,'"&amp;C299&amp;"'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"&amp;J299&amp;" INNER JOIN "&amp;K299&amp;" "&amp;L299,"SELECT '"&amp;UPPER(B299)&amp;"' AS TABELA, '"&amp;UPPER(D299)&amp;"' AS TIPOLOGIA_TESTE,'"&amp;E299&amp;"' AS TABELA_LT,'"&amp;F299&amp;"' AS TABELA_SIMUL,'"&amp;C299&amp;"'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"&amp;J299&amp;" INNER JOIN "&amp;K299&amp;" "&amp;L299))</f>
        <v>SELECT 'INSTRUMENT' AS TABELA, 'COERÊNCIA' AS TIPOLOGIA_TESTE,'CD_LOAN_TAPES_BCE.LT002_INSTRUMENT' AS TABELA_LT,'BU_LOANTAPE_WORK.LT002_INSTRUMENT' AS TABELA_SIMUL,'mthd_usd_instrmnt_scp_3'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mthd_usd_instrmnt_scp_3 AS CAMPO_IT FROM CD_LOAN_TAPES_BCE.LT002_INSTRUMENT WHERE ref_date='${ref_date}' AND nome_perimetro='Individual Local' AND segmento='ESTR' AND ambito='PM' AND entidade='00100')X INNER JOIN (SELECT instrmnt_id AS CHAVE_SIMUL, mthd_usd_instrmnt_scp_3 AS CAMPO_SIMUL FROM BU_LOANTAPE_WORK.LT002_INSTRUMENT WHERE ref_date='${ref_date}' AND nome_perimetro='Individual Local' AND segmento='ESTR' AND ambito='PM' AND entidade='00100')Y ON X.CHAVE_IT=Y.CHAVE_SIMUL</v>
      </c>
      <c r="N299" s="33" t="str">
        <f t="shared" si="11"/>
        <v>UNION ALL SELECT 'INSTRUMENT' AS TABELA, 'COERÊNCIA' AS TIPOLOGIA_TESTE,'CD_LOAN_TAPES_BCE.LT002_INSTRUMENT' AS TABELA_LT,'BU_LOANTAPE_WORK.LT002_INSTRUMENT' AS TABELA_SIMUL,'mthd_usd_instrmnt_scp_3'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mthd_usd_instrmnt_scp_3 AS CAMPO_IT FROM CD_LOAN_TAPES_BCE.LT002_INSTRUMENT WHERE ref_date='${ref_date}' AND nome_perimetro='Individual Local' AND segmento='ESTR' AND ambito='PM' AND entidade='00100')X INNER JOIN (SELECT instrmnt_id AS CHAVE_SIMUL, mthd_usd_instrmnt_scp_3 AS CAMPO_SIMUL FROM BU_LOANTAPE_WORK.LT002_INSTRUMENT WHERE ref_date='${ref_date}' AND nome_perimetro='Individual Local' AND segmento='ESTR' AND ambito='PM' AND entidade='00100')Y ON X.CHAVE_IT=Y.CHAVE_SIMUL</v>
      </c>
      <c r="O299" s="35" t="s">
        <v>35</v>
      </c>
    </row>
    <row r="300" spans="1:15">
      <c r="A300" s="57" t="str">
        <f t="shared" si="10"/>
        <v>Instrumentsstnbl_ctgry_txnmy</v>
      </c>
      <c r="B300" s="32" t="s">
        <v>9</v>
      </c>
      <c r="C300" s="32" t="s">
        <v>133</v>
      </c>
      <c r="D300" s="32" t="s">
        <v>5</v>
      </c>
      <c r="E300" s="32" t="str">
        <f>+UPPER('0. Instruções'!$D$35&amp;"."&amp;VLOOKUP(B300,'0. Instruções'!$C$27:$D$32,2,FALSE))</f>
        <v>CD_LOAN_TAPES_BCE.LT002_INSTRUMENT</v>
      </c>
      <c r="F300" s="32" t="str">
        <f>+UPPER('0. Instruções'!$D$36&amp;"."&amp;VLOOKUP(B300,'0. Instruções'!$C$27:$E$32,3,FALSE))</f>
        <v>BU_LOANTAPE_WORK.LT002_INSTRUMENT</v>
      </c>
      <c r="H300" s="32"/>
      <c r="I300" s="32"/>
      <c r="J300" s="32" t="str">
        <f>IF(VLOOKUP(B300,'0. Instruções'!$C$27:$G$32,5,FALSE)=0,
"(SELECT "&amp;VLOOKUP(B300,'0. Instruções'!$C$27:$G$32,4,FALSE)&amp;" AS CHAVE_IT, "&amp;C300&amp;" AS CAMPO_IT FROM "&amp;E300&amp;" WHERE "&amp;'0. Instruções'!$D$43&amp;")X",
"(SELECT "&amp;VLOOKUP(B300,'0. Instruções'!$C$27:$G$32,4,FALSE)&amp;" AS CHAVE_IT1, "&amp;VLOOKUP(B300,'0. Instruções'!$C$27:$G$32,5,FALSE)&amp;" AS CHAVE_IT2, "&amp;C300&amp;" AS CAMPO_IT FROM "&amp;E300&amp;" WHERE "&amp;'0. Instruções'!$D$43&amp;")X")</f>
        <v>(SELECT instrmnt_id AS CHAVE_IT, sstnbl_ctgry_txnmy AS CAMPO_IT FROM CD_LOAN_TAPES_BCE.LT002_INSTRUMENT WHERE ref_date='${ref_date}' AND nome_perimetro='Individual Local' AND segmento='ESTR' AND ambito='PM' AND entidade='00100')X</v>
      </c>
      <c r="K300" s="32" t="str">
        <f>IF(VLOOKUP(B300,'0. Instruções'!$C$27:$G$32,5,FALSE)=0,
"(SELECT "&amp;VLOOKUP(B300,'0. Instruções'!$C$27:$G$32,4,FALSE)&amp;" AS CHAVE_SIMUL, "&amp;C300&amp;" AS CAMPO_SIMUL FROM "&amp;F300&amp;" WHERE "&amp;'0. Instruções'!$D$42&amp;")Y",
"(SELECT "&amp;VLOOKUP(B300,'0. Instruções'!$C$27:$G$32,4,FALSE)&amp;" AS CHAVE_SIMUL1, "&amp;VLOOKUP(B300,'0. Instruções'!$C$27:$G$32,5,FALSE)&amp;" AS CHAVE_SIMUL2, "&amp;C300&amp;" AS CAMPO_SIMUL FROM "&amp;F300&amp;" WHERE "&amp;'0. Instruções'!$D$42&amp;")Y")</f>
        <v>(SELECT instrmnt_id AS CHAVE_SIMUL, sstnbl_ctgry_txnmy AS CAMPO_SIMUL FROM BU_LOANTAPE_WORK.LT002_INSTRUMENT WHERE ref_date='${ref_date}' AND nome_perimetro='Individual Local' AND segmento='ESTR' AND ambito='PM' AND entidade='00100')Y</v>
      </c>
      <c r="L300" s="32" t="str">
        <f>IF(VLOOKUP(B300,'0. Instruções'!$C$27:$G$32,5,FALSE)=0,
"ON X.CHAVE_IT=Y.CHAVE_SIMUL",
"ON X.CHAVE_IT1=Y.CHAVE_SIMUL1 AND X.CHAVE_IT2=Y.CHAVE_SIMUL2")</f>
        <v>ON X.CHAVE_IT=Y.CHAVE_SIMUL</v>
      </c>
      <c r="M300" s="32" t="str">
        <f>+IF(D300="Coerência",+IF(LEFT(H300,5)="FLOAT","SELECT '"&amp;UPPER(B300)&amp;"' AS TABELA, '"&amp;UPPER(D300)&amp;"' AS TIPOLOGIA_TESTE,'"&amp;E300&amp;"' AS TABELA_LT,'"&amp;F300&amp;"' AS TABELA_SIMUL,'"&amp;C300&amp;"'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"&amp;J300&amp;" INNER JOIN "&amp;K300&amp;" "&amp;L300,"SELECT '"&amp;UPPER(B300)&amp;"' AS TABELA, '"&amp;UPPER(D300)&amp;"' AS TIPOLOGIA_TESTE,'"&amp;E300&amp;"' AS TABELA_LT,'"&amp;F300&amp;"' AS TABELA_SIMUL,'"&amp;C300&amp;"'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"&amp;J300&amp;" INNER JOIN "&amp;K300&amp;" "&amp;L300))</f>
        <v>SELECT 'INSTRUMENT' AS TABELA, 'COERÊNCIA' AS TIPOLOGIA_TESTE,'CD_LOAN_TAPES_BCE.LT002_INSTRUMENT' AS TABELA_LT,'BU_LOANTAPE_WORK.LT002_INSTRUMENT' AS TABELA_SIMUL,'sstnbl_ctgry_txnmy'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sstnbl_ctgry_txnmy AS CAMPO_IT FROM CD_LOAN_TAPES_BCE.LT002_INSTRUMENT WHERE ref_date='${ref_date}' AND nome_perimetro='Individual Local' AND segmento='ESTR' AND ambito='PM' AND entidade='00100')X INNER JOIN (SELECT instrmnt_id AS CHAVE_SIMUL, sstnbl_ctgry_txnmy AS CAMPO_SIMUL FROM BU_LOANTAPE_WORK.LT002_INSTRUMENT WHERE ref_date='${ref_date}' AND nome_perimetro='Individual Local' AND segmento='ESTR' AND ambito='PM' AND entidade='00100')Y ON X.CHAVE_IT=Y.CHAVE_SIMUL</v>
      </c>
      <c r="N300" s="33" t="str">
        <f t="shared" si="11"/>
        <v>UNION ALL SELECT 'INSTRUMENT' AS TABELA, 'COERÊNCIA' AS TIPOLOGIA_TESTE,'CD_LOAN_TAPES_BCE.LT002_INSTRUMENT' AS TABELA_LT,'BU_LOANTAPE_WORK.LT002_INSTRUMENT' AS TABELA_SIMUL,'sstnbl_ctgry_txnmy'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sstnbl_ctgry_txnmy AS CAMPO_IT FROM CD_LOAN_TAPES_BCE.LT002_INSTRUMENT WHERE ref_date='${ref_date}' AND nome_perimetro='Individual Local' AND segmento='ESTR' AND ambito='PM' AND entidade='00100')X INNER JOIN (SELECT instrmnt_id AS CHAVE_SIMUL, sstnbl_ctgry_txnmy AS CAMPO_SIMUL FROM BU_LOANTAPE_WORK.LT002_INSTRUMENT WHERE ref_date='${ref_date}' AND nome_perimetro='Individual Local' AND segmento='ESTR' AND ambito='PM' AND entidade='00100')Y ON X.CHAVE_IT=Y.CHAVE_SIMUL</v>
      </c>
      <c r="O300" s="35" t="s">
        <v>35</v>
      </c>
    </row>
    <row r="301" spans="1:15">
      <c r="A301" s="57" t="str">
        <f t="shared" si="10"/>
        <v>Instrumentcounterparty_id</v>
      </c>
      <c r="B301" s="32" t="s">
        <v>9</v>
      </c>
      <c r="C301" s="32" t="s">
        <v>452</v>
      </c>
      <c r="D301" s="32" t="s">
        <v>5</v>
      </c>
      <c r="E301" s="32" t="str">
        <f>+UPPER('0. Instruções'!$D$35&amp;"."&amp;VLOOKUP(B301,'0. Instruções'!$C$27:$D$32,2,FALSE))</f>
        <v>CD_LOAN_TAPES_BCE.LT002_INSTRUMENT</v>
      </c>
      <c r="F301" s="32" t="str">
        <f>+UPPER('0. Instruções'!$D$36&amp;"."&amp;VLOOKUP(B301,'0. Instruções'!$C$27:$E$32,3,FALSE))</f>
        <v>BU_LOANTAPE_WORK.LT002_INSTRUMENT</v>
      </c>
      <c r="H301" s="32"/>
      <c r="I301" s="32"/>
      <c r="J301" s="32" t="str">
        <f>IF(VLOOKUP(B301,'0. Instruções'!$C$27:$G$32,5,FALSE)=0,
"(SELECT "&amp;VLOOKUP(B301,'0. Instruções'!$C$27:$G$32,4,FALSE)&amp;" AS CHAVE_IT, "&amp;C301&amp;" AS CAMPO_IT FROM "&amp;E301&amp;" WHERE "&amp;'0. Instruções'!$D$43&amp;")X",
"(SELECT "&amp;VLOOKUP(B301,'0. Instruções'!$C$27:$G$32,4,FALSE)&amp;" AS CHAVE_IT1, "&amp;VLOOKUP(B301,'0. Instruções'!$C$27:$G$32,5,FALSE)&amp;" AS CHAVE_IT2, "&amp;C301&amp;" AS CAMPO_IT FROM "&amp;E301&amp;" WHERE "&amp;'0. Instruções'!$D$43&amp;")X")</f>
        <v>(SELECT instrmnt_id AS CHAVE_IT, counterparty_id AS CAMPO_IT FROM CD_LOAN_TAPES_BCE.LT002_INSTRUMENT WHERE ref_date='${ref_date}' AND nome_perimetro='Individual Local' AND segmento='ESTR' AND ambito='PM' AND entidade='00100')X</v>
      </c>
      <c r="K301" s="32" t="str">
        <f>IF(VLOOKUP(B301,'0. Instruções'!$C$27:$G$32,5,FALSE)=0,
"(SELECT "&amp;VLOOKUP(B301,'0. Instruções'!$C$27:$G$32,4,FALSE)&amp;" AS CHAVE_SIMUL, "&amp;C301&amp;" AS CAMPO_SIMUL FROM "&amp;F301&amp;" WHERE "&amp;'0. Instruções'!$D$42&amp;")Y",
"(SELECT "&amp;VLOOKUP(B301,'0. Instruções'!$C$27:$G$32,4,FALSE)&amp;" AS CHAVE_SIMUL1, "&amp;VLOOKUP(B301,'0. Instruções'!$C$27:$G$32,5,FALSE)&amp;" AS CHAVE_SIMUL2, "&amp;C301&amp;" AS CAMPO_SIMUL FROM "&amp;F301&amp;" WHERE "&amp;'0. Instruções'!$D$42&amp;")Y")</f>
        <v>(SELECT instrmnt_id AS CHAVE_SIMUL, counterparty_id AS CAMPO_SIMUL FROM BU_LOANTAPE_WORK.LT002_INSTRUMENT WHERE ref_date='${ref_date}' AND nome_perimetro='Individual Local' AND segmento='ESTR' AND ambito='PM' AND entidade='00100')Y</v>
      </c>
      <c r="L301" s="32" t="str">
        <f>IF(VLOOKUP(B301,'0. Instruções'!$C$27:$G$32,5,FALSE)=0,
"ON X.CHAVE_IT=Y.CHAVE_SIMUL",
"ON X.CHAVE_IT1=Y.CHAVE_SIMUL1 AND X.CHAVE_IT2=Y.CHAVE_SIMUL2")</f>
        <v>ON X.CHAVE_IT=Y.CHAVE_SIMUL</v>
      </c>
      <c r="M301" s="32" t="str">
        <f>+IF(D301="Coerência",+IF(LEFT(H301,5)="FLOAT","SELECT '"&amp;UPPER(B301)&amp;"' AS TABELA, '"&amp;UPPER(D301)&amp;"' AS TIPOLOGIA_TESTE,'"&amp;E301&amp;"' AS TABELA_LT,'"&amp;F301&amp;"' AS TABELA_SIMUL,'"&amp;C301&amp;"'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"&amp;J301&amp;" INNER JOIN "&amp;K301&amp;" "&amp;L301,"SELECT '"&amp;UPPER(B301)&amp;"' AS TABELA, '"&amp;UPPER(D301)&amp;"' AS TIPOLOGIA_TESTE,'"&amp;E301&amp;"' AS TABELA_LT,'"&amp;F301&amp;"' AS TABELA_SIMUL,'"&amp;C301&amp;"'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"&amp;J301&amp;" INNER JOIN "&amp;K301&amp;" "&amp;L301))</f>
        <v>SELECT 'INSTRUMENT' AS TABELA, 'COERÊNCIA' AS TIPOLOGIA_TESTE,'CD_LOAN_TAPES_BCE.LT002_INSTRUMENT' AS TABELA_LT,'BU_LOANTAPE_WORK.LT002_INSTRUMENT' AS TABELA_SIMUL,'counterparty_id'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counterparty_id AS CAMPO_IT FROM CD_LOAN_TAPES_BCE.LT002_INSTRUMENT WHERE ref_date='${ref_date}' AND nome_perimetro='Individual Local' AND segmento='ESTR' AND ambito='PM' AND entidade='00100')X INNER JOIN (SELECT instrmnt_id AS CHAVE_SIMUL, counterparty_id AS CAMPO_SIMUL FROM BU_LOANTAPE_WORK.LT002_INSTRUMENT WHERE ref_date='${ref_date}' AND nome_perimetro='Individual Local' AND segmento='ESTR' AND ambito='PM' AND entidade='00100')Y ON X.CHAVE_IT=Y.CHAVE_SIMUL</v>
      </c>
      <c r="N301" s="33" t="str">
        <f t="shared" si="11"/>
        <v>UNION ALL SELECT 'INSTRUMENT' AS TABELA, 'COERÊNCIA' AS TIPOLOGIA_TESTE,'CD_LOAN_TAPES_BCE.LT002_INSTRUMENT' AS TABELA_LT,'BU_LOANTAPE_WORK.LT002_INSTRUMENT' AS TABELA_SIMUL,'counterparty_id'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counterparty_id AS CAMPO_IT FROM CD_LOAN_TAPES_BCE.LT002_INSTRUMENT WHERE ref_date='${ref_date}' AND nome_perimetro='Individual Local' AND segmento='ESTR' AND ambito='PM' AND entidade='00100')X INNER JOIN (SELECT instrmnt_id AS CHAVE_SIMUL, counterparty_id AS CAMPO_SIMUL FROM BU_LOANTAPE_WORK.LT002_INSTRUMENT WHERE ref_date='${ref_date}' AND nome_perimetro='Individual Local' AND segmento='ESTR' AND ambito='PM' AND entidade='00100')Y ON X.CHAVE_IT=Y.CHAVE_SIMUL</v>
      </c>
      <c r="O301" s="35" t="s">
        <v>35</v>
      </c>
    </row>
    <row r="302" spans="1:15">
      <c r="A302" s="57" t="str">
        <f t="shared" si="10"/>
        <v>Instrumentcounterparty_type_id</v>
      </c>
      <c r="B302" s="32" t="s">
        <v>9</v>
      </c>
      <c r="C302" s="32" t="s">
        <v>453</v>
      </c>
      <c r="D302" s="32" t="s">
        <v>5</v>
      </c>
      <c r="E302" s="32" t="str">
        <f>+UPPER('0. Instruções'!$D$35&amp;"."&amp;VLOOKUP(B302,'0. Instruções'!$C$27:$D$32,2,FALSE))</f>
        <v>CD_LOAN_TAPES_BCE.LT002_INSTRUMENT</v>
      </c>
      <c r="F302" s="32" t="str">
        <f>+UPPER('0. Instruções'!$D$36&amp;"."&amp;VLOOKUP(B302,'0. Instruções'!$C$27:$E$32,3,FALSE))</f>
        <v>BU_LOANTAPE_WORK.LT002_INSTRUMENT</v>
      </c>
      <c r="H302" s="32"/>
      <c r="I302" s="32"/>
      <c r="J302" s="32" t="str">
        <f>IF(VLOOKUP(B302,'0. Instruções'!$C$27:$G$32,5,FALSE)=0,
"(SELECT "&amp;VLOOKUP(B302,'0. Instruções'!$C$27:$G$32,4,FALSE)&amp;" AS CHAVE_IT, "&amp;C302&amp;" AS CAMPO_IT FROM "&amp;E302&amp;" WHERE "&amp;'0. Instruções'!$D$43&amp;")X",
"(SELECT "&amp;VLOOKUP(B302,'0. Instruções'!$C$27:$G$32,4,FALSE)&amp;" AS CHAVE_IT1, "&amp;VLOOKUP(B302,'0. Instruções'!$C$27:$G$32,5,FALSE)&amp;" AS CHAVE_IT2, "&amp;C302&amp;" AS CAMPO_IT FROM "&amp;E302&amp;" WHERE "&amp;'0. Instruções'!$D$43&amp;")X")</f>
        <v>(SELECT instrmnt_id AS CHAVE_IT, counterparty_type_id AS CAMPO_IT FROM CD_LOAN_TAPES_BCE.LT002_INSTRUMENT WHERE ref_date='${ref_date}' AND nome_perimetro='Individual Local' AND segmento='ESTR' AND ambito='PM' AND entidade='00100')X</v>
      </c>
      <c r="K302" s="32" t="str">
        <f>IF(VLOOKUP(B302,'0. Instruções'!$C$27:$G$32,5,FALSE)=0,
"(SELECT "&amp;VLOOKUP(B302,'0. Instruções'!$C$27:$G$32,4,FALSE)&amp;" AS CHAVE_SIMUL, "&amp;C302&amp;" AS CAMPO_SIMUL FROM "&amp;F302&amp;" WHERE "&amp;'0. Instruções'!$D$42&amp;")Y",
"(SELECT "&amp;VLOOKUP(B302,'0. Instruções'!$C$27:$G$32,4,FALSE)&amp;" AS CHAVE_SIMUL1, "&amp;VLOOKUP(B302,'0. Instruções'!$C$27:$G$32,5,FALSE)&amp;" AS CHAVE_SIMUL2, "&amp;C302&amp;" AS CAMPO_SIMUL FROM "&amp;F302&amp;" WHERE "&amp;'0. Instruções'!$D$42&amp;")Y")</f>
        <v>(SELECT instrmnt_id AS CHAVE_SIMUL, counterparty_type_id AS CAMPO_SIMUL FROM BU_LOANTAPE_WORK.LT002_INSTRUMENT WHERE ref_date='${ref_date}' AND nome_perimetro='Individual Local' AND segmento='ESTR' AND ambito='PM' AND entidade='00100')Y</v>
      </c>
      <c r="L302" s="32" t="str">
        <f>IF(VLOOKUP(B302,'0. Instruções'!$C$27:$G$32,5,FALSE)=0,
"ON X.CHAVE_IT=Y.CHAVE_SIMUL",
"ON X.CHAVE_IT1=Y.CHAVE_SIMUL1 AND X.CHAVE_IT2=Y.CHAVE_SIMUL2")</f>
        <v>ON X.CHAVE_IT=Y.CHAVE_SIMUL</v>
      </c>
      <c r="M302" s="32" t="str">
        <f>+IF(D302="Coerência",+IF(LEFT(H302,5)="FLOAT","SELECT '"&amp;UPPER(B302)&amp;"' AS TABELA, '"&amp;UPPER(D302)&amp;"' AS TIPOLOGIA_TESTE,'"&amp;E302&amp;"' AS TABELA_LT,'"&amp;F302&amp;"' AS TABELA_SIMUL,'"&amp;C302&amp;"'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"&amp;J302&amp;" INNER JOIN "&amp;K302&amp;" "&amp;L302,"SELECT '"&amp;UPPER(B302)&amp;"' AS TABELA, '"&amp;UPPER(D302)&amp;"' AS TIPOLOGIA_TESTE,'"&amp;E302&amp;"' AS TABELA_LT,'"&amp;F302&amp;"' AS TABELA_SIMUL,'"&amp;C302&amp;"'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"&amp;J302&amp;" INNER JOIN "&amp;K302&amp;" "&amp;L302))</f>
        <v>SELECT 'INSTRUMENT' AS TABELA, 'COERÊNCIA' AS TIPOLOGIA_TESTE,'CD_LOAN_TAPES_BCE.LT002_INSTRUMENT' AS TABELA_LT,'BU_LOANTAPE_WORK.LT002_INSTRUMENT' AS TABELA_SIMUL,'counterparty_type_id'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counterparty_type_id AS CAMPO_IT FROM CD_LOAN_TAPES_BCE.LT002_INSTRUMENT WHERE ref_date='${ref_date}' AND nome_perimetro='Individual Local' AND segmento='ESTR' AND ambito='PM' AND entidade='00100')X INNER JOIN (SELECT instrmnt_id AS CHAVE_SIMUL, counterparty_type_id AS CAMPO_SIMUL FROM BU_LOANTAPE_WORK.LT002_INSTRUMENT WHERE ref_date='${ref_date}' AND nome_perimetro='Individual Local' AND segmento='ESTR' AND ambito='PM' AND entidade='00100')Y ON X.CHAVE_IT=Y.CHAVE_SIMUL</v>
      </c>
      <c r="N302" s="33" t="str">
        <f t="shared" si="11"/>
        <v>UNION ALL SELECT 'INSTRUMENT' AS TABELA, 'COERÊNCIA' AS TIPOLOGIA_TESTE,'CD_LOAN_TAPES_BCE.LT002_INSTRUMENT' AS TABELA_LT,'BU_LOANTAPE_WORK.LT002_INSTRUMENT' AS TABELA_SIMUL,'counterparty_type_id'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counterparty_type_id AS CAMPO_IT FROM CD_LOAN_TAPES_BCE.LT002_INSTRUMENT WHERE ref_date='${ref_date}' AND nome_perimetro='Individual Local' AND segmento='ESTR' AND ambito='PM' AND entidade='00100')X INNER JOIN (SELECT instrmnt_id AS CHAVE_SIMUL, counterparty_type_id AS CAMPO_SIMUL FROM BU_LOANTAPE_WORK.LT002_INSTRUMENT WHERE ref_date='${ref_date}' AND nome_perimetro='Individual Local' AND segmento='ESTR' AND ambito='PM' AND entidade='00100')Y ON X.CHAVE_IT=Y.CHAVE_SIMUL</v>
      </c>
      <c r="O302" s="35" t="s">
        <v>35</v>
      </c>
    </row>
    <row r="303" spans="1:15">
      <c r="A303" s="57" t="str">
        <f t="shared" si="10"/>
        <v>Instrumentcounterparty_country</v>
      </c>
      <c r="B303" s="32" t="s">
        <v>9</v>
      </c>
      <c r="C303" s="32" t="s">
        <v>454</v>
      </c>
      <c r="D303" s="32" t="s">
        <v>5</v>
      </c>
      <c r="E303" s="32" t="str">
        <f>+UPPER('0. Instruções'!$D$35&amp;"."&amp;VLOOKUP(B303,'0. Instruções'!$C$27:$D$32,2,FALSE))</f>
        <v>CD_LOAN_TAPES_BCE.LT002_INSTRUMENT</v>
      </c>
      <c r="F303" s="32" t="str">
        <f>+UPPER('0. Instruções'!$D$36&amp;"."&amp;VLOOKUP(B303,'0. Instruções'!$C$27:$E$32,3,FALSE))</f>
        <v>BU_LOANTAPE_WORK.LT002_INSTRUMENT</v>
      </c>
      <c r="H303" s="32"/>
      <c r="I303" s="32"/>
      <c r="J303" s="32" t="str">
        <f>IF(VLOOKUP(B303,'0. Instruções'!$C$27:$G$32,5,FALSE)=0,
"(SELECT "&amp;VLOOKUP(B303,'0. Instruções'!$C$27:$G$32,4,FALSE)&amp;" AS CHAVE_IT, "&amp;C303&amp;" AS CAMPO_IT FROM "&amp;E303&amp;" WHERE "&amp;'0. Instruções'!$D$43&amp;")X",
"(SELECT "&amp;VLOOKUP(B303,'0. Instruções'!$C$27:$G$32,4,FALSE)&amp;" AS CHAVE_IT1, "&amp;VLOOKUP(B303,'0. Instruções'!$C$27:$G$32,5,FALSE)&amp;" AS CHAVE_IT2, "&amp;C303&amp;" AS CAMPO_IT FROM "&amp;E303&amp;" WHERE "&amp;'0. Instruções'!$D$43&amp;")X")</f>
        <v>(SELECT instrmnt_id AS CHAVE_IT, counterparty_country AS CAMPO_IT FROM CD_LOAN_TAPES_BCE.LT002_INSTRUMENT WHERE ref_date='${ref_date}' AND nome_perimetro='Individual Local' AND segmento='ESTR' AND ambito='PM' AND entidade='00100')X</v>
      </c>
      <c r="K303" s="32" t="str">
        <f>IF(VLOOKUP(B303,'0. Instruções'!$C$27:$G$32,5,FALSE)=0,
"(SELECT "&amp;VLOOKUP(B303,'0. Instruções'!$C$27:$G$32,4,FALSE)&amp;" AS CHAVE_SIMUL, "&amp;C303&amp;" AS CAMPO_SIMUL FROM "&amp;F303&amp;" WHERE "&amp;'0. Instruções'!$D$42&amp;")Y",
"(SELECT "&amp;VLOOKUP(B303,'0. Instruções'!$C$27:$G$32,4,FALSE)&amp;" AS CHAVE_SIMUL1, "&amp;VLOOKUP(B303,'0. Instruções'!$C$27:$G$32,5,FALSE)&amp;" AS CHAVE_SIMUL2, "&amp;C303&amp;" AS CAMPO_SIMUL FROM "&amp;F303&amp;" WHERE "&amp;'0. Instruções'!$D$42&amp;")Y")</f>
        <v>(SELECT instrmnt_id AS CHAVE_SIMUL, counterparty_country AS CAMPO_SIMUL FROM BU_LOANTAPE_WORK.LT002_INSTRUMENT WHERE ref_date='${ref_date}' AND nome_perimetro='Individual Local' AND segmento='ESTR' AND ambito='PM' AND entidade='00100')Y</v>
      </c>
      <c r="L303" s="32" t="str">
        <f>IF(VLOOKUP(B303,'0. Instruções'!$C$27:$G$32,5,FALSE)=0,
"ON X.CHAVE_IT=Y.CHAVE_SIMUL",
"ON X.CHAVE_IT1=Y.CHAVE_SIMUL1 AND X.CHAVE_IT2=Y.CHAVE_SIMUL2")</f>
        <v>ON X.CHAVE_IT=Y.CHAVE_SIMUL</v>
      </c>
      <c r="M303" s="32" t="str">
        <f>+IF(D303="Coerência",+IF(LEFT(H303,5)="FLOAT","SELECT '"&amp;UPPER(B303)&amp;"' AS TABELA, '"&amp;UPPER(D303)&amp;"' AS TIPOLOGIA_TESTE,'"&amp;E303&amp;"' AS TABELA_LT,'"&amp;F303&amp;"' AS TABELA_SIMUL,'"&amp;C303&amp;"'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"&amp;J303&amp;" INNER JOIN "&amp;K303&amp;" "&amp;L303,"SELECT '"&amp;UPPER(B303)&amp;"' AS TABELA, '"&amp;UPPER(D303)&amp;"' AS TIPOLOGIA_TESTE,'"&amp;E303&amp;"' AS TABELA_LT,'"&amp;F303&amp;"' AS TABELA_SIMUL,'"&amp;C303&amp;"'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"&amp;J303&amp;" INNER JOIN "&amp;K303&amp;" "&amp;L303))</f>
        <v>SELECT 'INSTRUMENT' AS TABELA, 'COERÊNCIA' AS TIPOLOGIA_TESTE,'CD_LOAN_TAPES_BCE.LT002_INSTRUMENT' AS TABELA_LT,'BU_LOANTAPE_WORK.LT002_INSTRUMENT' AS TABELA_SIMUL,'counterparty_country'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counterparty_country AS CAMPO_IT FROM CD_LOAN_TAPES_BCE.LT002_INSTRUMENT WHERE ref_date='${ref_date}' AND nome_perimetro='Individual Local' AND segmento='ESTR' AND ambito='PM' AND entidade='00100')X INNER JOIN (SELECT instrmnt_id AS CHAVE_SIMUL, counterparty_country AS CAMPO_SIMUL FROM BU_LOANTAPE_WORK.LT002_INSTRUMENT WHERE ref_date='${ref_date}' AND nome_perimetro='Individual Local' AND segmento='ESTR' AND ambito='PM' AND entidade='00100')Y ON X.CHAVE_IT=Y.CHAVE_SIMUL</v>
      </c>
      <c r="N303" s="33" t="str">
        <f t="shared" si="11"/>
        <v>UNION ALL SELECT 'INSTRUMENT' AS TABELA, 'COERÊNCIA' AS TIPOLOGIA_TESTE,'CD_LOAN_TAPES_BCE.LT002_INSTRUMENT' AS TABELA_LT,'BU_LOANTAPE_WORK.LT002_INSTRUMENT' AS TABELA_SIMUL,'counterparty_country'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counterparty_country AS CAMPO_IT FROM CD_LOAN_TAPES_BCE.LT002_INSTRUMENT WHERE ref_date='${ref_date}' AND nome_perimetro='Individual Local' AND segmento='ESTR' AND ambito='PM' AND entidade='00100')X INNER JOIN (SELECT instrmnt_id AS CHAVE_SIMUL, counterparty_country AS CAMPO_SIMUL FROM BU_LOANTAPE_WORK.LT002_INSTRUMENT WHERE ref_date='${ref_date}' AND nome_perimetro='Individual Local' AND segmento='ESTR' AND ambito='PM' AND entidade='00100')Y ON X.CHAVE_IT=Y.CHAVE_SIMUL</v>
      </c>
      <c r="O303" s="35" t="s">
        <v>35</v>
      </c>
    </row>
    <row r="304" spans="1:15">
      <c r="A304" s="57" t="str">
        <f t="shared" si="10"/>
        <v>Instrumentcrr_exposure_class</v>
      </c>
      <c r="B304" s="32" t="s">
        <v>9</v>
      </c>
      <c r="C304" s="32" t="s">
        <v>455</v>
      </c>
      <c r="D304" s="32" t="s">
        <v>5</v>
      </c>
      <c r="E304" s="32" t="str">
        <f>+UPPER('0. Instruções'!$D$35&amp;"."&amp;VLOOKUP(B304,'0. Instruções'!$C$27:$D$32,2,FALSE))</f>
        <v>CD_LOAN_TAPES_BCE.LT002_INSTRUMENT</v>
      </c>
      <c r="F304" s="32" t="str">
        <f>+UPPER('0. Instruções'!$D$36&amp;"."&amp;VLOOKUP(B304,'0. Instruções'!$C$27:$E$32,3,FALSE))</f>
        <v>BU_LOANTAPE_WORK.LT002_INSTRUMENT</v>
      </c>
      <c r="H304" s="32"/>
      <c r="I304" s="32"/>
      <c r="J304" s="32" t="str">
        <f>IF(VLOOKUP(B304,'0. Instruções'!$C$27:$G$32,5,FALSE)=0,
"(SELECT "&amp;VLOOKUP(B304,'0. Instruções'!$C$27:$G$32,4,FALSE)&amp;" AS CHAVE_IT, "&amp;C304&amp;" AS CAMPO_IT FROM "&amp;E304&amp;" WHERE "&amp;'0. Instruções'!$D$43&amp;")X",
"(SELECT "&amp;VLOOKUP(B304,'0. Instruções'!$C$27:$G$32,4,FALSE)&amp;" AS CHAVE_IT1, "&amp;VLOOKUP(B304,'0. Instruções'!$C$27:$G$32,5,FALSE)&amp;" AS CHAVE_IT2, "&amp;C304&amp;" AS CAMPO_IT FROM "&amp;E304&amp;" WHERE "&amp;'0. Instruções'!$D$43&amp;")X")</f>
        <v>(SELECT instrmnt_id AS CHAVE_IT, crr_exposure_class AS CAMPO_IT FROM CD_LOAN_TAPES_BCE.LT002_INSTRUMENT WHERE ref_date='${ref_date}' AND nome_perimetro='Individual Local' AND segmento='ESTR' AND ambito='PM' AND entidade='00100')X</v>
      </c>
      <c r="K304" s="32" t="str">
        <f>IF(VLOOKUP(B304,'0. Instruções'!$C$27:$G$32,5,FALSE)=0,
"(SELECT "&amp;VLOOKUP(B304,'0. Instruções'!$C$27:$G$32,4,FALSE)&amp;" AS CHAVE_SIMUL, "&amp;C304&amp;" AS CAMPO_SIMUL FROM "&amp;F304&amp;" WHERE "&amp;'0. Instruções'!$D$42&amp;")Y",
"(SELECT "&amp;VLOOKUP(B304,'0. Instruções'!$C$27:$G$32,4,FALSE)&amp;" AS CHAVE_SIMUL1, "&amp;VLOOKUP(B304,'0. Instruções'!$C$27:$G$32,5,FALSE)&amp;" AS CHAVE_SIMUL2, "&amp;C304&amp;" AS CAMPO_SIMUL FROM "&amp;F304&amp;" WHERE "&amp;'0. Instruções'!$D$42&amp;")Y")</f>
        <v>(SELECT instrmnt_id AS CHAVE_SIMUL, crr_exposure_class AS CAMPO_SIMUL FROM BU_LOANTAPE_WORK.LT002_INSTRUMENT WHERE ref_date='${ref_date}' AND nome_perimetro='Individual Local' AND segmento='ESTR' AND ambito='PM' AND entidade='00100')Y</v>
      </c>
      <c r="L304" s="32" t="str">
        <f>IF(VLOOKUP(B304,'0. Instruções'!$C$27:$G$32,5,FALSE)=0,
"ON X.CHAVE_IT=Y.CHAVE_SIMUL",
"ON X.CHAVE_IT1=Y.CHAVE_SIMUL1 AND X.CHAVE_IT2=Y.CHAVE_SIMUL2")</f>
        <v>ON X.CHAVE_IT=Y.CHAVE_SIMUL</v>
      </c>
      <c r="M304" s="32" t="str">
        <f>+IF(D304="Coerência",+IF(LEFT(H304,5)="FLOAT","SELECT '"&amp;UPPER(B304)&amp;"' AS TABELA, '"&amp;UPPER(D304)&amp;"' AS TIPOLOGIA_TESTE,'"&amp;E304&amp;"' AS TABELA_LT,'"&amp;F304&amp;"' AS TABELA_SIMUL,'"&amp;C304&amp;"'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"&amp;J304&amp;" INNER JOIN "&amp;K304&amp;" "&amp;L304,"SELECT '"&amp;UPPER(B304)&amp;"' AS TABELA, '"&amp;UPPER(D304)&amp;"' AS TIPOLOGIA_TESTE,'"&amp;E304&amp;"' AS TABELA_LT,'"&amp;F304&amp;"' AS TABELA_SIMUL,'"&amp;C304&amp;"'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"&amp;J304&amp;" INNER JOIN "&amp;K304&amp;" "&amp;L304))</f>
        <v>SELECT 'INSTRUMENT' AS TABELA, 'COERÊNCIA' AS TIPOLOGIA_TESTE,'CD_LOAN_TAPES_BCE.LT002_INSTRUMENT' AS TABELA_LT,'BU_LOANTAPE_WORK.LT002_INSTRUMENT' AS TABELA_SIMUL,'crr_exposure_class'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crr_exposure_class AS CAMPO_IT FROM CD_LOAN_TAPES_BCE.LT002_INSTRUMENT WHERE ref_date='${ref_date}' AND nome_perimetro='Individual Local' AND segmento='ESTR' AND ambito='PM' AND entidade='00100')X INNER JOIN (SELECT instrmnt_id AS CHAVE_SIMUL, crr_exposure_class AS CAMPO_SIMUL FROM BU_LOANTAPE_WORK.LT002_INSTRUMENT WHERE ref_date='${ref_date}' AND nome_perimetro='Individual Local' AND segmento='ESTR' AND ambito='PM' AND entidade='00100')Y ON X.CHAVE_IT=Y.CHAVE_SIMUL</v>
      </c>
      <c r="N304" s="33" t="str">
        <f t="shared" si="11"/>
        <v>UNION ALL SELECT 'INSTRUMENT' AS TABELA, 'COERÊNCIA' AS TIPOLOGIA_TESTE,'CD_LOAN_TAPES_BCE.LT002_INSTRUMENT' AS TABELA_LT,'BU_LOANTAPE_WORK.LT002_INSTRUMENT' AS TABELA_SIMUL,'crr_exposure_class'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crr_exposure_class AS CAMPO_IT FROM CD_LOAN_TAPES_BCE.LT002_INSTRUMENT WHERE ref_date='${ref_date}' AND nome_perimetro='Individual Local' AND segmento='ESTR' AND ambito='PM' AND entidade='00100')X INNER JOIN (SELECT instrmnt_id AS CHAVE_SIMUL, crr_exposure_class AS CAMPO_SIMUL FROM BU_LOANTAPE_WORK.LT002_INSTRUMENT WHERE ref_date='${ref_date}' AND nome_perimetro='Individual Local' AND segmento='ESTR' AND ambito='PM' AND entidade='00100')Y ON X.CHAVE_IT=Y.CHAVE_SIMUL</v>
      </c>
      <c r="O304" s="35" t="s">
        <v>35</v>
      </c>
    </row>
    <row r="305" spans="1:15">
      <c r="A305" s="57" t="str">
        <f t="shared" si="10"/>
        <v>Instrumentinterest_rate_cap</v>
      </c>
      <c r="B305" s="32" t="s">
        <v>9</v>
      </c>
      <c r="C305" s="32" t="s">
        <v>456</v>
      </c>
      <c r="D305" s="32" t="s">
        <v>5</v>
      </c>
      <c r="E305" s="32" t="str">
        <f>+UPPER('0. Instruções'!$D$35&amp;"."&amp;VLOOKUP(B305,'0. Instruções'!$C$27:$D$32,2,FALSE))</f>
        <v>CD_LOAN_TAPES_BCE.LT002_INSTRUMENT</v>
      </c>
      <c r="F305" s="32" t="str">
        <f>+UPPER('0. Instruções'!$D$36&amp;"."&amp;VLOOKUP(B305,'0. Instruções'!$C$27:$E$32,3,FALSE))</f>
        <v>BU_LOANTAPE_WORK.LT002_INSTRUMENT</v>
      </c>
      <c r="H305" s="32"/>
      <c r="I305" s="32"/>
      <c r="J305" s="32" t="str">
        <f>IF(VLOOKUP(B305,'0. Instruções'!$C$27:$G$32,5,FALSE)=0,
"(SELECT "&amp;VLOOKUP(B305,'0. Instruções'!$C$27:$G$32,4,FALSE)&amp;" AS CHAVE_IT, "&amp;C305&amp;" AS CAMPO_IT FROM "&amp;E305&amp;" WHERE "&amp;'0. Instruções'!$D$43&amp;")X",
"(SELECT "&amp;VLOOKUP(B305,'0. Instruções'!$C$27:$G$32,4,FALSE)&amp;" AS CHAVE_IT1, "&amp;VLOOKUP(B305,'0. Instruções'!$C$27:$G$32,5,FALSE)&amp;" AS CHAVE_IT2, "&amp;C305&amp;" AS CAMPO_IT FROM "&amp;E305&amp;" WHERE "&amp;'0. Instruções'!$D$43&amp;")X")</f>
        <v>(SELECT instrmnt_id AS CHAVE_IT, interest_rate_cap AS CAMPO_IT FROM CD_LOAN_TAPES_BCE.LT002_INSTRUMENT WHERE ref_date='${ref_date}' AND nome_perimetro='Individual Local' AND segmento='ESTR' AND ambito='PM' AND entidade='00100')X</v>
      </c>
      <c r="K305" s="32" t="str">
        <f>IF(VLOOKUP(B305,'0. Instruções'!$C$27:$G$32,5,FALSE)=0,
"(SELECT "&amp;VLOOKUP(B305,'0. Instruções'!$C$27:$G$32,4,FALSE)&amp;" AS CHAVE_SIMUL, "&amp;C305&amp;" AS CAMPO_SIMUL FROM "&amp;F305&amp;" WHERE "&amp;'0. Instruções'!$D$42&amp;")Y",
"(SELECT "&amp;VLOOKUP(B305,'0. Instruções'!$C$27:$G$32,4,FALSE)&amp;" AS CHAVE_SIMUL1, "&amp;VLOOKUP(B305,'0. Instruções'!$C$27:$G$32,5,FALSE)&amp;" AS CHAVE_SIMUL2, "&amp;C305&amp;" AS CAMPO_SIMUL FROM "&amp;F305&amp;" WHERE "&amp;'0. Instruções'!$D$42&amp;")Y")</f>
        <v>(SELECT instrmnt_id AS CHAVE_SIMUL, interest_rate_cap AS CAMPO_SIMUL FROM BU_LOANTAPE_WORK.LT002_INSTRUMENT WHERE ref_date='${ref_date}' AND nome_perimetro='Individual Local' AND segmento='ESTR' AND ambito='PM' AND entidade='00100')Y</v>
      </c>
      <c r="L305" s="32" t="str">
        <f>IF(VLOOKUP(B305,'0. Instruções'!$C$27:$G$32,5,FALSE)=0,
"ON X.CHAVE_IT=Y.CHAVE_SIMUL",
"ON X.CHAVE_IT1=Y.CHAVE_SIMUL1 AND X.CHAVE_IT2=Y.CHAVE_SIMUL2")</f>
        <v>ON X.CHAVE_IT=Y.CHAVE_SIMUL</v>
      </c>
      <c r="M305" s="32" t="str">
        <f>+IF(D305="Coerência",+IF(LEFT(H305,5)="FLOAT","SELECT '"&amp;UPPER(B305)&amp;"' AS TABELA, '"&amp;UPPER(D305)&amp;"' AS TIPOLOGIA_TESTE,'"&amp;E305&amp;"' AS TABELA_LT,'"&amp;F305&amp;"' AS TABELA_SIMUL,'"&amp;C305&amp;"'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"&amp;J305&amp;" INNER JOIN "&amp;K305&amp;" "&amp;L305,"SELECT '"&amp;UPPER(B305)&amp;"' AS TABELA, '"&amp;UPPER(D305)&amp;"' AS TIPOLOGIA_TESTE,'"&amp;E305&amp;"' AS TABELA_LT,'"&amp;F305&amp;"' AS TABELA_SIMUL,'"&amp;C305&amp;"'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"&amp;J305&amp;" INNER JOIN "&amp;K305&amp;" "&amp;L305))</f>
        <v>SELECT 'INSTRUMENT' AS TABELA, 'COERÊNCIA' AS TIPOLOGIA_TESTE,'CD_LOAN_TAPES_BCE.LT002_INSTRUMENT' AS TABELA_LT,'BU_LOANTAPE_WORK.LT002_INSTRUMENT' AS TABELA_SIMUL,'interest_rate_cap'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interest_rate_cap AS CAMPO_IT FROM CD_LOAN_TAPES_BCE.LT002_INSTRUMENT WHERE ref_date='${ref_date}' AND nome_perimetro='Individual Local' AND segmento='ESTR' AND ambito='PM' AND entidade='00100')X INNER JOIN (SELECT instrmnt_id AS CHAVE_SIMUL, interest_rate_cap AS CAMPO_SIMUL FROM BU_LOANTAPE_WORK.LT002_INSTRUMENT WHERE ref_date='${ref_date}' AND nome_perimetro='Individual Local' AND segmento='ESTR' AND ambito='PM' AND entidade='00100')Y ON X.CHAVE_IT=Y.CHAVE_SIMUL</v>
      </c>
      <c r="N305" s="33" t="str">
        <f t="shared" si="11"/>
        <v>UNION ALL SELECT 'INSTRUMENT' AS TABELA, 'COERÊNCIA' AS TIPOLOGIA_TESTE,'CD_LOAN_TAPES_BCE.LT002_INSTRUMENT' AS TABELA_LT,'BU_LOANTAPE_WORK.LT002_INSTRUMENT' AS TABELA_SIMUL,'interest_rate_cap'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interest_rate_cap AS CAMPO_IT FROM CD_LOAN_TAPES_BCE.LT002_INSTRUMENT WHERE ref_date='${ref_date}' AND nome_perimetro='Individual Local' AND segmento='ESTR' AND ambito='PM' AND entidade='00100')X INNER JOIN (SELECT instrmnt_id AS CHAVE_SIMUL, interest_rate_cap AS CAMPO_SIMUL FROM BU_LOANTAPE_WORK.LT002_INSTRUMENT WHERE ref_date='${ref_date}' AND nome_perimetro='Individual Local' AND segmento='ESTR' AND ambito='PM' AND entidade='00100')Y ON X.CHAVE_IT=Y.CHAVE_SIMUL</v>
      </c>
      <c r="O305" s="35" t="s">
        <v>35</v>
      </c>
    </row>
    <row r="306" spans="1:15">
      <c r="A306" s="57" t="str">
        <f t="shared" si="10"/>
        <v>Instrumentinterest_rate_floor</v>
      </c>
      <c r="B306" s="32" t="s">
        <v>9</v>
      </c>
      <c r="C306" s="32" t="s">
        <v>457</v>
      </c>
      <c r="D306" s="32" t="s">
        <v>5</v>
      </c>
      <c r="E306" s="32" t="str">
        <f>+UPPER('0. Instruções'!$D$35&amp;"."&amp;VLOOKUP(B306,'0. Instruções'!$C$27:$D$32,2,FALSE))</f>
        <v>CD_LOAN_TAPES_BCE.LT002_INSTRUMENT</v>
      </c>
      <c r="F306" s="32" t="str">
        <f>+UPPER('0. Instruções'!$D$36&amp;"."&amp;VLOOKUP(B306,'0. Instruções'!$C$27:$E$32,3,FALSE))</f>
        <v>BU_LOANTAPE_WORK.LT002_INSTRUMENT</v>
      </c>
      <c r="H306" s="32"/>
      <c r="I306" s="32"/>
      <c r="J306" s="32" t="str">
        <f>IF(VLOOKUP(B306,'0. Instruções'!$C$27:$G$32,5,FALSE)=0,
"(SELECT "&amp;VLOOKUP(B306,'0. Instruções'!$C$27:$G$32,4,FALSE)&amp;" AS CHAVE_IT, "&amp;C306&amp;" AS CAMPO_IT FROM "&amp;E306&amp;" WHERE "&amp;'0. Instruções'!$D$43&amp;")X",
"(SELECT "&amp;VLOOKUP(B306,'0. Instruções'!$C$27:$G$32,4,FALSE)&amp;" AS CHAVE_IT1, "&amp;VLOOKUP(B306,'0. Instruções'!$C$27:$G$32,5,FALSE)&amp;" AS CHAVE_IT2, "&amp;C306&amp;" AS CAMPO_IT FROM "&amp;E306&amp;" WHERE "&amp;'0. Instruções'!$D$43&amp;")X")</f>
        <v>(SELECT instrmnt_id AS CHAVE_IT, interest_rate_floor AS CAMPO_IT FROM CD_LOAN_TAPES_BCE.LT002_INSTRUMENT WHERE ref_date='${ref_date}' AND nome_perimetro='Individual Local' AND segmento='ESTR' AND ambito='PM' AND entidade='00100')X</v>
      </c>
      <c r="K306" s="32" t="str">
        <f>IF(VLOOKUP(B306,'0. Instruções'!$C$27:$G$32,5,FALSE)=0,
"(SELECT "&amp;VLOOKUP(B306,'0. Instruções'!$C$27:$G$32,4,FALSE)&amp;" AS CHAVE_SIMUL, "&amp;C306&amp;" AS CAMPO_SIMUL FROM "&amp;F306&amp;" WHERE "&amp;'0. Instruções'!$D$42&amp;")Y",
"(SELECT "&amp;VLOOKUP(B306,'0. Instruções'!$C$27:$G$32,4,FALSE)&amp;" AS CHAVE_SIMUL1, "&amp;VLOOKUP(B306,'0. Instruções'!$C$27:$G$32,5,FALSE)&amp;" AS CHAVE_SIMUL2, "&amp;C306&amp;" AS CAMPO_SIMUL FROM "&amp;F306&amp;" WHERE "&amp;'0. Instruções'!$D$42&amp;")Y")</f>
        <v>(SELECT instrmnt_id AS CHAVE_SIMUL, interest_rate_floor AS CAMPO_SIMUL FROM BU_LOANTAPE_WORK.LT002_INSTRUMENT WHERE ref_date='${ref_date}' AND nome_perimetro='Individual Local' AND segmento='ESTR' AND ambito='PM' AND entidade='00100')Y</v>
      </c>
      <c r="L306" s="32" t="str">
        <f>IF(VLOOKUP(B306,'0. Instruções'!$C$27:$G$32,5,FALSE)=0,
"ON X.CHAVE_IT=Y.CHAVE_SIMUL",
"ON X.CHAVE_IT1=Y.CHAVE_SIMUL1 AND X.CHAVE_IT2=Y.CHAVE_SIMUL2")</f>
        <v>ON X.CHAVE_IT=Y.CHAVE_SIMUL</v>
      </c>
      <c r="M306" s="32" t="str">
        <f>+IF(D306="Coerência",+IF(LEFT(H306,5)="FLOAT","SELECT '"&amp;UPPER(B306)&amp;"' AS TABELA, '"&amp;UPPER(D306)&amp;"' AS TIPOLOGIA_TESTE,'"&amp;E306&amp;"' AS TABELA_LT,'"&amp;F306&amp;"' AS TABELA_SIMUL,'"&amp;C306&amp;"'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"&amp;J306&amp;" INNER JOIN "&amp;K306&amp;" "&amp;L306,"SELECT '"&amp;UPPER(B306)&amp;"' AS TABELA, '"&amp;UPPER(D306)&amp;"' AS TIPOLOGIA_TESTE,'"&amp;E306&amp;"' AS TABELA_LT,'"&amp;F306&amp;"' AS TABELA_SIMUL,'"&amp;C306&amp;"'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"&amp;J306&amp;" INNER JOIN "&amp;K306&amp;" "&amp;L306))</f>
        <v>SELECT 'INSTRUMENT' AS TABELA, 'COERÊNCIA' AS TIPOLOGIA_TESTE,'CD_LOAN_TAPES_BCE.LT002_INSTRUMENT' AS TABELA_LT,'BU_LOANTAPE_WORK.LT002_INSTRUMENT' AS TABELA_SIMUL,'interest_rate_floor'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interest_rate_floor AS CAMPO_IT FROM CD_LOAN_TAPES_BCE.LT002_INSTRUMENT WHERE ref_date='${ref_date}' AND nome_perimetro='Individual Local' AND segmento='ESTR' AND ambito='PM' AND entidade='00100')X INNER JOIN (SELECT instrmnt_id AS CHAVE_SIMUL, interest_rate_floor AS CAMPO_SIMUL FROM BU_LOANTAPE_WORK.LT002_INSTRUMENT WHERE ref_date='${ref_date}' AND nome_perimetro='Individual Local' AND segmento='ESTR' AND ambito='PM' AND entidade='00100')Y ON X.CHAVE_IT=Y.CHAVE_SIMUL</v>
      </c>
      <c r="N306" s="33" t="str">
        <f t="shared" si="11"/>
        <v>UNION ALL SELECT 'INSTRUMENT' AS TABELA, 'COERÊNCIA' AS TIPOLOGIA_TESTE,'CD_LOAN_TAPES_BCE.LT002_INSTRUMENT' AS TABELA_LT,'BU_LOANTAPE_WORK.LT002_INSTRUMENT' AS TABELA_SIMUL,'interest_rate_floor'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interest_rate_floor AS CAMPO_IT FROM CD_LOAN_TAPES_BCE.LT002_INSTRUMENT WHERE ref_date='${ref_date}' AND nome_perimetro='Individual Local' AND segmento='ESTR' AND ambito='PM' AND entidade='00100')X INNER JOIN (SELECT instrmnt_id AS CHAVE_SIMUL, interest_rate_floor AS CAMPO_SIMUL FROM BU_LOANTAPE_WORK.LT002_INSTRUMENT WHERE ref_date='${ref_date}' AND nome_perimetro='Individual Local' AND segmento='ESTR' AND ambito='PM' AND entidade='00100')Y ON X.CHAVE_IT=Y.CHAVE_SIMUL</v>
      </c>
      <c r="O306" s="35" t="s">
        <v>35</v>
      </c>
    </row>
    <row r="307" spans="1:15">
      <c r="A307" s="57" t="str">
        <f t="shared" si="10"/>
        <v>Instrumentintrst_indxng</v>
      </c>
      <c r="B307" s="32" t="s">
        <v>9</v>
      </c>
      <c r="C307" s="32" t="s">
        <v>458</v>
      </c>
      <c r="D307" s="32" t="s">
        <v>5</v>
      </c>
      <c r="E307" s="32" t="str">
        <f>+UPPER('0. Instruções'!$D$35&amp;"."&amp;VLOOKUP(B307,'0. Instruções'!$C$27:$D$32,2,FALSE))</f>
        <v>CD_LOAN_TAPES_BCE.LT002_INSTRUMENT</v>
      </c>
      <c r="F307" s="32" t="str">
        <f>+UPPER('0. Instruções'!$D$36&amp;"."&amp;VLOOKUP(B307,'0. Instruções'!$C$27:$E$32,3,FALSE))</f>
        <v>BU_LOANTAPE_WORK.LT002_INSTRUMENT</v>
      </c>
      <c r="H307" s="32"/>
      <c r="I307" s="32"/>
      <c r="J307" s="32" t="str">
        <f>IF(VLOOKUP(B307,'0. Instruções'!$C$27:$G$32,5,FALSE)=0,
"(SELECT "&amp;VLOOKUP(B307,'0. Instruções'!$C$27:$G$32,4,FALSE)&amp;" AS CHAVE_IT, "&amp;C307&amp;" AS CAMPO_IT FROM "&amp;E307&amp;" WHERE "&amp;'0. Instruções'!$D$43&amp;")X",
"(SELECT "&amp;VLOOKUP(B307,'0. Instruções'!$C$27:$G$32,4,FALSE)&amp;" AS CHAVE_IT1, "&amp;VLOOKUP(B307,'0. Instruções'!$C$27:$G$32,5,FALSE)&amp;" AS CHAVE_IT2, "&amp;C307&amp;" AS CAMPO_IT FROM "&amp;E307&amp;" WHERE "&amp;'0. Instruções'!$D$43&amp;")X")</f>
        <v>(SELECT instrmnt_id AS CHAVE_IT, intrst_indxng AS CAMPO_IT FROM CD_LOAN_TAPES_BCE.LT002_INSTRUMENT WHERE ref_date='${ref_date}' AND nome_perimetro='Individual Local' AND segmento='ESTR' AND ambito='PM' AND entidade='00100')X</v>
      </c>
      <c r="K307" s="32" t="str">
        <f>IF(VLOOKUP(B307,'0. Instruções'!$C$27:$G$32,5,FALSE)=0,
"(SELECT "&amp;VLOOKUP(B307,'0. Instruções'!$C$27:$G$32,4,FALSE)&amp;" AS CHAVE_SIMUL, "&amp;C307&amp;" AS CAMPO_SIMUL FROM "&amp;F307&amp;" WHERE "&amp;'0. Instruções'!$D$42&amp;")Y",
"(SELECT "&amp;VLOOKUP(B307,'0. Instruções'!$C$27:$G$32,4,FALSE)&amp;" AS CHAVE_SIMUL1, "&amp;VLOOKUP(B307,'0. Instruções'!$C$27:$G$32,5,FALSE)&amp;" AS CHAVE_SIMUL2, "&amp;C307&amp;" AS CAMPO_SIMUL FROM "&amp;F307&amp;" WHERE "&amp;'0. Instruções'!$D$42&amp;")Y")</f>
        <v>(SELECT instrmnt_id AS CHAVE_SIMUL, intrst_indxng AS CAMPO_SIMUL FROM BU_LOANTAPE_WORK.LT002_INSTRUMENT WHERE ref_date='${ref_date}' AND nome_perimetro='Individual Local' AND segmento='ESTR' AND ambito='PM' AND entidade='00100')Y</v>
      </c>
      <c r="L307" s="32" t="str">
        <f>IF(VLOOKUP(B307,'0. Instruções'!$C$27:$G$32,5,FALSE)=0,
"ON X.CHAVE_IT=Y.CHAVE_SIMUL",
"ON X.CHAVE_IT1=Y.CHAVE_SIMUL1 AND X.CHAVE_IT2=Y.CHAVE_SIMUL2")</f>
        <v>ON X.CHAVE_IT=Y.CHAVE_SIMUL</v>
      </c>
      <c r="M307" s="32" t="str">
        <f>+IF(D307="Coerência",+IF(LEFT(H307,5)="FLOAT","SELECT '"&amp;UPPER(B307)&amp;"' AS TABELA, '"&amp;UPPER(D307)&amp;"' AS TIPOLOGIA_TESTE,'"&amp;E307&amp;"' AS TABELA_LT,'"&amp;F307&amp;"' AS TABELA_SIMUL,'"&amp;C307&amp;"'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"&amp;J307&amp;" INNER JOIN "&amp;K307&amp;" "&amp;L307,"SELECT '"&amp;UPPER(B307)&amp;"' AS TABELA, '"&amp;UPPER(D307)&amp;"' AS TIPOLOGIA_TESTE,'"&amp;E307&amp;"' AS TABELA_LT,'"&amp;F307&amp;"' AS TABELA_SIMUL,'"&amp;C307&amp;"'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"&amp;J307&amp;" INNER JOIN "&amp;K307&amp;" "&amp;L307))</f>
        <v>SELECT 'INSTRUMENT' AS TABELA, 'COERÊNCIA' AS TIPOLOGIA_TESTE,'CD_LOAN_TAPES_BCE.LT002_INSTRUMENT' AS TABELA_LT,'BU_LOANTAPE_WORK.LT002_INSTRUMENT' AS TABELA_SIMUL,'intrst_indxng'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intrst_indxng AS CAMPO_IT FROM CD_LOAN_TAPES_BCE.LT002_INSTRUMENT WHERE ref_date='${ref_date}' AND nome_perimetro='Individual Local' AND segmento='ESTR' AND ambito='PM' AND entidade='00100')X INNER JOIN (SELECT instrmnt_id AS CHAVE_SIMUL, intrst_indxng AS CAMPO_SIMUL FROM BU_LOANTAPE_WORK.LT002_INSTRUMENT WHERE ref_date='${ref_date}' AND nome_perimetro='Individual Local' AND segmento='ESTR' AND ambito='PM' AND entidade='00100')Y ON X.CHAVE_IT=Y.CHAVE_SIMUL</v>
      </c>
      <c r="N307" s="33" t="str">
        <f t="shared" si="11"/>
        <v>UNION ALL SELECT 'INSTRUMENT' AS TABELA, 'COERÊNCIA' AS TIPOLOGIA_TESTE,'CD_LOAN_TAPES_BCE.LT002_INSTRUMENT' AS TABELA_LT,'BU_LOANTAPE_WORK.LT002_INSTRUMENT' AS TABELA_SIMUL,'intrst_indxng'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intrst_indxng AS CAMPO_IT FROM CD_LOAN_TAPES_BCE.LT002_INSTRUMENT WHERE ref_date='${ref_date}' AND nome_perimetro='Individual Local' AND segmento='ESTR' AND ambito='PM' AND entidade='00100')X INNER JOIN (SELECT instrmnt_id AS CHAVE_SIMUL, intrst_indxng AS CAMPO_SIMUL FROM BU_LOANTAPE_WORK.LT002_INSTRUMENT WHERE ref_date='${ref_date}' AND nome_perimetro='Individual Local' AND segmento='ESTR' AND ambito='PM' AND entidade='00100')Y ON X.CHAVE_IT=Y.CHAVE_SIMUL</v>
      </c>
      <c r="O307" s="35" t="s">
        <v>35</v>
      </c>
    </row>
    <row r="308" spans="1:15">
      <c r="A308" s="57" t="str">
        <f t="shared" si="10"/>
        <v>Instrumentsettlement_date</v>
      </c>
      <c r="B308" s="32" t="s">
        <v>9</v>
      </c>
      <c r="C308" s="32" t="s">
        <v>459</v>
      </c>
      <c r="D308" s="32" t="s">
        <v>5</v>
      </c>
      <c r="E308" s="32" t="str">
        <f>+UPPER('0. Instruções'!$D$35&amp;"."&amp;VLOOKUP(B308,'0. Instruções'!$C$27:$D$32,2,FALSE))</f>
        <v>CD_LOAN_TAPES_BCE.LT002_INSTRUMENT</v>
      </c>
      <c r="F308" s="32" t="str">
        <f>+UPPER('0. Instruções'!$D$36&amp;"."&amp;VLOOKUP(B308,'0. Instruções'!$C$27:$E$32,3,FALSE))</f>
        <v>BU_LOANTAPE_WORK.LT002_INSTRUMENT</v>
      </c>
      <c r="H308" s="32"/>
      <c r="I308" s="32"/>
      <c r="J308" s="32" t="str">
        <f>IF(VLOOKUP(B308,'0. Instruções'!$C$27:$G$32,5,FALSE)=0,
"(SELECT "&amp;VLOOKUP(B308,'0. Instruções'!$C$27:$G$32,4,FALSE)&amp;" AS CHAVE_IT, "&amp;C308&amp;" AS CAMPO_IT FROM "&amp;E308&amp;" WHERE "&amp;'0. Instruções'!$D$43&amp;")X",
"(SELECT "&amp;VLOOKUP(B308,'0. Instruções'!$C$27:$G$32,4,FALSE)&amp;" AS CHAVE_IT1, "&amp;VLOOKUP(B308,'0. Instruções'!$C$27:$G$32,5,FALSE)&amp;" AS CHAVE_IT2, "&amp;C308&amp;" AS CAMPO_IT FROM "&amp;E308&amp;" WHERE "&amp;'0. Instruções'!$D$43&amp;")X")</f>
        <v>(SELECT instrmnt_id AS CHAVE_IT, settlement_date AS CAMPO_IT FROM CD_LOAN_TAPES_BCE.LT002_INSTRUMENT WHERE ref_date='${ref_date}' AND nome_perimetro='Individual Local' AND segmento='ESTR' AND ambito='PM' AND entidade='00100')X</v>
      </c>
      <c r="K308" s="32" t="str">
        <f>IF(VLOOKUP(B308,'0. Instruções'!$C$27:$G$32,5,FALSE)=0,
"(SELECT "&amp;VLOOKUP(B308,'0. Instruções'!$C$27:$G$32,4,FALSE)&amp;" AS CHAVE_SIMUL, "&amp;C308&amp;" AS CAMPO_SIMUL FROM "&amp;F308&amp;" WHERE "&amp;'0. Instruções'!$D$42&amp;")Y",
"(SELECT "&amp;VLOOKUP(B308,'0. Instruções'!$C$27:$G$32,4,FALSE)&amp;" AS CHAVE_SIMUL1, "&amp;VLOOKUP(B308,'0. Instruções'!$C$27:$G$32,5,FALSE)&amp;" AS CHAVE_SIMUL2, "&amp;C308&amp;" AS CAMPO_SIMUL FROM "&amp;F308&amp;" WHERE "&amp;'0. Instruções'!$D$42&amp;")Y")</f>
        <v>(SELECT instrmnt_id AS CHAVE_SIMUL, settlement_date AS CAMPO_SIMUL FROM BU_LOANTAPE_WORK.LT002_INSTRUMENT WHERE ref_date='${ref_date}' AND nome_perimetro='Individual Local' AND segmento='ESTR' AND ambito='PM' AND entidade='00100')Y</v>
      </c>
      <c r="L308" s="32" t="str">
        <f>IF(VLOOKUP(B308,'0. Instruções'!$C$27:$G$32,5,FALSE)=0,
"ON X.CHAVE_IT=Y.CHAVE_SIMUL",
"ON X.CHAVE_IT1=Y.CHAVE_SIMUL1 AND X.CHAVE_IT2=Y.CHAVE_SIMUL2")</f>
        <v>ON X.CHAVE_IT=Y.CHAVE_SIMUL</v>
      </c>
      <c r="M308" s="32" t="str">
        <f>+IF(D308="Coerência",+IF(LEFT(H308,5)="FLOAT","SELECT '"&amp;UPPER(B308)&amp;"' AS TABELA, '"&amp;UPPER(D308)&amp;"' AS TIPOLOGIA_TESTE,'"&amp;E308&amp;"' AS TABELA_LT,'"&amp;F308&amp;"' AS TABELA_SIMUL,'"&amp;C308&amp;"'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"&amp;J308&amp;" INNER JOIN "&amp;K308&amp;" "&amp;L308,"SELECT '"&amp;UPPER(B308)&amp;"' AS TABELA, '"&amp;UPPER(D308)&amp;"' AS TIPOLOGIA_TESTE,'"&amp;E308&amp;"' AS TABELA_LT,'"&amp;F308&amp;"' AS TABELA_SIMUL,'"&amp;C308&amp;"'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"&amp;J308&amp;" INNER JOIN "&amp;K308&amp;" "&amp;L308))</f>
        <v>SELECT 'INSTRUMENT' AS TABELA, 'COERÊNCIA' AS TIPOLOGIA_TESTE,'CD_LOAN_TAPES_BCE.LT002_INSTRUMENT' AS TABELA_LT,'BU_LOANTAPE_WORK.LT002_INSTRUMENT' AS TABELA_SIMUL,'settlement_date'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settlement_date AS CAMPO_IT FROM CD_LOAN_TAPES_BCE.LT002_INSTRUMENT WHERE ref_date='${ref_date}' AND nome_perimetro='Individual Local' AND segmento='ESTR' AND ambito='PM' AND entidade='00100')X INNER JOIN (SELECT instrmnt_id AS CHAVE_SIMUL, settlement_date AS CAMPO_SIMUL FROM BU_LOANTAPE_WORK.LT002_INSTRUMENT WHERE ref_date='${ref_date}' AND nome_perimetro='Individual Local' AND segmento='ESTR' AND ambito='PM' AND entidade='00100')Y ON X.CHAVE_IT=Y.CHAVE_SIMUL</v>
      </c>
      <c r="N308" s="33" t="str">
        <f t="shared" si="11"/>
        <v>UNION ALL SELECT 'INSTRUMENT' AS TABELA, 'COERÊNCIA' AS TIPOLOGIA_TESTE,'CD_LOAN_TAPES_BCE.LT002_INSTRUMENT' AS TABELA_LT,'BU_LOANTAPE_WORK.LT002_INSTRUMENT' AS TABELA_SIMUL,'settlement_date'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settlement_date AS CAMPO_IT FROM CD_LOAN_TAPES_BCE.LT002_INSTRUMENT WHERE ref_date='${ref_date}' AND nome_perimetro='Individual Local' AND segmento='ESTR' AND ambito='PM' AND entidade='00100')X INNER JOIN (SELECT instrmnt_id AS CHAVE_SIMUL, settlement_date AS CAMPO_SIMUL FROM BU_LOANTAPE_WORK.LT002_INSTRUMENT WHERE ref_date='${ref_date}' AND nome_perimetro='Individual Local' AND segmento='ESTR' AND ambito='PM' AND entidade='00100')Y ON X.CHAVE_IT=Y.CHAVE_SIMUL</v>
      </c>
      <c r="O308" s="35" t="s">
        <v>35</v>
      </c>
    </row>
    <row r="309" spans="1:15">
      <c r="A309" s="57" t="str">
        <f t="shared" si="10"/>
        <v>Instrumenttransferred_amount</v>
      </c>
      <c r="B309" s="32" t="s">
        <v>9</v>
      </c>
      <c r="C309" s="32" t="s">
        <v>460</v>
      </c>
      <c r="D309" s="32" t="s">
        <v>5</v>
      </c>
      <c r="E309" s="32" t="str">
        <f>+UPPER('0. Instruções'!$D$35&amp;"."&amp;VLOOKUP(B309,'0. Instruções'!$C$27:$D$32,2,FALSE))</f>
        <v>CD_LOAN_TAPES_BCE.LT002_INSTRUMENT</v>
      </c>
      <c r="F309" s="32" t="str">
        <f>+UPPER('0. Instruções'!$D$36&amp;"."&amp;VLOOKUP(B309,'0. Instruções'!$C$27:$E$32,3,FALSE))</f>
        <v>BU_LOANTAPE_WORK.LT002_INSTRUMENT</v>
      </c>
      <c r="H309" s="32"/>
      <c r="I309" s="32"/>
      <c r="J309" s="32" t="str">
        <f>IF(VLOOKUP(B309,'0. Instruções'!$C$27:$G$32,5,FALSE)=0,
"(SELECT "&amp;VLOOKUP(B309,'0. Instruções'!$C$27:$G$32,4,FALSE)&amp;" AS CHAVE_IT, "&amp;C309&amp;" AS CAMPO_IT FROM "&amp;E309&amp;" WHERE "&amp;'0. Instruções'!$D$43&amp;")X",
"(SELECT "&amp;VLOOKUP(B309,'0. Instruções'!$C$27:$G$32,4,FALSE)&amp;" AS CHAVE_IT1, "&amp;VLOOKUP(B309,'0. Instruções'!$C$27:$G$32,5,FALSE)&amp;" AS CHAVE_IT2, "&amp;C309&amp;" AS CAMPO_IT FROM "&amp;E309&amp;" WHERE "&amp;'0. Instruções'!$D$43&amp;")X")</f>
        <v>(SELECT instrmnt_id AS CHAVE_IT, transferred_amount AS CAMPO_IT FROM CD_LOAN_TAPES_BCE.LT002_INSTRUMENT WHERE ref_date='${ref_date}' AND nome_perimetro='Individual Local' AND segmento='ESTR' AND ambito='PM' AND entidade='00100')X</v>
      </c>
      <c r="K309" s="32" t="str">
        <f>IF(VLOOKUP(B309,'0. Instruções'!$C$27:$G$32,5,FALSE)=0,
"(SELECT "&amp;VLOOKUP(B309,'0. Instruções'!$C$27:$G$32,4,FALSE)&amp;" AS CHAVE_SIMUL, "&amp;C309&amp;" AS CAMPO_SIMUL FROM "&amp;F309&amp;" WHERE "&amp;'0. Instruções'!$D$42&amp;")Y",
"(SELECT "&amp;VLOOKUP(B309,'0. Instruções'!$C$27:$G$32,4,FALSE)&amp;" AS CHAVE_SIMUL1, "&amp;VLOOKUP(B309,'0. Instruções'!$C$27:$G$32,5,FALSE)&amp;" AS CHAVE_SIMUL2, "&amp;C309&amp;" AS CAMPO_SIMUL FROM "&amp;F309&amp;" WHERE "&amp;'0. Instruções'!$D$42&amp;")Y")</f>
        <v>(SELECT instrmnt_id AS CHAVE_SIMUL, transferred_amount AS CAMPO_SIMUL FROM BU_LOANTAPE_WORK.LT002_INSTRUMENT WHERE ref_date='${ref_date}' AND nome_perimetro='Individual Local' AND segmento='ESTR' AND ambito='PM' AND entidade='00100')Y</v>
      </c>
      <c r="L309" s="32" t="str">
        <f>IF(VLOOKUP(B309,'0. Instruções'!$C$27:$G$32,5,FALSE)=0,
"ON X.CHAVE_IT=Y.CHAVE_SIMUL",
"ON X.CHAVE_IT1=Y.CHAVE_SIMUL1 AND X.CHAVE_IT2=Y.CHAVE_SIMUL2")</f>
        <v>ON X.CHAVE_IT=Y.CHAVE_SIMUL</v>
      </c>
      <c r="M309" s="32" t="str">
        <f>+IF(D309="Coerência",+IF(LEFT(H309,5)="FLOAT","SELECT '"&amp;UPPER(B309)&amp;"' AS TABELA, '"&amp;UPPER(D309)&amp;"' AS TIPOLOGIA_TESTE,'"&amp;E309&amp;"' AS TABELA_LT,'"&amp;F309&amp;"' AS TABELA_SIMUL,'"&amp;C309&amp;"'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"&amp;J309&amp;" INNER JOIN "&amp;K309&amp;" "&amp;L309,"SELECT '"&amp;UPPER(B309)&amp;"' AS TABELA, '"&amp;UPPER(D309)&amp;"' AS TIPOLOGIA_TESTE,'"&amp;E309&amp;"' AS TABELA_LT,'"&amp;F309&amp;"' AS TABELA_SIMUL,'"&amp;C309&amp;"'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"&amp;J309&amp;" INNER JOIN "&amp;K309&amp;" "&amp;L309))</f>
        <v>SELECT 'INSTRUMENT' AS TABELA, 'COERÊNCIA' AS TIPOLOGIA_TESTE,'CD_LOAN_TAPES_BCE.LT002_INSTRUMENT' AS TABELA_LT,'BU_LOANTAPE_WORK.LT002_INSTRUMENT' AS TABELA_SIMUL,'transferred_amount'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transferred_amount AS CAMPO_IT FROM CD_LOAN_TAPES_BCE.LT002_INSTRUMENT WHERE ref_date='${ref_date}' AND nome_perimetro='Individual Local' AND segmento='ESTR' AND ambito='PM' AND entidade='00100')X INNER JOIN (SELECT instrmnt_id AS CHAVE_SIMUL, transferred_amount AS CAMPO_SIMUL FROM BU_LOANTAPE_WORK.LT002_INSTRUMENT WHERE ref_date='${ref_date}' AND nome_perimetro='Individual Local' AND segmento='ESTR' AND ambito='PM' AND entidade='00100')Y ON X.CHAVE_IT=Y.CHAVE_SIMUL</v>
      </c>
      <c r="N309" s="33" t="str">
        <f t="shared" si="11"/>
        <v>UNION ALL SELECT 'INSTRUMENT' AS TABELA, 'COERÊNCIA' AS TIPOLOGIA_TESTE,'CD_LOAN_TAPES_BCE.LT002_INSTRUMENT' AS TABELA_LT,'BU_LOANTAPE_WORK.LT002_INSTRUMENT' AS TABELA_SIMUL,'transferred_amount'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transferred_amount AS CAMPO_IT FROM CD_LOAN_TAPES_BCE.LT002_INSTRUMENT WHERE ref_date='${ref_date}' AND nome_perimetro='Individual Local' AND segmento='ESTR' AND ambito='PM' AND entidade='00100')X INNER JOIN (SELECT instrmnt_id AS CHAVE_SIMUL, transferred_amount AS CAMPO_SIMUL FROM BU_LOANTAPE_WORK.LT002_INSTRUMENT WHERE ref_date='${ref_date}' AND nome_perimetro='Individual Local' AND segmento='ESTR' AND ambito='PM' AND entidade='00100')Y ON X.CHAVE_IT=Y.CHAVE_SIMUL</v>
      </c>
      <c r="O309" s="35" t="s">
        <v>35</v>
      </c>
    </row>
    <row r="310" spans="1:15">
      <c r="A310" s="57" t="str">
        <f t="shared" si="10"/>
        <v>Instrumenttype_securitization</v>
      </c>
      <c r="B310" s="32" t="s">
        <v>9</v>
      </c>
      <c r="C310" s="32" t="s">
        <v>461</v>
      </c>
      <c r="D310" s="32" t="s">
        <v>5</v>
      </c>
      <c r="E310" s="32" t="str">
        <f>+UPPER('0. Instruções'!$D$35&amp;"."&amp;VLOOKUP(B310,'0. Instruções'!$C$27:$D$32,2,FALSE))</f>
        <v>CD_LOAN_TAPES_BCE.LT002_INSTRUMENT</v>
      </c>
      <c r="F310" s="32" t="str">
        <f>+UPPER('0. Instruções'!$D$36&amp;"."&amp;VLOOKUP(B310,'0. Instruções'!$C$27:$E$32,3,FALSE))</f>
        <v>BU_LOANTAPE_WORK.LT002_INSTRUMENT</v>
      </c>
      <c r="H310" s="32"/>
      <c r="I310" s="32"/>
      <c r="J310" s="32" t="str">
        <f>IF(VLOOKUP(B310,'0. Instruções'!$C$27:$G$32,5,FALSE)=0,
"(SELECT "&amp;VLOOKUP(B310,'0. Instruções'!$C$27:$G$32,4,FALSE)&amp;" AS CHAVE_IT, "&amp;C310&amp;" AS CAMPO_IT FROM "&amp;E310&amp;" WHERE "&amp;'0. Instruções'!$D$43&amp;")X",
"(SELECT "&amp;VLOOKUP(B310,'0. Instruções'!$C$27:$G$32,4,FALSE)&amp;" AS CHAVE_IT1, "&amp;VLOOKUP(B310,'0. Instruções'!$C$27:$G$32,5,FALSE)&amp;" AS CHAVE_IT2, "&amp;C310&amp;" AS CAMPO_IT FROM "&amp;E310&amp;" WHERE "&amp;'0. Instruções'!$D$43&amp;")X")</f>
        <v>(SELECT instrmnt_id AS CHAVE_IT, type_securitization AS CAMPO_IT FROM CD_LOAN_TAPES_BCE.LT002_INSTRUMENT WHERE ref_date='${ref_date}' AND nome_perimetro='Individual Local' AND segmento='ESTR' AND ambito='PM' AND entidade='00100')X</v>
      </c>
      <c r="K310" s="32" t="str">
        <f>IF(VLOOKUP(B310,'0. Instruções'!$C$27:$G$32,5,FALSE)=0,
"(SELECT "&amp;VLOOKUP(B310,'0. Instruções'!$C$27:$G$32,4,FALSE)&amp;" AS CHAVE_SIMUL, "&amp;C310&amp;" AS CAMPO_SIMUL FROM "&amp;F310&amp;" WHERE "&amp;'0. Instruções'!$D$42&amp;")Y",
"(SELECT "&amp;VLOOKUP(B310,'0. Instruções'!$C$27:$G$32,4,FALSE)&amp;" AS CHAVE_SIMUL1, "&amp;VLOOKUP(B310,'0. Instruções'!$C$27:$G$32,5,FALSE)&amp;" AS CHAVE_SIMUL2, "&amp;C310&amp;" AS CAMPO_SIMUL FROM "&amp;F310&amp;" WHERE "&amp;'0. Instruções'!$D$42&amp;")Y")</f>
        <v>(SELECT instrmnt_id AS CHAVE_SIMUL, type_securitization AS CAMPO_SIMUL FROM BU_LOANTAPE_WORK.LT002_INSTRUMENT WHERE ref_date='${ref_date}' AND nome_perimetro='Individual Local' AND segmento='ESTR' AND ambito='PM' AND entidade='00100')Y</v>
      </c>
      <c r="L310" s="32" t="str">
        <f>IF(VLOOKUP(B310,'0. Instruções'!$C$27:$G$32,5,FALSE)=0,
"ON X.CHAVE_IT=Y.CHAVE_SIMUL",
"ON X.CHAVE_IT1=Y.CHAVE_SIMUL1 AND X.CHAVE_IT2=Y.CHAVE_SIMUL2")</f>
        <v>ON X.CHAVE_IT=Y.CHAVE_SIMUL</v>
      </c>
      <c r="M310" s="32" t="str">
        <f>+IF(D310="Coerência",+IF(LEFT(H310,5)="FLOAT","SELECT '"&amp;UPPER(B310)&amp;"' AS TABELA, '"&amp;UPPER(D310)&amp;"' AS TIPOLOGIA_TESTE,'"&amp;E310&amp;"' AS TABELA_LT,'"&amp;F310&amp;"' AS TABELA_SIMUL,'"&amp;C310&amp;"'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"&amp;J310&amp;" INNER JOIN "&amp;K310&amp;" "&amp;L310,"SELECT '"&amp;UPPER(B310)&amp;"' AS TABELA, '"&amp;UPPER(D310)&amp;"' AS TIPOLOGIA_TESTE,'"&amp;E310&amp;"' AS TABELA_LT,'"&amp;F310&amp;"' AS TABELA_SIMUL,'"&amp;C310&amp;"'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"&amp;J310&amp;" INNER JOIN "&amp;K310&amp;" "&amp;L310))</f>
        <v>SELECT 'INSTRUMENT' AS TABELA, 'COERÊNCIA' AS TIPOLOGIA_TESTE,'CD_LOAN_TAPES_BCE.LT002_INSTRUMENT' AS TABELA_LT,'BU_LOANTAPE_WORK.LT002_INSTRUMENT' AS TABELA_SIMUL,'type_securitization'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type_securitization AS CAMPO_IT FROM CD_LOAN_TAPES_BCE.LT002_INSTRUMENT WHERE ref_date='${ref_date}' AND nome_perimetro='Individual Local' AND segmento='ESTR' AND ambito='PM' AND entidade='00100')X INNER JOIN (SELECT instrmnt_id AS CHAVE_SIMUL, type_securitization AS CAMPO_SIMUL FROM BU_LOANTAPE_WORK.LT002_INSTRUMENT WHERE ref_date='${ref_date}' AND nome_perimetro='Individual Local' AND segmento='ESTR' AND ambito='PM' AND entidade='00100')Y ON X.CHAVE_IT=Y.CHAVE_SIMUL</v>
      </c>
      <c r="N310" s="33" t="str">
        <f t="shared" si="11"/>
        <v>UNION ALL SELECT 'INSTRUMENT' AS TABELA, 'COERÊNCIA' AS TIPOLOGIA_TESTE,'CD_LOAN_TAPES_BCE.LT002_INSTRUMENT' AS TABELA_LT,'BU_LOANTAPE_WORK.LT002_INSTRUMENT' AS TABELA_SIMUL,'type_securitization'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type_securitization AS CAMPO_IT FROM CD_LOAN_TAPES_BCE.LT002_INSTRUMENT WHERE ref_date='${ref_date}' AND nome_perimetro='Individual Local' AND segmento='ESTR' AND ambito='PM' AND entidade='00100')X INNER JOIN (SELECT instrmnt_id AS CHAVE_SIMUL, type_securitization AS CAMPO_SIMUL FROM BU_LOANTAPE_WORK.LT002_INSTRUMENT WHERE ref_date='${ref_date}' AND nome_perimetro='Individual Local' AND segmento='ESTR' AND ambito='PM' AND entidade='00100')Y ON X.CHAVE_IT=Y.CHAVE_SIMUL</v>
      </c>
      <c r="O310" s="35" t="s">
        <v>35</v>
      </c>
    </row>
    <row r="311" spans="1:15">
      <c r="A311" s="57" t="str">
        <f t="shared" si="10"/>
        <v>Instrumentjoint_liabilities_amount</v>
      </c>
      <c r="B311" s="32" t="s">
        <v>9</v>
      </c>
      <c r="C311" s="32" t="s">
        <v>462</v>
      </c>
      <c r="D311" s="32" t="s">
        <v>5</v>
      </c>
      <c r="E311" s="32" t="str">
        <f>+UPPER('0. Instruções'!$D$35&amp;"."&amp;VLOOKUP(B311,'0. Instruções'!$C$27:$D$32,2,FALSE))</f>
        <v>CD_LOAN_TAPES_BCE.LT002_INSTRUMENT</v>
      </c>
      <c r="F311" s="32" t="str">
        <f>+UPPER('0. Instruções'!$D$36&amp;"."&amp;VLOOKUP(B311,'0. Instruções'!$C$27:$E$32,3,FALSE))</f>
        <v>BU_LOANTAPE_WORK.LT002_INSTRUMENT</v>
      </c>
      <c r="H311" s="32"/>
      <c r="I311" s="32"/>
      <c r="J311" s="32" t="str">
        <f>IF(VLOOKUP(B311,'0. Instruções'!$C$27:$G$32,5,FALSE)=0,
"(SELECT "&amp;VLOOKUP(B311,'0. Instruções'!$C$27:$G$32,4,FALSE)&amp;" AS CHAVE_IT, "&amp;C311&amp;" AS CAMPO_IT FROM "&amp;E311&amp;" WHERE "&amp;'0. Instruções'!$D$43&amp;")X",
"(SELECT "&amp;VLOOKUP(B311,'0. Instruções'!$C$27:$G$32,4,FALSE)&amp;" AS CHAVE_IT1, "&amp;VLOOKUP(B311,'0. Instruções'!$C$27:$G$32,5,FALSE)&amp;" AS CHAVE_IT2, "&amp;C311&amp;" AS CAMPO_IT FROM "&amp;E311&amp;" WHERE "&amp;'0. Instruções'!$D$43&amp;")X")</f>
        <v>(SELECT instrmnt_id AS CHAVE_IT, joint_liabilities_amount AS CAMPO_IT FROM CD_LOAN_TAPES_BCE.LT002_INSTRUMENT WHERE ref_date='${ref_date}' AND nome_perimetro='Individual Local' AND segmento='ESTR' AND ambito='PM' AND entidade='00100')X</v>
      </c>
      <c r="K311" s="32" t="str">
        <f>IF(VLOOKUP(B311,'0. Instruções'!$C$27:$G$32,5,FALSE)=0,
"(SELECT "&amp;VLOOKUP(B311,'0. Instruções'!$C$27:$G$32,4,FALSE)&amp;" AS CHAVE_SIMUL, "&amp;C311&amp;" AS CAMPO_SIMUL FROM "&amp;F311&amp;" WHERE "&amp;'0. Instruções'!$D$42&amp;")Y",
"(SELECT "&amp;VLOOKUP(B311,'0. Instruções'!$C$27:$G$32,4,FALSE)&amp;" AS CHAVE_SIMUL1, "&amp;VLOOKUP(B311,'0. Instruções'!$C$27:$G$32,5,FALSE)&amp;" AS CHAVE_SIMUL2, "&amp;C311&amp;" AS CAMPO_SIMUL FROM "&amp;F311&amp;" WHERE "&amp;'0. Instruções'!$D$42&amp;")Y")</f>
        <v>(SELECT instrmnt_id AS CHAVE_SIMUL, joint_liabilities_amount AS CAMPO_SIMUL FROM BU_LOANTAPE_WORK.LT002_INSTRUMENT WHERE ref_date='${ref_date}' AND nome_perimetro='Individual Local' AND segmento='ESTR' AND ambito='PM' AND entidade='00100')Y</v>
      </c>
      <c r="L311" s="32" t="str">
        <f>IF(VLOOKUP(B311,'0. Instruções'!$C$27:$G$32,5,FALSE)=0,
"ON X.CHAVE_IT=Y.CHAVE_SIMUL",
"ON X.CHAVE_IT1=Y.CHAVE_SIMUL1 AND X.CHAVE_IT2=Y.CHAVE_SIMUL2")</f>
        <v>ON X.CHAVE_IT=Y.CHAVE_SIMUL</v>
      </c>
      <c r="M311" s="32" t="str">
        <f>+IF(D311="Coerência",+IF(LEFT(H311,5)="FLOAT","SELECT '"&amp;UPPER(B311)&amp;"' AS TABELA, '"&amp;UPPER(D311)&amp;"' AS TIPOLOGIA_TESTE,'"&amp;E311&amp;"' AS TABELA_LT,'"&amp;F311&amp;"' AS TABELA_SIMUL,'"&amp;C311&amp;"'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"&amp;J311&amp;" INNER JOIN "&amp;K311&amp;" "&amp;L311,"SELECT '"&amp;UPPER(B311)&amp;"' AS TABELA, '"&amp;UPPER(D311)&amp;"' AS TIPOLOGIA_TESTE,'"&amp;E311&amp;"' AS TABELA_LT,'"&amp;F311&amp;"' AS TABELA_SIMUL,'"&amp;C311&amp;"'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"&amp;J311&amp;" INNER JOIN "&amp;K311&amp;" "&amp;L311))</f>
        <v>SELECT 'INSTRUMENT' AS TABELA, 'COERÊNCIA' AS TIPOLOGIA_TESTE,'CD_LOAN_TAPES_BCE.LT002_INSTRUMENT' AS TABELA_LT,'BU_LOANTAPE_WORK.LT002_INSTRUMENT' AS TABELA_SIMUL,'joint_liabilities_amount'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joint_liabilities_amount AS CAMPO_IT FROM CD_LOAN_TAPES_BCE.LT002_INSTRUMENT WHERE ref_date='${ref_date}' AND nome_perimetro='Individual Local' AND segmento='ESTR' AND ambito='PM' AND entidade='00100')X INNER JOIN (SELECT instrmnt_id AS CHAVE_SIMUL, joint_liabilities_amount AS CAMPO_SIMUL FROM BU_LOANTAPE_WORK.LT002_INSTRUMENT WHERE ref_date='${ref_date}' AND nome_perimetro='Individual Local' AND segmento='ESTR' AND ambito='PM' AND entidade='00100')Y ON X.CHAVE_IT=Y.CHAVE_SIMUL</v>
      </c>
      <c r="N311" s="33" t="str">
        <f t="shared" si="11"/>
        <v>UNION ALL SELECT 'INSTRUMENT' AS TABELA, 'COERÊNCIA' AS TIPOLOGIA_TESTE,'CD_LOAN_TAPES_BCE.LT002_INSTRUMENT' AS TABELA_LT,'BU_LOANTAPE_WORK.LT002_INSTRUMENT' AS TABELA_SIMUL,'joint_liabilities_amount'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joint_liabilities_amount AS CAMPO_IT FROM CD_LOAN_TAPES_BCE.LT002_INSTRUMENT WHERE ref_date='${ref_date}' AND nome_perimetro='Individual Local' AND segmento='ESTR' AND ambito='PM' AND entidade='00100')X INNER JOIN (SELECT instrmnt_id AS CHAVE_SIMUL, joint_liabilities_amount AS CAMPO_SIMUL FROM BU_LOANTAPE_WORK.LT002_INSTRUMENT WHERE ref_date='${ref_date}' AND nome_perimetro='Individual Local' AND segmento='ESTR' AND ambito='PM' AND entidade='00100')Y ON X.CHAVE_IT=Y.CHAVE_SIMUL</v>
      </c>
      <c r="O311" s="35" t="s">
        <v>35</v>
      </c>
    </row>
    <row r="312" spans="1:15">
      <c r="A312" s="57" t="str">
        <f t="shared" si="10"/>
        <v>Instrumentbalance_sheet_recogn</v>
      </c>
      <c r="B312" s="32" t="s">
        <v>9</v>
      </c>
      <c r="C312" s="32" t="s">
        <v>463</v>
      </c>
      <c r="D312" s="32" t="s">
        <v>5</v>
      </c>
      <c r="E312" s="32" t="str">
        <f>+UPPER('0. Instruções'!$D$35&amp;"."&amp;VLOOKUP(B312,'0. Instruções'!$C$27:$D$32,2,FALSE))</f>
        <v>CD_LOAN_TAPES_BCE.LT002_INSTRUMENT</v>
      </c>
      <c r="F312" s="32" t="str">
        <f>+UPPER('0. Instruções'!$D$36&amp;"."&amp;VLOOKUP(B312,'0. Instruções'!$C$27:$E$32,3,FALSE))</f>
        <v>BU_LOANTAPE_WORK.LT002_INSTRUMENT</v>
      </c>
      <c r="H312" s="32"/>
      <c r="I312" s="32"/>
      <c r="J312" s="32" t="str">
        <f>IF(VLOOKUP(B312,'0. Instruções'!$C$27:$G$32,5,FALSE)=0,
"(SELECT "&amp;VLOOKUP(B312,'0. Instruções'!$C$27:$G$32,4,FALSE)&amp;" AS CHAVE_IT, "&amp;C312&amp;" AS CAMPO_IT FROM "&amp;E312&amp;" WHERE "&amp;'0. Instruções'!$D$43&amp;")X",
"(SELECT "&amp;VLOOKUP(B312,'0. Instruções'!$C$27:$G$32,4,FALSE)&amp;" AS CHAVE_IT1, "&amp;VLOOKUP(B312,'0. Instruções'!$C$27:$G$32,5,FALSE)&amp;" AS CHAVE_IT2, "&amp;C312&amp;" AS CAMPO_IT FROM "&amp;E312&amp;" WHERE "&amp;'0. Instruções'!$D$43&amp;")X")</f>
        <v>(SELECT instrmnt_id AS CHAVE_IT, balance_sheet_recogn AS CAMPO_IT FROM CD_LOAN_TAPES_BCE.LT002_INSTRUMENT WHERE ref_date='${ref_date}' AND nome_perimetro='Individual Local' AND segmento='ESTR' AND ambito='PM' AND entidade='00100')X</v>
      </c>
      <c r="K312" s="32" t="str">
        <f>IF(VLOOKUP(B312,'0. Instruções'!$C$27:$G$32,5,FALSE)=0,
"(SELECT "&amp;VLOOKUP(B312,'0. Instruções'!$C$27:$G$32,4,FALSE)&amp;" AS CHAVE_SIMUL, "&amp;C312&amp;" AS CAMPO_SIMUL FROM "&amp;F312&amp;" WHERE "&amp;'0. Instruções'!$D$42&amp;")Y",
"(SELECT "&amp;VLOOKUP(B312,'0. Instruções'!$C$27:$G$32,4,FALSE)&amp;" AS CHAVE_SIMUL1, "&amp;VLOOKUP(B312,'0. Instruções'!$C$27:$G$32,5,FALSE)&amp;" AS CHAVE_SIMUL2, "&amp;C312&amp;" AS CAMPO_SIMUL FROM "&amp;F312&amp;" WHERE "&amp;'0. Instruções'!$D$42&amp;")Y")</f>
        <v>(SELECT instrmnt_id AS CHAVE_SIMUL, balance_sheet_recogn AS CAMPO_SIMUL FROM BU_LOANTAPE_WORK.LT002_INSTRUMENT WHERE ref_date='${ref_date}' AND nome_perimetro='Individual Local' AND segmento='ESTR' AND ambito='PM' AND entidade='00100')Y</v>
      </c>
      <c r="L312" s="32" t="str">
        <f>IF(VLOOKUP(B312,'0. Instruções'!$C$27:$G$32,5,FALSE)=0,
"ON X.CHAVE_IT=Y.CHAVE_SIMUL",
"ON X.CHAVE_IT1=Y.CHAVE_SIMUL1 AND X.CHAVE_IT2=Y.CHAVE_SIMUL2")</f>
        <v>ON X.CHAVE_IT=Y.CHAVE_SIMUL</v>
      </c>
      <c r="M312" s="32" t="str">
        <f>+IF(D312="Coerência",+IF(LEFT(H312,5)="FLOAT","SELECT '"&amp;UPPER(B312)&amp;"' AS TABELA, '"&amp;UPPER(D312)&amp;"' AS TIPOLOGIA_TESTE,'"&amp;E312&amp;"' AS TABELA_LT,'"&amp;F312&amp;"' AS TABELA_SIMUL,'"&amp;C312&amp;"'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"&amp;J312&amp;" INNER JOIN "&amp;K312&amp;" "&amp;L312,"SELECT '"&amp;UPPER(B312)&amp;"' AS TABELA, '"&amp;UPPER(D312)&amp;"' AS TIPOLOGIA_TESTE,'"&amp;E312&amp;"' AS TABELA_LT,'"&amp;F312&amp;"' AS TABELA_SIMUL,'"&amp;C312&amp;"'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"&amp;J312&amp;" INNER JOIN "&amp;K312&amp;" "&amp;L312))</f>
        <v>SELECT 'INSTRUMENT' AS TABELA, 'COERÊNCIA' AS TIPOLOGIA_TESTE,'CD_LOAN_TAPES_BCE.LT002_INSTRUMENT' AS TABELA_LT,'BU_LOANTAPE_WORK.LT002_INSTRUMENT' AS TABELA_SIMUL,'balance_sheet_recogn'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balance_sheet_recogn AS CAMPO_IT FROM CD_LOAN_TAPES_BCE.LT002_INSTRUMENT WHERE ref_date='${ref_date}' AND nome_perimetro='Individual Local' AND segmento='ESTR' AND ambito='PM' AND entidade='00100')X INNER JOIN (SELECT instrmnt_id AS CHAVE_SIMUL, balance_sheet_recogn AS CAMPO_SIMUL FROM BU_LOANTAPE_WORK.LT002_INSTRUMENT WHERE ref_date='${ref_date}' AND nome_perimetro='Individual Local' AND segmento='ESTR' AND ambito='PM' AND entidade='00100')Y ON X.CHAVE_IT=Y.CHAVE_SIMUL</v>
      </c>
      <c r="N312" s="33" t="str">
        <f t="shared" si="11"/>
        <v>UNION ALL SELECT 'INSTRUMENT' AS TABELA, 'COERÊNCIA' AS TIPOLOGIA_TESTE,'CD_LOAN_TAPES_BCE.LT002_INSTRUMENT' AS TABELA_LT,'BU_LOANTAPE_WORK.LT002_INSTRUMENT' AS TABELA_SIMUL,'balance_sheet_recogn'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balance_sheet_recogn AS CAMPO_IT FROM CD_LOAN_TAPES_BCE.LT002_INSTRUMENT WHERE ref_date='${ref_date}' AND nome_perimetro='Individual Local' AND segmento='ESTR' AND ambito='PM' AND entidade='00100')X INNER JOIN (SELECT instrmnt_id AS CHAVE_SIMUL, balance_sheet_recogn AS CAMPO_SIMUL FROM BU_LOANTAPE_WORK.LT002_INSTRUMENT WHERE ref_date='${ref_date}' AND nome_perimetro='Individual Local' AND segmento='ESTR' AND ambito='PM' AND entidade='00100')Y ON X.CHAVE_IT=Y.CHAVE_SIMUL</v>
      </c>
      <c r="O312" s="35" t="s">
        <v>35</v>
      </c>
    </row>
    <row r="313" spans="1:15">
      <c r="A313" s="57" t="str">
        <f t="shared" si="10"/>
        <v>Instrumenttype</v>
      </c>
      <c r="B313" s="32" t="s">
        <v>9</v>
      </c>
      <c r="C313" s="32" t="s">
        <v>464</v>
      </c>
      <c r="D313" s="32" t="s">
        <v>5</v>
      </c>
      <c r="E313" s="32" t="str">
        <f>+UPPER('0. Instruções'!$D$35&amp;"."&amp;VLOOKUP(B313,'0. Instruções'!$C$27:$D$32,2,FALSE))</f>
        <v>CD_LOAN_TAPES_BCE.LT002_INSTRUMENT</v>
      </c>
      <c r="F313" s="32" t="str">
        <f>+UPPER('0. Instruções'!$D$36&amp;"."&amp;VLOOKUP(B313,'0. Instruções'!$C$27:$E$32,3,FALSE))</f>
        <v>BU_LOANTAPE_WORK.LT002_INSTRUMENT</v>
      </c>
      <c r="H313" s="32"/>
      <c r="I313" s="32"/>
      <c r="J313" s="32" t="str">
        <f>IF(VLOOKUP(B313,'0. Instruções'!$C$27:$G$32,5,FALSE)=0,
"(SELECT "&amp;VLOOKUP(B313,'0. Instruções'!$C$27:$G$32,4,FALSE)&amp;" AS CHAVE_IT, "&amp;C313&amp;" AS CAMPO_IT FROM "&amp;E313&amp;" WHERE "&amp;'0. Instruções'!$D$43&amp;")X",
"(SELECT "&amp;VLOOKUP(B313,'0. Instruções'!$C$27:$G$32,4,FALSE)&amp;" AS CHAVE_IT1, "&amp;VLOOKUP(B313,'0. Instruções'!$C$27:$G$32,5,FALSE)&amp;" AS CHAVE_IT2, "&amp;C313&amp;" AS CAMPO_IT FROM "&amp;E313&amp;" WHERE "&amp;'0. Instruções'!$D$43&amp;")X")</f>
        <v>(SELECT instrmnt_id AS CHAVE_IT, type AS CAMPO_IT FROM CD_LOAN_TAPES_BCE.LT002_INSTRUMENT WHERE ref_date='${ref_date}' AND nome_perimetro='Individual Local' AND segmento='ESTR' AND ambito='PM' AND entidade='00100')X</v>
      </c>
      <c r="K313" s="32" t="str">
        <f>IF(VLOOKUP(B313,'0. Instruções'!$C$27:$G$32,5,FALSE)=0,
"(SELECT "&amp;VLOOKUP(B313,'0. Instruções'!$C$27:$G$32,4,FALSE)&amp;" AS CHAVE_SIMUL, "&amp;C313&amp;" AS CAMPO_SIMUL FROM "&amp;F313&amp;" WHERE "&amp;'0. Instruções'!$D$42&amp;")Y",
"(SELECT "&amp;VLOOKUP(B313,'0. Instruções'!$C$27:$G$32,4,FALSE)&amp;" AS CHAVE_SIMUL1, "&amp;VLOOKUP(B313,'0. Instruções'!$C$27:$G$32,5,FALSE)&amp;" AS CHAVE_SIMUL2, "&amp;C313&amp;" AS CAMPO_SIMUL FROM "&amp;F313&amp;" WHERE "&amp;'0. Instruções'!$D$42&amp;")Y")</f>
        <v>(SELECT instrmnt_id AS CHAVE_SIMUL, type AS CAMPO_SIMUL FROM BU_LOANTAPE_WORK.LT002_INSTRUMENT WHERE ref_date='${ref_date}' AND nome_perimetro='Individual Local' AND segmento='ESTR' AND ambito='PM' AND entidade='00100')Y</v>
      </c>
      <c r="L313" s="32" t="str">
        <f>IF(VLOOKUP(B313,'0. Instruções'!$C$27:$G$32,5,FALSE)=0,
"ON X.CHAVE_IT=Y.CHAVE_SIMUL",
"ON X.CHAVE_IT1=Y.CHAVE_SIMUL1 AND X.CHAVE_IT2=Y.CHAVE_SIMUL2")</f>
        <v>ON X.CHAVE_IT=Y.CHAVE_SIMUL</v>
      </c>
      <c r="M313" s="32" t="str">
        <f>+IF(D313="Coerência",+IF(LEFT(H313,5)="FLOAT","SELECT '"&amp;UPPER(B313)&amp;"' AS TABELA, '"&amp;UPPER(D313)&amp;"' AS TIPOLOGIA_TESTE,'"&amp;E313&amp;"' AS TABELA_LT,'"&amp;F313&amp;"' AS TABELA_SIMUL,'"&amp;C313&amp;"'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"&amp;J313&amp;" INNER JOIN "&amp;K313&amp;" "&amp;L313,"SELECT '"&amp;UPPER(B313)&amp;"' AS TABELA, '"&amp;UPPER(D313)&amp;"' AS TIPOLOGIA_TESTE,'"&amp;E313&amp;"' AS TABELA_LT,'"&amp;F313&amp;"' AS TABELA_SIMUL,'"&amp;C313&amp;"'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"&amp;J313&amp;" INNER JOIN "&amp;K313&amp;" "&amp;L313))</f>
        <v>SELECT 'INSTRUMENT' AS TABELA, 'COERÊNCIA' AS TIPOLOGIA_TESTE,'CD_LOAN_TAPES_BCE.LT002_INSTRUMENT' AS TABELA_LT,'BU_LOANTAPE_WORK.LT002_INSTRUMENT' AS TABELA_SIMUL,'type'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 AS CAMPO_IT FROM CD_LOAN_TAPES_BCE.LT002_INSTRUMENT WHERE ref_date='${ref_date}' AND nome_perimetro='Individual Local' AND segmento='ESTR' AND ambito='PM' AND entidade='00100')X INNER JOIN (SELECT instrmnt_id AS CHAVE_SIMUL, type AS CAMPO_SIMUL FROM BU_LOANTAPE_WORK.LT002_INSTRUMENT WHERE ref_date='${ref_date}' AND nome_perimetro='Individual Local' AND segmento='ESTR' AND ambito='PM' AND entidade='00100')Y ON X.CHAVE_IT=Y.CHAVE_SIMUL</v>
      </c>
      <c r="N313" s="33" t="str">
        <f t="shared" si="11"/>
        <v>UNION ALL SELECT 'INSTRUMENT' AS TABELA, 'COERÊNCIA' AS TIPOLOGIA_TESTE,'CD_LOAN_TAPES_BCE.LT002_INSTRUMENT' AS TABELA_LT,'BU_LOANTAPE_WORK.LT002_INSTRUMENT' AS TABELA_SIMUL,'type'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type AS CAMPO_IT FROM CD_LOAN_TAPES_BCE.LT002_INSTRUMENT WHERE ref_date='${ref_date}' AND nome_perimetro='Individual Local' AND segmento='ESTR' AND ambito='PM' AND entidade='00100')X INNER JOIN (SELECT instrmnt_id AS CHAVE_SIMUL, type AS CAMPO_SIMUL FROM BU_LOANTAPE_WORK.LT002_INSTRUMENT WHERE ref_date='${ref_date}' AND nome_perimetro='Individual Local' AND segmento='ESTR' AND ambito='PM' AND entidade='00100')Y ON X.CHAVE_IT=Y.CHAVE_SIMUL</v>
      </c>
      <c r="O313" s="35" t="s">
        <v>35</v>
      </c>
    </row>
    <row r="314" spans="1:15">
      <c r="A314" s="57" t="str">
        <f t="shared" si="10"/>
        <v>Instrumentnominal_interest_rate_fee</v>
      </c>
      <c r="B314" s="32" t="s">
        <v>9</v>
      </c>
      <c r="C314" s="32" t="s">
        <v>465</v>
      </c>
      <c r="D314" s="32" t="s">
        <v>5</v>
      </c>
      <c r="E314" s="32" t="str">
        <f>+UPPER('0. Instruções'!$D$35&amp;"."&amp;VLOOKUP(B314,'0. Instruções'!$C$27:$D$32,2,FALSE))</f>
        <v>CD_LOAN_TAPES_BCE.LT002_INSTRUMENT</v>
      </c>
      <c r="F314" s="32" t="str">
        <f>+UPPER('0. Instruções'!$D$36&amp;"."&amp;VLOOKUP(B314,'0. Instruções'!$C$27:$E$32,3,FALSE))</f>
        <v>BU_LOANTAPE_WORK.LT002_INSTRUMENT</v>
      </c>
      <c r="H314" s="32"/>
      <c r="I314" s="32"/>
      <c r="J314" s="32" t="str">
        <f>IF(VLOOKUP(B314,'0. Instruções'!$C$27:$G$32,5,FALSE)=0,
"(SELECT "&amp;VLOOKUP(B314,'0. Instruções'!$C$27:$G$32,4,FALSE)&amp;" AS CHAVE_IT, "&amp;C314&amp;" AS CAMPO_IT FROM "&amp;E314&amp;" WHERE "&amp;'0. Instruções'!$D$43&amp;")X",
"(SELECT "&amp;VLOOKUP(B314,'0. Instruções'!$C$27:$G$32,4,FALSE)&amp;" AS CHAVE_IT1, "&amp;VLOOKUP(B314,'0. Instruções'!$C$27:$G$32,5,FALSE)&amp;" AS CHAVE_IT2, "&amp;C314&amp;" AS CAMPO_IT FROM "&amp;E314&amp;" WHERE "&amp;'0. Instruções'!$D$43&amp;")X")</f>
        <v>(SELECT instrmnt_id AS CHAVE_IT, nominal_interest_rate_fee AS CAMPO_IT FROM CD_LOAN_TAPES_BCE.LT002_INSTRUMENT WHERE ref_date='${ref_date}' AND nome_perimetro='Individual Local' AND segmento='ESTR' AND ambito='PM' AND entidade='00100')X</v>
      </c>
      <c r="K314" s="32" t="str">
        <f>IF(VLOOKUP(B314,'0. Instruções'!$C$27:$G$32,5,FALSE)=0,
"(SELECT "&amp;VLOOKUP(B314,'0. Instruções'!$C$27:$G$32,4,FALSE)&amp;" AS CHAVE_SIMUL, "&amp;C314&amp;" AS CAMPO_SIMUL FROM "&amp;F314&amp;" WHERE "&amp;'0. Instruções'!$D$42&amp;")Y",
"(SELECT "&amp;VLOOKUP(B314,'0. Instruções'!$C$27:$G$32,4,FALSE)&amp;" AS CHAVE_SIMUL1, "&amp;VLOOKUP(B314,'0. Instruções'!$C$27:$G$32,5,FALSE)&amp;" AS CHAVE_SIMUL2, "&amp;C314&amp;" AS CAMPO_SIMUL FROM "&amp;F314&amp;" WHERE "&amp;'0. Instruções'!$D$42&amp;")Y")</f>
        <v>(SELECT instrmnt_id AS CHAVE_SIMUL, nominal_interest_rate_fee AS CAMPO_SIMUL FROM BU_LOANTAPE_WORK.LT002_INSTRUMENT WHERE ref_date='${ref_date}' AND nome_perimetro='Individual Local' AND segmento='ESTR' AND ambito='PM' AND entidade='00100')Y</v>
      </c>
      <c r="L314" s="32" t="str">
        <f>IF(VLOOKUP(B314,'0. Instruções'!$C$27:$G$32,5,FALSE)=0,
"ON X.CHAVE_IT=Y.CHAVE_SIMUL",
"ON X.CHAVE_IT1=Y.CHAVE_SIMUL1 AND X.CHAVE_IT2=Y.CHAVE_SIMUL2")</f>
        <v>ON X.CHAVE_IT=Y.CHAVE_SIMUL</v>
      </c>
      <c r="M314" s="32" t="str">
        <f>+IF(D314="Coerência",+IF(LEFT(H314,5)="FLOAT","SELECT '"&amp;UPPER(B314)&amp;"' AS TABELA, '"&amp;UPPER(D314)&amp;"' AS TIPOLOGIA_TESTE,'"&amp;E314&amp;"' AS TABELA_LT,'"&amp;F314&amp;"' AS TABELA_SIMUL,'"&amp;C314&amp;"'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"&amp;J314&amp;" INNER JOIN "&amp;K314&amp;" "&amp;L314,"SELECT '"&amp;UPPER(B314)&amp;"' AS TABELA, '"&amp;UPPER(D314)&amp;"' AS TIPOLOGIA_TESTE,'"&amp;E314&amp;"' AS TABELA_LT,'"&amp;F314&amp;"' AS TABELA_SIMUL,'"&amp;C314&amp;"'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"&amp;J314&amp;" INNER JOIN "&amp;K314&amp;" "&amp;L314))</f>
        <v>SELECT 'INSTRUMENT' AS TABELA, 'COERÊNCIA' AS TIPOLOGIA_TESTE,'CD_LOAN_TAPES_BCE.LT002_INSTRUMENT' AS TABELA_LT,'BU_LOANTAPE_WORK.LT002_INSTRUMENT' AS TABELA_SIMUL,'nominal_interest_rate_fee'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nominal_interest_rate_fee AS CAMPO_IT FROM CD_LOAN_TAPES_BCE.LT002_INSTRUMENT WHERE ref_date='${ref_date}' AND nome_perimetro='Individual Local' AND segmento='ESTR' AND ambito='PM' AND entidade='00100')X INNER JOIN (SELECT instrmnt_id AS CHAVE_SIMUL, nominal_interest_rate_fee AS CAMPO_SIMUL FROM BU_LOANTAPE_WORK.LT002_INSTRUMENT WHERE ref_date='${ref_date}' AND nome_perimetro='Individual Local' AND segmento='ESTR' AND ambito='PM' AND entidade='00100')Y ON X.CHAVE_IT=Y.CHAVE_SIMUL</v>
      </c>
      <c r="N314" s="33" t="str">
        <f t="shared" si="11"/>
        <v>UNION ALL SELECT 'INSTRUMENT' AS TABELA, 'COERÊNCIA' AS TIPOLOGIA_TESTE,'CD_LOAN_TAPES_BCE.LT002_INSTRUMENT' AS TABELA_LT,'BU_LOANTAPE_WORK.LT002_INSTRUMENT' AS TABELA_SIMUL,'nominal_interest_rate_fee'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nominal_interest_rate_fee AS CAMPO_IT FROM CD_LOAN_TAPES_BCE.LT002_INSTRUMENT WHERE ref_date='${ref_date}' AND nome_perimetro='Individual Local' AND segmento='ESTR' AND ambito='PM' AND entidade='00100')X INNER JOIN (SELECT instrmnt_id AS CHAVE_SIMUL, nominal_interest_rate_fee AS CAMPO_SIMUL FROM BU_LOANTAPE_WORK.LT002_INSTRUMENT WHERE ref_date='${ref_date}' AND nome_perimetro='Individual Local' AND segmento='ESTR' AND ambito='PM' AND entidade='00100')Y ON X.CHAVE_IT=Y.CHAVE_SIMUL</v>
      </c>
      <c r="O314" s="35" t="s">
        <v>35</v>
      </c>
    </row>
    <row r="315" spans="1:15">
      <c r="A315" s="57" t="str">
        <f t="shared" si="10"/>
        <v>Instrumentunique_trade_id</v>
      </c>
      <c r="B315" s="32" t="s">
        <v>9</v>
      </c>
      <c r="C315" s="32" t="s">
        <v>466</v>
      </c>
      <c r="D315" s="32" t="s">
        <v>5</v>
      </c>
      <c r="E315" s="32" t="str">
        <f>+UPPER('0. Instruções'!$D$35&amp;"."&amp;VLOOKUP(B315,'0. Instruções'!$C$27:$D$32,2,FALSE))</f>
        <v>CD_LOAN_TAPES_BCE.LT002_INSTRUMENT</v>
      </c>
      <c r="F315" s="32" t="str">
        <f>+UPPER('0. Instruções'!$D$36&amp;"."&amp;VLOOKUP(B315,'0. Instruções'!$C$27:$E$32,3,FALSE))</f>
        <v>BU_LOANTAPE_WORK.LT002_INSTRUMENT</v>
      </c>
      <c r="H315" s="32"/>
      <c r="I315" s="32"/>
      <c r="J315" s="32" t="str">
        <f>IF(VLOOKUP(B315,'0. Instruções'!$C$27:$G$32,5,FALSE)=0,
"(SELECT "&amp;VLOOKUP(B315,'0. Instruções'!$C$27:$G$32,4,FALSE)&amp;" AS CHAVE_IT, "&amp;C315&amp;" AS CAMPO_IT FROM "&amp;E315&amp;" WHERE "&amp;'0. Instruções'!$D$43&amp;")X",
"(SELECT "&amp;VLOOKUP(B315,'0. Instruções'!$C$27:$G$32,4,FALSE)&amp;" AS CHAVE_IT1, "&amp;VLOOKUP(B315,'0. Instruções'!$C$27:$G$32,5,FALSE)&amp;" AS CHAVE_IT2, "&amp;C315&amp;" AS CAMPO_IT FROM "&amp;E315&amp;" WHERE "&amp;'0. Instruções'!$D$43&amp;")X")</f>
        <v>(SELECT instrmnt_id AS CHAVE_IT, unique_trade_id AS CAMPO_IT FROM CD_LOAN_TAPES_BCE.LT002_INSTRUMENT WHERE ref_date='${ref_date}' AND nome_perimetro='Individual Local' AND segmento='ESTR' AND ambito='PM' AND entidade='00100')X</v>
      </c>
      <c r="K315" s="32" t="str">
        <f>IF(VLOOKUP(B315,'0. Instruções'!$C$27:$G$32,5,FALSE)=0,
"(SELECT "&amp;VLOOKUP(B315,'0. Instruções'!$C$27:$G$32,4,FALSE)&amp;" AS CHAVE_SIMUL, "&amp;C315&amp;" AS CAMPO_SIMUL FROM "&amp;F315&amp;" WHERE "&amp;'0. Instruções'!$D$42&amp;")Y",
"(SELECT "&amp;VLOOKUP(B315,'0. Instruções'!$C$27:$G$32,4,FALSE)&amp;" AS CHAVE_SIMUL1, "&amp;VLOOKUP(B315,'0. Instruções'!$C$27:$G$32,5,FALSE)&amp;" AS CHAVE_SIMUL2, "&amp;C315&amp;" AS CAMPO_SIMUL FROM "&amp;F315&amp;" WHERE "&amp;'0. Instruções'!$D$42&amp;")Y")</f>
        <v>(SELECT instrmnt_id AS CHAVE_SIMUL, unique_trade_id AS CAMPO_SIMUL FROM BU_LOANTAPE_WORK.LT002_INSTRUMENT WHERE ref_date='${ref_date}' AND nome_perimetro='Individual Local' AND segmento='ESTR' AND ambito='PM' AND entidade='00100')Y</v>
      </c>
      <c r="L315" s="32" t="str">
        <f>IF(VLOOKUP(B315,'0. Instruções'!$C$27:$G$32,5,FALSE)=0,
"ON X.CHAVE_IT=Y.CHAVE_SIMUL",
"ON X.CHAVE_IT1=Y.CHAVE_SIMUL1 AND X.CHAVE_IT2=Y.CHAVE_SIMUL2")</f>
        <v>ON X.CHAVE_IT=Y.CHAVE_SIMUL</v>
      </c>
      <c r="M315" s="32" t="str">
        <f>+IF(D315="Coerência",+IF(LEFT(H315,5)="FLOAT","SELECT '"&amp;UPPER(B315)&amp;"' AS TABELA, '"&amp;UPPER(D315)&amp;"' AS TIPOLOGIA_TESTE,'"&amp;E315&amp;"' AS TABELA_LT,'"&amp;F315&amp;"' AS TABELA_SIMUL,'"&amp;C315&amp;"'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"&amp;J315&amp;" INNER JOIN "&amp;K315&amp;" "&amp;L315,"SELECT '"&amp;UPPER(B315)&amp;"' AS TABELA, '"&amp;UPPER(D315)&amp;"' AS TIPOLOGIA_TESTE,'"&amp;E315&amp;"' AS TABELA_LT,'"&amp;F315&amp;"' AS TABELA_SIMUL,'"&amp;C315&amp;"'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"&amp;J315&amp;" INNER JOIN "&amp;K315&amp;" "&amp;L315))</f>
        <v>SELECT 'INSTRUMENT' AS TABELA, 'COERÊNCIA' AS TIPOLOGIA_TESTE,'CD_LOAN_TAPES_BCE.LT002_INSTRUMENT' AS TABELA_LT,'BU_LOANTAPE_WORK.LT002_INSTRUMENT' AS TABELA_SIMUL,'unique_trade_id'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unique_trade_id AS CAMPO_IT FROM CD_LOAN_TAPES_BCE.LT002_INSTRUMENT WHERE ref_date='${ref_date}' AND nome_perimetro='Individual Local' AND segmento='ESTR' AND ambito='PM' AND entidade='00100')X INNER JOIN (SELECT instrmnt_id AS CHAVE_SIMUL, unique_trade_id AS CAMPO_SIMUL FROM BU_LOANTAPE_WORK.LT002_INSTRUMENT WHERE ref_date='${ref_date}' AND nome_perimetro='Individual Local' AND segmento='ESTR' AND ambito='PM' AND entidade='00100')Y ON X.CHAVE_IT=Y.CHAVE_SIMUL</v>
      </c>
      <c r="N315" s="33" t="str">
        <f t="shared" si="11"/>
        <v>UNION ALL SELECT 'INSTRUMENT' AS TABELA, 'COERÊNCIA' AS TIPOLOGIA_TESTE,'CD_LOAN_TAPES_BCE.LT002_INSTRUMENT' AS TABELA_LT,'BU_LOANTAPE_WORK.LT002_INSTRUMENT' AS TABELA_SIMUL,'unique_trade_id'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unique_trade_id AS CAMPO_IT FROM CD_LOAN_TAPES_BCE.LT002_INSTRUMENT WHERE ref_date='${ref_date}' AND nome_perimetro='Individual Local' AND segmento='ESTR' AND ambito='PM' AND entidade='00100')X INNER JOIN (SELECT instrmnt_id AS CHAVE_SIMUL, unique_trade_id AS CAMPO_SIMUL FROM BU_LOANTAPE_WORK.LT002_INSTRUMENT WHERE ref_date='${ref_date}' AND nome_perimetro='Individual Local' AND segmento='ESTR' AND ambito='PM' AND entidade='00100')Y ON X.CHAVE_IT=Y.CHAVE_SIMUL</v>
      </c>
      <c r="O315" s="35" t="s">
        <v>35</v>
      </c>
    </row>
    <row r="316" spans="1:15">
      <c r="A316" s="57" t="str">
        <f t="shared" si="10"/>
        <v>Instrumentbase_product</v>
      </c>
      <c r="B316" s="32" t="s">
        <v>9</v>
      </c>
      <c r="C316" s="32" t="s">
        <v>467</v>
      </c>
      <c r="D316" s="32" t="s">
        <v>5</v>
      </c>
      <c r="E316" s="32" t="str">
        <f>+UPPER('0. Instruções'!$D$35&amp;"."&amp;VLOOKUP(B316,'0. Instruções'!$C$27:$D$32,2,FALSE))</f>
        <v>CD_LOAN_TAPES_BCE.LT002_INSTRUMENT</v>
      </c>
      <c r="F316" s="32" t="str">
        <f>+UPPER('0. Instruções'!$D$36&amp;"."&amp;VLOOKUP(B316,'0. Instruções'!$C$27:$E$32,3,FALSE))</f>
        <v>BU_LOANTAPE_WORK.LT002_INSTRUMENT</v>
      </c>
      <c r="H316" s="32"/>
      <c r="I316" s="32"/>
      <c r="J316" s="32" t="str">
        <f>IF(VLOOKUP(B316,'0. Instruções'!$C$27:$G$32,5,FALSE)=0,
"(SELECT "&amp;VLOOKUP(B316,'0. Instruções'!$C$27:$G$32,4,FALSE)&amp;" AS CHAVE_IT, "&amp;C316&amp;" AS CAMPO_IT FROM "&amp;E316&amp;" WHERE "&amp;'0. Instruções'!$D$43&amp;")X",
"(SELECT "&amp;VLOOKUP(B316,'0. Instruções'!$C$27:$G$32,4,FALSE)&amp;" AS CHAVE_IT1, "&amp;VLOOKUP(B316,'0. Instruções'!$C$27:$G$32,5,FALSE)&amp;" AS CHAVE_IT2, "&amp;C316&amp;" AS CAMPO_IT FROM "&amp;E316&amp;" WHERE "&amp;'0. Instruções'!$D$43&amp;")X")</f>
        <v>(SELECT instrmnt_id AS CHAVE_IT, base_product AS CAMPO_IT FROM CD_LOAN_TAPES_BCE.LT002_INSTRUMENT WHERE ref_date='${ref_date}' AND nome_perimetro='Individual Local' AND segmento='ESTR' AND ambito='PM' AND entidade='00100')X</v>
      </c>
      <c r="K316" s="32" t="str">
        <f>IF(VLOOKUP(B316,'0. Instruções'!$C$27:$G$32,5,FALSE)=0,
"(SELECT "&amp;VLOOKUP(B316,'0. Instruções'!$C$27:$G$32,4,FALSE)&amp;" AS CHAVE_SIMUL, "&amp;C316&amp;" AS CAMPO_SIMUL FROM "&amp;F316&amp;" WHERE "&amp;'0. Instruções'!$D$42&amp;")Y",
"(SELECT "&amp;VLOOKUP(B316,'0. Instruções'!$C$27:$G$32,4,FALSE)&amp;" AS CHAVE_SIMUL1, "&amp;VLOOKUP(B316,'0. Instruções'!$C$27:$G$32,5,FALSE)&amp;" AS CHAVE_SIMUL2, "&amp;C316&amp;" AS CAMPO_SIMUL FROM "&amp;F316&amp;" WHERE "&amp;'0. Instruções'!$D$42&amp;")Y")</f>
        <v>(SELECT instrmnt_id AS CHAVE_SIMUL, base_product AS CAMPO_SIMUL FROM BU_LOANTAPE_WORK.LT002_INSTRUMENT WHERE ref_date='${ref_date}' AND nome_perimetro='Individual Local' AND segmento='ESTR' AND ambito='PM' AND entidade='00100')Y</v>
      </c>
      <c r="L316" s="32" t="str">
        <f>IF(VLOOKUP(B316,'0. Instruções'!$C$27:$G$32,5,FALSE)=0,
"ON X.CHAVE_IT=Y.CHAVE_SIMUL",
"ON X.CHAVE_IT1=Y.CHAVE_SIMUL1 AND X.CHAVE_IT2=Y.CHAVE_SIMUL2")</f>
        <v>ON X.CHAVE_IT=Y.CHAVE_SIMUL</v>
      </c>
      <c r="M316" s="32" t="str">
        <f>+IF(D316="Coerência",+IF(LEFT(H316,5)="FLOAT","SELECT '"&amp;UPPER(B316)&amp;"' AS TABELA, '"&amp;UPPER(D316)&amp;"' AS TIPOLOGIA_TESTE,'"&amp;E316&amp;"' AS TABELA_LT,'"&amp;F316&amp;"' AS TABELA_SIMUL,'"&amp;C316&amp;"'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"&amp;J316&amp;" INNER JOIN "&amp;K316&amp;" "&amp;L316,"SELECT '"&amp;UPPER(B316)&amp;"' AS TABELA, '"&amp;UPPER(D316)&amp;"' AS TIPOLOGIA_TESTE,'"&amp;E316&amp;"' AS TABELA_LT,'"&amp;F316&amp;"' AS TABELA_SIMUL,'"&amp;C316&amp;"'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"&amp;J316&amp;" INNER JOIN "&amp;K316&amp;" "&amp;L316))</f>
        <v>SELECT 'INSTRUMENT' AS TABELA, 'COERÊNCIA' AS TIPOLOGIA_TESTE,'CD_LOAN_TAPES_BCE.LT002_INSTRUMENT' AS TABELA_LT,'BU_LOANTAPE_WORK.LT002_INSTRUMENT' AS TABELA_SIMUL,'base_product'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base_product AS CAMPO_IT FROM CD_LOAN_TAPES_BCE.LT002_INSTRUMENT WHERE ref_date='${ref_date}' AND nome_perimetro='Individual Local' AND segmento='ESTR' AND ambito='PM' AND entidade='00100')X INNER JOIN (SELECT instrmnt_id AS CHAVE_SIMUL, base_product AS CAMPO_SIMUL FROM BU_LOANTAPE_WORK.LT002_INSTRUMENT WHERE ref_date='${ref_date}' AND nome_perimetro='Individual Local' AND segmento='ESTR' AND ambito='PM' AND entidade='00100')Y ON X.CHAVE_IT=Y.CHAVE_SIMUL</v>
      </c>
      <c r="N316" s="33" t="str">
        <f t="shared" si="11"/>
        <v>UNION ALL SELECT 'INSTRUMENT' AS TABELA, 'COERÊNCIA' AS TIPOLOGIA_TESTE,'CD_LOAN_TAPES_BCE.LT002_INSTRUMENT' AS TABELA_LT,'BU_LOANTAPE_WORK.LT002_INSTRUMENT' AS TABELA_SIMUL,'base_product'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base_product AS CAMPO_IT FROM CD_LOAN_TAPES_BCE.LT002_INSTRUMENT WHERE ref_date='${ref_date}' AND nome_perimetro='Individual Local' AND segmento='ESTR' AND ambito='PM' AND entidade='00100')X INNER JOIN (SELECT instrmnt_id AS CHAVE_SIMUL, base_product AS CAMPO_SIMUL FROM BU_LOANTAPE_WORK.LT002_INSTRUMENT WHERE ref_date='${ref_date}' AND nome_perimetro='Individual Local' AND segmento='ESTR' AND ambito='PM' AND entidade='00100')Y ON X.CHAVE_IT=Y.CHAVE_SIMUL</v>
      </c>
      <c r="O316" s="35" t="s">
        <v>35</v>
      </c>
    </row>
    <row r="317" spans="1:15">
      <c r="A317" s="57" t="str">
        <f t="shared" si="10"/>
        <v>Instrumentgoverning_law</v>
      </c>
      <c r="B317" s="32" t="s">
        <v>9</v>
      </c>
      <c r="C317" s="32" t="s">
        <v>468</v>
      </c>
      <c r="D317" s="32" t="s">
        <v>5</v>
      </c>
      <c r="E317" s="32" t="str">
        <f>+UPPER('0. Instruções'!$D$35&amp;"."&amp;VLOOKUP(B317,'0. Instruções'!$C$27:$D$32,2,FALSE))</f>
        <v>CD_LOAN_TAPES_BCE.LT002_INSTRUMENT</v>
      </c>
      <c r="F317" s="32" t="str">
        <f>+UPPER('0. Instruções'!$D$36&amp;"."&amp;VLOOKUP(B317,'0. Instruções'!$C$27:$E$32,3,FALSE))</f>
        <v>BU_LOANTAPE_WORK.LT002_INSTRUMENT</v>
      </c>
      <c r="H317" s="32"/>
      <c r="I317" s="32"/>
      <c r="J317" s="32" t="str">
        <f>IF(VLOOKUP(B317,'0. Instruções'!$C$27:$G$32,5,FALSE)=0,
"(SELECT "&amp;VLOOKUP(B317,'0. Instruções'!$C$27:$G$32,4,FALSE)&amp;" AS CHAVE_IT, "&amp;C317&amp;" AS CAMPO_IT FROM "&amp;E317&amp;" WHERE "&amp;'0. Instruções'!$D$43&amp;")X",
"(SELECT "&amp;VLOOKUP(B317,'0. Instruções'!$C$27:$G$32,4,FALSE)&amp;" AS CHAVE_IT1, "&amp;VLOOKUP(B317,'0. Instruções'!$C$27:$G$32,5,FALSE)&amp;" AS CHAVE_IT2, "&amp;C317&amp;" AS CAMPO_IT FROM "&amp;E317&amp;" WHERE "&amp;'0. Instruções'!$D$43&amp;")X")</f>
        <v>(SELECT instrmnt_id AS CHAVE_IT, governing_law AS CAMPO_IT FROM CD_LOAN_TAPES_BCE.LT002_INSTRUMENT WHERE ref_date='${ref_date}' AND nome_perimetro='Individual Local' AND segmento='ESTR' AND ambito='PM' AND entidade='00100')X</v>
      </c>
      <c r="K317" s="32" t="str">
        <f>IF(VLOOKUP(B317,'0. Instruções'!$C$27:$G$32,5,FALSE)=0,
"(SELECT "&amp;VLOOKUP(B317,'0. Instruções'!$C$27:$G$32,4,FALSE)&amp;" AS CHAVE_SIMUL, "&amp;C317&amp;" AS CAMPO_SIMUL FROM "&amp;F317&amp;" WHERE "&amp;'0. Instruções'!$D$42&amp;")Y",
"(SELECT "&amp;VLOOKUP(B317,'0. Instruções'!$C$27:$G$32,4,FALSE)&amp;" AS CHAVE_SIMUL1, "&amp;VLOOKUP(B317,'0. Instruções'!$C$27:$G$32,5,FALSE)&amp;" AS CHAVE_SIMUL2, "&amp;C317&amp;" AS CAMPO_SIMUL FROM "&amp;F317&amp;" WHERE "&amp;'0. Instruções'!$D$42&amp;")Y")</f>
        <v>(SELECT instrmnt_id AS CHAVE_SIMUL, governing_law AS CAMPO_SIMUL FROM BU_LOANTAPE_WORK.LT002_INSTRUMENT WHERE ref_date='${ref_date}' AND nome_perimetro='Individual Local' AND segmento='ESTR' AND ambito='PM' AND entidade='00100')Y</v>
      </c>
      <c r="L317" s="32" t="str">
        <f>IF(VLOOKUP(B317,'0. Instruções'!$C$27:$G$32,5,FALSE)=0,
"ON X.CHAVE_IT=Y.CHAVE_SIMUL",
"ON X.CHAVE_IT1=Y.CHAVE_SIMUL1 AND X.CHAVE_IT2=Y.CHAVE_SIMUL2")</f>
        <v>ON X.CHAVE_IT=Y.CHAVE_SIMUL</v>
      </c>
      <c r="M317" s="32" t="str">
        <f>+IF(D317="Coerência",+IF(LEFT(H317,5)="FLOAT","SELECT '"&amp;UPPER(B317)&amp;"' AS TABELA, '"&amp;UPPER(D317)&amp;"' AS TIPOLOGIA_TESTE,'"&amp;E317&amp;"' AS TABELA_LT,'"&amp;F317&amp;"' AS TABELA_SIMUL,'"&amp;C317&amp;"'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"&amp;J317&amp;" INNER JOIN "&amp;K317&amp;" "&amp;L317,"SELECT '"&amp;UPPER(B317)&amp;"' AS TABELA, '"&amp;UPPER(D317)&amp;"' AS TIPOLOGIA_TESTE,'"&amp;E317&amp;"' AS TABELA_LT,'"&amp;F317&amp;"' AS TABELA_SIMUL,'"&amp;C317&amp;"'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"&amp;J317&amp;" INNER JOIN "&amp;K317&amp;" "&amp;L317))</f>
        <v>SELECT 'INSTRUMENT' AS TABELA, 'COERÊNCIA' AS TIPOLOGIA_TESTE,'CD_LOAN_TAPES_BCE.LT002_INSTRUMENT' AS TABELA_LT,'BU_LOANTAPE_WORK.LT002_INSTRUMENT' AS TABELA_SIMUL,'governing_law'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governing_law AS CAMPO_IT FROM CD_LOAN_TAPES_BCE.LT002_INSTRUMENT WHERE ref_date='${ref_date}' AND nome_perimetro='Individual Local' AND segmento='ESTR' AND ambito='PM' AND entidade='00100')X INNER JOIN (SELECT instrmnt_id AS CHAVE_SIMUL, governing_law AS CAMPO_SIMUL FROM BU_LOANTAPE_WORK.LT002_INSTRUMENT WHERE ref_date='${ref_date}' AND nome_perimetro='Individual Local' AND segmento='ESTR' AND ambito='PM' AND entidade='00100')Y ON X.CHAVE_IT=Y.CHAVE_SIMUL</v>
      </c>
      <c r="N317" s="33" t="str">
        <f t="shared" si="11"/>
        <v>UNION ALL SELECT 'INSTRUMENT' AS TABELA, 'COERÊNCIA' AS TIPOLOGIA_TESTE,'CD_LOAN_TAPES_BCE.LT002_INSTRUMENT' AS TABELA_LT,'BU_LOANTAPE_WORK.LT002_INSTRUMENT' AS TABELA_SIMUL,'governing_law'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governing_law AS CAMPO_IT FROM CD_LOAN_TAPES_BCE.LT002_INSTRUMENT WHERE ref_date='${ref_date}' AND nome_perimetro='Individual Local' AND segmento='ESTR' AND ambito='PM' AND entidade='00100')X INNER JOIN (SELECT instrmnt_id AS CHAVE_SIMUL, governing_law AS CAMPO_SIMUL FROM BU_LOANTAPE_WORK.LT002_INSTRUMENT WHERE ref_date='${ref_date}' AND nome_perimetro='Individual Local' AND segmento='ESTR' AND ambito='PM' AND entidade='00100')Y ON X.CHAVE_IT=Y.CHAVE_SIMUL</v>
      </c>
      <c r="O317" s="35" t="s">
        <v>35</v>
      </c>
    </row>
    <row r="318" spans="1:15">
      <c r="A318" s="57" t="str">
        <f t="shared" si="10"/>
        <v>Instrumentcontract_recogn_write_down</v>
      </c>
      <c r="B318" s="32" t="s">
        <v>9</v>
      </c>
      <c r="C318" s="32" t="s">
        <v>469</v>
      </c>
      <c r="D318" s="32" t="s">
        <v>5</v>
      </c>
      <c r="E318" s="32" t="str">
        <f>+UPPER('0. Instruções'!$D$35&amp;"."&amp;VLOOKUP(B318,'0. Instruções'!$C$27:$D$32,2,FALSE))</f>
        <v>CD_LOAN_TAPES_BCE.LT002_INSTRUMENT</v>
      </c>
      <c r="F318" s="32" t="str">
        <f>+UPPER('0. Instruções'!$D$36&amp;"."&amp;VLOOKUP(B318,'0. Instruções'!$C$27:$E$32,3,FALSE))</f>
        <v>BU_LOANTAPE_WORK.LT002_INSTRUMENT</v>
      </c>
      <c r="H318" s="32"/>
      <c r="I318" s="32"/>
      <c r="J318" s="32" t="str">
        <f>IF(VLOOKUP(B318,'0. Instruções'!$C$27:$G$32,5,FALSE)=0,
"(SELECT "&amp;VLOOKUP(B318,'0. Instruções'!$C$27:$G$32,4,FALSE)&amp;" AS CHAVE_IT, "&amp;C318&amp;" AS CAMPO_IT FROM "&amp;E318&amp;" WHERE "&amp;'0. Instruções'!$D$43&amp;")X",
"(SELECT "&amp;VLOOKUP(B318,'0. Instruções'!$C$27:$G$32,4,FALSE)&amp;" AS CHAVE_IT1, "&amp;VLOOKUP(B318,'0. Instruções'!$C$27:$G$32,5,FALSE)&amp;" AS CHAVE_IT2, "&amp;C318&amp;" AS CAMPO_IT FROM "&amp;E318&amp;" WHERE "&amp;'0. Instruções'!$D$43&amp;")X")</f>
        <v>(SELECT instrmnt_id AS CHAVE_IT, contract_recogn_write_down AS CAMPO_IT FROM CD_LOAN_TAPES_BCE.LT002_INSTRUMENT WHERE ref_date='${ref_date}' AND nome_perimetro='Individual Local' AND segmento='ESTR' AND ambito='PM' AND entidade='00100')X</v>
      </c>
      <c r="K318" s="32" t="str">
        <f>IF(VLOOKUP(B318,'0. Instruções'!$C$27:$G$32,5,FALSE)=0,
"(SELECT "&amp;VLOOKUP(B318,'0. Instruções'!$C$27:$G$32,4,FALSE)&amp;" AS CHAVE_SIMUL, "&amp;C318&amp;" AS CAMPO_SIMUL FROM "&amp;F318&amp;" WHERE "&amp;'0. Instruções'!$D$42&amp;")Y",
"(SELECT "&amp;VLOOKUP(B318,'0. Instruções'!$C$27:$G$32,4,FALSE)&amp;" AS CHAVE_SIMUL1, "&amp;VLOOKUP(B318,'0. Instruções'!$C$27:$G$32,5,FALSE)&amp;" AS CHAVE_SIMUL2, "&amp;C318&amp;" AS CAMPO_SIMUL FROM "&amp;F318&amp;" WHERE "&amp;'0. Instruções'!$D$42&amp;")Y")</f>
        <v>(SELECT instrmnt_id AS CHAVE_SIMUL, contract_recogn_write_down AS CAMPO_SIMUL FROM BU_LOANTAPE_WORK.LT002_INSTRUMENT WHERE ref_date='${ref_date}' AND nome_perimetro='Individual Local' AND segmento='ESTR' AND ambito='PM' AND entidade='00100')Y</v>
      </c>
      <c r="L318" s="32" t="str">
        <f>IF(VLOOKUP(B318,'0. Instruções'!$C$27:$G$32,5,FALSE)=0,
"ON X.CHAVE_IT=Y.CHAVE_SIMUL",
"ON X.CHAVE_IT1=Y.CHAVE_SIMUL1 AND X.CHAVE_IT2=Y.CHAVE_SIMUL2")</f>
        <v>ON X.CHAVE_IT=Y.CHAVE_SIMUL</v>
      </c>
      <c r="M318" s="32" t="str">
        <f>+IF(D318="Coerência",+IF(LEFT(H318,5)="FLOAT","SELECT '"&amp;UPPER(B318)&amp;"' AS TABELA, '"&amp;UPPER(D318)&amp;"' AS TIPOLOGIA_TESTE,'"&amp;E318&amp;"' AS TABELA_LT,'"&amp;F318&amp;"' AS TABELA_SIMUL,'"&amp;C318&amp;"'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"&amp;J318&amp;" INNER JOIN "&amp;K318&amp;" "&amp;L318,"SELECT '"&amp;UPPER(B318)&amp;"' AS TABELA, '"&amp;UPPER(D318)&amp;"' AS TIPOLOGIA_TESTE,'"&amp;E318&amp;"' AS TABELA_LT,'"&amp;F318&amp;"' AS TABELA_SIMUL,'"&amp;C318&amp;"'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"&amp;J318&amp;" INNER JOIN "&amp;K318&amp;" "&amp;L318))</f>
        <v>SELECT 'INSTRUMENT' AS TABELA, 'COERÊNCIA' AS TIPOLOGIA_TESTE,'CD_LOAN_TAPES_BCE.LT002_INSTRUMENT' AS TABELA_LT,'BU_LOANTAPE_WORK.LT002_INSTRUMENT' AS TABELA_SIMUL,'contract_recogn_write_down'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contract_recogn_write_down AS CAMPO_IT FROM CD_LOAN_TAPES_BCE.LT002_INSTRUMENT WHERE ref_date='${ref_date}' AND nome_perimetro='Individual Local' AND segmento='ESTR' AND ambito='PM' AND entidade='00100')X INNER JOIN (SELECT instrmnt_id AS CHAVE_SIMUL, contract_recogn_write_down AS CAMPO_SIMUL FROM BU_LOANTAPE_WORK.LT002_INSTRUMENT WHERE ref_date='${ref_date}' AND nome_perimetro='Individual Local' AND segmento='ESTR' AND ambito='PM' AND entidade='00100')Y ON X.CHAVE_IT=Y.CHAVE_SIMUL</v>
      </c>
      <c r="N318" s="33" t="str">
        <f t="shared" si="11"/>
        <v>UNION ALL SELECT 'INSTRUMENT' AS TABELA, 'COERÊNCIA' AS TIPOLOGIA_TESTE,'CD_LOAN_TAPES_BCE.LT002_INSTRUMENT' AS TABELA_LT,'BU_LOANTAPE_WORK.LT002_INSTRUMENT' AS TABELA_SIMUL,'contract_recogn_write_down'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contract_recogn_write_down AS CAMPO_IT FROM CD_LOAN_TAPES_BCE.LT002_INSTRUMENT WHERE ref_date='${ref_date}' AND nome_perimetro='Individual Local' AND segmento='ESTR' AND ambito='PM' AND entidade='00100')X INNER JOIN (SELECT instrmnt_id AS CHAVE_SIMUL, contract_recogn_write_down AS CAMPO_SIMUL FROM BU_LOANTAPE_WORK.LT002_INSTRUMENT WHERE ref_date='${ref_date}' AND nome_perimetro='Individual Local' AND segmento='ESTR' AND ambito='PM' AND entidade='00100')Y ON X.CHAVE_IT=Y.CHAVE_SIMUL</v>
      </c>
      <c r="O318" s="35" t="s">
        <v>35</v>
      </c>
    </row>
    <row r="319" spans="1:15">
      <c r="A319" s="57" t="str">
        <f t="shared" si="10"/>
        <v>Instrumentcontract_recogn_suspension</v>
      </c>
      <c r="B319" s="32" t="s">
        <v>9</v>
      </c>
      <c r="C319" s="32" t="s">
        <v>470</v>
      </c>
      <c r="D319" s="32" t="s">
        <v>5</v>
      </c>
      <c r="E319" s="32" t="str">
        <f>+UPPER('0. Instruções'!$D$35&amp;"."&amp;VLOOKUP(B319,'0. Instruções'!$C$27:$D$32,2,FALSE))</f>
        <v>CD_LOAN_TAPES_BCE.LT002_INSTRUMENT</v>
      </c>
      <c r="F319" s="32" t="str">
        <f>+UPPER('0. Instruções'!$D$36&amp;"."&amp;VLOOKUP(B319,'0. Instruções'!$C$27:$E$32,3,FALSE))</f>
        <v>BU_LOANTAPE_WORK.LT002_INSTRUMENT</v>
      </c>
      <c r="H319" s="32"/>
      <c r="I319" s="32"/>
      <c r="J319" s="32" t="str">
        <f>IF(VLOOKUP(B319,'0. Instruções'!$C$27:$G$32,5,FALSE)=0,
"(SELECT "&amp;VLOOKUP(B319,'0. Instruções'!$C$27:$G$32,4,FALSE)&amp;" AS CHAVE_IT, "&amp;C319&amp;" AS CAMPO_IT FROM "&amp;E319&amp;" WHERE "&amp;'0. Instruções'!$D$43&amp;")X",
"(SELECT "&amp;VLOOKUP(B319,'0. Instruções'!$C$27:$G$32,4,FALSE)&amp;" AS CHAVE_IT1, "&amp;VLOOKUP(B319,'0. Instruções'!$C$27:$G$32,5,FALSE)&amp;" AS CHAVE_IT2, "&amp;C319&amp;" AS CAMPO_IT FROM "&amp;E319&amp;" WHERE "&amp;'0. Instruções'!$D$43&amp;")X")</f>
        <v>(SELECT instrmnt_id AS CHAVE_IT, contract_recogn_suspension AS CAMPO_IT FROM CD_LOAN_TAPES_BCE.LT002_INSTRUMENT WHERE ref_date='${ref_date}' AND nome_perimetro='Individual Local' AND segmento='ESTR' AND ambito='PM' AND entidade='00100')X</v>
      </c>
      <c r="K319" s="32" t="str">
        <f>IF(VLOOKUP(B319,'0. Instruções'!$C$27:$G$32,5,FALSE)=0,
"(SELECT "&amp;VLOOKUP(B319,'0. Instruções'!$C$27:$G$32,4,FALSE)&amp;" AS CHAVE_SIMUL, "&amp;C319&amp;" AS CAMPO_SIMUL FROM "&amp;F319&amp;" WHERE "&amp;'0. Instruções'!$D$42&amp;")Y",
"(SELECT "&amp;VLOOKUP(B319,'0. Instruções'!$C$27:$G$32,4,FALSE)&amp;" AS CHAVE_SIMUL1, "&amp;VLOOKUP(B319,'0. Instruções'!$C$27:$G$32,5,FALSE)&amp;" AS CHAVE_SIMUL2, "&amp;C319&amp;" AS CAMPO_SIMUL FROM "&amp;F319&amp;" WHERE "&amp;'0. Instruções'!$D$42&amp;")Y")</f>
        <v>(SELECT instrmnt_id AS CHAVE_SIMUL, contract_recogn_suspension AS CAMPO_SIMUL FROM BU_LOANTAPE_WORK.LT002_INSTRUMENT WHERE ref_date='${ref_date}' AND nome_perimetro='Individual Local' AND segmento='ESTR' AND ambito='PM' AND entidade='00100')Y</v>
      </c>
      <c r="L319" s="32" t="str">
        <f>IF(VLOOKUP(B319,'0. Instruções'!$C$27:$G$32,5,FALSE)=0,
"ON X.CHAVE_IT=Y.CHAVE_SIMUL",
"ON X.CHAVE_IT1=Y.CHAVE_SIMUL1 AND X.CHAVE_IT2=Y.CHAVE_SIMUL2")</f>
        <v>ON X.CHAVE_IT=Y.CHAVE_SIMUL</v>
      </c>
      <c r="M319" s="32" t="str">
        <f>+IF(D319="Coerência",+IF(LEFT(H319,5)="FLOAT","SELECT '"&amp;UPPER(B319)&amp;"' AS TABELA, '"&amp;UPPER(D319)&amp;"' AS TIPOLOGIA_TESTE,'"&amp;E319&amp;"' AS TABELA_LT,'"&amp;F319&amp;"' AS TABELA_SIMUL,'"&amp;C319&amp;"'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"&amp;J319&amp;" INNER JOIN "&amp;K319&amp;" "&amp;L319,"SELECT '"&amp;UPPER(B319)&amp;"' AS TABELA, '"&amp;UPPER(D319)&amp;"' AS TIPOLOGIA_TESTE,'"&amp;E319&amp;"' AS TABELA_LT,'"&amp;F319&amp;"' AS TABELA_SIMUL,'"&amp;C319&amp;"'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"&amp;J319&amp;" INNER JOIN "&amp;K319&amp;" "&amp;L319))</f>
        <v>SELECT 'INSTRUMENT' AS TABELA, 'COERÊNCIA' AS TIPOLOGIA_TESTE,'CD_LOAN_TAPES_BCE.LT002_INSTRUMENT' AS TABELA_LT,'BU_LOANTAPE_WORK.LT002_INSTRUMENT' AS TABELA_SIMUL,'contract_recogn_suspension'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contract_recogn_suspension AS CAMPO_IT FROM CD_LOAN_TAPES_BCE.LT002_INSTRUMENT WHERE ref_date='${ref_date}' AND nome_perimetro='Individual Local' AND segmento='ESTR' AND ambito='PM' AND entidade='00100')X INNER JOIN (SELECT instrmnt_id AS CHAVE_SIMUL, contract_recogn_suspension AS CAMPO_SIMUL FROM BU_LOANTAPE_WORK.LT002_INSTRUMENT WHERE ref_date='${ref_date}' AND nome_perimetro='Individual Local' AND segmento='ESTR' AND ambito='PM' AND entidade='00100')Y ON X.CHAVE_IT=Y.CHAVE_SIMUL</v>
      </c>
      <c r="N319" s="33" t="str">
        <f t="shared" si="11"/>
        <v>UNION ALL SELECT 'INSTRUMENT' AS TABELA, 'COERÊNCIA' AS TIPOLOGIA_TESTE,'CD_LOAN_TAPES_BCE.LT002_INSTRUMENT' AS TABELA_LT,'BU_LOANTAPE_WORK.LT002_INSTRUMENT' AS TABELA_SIMUL,'contract_recogn_suspension'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contract_recogn_suspension AS CAMPO_IT FROM CD_LOAN_TAPES_BCE.LT002_INSTRUMENT WHERE ref_date='${ref_date}' AND nome_perimetro='Individual Local' AND segmento='ESTR' AND ambito='PM' AND entidade='00100')X INNER JOIN (SELECT instrmnt_id AS CHAVE_SIMUL, contract_recogn_suspension AS CAMPO_SIMUL FROM BU_LOANTAPE_WORK.LT002_INSTRUMENT WHERE ref_date='${ref_date}' AND nome_perimetro='Individual Local' AND segmento='ESTR' AND ambito='PM' AND entidade='00100')Y ON X.CHAVE_IT=Y.CHAVE_SIMUL</v>
      </c>
      <c r="O319" s="35" t="s">
        <v>35</v>
      </c>
    </row>
    <row r="320" spans="1:15">
      <c r="A320" s="57" t="str">
        <f t="shared" si="10"/>
        <v>Instrumentcontract_recogn_resolution</v>
      </c>
      <c r="B320" s="32" t="s">
        <v>9</v>
      </c>
      <c r="C320" s="32" t="s">
        <v>471</v>
      </c>
      <c r="D320" s="32" t="s">
        <v>5</v>
      </c>
      <c r="E320" s="32" t="str">
        <f>+UPPER('0. Instruções'!$D$35&amp;"."&amp;VLOOKUP(B320,'0. Instruções'!$C$27:$D$32,2,FALSE))</f>
        <v>CD_LOAN_TAPES_BCE.LT002_INSTRUMENT</v>
      </c>
      <c r="F320" s="32" t="str">
        <f>+UPPER('0. Instruções'!$D$36&amp;"."&amp;VLOOKUP(B320,'0. Instruções'!$C$27:$E$32,3,FALSE))</f>
        <v>BU_LOANTAPE_WORK.LT002_INSTRUMENT</v>
      </c>
      <c r="H320" s="32"/>
      <c r="I320" s="32"/>
      <c r="J320" s="32" t="str">
        <f>IF(VLOOKUP(B320,'0. Instruções'!$C$27:$G$32,5,FALSE)=0,
"(SELECT "&amp;VLOOKUP(B320,'0. Instruções'!$C$27:$G$32,4,FALSE)&amp;" AS CHAVE_IT, "&amp;C320&amp;" AS CAMPO_IT FROM "&amp;E320&amp;" WHERE "&amp;'0. Instruções'!$D$43&amp;")X",
"(SELECT "&amp;VLOOKUP(B320,'0. Instruções'!$C$27:$G$32,4,FALSE)&amp;" AS CHAVE_IT1, "&amp;VLOOKUP(B320,'0. Instruções'!$C$27:$G$32,5,FALSE)&amp;" AS CHAVE_IT2, "&amp;C320&amp;" AS CAMPO_IT FROM "&amp;E320&amp;" WHERE "&amp;'0. Instruções'!$D$43&amp;")X")</f>
        <v>(SELECT instrmnt_id AS CHAVE_IT, contract_recogn_resolution AS CAMPO_IT FROM CD_LOAN_TAPES_BCE.LT002_INSTRUMENT WHERE ref_date='${ref_date}' AND nome_perimetro='Individual Local' AND segmento='ESTR' AND ambito='PM' AND entidade='00100')X</v>
      </c>
      <c r="K320" s="32" t="str">
        <f>IF(VLOOKUP(B320,'0. Instruções'!$C$27:$G$32,5,FALSE)=0,
"(SELECT "&amp;VLOOKUP(B320,'0. Instruções'!$C$27:$G$32,4,FALSE)&amp;" AS CHAVE_SIMUL, "&amp;C320&amp;" AS CAMPO_SIMUL FROM "&amp;F320&amp;" WHERE "&amp;'0. Instruções'!$D$42&amp;")Y",
"(SELECT "&amp;VLOOKUP(B320,'0. Instruções'!$C$27:$G$32,4,FALSE)&amp;" AS CHAVE_SIMUL1, "&amp;VLOOKUP(B320,'0. Instruções'!$C$27:$G$32,5,FALSE)&amp;" AS CHAVE_SIMUL2, "&amp;C320&amp;" AS CAMPO_SIMUL FROM "&amp;F320&amp;" WHERE "&amp;'0. Instruções'!$D$42&amp;")Y")</f>
        <v>(SELECT instrmnt_id AS CHAVE_SIMUL, contract_recogn_resolution AS CAMPO_SIMUL FROM BU_LOANTAPE_WORK.LT002_INSTRUMENT WHERE ref_date='${ref_date}' AND nome_perimetro='Individual Local' AND segmento='ESTR' AND ambito='PM' AND entidade='00100')Y</v>
      </c>
      <c r="L320" s="32" t="str">
        <f>IF(VLOOKUP(B320,'0. Instruções'!$C$27:$G$32,5,FALSE)=0,
"ON X.CHAVE_IT=Y.CHAVE_SIMUL",
"ON X.CHAVE_IT1=Y.CHAVE_SIMUL1 AND X.CHAVE_IT2=Y.CHAVE_SIMUL2")</f>
        <v>ON X.CHAVE_IT=Y.CHAVE_SIMUL</v>
      </c>
      <c r="M320" s="32" t="str">
        <f>+IF(D320="Coerência",+IF(LEFT(H320,5)="FLOAT","SELECT '"&amp;UPPER(B320)&amp;"' AS TABELA, '"&amp;UPPER(D320)&amp;"' AS TIPOLOGIA_TESTE,'"&amp;E320&amp;"' AS TABELA_LT,'"&amp;F320&amp;"' AS TABELA_SIMUL,'"&amp;C320&amp;"'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"&amp;J320&amp;" INNER JOIN "&amp;K320&amp;" "&amp;L320,"SELECT '"&amp;UPPER(B320)&amp;"' AS TABELA, '"&amp;UPPER(D320)&amp;"' AS TIPOLOGIA_TESTE,'"&amp;E320&amp;"' AS TABELA_LT,'"&amp;F320&amp;"' AS TABELA_SIMUL,'"&amp;C320&amp;"'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"&amp;J320&amp;" INNER JOIN "&amp;K320&amp;" "&amp;L320))</f>
        <v>SELECT 'INSTRUMENT' AS TABELA, 'COERÊNCIA' AS TIPOLOGIA_TESTE,'CD_LOAN_TAPES_BCE.LT002_INSTRUMENT' AS TABELA_LT,'BU_LOANTAPE_WORK.LT002_INSTRUMENT' AS TABELA_SIMUL,'contract_recogn_resolution'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contract_recogn_resolution AS CAMPO_IT FROM CD_LOAN_TAPES_BCE.LT002_INSTRUMENT WHERE ref_date='${ref_date}' AND nome_perimetro='Individual Local' AND segmento='ESTR' AND ambito='PM' AND entidade='00100')X INNER JOIN (SELECT instrmnt_id AS CHAVE_SIMUL, contract_recogn_resolution AS CAMPO_SIMUL FROM BU_LOANTAPE_WORK.LT002_INSTRUMENT WHERE ref_date='${ref_date}' AND nome_perimetro='Individual Local' AND segmento='ESTR' AND ambito='PM' AND entidade='00100')Y ON X.CHAVE_IT=Y.CHAVE_SIMUL</v>
      </c>
      <c r="N320" s="33" t="str">
        <f t="shared" si="11"/>
        <v>UNION ALL SELECT 'INSTRUMENT' AS TABELA, 'COERÊNCIA' AS TIPOLOGIA_TESTE,'CD_LOAN_TAPES_BCE.LT002_INSTRUMENT' AS TABELA_LT,'BU_LOANTAPE_WORK.LT002_INSTRUMENT' AS TABELA_SIMUL,'contract_recogn_resolution'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contract_recogn_resolution AS CAMPO_IT FROM CD_LOAN_TAPES_BCE.LT002_INSTRUMENT WHERE ref_date='${ref_date}' AND nome_perimetro='Individual Local' AND segmento='ESTR' AND ambito='PM' AND entidade='00100')X INNER JOIN (SELECT instrmnt_id AS CHAVE_SIMUL, contract_recogn_resolution AS CAMPO_SIMUL FROM BU_LOANTAPE_WORK.LT002_INSTRUMENT WHERE ref_date='${ref_date}' AND nome_perimetro='Individual Local' AND segmento='ESTR' AND ambito='PM' AND entidade='00100')Y ON X.CHAVE_IT=Y.CHAVE_SIMUL</v>
      </c>
      <c r="O320" s="35" t="s">
        <v>35</v>
      </c>
    </row>
    <row r="321" spans="1:15">
      <c r="A321" s="57" t="str">
        <f t="shared" si="10"/>
        <v>Instrumentcollateral_portfolio</v>
      </c>
      <c r="B321" s="32" t="s">
        <v>9</v>
      </c>
      <c r="C321" s="32" t="s">
        <v>472</v>
      </c>
      <c r="D321" s="32" t="s">
        <v>5</v>
      </c>
      <c r="E321" s="32" t="str">
        <f>+UPPER('0. Instruções'!$D$35&amp;"."&amp;VLOOKUP(B321,'0. Instruções'!$C$27:$D$32,2,FALSE))</f>
        <v>CD_LOAN_TAPES_BCE.LT002_INSTRUMENT</v>
      </c>
      <c r="F321" s="32" t="str">
        <f>+UPPER('0. Instruções'!$D$36&amp;"."&amp;VLOOKUP(B321,'0. Instruções'!$C$27:$E$32,3,FALSE))</f>
        <v>BU_LOANTAPE_WORK.LT002_INSTRUMENT</v>
      </c>
      <c r="H321" s="32"/>
      <c r="I321" s="32"/>
      <c r="J321" s="32" t="str">
        <f>IF(VLOOKUP(B321,'0. Instruções'!$C$27:$G$32,5,FALSE)=0,
"(SELECT "&amp;VLOOKUP(B321,'0. Instruções'!$C$27:$G$32,4,FALSE)&amp;" AS CHAVE_IT, "&amp;C321&amp;" AS CAMPO_IT FROM "&amp;E321&amp;" WHERE "&amp;'0. Instruções'!$D$43&amp;")X",
"(SELECT "&amp;VLOOKUP(B321,'0. Instruções'!$C$27:$G$32,4,FALSE)&amp;" AS CHAVE_IT1, "&amp;VLOOKUP(B321,'0. Instruções'!$C$27:$G$32,5,FALSE)&amp;" AS CHAVE_IT2, "&amp;C321&amp;" AS CAMPO_IT FROM "&amp;E321&amp;" WHERE "&amp;'0. Instruções'!$D$43&amp;")X")</f>
        <v>(SELECT instrmnt_id AS CHAVE_IT, collateral_portfolio AS CAMPO_IT FROM CD_LOAN_TAPES_BCE.LT002_INSTRUMENT WHERE ref_date='${ref_date}' AND nome_perimetro='Individual Local' AND segmento='ESTR' AND ambito='PM' AND entidade='00100')X</v>
      </c>
      <c r="K321" s="32" t="str">
        <f>IF(VLOOKUP(B321,'0. Instruções'!$C$27:$G$32,5,FALSE)=0,
"(SELECT "&amp;VLOOKUP(B321,'0. Instruções'!$C$27:$G$32,4,FALSE)&amp;" AS CHAVE_SIMUL, "&amp;C321&amp;" AS CAMPO_SIMUL FROM "&amp;F321&amp;" WHERE "&amp;'0. Instruções'!$D$42&amp;")Y",
"(SELECT "&amp;VLOOKUP(B321,'0. Instruções'!$C$27:$G$32,4,FALSE)&amp;" AS CHAVE_SIMUL1, "&amp;VLOOKUP(B321,'0. Instruções'!$C$27:$G$32,5,FALSE)&amp;" AS CHAVE_SIMUL2, "&amp;C321&amp;" AS CAMPO_SIMUL FROM "&amp;F321&amp;" WHERE "&amp;'0. Instruções'!$D$42&amp;")Y")</f>
        <v>(SELECT instrmnt_id AS CHAVE_SIMUL, collateral_portfolio AS CAMPO_SIMUL FROM BU_LOANTAPE_WORK.LT002_INSTRUMENT WHERE ref_date='${ref_date}' AND nome_perimetro='Individual Local' AND segmento='ESTR' AND ambito='PM' AND entidade='00100')Y</v>
      </c>
      <c r="L321" s="32" t="str">
        <f>IF(VLOOKUP(B321,'0. Instruções'!$C$27:$G$32,5,FALSE)=0,
"ON X.CHAVE_IT=Y.CHAVE_SIMUL",
"ON X.CHAVE_IT1=Y.CHAVE_SIMUL1 AND X.CHAVE_IT2=Y.CHAVE_SIMUL2")</f>
        <v>ON X.CHAVE_IT=Y.CHAVE_SIMUL</v>
      </c>
      <c r="M321" s="32" t="str">
        <f>+IF(D321="Coerência",+IF(LEFT(H321,5)="FLOAT","SELECT '"&amp;UPPER(B321)&amp;"' AS TABELA, '"&amp;UPPER(D321)&amp;"' AS TIPOLOGIA_TESTE,'"&amp;E321&amp;"' AS TABELA_LT,'"&amp;F321&amp;"' AS TABELA_SIMUL,'"&amp;C321&amp;"'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"&amp;J321&amp;" INNER JOIN "&amp;K321&amp;" "&amp;L321,"SELECT '"&amp;UPPER(B321)&amp;"' AS TABELA, '"&amp;UPPER(D321)&amp;"' AS TIPOLOGIA_TESTE,'"&amp;E321&amp;"' AS TABELA_LT,'"&amp;F321&amp;"' AS TABELA_SIMUL,'"&amp;C321&amp;"'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"&amp;J321&amp;" INNER JOIN "&amp;K321&amp;" "&amp;L321))</f>
        <v>SELECT 'INSTRUMENT' AS TABELA, 'COERÊNCIA' AS TIPOLOGIA_TESTE,'CD_LOAN_TAPES_BCE.LT002_INSTRUMENT' AS TABELA_LT,'BU_LOANTAPE_WORK.LT002_INSTRUMENT' AS TABELA_SIMUL,'collateral_portfolio'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collateral_portfolio AS CAMPO_IT FROM CD_LOAN_TAPES_BCE.LT002_INSTRUMENT WHERE ref_date='${ref_date}' AND nome_perimetro='Individual Local' AND segmento='ESTR' AND ambito='PM' AND entidade='00100')X INNER JOIN (SELECT instrmnt_id AS CHAVE_SIMUL, collateral_portfolio AS CAMPO_SIMUL FROM BU_LOANTAPE_WORK.LT002_INSTRUMENT WHERE ref_date='${ref_date}' AND nome_perimetro='Individual Local' AND segmento='ESTR' AND ambito='PM' AND entidade='00100')Y ON X.CHAVE_IT=Y.CHAVE_SIMUL</v>
      </c>
      <c r="N321" s="33" t="str">
        <f t="shared" si="11"/>
        <v>UNION ALL SELECT 'INSTRUMENT' AS TABELA, 'COERÊNCIA' AS TIPOLOGIA_TESTE,'CD_LOAN_TAPES_BCE.LT002_INSTRUMENT' AS TABELA_LT,'BU_LOANTAPE_WORK.LT002_INSTRUMENT' AS TABELA_SIMUL,'collateral_portfolio'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collateral_portfolio AS CAMPO_IT FROM CD_LOAN_TAPES_BCE.LT002_INSTRUMENT WHERE ref_date='${ref_date}' AND nome_perimetro='Individual Local' AND segmento='ESTR' AND ambito='PM' AND entidade='00100')X INNER JOIN (SELECT instrmnt_id AS CHAVE_SIMUL, collateral_portfolio AS CAMPO_SIMUL FROM BU_LOANTAPE_WORK.LT002_INSTRUMENT WHERE ref_date='${ref_date}' AND nome_perimetro='Individual Local' AND segmento='ESTR' AND ambito='PM' AND entidade='00100')Y ON X.CHAVE_IT=Y.CHAVE_SIMUL</v>
      </c>
      <c r="O321" s="35" t="s">
        <v>35</v>
      </c>
    </row>
    <row r="322" spans="1:15">
      <c r="A322" s="57" t="str">
        <f t="shared" si="10"/>
        <v>Instrumentcollateral_posted</v>
      </c>
      <c r="B322" s="32" t="s">
        <v>9</v>
      </c>
      <c r="C322" s="32" t="s">
        <v>473</v>
      </c>
      <c r="D322" s="32" t="s">
        <v>5</v>
      </c>
      <c r="E322" s="32" t="str">
        <f>+UPPER('0. Instruções'!$D$35&amp;"."&amp;VLOOKUP(B322,'0. Instruções'!$C$27:$D$32,2,FALSE))</f>
        <v>CD_LOAN_TAPES_BCE.LT002_INSTRUMENT</v>
      </c>
      <c r="F322" s="32" t="str">
        <f>+UPPER('0. Instruções'!$D$36&amp;"."&amp;VLOOKUP(B322,'0. Instruções'!$C$27:$E$32,3,FALSE))</f>
        <v>BU_LOANTAPE_WORK.LT002_INSTRUMENT</v>
      </c>
      <c r="H322" s="32"/>
      <c r="I322" s="32"/>
      <c r="J322" s="32" t="str">
        <f>IF(VLOOKUP(B322,'0. Instruções'!$C$27:$G$32,5,FALSE)=0,
"(SELECT "&amp;VLOOKUP(B322,'0. Instruções'!$C$27:$G$32,4,FALSE)&amp;" AS CHAVE_IT, "&amp;C322&amp;" AS CAMPO_IT FROM "&amp;E322&amp;" WHERE "&amp;'0. Instruções'!$D$43&amp;")X",
"(SELECT "&amp;VLOOKUP(B322,'0. Instruções'!$C$27:$G$32,4,FALSE)&amp;" AS CHAVE_IT1, "&amp;VLOOKUP(B322,'0. Instruções'!$C$27:$G$32,5,FALSE)&amp;" AS CHAVE_IT2, "&amp;C322&amp;" AS CAMPO_IT FROM "&amp;E322&amp;" WHERE "&amp;'0. Instruções'!$D$43&amp;")X")</f>
        <v>(SELECT instrmnt_id AS CHAVE_IT, collateral_posted AS CAMPO_IT FROM CD_LOAN_TAPES_BCE.LT002_INSTRUMENT WHERE ref_date='${ref_date}' AND nome_perimetro='Individual Local' AND segmento='ESTR' AND ambito='PM' AND entidade='00100')X</v>
      </c>
      <c r="K322" s="32" t="str">
        <f>IF(VLOOKUP(B322,'0. Instruções'!$C$27:$G$32,5,FALSE)=0,
"(SELECT "&amp;VLOOKUP(B322,'0. Instruções'!$C$27:$G$32,4,FALSE)&amp;" AS CHAVE_SIMUL, "&amp;C322&amp;" AS CAMPO_SIMUL FROM "&amp;F322&amp;" WHERE "&amp;'0. Instruções'!$D$42&amp;")Y",
"(SELECT "&amp;VLOOKUP(B322,'0. Instruções'!$C$27:$G$32,4,FALSE)&amp;" AS CHAVE_SIMUL1, "&amp;VLOOKUP(B322,'0. Instruções'!$C$27:$G$32,5,FALSE)&amp;" AS CHAVE_SIMUL2, "&amp;C322&amp;" AS CAMPO_SIMUL FROM "&amp;F322&amp;" WHERE "&amp;'0. Instruções'!$D$42&amp;")Y")</f>
        <v>(SELECT instrmnt_id AS CHAVE_SIMUL, collateral_posted AS CAMPO_SIMUL FROM BU_LOANTAPE_WORK.LT002_INSTRUMENT WHERE ref_date='${ref_date}' AND nome_perimetro='Individual Local' AND segmento='ESTR' AND ambito='PM' AND entidade='00100')Y</v>
      </c>
      <c r="L322" s="32" t="str">
        <f>IF(VLOOKUP(B322,'0. Instruções'!$C$27:$G$32,5,FALSE)=0,
"ON X.CHAVE_IT=Y.CHAVE_SIMUL",
"ON X.CHAVE_IT1=Y.CHAVE_SIMUL1 AND X.CHAVE_IT2=Y.CHAVE_SIMUL2")</f>
        <v>ON X.CHAVE_IT=Y.CHAVE_SIMUL</v>
      </c>
      <c r="M322" s="32" t="str">
        <f>+IF(D322="Coerência",+IF(LEFT(H322,5)="FLOAT","SELECT '"&amp;UPPER(B322)&amp;"' AS TABELA, '"&amp;UPPER(D322)&amp;"' AS TIPOLOGIA_TESTE,'"&amp;E322&amp;"' AS TABELA_LT,'"&amp;F322&amp;"' AS TABELA_SIMUL,'"&amp;C322&amp;"'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"&amp;J322&amp;" INNER JOIN "&amp;K322&amp;" "&amp;L322,"SELECT '"&amp;UPPER(B322)&amp;"' AS TABELA, '"&amp;UPPER(D322)&amp;"' AS TIPOLOGIA_TESTE,'"&amp;E322&amp;"' AS TABELA_LT,'"&amp;F322&amp;"' AS TABELA_SIMUL,'"&amp;C322&amp;"'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"&amp;J322&amp;" INNER JOIN "&amp;K322&amp;" "&amp;L322))</f>
        <v>SELECT 'INSTRUMENT' AS TABELA, 'COERÊNCIA' AS TIPOLOGIA_TESTE,'CD_LOAN_TAPES_BCE.LT002_INSTRUMENT' AS TABELA_LT,'BU_LOANTAPE_WORK.LT002_INSTRUMENT' AS TABELA_SIMUL,'collateral_posted'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 AS CAMPO_IT FROM CD_LOAN_TAPES_BCE.LT002_INSTRUMENT WHERE ref_date='${ref_date}' AND nome_perimetro='Individual Local' AND segmento='ESTR' AND ambito='PM' AND entidade='00100')X INNER JOIN (SELECT instrmnt_id AS CHAVE_SIMUL, collateral_posted AS CAMPO_SIMUL FROM BU_LOANTAPE_WORK.LT002_INSTRUMENT WHERE ref_date='${ref_date}' AND nome_perimetro='Individual Local' AND segmento='ESTR' AND ambito='PM' AND entidade='00100')Y ON X.CHAVE_IT=Y.CHAVE_SIMUL</v>
      </c>
      <c r="N322" s="33" t="str">
        <f t="shared" si="11"/>
        <v>UNION ALL SELECT 'INSTRUMENT' AS TABELA, 'COERÊNCIA' AS TIPOLOGIA_TESTE,'CD_LOAN_TAPES_BCE.LT002_INSTRUMENT' AS TABELA_LT,'BU_LOANTAPE_WORK.LT002_INSTRUMENT' AS TABELA_SIMUL,'collateral_posted'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 AS CAMPO_IT FROM CD_LOAN_TAPES_BCE.LT002_INSTRUMENT WHERE ref_date='${ref_date}' AND nome_perimetro='Individual Local' AND segmento='ESTR' AND ambito='PM' AND entidade='00100')X INNER JOIN (SELECT instrmnt_id AS CHAVE_SIMUL, collateral_posted AS CAMPO_SIMUL FROM BU_LOANTAPE_WORK.LT002_INSTRUMENT WHERE ref_date='${ref_date}' AND nome_perimetro='Individual Local' AND segmento='ESTR' AND ambito='PM' AND entidade='00100')Y ON X.CHAVE_IT=Y.CHAVE_SIMUL</v>
      </c>
      <c r="O322" s="35" t="s">
        <v>35</v>
      </c>
    </row>
    <row r="323" spans="1:15">
      <c r="A323" s="57" t="str">
        <f t="shared" si="10"/>
        <v>Instrumentcollateral_posted_currency</v>
      </c>
      <c r="B323" s="32" t="s">
        <v>9</v>
      </c>
      <c r="C323" s="32" t="s">
        <v>474</v>
      </c>
      <c r="D323" s="32" t="s">
        <v>5</v>
      </c>
      <c r="E323" s="32" t="str">
        <f>+UPPER('0. Instruções'!$D$35&amp;"."&amp;VLOOKUP(B323,'0. Instruções'!$C$27:$D$32,2,FALSE))</f>
        <v>CD_LOAN_TAPES_BCE.LT002_INSTRUMENT</v>
      </c>
      <c r="F323" s="32" t="str">
        <f>+UPPER('0. Instruções'!$D$36&amp;"."&amp;VLOOKUP(B323,'0. Instruções'!$C$27:$E$32,3,FALSE))</f>
        <v>BU_LOANTAPE_WORK.LT002_INSTRUMENT</v>
      </c>
      <c r="H323" s="32"/>
      <c r="I323" s="32"/>
      <c r="J323" s="32" t="str">
        <f>IF(VLOOKUP(B323,'0. Instruções'!$C$27:$G$32,5,FALSE)=0,
"(SELECT "&amp;VLOOKUP(B323,'0. Instruções'!$C$27:$G$32,4,FALSE)&amp;" AS CHAVE_IT, "&amp;C323&amp;" AS CAMPO_IT FROM "&amp;E323&amp;" WHERE "&amp;'0. Instruções'!$D$43&amp;")X",
"(SELECT "&amp;VLOOKUP(B323,'0. Instruções'!$C$27:$G$32,4,FALSE)&amp;" AS CHAVE_IT1, "&amp;VLOOKUP(B323,'0. Instruções'!$C$27:$G$32,5,FALSE)&amp;" AS CHAVE_IT2, "&amp;C323&amp;" AS CAMPO_IT FROM "&amp;E323&amp;" WHERE "&amp;'0. Instruções'!$D$43&amp;")X")</f>
        <v>(SELECT instrmnt_id AS CHAVE_IT, collateral_posted_currency AS CAMPO_IT FROM CD_LOAN_TAPES_BCE.LT002_INSTRUMENT WHERE ref_date='${ref_date}' AND nome_perimetro='Individual Local' AND segmento='ESTR' AND ambito='PM' AND entidade='00100')X</v>
      </c>
      <c r="K323" s="32" t="str">
        <f>IF(VLOOKUP(B323,'0. Instruções'!$C$27:$G$32,5,FALSE)=0,
"(SELECT "&amp;VLOOKUP(B323,'0. Instruções'!$C$27:$G$32,4,FALSE)&amp;" AS CHAVE_SIMUL, "&amp;C323&amp;" AS CAMPO_SIMUL FROM "&amp;F323&amp;" WHERE "&amp;'0. Instruções'!$D$42&amp;")Y",
"(SELECT "&amp;VLOOKUP(B323,'0. Instruções'!$C$27:$G$32,4,FALSE)&amp;" AS CHAVE_SIMUL1, "&amp;VLOOKUP(B323,'0. Instruções'!$C$27:$G$32,5,FALSE)&amp;" AS CHAVE_SIMUL2, "&amp;C323&amp;" AS CAMPO_SIMUL FROM "&amp;F323&amp;" WHERE "&amp;'0. Instruções'!$D$42&amp;")Y")</f>
        <v>(SELECT instrmnt_id AS CHAVE_SIMUL, collateral_posted_currency AS CAMPO_SIMUL FROM BU_LOANTAPE_WORK.LT002_INSTRUMENT WHERE ref_date='${ref_date}' AND nome_perimetro='Individual Local' AND segmento='ESTR' AND ambito='PM' AND entidade='00100')Y</v>
      </c>
      <c r="L323" s="32" t="str">
        <f>IF(VLOOKUP(B323,'0. Instruções'!$C$27:$G$32,5,FALSE)=0,
"ON X.CHAVE_IT=Y.CHAVE_SIMUL",
"ON X.CHAVE_IT1=Y.CHAVE_SIMUL1 AND X.CHAVE_IT2=Y.CHAVE_SIMUL2")</f>
        <v>ON X.CHAVE_IT=Y.CHAVE_SIMUL</v>
      </c>
      <c r="M323" s="32" t="str">
        <f>+IF(D323="Coerência",+IF(LEFT(H323,5)="FLOAT","SELECT '"&amp;UPPER(B323)&amp;"' AS TABELA, '"&amp;UPPER(D323)&amp;"' AS TIPOLOGIA_TESTE,'"&amp;E323&amp;"' AS TABELA_LT,'"&amp;F323&amp;"' AS TABELA_SIMUL,'"&amp;C323&amp;"'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"&amp;J323&amp;" INNER JOIN "&amp;K323&amp;" "&amp;L323,"SELECT '"&amp;UPPER(B323)&amp;"' AS TABELA, '"&amp;UPPER(D323)&amp;"' AS TIPOLOGIA_TESTE,'"&amp;E323&amp;"' AS TABELA_LT,'"&amp;F323&amp;"' AS TABELA_SIMUL,'"&amp;C323&amp;"'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"&amp;J323&amp;" INNER JOIN "&amp;K323&amp;" "&amp;L323))</f>
        <v>SELECT 'INSTRUMENT' AS TABELA, 'COERÊNCIA' AS TIPOLOGIA_TESTE,'CD_LOAN_TAPES_BCE.LT002_INSTRUMENT' AS TABELA_LT,'BU_LOANTAPE_WORK.LT002_INSTRUMENT' AS TABELA_SIMUL,'collateral_posted_currency'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collateral_posted_currency AS CAMPO_IT FROM CD_LOAN_TAPES_BCE.LT002_INSTRUMENT WHERE ref_date='${ref_date}' AND nome_perimetro='Individual Local' AND segmento='ESTR' AND ambito='PM' AND entidade='00100')X INNER JOIN (SELECT instrmnt_id AS CHAVE_SIMUL, collateral_posted_currency AS CAMPO_SIMUL FROM BU_LOANTAPE_WORK.LT002_INSTRUMENT WHERE ref_date='${ref_date}' AND nome_perimetro='Individual Local' AND segmento='ESTR' AND ambito='PM' AND entidade='00100')Y ON X.CHAVE_IT=Y.CHAVE_SIMUL</v>
      </c>
      <c r="N323" s="33" t="str">
        <f t="shared" si="11"/>
        <v>UNION ALL SELECT 'INSTRUMENT' AS TABELA, 'COERÊNCIA' AS TIPOLOGIA_TESTE,'CD_LOAN_TAPES_BCE.LT002_INSTRUMENT' AS TABELA_LT,'BU_LOANTAPE_WORK.LT002_INSTRUMENT' AS TABELA_SIMUL,'collateral_posted_currency'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collateral_posted_currency AS CAMPO_IT FROM CD_LOAN_TAPES_BCE.LT002_INSTRUMENT WHERE ref_date='${ref_date}' AND nome_perimetro='Individual Local' AND segmento='ESTR' AND ambito='PM' AND entidade='00100')X INNER JOIN (SELECT instrmnt_id AS CHAVE_SIMUL, collateral_posted_currency AS CAMPO_SIMUL FROM BU_LOANTAPE_WORK.LT002_INSTRUMENT WHERE ref_date='${ref_date}' AND nome_perimetro='Individual Local' AND segmento='ESTR' AND ambito='PM' AND entidade='00100')Y ON X.CHAVE_IT=Y.CHAVE_SIMUL</v>
      </c>
      <c r="O323" s="35" t="s">
        <v>35</v>
      </c>
    </row>
    <row r="324" spans="1:15">
      <c r="A324" s="57" t="str">
        <f t="shared" si="10"/>
        <v>Instrumentcollateral_received</v>
      </c>
      <c r="B324" s="32" t="s">
        <v>9</v>
      </c>
      <c r="C324" s="32" t="s">
        <v>475</v>
      </c>
      <c r="D324" s="32" t="s">
        <v>5</v>
      </c>
      <c r="E324" s="32" t="str">
        <f>+UPPER('0. Instruções'!$D$35&amp;"."&amp;VLOOKUP(B324,'0. Instruções'!$C$27:$D$32,2,FALSE))</f>
        <v>CD_LOAN_TAPES_BCE.LT002_INSTRUMENT</v>
      </c>
      <c r="F324" s="32" t="str">
        <f>+UPPER('0. Instruções'!$D$36&amp;"."&amp;VLOOKUP(B324,'0. Instruções'!$C$27:$E$32,3,FALSE))</f>
        <v>BU_LOANTAPE_WORK.LT002_INSTRUMENT</v>
      </c>
      <c r="H324" s="32"/>
      <c r="I324" s="32"/>
      <c r="J324" s="32" t="str">
        <f>IF(VLOOKUP(B324,'0. Instruções'!$C$27:$G$32,5,FALSE)=0,
"(SELECT "&amp;VLOOKUP(B324,'0. Instruções'!$C$27:$G$32,4,FALSE)&amp;" AS CHAVE_IT, "&amp;C324&amp;" AS CAMPO_IT FROM "&amp;E324&amp;" WHERE "&amp;'0. Instruções'!$D$43&amp;")X",
"(SELECT "&amp;VLOOKUP(B324,'0. Instruções'!$C$27:$G$32,4,FALSE)&amp;" AS CHAVE_IT1, "&amp;VLOOKUP(B324,'0. Instruções'!$C$27:$G$32,5,FALSE)&amp;" AS CHAVE_IT2, "&amp;C324&amp;" AS CAMPO_IT FROM "&amp;E324&amp;" WHERE "&amp;'0. Instruções'!$D$43&amp;")X")</f>
        <v>(SELECT instrmnt_id AS CHAVE_IT, collateral_received AS CAMPO_IT FROM CD_LOAN_TAPES_BCE.LT002_INSTRUMENT WHERE ref_date='${ref_date}' AND nome_perimetro='Individual Local' AND segmento='ESTR' AND ambito='PM' AND entidade='00100')X</v>
      </c>
      <c r="K324" s="32" t="str">
        <f>IF(VLOOKUP(B324,'0. Instruções'!$C$27:$G$32,5,FALSE)=0,
"(SELECT "&amp;VLOOKUP(B324,'0. Instruções'!$C$27:$G$32,4,FALSE)&amp;" AS CHAVE_SIMUL, "&amp;C324&amp;" AS CAMPO_SIMUL FROM "&amp;F324&amp;" WHERE "&amp;'0. Instruções'!$D$42&amp;")Y",
"(SELECT "&amp;VLOOKUP(B324,'0. Instruções'!$C$27:$G$32,4,FALSE)&amp;" AS CHAVE_SIMUL1, "&amp;VLOOKUP(B324,'0. Instruções'!$C$27:$G$32,5,FALSE)&amp;" AS CHAVE_SIMUL2, "&amp;C324&amp;" AS CAMPO_SIMUL FROM "&amp;F324&amp;" WHERE "&amp;'0. Instruções'!$D$42&amp;")Y")</f>
        <v>(SELECT instrmnt_id AS CHAVE_SIMUL, collateral_received AS CAMPO_SIMUL FROM BU_LOANTAPE_WORK.LT002_INSTRUMENT WHERE ref_date='${ref_date}' AND nome_perimetro='Individual Local' AND segmento='ESTR' AND ambito='PM' AND entidade='00100')Y</v>
      </c>
      <c r="L324" s="32" t="str">
        <f>IF(VLOOKUP(B324,'0. Instruções'!$C$27:$G$32,5,FALSE)=0,
"ON X.CHAVE_IT=Y.CHAVE_SIMUL",
"ON X.CHAVE_IT1=Y.CHAVE_SIMUL1 AND X.CHAVE_IT2=Y.CHAVE_SIMUL2")</f>
        <v>ON X.CHAVE_IT=Y.CHAVE_SIMUL</v>
      </c>
      <c r="M324" s="32" t="str">
        <f>+IF(D324="Coerência",+IF(LEFT(H324,5)="FLOAT","SELECT '"&amp;UPPER(B324)&amp;"' AS TABELA, '"&amp;UPPER(D324)&amp;"' AS TIPOLOGIA_TESTE,'"&amp;E324&amp;"' AS TABELA_LT,'"&amp;F324&amp;"' AS TABELA_SIMUL,'"&amp;C324&amp;"'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"&amp;J324&amp;" INNER JOIN "&amp;K324&amp;" "&amp;L324,"SELECT '"&amp;UPPER(B324)&amp;"' AS TABELA, '"&amp;UPPER(D324)&amp;"' AS TIPOLOGIA_TESTE,'"&amp;E324&amp;"' AS TABELA_LT,'"&amp;F324&amp;"' AS TABELA_SIMUL,'"&amp;C324&amp;"'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"&amp;J324&amp;" INNER JOIN "&amp;K324&amp;" "&amp;L324))</f>
        <v>SELECT 'INSTRUMENT' AS TABELA, 'COERÊNCIA' AS TIPOLOGIA_TESTE,'CD_LOAN_TAPES_BCE.LT002_INSTRUMENT' AS TABELA_LT,'BU_LOANTAPE_WORK.LT002_INSTRUMENT' AS TABELA_SIMUL,'collateral_received'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 AS CAMPO_IT FROM CD_LOAN_TAPES_BCE.LT002_INSTRUMENT WHERE ref_date='${ref_date}' AND nome_perimetro='Individual Local' AND segmento='ESTR' AND ambito='PM' AND entidade='00100')X INNER JOIN (SELECT instrmnt_id AS CHAVE_SIMUL, collateral_received AS CAMPO_SIMUL FROM BU_LOANTAPE_WORK.LT002_INSTRUMENT WHERE ref_date='${ref_date}' AND nome_perimetro='Individual Local' AND segmento='ESTR' AND ambito='PM' AND entidade='00100')Y ON X.CHAVE_IT=Y.CHAVE_SIMUL</v>
      </c>
      <c r="N324" s="33" t="str">
        <f t="shared" si="11"/>
        <v>UNION ALL SELECT 'INSTRUMENT' AS TABELA, 'COERÊNCIA' AS TIPOLOGIA_TESTE,'CD_LOAN_TAPES_BCE.LT002_INSTRUMENT' AS TABELA_LT,'BU_LOANTAPE_WORK.LT002_INSTRUMENT' AS TABELA_SIMUL,'collateral_received'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 AS CAMPO_IT FROM CD_LOAN_TAPES_BCE.LT002_INSTRUMENT WHERE ref_date='${ref_date}' AND nome_perimetro='Individual Local' AND segmento='ESTR' AND ambito='PM' AND entidade='00100')X INNER JOIN (SELECT instrmnt_id AS CHAVE_SIMUL, collateral_received AS CAMPO_SIMUL FROM BU_LOANTAPE_WORK.LT002_INSTRUMENT WHERE ref_date='${ref_date}' AND nome_perimetro='Individual Local' AND segmento='ESTR' AND ambito='PM' AND entidade='00100')Y ON X.CHAVE_IT=Y.CHAVE_SIMUL</v>
      </c>
      <c r="O324" s="35" t="s">
        <v>35</v>
      </c>
    </row>
    <row r="325" spans="1:15">
      <c r="A325" s="57" t="str">
        <f t="shared" si="10"/>
        <v>Instrumentcollateral_received_currency</v>
      </c>
      <c r="B325" s="32" t="s">
        <v>9</v>
      </c>
      <c r="C325" s="32" t="s">
        <v>476</v>
      </c>
      <c r="D325" s="32" t="s">
        <v>5</v>
      </c>
      <c r="E325" s="32" t="str">
        <f>+UPPER('0. Instruções'!$D$35&amp;"."&amp;VLOOKUP(B325,'0. Instruções'!$C$27:$D$32,2,FALSE))</f>
        <v>CD_LOAN_TAPES_BCE.LT002_INSTRUMENT</v>
      </c>
      <c r="F325" s="32" t="str">
        <f>+UPPER('0. Instruções'!$D$36&amp;"."&amp;VLOOKUP(B325,'0. Instruções'!$C$27:$E$32,3,FALSE))</f>
        <v>BU_LOANTAPE_WORK.LT002_INSTRUMENT</v>
      </c>
      <c r="H325" s="32"/>
      <c r="I325" s="32"/>
      <c r="J325" s="32" t="str">
        <f>IF(VLOOKUP(B325,'0. Instruções'!$C$27:$G$32,5,FALSE)=0,
"(SELECT "&amp;VLOOKUP(B325,'0. Instruções'!$C$27:$G$32,4,FALSE)&amp;" AS CHAVE_IT, "&amp;C325&amp;" AS CAMPO_IT FROM "&amp;E325&amp;" WHERE "&amp;'0. Instruções'!$D$43&amp;")X",
"(SELECT "&amp;VLOOKUP(B325,'0. Instruções'!$C$27:$G$32,4,FALSE)&amp;" AS CHAVE_IT1, "&amp;VLOOKUP(B325,'0. Instruções'!$C$27:$G$32,5,FALSE)&amp;" AS CHAVE_IT2, "&amp;C325&amp;" AS CAMPO_IT FROM "&amp;E325&amp;" WHERE "&amp;'0. Instruções'!$D$43&amp;")X")</f>
        <v>(SELECT instrmnt_id AS CHAVE_IT, collateral_received_currency AS CAMPO_IT FROM CD_LOAN_TAPES_BCE.LT002_INSTRUMENT WHERE ref_date='${ref_date}' AND nome_perimetro='Individual Local' AND segmento='ESTR' AND ambito='PM' AND entidade='00100')X</v>
      </c>
      <c r="K325" s="32" t="str">
        <f>IF(VLOOKUP(B325,'0. Instruções'!$C$27:$G$32,5,FALSE)=0,
"(SELECT "&amp;VLOOKUP(B325,'0. Instruções'!$C$27:$G$32,4,FALSE)&amp;" AS CHAVE_SIMUL, "&amp;C325&amp;" AS CAMPO_SIMUL FROM "&amp;F325&amp;" WHERE "&amp;'0. Instruções'!$D$42&amp;")Y",
"(SELECT "&amp;VLOOKUP(B325,'0. Instruções'!$C$27:$G$32,4,FALSE)&amp;" AS CHAVE_SIMUL1, "&amp;VLOOKUP(B325,'0. Instruções'!$C$27:$G$32,5,FALSE)&amp;" AS CHAVE_SIMUL2, "&amp;C325&amp;" AS CAMPO_SIMUL FROM "&amp;F325&amp;" WHERE "&amp;'0. Instruções'!$D$42&amp;")Y")</f>
        <v>(SELECT instrmnt_id AS CHAVE_SIMUL, collateral_received_currency AS CAMPO_SIMUL FROM BU_LOANTAPE_WORK.LT002_INSTRUMENT WHERE ref_date='${ref_date}' AND nome_perimetro='Individual Local' AND segmento='ESTR' AND ambito='PM' AND entidade='00100')Y</v>
      </c>
      <c r="L325" s="32" t="str">
        <f>IF(VLOOKUP(B325,'0. Instruções'!$C$27:$G$32,5,FALSE)=0,
"ON X.CHAVE_IT=Y.CHAVE_SIMUL",
"ON X.CHAVE_IT1=Y.CHAVE_SIMUL1 AND X.CHAVE_IT2=Y.CHAVE_SIMUL2")</f>
        <v>ON X.CHAVE_IT=Y.CHAVE_SIMUL</v>
      </c>
      <c r="M325" s="32" t="str">
        <f>+IF(D325="Coerência",+IF(LEFT(H325,5)="FLOAT","SELECT '"&amp;UPPER(B325)&amp;"' AS TABELA, '"&amp;UPPER(D325)&amp;"' AS TIPOLOGIA_TESTE,'"&amp;E325&amp;"' AS TABELA_LT,'"&amp;F325&amp;"' AS TABELA_SIMUL,'"&amp;C325&amp;"'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"&amp;J325&amp;" INNER JOIN "&amp;K325&amp;" "&amp;L325,"SELECT '"&amp;UPPER(B325)&amp;"' AS TABELA, '"&amp;UPPER(D325)&amp;"' AS TIPOLOGIA_TESTE,'"&amp;E325&amp;"' AS TABELA_LT,'"&amp;F325&amp;"' AS TABELA_SIMUL,'"&amp;C325&amp;"'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"&amp;J325&amp;" INNER JOIN "&amp;K325&amp;" "&amp;L325))</f>
        <v>SELECT 'INSTRUMENT' AS TABELA, 'COERÊNCIA' AS TIPOLOGIA_TESTE,'CD_LOAN_TAPES_BCE.LT002_INSTRUMENT' AS TABELA_LT,'BU_LOANTAPE_WORK.LT002_INSTRUMENT' AS TABELA_SIMUL,'collateral_received_currency'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collateral_received_currency AS CAMPO_IT FROM CD_LOAN_TAPES_BCE.LT002_INSTRUMENT WHERE ref_date='${ref_date}' AND nome_perimetro='Individual Local' AND segmento='ESTR' AND ambito='PM' AND entidade='00100')X INNER JOIN (SELECT instrmnt_id AS CHAVE_SIMUL, collateral_received_currency AS CAMPO_SIMUL FROM BU_LOANTAPE_WORK.LT002_INSTRUMENT WHERE ref_date='${ref_date}' AND nome_perimetro='Individual Local' AND segmento='ESTR' AND ambito='PM' AND entidade='00100')Y ON X.CHAVE_IT=Y.CHAVE_SIMUL</v>
      </c>
      <c r="N325" s="33" t="str">
        <f t="shared" si="11"/>
        <v>UNION ALL SELECT 'INSTRUMENT' AS TABELA, 'COERÊNCIA' AS TIPOLOGIA_TESTE,'CD_LOAN_TAPES_BCE.LT002_INSTRUMENT' AS TABELA_LT,'BU_LOANTAPE_WORK.LT002_INSTRUMENT' AS TABELA_SIMUL,'collateral_received_currency'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collateral_received_currency AS CAMPO_IT FROM CD_LOAN_TAPES_BCE.LT002_INSTRUMENT WHERE ref_date='${ref_date}' AND nome_perimetro='Individual Local' AND segmento='ESTR' AND ambito='PM' AND entidade='00100')X INNER JOIN (SELECT instrmnt_id AS CHAVE_SIMUL, collateral_received_currency AS CAMPO_SIMUL FROM BU_LOANTAPE_WORK.LT002_INSTRUMENT WHERE ref_date='${ref_date}' AND nome_perimetro='Individual Local' AND segmento='ESTR' AND ambito='PM' AND entidade='00100')Y ON X.CHAVE_IT=Y.CHAVE_SIMUL</v>
      </c>
      <c r="O325" s="35" t="s">
        <v>35</v>
      </c>
    </row>
    <row r="326" spans="1:15">
      <c r="A326" s="57" t="str">
        <f t="shared" si="10"/>
        <v>Instrumentleg_1_cash_flow</v>
      </c>
      <c r="B326" s="32" t="s">
        <v>9</v>
      </c>
      <c r="C326" s="32" t="s">
        <v>477</v>
      </c>
      <c r="D326" s="32" t="s">
        <v>5</v>
      </c>
      <c r="E326" s="32" t="str">
        <f>+UPPER('0. Instruções'!$D$35&amp;"."&amp;VLOOKUP(B326,'0. Instruções'!$C$27:$D$32,2,FALSE))</f>
        <v>CD_LOAN_TAPES_BCE.LT002_INSTRUMENT</v>
      </c>
      <c r="F326" s="32" t="str">
        <f>+UPPER('0. Instruções'!$D$36&amp;"."&amp;VLOOKUP(B326,'0. Instruções'!$C$27:$E$32,3,FALSE))</f>
        <v>BU_LOANTAPE_WORK.LT002_INSTRUMENT</v>
      </c>
      <c r="H326" s="32"/>
      <c r="I326" s="32"/>
      <c r="J326" s="32" t="str">
        <f>IF(VLOOKUP(B326,'0. Instruções'!$C$27:$G$32,5,FALSE)=0,
"(SELECT "&amp;VLOOKUP(B326,'0. Instruções'!$C$27:$G$32,4,FALSE)&amp;" AS CHAVE_IT, "&amp;C326&amp;" AS CAMPO_IT FROM "&amp;E326&amp;" WHERE "&amp;'0. Instruções'!$D$43&amp;")X",
"(SELECT "&amp;VLOOKUP(B326,'0. Instruções'!$C$27:$G$32,4,FALSE)&amp;" AS CHAVE_IT1, "&amp;VLOOKUP(B326,'0. Instruções'!$C$27:$G$32,5,FALSE)&amp;" AS CHAVE_IT2, "&amp;C326&amp;" AS CAMPO_IT FROM "&amp;E326&amp;" WHERE "&amp;'0. Instruções'!$D$43&amp;")X")</f>
        <v>(SELECT instrmnt_id AS CHAVE_IT, leg_1_cash_flow AS CAMPO_IT FROM CD_LOAN_TAPES_BCE.LT002_INSTRUMENT WHERE ref_date='${ref_date}' AND nome_perimetro='Individual Local' AND segmento='ESTR' AND ambito='PM' AND entidade='00100')X</v>
      </c>
      <c r="K326" s="32" t="str">
        <f>IF(VLOOKUP(B326,'0. Instruções'!$C$27:$G$32,5,FALSE)=0,
"(SELECT "&amp;VLOOKUP(B326,'0. Instruções'!$C$27:$G$32,4,FALSE)&amp;" AS CHAVE_SIMUL, "&amp;C326&amp;" AS CAMPO_SIMUL FROM "&amp;F326&amp;" WHERE "&amp;'0. Instruções'!$D$42&amp;")Y",
"(SELECT "&amp;VLOOKUP(B326,'0. Instruções'!$C$27:$G$32,4,FALSE)&amp;" AS CHAVE_SIMUL1, "&amp;VLOOKUP(B326,'0. Instruções'!$C$27:$G$32,5,FALSE)&amp;" AS CHAVE_SIMUL2, "&amp;C326&amp;" AS CAMPO_SIMUL FROM "&amp;F326&amp;" WHERE "&amp;'0. Instruções'!$D$42&amp;")Y")</f>
        <v>(SELECT instrmnt_id AS CHAVE_SIMUL, leg_1_cash_flow AS CAMPO_SIMUL FROM BU_LOANTAPE_WORK.LT002_INSTRUMENT WHERE ref_date='${ref_date}' AND nome_perimetro='Individual Local' AND segmento='ESTR' AND ambito='PM' AND entidade='00100')Y</v>
      </c>
      <c r="L326" s="32" t="str">
        <f>IF(VLOOKUP(B326,'0. Instruções'!$C$27:$G$32,5,FALSE)=0,
"ON X.CHAVE_IT=Y.CHAVE_SIMUL",
"ON X.CHAVE_IT1=Y.CHAVE_SIMUL1 AND X.CHAVE_IT2=Y.CHAVE_SIMUL2")</f>
        <v>ON X.CHAVE_IT=Y.CHAVE_SIMUL</v>
      </c>
      <c r="M326" s="32" t="str">
        <f>+IF(D326="Coerência",+IF(LEFT(H326,5)="FLOAT","SELECT '"&amp;UPPER(B326)&amp;"' AS TABELA, '"&amp;UPPER(D326)&amp;"' AS TIPOLOGIA_TESTE,'"&amp;E326&amp;"' AS TABELA_LT,'"&amp;F326&amp;"' AS TABELA_SIMUL,'"&amp;C326&amp;"'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"&amp;J326&amp;" INNER JOIN "&amp;K326&amp;" "&amp;L326,"SELECT '"&amp;UPPER(B326)&amp;"' AS TABELA, '"&amp;UPPER(D326)&amp;"' AS TIPOLOGIA_TESTE,'"&amp;E326&amp;"' AS TABELA_LT,'"&amp;F326&amp;"' AS TABELA_SIMUL,'"&amp;C326&amp;"'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"&amp;J326&amp;" INNER JOIN "&amp;K326&amp;" "&amp;L326))</f>
        <v>SELECT 'INSTRUMENT' AS TABELA, 'COERÊNCIA' AS TIPOLOGIA_TESTE,'CD_LOAN_TAPES_BCE.LT002_INSTRUMENT' AS TABELA_LT,'BU_LOANTAPE_WORK.LT002_INSTRUMENT' AS TABELA_SIMUL,'leg_1_cash_flow'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leg_1_cash_flow AS CAMPO_IT FROM CD_LOAN_TAPES_BCE.LT002_INSTRUMENT WHERE ref_date='${ref_date}' AND nome_perimetro='Individual Local' AND segmento='ESTR' AND ambito='PM' AND entidade='00100')X INNER JOIN (SELECT instrmnt_id AS CHAVE_SIMUL, leg_1_cash_flow AS CAMPO_SIMUL FROM BU_LOANTAPE_WORK.LT002_INSTRUMENT WHERE ref_date='${ref_date}' AND nome_perimetro='Individual Local' AND segmento='ESTR' AND ambito='PM' AND entidade='00100')Y ON X.CHAVE_IT=Y.CHAVE_SIMUL</v>
      </c>
      <c r="N326" s="33" t="str">
        <f t="shared" si="11"/>
        <v>UNION ALL SELECT 'INSTRUMENT' AS TABELA, 'COERÊNCIA' AS TIPOLOGIA_TESTE,'CD_LOAN_TAPES_BCE.LT002_INSTRUMENT' AS TABELA_LT,'BU_LOANTAPE_WORK.LT002_INSTRUMENT' AS TABELA_SIMUL,'leg_1_cash_flow'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leg_1_cash_flow AS CAMPO_IT FROM CD_LOAN_TAPES_BCE.LT002_INSTRUMENT WHERE ref_date='${ref_date}' AND nome_perimetro='Individual Local' AND segmento='ESTR' AND ambito='PM' AND entidade='00100')X INNER JOIN (SELECT instrmnt_id AS CHAVE_SIMUL, leg_1_cash_flow AS CAMPO_SIMUL FROM BU_LOANTAPE_WORK.LT002_INSTRUMENT WHERE ref_date='${ref_date}' AND nome_perimetro='Individual Local' AND segmento='ESTR' AND ambito='PM' AND entidade='00100')Y ON X.CHAVE_IT=Y.CHAVE_SIMUL</v>
      </c>
      <c r="O326" s="35" t="s">
        <v>35</v>
      </c>
    </row>
    <row r="327" spans="1:15">
      <c r="A327" s="57" t="str">
        <f t="shared" si="10"/>
        <v>Instrumentleg_2_cash_flow</v>
      </c>
      <c r="B327" s="32" t="s">
        <v>9</v>
      </c>
      <c r="C327" s="32" t="s">
        <v>478</v>
      </c>
      <c r="D327" s="32" t="s">
        <v>5</v>
      </c>
      <c r="E327" s="32" t="str">
        <f>+UPPER('0. Instruções'!$D$35&amp;"."&amp;VLOOKUP(B327,'0. Instruções'!$C$27:$D$32,2,FALSE))</f>
        <v>CD_LOAN_TAPES_BCE.LT002_INSTRUMENT</v>
      </c>
      <c r="F327" s="32" t="str">
        <f>+UPPER('0. Instruções'!$D$36&amp;"."&amp;VLOOKUP(B327,'0. Instruções'!$C$27:$E$32,3,FALSE))</f>
        <v>BU_LOANTAPE_WORK.LT002_INSTRUMENT</v>
      </c>
      <c r="H327" s="32"/>
      <c r="I327" s="32"/>
      <c r="J327" s="32" t="str">
        <f>IF(VLOOKUP(B327,'0. Instruções'!$C$27:$G$32,5,FALSE)=0,
"(SELECT "&amp;VLOOKUP(B327,'0. Instruções'!$C$27:$G$32,4,FALSE)&amp;" AS CHAVE_IT, "&amp;C327&amp;" AS CAMPO_IT FROM "&amp;E327&amp;" WHERE "&amp;'0. Instruções'!$D$43&amp;")X",
"(SELECT "&amp;VLOOKUP(B327,'0. Instruções'!$C$27:$G$32,4,FALSE)&amp;" AS CHAVE_IT1, "&amp;VLOOKUP(B327,'0. Instruções'!$C$27:$G$32,5,FALSE)&amp;" AS CHAVE_IT2, "&amp;C327&amp;" AS CAMPO_IT FROM "&amp;E327&amp;" WHERE "&amp;'0. Instruções'!$D$43&amp;")X")</f>
        <v>(SELECT instrmnt_id AS CHAVE_IT, leg_2_cash_flow AS CAMPO_IT FROM CD_LOAN_TAPES_BCE.LT002_INSTRUMENT WHERE ref_date='${ref_date}' AND nome_perimetro='Individual Local' AND segmento='ESTR' AND ambito='PM' AND entidade='00100')X</v>
      </c>
      <c r="K327" s="32" t="str">
        <f>IF(VLOOKUP(B327,'0. Instruções'!$C$27:$G$32,5,FALSE)=0,
"(SELECT "&amp;VLOOKUP(B327,'0. Instruções'!$C$27:$G$32,4,FALSE)&amp;" AS CHAVE_SIMUL, "&amp;C327&amp;" AS CAMPO_SIMUL FROM "&amp;F327&amp;" WHERE "&amp;'0. Instruções'!$D$42&amp;")Y",
"(SELECT "&amp;VLOOKUP(B327,'0. Instruções'!$C$27:$G$32,4,FALSE)&amp;" AS CHAVE_SIMUL1, "&amp;VLOOKUP(B327,'0. Instruções'!$C$27:$G$32,5,FALSE)&amp;" AS CHAVE_SIMUL2, "&amp;C327&amp;" AS CAMPO_SIMUL FROM "&amp;F327&amp;" WHERE "&amp;'0. Instruções'!$D$42&amp;")Y")</f>
        <v>(SELECT instrmnt_id AS CHAVE_SIMUL, leg_2_cash_flow AS CAMPO_SIMUL FROM BU_LOANTAPE_WORK.LT002_INSTRUMENT WHERE ref_date='${ref_date}' AND nome_perimetro='Individual Local' AND segmento='ESTR' AND ambito='PM' AND entidade='00100')Y</v>
      </c>
      <c r="L327" s="32" t="str">
        <f>IF(VLOOKUP(B327,'0. Instruções'!$C$27:$G$32,5,FALSE)=0,
"ON X.CHAVE_IT=Y.CHAVE_SIMUL",
"ON X.CHAVE_IT1=Y.CHAVE_SIMUL1 AND X.CHAVE_IT2=Y.CHAVE_SIMUL2")</f>
        <v>ON X.CHAVE_IT=Y.CHAVE_SIMUL</v>
      </c>
      <c r="M327" s="32" t="str">
        <f>+IF(D327="Coerência",+IF(LEFT(H327,5)="FLOAT","SELECT '"&amp;UPPER(B327)&amp;"' AS TABELA, '"&amp;UPPER(D327)&amp;"' AS TIPOLOGIA_TESTE,'"&amp;E327&amp;"' AS TABELA_LT,'"&amp;F327&amp;"' AS TABELA_SIMUL,'"&amp;C327&amp;"'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"&amp;J327&amp;" INNER JOIN "&amp;K327&amp;" "&amp;L327,"SELECT '"&amp;UPPER(B327)&amp;"' AS TABELA, '"&amp;UPPER(D327)&amp;"' AS TIPOLOGIA_TESTE,'"&amp;E327&amp;"' AS TABELA_LT,'"&amp;F327&amp;"' AS TABELA_SIMUL,'"&amp;C327&amp;"'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"&amp;J327&amp;" INNER JOIN "&amp;K327&amp;" "&amp;L327))</f>
        <v>SELECT 'INSTRUMENT' AS TABELA, 'COERÊNCIA' AS TIPOLOGIA_TESTE,'CD_LOAN_TAPES_BCE.LT002_INSTRUMENT' AS TABELA_LT,'BU_LOANTAPE_WORK.LT002_INSTRUMENT' AS TABELA_SIMUL,'leg_2_cash_flow'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leg_2_cash_flow AS CAMPO_IT FROM CD_LOAN_TAPES_BCE.LT002_INSTRUMENT WHERE ref_date='${ref_date}' AND nome_perimetro='Individual Local' AND segmento='ESTR' AND ambito='PM' AND entidade='00100')X INNER JOIN (SELECT instrmnt_id AS CHAVE_SIMUL, leg_2_cash_flow AS CAMPO_SIMUL FROM BU_LOANTAPE_WORK.LT002_INSTRUMENT WHERE ref_date='${ref_date}' AND nome_perimetro='Individual Local' AND segmento='ESTR' AND ambito='PM' AND entidade='00100')Y ON X.CHAVE_IT=Y.CHAVE_SIMUL</v>
      </c>
      <c r="N327" s="33" t="str">
        <f t="shared" si="11"/>
        <v>UNION ALL SELECT 'INSTRUMENT' AS TABELA, 'COERÊNCIA' AS TIPOLOGIA_TESTE,'CD_LOAN_TAPES_BCE.LT002_INSTRUMENT' AS TABELA_LT,'BU_LOANTAPE_WORK.LT002_INSTRUMENT' AS TABELA_SIMUL,'leg_2_cash_flow'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leg_2_cash_flow AS CAMPO_IT FROM CD_LOAN_TAPES_BCE.LT002_INSTRUMENT WHERE ref_date='${ref_date}' AND nome_perimetro='Individual Local' AND segmento='ESTR' AND ambito='PM' AND entidade='00100')X INNER JOIN (SELECT instrmnt_id AS CHAVE_SIMUL, leg_2_cash_flow AS CAMPO_SIMUL FROM BU_LOANTAPE_WORK.LT002_INSTRUMENT WHERE ref_date='${ref_date}' AND nome_perimetro='Individual Local' AND segmento='ESTR' AND ambito='PM' AND entidade='00100')Y ON X.CHAVE_IT=Y.CHAVE_SIMUL</v>
      </c>
      <c r="O327" s="35" t="s">
        <v>35</v>
      </c>
    </row>
    <row r="328" spans="1:15">
      <c r="A328" s="57" t="str">
        <f t="shared" si="10"/>
        <v>Instrumentleg_1_reference_rate</v>
      </c>
      <c r="B328" s="32" t="s">
        <v>9</v>
      </c>
      <c r="C328" s="32" t="s">
        <v>479</v>
      </c>
      <c r="D328" s="32" t="s">
        <v>5</v>
      </c>
      <c r="E328" s="32" t="str">
        <f>+UPPER('0. Instruções'!$D$35&amp;"."&amp;VLOOKUP(B328,'0. Instruções'!$C$27:$D$32,2,FALSE))</f>
        <v>CD_LOAN_TAPES_BCE.LT002_INSTRUMENT</v>
      </c>
      <c r="F328" s="32" t="str">
        <f>+UPPER('0. Instruções'!$D$36&amp;"."&amp;VLOOKUP(B328,'0. Instruções'!$C$27:$E$32,3,FALSE))</f>
        <v>BU_LOANTAPE_WORK.LT002_INSTRUMENT</v>
      </c>
      <c r="H328" s="32"/>
      <c r="I328" s="32"/>
      <c r="J328" s="32" t="str">
        <f>IF(VLOOKUP(B328,'0. Instruções'!$C$27:$G$32,5,FALSE)=0,
"(SELECT "&amp;VLOOKUP(B328,'0. Instruções'!$C$27:$G$32,4,FALSE)&amp;" AS CHAVE_IT, "&amp;C328&amp;" AS CAMPO_IT FROM "&amp;E328&amp;" WHERE "&amp;'0. Instruções'!$D$43&amp;")X",
"(SELECT "&amp;VLOOKUP(B328,'0. Instruções'!$C$27:$G$32,4,FALSE)&amp;" AS CHAVE_IT1, "&amp;VLOOKUP(B328,'0. Instruções'!$C$27:$G$32,5,FALSE)&amp;" AS CHAVE_IT2, "&amp;C328&amp;" AS CAMPO_IT FROM "&amp;E328&amp;" WHERE "&amp;'0. Instruções'!$D$43&amp;")X")</f>
        <v>(SELECT instrmnt_id AS CHAVE_IT, leg_1_reference_rate AS CAMPO_IT FROM CD_LOAN_TAPES_BCE.LT002_INSTRUMENT WHERE ref_date='${ref_date}' AND nome_perimetro='Individual Local' AND segmento='ESTR' AND ambito='PM' AND entidade='00100')X</v>
      </c>
      <c r="K328" s="32" t="str">
        <f>IF(VLOOKUP(B328,'0. Instruções'!$C$27:$G$32,5,FALSE)=0,
"(SELECT "&amp;VLOOKUP(B328,'0. Instruções'!$C$27:$G$32,4,FALSE)&amp;" AS CHAVE_SIMUL, "&amp;C328&amp;" AS CAMPO_SIMUL FROM "&amp;F328&amp;" WHERE "&amp;'0. Instruções'!$D$42&amp;")Y",
"(SELECT "&amp;VLOOKUP(B328,'0. Instruções'!$C$27:$G$32,4,FALSE)&amp;" AS CHAVE_SIMUL1, "&amp;VLOOKUP(B328,'0. Instruções'!$C$27:$G$32,5,FALSE)&amp;" AS CHAVE_SIMUL2, "&amp;C328&amp;" AS CAMPO_SIMUL FROM "&amp;F328&amp;" WHERE "&amp;'0. Instruções'!$D$42&amp;")Y")</f>
        <v>(SELECT instrmnt_id AS CHAVE_SIMUL, leg_1_reference_rate AS CAMPO_SIMUL FROM BU_LOANTAPE_WORK.LT002_INSTRUMENT WHERE ref_date='${ref_date}' AND nome_perimetro='Individual Local' AND segmento='ESTR' AND ambito='PM' AND entidade='00100')Y</v>
      </c>
      <c r="L328" s="32" t="str">
        <f>IF(VLOOKUP(B328,'0. Instruções'!$C$27:$G$32,5,FALSE)=0,
"ON X.CHAVE_IT=Y.CHAVE_SIMUL",
"ON X.CHAVE_IT1=Y.CHAVE_SIMUL1 AND X.CHAVE_IT2=Y.CHAVE_SIMUL2")</f>
        <v>ON X.CHAVE_IT=Y.CHAVE_SIMUL</v>
      </c>
      <c r="M328" s="32" t="str">
        <f>+IF(D328="Coerência",+IF(LEFT(H328,5)="FLOAT","SELECT '"&amp;UPPER(B328)&amp;"' AS TABELA, '"&amp;UPPER(D328)&amp;"' AS TIPOLOGIA_TESTE,'"&amp;E328&amp;"' AS TABELA_LT,'"&amp;F328&amp;"' AS TABELA_SIMUL,'"&amp;C328&amp;"'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"&amp;J328&amp;" INNER JOIN "&amp;K328&amp;" "&amp;L328,"SELECT '"&amp;UPPER(B328)&amp;"' AS TABELA, '"&amp;UPPER(D328)&amp;"' AS TIPOLOGIA_TESTE,'"&amp;E328&amp;"' AS TABELA_LT,'"&amp;F328&amp;"' AS TABELA_SIMUL,'"&amp;C328&amp;"'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"&amp;J328&amp;" INNER JOIN "&amp;K328&amp;" "&amp;L328))</f>
        <v>SELECT 'INSTRUMENT' AS TABELA, 'COERÊNCIA' AS TIPOLOGIA_TESTE,'CD_LOAN_TAPES_BCE.LT002_INSTRUMENT' AS TABELA_LT,'BU_LOANTAPE_WORK.LT002_INSTRUMENT' AS TABELA_SIMUL,'leg_1_reference_rate'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leg_1_reference_rate AS CAMPO_IT FROM CD_LOAN_TAPES_BCE.LT002_INSTRUMENT WHERE ref_date='${ref_date}' AND nome_perimetro='Individual Local' AND segmento='ESTR' AND ambito='PM' AND entidade='00100')X INNER JOIN (SELECT instrmnt_id AS CHAVE_SIMUL, leg_1_reference_rate AS CAMPO_SIMUL FROM BU_LOANTAPE_WORK.LT002_INSTRUMENT WHERE ref_date='${ref_date}' AND nome_perimetro='Individual Local' AND segmento='ESTR' AND ambito='PM' AND entidade='00100')Y ON X.CHAVE_IT=Y.CHAVE_SIMUL</v>
      </c>
      <c r="N328" s="33" t="str">
        <f t="shared" si="11"/>
        <v>UNION ALL SELECT 'INSTRUMENT' AS TABELA, 'COERÊNCIA' AS TIPOLOGIA_TESTE,'CD_LOAN_TAPES_BCE.LT002_INSTRUMENT' AS TABELA_LT,'BU_LOANTAPE_WORK.LT002_INSTRUMENT' AS TABELA_SIMUL,'leg_1_reference_rate'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leg_1_reference_rate AS CAMPO_IT FROM CD_LOAN_TAPES_BCE.LT002_INSTRUMENT WHERE ref_date='${ref_date}' AND nome_perimetro='Individual Local' AND segmento='ESTR' AND ambito='PM' AND entidade='00100')X INNER JOIN (SELECT instrmnt_id AS CHAVE_SIMUL, leg_1_reference_rate AS CAMPO_SIMUL FROM BU_LOANTAPE_WORK.LT002_INSTRUMENT WHERE ref_date='${ref_date}' AND nome_perimetro='Individual Local' AND segmento='ESTR' AND ambito='PM' AND entidade='00100')Y ON X.CHAVE_IT=Y.CHAVE_SIMUL</v>
      </c>
      <c r="O328" s="35" t="s">
        <v>35</v>
      </c>
    </row>
    <row r="329" spans="1:15">
      <c r="A329" s="57" t="str">
        <f t="shared" ref="A329:A392" si="12">+B329&amp;C329</f>
        <v>Instrumentleg_2_reference_rate</v>
      </c>
      <c r="B329" s="32" t="s">
        <v>9</v>
      </c>
      <c r="C329" s="32" t="s">
        <v>480</v>
      </c>
      <c r="D329" s="32" t="s">
        <v>5</v>
      </c>
      <c r="E329" s="32" t="str">
        <f>+UPPER('0. Instruções'!$D$35&amp;"."&amp;VLOOKUP(B329,'0. Instruções'!$C$27:$D$32,2,FALSE))</f>
        <v>CD_LOAN_TAPES_BCE.LT002_INSTRUMENT</v>
      </c>
      <c r="F329" s="32" t="str">
        <f>+UPPER('0. Instruções'!$D$36&amp;"."&amp;VLOOKUP(B329,'0. Instruções'!$C$27:$E$32,3,FALSE))</f>
        <v>BU_LOANTAPE_WORK.LT002_INSTRUMENT</v>
      </c>
      <c r="H329" s="32"/>
      <c r="I329" s="32"/>
      <c r="J329" s="32" t="str">
        <f>IF(VLOOKUP(B329,'0. Instruções'!$C$27:$G$32,5,FALSE)=0,
"(SELECT "&amp;VLOOKUP(B329,'0. Instruções'!$C$27:$G$32,4,FALSE)&amp;" AS CHAVE_IT, "&amp;C329&amp;" AS CAMPO_IT FROM "&amp;E329&amp;" WHERE "&amp;'0. Instruções'!$D$43&amp;")X",
"(SELECT "&amp;VLOOKUP(B329,'0. Instruções'!$C$27:$G$32,4,FALSE)&amp;" AS CHAVE_IT1, "&amp;VLOOKUP(B329,'0. Instruções'!$C$27:$G$32,5,FALSE)&amp;" AS CHAVE_IT2, "&amp;C329&amp;" AS CAMPO_IT FROM "&amp;E329&amp;" WHERE "&amp;'0. Instruções'!$D$43&amp;")X")</f>
        <v>(SELECT instrmnt_id AS CHAVE_IT, leg_2_reference_rate AS CAMPO_IT FROM CD_LOAN_TAPES_BCE.LT002_INSTRUMENT WHERE ref_date='${ref_date}' AND nome_perimetro='Individual Local' AND segmento='ESTR' AND ambito='PM' AND entidade='00100')X</v>
      </c>
      <c r="K329" s="32" t="str">
        <f>IF(VLOOKUP(B329,'0. Instruções'!$C$27:$G$32,5,FALSE)=0,
"(SELECT "&amp;VLOOKUP(B329,'0. Instruções'!$C$27:$G$32,4,FALSE)&amp;" AS CHAVE_SIMUL, "&amp;C329&amp;" AS CAMPO_SIMUL FROM "&amp;F329&amp;" WHERE "&amp;'0. Instruções'!$D$42&amp;")Y",
"(SELECT "&amp;VLOOKUP(B329,'0. Instruções'!$C$27:$G$32,4,FALSE)&amp;" AS CHAVE_SIMUL1, "&amp;VLOOKUP(B329,'0. Instruções'!$C$27:$G$32,5,FALSE)&amp;" AS CHAVE_SIMUL2, "&amp;C329&amp;" AS CAMPO_SIMUL FROM "&amp;F329&amp;" WHERE "&amp;'0. Instruções'!$D$42&amp;")Y")</f>
        <v>(SELECT instrmnt_id AS CHAVE_SIMUL, leg_2_reference_rate AS CAMPO_SIMUL FROM BU_LOANTAPE_WORK.LT002_INSTRUMENT WHERE ref_date='${ref_date}' AND nome_perimetro='Individual Local' AND segmento='ESTR' AND ambito='PM' AND entidade='00100')Y</v>
      </c>
      <c r="L329" s="32" t="str">
        <f>IF(VLOOKUP(B329,'0. Instruções'!$C$27:$G$32,5,FALSE)=0,
"ON X.CHAVE_IT=Y.CHAVE_SIMUL",
"ON X.CHAVE_IT1=Y.CHAVE_SIMUL1 AND X.CHAVE_IT2=Y.CHAVE_SIMUL2")</f>
        <v>ON X.CHAVE_IT=Y.CHAVE_SIMUL</v>
      </c>
      <c r="M329" s="32" t="str">
        <f>+IF(D329="Coerência",+IF(LEFT(H329,5)="FLOAT","SELECT '"&amp;UPPER(B329)&amp;"' AS TABELA, '"&amp;UPPER(D329)&amp;"' AS TIPOLOGIA_TESTE,'"&amp;E329&amp;"' AS TABELA_LT,'"&amp;F329&amp;"' AS TABELA_SIMUL,'"&amp;C329&amp;"'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"&amp;J329&amp;" INNER JOIN "&amp;K329&amp;" "&amp;L329,"SELECT '"&amp;UPPER(B329)&amp;"' AS TABELA, '"&amp;UPPER(D329)&amp;"' AS TIPOLOGIA_TESTE,'"&amp;E329&amp;"' AS TABELA_LT,'"&amp;F329&amp;"' AS TABELA_SIMUL,'"&amp;C329&amp;"'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"&amp;J329&amp;" INNER JOIN "&amp;K329&amp;" "&amp;L329))</f>
        <v>SELECT 'INSTRUMENT' AS TABELA, 'COERÊNCIA' AS TIPOLOGIA_TESTE,'CD_LOAN_TAPES_BCE.LT002_INSTRUMENT' AS TABELA_LT,'BU_LOANTAPE_WORK.LT002_INSTRUMENT' AS TABELA_SIMUL,'leg_2_reference_rate'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leg_2_reference_rate AS CAMPO_IT FROM CD_LOAN_TAPES_BCE.LT002_INSTRUMENT WHERE ref_date='${ref_date}' AND nome_perimetro='Individual Local' AND segmento='ESTR' AND ambito='PM' AND entidade='00100')X INNER JOIN (SELECT instrmnt_id AS CHAVE_SIMUL, leg_2_reference_rate AS CAMPO_SIMUL FROM BU_LOANTAPE_WORK.LT002_INSTRUMENT WHERE ref_date='${ref_date}' AND nome_perimetro='Individual Local' AND segmento='ESTR' AND ambito='PM' AND entidade='00100')Y ON X.CHAVE_IT=Y.CHAVE_SIMUL</v>
      </c>
      <c r="N329" s="33" t="str">
        <f t="shared" si="11"/>
        <v>UNION ALL SELECT 'INSTRUMENT' AS TABELA, 'COERÊNCIA' AS TIPOLOGIA_TESTE,'CD_LOAN_TAPES_BCE.LT002_INSTRUMENT' AS TABELA_LT,'BU_LOANTAPE_WORK.LT002_INSTRUMENT' AS TABELA_SIMUL,'leg_2_reference_rate'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leg_2_reference_rate AS CAMPO_IT FROM CD_LOAN_TAPES_BCE.LT002_INSTRUMENT WHERE ref_date='${ref_date}' AND nome_perimetro='Individual Local' AND segmento='ESTR' AND ambito='PM' AND entidade='00100')X INNER JOIN (SELECT instrmnt_id AS CHAVE_SIMUL, leg_2_reference_rate AS CAMPO_SIMUL FROM BU_LOANTAPE_WORK.LT002_INSTRUMENT WHERE ref_date='${ref_date}' AND nome_perimetro='Individual Local' AND segmento='ESTR' AND ambito='PM' AND entidade='00100')Y ON X.CHAVE_IT=Y.CHAVE_SIMUL</v>
      </c>
      <c r="O329" s="35" t="s">
        <v>35</v>
      </c>
    </row>
    <row r="330" spans="1:15">
      <c r="A330" s="57" t="str">
        <f t="shared" si="12"/>
        <v>Instrumentleg_1_reference_period</v>
      </c>
      <c r="B330" s="32" t="s">
        <v>9</v>
      </c>
      <c r="C330" s="32" t="s">
        <v>481</v>
      </c>
      <c r="D330" s="32" t="s">
        <v>5</v>
      </c>
      <c r="E330" s="32" t="str">
        <f>+UPPER('0. Instruções'!$D$35&amp;"."&amp;VLOOKUP(B330,'0. Instruções'!$C$27:$D$32,2,FALSE))</f>
        <v>CD_LOAN_TAPES_BCE.LT002_INSTRUMENT</v>
      </c>
      <c r="F330" s="32" t="str">
        <f>+UPPER('0. Instruções'!$D$36&amp;"."&amp;VLOOKUP(B330,'0. Instruções'!$C$27:$E$32,3,FALSE))</f>
        <v>BU_LOANTAPE_WORK.LT002_INSTRUMENT</v>
      </c>
      <c r="H330" s="32"/>
      <c r="I330" s="32"/>
      <c r="J330" s="32" t="str">
        <f>IF(VLOOKUP(B330,'0. Instruções'!$C$27:$G$32,5,FALSE)=0,
"(SELECT "&amp;VLOOKUP(B330,'0. Instruções'!$C$27:$G$32,4,FALSE)&amp;" AS CHAVE_IT, "&amp;C330&amp;" AS CAMPO_IT FROM "&amp;E330&amp;" WHERE "&amp;'0. Instruções'!$D$43&amp;")X",
"(SELECT "&amp;VLOOKUP(B330,'0. Instruções'!$C$27:$G$32,4,FALSE)&amp;" AS CHAVE_IT1, "&amp;VLOOKUP(B330,'0. Instruções'!$C$27:$G$32,5,FALSE)&amp;" AS CHAVE_IT2, "&amp;C330&amp;" AS CAMPO_IT FROM "&amp;E330&amp;" WHERE "&amp;'0. Instruções'!$D$43&amp;")X")</f>
        <v>(SELECT instrmnt_id AS CHAVE_IT, leg_1_reference_period AS CAMPO_IT FROM CD_LOAN_TAPES_BCE.LT002_INSTRUMENT WHERE ref_date='${ref_date}' AND nome_perimetro='Individual Local' AND segmento='ESTR' AND ambito='PM' AND entidade='00100')X</v>
      </c>
      <c r="K330" s="32" t="str">
        <f>IF(VLOOKUP(B330,'0. Instruções'!$C$27:$G$32,5,FALSE)=0,
"(SELECT "&amp;VLOOKUP(B330,'0. Instruções'!$C$27:$G$32,4,FALSE)&amp;" AS CHAVE_SIMUL, "&amp;C330&amp;" AS CAMPO_SIMUL FROM "&amp;F330&amp;" WHERE "&amp;'0. Instruções'!$D$42&amp;")Y",
"(SELECT "&amp;VLOOKUP(B330,'0. Instruções'!$C$27:$G$32,4,FALSE)&amp;" AS CHAVE_SIMUL1, "&amp;VLOOKUP(B330,'0. Instruções'!$C$27:$G$32,5,FALSE)&amp;" AS CHAVE_SIMUL2, "&amp;C330&amp;" AS CAMPO_SIMUL FROM "&amp;F330&amp;" WHERE "&amp;'0. Instruções'!$D$42&amp;")Y")</f>
        <v>(SELECT instrmnt_id AS CHAVE_SIMUL, leg_1_reference_period AS CAMPO_SIMUL FROM BU_LOANTAPE_WORK.LT002_INSTRUMENT WHERE ref_date='${ref_date}' AND nome_perimetro='Individual Local' AND segmento='ESTR' AND ambito='PM' AND entidade='00100')Y</v>
      </c>
      <c r="L330" s="32" t="str">
        <f>IF(VLOOKUP(B330,'0. Instruções'!$C$27:$G$32,5,FALSE)=0,
"ON X.CHAVE_IT=Y.CHAVE_SIMUL",
"ON X.CHAVE_IT1=Y.CHAVE_SIMUL1 AND X.CHAVE_IT2=Y.CHAVE_SIMUL2")</f>
        <v>ON X.CHAVE_IT=Y.CHAVE_SIMUL</v>
      </c>
      <c r="M330" s="32" t="str">
        <f>+IF(D330="Coerência",+IF(LEFT(H330,5)="FLOAT","SELECT '"&amp;UPPER(B330)&amp;"' AS TABELA, '"&amp;UPPER(D330)&amp;"' AS TIPOLOGIA_TESTE,'"&amp;E330&amp;"' AS TABELA_LT,'"&amp;F330&amp;"' AS TABELA_SIMUL,'"&amp;C330&amp;"'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"&amp;J330&amp;" INNER JOIN "&amp;K330&amp;" "&amp;L330,"SELECT '"&amp;UPPER(B330)&amp;"' AS TABELA, '"&amp;UPPER(D330)&amp;"' AS TIPOLOGIA_TESTE,'"&amp;E330&amp;"' AS TABELA_LT,'"&amp;F330&amp;"' AS TABELA_SIMUL,'"&amp;C330&amp;"'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"&amp;J330&amp;" INNER JOIN "&amp;K330&amp;" "&amp;L330))</f>
        <v>SELECT 'INSTRUMENT' AS TABELA, 'COERÊNCIA' AS TIPOLOGIA_TESTE,'CD_LOAN_TAPES_BCE.LT002_INSTRUMENT' AS TABELA_LT,'BU_LOANTAPE_WORK.LT002_INSTRUMENT' AS TABELA_SIMUL,'leg_1_reference_period'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leg_1_reference_period AS CAMPO_IT FROM CD_LOAN_TAPES_BCE.LT002_INSTRUMENT WHERE ref_date='${ref_date}' AND nome_perimetro='Individual Local' AND segmento='ESTR' AND ambito='PM' AND entidade='00100')X INNER JOIN (SELECT instrmnt_id AS CHAVE_SIMUL, leg_1_reference_period AS CAMPO_SIMUL FROM BU_LOANTAPE_WORK.LT002_INSTRUMENT WHERE ref_date='${ref_date}' AND nome_perimetro='Individual Local' AND segmento='ESTR' AND ambito='PM' AND entidade='00100')Y ON X.CHAVE_IT=Y.CHAVE_SIMUL</v>
      </c>
      <c r="N330" s="33" t="str">
        <f t="shared" si="11"/>
        <v>UNION ALL SELECT 'INSTRUMENT' AS TABELA, 'COERÊNCIA' AS TIPOLOGIA_TESTE,'CD_LOAN_TAPES_BCE.LT002_INSTRUMENT' AS TABELA_LT,'BU_LOANTAPE_WORK.LT002_INSTRUMENT' AS TABELA_SIMUL,'leg_1_reference_period'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leg_1_reference_period AS CAMPO_IT FROM CD_LOAN_TAPES_BCE.LT002_INSTRUMENT WHERE ref_date='${ref_date}' AND nome_perimetro='Individual Local' AND segmento='ESTR' AND ambito='PM' AND entidade='00100')X INNER JOIN (SELECT instrmnt_id AS CHAVE_SIMUL, leg_1_reference_period AS CAMPO_SIMUL FROM BU_LOANTAPE_WORK.LT002_INSTRUMENT WHERE ref_date='${ref_date}' AND nome_perimetro='Individual Local' AND segmento='ESTR' AND ambito='PM' AND entidade='00100')Y ON X.CHAVE_IT=Y.CHAVE_SIMUL</v>
      </c>
      <c r="O330" s="35" t="s">
        <v>35</v>
      </c>
    </row>
    <row r="331" spans="1:15">
      <c r="A331" s="57" t="str">
        <f t="shared" si="12"/>
        <v>Instrumentleg_2_reference_period</v>
      </c>
      <c r="B331" s="32" t="s">
        <v>9</v>
      </c>
      <c r="C331" s="32" t="s">
        <v>482</v>
      </c>
      <c r="D331" s="32" t="s">
        <v>5</v>
      </c>
      <c r="E331" s="32" t="str">
        <f>+UPPER('0. Instruções'!$D$35&amp;"."&amp;VLOOKUP(B331,'0. Instruções'!$C$27:$D$32,2,FALSE))</f>
        <v>CD_LOAN_TAPES_BCE.LT002_INSTRUMENT</v>
      </c>
      <c r="F331" s="32" t="str">
        <f>+UPPER('0. Instruções'!$D$36&amp;"."&amp;VLOOKUP(B331,'0. Instruções'!$C$27:$E$32,3,FALSE))</f>
        <v>BU_LOANTAPE_WORK.LT002_INSTRUMENT</v>
      </c>
      <c r="H331" s="32"/>
      <c r="I331" s="32"/>
      <c r="J331" s="32" t="str">
        <f>IF(VLOOKUP(B331,'0. Instruções'!$C$27:$G$32,5,FALSE)=0,
"(SELECT "&amp;VLOOKUP(B331,'0. Instruções'!$C$27:$G$32,4,FALSE)&amp;" AS CHAVE_IT, "&amp;C331&amp;" AS CAMPO_IT FROM "&amp;E331&amp;" WHERE "&amp;'0. Instruções'!$D$43&amp;")X",
"(SELECT "&amp;VLOOKUP(B331,'0. Instruções'!$C$27:$G$32,4,FALSE)&amp;" AS CHAVE_IT1, "&amp;VLOOKUP(B331,'0. Instruções'!$C$27:$G$32,5,FALSE)&amp;" AS CHAVE_IT2, "&amp;C331&amp;" AS CAMPO_IT FROM "&amp;E331&amp;" WHERE "&amp;'0. Instruções'!$D$43&amp;")X")</f>
        <v>(SELECT instrmnt_id AS CHAVE_IT, leg_2_reference_period AS CAMPO_IT FROM CD_LOAN_TAPES_BCE.LT002_INSTRUMENT WHERE ref_date='${ref_date}' AND nome_perimetro='Individual Local' AND segmento='ESTR' AND ambito='PM' AND entidade='00100')X</v>
      </c>
      <c r="K331" s="32" t="str">
        <f>IF(VLOOKUP(B331,'0. Instruções'!$C$27:$G$32,5,FALSE)=0,
"(SELECT "&amp;VLOOKUP(B331,'0. Instruções'!$C$27:$G$32,4,FALSE)&amp;" AS CHAVE_SIMUL, "&amp;C331&amp;" AS CAMPO_SIMUL FROM "&amp;F331&amp;" WHERE "&amp;'0. Instruções'!$D$42&amp;")Y",
"(SELECT "&amp;VLOOKUP(B331,'0. Instruções'!$C$27:$G$32,4,FALSE)&amp;" AS CHAVE_SIMUL1, "&amp;VLOOKUP(B331,'0. Instruções'!$C$27:$G$32,5,FALSE)&amp;" AS CHAVE_SIMUL2, "&amp;C331&amp;" AS CAMPO_SIMUL FROM "&amp;F331&amp;" WHERE "&amp;'0. Instruções'!$D$42&amp;")Y")</f>
        <v>(SELECT instrmnt_id AS CHAVE_SIMUL, leg_2_reference_period AS CAMPO_SIMUL FROM BU_LOANTAPE_WORK.LT002_INSTRUMENT WHERE ref_date='${ref_date}' AND nome_perimetro='Individual Local' AND segmento='ESTR' AND ambito='PM' AND entidade='00100')Y</v>
      </c>
      <c r="L331" s="32" t="str">
        <f>IF(VLOOKUP(B331,'0. Instruções'!$C$27:$G$32,5,FALSE)=0,
"ON X.CHAVE_IT=Y.CHAVE_SIMUL",
"ON X.CHAVE_IT1=Y.CHAVE_SIMUL1 AND X.CHAVE_IT2=Y.CHAVE_SIMUL2")</f>
        <v>ON X.CHAVE_IT=Y.CHAVE_SIMUL</v>
      </c>
      <c r="M331" s="32" t="str">
        <f>+IF(D331="Coerência",+IF(LEFT(H331,5)="FLOAT","SELECT '"&amp;UPPER(B331)&amp;"' AS TABELA, '"&amp;UPPER(D331)&amp;"' AS TIPOLOGIA_TESTE,'"&amp;E331&amp;"' AS TABELA_LT,'"&amp;F331&amp;"' AS TABELA_SIMUL,'"&amp;C331&amp;"'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"&amp;J331&amp;" INNER JOIN "&amp;K331&amp;" "&amp;L331,"SELECT '"&amp;UPPER(B331)&amp;"' AS TABELA, '"&amp;UPPER(D331)&amp;"' AS TIPOLOGIA_TESTE,'"&amp;E331&amp;"' AS TABELA_LT,'"&amp;F331&amp;"' AS TABELA_SIMUL,'"&amp;C331&amp;"'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"&amp;J331&amp;" INNER JOIN "&amp;K331&amp;" "&amp;L331))</f>
        <v>SELECT 'INSTRUMENT' AS TABELA, 'COERÊNCIA' AS TIPOLOGIA_TESTE,'CD_LOAN_TAPES_BCE.LT002_INSTRUMENT' AS TABELA_LT,'BU_LOANTAPE_WORK.LT002_INSTRUMENT' AS TABELA_SIMUL,'leg_2_reference_period'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leg_2_reference_period AS CAMPO_IT FROM CD_LOAN_TAPES_BCE.LT002_INSTRUMENT WHERE ref_date='${ref_date}' AND nome_perimetro='Individual Local' AND segmento='ESTR' AND ambito='PM' AND entidade='00100')X INNER JOIN (SELECT instrmnt_id AS CHAVE_SIMUL, leg_2_reference_period AS CAMPO_SIMUL FROM BU_LOANTAPE_WORK.LT002_INSTRUMENT WHERE ref_date='${ref_date}' AND nome_perimetro='Individual Local' AND segmento='ESTR' AND ambito='PM' AND entidade='00100')Y ON X.CHAVE_IT=Y.CHAVE_SIMUL</v>
      </c>
      <c r="N331" s="33" t="str">
        <f t="shared" si="11"/>
        <v>UNION ALL SELECT 'INSTRUMENT' AS TABELA, 'COERÊNCIA' AS TIPOLOGIA_TESTE,'CD_LOAN_TAPES_BCE.LT002_INSTRUMENT' AS TABELA_LT,'BU_LOANTAPE_WORK.LT002_INSTRUMENT' AS TABELA_SIMUL,'leg_2_reference_period'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leg_2_reference_period AS CAMPO_IT FROM CD_LOAN_TAPES_BCE.LT002_INSTRUMENT WHERE ref_date='${ref_date}' AND nome_perimetro='Individual Local' AND segmento='ESTR' AND ambito='PM' AND entidade='00100')X INNER JOIN (SELECT instrmnt_id AS CHAVE_SIMUL, leg_2_reference_period AS CAMPO_SIMUL FROM BU_LOANTAPE_WORK.LT002_INSTRUMENT WHERE ref_date='${ref_date}' AND nome_perimetro='Individual Local' AND segmento='ESTR' AND ambito='PM' AND entidade='00100')Y ON X.CHAVE_IT=Y.CHAVE_SIMUL</v>
      </c>
      <c r="O331" s="35" t="s">
        <v>35</v>
      </c>
    </row>
    <row r="332" spans="1:15">
      <c r="A332" s="57" t="str">
        <f t="shared" si="12"/>
        <v>Instrumentpremium</v>
      </c>
      <c r="B332" s="32" t="s">
        <v>9</v>
      </c>
      <c r="C332" s="32" t="s">
        <v>483</v>
      </c>
      <c r="D332" s="32" t="s">
        <v>5</v>
      </c>
      <c r="E332" s="32" t="str">
        <f>+UPPER('0. Instruções'!$D$35&amp;"."&amp;VLOOKUP(B332,'0. Instruções'!$C$27:$D$32,2,FALSE))</f>
        <v>CD_LOAN_TAPES_BCE.LT002_INSTRUMENT</v>
      </c>
      <c r="F332" s="32" t="str">
        <f>+UPPER('0. Instruções'!$D$36&amp;"."&amp;VLOOKUP(B332,'0. Instruções'!$C$27:$E$32,3,FALSE))</f>
        <v>BU_LOANTAPE_WORK.LT002_INSTRUMENT</v>
      </c>
      <c r="H332" s="32"/>
      <c r="I332" s="32"/>
      <c r="J332" s="32" t="str">
        <f>IF(VLOOKUP(B332,'0. Instruções'!$C$27:$G$32,5,FALSE)=0,
"(SELECT "&amp;VLOOKUP(B332,'0. Instruções'!$C$27:$G$32,4,FALSE)&amp;" AS CHAVE_IT, "&amp;C332&amp;" AS CAMPO_IT FROM "&amp;E332&amp;" WHERE "&amp;'0. Instruções'!$D$43&amp;")X",
"(SELECT "&amp;VLOOKUP(B332,'0. Instruções'!$C$27:$G$32,4,FALSE)&amp;" AS CHAVE_IT1, "&amp;VLOOKUP(B332,'0. Instruções'!$C$27:$G$32,5,FALSE)&amp;" AS CHAVE_IT2, "&amp;C332&amp;" AS CAMPO_IT FROM "&amp;E332&amp;" WHERE "&amp;'0. Instruções'!$D$43&amp;")X")</f>
        <v>(SELECT instrmnt_id AS CHAVE_IT, premium AS CAMPO_IT FROM CD_LOAN_TAPES_BCE.LT002_INSTRUMENT WHERE ref_date='${ref_date}' AND nome_perimetro='Individual Local' AND segmento='ESTR' AND ambito='PM' AND entidade='00100')X</v>
      </c>
      <c r="K332" s="32" t="str">
        <f>IF(VLOOKUP(B332,'0. Instruções'!$C$27:$G$32,5,FALSE)=0,
"(SELECT "&amp;VLOOKUP(B332,'0. Instruções'!$C$27:$G$32,4,FALSE)&amp;" AS CHAVE_SIMUL, "&amp;C332&amp;" AS CAMPO_SIMUL FROM "&amp;F332&amp;" WHERE "&amp;'0. Instruções'!$D$42&amp;")Y",
"(SELECT "&amp;VLOOKUP(B332,'0. Instruções'!$C$27:$G$32,4,FALSE)&amp;" AS CHAVE_SIMUL1, "&amp;VLOOKUP(B332,'0. Instruções'!$C$27:$G$32,5,FALSE)&amp;" AS CHAVE_SIMUL2, "&amp;C332&amp;" AS CAMPO_SIMUL FROM "&amp;F332&amp;" WHERE "&amp;'0. Instruções'!$D$42&amp;")Y")</f>
        <v>(SELECT instrmnt_id AS CHAVE_SIMUL, premium AS CAMPO_SIMUL FROM BU_LOANTAPE_WORK.LT002_INSTRUMENT WHERE ref_date='${ref_date}' AND nome_perimetro='Individual Local' AND segmento='ESTR' AND ambito='PM' AND entidade='00100')Y</v>
      </c>
      <c r="L332" s="32" t="str">
        <f>IF(VLOOKUP(B332,'0. Instruções'!$C$27:$G$32,5,FALSE)=0,
"ON X.CHAVE_IT=Y.CHAVE_SIMUL",
"ON X.CHAVE_IT1=Y.CHAVE_SIMUL1 AND X.CHAVE_IT2=Y.CHAVE_SIMUL2")</f>
        <v>ON X.CHAVE_IT=Y.CHAVE_SIMUL</v>
      </c>
      <c r="M332" s="32" t="str">
        <f>+IF(D332="Coerência",+IF(LEFT(H332,5)="FLOAT","SELECT '"&amp;UPPER(B332)&amp;"' AS TABELA, '"&amp;UPPER(D332)&amp;"' AS TIPOLOGIA_TESTE,'"&amp;E332&amp;"' AS TABELA_LT,'"&amp;F332&amp;"' AS TABELA_SIMUL,'"&amp;C332&amp;"'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"&amp;J332&amp;" INNER JOIN "&amp;K332&amp;" "&amp;L332,"SELECT '"&amp;UPPER(B332)&amp;"' AS TABELA, '"&amp;UPPER(D332)&amp;"' AS TIPOLOGIA_TESTE,'"&amp;E332&amp;"' AS TABELA_LT,'"&amp;F332&amp;"' AS TABELA_SIMUL,'"&amp;C332&amp;"'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"&amp;J332&amp;" INNER JOIN "&amp;K332&amp;" "&amp;L332))</f>
        <v>SELECT 'INSTRUMENT' AS TABELA, 'COERÊNCIA' AS TIPOLOGIA_TESTE,'CD_LOAN_TAPES_BCE.LT002_INSTRUMENT' AS TABELA_LT,'BU_LOANTAPE_WORK.LT002_INSTRUMENT' AS TABELA_SIMUL,'premium'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premium AS CAMPO_IT FROM CD_LOAN_TAPES_BCE.LT002_INSTRUMENT WHERE ref_date='${ref_date}' AND nome_perimetro='Individual Local' AND segmento='ESTR' AND ambito='PM' AND entidade='00100')X INNER JOIN (SELECT instrmnt_id AS CHAVE_SIMUL, premium AS CAMPO_SIMUL FROM BU_LOANTAPE_WORK.LT002_INSTRUMENT WHERE ref_date='${ref_date}' AND nome_perimetro='Individual Local' AND segmento='ESTR' AND ambito='PM' AND entidade='00100')Y ON X.CHAVE_IT=Y.CHAVE_SIMUL</v>
      </c>
      <c r="N332" s="33" t="str">
        <f t="shared" si="11"/>
        <v>UNION ALL SELECT 'INSTRUMENT' AS TABELA, 'COERÊNCIA' AS TIPOLOGIA_TESTE,'CD_LOAN_TAPES_BCE.LT002_INSTRUMENT' AS TABELA_LT,'BU_LOANTAPE_WORK.LT002_INSTRUMENT' AS TABELA_SIMUL,'premium'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premium AS CAMPO_IT FROM CD_LOAN_TAPES_BCE.LT002_INSTRUMENT WHERE ref_date='${ref_date}' AND nome_perimetro='Individual Local' AND segmento='ESTR' AND ambito='PM' AND entidade='00100')X INNER JOIN (SELECT instrmnt_id AS CHAVE_SIMUL, premium AS CAMPO_SIMUL FROM BU_LOANTAPE_WORK.LT002_INSTRUMENT WHERE ref_date='${ref_date}' AND nome_perimetro='Individual Local' AND segmento='ESTR' AND ambito='PM' AND entidade='00100')Y ON X.CHAVE_IT=Y.CHAVE_SIMUL</v>
      </c>
      <c r="O332" s="35" t="s">
        <v>35</v>
      </c>
    </row>
    <row r="333" spans="1:15">
      <c r="A333" s="57" t="str">
        <f t="shared" si="12"/>
        <v>Instrumentnetting_agreement</v>
      </c>
      <c r="B333" s="32" t="s">
        <v>9</v>
      </c>
      <c r="C333" s="32" t="s">
        <v>484</v>
      </c>
      <c r="D333" s="32" t="s">
        <v>5</v>
      </c>
      <c r="E333" s="32" t="str">
        <f>+UPPER('0. Instruções'!$D$35&amp;"."&amp;VLOOKUP(B333,'0. Instruções'!$C$27:$D$32,2,FALSE))</f>
        <v>CD_LOAN_TAPES_BCE.LT002_INSTRUMENT</v>
      </c>
      <c r="F333" s="32" t="str">
        <f>+UPPER('0. Instruções'!$D$36&amp;"."&amp;VLOOKUP(B333,'0. Instruções'!$C$27:$E$32,3,FALSE))</f>
        <v>BU_LOANTAPE_WORK.LT002_INSTRUMENT</v>
      </c>
      <c r="H333" s="32"/>
      <c r="I333" s="32"/>
      <c r="J333" s="32" t="str">
        <f>IF(VLOOKUP(B333,'0. Instruções'!$C$27:$G$32,5,FALSE)=0,
"(SELECT "&amp;VLOOKUP(B333,'0. Instruções'!$C$27:$G$32,4,FALSE)&amp;" AS CHAVE_IT, "&amp;C333&amp;" AS CAMPO_IT FROM "&amp;E333&amp;" WHERE "&amp;'0. Instruções'!$D$43&amp;")X",
"(SELECT "&amp;VLOOKUP(B333,'0. Instruções'!$C$27:$G$32,4,FALSE)&amp;" AS CHAVE_IT1, "&amp;VLOOKUP(B333,'0. Instruções'!$C$27:$G$32,5,FALSE)&amp;" AS CHAVE_IT2, "&amp;C333&amp;" AS CAMPO_IT FROM "&amp;E333&amp;" WHERE "&amp;'0. Instruções'!$D$43&amp;")X")</f>
        <v>(SELECT instrmnt_id AS CHAVE_IT, netting_agreement AS CAMPO_IT FROM CD_LOAN_TAPES_BCE.LT002_INSTRUMENT WHERE ref_date='${ref_date}' AND nome_perimetro='Individual Local' AND segmento='ESTR' AND ambito='PM' AND entidade='00100')X</v>
      </c>
      <c r="K333" s="32" t="str">
        <f>IF(VLOOKUP(B333,'0. Instruções'!$C$27:$G$32,5,FALSE)=0,
"(SELECT "&amp;VLOOKUP(B333,'0. Instruções'!$C$27:$G$32,4,FALSE)&amp;" AS CHAVE_SIMUL, "&amp;C333&amp;" AS CAMPO_SIMUL FROM "&amp;F333&amp;" WHERE "&amp;'0. Instruções'!$D$42&amp;")Y",
"(SELECT "&amp;VLOOKUP(B333,'0. Instruções'!$C$27:$G$32,4,FALSE)&amp;" AS CHAVE_SIMUL1, "&amp;VLOOKUP(B333,'0. Instruções'!$C$27:$G$32,5,FALSE)&amp;" AS CHAVE_SIMUL2, "&amp;C333&amp;" AS CAMPO_SIMUL FROM "&amp;F333&amp;" WHERE "&amp;'0. Instruções'!$D$42&amp;")Y")</f>
        <v>(SELECT instrmnt_id AS CHAVE_SIMUL, netting_agreement AS CAMPO_SIMUL FROM BU_LOANTAPE_WORK.LT002_INSTRUMENT WHERE ref_date='${ref_date}' AND nome_perimetro='Individual Local' AND segmento='ESTR' AND ambito='PM' AND entidade='00100')Y</v>
      </c>
      <c r="L333" s="32" t="str">
        <f>IF(VLOOKUP(B333,'0. Instruções'!$C$27:$G$32,5,FALSE)=0,
"ON X.CHAVE_IT=Y.CHAVE_SIMUL",
"ON X.CHAVE_IT1=Y.CHAVE_SIMUL1 AND X.CHAVE_IT2=Y.CHAVE_SIMUL2")</f>
        <v>ON X.CHAVE_IT=Y.CHAVE_SIMUL</v>
      </c>
      <c r="M333" s="32" t="str">
        <f>+IF(D333="Coerência",+IF(LEFT(H333,5)="FLOAT","SELECT '"&amp;UPPER(B333)&amp;"' AS TABELA, '"&amp;UPPER(D333)&amp;"' AS TIPOLOGIA_TESTE,'"&amp;E333&amp;"' AS TABELA_LT,'"&amp;F333&amp;"' AS TABELA_SIMUL,'"&amp;C333&amp;"'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"&amp;J333&amp;" INNER JOIN "&amp;K333&amp;" "&amp;L333,"SELECT '"&amp;UPPER(B333)&amp;"' AS TABELA, '"&amp;UPPER(D333)&amp;"' AS TIPOLOGIA_TESTE,'"&amp;E333&amp;"' AS TABELA_LT,'"&amp;F333&amp;"' AS TABELA_SIMUL,'"&amp;C333&amp;"'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"&amp;J333&amp;" INNER JOIN "&amp;K333&amp;" "&amp;L333))</f>
        <v>SELECT 'INSTRUMENT' AS TABELA, 'COERÊNCIA' AS TIPOLOGIA_TESTE,'CD_LOAN_TAPES_BCE.LT002_INSTRUMENT' AS TABELA_LT,'BU_LOANTAPE_WORK.LT002_INSTRUMENT' AS TABELA_SIMUL,'netting_agreement'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netting_agreement AS CAMPO_IT FROM CD_LOAN_TAPES_BCE.LT002_INSTRUMENT WHERE ref_date='${ref_date}' AND nome_perimetro='Individual Local' AND segmento='ESTR' AND ambito='PM' AND entidade='00100')X INNER JOIN (SELECT instrmnt_id AS CHAVE_SIMUL, netting_agreement AS CAMPO_SIMUL FROM BU_LOANTAPE_WORK.LT002_INSTRUMENT WHERE ref_date='${ref_date}' AND nome_perimetro='Individual Local' AND segmento='ESTR' AND ambito='PM' AND entidade='00100')Y ON X.CHAVE_IT=Y.CHAVE_SIMUL</v>
      </c>
      <c r="N333" s="33" t="str">
        <f t="shared" si="11"/>
        <v>UNION ALL SELECT 'INSTRUMENT' AS TABELA, 'COERÊNCIA' AS TIPOLOGIA_TESTE,'CD_LOAN_TAPES_BCE.LT002_INSTRUMENT' AS TABELA_LT,'BU_LOANTAPE_WORK.LT002_INSTRUMENT' AS TABELA_SIMUL,'netting_agreement'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netting_agreement AS CAMPO_IT FROM CD_LOAN_TAPES_BCE.LT002_INSTRUMENT WHERE ref_date='${ref_date}' AND nome_perimetro='Individual Local' AND segmento='ESTR' AND ambito='PM' AND entidade='00100')X INNER JOIN (SELECT instrmnt_id AS CHAVE_SIMUL, netting_agreement AS CAMPO_SIMUL FROM BU_LOANTAPE_WORK.LT002_INSTRUMENT WHERE ref_date='${ref_date}' AND nome_perimetro='Individual Local' AND segmento='ESTR' AND ambito='PM' AND entidade='00100')Y ON X.CHAVE_IT=Y.CHAVE_SIMUL</v>
      </c>
      <c r="O333" s="35" t="s">
        <v>35</v>
      </c>
    </row>
    <row r="334" spans="1:15">
      <c r="A334" s="57" t="str">
        <f t="shared" si="12"/>
        <v>Instrumenthierarchy</v>
      </c>
      <c r="B334" s="32" t="s">
        <v>9</v>
      </c>
      <c r="C334" s="32" t="s">
        <v>485</v>
      </c>
      <c r="D334" s="32" t="s">
        <v>5</v>
      </c>
      <c r="E334" s="32" t="str">
        <f>+UPPER('0. Instruções'!$D$35&amp;"."&amp;VLOOKUP(B334,'0. Instruções'!$C$27:$D$32,2,FALSE))</f>
        <v>CD_LOAN_TAPES_BCE.LT002_INSTRUMENT</v>
      </c>
      <c r="F334" s="32" t="str">
        <f>+UPPER('0. Instruções'!$D$36&amp;"."&amp;VLOOKUP(B334,'0. Instruções'!$C$27:$E$32,3,FALSE))</f>
        <v>BU_LOANTAPE_WORK.LT002_INSTRUMENT</v>
      </c>
      <c r="H334" s="32"/>
      <c r="I334" s="32"/>
      <c r="J334" s="32" t="str">
        <f>IF(VLOOKUP(B334,'0. Instruções'!$C$27:$G$32,5,FALSE)=0,
"(SELECT "&amp;VLOOKUP(B334,'0. Instruções'!$C$27:$G$32,4,FALSE)&amp;" AS CHAVE_IT, "&amp;C334&amp;" AS CAMPO_IT FROM "&amp;E334&amp;" WHERE "&amp;'0. Instruções'!$D$43&amp;")X",
"(SELECT "&amp;VLOOKUP(B334,'0. Instruções'!$C$27:$G$32,4,FALSE)&amp;" AS CHAVE_IT1, "&amp;VLOOKUP(B334,'0. Instruções'!$C$27:$G$32,5,FALSE)&amp;" AS CHAVE_IT2, "&amp;C334&amp;" AS CAMPO_IT FROM "&amp;E334&amp;" WHERE "&amp;'0. Instruções'!$D$43&amp;")X")</f>
        <v>(SELECT instrmnt_id AS CHAVE_IT, hierarchy AS CAMPO_IT FROM CD_LOAN_TAPES_BCE.LT002_INSTRUMENT WHERE ref_date='${ref_date}' AND nome_perimetro='Individual Local' AND segmento='ESTR' AND ambito='PM' AND entidade='00100')X</v>
      </c>
      <c r="K334" s="32" t="str">
        <f>IF(VLOOKUP(B334,'0. Instruções'!$C$27:$G$32,5,FALSE)=0,
"(SELECT "&amp;VLOOKUP(B334,'0. Instruções'!$C$27:$G$32,4,FALSE)&amp;" AS CHAVE_SIMUL, "&amp;C334&amp;" AS CAMPO_SIMUL FROM "&amp;F334&amp;" WHERE "&amp;'0. Instruções'!$D$42&amp;")Y",
"(SELECT "&amp;VLOOKUP(B334,'0. Instruções'!$C$27:$G$32,4,FALSE)&amp;" AS CHAVE_SIMUL1, "&amp;VLOOKUP(B334,'0. Instruções'!$C$27:$G$32,5,FALSE)&amp;" AS CHAVE_SIMUL2, "&amp;C334&amp;" AS CAMPO_SIMUL FROM "&amp;F334&amp;" WHERE "&amp;'0. Instruções'!$D$42&amp;")Y")</f>
        <v>(SELECT instrmnt_id AS CHAVE_SIMUL, hierarchy AS CAMPO_SIMUL FROM BU_LOANTAPE_WORK.LT002_INSTRUMENT WHERE ref_date='${ref_date}' AND nome_perimetro='Individual Local' AND segmento='ESTR' AND ambito='PM' AND entidade='00100')Y</v>
      </c>
      <c r="L334" s="32" t="str">
        <f>IF(VLOOKUP(B334,'0. Instruções'!$C$27:$G$32,5,FALSE)=0,
"ON X.CHAVE_IT=Y.CHAVE_SIMUL",
"ON X.CHAVE_IT1=Y.CHAVE_SIMUL1 AND X.CHAVE_IT2=Y.CHAVE_SIMUL2")</f>
        <v>ON X.CHAVE_IT=Y.CHAVE_SIMUL</v>
      </c>
      <c r="M334" s="32" t="str">
        <f>+IF(D334="Coerência",+IF(LEFT(H334,5)="FLOAT","SELECT '"&amp;UPPER(B334)&amp;"' AS TABELA, '"&amp;UPPER(D334)&amp;"' AS TIPOLOGIA_TESTE,'"&amp;E334&amp;"' AS TABELA_LT,'"&amp;F334&amp;"' AS TABELA_SIMUL,'"&amp;C334&amp;"'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"&amp;J334&amp;" INNER JOIN "&amp;K334&amp;" "&amp;L334,"SELECT '"&amp;UPPER(B334)&amp;"' AS TABELA, '"&amp;UPPER(D334)&amp;"' AS TIPOLOGIA_TESTE,'"&amp;E334&amp;"' AS TABELA_LT,'"&amp;F334&amp;"' AS TABELA_SIMUL,'"&amp;C334&amp;"'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"&amp;J334&amp;" INNER JOIN "&amp;K334&amp;" "&amp;L334))</f>
        <v>SELECT 'INSTRUMENT' AS TABELA, 'COERÊNCIA' AS TIPOLOGIA_TESTE,'CD_LOAN_TAPES_BCE.LT002_INSTRUMENT' AS TABELA_LT,'BU_LOANTAPE_WORK.LT002_INSTRUMENT' AS TABELA_SIMUL,'hierarchy'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hierarchy AS CAMPO_IT FROM CD_LOAN_TAPES_BCE.LT002_INSTRUMENT WHERE ref_date='${ref_date}' AND nome_perimetro='Individual Local' AND segmento='ESTR' AND ambito='PM' AND entidade='00100')X INNER JOIN (SELECT instrmnt_id AS CHAVE_SIMUL, hierarchy AS CAMPO_SIMUL FROM BU_LOANTAPE_WORK.LT002_INSTRUMENT WHERE ref_date='${ref_date}' AND nome_perimetro='Individual Local' AND segmento='ESTR' AND ambito='PM' AND entidade='00100')Y ON X.CHAVE_IT=Y.CHAVE_SIMUL</v>
      </c>
      <c r="N334" s="33" t="str">
        <f t="shared" si="11"/>
        <v>UNION ALL SELECT 'INSTRUMENT' AS TABELA, 'COERÊNCIA' AS TIPOLOGIA_TESTE,'CD_LOAN_TAPES_BCE.LT002_INSTRUMENT' AS TABELA_LT,'BU_LOANTAPE_WORK.LT002_INSTRUMENT' AS TABELA_SIMUL,'hierarchy'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hierarchy AS CAMPO_IT FROM CD_LOAN_TAPES_BCE.LT002_INSTRUMENT WHERE ref_date='${ref_date}' AND nome_perimetro='Individual Local' AND segmento='ESTR' AND ambito='PM' AND entidade='00100')X INNER JOIN (SELECT instrmnt_id AS CHAVE_SIMUL, hierarchy AS CAMPO_SIMUL FROM BU_LOANTAPE_WORK.LT002_INSTRUMENT WHERE ref_date='${ref_date}' AND nome_perimetro='Individual Local' AND segmento='ESTR' AND ambito='PM' AND entidade='00100')Y ON X.CHAVE_IT=Y.CHAVE_SIMUL</v>
      </c>
      <c r="O334" s="35" t="s">
        <v>35</v>
      </c>
    </row>
    <row r="335" spans="1:15">
      <c r="A335" s="57" t="str">
        <f t="shared" si="12"/>
        <v>Instrumentsecurity_rating</v>
      </c>
      <c r="B335" s="32" t="s">
        <v>9</v>
      </c>
      <c r="C335" s="32" t="s">
        <v>486</v>
      </c>
      <c r="D335" s="32" t="s">
        <v>5</v>
      </c>
      <c r="E335" s="32" t="str">
        <f>+UPPER('0. Instruções'!$D$35&amp;"."&amp;VLOOKUP(B335,'0. Instruções'!$C$27:$D$32,2,FALSE))</f>
        <v>CD_LOAN_TAPES_BCE.LT002_INSTRUMENT</v>
      </c>
      <c r="F335" s="32" t="str">
        <f>+UPPER('0. Instruções'!$D$36&amp;"."&amp;VLOOKUP(B335,'0. Instruções'!$C$27:$E$32,3,FALSE))</f>
        <v>BU_LOANTAPE_WORK.LT002_INSTRUMENT</v>
      </c>
      <c r="H335" s="32"/>
      <c r="I335" s="32"/>
      <c r="J335" s="32" t="str">
        <f>IF(VLOOKUP(B335,'0. Instruções'!$C$27:$G$32,5,FALSE)=0,
"(SELECT "&amp;VLOOKUP(B335,'0. Instruções'!$C$27:$G$32,4,FALSE)&amp;" AS CHAVE_IT, "&amp;C335&amp;" AS CAMPO_IT FROM "&amp;E335&amp;" WHERE "&amp;'0. Instruções'!$D$43&amp;")X",
"(SELECT "&amp;VLOOKUP(B335,'0. Instruções'!$C$27:$G$32,4,FALSE)&amp;" AS CHAVE_IT1, "&amp;VLOOKUP(B335,'0. Instruções'!$C$27:$G$32,5,FALSE)&amp;" AS CHAVE_IT2, "&amp;C335&amp;" AS CAMPO_IT FROM "&amp;E335&amp;" WHERE "&amp;'0. Instruções'!$D$43&amp;")X")</f>
        <v>(SELECT instrmnt_id AS CHAVE_IT, security_rating AS CAMPO_IT FROM CD_LOAN_TAPES_BCE.LT002_INSTRUMENT WHERE ref_date='${ref_date}' AND nome_perimetro='Individual Local' AND segmento='ESTR' AND ambito='PM' AND entidade='00100')X</v>
      </c>
      <c r="K335" s="32" t="str">
        <f>IF(VLOOKUP(B335,'0. Instruções'!$C$27:$G$32,5,FALSE)=0,
"(SELECT "&amp;VLOOKUP(B335,'0. Instruções'!$C$27:$G$32,4,FALSE)&amp;" AS CHAVE_SIMUL, "&amp;C335&amp;" AS CAMPO_SIMUL FROM "&amp;F335&amp;" WHERE "&amp;'0. Instruções'!$D$42&amp;")Y",
"(SELECT "&amp;VLOOKUP(B335,'0. Instruções'!$C$27:$G$32,4,FALSE)&amp;" AS CHAVE_SIMUL1, "&amp;VLOOKUP(B335,'0. Instruções'!$C$27:$G$32,5,FALSE)&amp;" AS CHAVE_SIMUL2, "&amp;C335&amp;" AS CAMPO_SIMUL FROM "&amp;F335&amp;" WHERE "&amp;'0. Instruções'!$D$42&amp;")Y")</f>
        <v>(SELECT instrmnt_id AS CHAVE_SIMUL, security_rating AS CAMPO_SIMUL FROM BU_LOANTAPE_WORK.LT002_INSTRUMENT WHERE ref_date='${ref_date}' AND nome_perimetro='Individual Local' AND segmento='ESTR' AND ambito='PM' AND entidade='00100')Y</v>
      </c>
      <c r="L335" s="32" t="str">
        <f>IF(VLOOKUP(B335,'0. Instruções'!$C$27:$G$32,5,FALSE)=0,
"ON X.CHAVE_IT=Y.CHAVE_SIMUL",
"ON X.CHAVE_IT1=Y.CHAVE_SIMUL1 AND X.CHAVE_IT2=Y.CHAVE_SIMUL2")</f>
        <v>ON X.CHAVE_IT=Y.CHAVE_SIMUL</v>
      </c>
      <c r="M335" s="32" t="str">
        <f>+IF(D335="Coerência",+IF(LEFT(H335,5)="FLOAT","SELECT '"&amp;UPPER(B335)&amp;"' AS TABELA, '"&amp;UPPER(D335)&amp;"' AS TIPOLOGIA_TESTE,'"&amp;E335&amp;"' AS TABELA_LT,'"&amp;F335&amp;"' AS TABELA_SIMUL,'"&amp;C335&amp;"'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"&amp;J335&amp;" INNER JOIN "&amp;K335&amp;" "&amp;L335,"SELECT '"&amp;UPPER(B335)&amp;"' AS TABELA, '"&amp;UPPER(D335)&amp;"' AS TIPOLOGIA_TESTE,'"&amp;E335&amp;"' AS TABELA_LT,'"&amp;F335&amp;"' AS TABELA_SIMUL,'"&amp;C335&amp;"'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"&amp;J335&amp;" INNER JOIN "&amp;K335&amp;" "&amp;L335))</f>
        <v>SELECT 'INSTRUMENT' AS TABELA, 'COERÊNCIA' AS TIPOLOGIA_TESTE,'CD_LOAN_TAPES_BCE.LT002_INSTRUMENT' AS TABELA_LT,'BU_LOANTAPE_WORK.LT002_INSTRUMENT' AS TABELA_SIMUL,'security_rating'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security_rating AS CAMPO_IT FROM CD_LOAN_TAPES_BCE.LT002_INSTRUMENT WHERE ref_date='${ref_date}' AND nome_perimetro='Individual Local' AND segmento='ESTR' AND ambito='PM' AND entidade='00100')X INNER JOIN (SELECT instrmnt_id AS CHAVE_SIMUL, security_rating AS CAMPO_SIMUL FROM BU_LOANTAPE_WORK.LT002_INSTRUMENT WHERE ref_date='${ref_date}' AND nome_perimetro='Individual Local' AND segmento='ESTR' AND ambito='PM' AND entidade='00100')Y ON X.CHAVE_IT=Y.CHAVE_SIMUL</v>
      </c>
      <c r="N335" s="33" t="str">
        <f t="shared" si="11"/>
        <v>UNION ALL SELECT 'INSTRUMENT' AS TABELA, 'COERÊNCIA' AS TIPOLOGIA_TESTE,'CD_LOAN_TAPES_BCE.LT002_INSTRUMENT' AS TABELA_LT,'BU_LOANTAPE_WORK.LT002_INSTRUMENT' AS TABELA_SIMUL,'security_rating'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security_rating AS CAMPO_IT FROM CD_LOAN_TAPES_BCE.LT002_INSTRUMENT WHERE ref_date='${ref_date}' AND nome_perimetro='Individual Local' AND segmento='ESTR' AND ambito='PM' AND entidade='00100')X INNER JOIN (SELECT instrmnt_id AS CHAVE_SIMUL, security_rating AS CAMPO_SIMUL FROM BU_LOANTAPE_WORK.LT002_INSTRUMENT WHERE ref_date='${ref_date}' AND nome_perimetro='Individual Local' AND segmento='ESTR' AND ambito='PM' AND entidade='00100')Y ON X.CHAVE_IT=Y.CHAVE_SIMUL</v>
      </c>
      <c r="O335" s="35" t="s">
        <v>35</v>
      </c>
    </row>
    <row r="336" spans="1:15">
      <c r="A336" s="57" t="str">
        <f t="shared" si="12"/>
        <v>Instrumentdividend_yield</v>
      </c>
      <c r="B336" s="32" t="s">
        <v>9</v>
      </c>
      <c r="C336" s="32" t="s">
        <v>487</v>
      </c>
      <c r="D336" s="32" t="s">
        <v>5</v>
      </c>
      <c r="E336" s="32" t="str">
        <f>+UPPER('0. Instruções'!$D$35&amp;"."&amp;VLOOKUP(B336,'0. Instruções'!$C$27:$D$32,2,FALSE))</f>
        <v>CD_LOAN_TAPES_BCE.LT002_INSTRUMENT</v>
      </c>
      <c r="F336" s="32" t="str">
        <f>+UPPER('0. Instruções'!$D$36&amp;"."&amp;VLOOKUP(B336,'0. Instruções'!$C$27:$E$32,3,FALSE))</f>
        <v>BU_LOANTAPE_WORK.LT002_INSTRUMENT</v>
      </c>
      <c r="H336" s="32"/>
      <c r="I336" s="32"/>
      <c r="J336" s="32" t="str">
        <f>IF(VLOOKUP(B336,'0. Instruções'!$C$27:$G$32,5,FALSE)=0,
"(SELECT "&amp;VLOOKUP(B336,'0. Instruções'!$C$27:$G$32,4,FALSE)&amp;" AS CHAVE_IT, "&amp;C336&amp;" AS CAMPO_IT FROM "&amp;E336&amp;" WHERE "&amp;'0. Instruções'!$D$43&amp;")X",
"(SELECT "&amp;VLOOKUP(B336,'0. Instruções'!$C$27:$G$32,4,FALSE)&amp;" AS CHAVE_IT1, "&amp;VLOOKUP(B336,'0. Instruções'!$C$27:$G$32,5,FALSE)&amp;" AS CHAVE_IT2, "&amp;C336&amp;" AS CAMPO_IT FROM "&amp;E336&amp;" WHERE "&amp;'0. Instruções'!$D$43&amp;")X")</f>
        <v>(SELECT instrmnt_id AS CHAVE_IT, dividend_yield AS CAMPO_IT FROM CD_LOAN_TAPES_BCE.LT002_INSTRUMENT WHERE ref_date='${ref_date}' AND nome_perimetro='Individual Local' AND segmento='ESTR' AND ambito='PM' AND entidade='00100')X</v>
      </c>
      <c r="K336" s="32" t="str">
        <f>IF(VLOOKUP(B336,'0. Instruções'!$C$27:$G$32,5,FALSE)=0,
"(SELECT "&amp;VLOOKUP(B336,'0. Instruções'!$C$27:$G$32,4,FALSE)&amp;" AS CHAVE_SIMUL, "&amp;C336&amp;" AS CAMPO_SIMUL FROM "&amp;F336&amp;" WHERE "&amp;'0. Instruções'!$D$42&amp;")Y",
"(SELECT "&amp;VLOOKUP(B336,'0. Instruções'!$C$27:$G$32,4,FALSE)&amp;" AS CHAVE_SIMUL1, "&amp;VLOOKUP(B336,'0. Instruções'!$C$27:$G$32,5,FALSE)&amp;" AS CHAVE_SIMUL2, "&amp;C336&amp;" AS CAMPO_SIMUL FROM "&amp;F336&amp;" WHERE "&amp;'0. Instruções'!$D$42&amp;")Y")</f>
        <v>(SELECT instrmnt_id AS CHAVE_SIMUL, dividend_yield AS CAMPO_SIMUL FROM BU_LOANTAPE_WORK.LT002_INSTRUMENT WHERE ref_date='${ref_date}' AND nome_perimetro='Individual Local' AND segmento='ESTR' AND ambito='PM' AND entidade='00100')Y</v>
      </c>
      <c r="L336" s="32" t="str">
        <f>IF(VLOOKUP(B336,'0. Instruções'!$C$27:$G$32,5,FALSE)=0,
"ON X.CHAVE_IT=Y.CHAVE_SIMUL",
"ON X.CHAVE_IT1=Y.CHAVE_SIMUL1 AND X.CHAVE_IT2=Y.CHAVE_SIMUL2")</f>
        <v>ON X.CHAVE_IT=Y.CHAVE_SIMUL</v>
      </c>
      <c r="M336" s="32" t="str">
        <f>+IF(D336="Coerência",+IF(LEFT(H336,5)="FLOAT","SELECT '"&amp;UPPER(B336)&amp;"' AS TABELA, '"&amp;UPPER(D336)&amp;"' AS TIPOLOGIA_TESTE,'"&amp;E336&amp;"' AS TABELA_LT,'"&amp;F336&amp;"' AS TABELA_SIMUL,'"&amp;C336&amp;"'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"&amp;J336&amp;" INNER JOIN "&amp;K336&amp;" "&amp;L336,"SELECT '"&amp;UPPER(B336)&amp;"' AS TABELA, '"&amp;UPPER(D336)&amp;"' AS TIPOLOGIA_TESTE,'"&amp;E336&amp;"' AS TABELA_LT,'"&amp;F336&amp;"' AS TABELA_SIMUL,'"&amp;C336&amp;"'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"&amp;J336&amp;" INNER JOIN "&amp;K336&amp;" "&amp;L336))</f>
        <v>SELECT 'INSTRUMENT' AS TABELA, 'COERÊNCIA' AS TIPOLOGIA_TESTE,'CD_LOAN_TAPES_BCE.LT002_INSTRUMENT' AS TABELA_LT,'BU_LOANTAPE_WORK.LT002_INSTRUMENT' AS TABELA_SIMUL,'dividend_yield'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dividend_yield AS CAMPO_IT FROM CD_LOAN_TAPES_BCE.LT002_INSTRUMENT WHERE ref_date='${ref_date}' AND nome_perimetro='Individual Local' AND segmento='ESTR' AND ambito='PM' AND entidade='00100')X INNER JOIN (SELECT instrmnt_id AS CHAVE_SIMUL, dividend_yield AS CAMPO_SIMUL FROM BU_LOANTAPE_WORK.LT002_INSTRUMENT WHERE ref_date='${ref_date}' AND nome_perimetro='Individual Local' AND segmento='ESTR' AND ambito='PM' AND entidade='00100')Y ON X.CHAVE_IT=Y.CHAVE_SIMUL</v>
      </c>
      <c r="N336" s="33" t="str">
        <f t="shared" si="11"/>
        <v>UNION ALL SELECT 'INSTRUMENT' AS TABELA, 'COERÊNCIA' AS TIPOLOGIA_TESTE,'CD_LOAN_TAPES_BCE.LT002_INSTRUMENT' AS TABELA_LT,'BU_LOANTAPE_WORK.LT002_INSTRUMENT' AS TABELA_SIMUL,'dividend_yield'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dividend_yield AS CAMPO_IT FROM CD_LOAN_TAPES_BCE.LT002_INSTRUMENT WHERE ref_date='${ref_date}' AND nome_perimetro='Individual Local' AND segmento='ESTR' AND ambito='PM' AND entidade='00100')X INNER JOIN (SELECT instrmnt_id AS CHAVE_SIMUL, dividend_yield AS CAMPO_SIMUL FROM BU_LOANTAPE_WORK.LT002_INSTRUMENT WHERE ref_date='${ref_date}' AND nome_perimetro='Individual Local' AND segmento='ESTR' AND ambito='PM' AND entidade='00100')Y ON X.CHAVE_IT=Y.CHAVE_SIMUL</v>
      </c>
      <c r="O336" s="35" t="s">
        <v>35</v>
      </c>
    </row>
    <row r="337" spans="1:15">
      <c r="A337" s="57" t="str">
        <f t="shared" si="12"/>
        <v>Instrumentflg_mnmm_sfgrds</v>
      </c>
      <c r="B337" s="32" t="s">
        <v>9</v>
      </c>
      <c r="C337" s="32" t="s">
        <v>488</v>
      </c>
      <c r="D337" s="32" t="s">
        <v>5</v>
      </c>
      <c r="E337" s="32" t="str">
        <f>+UPPER('0. Instruções'!$D$35&amp;"."&amp;VLOOKUP(B337,'0. Instruções'!$C$27:$D$32,2,FALSE))</f>
        <v>CD_LOAN_TAPES_BCE.LT002_INSTRUMENT</v>
      </c>
      <c r="F337" s="32" t="str">
        <f>+UPPER('0. Instruções'!$D$36&amp;"."&amp;VLOOKUP(B337,'0. Instruções'!$C$27:$E$32,3,FALSE))</f>
        <v>BU_LOANTAPE_WORK.LT002_INSTRUMENT</v>
      </c>
      <c r="H337" s="32"/>
      <c r="I337" s="32"/>
      <c r="J337" s="32" t="str">
        <f>IF(VLOOKUP(B337,'0. Instruções'!$C$27:$G$32,5,FALSE)=0,
"(SELECT "&amp;VLOOKUP(B337,'0. Instruções'!$C$27:$G$32,4,FALSE)&amp;" AS CHAVE_IT, "&amp;C337&amp;" AS CAMPO_IT FROM "&amp;E337&amp;" WHERE "&amp;'0. Instruções'!$D$43&amp;")X",
"(SELECT "&amp;VLOOKUP(B337,'0. Instruções'!$C$27:$G$32,4,FALSE)&amp;" AS CHAVE_IT1, "&amp;VLOOKUP(B337,'0. Instruções'!$C$27:$G$32,5,FALSE)&amp;" AS CHAVE_IT2, "&amp;C337&amp;" AS CAMPO_IT FROM "&amp;E337&amp;" WHERE "&amp;'0. Instruções'!$D$43&amp;")X")</f>
        <v>(SELECT instrmnt_id AS CHAVE_IT, flg_mnmm_sfgrds AS CAMPO_IT FROM CD_LOAN_TAPES_BCE.LT002_INSTRUMENT WHERE ref_date='${ref_date}' AND nome_perimetro='Individual Local' AND segmento='ESTR' AND ambito='PM' AND entidade='00100')X</v>
      </c>
      <c r="K337" s="32" t="str">
        <f>IF(VLOOKUP(B337,'0. Instruções'!$C$27:$G$32,5,FALSE)=0,
"(SELECT "&amp;VLOOKUP(B337,'0. Instruções'!$C$27:$G$32,4,FALSE)&amp;" AS CHAVE_SIMUL, "&amp;C337&amp;" AS CAMPO_SIMUL FROM "&amp;F337&amp;" WHERE "&amp;'0. Instruções'!$D$42&amp;")Y",
"(SELECT "&amp;VLOOKUP(B337,'0. Instruções'!$C$27:$G$32,4,FALSE)&amp;" AS CHAVE_SIMUL1, "&amp;VLOOKUP(B337,'0. Instruções'!$C$27:$G$32,5,FALSE)&amp;" AS CHAVE_SIMUL2, "&amp;C337&amp;" AS CAMPO_SIMUL FROM "&amp;F337&amp;" WHERE "&amp;'0. Instruções'!$D$42&amp;")Y")</f>
        <v>(SELECT instrmnt_id AS CHAVE_SIMUL, flg_mnmm_sfgrds AS CAMPO_SIMUL FROM BU_LOANTAPE_WORK.LT002_INSTRUMENT WHERE ref_date='${ref_date}' AND nome_perimetro='Individual Local' AND segmento='ESTR' AND ambito='PM' AND entidade='00100')Y</v>
      </c>
      <c r="L337" s="32" t="str">
        <f>IF(VLOOKUP(B337,'0. Instruções'!$C$27:$G$32,5,FALSE)=0,
"ON X.CHAVE_IT=Y.CHAVE_SIMUL",
"ON X.CHAVE_IT1=Y.CHAVE_SIMUL1 AND X.CHAVE_IT2=Y.CHAVE_SIMUL2")</f>
        <v>ON X.CHAVE_IT=Y.CHAVE_SIMUL</v>
      </c>
      <c r="M337" s="32" t="str">
        <f>+IF(D337="Coerência",+IF(LEFT(H337,5)="FLOAT","SELECT '"&amp;UPPER(B337)&amp;"' AS TABELA, '"&amp;UPPER(D337)&amp;"' AS TIPOLOGIA_TESTE,'"&amp;E337&amp;"' AS TABELA_LT,'"&amp;F337&amp;"' AS TABELA_SIMUL,'"&amp;C337&amp;"'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"&amp;J337&amp;" INNER JOIN "&amp;K337&amp;" "&amp;L337,"SELECT '"&amp;UPPER(B337)&amp;"' AS TABELA, '"&amp;UPPER(D337)&amp;"' AS TIPOLOGIA_TESTE,'"&amp;E337&amp;"' AS TABELA_LT,'"&amp;F337&amp;"' AS TABELA_SIMUL,'"&amp;C337&amp;"'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"&amp;J337&amp;" INNER JOIN "&amp;K337&amp;" "&amp;L337))</f>
        <v>SELECT 'INSTRUMENT' AS TABELA, 'COERÊNCIA' AS TIPOLOGIA_TESTE,'CD_LOAN_TAPES_BCE.LT002_INSTRUMENT' AS TABELA_LT,'BU_LOANTAPE_WORK.LT002_INSTRUMENT' AS TABELA_SIMUL,'flg_mnmm_sfgrds'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flg_mnmm_sfgrds AS CAMPO_IT FROM CD_LOAN_TAPES_BCE.LT002_INSTRUMENT WHERE ref_date='${ref_date}' AND nome_perimetro='Individual Local' AND segmento='ESTR' AND ambito='PM' AND entidade='00100')X INNER JOIN (SELECT instrmnt_id AS CHAVE_SIMUL, flg_mnmm_sfgrds AS CAMPO_SIMUL FROM BU_LOANTAPE_WORK.LT002_INSTRUMENT WHERE ref_date='${ref_date}' AND nome_perimetro='Individual Local' AND segmento='ESTR' AND ambito='PM' AND entidade='00100')Y ON X.CHAVE_IT=Y.CHAVE_SIMUL</v>
      </c>
      <c r="N337" s="33" t="str">
        <f t="shared" si="11"/>
        <v>UNION ALL SELECT 'INSTRUMENT' AS TABELA, 'COERÊNCIA' AS TIPOLOGIA_TESTE,'CD_LOAN_TAPES_BCE.LT002_INSTRUMENT' AS TABELA_LT,'BU_LOANTAPE_WORK.LT002_INSTRUMENT' AS TABELA_SIMUL,'flg_mnmm_sfgrds'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flg_mnmm_sfgrds AS CAMPO_IT FROM CD_LOAN_TAPES_BCE.LT002_INSTRUMENT WHERE ref_date='${ref_date}' AND nome_perimetro='Individual Local' AND segmento='ESTR' AND ambito='PM' AND entidade='00100')X INNER JOIN (SELECT instrmnt_id AS CHAVE_SIMUL, flg_mnmm_sfgrds AS CAMPO_SIMUL FROM BU_LOANTAPE_WORK.LT002_INSTRUMENT WHERE ref_date='${ref_date}' AND nome_perimetro='Individual Local' AND segmento='ESTR' AND ambito='PM' AND entidade='00100')Y ON X.CHAVE_IT=Y.CHAVE_SIMUL</v>
      </c>
      <c r="O337" s="35" t="s">
        <v>35</v>
      </c>
    </row>
    <row r="338" spans="1:15">
      <c r="A338" s="57" t="str">
        <f t="shared" si="12"/>
        <v>Instrumenttyp_off_blnc_prdct</v>
      </c>
      <c r="B338" s="32" t="s">
        <v>9</v>
      </c>
      <c r="C338" s="32" t="s">
        <v>489</v>
      </c>
      <c r="D338" s="32" t="s">
        <v>5</v>
      </c>
      <c r="E338" s="32" t="str">
        <f>+UPPER('0. Instruções'!$D$35&amp;"."&amp;VLOOKUP(B338,'0. Instruções'!$C$27:$D$32,2,FALSE))</f>
        <v>CD_LOAN_TAPES_BCE.LT002_INSTRUMENT</v>
      </c>
      <c r="F338" s="32" t="str">
        <f>+UPPER('0. Instruções'!$D$36&amp;"."&amp;VLOOKUP(B338,'0. Instruções'!$C$27:$E$32,3,FALSE))</f>
        <v>BU_LOANTAPE_WORK.LT002_INSTRUMENT</v>
      </c>
      <c r="H338" s="32"/>
      <c r="I338" s="32"/>
      <c r="J338" s="32" t="str">
        <f>IF(VLOOKUP(B338,'0. Instruções'!$C$27:$G$32,5,FALSE)=0,
"(SELECT "&amp;VLOOKUP(B338,'0. Instruções'!$C$27:$G$32,4,FALSE)&amp;" AS CHAVE_IT, "&amp;C338&amp;" AS CAMPO_IT FROM "&amp;E338&amp;" WHERE "&amp;'0. Instruções'!$D$43&amp;")X",
"(SELECT "&amp;VLOOKUP(B338,'0. Instruções'!$C$27:$G$32,4,FALSE)&amp;" AS CHAVE_IT1, "&amp;VLOOKUP(B338,'0. Instruções'!$C$27:$G$32,5,FALSE)&amp;" AS CHAVE_IT2, "&amp;C338&amp;" AS CAMPO_IT FROM "&amp;E338&amp;" WHERE "&amp;'0. Instruções'!$D$43&amp;")X")</f>
        <v>(SELECT instrmnt_id AS CHAVE_IT, typ_off_blnc_prdct AS CAMPO_IT FROM CD_LOAN_TAPES_BCE.LT002_INSTRUMENT WHERE ref_date='${ref_date}' AND nome_perimetro='Individual Local' AND segmento='ESTR' AND ambito='PM' AND entidade='00100')X</v>
      </c>
      <c r="K338" s="32" t="str">
        <f>IF(VLOOKUP(B338,'0. Instruções'!$C$27:$G$32,5,FALSE)=0,
"(SELECT "&amp;VLOOKUP(B338,'0. Instruções'!$C$27:$G$32,4,FALSE)&amp;" AS CHAVE_SIMUL, "&amp;C338&amp;" AS CAMPO_SIMUL FROM "&amp;F338&amp;" WHERE "&amp;'0. Instruções'!$D$42&amp;")Y",
"(SELECT "&amp;VLOOKUP(B338,'0. Instruções'!$C$27:$G$32,4,FALSE)&amp;" AS CHAVE_SIMUL1, "&amp;VLOOKUP(B338,'0. Instruções'!$C$27:$G$32,5,FALSE)&amp;" AS CHAVE_SIMUL2, "&amp;C338&amp;" AS CAMPO_SIMUL FROM "&amp;F338&amp;" WHERE "&amp;'0. Instruções'!$D$42&amp;")Y")</f>
        <v>(SELECT instrmnt_id AS CHAVE_SIMUL, typ_off_blnc_prdct AS CAMPO_SIMUL FROM BU_LOANTAPE_WORK.LT002_INSTRUMENT WHERE ref_date='${ref_date}' AND nome_perimetro='Individual Local' AND segmento='ESTR' AND ambito='PM' AND entidade='00100')Y</v>
      </c>
      <c r="L338" s="32" t="str">
        <f>IF(VLOOKUP(B338,'0. Instruções'!$C$27:$G$32,5,FALSE)=0,
"ON X.CHAVE_IT=Y.CHAVE_SIMUL",
"ON X.CHAVE_IT1=Y.CHAVE_SIMUL1 AND X.CHAVE_IT2=Y.CHAVE_SIMUL2")</f>
        <v>ON X.CHAVE_IT=Y.CHAVE_SIMUL</v>
      </c>
      <c r="M338" s="32" t="str">
        <f>+IF(D338="Coerência",+IF(LEFT(H338,5)="FLOAT","SELECT '"&amp;UPPER(B338)&amp;"' AS TABELA, '"&amp;UPPER(D338)&amp;"' AS TIPOLOGIA_TESTE,'"&amp;E338&amp;"' AS TABELA_LT,'"&amp;F338&amp;"' AS TABELA_SIMUL,'"&amp;C338&amp;"'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"&amp;J338&amp;" INNER JOIN "&amp;K338&amp;" "&amp;L338,"SELECT '"&amp;UPPER(B338)&amp;"' AS TABELA, '"&amp;UPPER(D338)&amp;"' AS TIPOLOGIA_TESTE,'"&amp;E338&amp;"' AS TABELA_LT,'"&amp;F338&amp;"' AS TABELA_SIMUL,'"&amp;C338&amp;"'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"&amp;J338&amp;" INNER JOIN "&amp;K338&amp;" "&amp;L338))</f>
        <v>SELECT 'INSTRUMENT' AS TABELA, 'COERÊNCIA' AS TIPOLOGIA_TESTE,'CD_LOAN_TAPES_BCE.LT002_INSTRUMENT' AS TABELA_LT,'BU_LOANTAPE_WORK.LT002_INSTRUMENT' AS TABELA_SIMUL,'typ_off_blnc_prdct'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typ_off_blnc_prdct AS CAMPO_IT FROM CD_LOAN_TAPES_BCE.LT002_INSTRUMENT WHERE ref_date='${ref_date}' AND nome_perimetro='Individual Local' AND segmento='ESTR' AND ambito='PM' AND entidade='00100')X INNER JOIN (SELECT instrmnt_id AS CHAVE_SIMUL, typ_off_blnc_prdct AS CAMPO_SIMUL FROM BU_LOANTAPE_WORK.LT002_INSTRUMENT WHERE ref_date='${ref_date}' AND nome_perimetro='Individual Local' AND segmento='ESTR' AND ambito='PM' AND entidade='00100')Y ON X.CHAVE_IT=Y.CHAVE_SIMUL</v>
      </c>
      <c r="N338" s="33" t="str">
        <f t="shared" si="11"/>
        <v>UNION ALL SELECT 'INSTRUMENT' AS TABELA, 'COERÊNCIA' AS TIPOLOGIA_TESTE,'CD_LOAN_TAPES_BCE.LT002_INSTRUMENT' AS TABELA_LT,'BU_LOANTAPE_WORK.LT002_INSTRUMENT' AS TABELA_SIMUL,'typ_off_blnc_prdct'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typ_off_blnc_prdct AS CAMPO_IT FROM CD_LOAN_TAPES_BCE.LT002_INSTRUMENT WHERE ref_date='${ref_date}' AND nome_perimetro='Individual Local' AND segmento='ESTR' AND ambito='PM' AND entidade='00100')X INNER JOIN (SELECT instrmnt_id AS CHAVE_SIMUL, typ_off_blnc_prdct AS CAMPO_SIMUL FROM BU_LOANTAPE_WORK.LT002_INSTRUMENT WHERE ref_date='${ref_date}' AND nome_perimetro='Individual Local' AND segmento='ESTR' AND ambito='PM' AND entidade='00100')Y ON X.CHAVE_IT=Y.CHAVE_SIMUL</v>
      </c>
      <c r="O338" s="35" t="s">
        <v>35</v>
      </c>
    </row>
    <row r="339" spans="1:15">
      <c r="A339" s="57" t="str">
        <f t="shared" si="12"/>
        <v>Instrumentdstntn_fnds</v>
      </c>
      <c r="B339" s="32" t="s">
        <v>9</v>
      </c>
      <c r="C339" s="32" t="s">
        <v>490</v>
      </c>
      <c r="D339" s="32" t="s">
        <v>5</v>
      </c>
      <c r="E339" s="32" t="str">
        <f>+UPPER('0. Instruções'!$D$35&amp;"."&amp;VLOOKUP(B339,'0. Instruções'!$C$27:$D$32,2,FALSE))</f>
        <v>CD_LOAN_TAPES_BCE.LT002_INSTRUMENT</v>
      </c>
      <c r="F339" s="32" t="str">
        <f>+UPPER('0. Instruções'!$D$36&amp;"."&amp;VLOOKUP(B339,'0. Instruções'!$C$27:$E$32,3,FALSE))</f>
        <v>BU_LOANTAPE_WORK.LT002_INSTRUMENT</v>
      </c>
      <c r="H339" s="32"/>
      <c r="I339" s="32"/>
      <c r="J339" s="32" t="str">
        <f>IF(VLOOKUP(B339,'0. Instruções'!$C$27:$G$32,5,FALSE)=0,
"(SELECT "&amp;VLOOKUP(B339,'0. Instruções'!$C$27:$G$32,4,FALSE)&amp;" AS CHAVE_IT, "&amp;C339&amp;" AS CAMPO_IT FROM "&amp;E339&amp;" WHERE "&amp;'0. Instruções'!$D$43&amp;")X",
"(SELECT "&amp;VLOOKUP(B339,'0. Instruções'!$C$27:$G$32,4,FALSE)&amp;" AS CHAVE_IT1, "&amp;VLOOKUP(B339,'0. Instruções'!$C$27:$G$32,5,FALSE)&amp;" AS CHAVE_IT2, "&amp;C339&amp;" AS CAMPO_IT FROM "&amp;E339&amp;" WHERE "&amp;'0. Instruções'!$D$43&amp;")X")</f>
        <v>(SELECT instrmnt_id AS CHAVE_IT, dstntn_fnds AS CAMPO_IT FROM CD_LOAN_TAPES_BCE.LT002_INSTRUMENT WHERE ref_date='${ref_date}' AND nome_perimetro='Individual Local' AND segmento='ESTR' AND ambito='PM' AND entidade='00100')X</v>
      </c>
      <c r="K339" s="32" t="str">
        <f>IF(VLOOKUP(B339,'0. Instruções'!$C$27:$G$32,5,FALSE)=0,
"(SELECT "&amp;VLOOKUP(B339,'0. Instruções'!$C$27:$G$32,4,FALSE)&amp;" AS CHAVE_SIMUL, "&amp;C339&amp;" AS CAMPO_SIMUL FROM "&amp;F339&amp;" WHERE "&amp;'0. Instruções'!$D$42&amp;")Y",
"(SELECT "&amp;VLOOKUP(B339,'0. Instruções'!$C$27:$G$32,4,FALSE)&amp;" AS CHAVE_SIMUL1, "&amp;VLOOKUP(B339,'0. Instruções'!$C$27:$G$32,5,FALSE)&amp;" AS CHAVE_SIMUL2, "&amp;C339&amp;" AS CAMPO_SIMUL FROM "&amp;F339&amp;" WHERE "&amp;'0. Instruções'!$D$42&amp;")Y")</f>
        <v>(SELECT instrmnt_id AS CHAVE_SIMUL, dstntn_fnds AS CAMPO_SIMUL FROM BU_LOANTAPE_WORK.LT002_INSTRUMENT WHERE ref_date='${ref_date}' AND nome_perimetro='Individual Local' AND segmento='ESTR' AND ambito='PM' AND entidade='00100')Y</v>
      </c>
      <c r="L339" s="32" t="str">
        <f>IF(VLOOKUP(B339,'0. Instruções'!$C$27:$G$32,5,FALSE)=0,
"ON X.CHAVE_IT=Y.CHAVE_SIMUL",
"ON X.CHAVE_IT1=Y.CHAVE_SIMUL1 AND X.CHAVE_IT2=Y.CHAVE_SIMUL2")</f>
        <v>ON X.CHAVE_IT=Y.CHAVE_SIMUL</v>
      </c>
      <c r="M339" s="32" t="str">
        <f>+IF(D339="Coerência",+IF(LEFT(H339,5)="FLOAT","SELECT '"&amp;UPPER(B339)&amp;"' AS TABELA, '"&amp;UPPER(D339)&amp;"' AS TIPOLOGIA_TESTE,'"&amp;E339&amp;"' AS TABELA_LT,'"&amp;F339&amp;"' AS TABELA_SIMUL,'"&amp;C339&amp;"'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"&amp;J339&amp;" INNER JOIN "&amp;K339&amp;" "&amp;L339,"SELECT '"&amp;UPPER(B339)&amp;"' AS TABELA, '"&amp;UPPER(D339)&amp;"' AS TIPOLOGIA_TESTE,'"&amp;E339&amp;"' AS TABELA_LT,'"&amp;F339&amp;"' AS TABELA_SIMUL,'"&amp;C339&amp;"'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"&amp;J339&amp;" INNER JOIN "&amp;K339&amp;" "&amp;L339))</f>
        <v>SELECT 'INSTRUMENT' AS TABELA, 'COERÊNCIA' AS TIPOLOGIA_TESTE,'CD_LOAN_TAPES_BCE.LT002_INSTRUMENT' AS TABELA_LT,'BU_LOANTAPE_WORK.LT002_INSTRUMENT' AS TABELA_SIMUL,'dstntn_fnds'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dstntn_fnds AS CAMPO_IT FROM CD_LOAN_TAPES_BCE.LT002_INSTRUMENT WHERE ref_date='${ref_date}' AND nome_perimetro='Individual Local' AND segmento='ESTR' AND ambito='PM' AND entidade='00100')X INNER JOIN (SELECT instrmnt_id AS CHAVE_SIMUL, dstntn_fnds AS CAMPO_SIMUL FROM BU_LOANTAPE_WORK.LT002_INSTRUMENT WHERE ref_date='${ref_date}' AND nome_perimetro='Individual Local' AND segmento='ESTR' AND ambito='PM' AND entidade='00100')Y ON X.CHAVE_IT=Y.CHAVE_SIMUL</v>
      </c>
      <c r="N339" s="33" t="str">
        <f t="shared" si="11"/>
        <v>UNION ALL SELECT 'INSTRUMENT' AS TABELA, 'COERÊNCIA' AS TIPOLOGIA_TESTE,'CD_LOAN_TAPES_BCE.LT002_INSTRUMENT' AS TABELA_LT,'BU_LOANTAPE_WORK.LT002_INSTRUMENT' AS TABELA_SIMUL,'dstntn_fnds'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dstntn_fnds AS CAMPO_IT FROM CD_LOAN_TAPES_BCE.LT002_INSTRUMENT WHERE ref_date='${ref_date}' AND nome_perimetro='Individual Local' AND segmento='ESTR' AND ambito='PM' AND entidade='00100')X INNER JOIN (SELECT instrmnt_id AS CHAVE_SIMUL, dstntn_fnds AS CAMPO_SIMUL FROM BU_LOANTAPE_WORK.LT002_INSTRUMENT WHERE ref_date='${ref_date}' AND nome_perimetro='Individual Local' AND segmento='ESTR' AND ambito='PM' AND entidade='00100')Y ON X.CHAVE_IT=Y.CHAVE_SIMUL</v>
      </c>
      <c r="O339" s="35" t="s">
        <v>35</v>
      </c>
    </row>
    <row r="340" spans="1:15">
      <c r="A340" s="57" t="str">
        <f t="shared" si="12"/>
        <v>Instrumentdt_mdfctn</v>
      </c>
      <c r="B340" s="32" t="s">
        <v>9</v>
      </c>
      <c r="C340" s="32" t="s">
        <v>491</v>
      </c>
      <c r="D340" s="32" t="s">
        <v>5</v>
      </c>
      <c r="E340" s="32" t="str">
        <f>+UPPER('0. Instruções'!$D$35&amp;"."&amp;VLOOKUP(B340,'0. Instruções'!$C$27:$D$32,2,FALSE))</f>
        <v>CD_LOAN_TAPES_BCE.LT002_INSTRUMENT</v>
      </c>
      <c r="F340" s="32" t="str">
        <f>+UPPER('0. Instruções'!$D$36&amp;"."&amp;VLOOKUP(B340,'0. Instruções'!$C$27:$E$32,3,FALSE))</f>
        <v>BU_LOANTAPE_WORK.LT002_INSTRUMENT</v>
      </c>
      <c r="H340" s="32"/>
      <c r="I340" s="32"/>
      <c r="J340" s="32" t="str">
        <f>IF(VLOOKUP(B340,'0. Instruções'!$C$27:$G$32,5,FALSE)=0,
"(SELECT "&amp;VLOOKUP(B340,'0. Instruções'!$C$27:$G$32,4,FALSE)&amp;" AS CHAVE_IT, "&amp;C340&amp;" AS CAMPO_IT FROM "&amp;E340&amp;" WHERE "&amp;'0. Instruções'!$D$43&amp;")X",
"(SELECT "&amp;VLOOKUP(B340,'0. Instruções'!$C$27:$G$32,4,FALSE)&amp;" AS CHAVE_IT1, "&amp;VLOOKUP(B340,'0. Instruções'!$C$27:$G$32,5,FALSE)&amp;" AS CHAVE_IT2, "&amp;C340&amp;" AS CAMPO_IT FROM "&amp;E340&amp;" WHERE "&amp;'0. Instruções'!$D$43&amp;")X")</f>
        <v>(SELECT instrmnt_id AS CHAVE_IT, dt_mdfctn AS CAMPO_IT FROM CD_LOAN_TAPES_BCE.LT002_INSTRUMENT WHERE ref_date='${ref_date}' AND nome_perimetro='Individual Local' AND segmento='ESTR' AND ambito='PM' AND entidade='00100')X</v>
      </c>
      <c r="K340" s="32" t="str">
        <f>IF(VLOOKUP(B340,'0. Instruções'!$C$27:$G$32,5,FALSE)=0,
"(SELECT "&amp;VLOOKUP(B340,'0. Instruções'!$C$27:$G$32,4,FALSE)&amp;" AS CHAVE_SIMUL, "&amp;C340&amp;" AS CAMPO_SIMUL FROM "&amp;F340&amp;" WHERE "&amp;'0. Instruções'!$D$42&amp;")Y",
"(SELECT "&amp;VLOOKUP(B340,'0. Instruções'!$C$27:$G$32,4,FALSE)&amp;" AS CHAVE_SIMUL1, "&amp;VLOOKUP(B340,'0. Instruções'!$C$27:$G$32,5,FALSE)&amp;" AS CHAVE_SIMUL2, "&amp;C340&amp;" AS CAMPO_SIMUL FROM "&amp;F340&amp;" WHERE "&amp;'0. Instruções'!$D$42&amp;")Y")</f>
        <v>(SELECT instrmnt_id AS CHAVE_SIMUL, dt_mdfctn AS CAMPO_SIMUL FROM BU_LOANTAPE_WORK.LT002_INSTRUMENT WHERE ref_date='${ref_date}' AND nome_perimetro='Individual Local' AND segmento='ESTR' AND ambito='PM' AND entidade='00100')Y</v>
      </c>
      <c r="L340" s="32" t="str">
        <f>IF(VLOOKUP(B340,'0. Instruções'!$C$27:$G$32,5,FALSE)=0,
"ON X.CHAVE_IT=Y.CHAVE_SIMUL",
"ON X.CHAVE_IT1=Y.CHAVE_SIMUL1 AND X.CHAVE_IT2=Y.CHAVE_SIMUL2")</f>
        <v>ON X.CHAVE_IT=Y.CHAVE_SIMUL</v>
      </c>
      <c r="M340" s="32" t="str">
        <f>+IF(D340="Coerência",+IF(LEFT(H340,5)="FLOAT","SELECT '"&amp;UPPER(B340)&amp;"' AS TABELA, '"&amp;UPPER(D340)&amp;"' AS TIPOLOGIA_TESTE,'"&amp;E340&amp;"' AS TABELA_LT,'"&amp;F340&amp;"' AS TABELA_SIMUL,'"&amp;C340&amp;"'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"&amp;J340&amp;" INNER JOIN "&amp;K340&amp;" "&amp;L340,"SELECT '"&amp;UPPER(B340)&amp;"' AS TABELA, '"&amp;UPPER(D340)&amp;"' AS TIPOLOGIA_TESTE,'"&amp;E340&amp;"' AS TABELA_LT,'"&amp;F340&amp;"' AS TABELA_SIMUL,'"&amp;C340&amp;"'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"&amp;J340&amp;" INNER JOIN "&amp;K340&amp;" "&amp;L340))</f>
        <v>SELECT 'INSTRUMENT' AS TABELA, 'COERÊNCIA' AS TIPOLOGIA_TESTE,'CD_LOAN_TAPES_BCE.LT002_INSTRUMENT' AS TABELA_LT,'BU_LOANTAPE_WORK.LT002_INSTRUMENT' AS TABELA_SIMUL,'dt_mdfctn'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dt_mdfctn AS CAMPO_IT FROM CD_LOAN_TAPES_BCE.LT002_INSTRUMENT WHERE ref_date='${ref_date}' AND nome_perimetro='Individual Local' AND segmento='ESTR' AND ambito='PM' AND entidade='00100')X INNER JOIN (SELECT instrmnt_id AS CHAVE_SIMUL, dt_mdfctn AS CAMPO_SIMUL FROM BU_LOANTAPE_WORK.LT002_INSTRUMENT WHERE ref_date='${ref_date}' AND nome_perimetro='Individual Local' AND segmento='ESTR' AND ambito='PM' AND entidade='00100')Y ON X.CHAVE_IT=Y.CHAVE_SIMUL</v>
      </c>
      <c r="N340" s="33" t="str">
        <f t="shared" si="11"/>
        <v>UNION ALL SELECT 'INSTRUMENT' AS TABELA, 'COERÊNCIA' AS TIPOLOGIA_TESTE,'CD_LOAN_TAPES_BCE.LT002_INSTRUMENT' AS TABELA_LT,'BU_LOANTAPE_WORK.LT002_INSTRUMENT' AS TABELA_SIMUL,'dt_mdfctn'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dt_mdfctn AS CAMPO_IT FROM CD_LOAN_TAPES_BCE.LT002_INSTRUMENT WHERE ref_date='${ref_date}' AND nome_perimetro='Individual Local' AND segmento='ESTR' AND ambito='PM' AND entidade='00100')X INNER JOIN (SELECT instrmnt_id AS CHAVE_SIMUL, dt_mdfctn AS CAMPO_SIMUL FROM BU_LOANTAPE_WORK.LT002_INSTRUMENT WHERE ref_date='${ref_date}' AND nome_perimetro='Individual Local' AND segmento='ESTR' AND ambito='PM' AND entidade='00100')Y ON X.CHAVE_IT=Y.CHAVE_SIMUL</v>
      </c>
      <c r="O340" s="35" t="s">
        <v>35</v>
      </c>
    </row>
    <row r="341" spans="1:15">
      <c r="A341" s="57" t="str">
        <f t="shared" si="12"/>
        <v>Instrumentexcldd_lf</v>
      </c>
      <c r="B341" s="32" t="s">
        <v>9</v>
      </c>
      <c r="C341" s="32" t="s">
        <v>492</v>
      </c>
      <c r="D341" s="32" t="s">
        <v>5</v>
      </c>
      <c r="E341" s="32" t="str">
        <f>+UPPER('0. Instruções'!$D$35&amp;"."&amp;VLOOKUP(B341,'0. Instruções'!$C$27:$D$32,2,FALSE))</f>
        <v>CD_LOAN_TAPES_BCE.LT002_INSTRUMENT</v>
      </c>
      <c r="F341" s="32" t="str">
        <f>+UPPER('0. Instruções'!$D$36&amp;"."&amp;VLOOKUP(B341,'0. Instruções'!$C$27:$E$32,3,FALSE))</f>
        <v>BU_LOANTAPE_WORK.LT002_INSTRUMENT</v>
      </c>
      <c r="H341" s="32"/>
      <c r="I341" s="32"/>
      <c r="J341" s="32" t="str">
        <f>IF(VLOOKUP(B341,'0. Instruções'!$C$27:$G$32,5,FALSE)=0,
"(SELECT "&amp;VLOOKUP(B341,'0. Instruções'!$C$27:$G$32,4,FALSE)&amp;" AS CHAVE_IT, "&amp;C341&amp;" AS CAMPO_IT FROM "&amp;E341&amp;" WHERE "&amp;'0. Instruções'!$D$43&amp;")X",
"(SELECT "&amp;VLOOKUP(B341,'0. Instruções'!$C$27:$G$32,4,FALSE)&amp;" AS CHAVE_IT1, "&amp;VLOOKUP(B341,'0. Instruções'!$C$27:$G$32,5,FALSE)&amp;" AS CHAVE_IT2, "&amp;C341&amp;" AS CAMPO_IT FROM "&amp;E341&amp;" WHERE "&amp;'0. Instruções'!$D$43&amp;")X")</f>
        <v>(SELECT instrmnt_id AS CHAVE_IT, excldd_lf AS CAMPO_IT FROM CD_LOAN_TAPES_BCE.LT002_INSTRUMENT WHERE ref_date='${ref_date}' AND nome_perimetro='Individual Local' AND segmento='ESTR' AND ambito='PM' AND entidade='00100')X</v>
      </c>
      <c r="K341" s="32" t="str">
        <f>IF(VLOOKUP(B341,'0. Instruções'!$C$27:$G$32,5,FALSE)=0,
"(SELECT "&amp;VLOOKUP(B341,'0. Instruções'!$C$27:$G$32,4,FALSE)&amp;" AS CHAVE_SIMUL, "&amp;C341&amp;" AS CAMPO_SIMUL FROM "&amp;F341&amp;" WHERE "&amp;'0. Instruções'!$D$42&amp;")Y",
"(SELECT "&amp;VLOOKUP(B341,'0. Instruções'!$C$27:$G$32,4,FALSE)&amp;" AS CHAVE_SIMUL1, "&amp;VLOOKUP(B341,'0. Instruções'!$C$27:$G$32,5,FALSE)&amp;" AS CHAVE_SIMUL2, "&amp;C341&amp;" AS CAMPO_SIMUL FROM "&amp;F341&amp;" WHERE "&amp;'0. Instruções'!$D$42&amp;")Y")</f>
        <v>(SELECT instrmnt_id AS CHAVE_SIMUL, excldd_lf AS CAMPO_SIMUL FROM BU_LOANTAPE_WORK.LT002_INSTRUMENT WHERE ref_date='${ref_date}' AND nome_perimetro='Individual Local' AND segmento='ESTR' AND ambito='PM' AND entidade='00100')Y</v>
      </c>
      <c r="L341" s="32" t="str">
        <f>IF(VLOOKUP(B341,'0. Instruções'!$C$27:$G$32,5,FALSE)=0,
"ON X.CHAVE_IT=Y.CHAVE_SIMUL",
"ON X.CHAVE_IT1=Y.CHAVE_SIMUL1 AND X.CHAVE_IT2=Y.CHAVE_SIMUL2")</f>
        <v>ON X.CHAVE_IT=Y.CHAVE_SIMUL</v>
      </c>
      <c r="M341" s="32" t="str">
        <f>+IF(D341="Coerência",+IF(LEFT(H341,5)="FLOAT","SELECT '"&amp;UPPER(B341)&amp;"' AS TABELA, '"&amp;UPPER(D341)&amp;"' AS TIPOLOGIA_TESTE,'"&amp;E341&amp;"' AS TABELA_LT,'"&amp;F341&amp;"' AS TABELA_SIMUL,'"&amp;C341&amp;"'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"&amp;J341&amp;" INNER JOIN "&amp;K341&amp;" "&amp;L341,"SELECT '"&amp;UPPER(B341)&amp;"' AS TABELA, '"&amp;UPPER(D341)&amp;"' AS TIPOLOGIA_TESTE,'"&amp;E341&amp;"' AS TABELA_LT,'"&amp;F341&amp;"' AS TABELA_SIMUL,'"&amp;C341&amp;"'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"&amp;J341&amp;" INNER JOIN "&amp;K341&amp;" "&amp;L341))</f>
        <v>SELECT 'INSTRUMENT' AS TABELA, 'COERÊNCIA' AS TIPOLOGIA_TESTE,'CD_LOAN_TAPES_BCE.LT002_INSTRUMENT' AS TABELA_LT,'BU_LOANTAPE_WORK.LT002_INSTRUMENT' AS TABELA_SIMUL,'excldd_lf'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excldd_lf AS CAMPO_IT FROM CD_LOAN_TAPES_BCE.LT002_INSTRUMENT WHERE ref_date='${ref_date}' AND nome_perimetro='Individual Local' AND segmento='ESTR' AND ambito='PM' AND entidade='00100')X INNER JOIN (SELECT instrmnt_id AS CHAVE_SIMUL, excldd_lf AS CAMPO_SIMUL FROM BU_LOANTAPE_WORK.LT002_INSTRUMENT WHERE ref_date='${ref_date}' AND nome_perimetro='Individual Local' AND segmento='ESTR' AND ambito='PM' AND entidade='00100')Y ON X.CHAVE_IT=Y.CHAVE_SIMUL</v>
      </c>
      <c r="N341" s="33" t="str">
        <f t="shared" si="11"/>
        <v>UNION ALL SELECT 'INSTRUMENT' AS TABELA, 'COERÊNCIA' AS TIPOLOGIA_TESTE,'CD_LOAN_TAPES_BCE.LT002_INSTRUMENT' AS TABELA_LT,'BU_LOANTAPE_WORK.LT002_INSTRUMENT' AS TABELA_SIMUL,'excldd_lf'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excldd_lf AS CAMPO_IT FROM CD_LOAN_TAPES_BCE.LT002_INSTRUMENT WHERE ref_date='${ref_date}' AND nome_perimetro='Individual Local' AND segmento='ESTR' AND ambito='PM' AND entidade='00100')X INNER JOIN (SELECT instrmnt_id AS CHAVE_SIMUL, excldd_lf AS CAMPO_SIMUL FROM BU_LOANTAPE_WORK.LT002_INSTRUMENT WHERE ref_date='${ref_date}' AND nome_perimetro='Individual Local' AND segmento='ESTR' AND ambito='PM' AND entidade='00100')Y ON X.CHAVE_IT=Y.CHAVE_SIMUL</v>
      </c>
      <c r="O341" s="35" t="s">
        <v>35</v>
      </c>
    </row>
    <row r="342" spans="1:15">
      <c r="A342" s="57" t="str">
        <f t="shared" si="12"/>
        <v>Instrumentpd_ec_incptn</v>
      </c>
      <c r="B342" s="32" t="s">
        <v>9</v>
      </c>
      <c r="C342" s="32" t="s">
        <v>493</v>
      </c>
      <c r="D342" s="32" t="s">
        <v>5</v>
      </c>
      <c r="E342" s="32" t="str">
        <f>+UPPER('0. Instruções'!$D$35&amp;"."&amp;VLOOKUP(B342,'0. Instruções'!$C$27:$D$32,2,FALSE))</f>
        <v>CD_LOAN_TAPES_BCE.LT002_INSTRUMENT</v>
      </c>
      <c r="F342" s="32" t="str">
        <f>+UPPER('0. Instruções'!$D$36&amp;"."&amp;VLOOKUP(B342,'0. Instruções'!$C$27:$E$32,3,FALSE))</f>
        <v>BU_LOANTAPE_WORK.LT002_INSTRUMENT</v>
      </c>
      <c r="H342" s="32"/>
      <c r="I342" s="32"/>
      <c r="J342" s="32" t="str">
        <f>IF(VLOOKUP(B342,'0. Instruções'!$C$27:$G$32,5,FALSE)=0,
"(SELECT "&amp;VLOOKUP(B342,'0. Instruções'!$C$27:$G$32,4,FALSE)&amp;" AS CHAVE_IT, "&amp;C342&amp;" AS CAMPO_IT FROM "&amp;E342&amp;" WHERE "&amp;'0. Instruções'!$D$43&amp;")X",
"(SELECT "&amp;VLOOKUP(B342,'0. Instruções'!$C$27:$G$32,4,FALSE)&amp;" AS CHAVE_IT1, "&amp;VLOOKUP(B342,'0. Instruções'!$C$27:$G$32,5,FALSE)&amp;" AS CHAVE_IT2, "&amp;C342&amp;" AS CAMPO_IT FROM "&amp;E342&amp;" WHERE "&amp;'0. Instruções'!$D$43&amp;")X")</f>
        <v>(SELECT instrmnt_id AS CHAVE_IT, pd_ec_incptn AS CAMPO_IT FROM CD_LOAN_TAPES_BCE.LT002_INSTRUMENT WHERE ref_date='${ref_date}' AND nome_perimetro='Individual Local' AND segmento='ESTR' AND ambito='PM' AND entidade='00100')X</v>
      </c>
      <c r="K342" s="32" t="str">
        <f>IF(VLOOKUP(B342,'0. Instruções'!$C$27:$G$32,5,FALSE)=0,
"(SELECT "&amp;VLOOKUP(B342,'0. Instruções'!$C$27:$G$32,4,FALSE)&amp;" AS CHAVE_SIMUL, "&amp;C342&amp;" AS CAMPO_SIMUL FROM "&amp;F342&amp;" WHERE "&amp;'0. Instruções'!$D$42&amp;")Y",
"(SELECT "&amp;VLOOKUP(B342,'0. Instruções'!$C$27:$G$32,4,FALSE)&amp;" AS CHAVE_SIMUL1, "&amp;VLOOKUP(B342,'0. Instruções'!$C$27:$G$32,5,FALSE)&amp;" AS CHAVE_SIMUL2, "&amp;C342&amp;" AS CAMPO_SIMUL FROM "&amp;F342&amp;" WHERE "&amp;'0. Instruções'!$D$42&amp;")Y")</f>
        <v>(SELECT instrmnt_id AS CHAVE_SIMUL, pd_ec_incptn AS CAMPO_SIMUL FROM BU_LOANTAPE_WORK.LT002_INSTRUMENT WHERE ref_date='${ref_date}' AND nome_perimetro='Individual Local' AND segmento='ESTR' AND ambito='PM' AND entidade='00100')Y</v>
      </c>
      <c r="L342" s="32" t="str">
        <f>IF(VLOOKUP(B342,'0. Instruções'!$C$27:$G$32,5,FALSE)=0,
"ON X.CHAVE_IT=Y.CHAVE_SIMUL",
"ON X.CHAVE_IT1=Y.CHAVE_SIMUL1 AND X.CHAVE_IT2=Y.CHAVE_SIMUL2")</f>
        <v>ON X.CHAVE_IT=Y.CHAVE_SIMUL</v>
      </c>
      <c r="M342" s="32" t="str">
        <f>+IF(D342="Coerência",+IF(LEFT(H342,5)="FLOAT","SELECT '"&amp;UPPER(B342)&amp;"' AS TABELA, '"&amp;UPPER(D342)&amp;"' AS TIPOLOGIA_TESTE,'"&amp;E342&amp;"' AS TABELA_LT,'"&amp;F342&amp;"' AS TABELA_SIMUL,'"&amp;C342&amp;"'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"&amp;J342&amp;" INNER JOIN "&amp;K342&amp;" "&amp;L342,"SELECT '"&amp;UPPER(B342)&amp;"' AS TABELA, '"&amp;UPPER(D342)&amp;"' AS TIPOLOGIA_TESTE,'"&amp;E342&amp;"' AS TABELA_LT,'"&amp;F342&amp;"' AS TABELA_SIMUL,'"&amp;C342&amp;"'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"&amp;J342&amp;" INNER JOIN "&amp;K342&amp;" "&amp;L342))</f>
        <v>SELECT 'INSTRUMENT' AS TABELA, 'COERÊNCIA' AS TIPOLOGIA_TESTE,'CD_LOAN_TAPES_BCE.LT002_INSTRUMENT' AS TABELA_LT,'BU_LOANTAPE_WORK.LT002_INSTRUMENT' AS TABELA_SIMUL,'pd_ec_incptn'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pd_ec_incptn AS CAMPO_IT FROM CD_LOAN_TAPES_BCE.LT002_INSTRUMENT WHERE ref_date='${ref_date}' AND nome_perimetro='Individual Local' AND segmento='ESTR' AND ambito='PM' AND entidade='00100')X INNER JOIN (SELECT instrmnt_id AS CHAVE_SIMUL, pd_ec_incptn AS CAMPO_SIMUL FROM BU_LOANTAPE_WORK.LT002_INSTRUMENT WHERE ref_date='${ref_date}' AND nome_perimetro='Individual Local' AND segmento='ESTR' AND ambito='PM' AND entidade='00100')Y ON X.CHAVE_IT=Y.CHAVE_SIMUL</v>
      </c>
      <c r="N342" s="33" t="str">
        <f t="shared" si="11"/>
        <v>UNION ALL SELECT 'INSTRUMENT' AS TABELA, 'COERÊNCIA' AS TIPOLOGIA_TESTE,'CD_LOAN_TAPES_BCE.LT002_INSTRUMENT' AS TABELA_LT,'BU_LOANTAPE_WORK.LT002_INSTRUMENT' AS TABELA_SIMUL,'pd_ec_incptn'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pd_ec_incptn AS CAMPO_IT FROM CD_LOAN_TAPES_BCE.LT002_INSTRUMENT WHERE ref_date='${ref_date}' AND nome_perimetro='Individual Local' AND segmento='ESTR' AND ambito='PM' AND entidade='00100')X INNER JOIN (SELECT instrmnt_id AS CHAVE_SIMUL, pd_ec_incptn AS CAMPO_SIMUL FROM BU_LOANTAPE_WORK.LT002_INSTRUMENT WHERE ref_date='${ref_date}' AND nome_perimetro='Individual Local' AND segmento='ESTR' AND ambito='PM' AND entidade='00100')Y ON X.CHAVE_IT=Y.CHAVE_SIMUL</v>
      </c>
      <c r="O342" s="35" t="s">
        <v>35</v>
      </c>
    </row>
    <row r="343" spans="1:15">
      <c r="A343" s="57" t="str">
        <f t="shared" si="12"/>
        <v>Instrumentpd_ec_rd</v>
      </c>
      <c r="B343" s="32" t="s">
        <v>9</v>
      </c>
      <c r="C343" s="32" t="s">
        <v>494</v>
      </c>
      <c r="D343" s="32" t="s">
        <v>5</v>
      </c>
      <c r="E343" s="32" t="str">
        <f>+UPPER('0. Instruções'!$D$35&amp;"."&amp;VLOOKUP(B343,'0. Instruções'!$C$27:$D$32,2,FALSE))</f>
        <v>CD_LOAN_TAPES_BCE.LT002_INSTRUMENT</v>
      </c>
      <c r="F343" s="32" t="str">
        <f>+UPPER('0. Instruções'!$D$36&amp;"."&amp;VLOOKUP(B343,'0. Instruções'!$C$27:$E$32,3,FALSE))</f>
        <v>BU_LOANTAPE_WORK.LT002_INSTRUMENT</v>
      </c>
      <c r="H343" s="32"/>
      <c r="I343" s="32"/>
      <c r="J343" s="32" t="str">
        <f>IF(VLOOKUP(B343,'0. Instruções'!$C$27:$G$32,5,FALSE)=0,
"(SELECT "&amp;VLOOKUP(B343,'0. Instruções'!$C$27:$G$32,4,FALSE)&amp;" AS CHAVE_IT, "&amp;C343&amp;" AS CAMPO_IT FROM "&amp;E343&amp;" WHERE "&amp;'0. Instruções'!$D$43&amp;")X",
"(SELECT "&amp;VLOOKUP(B343,'0. Instruções'!$C$27:$G$32,4,FALSE)&amp;" AS CHAVE_IT1, "&amp;VLOOKUP(B343,'0. Instruções'!$C$27:$G$32,5,FALSE)&amp;" AS CHAVE_IT2, "&amp;C343&amp;" AS CAMPO_IT FROM "&amp;E343&amp;" WHERE "&amp;'0. Instruções'!$D$43&amp;")X")</f>
        <v>(SELECT instrmnt_id AS CHAVE_IT, pd_ec_rd AS CAMPO_IT FROM CD_LOAN_TAPES_BCE.LT002_INSTRUMENT WHERE ref_date='${ref_date}' AND nome_perimetro='Individual Local' AND segmento='ESTR' AND ambito='PM' AND entidade='00100')X</v>
      </c>
      <c r="K343" s="32" t="str">
        <f>IF(VLOOKUP(B343,'0. Instruções'!$C$27:$G$32,5,FALSE)=0,
"(SELECT "&amp;VLOOKUP(B343,'0. Instruções'!$C$27:$G$32,4,FALSE)&amp;" AS CHAVE_SIMUL, "&amp;C343&amp;" AS CAMPO_SIMUL FROM "&amp;F343&amp;" WHERE "&amp;'0. Instruções'!$D$42&amp;")Y",
"(SELECT "&amp;VLOOKUP(B343,'0. Instruções'!$C$27:$G$32,4,FALSE)&amp;" AS CHAVE_SIMUL1, "&amp;VLOOKUP(B343,'0. Instruções'!$C$27:$G$32,5,FALSE)&amp;" AS CHAVE_SIMUL2, "&amp;C343&amp;" AS CAMPO_SIMUL FROM "&amp;F343&amp;" WHERE "&amp;'0. Instruções'!$D$42&amp;")Y")</f>
        <v>(SELECT instrmnt_id AS CHAVE_SIMUL, pd_ec_rd AS CAMPO_SIMUL FROM BU_LOANTAPE_WORK.LT002_INSTRUMENT WHERE ref_date='${ref_date}' AND nome_perimetro='Individual Local' AND segmento='ESTR' AND ambito='PM' AND entidade='00100')Y</v>
      </c>
      <c r="L343" s="32" t="str">
        <f>IF(VLOOKUP(B343,'0. Instruções'!$C$27:$G$32,5,FALSE)=0,
"ON X.CHAVE_IT=Y.CHAVE_SIMUL",
"ON X.CHAVE_IT1=Y.CHAVE_SIMUL1 AND X.CHAVE_IT2=Y.CHAVE_SIMUL2")</f>
        <v>ON X.CHAVE_IT=Y.CHAVE_SIMUL</v>
      </c>
      <c r="M343" s="32" t="str">
        <f>+IF(D343="Coerência",+IF(LEFT(H343,5)="FLOAT","SELECT '"&amp;UPPER(B343)&amp;"' AS TABELA, '"&amp;UPPER(D343)&amp;"' AS TIPOLOGIA_TESTE,'"&amp;E343&amp;"' AS TABELA_LT,'"&amp;F343&amp;"' AS TABELA_SIMUL,'"&amp;C343&amp;"'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"&amp;J343&amp;" INNER JOIN "&amp;K343&amp;" "&amp;L343,"SELECT '"&amp;UPPER(B343)&amp;"' AS TABELA, '"&amp;UPPER(D343)&amp;"' AS TIPOLOGIA_TESTE,'"&amp;E343&amp;"' AS TABELA_LT,'"&amp;F343&amp;"' AS TABELA_SIMUL,'"&amp;C343&amp;"'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"&amp;J343&amp;" INNER JOIN "&amp;K343&amp;" "&amp;L343))</f>
        <v>SELECT 'INSTRUMENT' AS TABELA, 'COERÊNCIA' AS TIPOLOGIA_TESTE,'CD_LOAN_TAPES_BCE.LT002_INSTRUMENT' AS TABELA_LT,'BU_LOANTAPE_WORK.LT002_INSTRUMENT' AS TABELA_SIMUL,'pd_ec_rd'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pd_ec_rd AS CAMPO_IT FROM CD_LOAN_TAPES_BCE.LT002_INSTRUMENT WHERE ref_date='${ref_date}' AND nome_perimetro='Individual Local' AND segmento='ESTR' AND ambito='PM' AND entidade='00100')X INNER JOIN (SELECT instrmnt_id AS CHAVE_SIMUL, pd_ec_rd AS CAMPO_SIMUL FROM BU_LOANTAPE_WORK.LT002_INSTRUMENT WHERE ref_date='${ref_date}' AND nome_perimetro='Individual Local' AND segmento='ESTR' AND ambito='PM' AND entidade='00100')Y ON X.CHAVE_IT=Y.CHAVE_SIMUL</v>
      </c>
      <c r="N343" s="33" t="str">
        <f t="shared" si="11"/>
        <v>UNION ALL SELECT 'INSTRUMENT' AS TABELA, 'COERÊNCIA' AS TIPOLOGIA_TESTE,'CD_LOAN_TAPES_BCE.LT002_INSTRUMENT' AS TABELA_LT,'BU_LOANTAPE_WORK.LT002_INSTRUMENT' AS TABELA_SIMUL,'pd_ec_rd'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pd_ec_rd AS CAMPO_IT FROM CD_LOAN_TAPES_BCE.LT002_INSTRUMENT WHERE ref_date='${ref_date}' AND nome_perimetro='Individual Local' AND segmento='ESTR' AND ambito='PM' AND entidade='00100')X INNER JOIN (SELECT instrmnt_id AS CHAVE_SIMUL, pd_ec_rd AS CAMPO_SIMUL FROM BU_LOANTAPE_WORK.LT002_INSTRUMENT WHERE ref_date='${ref_date}' AND nome_perimetro='Individual Local' AND segmento='ESTR' AND ambito='PM' AND entidade='00100')Y ON X.CHAVE_IT=Y.CHAVE_SIMUL</v>
      </c>
      <c r="O343" s="35" t="s">
        <v>35</v>
      </c>
    </row>
    <row r="344" spans="1:15">
      <c r="A344" s="57" t="str">
        <f t="shared" si="12"/>
        <v>Instrumentrorac</v>
      </c>
      <c r="B344" s="32" t="s">
        <v>9</v>
      </c>
      <c r="C344" s="32" t="s">
        <v>495</v>
      </c>
      <c r="D344" s="32" t="s">
        <v>5</v>
      </c>
      <c r="E344" s="32" t="str">
        <f>+UPPER('0. Instruções'!$D$35&amp;"."&amp;VLOOKUP(B344,'0. Instruções'!$C$27:$D$32,2,FALSE))</f>
        <v>CD_LOAN_TAPES_BCE.LT002_INSTRUMENT</v>
      </c>
      <c r="F344" s="32" t="str">
        <f>+UPPER('0. Instruções'!$D$36&amp;"."&amp;VLOOKUP(B344,'0. Instruções'!$C$27:$E$32,3,FALSE))</f>
        <v>BU_LOANTAPE_WORK.LT002_INSTRUMENT</v>
      </c>
      <c r="H344" s="32"/>
      <c r="I344" s="32"/>
      <c r="J344" s="32" t="str">
        <f>IF(VLOOKUP(B344,'0. Instruções'!$C$27:$G$32,5,FALSE)=0,
"(SELECT "&amp;VLOOKUP(B344,'0. Instruções'!$C$27:$G$32,4,FALSE)&amp;" AS CHAVE_IT, "&amp;C344&amp;" AS CAMPO_IT FROM "&amp;E344&amp;" WHERE "&amp;'0. Instruções'!$D$43&amp;")X",
"(SELECT "&amp;VLOOKUP(B344,'0. Instruções'!$C$27:$G$32,4,FALSE)&amp;" AS CHAVE_IT1, "&amp;VLOOKUP(B344,'0. Instruções'!$C$27:$G$32,5,FALSE)&amp;" AS CHAVE_IT2, "&amp;C344&amp;" AS CAMPO_IT FROM "&amp;E344&amp;" WHERE "&amp;'0. Instruções'!$D$43&amp;")X")</f>
        <v>(SELECT instrmnt_id AS CHAVE_IT, rorac AS CAMPO_IT FROM CD_LOAN_TAPES_BCE.LT002_INSTRUMENT WHERE ref_date='${ref_date}' AND nome_perimetro='Individual Local' AND segmento='ESTR' AND ambito='PM' AND entidade='00100')X</v>
      </c>
      <c r="K344" s="32" t="str">
        <f>IF(VLOOKUP(B344,'0. Instruções'!$C$27:$G$32,5,FALSE)=0,
"(SELECT "&amp;VLOOKUP(B344,'0. Instruções'!$C$27:$G$32,4,FALSE)&amp;" AS CHAVE_SIMUL, "&amp;C344&amp;" AS CAMPO_SIMUL FROM "&amp;F344&amp;" WHERE "&amp;'0. Instruções'!$D$42&amp;")Y",
"(SELECT "&amp;VLOOKUP(B344,'0. Instruções'!$C$27:$G$32,4,FALSE)&amp;" AS CHAVE_SIMUL1, "&amp;VLOOKUP(B344,'0. Instruções'!$C$27:$G$32,5,FALSE)&amp;" AS CHAVE_SIMUL2, "&amp;C344&amp;" AS CAMPO_SIMUL FROM "&amp;F344&amp;" WHERE "&amp;'0. Instruções'!$D$42&amp;")Y")</f>
        <v>(SELECT instrmnt_id AS CHAVE_SIMUL, rorac AS CAMPO_SIMUL FROM BU_LOANTAPE_WORK.LT002_INSTRUMENT WHERE ref_date='${ref_date}' AND nome_perimetro='Individual Local' AND segmento='ESTR' AND ambito='PM' AND entidade='00100')Y</v>
      </c>
      <c r="L344" s="32" t="str">
        <f>IF(VLOOKUP(B344,'0. Instruções'!$C$27:$G$32,5,FALSE)=0,
"ON X.CHAVE_IT=Y.CHAVE_SIMUL",
"ON X.CHAVE_IT1=Y.CHAVE_SIMUL1 AND X.CHAVE_IT2=Y.CHAVE_SIMUL2")</f>
        <v>ON X.CHAVE_IT=Y.CHAVE_SIMUL</v>
      </c>
      <c r="M344" s="32" t="str">
        <f>+IF(D344="Coerência",+IF(LEFT(H344,5)="FLOAT","SELECT '"&amp;UPPER(B344)&amp;"' AS TABELA, '"&amp;UPPER(D344)&amp;"' AS TIPOLOGIA_TESTE,'"&amp;E344&amp;"' AS TABELA_LT,'"&amp;F344&amp;"' AS TABELA_SIMUL,'"&amp;C344&amp;"'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"&amp;J344&amp;" INNER JOIN "&amp;K344&amp;" "&amp;L344,"SELECT '"&amp;UPPER(B344)&amp;"' AS TABELA, '"&amp;UPPER(D344)&amp;"' AS TIPOLOGIA_TESTE,'"&amp;E344&amp;"' AS TABELA_LT,'"&amp;F344&amp;"' AS TABELA_SIMUL,'"&amp;C344&amp;"'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"&amp;J344&amp;" INNER JOIN "&amp;K344&amp;" "&amp;L344))</f>
        <v>SELECT 'INSTRUMENT' AS TABELA, 'COERÊNCIA' AS TIPOLOGIA_TESTE,'CD_LOAN_TAPES_BCE.LT002_INSTRUMENT' AS TABELA_LT,'BU_LOANTAPE_WORK.LT002_INSTRUMENT'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rorac AS CAMPO_IT FROM CD_LOAN_TAPES_BCE.LT002_INSTRUMENT WHERE ref_date='${ref_date}' AND nome_perimetro='Individual Local' AND segmento='ESTR' AND ambito='PM' AND entidade='00100')X INNER JOIN (SELECT instrmnt_id AS CHAVE_SIMUL, rorac AS CAMPO_SIMUL FROM BU_LOANTAPE_WORK.LT002_INSTRUMENT WHERE ref_date='${ref_date}' AND nome_perimetro='Individual Local' AND segmento='ESTR' AND ambito='PM' AND entidade='00100')Y ON X.CHAVE_IT=Y.CHAVE_SIMUL</v>
      </c>
      <c r="N344" s="33" t="str">
        <f t="shared" si="11"/>
        <v>UNION ALL SELECT 'INSTRUMENT' AS TABELA, 'COERÊNCIA' AS TIPOLOGIA_TESTE,'CD_LOAN_TAPES_BCE.LT002_INSTRUMENT' AS TABELA_LT,'BU_LOANTAPE_WORK.LT002_INSTRUMENT'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rorac AS CAMPO_IT FROM CD_LOAN_TAPES_BCE.LT002_INSTRUMENT WHERE ref_date='${ref_date}' AND nome_perimetro='Individual Local' AND segmento='ESTR' AND ambito='PM' AND entidade='00100')X INNER JOIN (SELECT instrmnt_id AS CHAVE_SIMUL, rorac AS CAMPO_SIMUL FROM BU_LOANTAPE_WORK.LT002_INSTRUMENT WHERE ref_date='${ref_date}' AND nome_perimetro='Individual Local' AND segmento='ESTR' AND ambito='PM' AND entidade='00100')Y ON X.CHAVE_IT=Y.CHAVE_SIMUL</v>
      </c>
      <c r="O344" s="35" t="s">
        <v>35</v>
      </c>
    </row>
    <row r="345" spans="1:15">
      <c r="A345" s="57" t="str">
        <f t="shared" si="12"/>
        <v>Instrumentrorwa</v>
      </c>
      <c r="B345" s="32" t="s">
        <v>9</v>
      </c>
      <c r="C345" s="32" t="s">
        <v>496</v>
      </c>
      <c r="D345" s="32" t="s">
        <v>5</v>
      </c>
      <c r="E345" s="32" t="str">
        <f>+UPPER('0. Instruções'!$D$35&amp;"."&amp;VLOOKUP(B345,'0. Instruções'!$C$27:$D$32,2,FALSE))</f>
        <v>CD_LOAN_TAPES_BCE.LT002_INSTRUMENT</v>
      </c>
      <c r="F345" s="32" t="str">
        <f>+UPPER('0. Instruções'!$D$36&amp;"."&amp;VLOOKUP(B345,'0. Instruções'!$C$27:$E$32,3,FALSE))</f>
        <v>BU_LOANTAPE_WORK.LT002_INSTRUMENT</v>
      </c>
      <c r="H345" s="32"/>
      <c r="I345" s="32"/>
      <c r="J345" s="32" t="str">
        <f>IF(VLOOKUP(B345,'0. Instruções'!$C$27:$G$32,5,FALSE)=0,
"(SELECT "&amp;VLOOKUP(B345,'0. Instruções'!$C$27:$G$32,4,FALSE)&amp;" AS CHAVE_IT, "&amp;C345&amp;" AS CAMPO_IT FROM "&amp;E345&amp;" WHERE "&amp;'0. Instruções'!$D$43&amp;")X",
"(SELECT "&amp;VLOOKUP(B345,'0. Instruções'!$C$27:$G$32,4,FALSE)&amp;" AS CHAVE_IT1, "&amp;VLOOKUP(B345,'0. Instruções'!$C$27:$G$32,5,FALSE)&amp;" AS CHAVE_IT2, "&amp;C345&amp;" AS CAMPO_IT FROM "&amp;E345&amp;" WHERE "&amp;'0. Instruções'!$D$43&amp;")X")</f>
        <v>(SELECT instrmnt_id AS CHAVE_IT, rorwa AS CAMPO_IT FROM CD_LOAN_TAPES_BCE.LT002_INSTRUMENT WHERE ref_date='${ref_date}' AND nome_perimetro='Individual Local' AND segmento='ESTR' AND ambito='PM' AND entidade='00100')X</v>
      </c>
      <c r="K345" s="32" t="str">
        <f>IF(VLOOKUP(B345,'0. Instruções'!$C$27:$G$32,5,FALSE)=0,
"(SELECT "&amp;VLOOKUP(B345,'0. Instruções'!$C$27:$G$32,4,FALSE)&amp;" AS CHAVE_SIMUL, "&amp;C345&amp;" AS CAMPO_SIMUL FROM "&amp;F345&amp;" WHERE "&amp;'0. Instruções'!$D$42&amp;")Y",
"(SELECT "&amp;VLOOKUP(B345,'0. Instruções'!$C$27:$G$32,4,FALSE)&amp;" AS CHAVE_SIMUL1, "&amp;VLOOKUP(B345,'0. Instruções'!$C$27:$G$32,5,FALSE)&amp;" AS CHAVE_SIMUL2, "&amp;C345&amp;" AS CAMPO_SIMUL FROM "&amp;F345&amp;" WHERE "&amp;'0. Instruções'!$D$42&amp;")Y")</f>
        <v>(SELECT instrmnt_id AS CHAVE_SIMUL, rorwa AS CAMPO_SIMUL FROM BU_LOANTAPE_WORK.LT002_INSTRUMENT WHERE ref_date='${ref_date}' AND nome_perimetro='Individual Local' AND segmento='ESTR' AND ambito='PM' AND entidade='00100')Y</v>
      </c>
      <c r="L345" s="32" t="str">
        <f>IF(VLOOKUP(B345,'0. Instruções'!$C$27:$G$32,5,FALSE)=0,
"ON X.CHAVE_IT=Y.CHAVE_SIMUL",
"ON X.CHAVE_IT1=Y.CHAVE_SIMUL1 AND X.CHAVE_IT2=Y.CHAVE_SIMUL2")</f>
        <v>ON X.CHAVE_IT=Y.CHAVE_SIMUL</v>
      </c>
      <c r="M345" s="32" t="str">
        <f>+IF(D345="Coerência",+IF(LEFT(H345,5)="FLOAT","SELECT '"&amp;UPPER(B345)&amp;"' AS TABELA, '"&amp;UPPER(D345)&amp;"' AS TIPOLOGIA_TESTE,'"&amp;E345&amp;"' AS TABELA_LT,'"&amp;F345&amp;"' AS TABELA_SIMUL,'"&amp;C345&amp;"'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"&amp;J345&amp;" INNER JOIN "&amp;K345&amp;" "&amp;L345,"SELECT '"&amp;UPPER(B345)&amp;"' AS TABELA, '"&amp;UPPER(D345)&amp;"' AS TIPOLOGIA_TESTE,'"&amp;E345&amp;"' AS TABELA_LT,'"&amp;F345&amp;"' AS TABELA_SIMUL,'"&amp;C345&amp;"'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"&amp;J345&amp;" INNER JOIN "&amp;K345&amp;" "&amp;L345))</f>
        <v>SELECT 'INSTRUMENT' AS TABELA, 'COERÊNCIA' AS TIPOLOGIA_TESTE,'CD_LOAN_TAPES_BCE.LT002_INSTRUMENT' AS TABELA_LT,'BU_LOANTAPE_WORK.LT002_INSTRUMENT'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rorwa AS CAMPO_IT FROM CD_LOAN_TAPES_BCE.LT002_INSTRUMENT WHERE ref_date='${ref_date}' AND nome_perimetro='Individual Local' AND segmento='ESTR' AND ambito='PM' AND entidade='00100')X INNER JOIN (SELECT instrmnt_id AS CHAVE_SIMUL, rorwa AS CAMPO_SIMUL FROM BU_LOANTAPE_WORK.LT002_INSTRUMENT WHERE ref_date='${ref_date}' AND nome_perimetro='Individual Local' AND segmento='ESTR' AND ambito='PM' AND entidade='00100')Y ON X.CHAVE_IT=Y.CHAVE_SIMUL</v>
      </c>
      <c r="N345" s="33" t="str">
        <f t="shared" si="11"/>
        <v>UNION ALL SELECT 'INSTRUMENT' AS TABELA, 'COERÊNCIA' AS TIPOLOGIA_TESTE,'CD_LOAN_TAPES_BCE.LT002_INSTRUMENT' AS TABELA_LT,'BU_LOANTAPE_WORK.LT002_INSTRUMENT'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rorwa AS CAMPO_IT FROM CD_LOAN_TAPES_BCE.LT002_INSTRUMENT WHERE ref_date='${ref_date}' AND nome_perimetro='Individual Local' AND segmento='ESTR' AND ambito='PM' AND entidade='00100')X INNER JOIN (SELECT instrmnt_id AS CHAVE_SIMUL, rorwa AS CAMPO_SIMUL FROM BU_LOANTAPE_WORK.LT002_INSTRUMENT WHERE ref_date='${ref_date}' AND nome_perimetro='Individual Local' AND segmento='ESTR' AND ambito='PM' AND entidade='00100')Y ON X.CHAVE_IT=Y.CHAVE_SIMUL</v>
      </c>
      <c r="O345" s="35" t="s">
        <v>35</v>
      </c>
    </row>
    <row r="346" spans="1:15">
      <c r="A346" s="57" t="str">
        <f t="shared" si="12"/>
        <v>Instrumentrwa_mtgtn</v>
      </c>
      <c r="B346" s="32" t="s">
        <v>9</v>
      </c>
      <c r="C346" s="32" t="s">
        <v>497</v>
      </c>
      <c r="D346" s="32" t="s">
        <v>5</v>
      </c>
      <c r="E346" s="32" t="str">
        <f>+UPPER('0. Instruções'!$D$35&amp;"."&amp;VLOOKUP(B346,'0. Instruções'!$C$27:$D$32,2,FALSE))</f>
        <v>CD_LOAN_TAPES_BCE.LT002_INSTRUMENT</v>
      </c>
      <c r="F346" s="32" t="str">
        <f>+UPPER('0. Instruções'!$D$36&amp;"."&amp;VLOOKUP(B346,'0. Instruções'!$C$27:$E$32,3,FALSE))</f>
        <v>BU_LOANTAPE_WORK.LT002_INSTRUMENT</v>
      </c>
      <c r="H346" s="32"/>
      <c r="I346" s="32"/>
      <c r="J346" s="32" t="str">
        <f>IF(VLOOKUP(B346,'0. Instruções'!$C$27:$G$32,5,FALSE)=0,
"(SELECT "&amp;VLOOKUP(B346,'0. Instruções'!$C$27:$G$32,4,FALSE)&amp;" AS CHAVE_IT, "&amp;C346&amp;" AS CAMPO_IT FROM "&amp;E346&amp;" WHERE "&amp;'0. Instruções'!$D$43&amp;")X",
"(SELECT "&amp;VLOOKUP(B346,'0. Instruções'!$C$27:$G$32,4,FALSE)&amp;" AS CHAVE_IT1, "&amp;VLOOKUP(B346,'0. Instruções'!$C$27:$G$32,5,FALSE)&amp;" AS CHAVE_IT2, "&amp;C346&amp;" AS CAMPO_IT FROM "&amp;E346&amp;" WHERE "&amp;'0. Instruções'!$D$43&amp;")X")</f>
        <v>(SELECT instrmnt_id AS CHAVE_IT, rwa_mtgtn AS CAMPO_IT FROM CD_LOAN_TAPES_BCE.LT002_INSTRUMENT WHERE ref_date='${ref_date}' AND nome_perimetro='Individual Local' AND segmento='ESTR' AND ambito='PM' AND entidade='00100')X</v>
      </c>
      <c r="K346" s="32" t="str">
        <f>IF(VLOOKUP(B346,'0. Instruções'!$C$27:$G$32,5,FALSE)=0,
"(SELECT "&amp;VLOOKUP(B346,'0. Instruções'!$C$27:$G$32,4,FALSE)&amp;" AS CHAVE_SIMUL, "&amp;C346&amp;" AS CAMPO_SIMUL FROM "&amp;F346&amp;" WHERE "&amp;'0. Instruções'!$D$42&amp;")Y",
"(SELECT "&amp;VLOOKUP(B346,'0. Instruções'!$C$27:$G$32,4,FALSE)&amp;" AS CHAVE_SIMUL1, "&amp;VLOOKUP(B346,'0. Instruções'!$C$27:$G$32,5,FALSE)&amp;" AS CHAVE_SIMUL2, "&amp;C346&amp;" AS CAMPO_SIMUL FROM "&amp;F346&amp;" WHERE "&amp;'0. Instruções'!$D$42&amp;")Y")</f>
        <v>(SELECT instrmnt_id AS CHAVE_SIMUL, rwa_mtgtn AS CAMPO_SIMUL FROM BU_LOANTAPE_WORK.LT002_INSTRUMENT WHERE ref_date='${ref_date}' AND nome_perimetro='Individual Local' AND segmento='ESTR' AND ambito='PM' AND entidade='00100')Y</v>
      </c>
      <c r="L346" s="32" t="str">
        <f>IF(VLOOKUP(B346,'0. Instruções'!$C$27:$G$32,5,FALSE)=0,
"ON X.CHAVE_IT=Y.CHAVE_SIMUL",
"ON X.CHAVE_IT1=Y.CHAVE_SIMUL1 AND X.CHAVE_IT2=Y.CHAVE_SIMUL2")</f>
        <v>ON X.CHAVE_IT=Y.CHAVE_SIMUL</v>
      </c>
      <c r="M346" s="32" t="str">
        <f>+IF(D346="Coerência",+IF(LEFT(H346,5)="FLOAT","SELECT '"&amp;UPPER(B346)&amp;"' AS TABELA, '"&amp;UPPER(D346)&amp;"' AS TIPOLOGIA_TESTE,'"&amp;E346&amp;"' AS TABELA_LT,'"&amp;F346&amp;"' AS TABELA_SIMUL,'"&amp;C346&amp;"'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"&amp;J346&amp;" INNER JOIN "&amp;K346&amp;" "&amp;L346,"SELECT '"&amp;UPPER(B346)&amp;"' AS TABELA, '"&amp;UPPER(D346)&amp;"' AS TIPOLOGIA_TESTE,'"&amp;E346&amp;"' AS TABELA_LT,'"&amp;F346&amp;"' AS TABELA_SIMUL,'"&amp;C346&amp;"'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"&amp;J346&amp;" INNER JOIN "&amp;K346&amp;" "&amp;L346))</f>
        <v>SELECT 'INSTRUMENT' AS TABELA, 'COERÊNCIA' AS TIPOLOGIA_TESTE,'CD_LOAN_TAPES_BCE.LT002_INSTRUMENT' AS TABELA_LT,'BU_LOANTAPE_WORK.LT002_INSTRUMENT' AS TABELA_SIMUL,'rwa_mtgtn'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rwa_mtgtn AS CAMPO_IT FROM CD_LOAN_TAPES_BCE.LT002_INSTRUMENT WHERE ref_date='${ref_date}' AND nome_perimetro='Individual Local' AND segmento='ESTR' AND ambito='PM' AND entidade='00100')X INNER JOIN (SELECT instrmnt_id AS CHAVE_SIMUL, rwa_mtgtn AS CAMPO_SIMUL FROM BU_LOANTAPE_WORK.LT002_INSTRUMENT WHERE ref_date='${ref_date}' AND nome_perimetro='Individual Local' AND segmento='ESTR' AND ambito='PM' AND entidade='00100')Y ON X.CHAVE_IT=Y.CHAVE_SIMUL</v>
      </c>
      <c r="N346" s="33" t="str">
        <f t="shared" si="11"/>
        <v>UNION ALL SELECT 'INSTRUMENT' AS TABELA, 'COERÊNCIA' AS TIPOLOGIA_TESTE,'CD_LOAN_TAPES_BCE.LT002_INSTRUMENT' AS TABELA_LT,'BU_LOANTAPE_WORK.LT002_INSTRUMENT' AS TABELA_SIMUL,'rwa_mtgtn'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rwa_mtgtn AS CAMPO_IT FROM CD_LOAN_TAPES_BCE.LT002_INSTRUMENT WHERE ref_date='${ref_date}' AND nome_perimetro='Individual Local' AND segmento='ESTR' AND ambito='PM' AND entidade='00100')X INNER JOIN (SELECT instrmnt_id AS CHAVE_SIMUL, rwa_mtgtn AS CAMPO_SIMUL FROM BU_LOANTAPE_WORK.LT002_INSTRUMENT WHERE ref_date='${ref_date}' AND nome_perimetro='Individual Local' AND segmento='ESTR' AND ambito='PM' AND entidade='00100')Y ON X.CHAVE_IT=Y.CHAVE_SIMUL</v>
      </c>
      <c r="O346" s="35" t="s">
        <v>35</v>
      </c>
    </row>
    <row r="347" spans="1:15">
      <c r="A347" s="57" t="str">
        <f t="shared" si="12"/>
        <v>Instrumentrwa_prmtgtn</v>
      </c>
      <c r="B347" s="32" t="s">
        <v>9</v>
      </c>
      <c r="C347" s="32" t="s">
        <v>498</v>
      </c>
      <c r="D347" s="32" t="s">
        <v>5</v>
      </c>
      <c r="E347" s="32" t="str">
        <f>+UPPER('0. Instruções'!$D$35&amp;"."&amp;VLOOKUP(B347,'0. Instruções'!$C$27:$D$32,2,FALSE))</f>
        <v>CD_LOAN_TAPES_BCE.LT002_INSTRUMENT</v>
      </c>
      <c r="F347" s="32" t="str">
        <f>+UPPER('0. Instruções'!$D$36&amp;"."&amp;VLOOKUP(B347,'0. Instruções'!$C$27:$E$32,3,FALSE))</f>
        <v>BU_LOANTAPE_WORK.LT002_INSTRUMENT</v>
      </c>
      <c r="H347" s="32"/>
      <c r="I347" s="32"/>
      <c r="J347" s="32" t="str">
        <f>IF(VLOOKUP(B347,'0. Instruções'!$C$27:$G$32,5,FALSE)=0,
"(SELECT "&amp;VLOOKUP(B347,'0. Instruções'!$C$27:$G$32,4,FALSE)&amp;" AS CHAVE_IT, "&amp;C347&amp;" AS CAMPO_IT FROM "&amp;E347&amp;" WHERE "&amp;'0. Instruções'!$D$43&amp;")X",
"(SELECT "&amp;VLOOKUP(B347,'0. Instruções'!$C$27:$G$32,4,FALSE)&amp;" AS CHAVE_IT1, "&amp;VLOOKUP(B347,'0. Instruções'!$C$27:$G$32,5,FALSE)&amp;" AS CHAVE_IT2, "&amp;C347&amp;" AS CAMPO_IT FROM "&amp;E347&amp;" WHERE "&amp;'0. Instruções'!$D$43&amp;")X")</f>
        <v>(SELECT instrmnt_id AS CHAVE_IT, rwa_prmtgtn AS CAMPO_IT FROM CD_LOAN_TAPES_BCE.LT002_INSTRUMENT WHERE ref_date='${ref_date}' AND nome_perimetro='Individual Local' AND segmento='ESTR' AND ambito='PM' AND entidade='00100')X</v>
      </c>
      <c r="K347" s="32" t="str">
        <f>IF(VLOOKUP(B347,'0. Instruções'!$C$27:$G$32,5,FALSE)=0,
"(SELECT "&amp;VLOOKUP(B347,'0. Instruções'!$C$27:$G$32,4,FALSE)&amp;" AS CHAVE_SIMUL, "&amp;C347&amp;" AS CAMPO_SIMUL FROM "&amp;F347&amp;" WHERE "&amp;'0. Instruções'!$D$42&amp;")Y",
"(SELECT "&amp;VLOOKUP(B347,'0. Instruções'!$C$27:$G$32,4,FALSE)&amp;" AS CHAVE_SIMUL1, "&amp;VLOOKUP(B347,'0. Instruções'!$C$27:$G$32,5,FALSE)&amp;" AS CHAVE_SIMUL2, "&amp;C347&amp;" AS CAMPO_SIMUL FROM "&amp;F347&amp;" WHERE "&amp;'0. Instruções'!$D$42&amp;")Y")</f>
        <v>(SELECT instrmnt_id AS CHAVE_SIMUL, rwa_prmtgtn AS CAMPO_SIMUL FROM BU_LOANTAPE_WORK.LT002_INSTRUMENT WHERE ref_date='${ref_date}' AND nome_perimetro='Individual Local' AND segmento='ESTR' AND ambito='PM' AND entidade='00100')Y</v>
      </c>
      <c r="L347" s="32" t="str">
        <f>IF(VLOOKUP(B347,'0. Instruções'!$C$27:$G$32,5,FALSE)=0,
"ON X.CHAVE_IT=Y.CHAVE_SIMUL",
"ON X.CHAVE_IT1=Y.CHAVE_SIMUL1 AND X.CHAVE_IT2=Y.CHAVE_SIMUL2")</f>
        <v>ON X.CHAVE_IT=Y.CHAVE_SIMUL</v>
      </c>
      <c r="M347" s="32" t="str">
        <f>+IF(D347="Coerência",+IF(LEFT(H347,5)="FLOAT","SELECT '"&amp;UPPER(B347)&amp;"' AS TABELA, '"&amp;UPPER(D347)&amp;"' AS TIPOLOGIA_TESTE,'"&amp;E347&amp;"' AS TABELA_LT,'"&amp;F347&amp;"' AS TABELA_SIMUL,'"&amp;C347&amp;"'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"&amp;J347&amp;" INNER JOIN "&amp;K347&amp;" "&amp;L347,"SELECT '"&amp;UPPER(B347)&amp;"' AS TABELA, '"&amp;UPPER(D347)&amp;"' AS TIPOLOGIA_TESTE,'"&amp;E347&amp;"' AS TABELA_LT,'"&amp;F347&amp;"' AS TABELA_SIMUL,'"&amp;C347&amp;"'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"&amp;J347&amp;" INNER JOIN "&amp;K347&amp;" "&amp;L347))</f>
        <v>SELECT 'INSTRUMENT' AS TABELA, 'COERÊNCIA' AS TIPOLOGIA_TESTE,'CD_LOAN_TAPES_BCE.LT002_INSTRUMENT' AS TABELA_LT,'BU_LOANTAPE_WORK.LT002_INSTRUMENT' AS TABELA_SIMUL,'rwa_prmtgtn'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rwa_prmtgtn AS CAMPO_IT FROM CD_LOAN_TAPES_BCE.LT002_INSTRUMENT WHERE ref_date='${ref_date}' AND nome_perimetro='Individual Local' AND segmento='ESTR' AND ambito='PM' AND entidade='00100')X INNER JOIN (SELECT instrmnt_id AS CHAVE_SIMUL, rwa_prmtgtn AS CAMPO_SIMUL FROM BU_LOANTAPE_WORK.LT002_INSTRUMENT WHERE ref_date='${ref_date}' AND nome_perimetro='Individual Local' AND segmento='ESTR' AND ambito='PM' AND entidade='00100')Y ON X.CHAVE_IT=Y.CHAVE_SIMUL</v>
      </c>
      <c r="N347" s="33" t="str">
        <f t="shared" si="11"/>
        <v>UNION ALL SELECT 'INSTRUMENT' AS TABELA, 'COERÊNCIA' AS TIPOLOGIA_TESTE,'CD_LOAN_TAPES_BCE.LT002_INSTRUMENT' AS TABELA_LT,'BU_LOANTAPE_WORK.LT002_INSTRUMENT' AS TABELA_SIMUL,'rwa_prmtgtn'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rwa_prmtgtn AS CAMPO_IT FROM CD_LOAN_TAPES_BCE.LT002_INSTRUMENT WHERE ref_date='${ref_date}' AND nome_perimetro='Individual Local' AND segmento='ESTR' AND ambito='PM' AND entidade='00100')X INNER JOIN (SELECT instrmnt_id AS CHAVE_SIMUL, rwa_prmtgtn AS CAMPO_SIMUL FROM BU_LOANTAPE_WORK.LT002_INSTRUMENT WHERE ref_date='${ref_date}' AND nome_perimetro='Individual Local' AND segmento='ESTR' AND ambito='PM' AND entidade='00100')Y ON X.CHAVE_IT=Y.CHAVE_SIMUL</v>
      </c>
      <c r="O347" s="35" t="s">
        <v>35</v>
      </c>
    </row>
    <row r="348" spans="1:15">
      <c r="A348" s="57" t="str">
        <f t="shared" si="12"/>
        <v>Instrumentttl_lvrg_rt_incptn</v>
      </c>
      <c r="B348" s="32" t="s">
        <v>9</v>
      </c>
      <c r="C348" s="32" t="s">
        <v>499</v>
      </c>
      <c r="D348" s="32" t="s">
        <v>5</v>
      </c>
      <c r="E348" s="32" t="str">
        <f>+UPPER('0. Instruções'!$D$35&amp;"."&amp;VLOOKUP(B348,'0. Instruções'!$C$27:$D$32,2,FALSE))</f>
        <v>CD_LOAN_TAPES_BCE.LT002_INSTRUMENT</v>
      </c>
      <c r="F348" s="32" t="str">
        <f>+UPPER('0. Instruções'!$D$36&amp;"."&amp;VLOOKUP(B348,'0. Instruções'!$C$27:$E$32,3,FALSE))</f>
        <v>BU_LOANTAPE_WORK.LT002_INSTRUMENT</v>
      </c>
      <c r="H348" s="32"/>
      <c r="I348" s="32"/>
      <c r="J348" s="32" t="str">
        <f>IF(VLOOKUP(B348,'0. Instruções'!$C$27:$G$32,5,FALSE)=0,
"(SELECT "&amp;VLOOKUP(B348,'0. Instruções'!$C$27:$G$32,4,FALSE)&amp;" AS CHAVE_IT, "&amp;C348&amp;" AS CAMPO_IT FROM "&amp;E348&amp;" WHERE "&amp;'0. Instruções'!$D$43&amp;")X",
"(SELECT "&amp;VLOOKUP(B348,'0. Instruções'!$C$27:$G$32,4,FALSE)&amp;" AS CHAVE_IT1, "&amp;VLOOKUP(B348,'0. Instruções'!$C$27:$G$32,5,FALSE)&amp;" AS CHAVE_IT2, "&amp;C348&amp;" AS CAMPO_IT FROM "&amp;E348&amp;" WHERE "&amp;'0. Instruções'!$D$43&amp;")X")</f>
        <v>(SELECT instrmnt_id AS CHAVE_IT, ttl_lvrg_rt_incptn AS CAMPO_IT FROM CD_LOAN_TAPES_BCE.LT002_INSTRUMENT WHERE ref_date='${ref_date}' AND nome_perimetro='Individual Local' AND segmento='ESTR' AND ambito='PM' AND entidade='00100')X</v>
      </c>
      <c r="K348" s="32" t="str">
        <f>IF(VLOOKUP(B348,'0. Instruções'!$C$27:$G$32,5,FALSE)=0,
"(SELECT "&amp;VLOOKUP(B348,'0. Instruções'!$C$27:$G$32,4,FALSE)&amp;" AS CHAVE_SIMUL, "&amp;C348&amp;" AS CAMPO_SIMUL FROM "&amp;F348&amp;" WHERE "&amp;'0. Instruções'!$D$42&amp;")Y",
"(SELECT "&amp;VLOOKUP(B348,'0. Instruções'!$C$27:$G$32,4,FALSE)&amp;" AS CHAVE_SIMUL1, "&amp;VLOOKUP(B348,'0. Instruções'!$C$27:$G$32,5,FALSE)&amp;" AS CHAVE_SIMUL2, "&amp;C348&amp;" AS CAMPO_SIMUL FROM "&amp;F348&amp;" WHERE "&amp;'0. Instruções'!$D$42&amp;")Y")</f>
        <v>(SELECT instrmnt_id AS CHAVE_SIMUL, ttl_lvrg_rt_incptn AS CAMPO_SIMUL FROM BU_LOANTAPE_WORK.LT002_INSTRUMENT WHERE ref_date='${ref_date}' AND nome_perimetro='Individual Local' AND segmento='ESTR' AND ambito='PM' AND entidade='00100')Y</v>
      </c>
      <c r="L348" s="32" t="str">
        <f>IF(VLOOKUP(B348,'0. Instruções'!$C$27:$G$32,5,FALSE)=0,
"ON X.CHAVE_IT=Y.CHAVE_SIMUL",
"ON X.CHAVE_IT1=Y.CHAVE_SIMUL1 AND X.CHAVE_IT2=Y.CHAVE_SIMUL2")</f>
        <v>ON X.CHAVE_IT=Y.CHAVE_SIMUL</v>
      </c>
      <c r="M348" s="32" t="str">
        <f>+IF(D348="Coerência",+IF(LEFT(H348,5)="FLOAT","SELECT '"&amp;UPPER(B348)&amp;"' AS TABELA, '"&amp;UPPER(D348)&amp;"' AS TIPOLOGIA_TESTE,'"&amp;E348&amp;"' AS TABELA_LT,'"&amp;F348&amp;"' AS TABELA_SIMUL,'"&amp;C348&amp;"'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"&amp;J348&amp;" INNER JOIN "&amp;K348&amp;" "&amp;L348,"SELECT '"&amp;UPPER(B348)&amp;"' AS TABELA, '"&amp;UPPER(D348)&amp;"' AS TIPOLOGIA_TESTE,'"&amp;E348&amp;"' AS TABELA_LT,'"&amp;F348&amp;"' AS TABELA_SIMUL,'"&amp;C348&amp;"'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"&amp;J348&amp;" INNER JOIN "&amp;K348&amp;" "&amp;L348))</f>
        <v>SELECT 'INSTRUMENT' AS TABELA, 'COERÊNCIA' AS TIPOLOGIA_TESTE,'CD_LOAN_TAPES_BCE.LT002_INSTRUMENT' AS TABELA_LT,'BU_LOANTAPE_WORK.LT002_INSTRUMENT' AS TABELA_SIMUL,'ttl_lvrg_rt_incptn'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 AS CAMPO_IT FROM CD_LOAN_TAPES_BCE.LT002_INSTRUMENT WHERE ref_date='${ref_date}' AND nome_perimetro='Individual Local' AND segmento='ESTR' AND ambito='PM' AND entidade='00100')X INNER JOIN (SELECT instrmnt_id AS CHAVE_SIMUL, ttl_lvrg_rt_incptn AS CAMPO_SIMUL FROM BU_LOANTAPE_WORK.LT002_INSTRUMENT WHERE ref_date='${ref_date}' AND nome_perimetro='Individual Local' AND segmento='ESTR' AND ambito='PM' AND entidade='00100')Y ON X.CHAVE_IT=Y.CHAVE_SIMUL</v>
      </c>
      <c r="N348" s="33" t="str">
        <f t="shared" si="11"/>
        <v>UNION ALL SELECT 'INSTRUMENT' AS TABELA, 'COERÊNCIA' AS TIPOLOGIA_TESTE,'CD_LOAN_TAPES_BCE.LT002_INSTRUMENT' AS TABELA_LT,'BU_LOANTAPE_WORK.LT002_INSTRUMENT' AS TABELA_SIMUL,'ttl_lvrg_rt_incptn'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 AS CAMPO_IT FROM CD_LOAN_TAPES_BCE.LT002_INSTRUMENT WHERE ref_date='${ref_date}' AND nome_perimetro='Individual Local' AND segmento='ESTR' AND ambito='PM' AND entidade='00100')X INNER JOIN (SELECT instrmnt_id AS CHAVE_SIMUL, ttl_lvrg_rt_incptn AS CAMPO_SIMUL FROM BU_LOANTAPE_WORK.LT002_INSTRUMENT WHERE ref_date='${ref_date}' AND nome_perimetro='Individual Local' AND segmento='ESTR' AND ambito='PM' AND entidade='00100')Y ON X.CHAVE_IT=Y.CHAVE_SIMUL</v>
      </c>
      <c r="O348" s="35" t="s">
        <v>35</v>
      </c>
    </row>
    <row r="349" spans="1:15">
      <c r="A349" s="57" t="str">
        <f t="shared" si="12"/>
        <v>Instrumentttl_lvrg_rt_incptn_hlt</v>
      </c>
      <c r="B349" s="32" t="s">
        <v>9</v>
      </c>
      <c r="C349" s="32" t="s">
        <v>500</v>
      </c>
      <c r="D349" s="32" t="s">
        <v>5</v>
      </c>
      <c r="E349" s="32" t="str">
        <f>+UPPER('0. Instruções'!$D$35&amp;"."&amp;VLOOKUP(B349,'0. Instruções'!$C$27:$D$32,2,FALSE))</f>
        <v>CD_LOAN_TAPES_BCE.LT002_INSTRUMENT</v>
      </c>
      <c r="F349" s="32" t="str">
        <f>+UPPER('0. Instruções'!$D$36&amp;"."&amp;VLOOKUP(B349,'0. Instruções'!$C$27:$E$32,3,FALSE))</f>
        <v>BU_LOANTAPE_WORK.LT002_INSTRUMENT</v>
      </c>
      <c r="H349" s="32"/>
      <c r="I349" s="32"/>
      <c r="J349" s="32" t="str">
        <f>IF(VLOOKUP(B349,'0. Instruções'!$C$27:$G$32,5,FALSE)=0,
"(SELECT "&amp;VLOOKUP(B349,'0. Instruções'!$C$27:$G$32,4,FALSE)&amp;" AS CHAVE_IT, "&amp;C349&amp;" AS CAMPO_IT FROM "&amp;E349&amp;" WHERE "&amp;'0. Instruções'!$D$43&amp;")X",
"(SELECT "&amp;VLOOKUP(B349,'0. Instruções'!$C$27:$G$32,4,FALSE)&amp;" AS CHAVE_IT1, "&amp;VLOOKUP(B349,'0. Instruções'!$C$27:$G$32,5,FALSE)&amp;" AS CHAVE_IT2, "&amp;C349&amp;" AS CAMPO_IT FROM "&amp;E349&amp;" WHERE "&amp;'0. Instruções'!$D$43&amp;")X")</f>
        <v>(SELECT instrmnt_id AS CHAVE_IT, ttl_lvrg_rt_incptn_hlt AS CAMPO_IT FROM CD_LOAN_TAPES_BCE.LT002_INSTRUMENT WHERE ref_date='${ref_date}' AND nome_perimetro='Individual Local' AND segmento='ESTR' AND ambito='PM' AND entidade='00100')X</v>
      </c>
      <c r="K349" s="32" t="str">
        <f>IF(VLOOKUP(B349,'0. Instruções'!$C$27:$G$32,5,FALSE)=0,
"(SELECT "&amp;VLOOKUP(B349,'0. Instruções'!$C$27:$G$32,4,FALSE)&amp;" AS CHAVE_SIMUL, "&amp;C349&amp;" AS CAMPO_SIMUL FROM "&amp;F349&amp;" WHERE "&amp;'0. Instruções'!$D$42&amp;")Y",
"(SELECT "&amp;VLOOKUP(B349,'0. Instruções'!$C$27:$G$32,4,FALSE)&amp;" AS CHAVE_SIMUL1, "&amp;VLOOKUP(B349,'0. Instruções'!$C$27:$G$32,5,FALSE)&amp;" AS CHAVE_SIMUL2, "&amp;C349&amp;" AS CAMPO_SIMUL FROM "&amp;F349&amp;" WHERE "&amp;'0. Instruções'!$D$42&amp;")Y")</f>
        <v>(SELECT instrmnt_id AS CHAVE_SIMUL, ttl_lvrg_rt_incptn_hlt AS CAMPO_SIMUL FROM BU_LOANTAPE_WORK.LT002_INSTRUMENT WHERE ref_date='${ref_date}' AND nome_perimetro='Individual Local' AND segmento='ESTR' AND ambito='PM' AND entidade='00100')Y</v>
      </c>
      <c r="L349" s="32" t="str">
        <f>IF(VLOOKUP(B349,'0. Instruções'!$C$27:$G$32,5,FALSE)=0,
"ON X.CHAVE_IT=Y.CHAVE_SIMUL",
"ON X.CHAVE_IT1=Y.CHAVE_SIMUL1 AND X.CHAVE_IT2=Y.CHAVE_SIMUL2")</f>
        <v>ON X.CHAVE_IT=Y.CHAVE_SIMUL</v>
      </c>
      <c r="M349" s="32" t="str">
        <f>+IF(D349="Coerência",+IF(LEFT(H349,5)="FLOAT","SELECT '"&amp;UPPER(B349)&amp;"' AS TABELA, '"&amp;UPPER(D349)&amp;"' AS TIPOLOGIA_TESTE,'"&amp;E349&amp;"' AS TABELA_LT,'"&amp;F349&amp;"' AS TABELA_SIMUL,'"&amp;C349&amp;"'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"&amp;J349&amp;" INNER JOIN "&amp;K349&amp;" "&amp;L349,"SELECT '"&amp;UPPER(B349)&amp;"' AS TABELA, '"&amp;UPPER(D349)&amp;"' AS TIPOLOGIA_TESTE,'"&amp;E349&amp;"' AS TABELA_LT,'"&amp;F349&amp;"' AS TABELA_SIMUL,'"&amp;C349&amp;"'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"&amp;J349&amp;" INNER JOIN "&amp;K349&amp;" "&amp;L349))</f>
        <v>SELECT 'INSTRUMENT' AS TABELA, 'COERÊNCIA' AS TIPOLOGIA_TESTE,'CD_LOAN_TAPES_BCE.LT002_INSTRUMENT' AS TABELA_LT,'BU_LOANTAPE_WORK.LT002_INSTRUMENT' AS TABELA_SIMUL,'ttl_lvrg_rt_incptn_hlt'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ttl_lvrg_rt_incptn_hlt AS CAMPO_IT FROM CD_LOAN_TAPES_BCE.LT002_INSTRUMENT WHERE ref_date='${ref_date}' AND nome_perimetro='Individual Local' AND segmento='ESTR' AND ambito='PM' AND entidade='00100')X INNER JOIN (SELECT instrmnt_id AS CHAVE_SIMUL, ttl_lvrg_rt_incptn_hlt AS CAMPO_SIMUL FROM BU_LOANTAPE_WORK.LT002_INSTRUMENT WHERE ref_date='${ref_date}' AND nome_perimetro='Individual Local' AND segmento='ESTR' AND ambito='PM' AND entidade='00100')Y ON X.CHAVE_IT=Y.CHAVE_SIMUL</v>
      </c>
      <c r="N349" s="33" t="str">
        <f t="shared" si="11"/>
        <v>UNION ALL SELECT 'INSTRUMENT' AS TABELA, 'COERÊNCIA' AS TIPOLOGIA_TESTE,'CD_LOAN_TAPES_BCE.LT002_INSTRUMENT' AS TABELA_LT,'BU_LOANTAPE_WORK.LT002_INSTRUMENT' AS TABELA_SIMUL,'ttl_lvrg_rt_incptn_hlt'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ttl_lvrg_rt_incptn_hlt AS CAMPO_IT FROM CD_LOAN_TAPES_BCE.LT002_INSTRUMENT WHERE ref_date='${ref_date}' AND nome_perimetro='Individual Local' AND segmento='ESTR' AND ambito='PM' AND entidade='00100')X INNER JOIN (SELECT instrmnt_id AS CHAVE_SIMUL, ttl_lvrg_rt_incptn_hlt AS CAMPO_SIMUL FROM BU_LOANTAPE_WORK.LT002_INSTRUMENT WHERE ref_date='${ref_date}' AND nome_perimetro='Individual Local' AND segmento='ESTR' AND ambito='PM' AND entidade='00100')Y ON X.CHAVE_IT=Y.CHAVE_SIMUL</v>
      </c>
      <c r="O349" s="35" t="s">
        <v>35</v>
      </c>
    </row>
    <row r="350" spans="1:15">
      <c r="A350" s="57" t="str">
        <f t="shared" si="12"/>
        <v>Instrumenttyp_cl</v>
      </c>
      <c r="B350" s="32" t="s">
        <v>9</v>
      </c>
      <c r="C350" s="32" t="s">
        <v>501</v>
      </c>
      <c r="D350" s="32" t="s">
        <v>5</v>
      </c>
      <c r="E350" s="32" t="str">
        <f>+UPPER('0. Instruções'!$D$35&amp;"."&amp;VLOOKUP(B350,'0. Instruções'!$C$27:$D$32,2,FALSE))</f>
        <v>CD_LOAN_TAPES_BCE.LT002_INSTRUMENT</v>
      </c>
      <c r="F350" s="32" t="str">
        <f>+UPPER('0. Instruções'!$D$36&amp;"."&amp;VLOOKUP(B350,'0. Instruções'!$C$27:$E$32,3,FALSE))</f>
        <v>BU_LOANTAPE_WORK.LT002_INSTRUMENT</v>
      </c>
      <c r="H350" s="32"/>
      <c r="I350" s="32"/>
      <c r="J350" s="32" t="str">
        <f>IF(VLOOKUP(B350,'0. Instruções'!$C$27:$G$32,5,FALSE)=0,
"(SELECT "&amp;VLOOKUP(B350,'0. Instruções'!$C$27:$G$32,4,FALSE)&amp;" AS CHAVE_IT, "&amp;C350&amp;" AS CAMPO_IT FROM "&amp;E350&amp;" WHERE "&amp;'0. Instruções'!$D$43&amp;")X",
"(SELECT "&amp;VLOOKUP(B350,'0. Instruções'!$C$27:$G$32,4,FALSE)&amp;" AS CHAVE_IT1, "&amp;VLOOKUP(B350,'0. Instruções'!$C$27:$G$32,5,FALSE)&amp;" AS CHAVE_IT2, "&amp;C350&amp;" AS CAMPO_IT FROM "&amp;E350&amp;" WHERE "&amp;'0. Instruções'!$D$43&amp;")X")</f>
        <v>(SELECT instrmnt_id AS CHAVE_IT, typ_cl AS CAMPO_IT FROM CD_LOAN_TAPES_BCE.LT002_INSTRUMENT WHERE ref_date='${ref_date}' AND nome_perimetro='Individual Local' AND segmento='ESTR' AND ambito='PM' AND entidade='00100')X</v>
      </c>
      <c r="K350" s="32" t="str">
        <f>IF(VLOOKUP(B350,'0. Instruções'!$C$27:$G$32,5,FALSE)=0,
"(SELECT "&amp;VLOOKUP(B350,'0. Instruções'!$C$27:$G$32,4,FALSE)&amp;" AS CHAVE_SIMUL, "&amp;C350&amp;" AS CAMPO_SIMUL FROM "&amp;F350&amp;" WHERE "&amp;'0. Instruções'!$D$42&amp;")Y",
"(SELECT "&amp;VLOOKUP(B350,'0. Instruções'!$C$27:$G$32,4,FALSE)&amp;" AS CHAVE_SIMUL1, "&amp;VLOOKUP(B350,'0. Instruções'!$C$27:$G$32,5,FALSE)&amp;" AS CHAVE_SIMUL2, "&amp;C350&amp;" AS CAMPO_SIMUL FROM "&amp;F350&amp;" WHERE "&amp;'0. Instruções'!$D$42&amp;")Y")</f>
        <v>(SELECT instrmnt_id AS CHAVE_SIMUL, typ_cl AS CAMPO_SIMUL FROM BU_LOANTAPE_WORK.LT002_INSTRUMENT WHERE ref_date='${ref_date}' AND nome_perimetro='Individual Local' AND segmento='ESTR' AND ambito='PM' AND entidade='00100')Y</v>
      </c>
      <c r="L350" s="32" t="str">
        <f>IF(VLOOKUP(B350,'0. Instruções'!$C$27:$G$32,5,FALSE)=0,
"ON X.CHAVE_IT=Y.CHAVE_SIMUL",
"ON X.CHAVE_IT1=Y.CHAVE_SIMUL1 AND X.CHAVE_IT2=Y.CHAVE_SIMUL2")</f>
        <v>ON X.CHAVE_IT=Y.CHAVE_SIMUL</v>
      </c>
      <c r="M350" s="32" t="str">
        <f>+IF(D350="Coerência",+IF(LEFT(H350,5)="FLOAT","SELECT '"&amp;UPPER(B350)&amp;"' AS TABELA, '"&amp;UPPER(D350)&amp;"' AS TIPOLOGIA_TESTE,'"&amp;E350&amp;"' AS TABELA_LT,'"&amp;F350&amp;"' AS TABELA_SIMUL,'"&amp;C350&amp;"'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"&amp;J350&amp;" INNER JOIN "&amp;K350&amp;" "&amp;L350,"SELECT '"&amp;UPPER(B350)&amp;"' AS TABELA, '"&amp;UPPER(D350)&amp;"' AS TIPOLOGIA_TESTE,'"&amp;E350&amp;"' AS TABELA_LT,'"&amp;F350&amp;"' AS TABELA_SIMUL,'"&amp;C350&amp;"'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"&amp;J350&amp;" INNER JOIN "&amp;K350&amp;" "&amp;L350))</f>
        <v>SELECT 'INSTRUMENT' AS TABELA, 'COERÊNCIA' AS TIPOLOGIA_TESTE,'CD_LOAN_TAPES_BCE.LT002_INSTRUMENT' AS TABELA_LT,'BU_LOANTAPE_WORK.LT002_INSTRUMENT' AS TABELA_SIMUL,'typ_cl'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typ_cl AS CAMPO_IT FROM CD_LOAN_TAPES_BCE.LT002_INSTRUMENT WHERE ref_date='${ref_date}' AND nome_perimetro='Individual Local' AND segmento='ESTR' AND ambito='PM' AND entidade='00100')X INNER JOIN (SELECT instrmnt_id AS CHAVE_SIMUL, typ_cl AS CAMPO_SIMUL FROM BU_LOANTAPE_WORK.LT002_INSTRUMENT WHERE ref_date='${ref_date}' AND nome_perimetro='Individual Local' AND segmento='ESTR' AND ambito='PM' AND entidade='00100')Y ON X.CHAVE_IT=Y.CHAVE_SIMUL</v>
      </c>
      <c r="N350" s="33" t="str">
        <f t="shared" si="11"/>
        <v>UNION ALL SELECT 'INSTRUMENT' AS TABELA, 'COERÊNCIA' AS TIPOLOGIA_TESTE,'CD_LOAN_TAPES_BCE.LT002_INSTRUMENT' AS TABELA_LT,'BU_LOANTAPE_WORK.LT002_INSTRUMENT' AS TABELA_SIMUL,'typ_cl'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typ_cl AS CAMPO_IT FROM CD_LOAN_TAPES_BCE.LT002_INSTRUMENT WHERE ref_date='${ref_date}' AND nome_perimetro='Individual Local' AND segmento='ESTR' AND ambito='PM' AND entidade='00100')X INNER JOIN (SELECT instrmnt_id AS CHAVE_SIMUL, typ_cl AS CAMPO_SIMUL FROM BU_LOANTAPE_WORK.LT002_INSTRUMENT WHERE ref_date='${ref_date}' AND nome_perimetro='Individual Local' AND segmento='ESTR' AND ambito='PM' AND entidade='00100')Y ON X.CHAVE_IT=Y.CHAVE_SIMUL</v>
      </c>
      <c r="O350" s="35" t="s">
        <v>35</v>
      </c>
    </row>
    <row r="351" spans="1:15">
      <c r="A351" s="57" t="str">
        <f t="shared" si="12"/>
        <v>Instrumenttyp_dl</v>
      </c>
      <c r="B351" s="32" t="s">
        <v>9</v>
      </c>
      <c r="C351" s="32" t="s">
        <v>502</v>
      </c>
      <c r="D351" s="32" t="s">
        <v>5</v>
      </c>
      <c r="E351" s="32" t="str">
        <f>+UPPER('0. Instruções'!$D$35&amp;"."&amp;VLOOKUP(B351,'0. Instruções'!$C$27:$D$32,2,FALSE))</f>
        <v>CD_LOAN_TAPES_BCE.LT002_INSTRUMENT</v>
      </c>
      <c r="F351" s="32" t="str">
        <f>+UPPER('0. Instruções'!$D$36&amp;"."&amp;VLOOKUP(B351,'0. Instruções'!$C$27:$E$32,3,FALSE))</f>
        <v>BU_LOANTAPE_WORK.LT002_INSTRUMENT</v>
      </c>
      <c r="H351" s="32"/>
      <c r="I351" s="32"/>
      <c r="J351" s="32" t="str">
        <f>IF(VLOOKUP(B351,'0. Instruções'!$C$27:$G$32,5,FALSE)=0,
"(SELECT "&amp;VLOOKUP(B351,'0. Instruções'!$C$27:$G$32,4,FALSE)&amp;" AS CHAVE_IT, "&amp;C351&amp;" AS CAMPO_IT FROM "&amp;E351&amp;" WHERE "&amp;'0. Instruções'!$D$43&amp;")X",
"(SELECT "&amp;VLOOKUP(B351,'0. Instruções'!$C$27:$G$32,4,FALSE)&amp;" AS CHAVE_IT1, "&amp;VLOOKUP(B351,'0. Instruções'!$C$27:$G$32,5,FALSE)&amp;" AS CHAVE_IT2, "&amp;C351&amp;" AS CAMPO_IT FROM "&amp;E351&amp;" WHERE "&amp;'0. Instruções'!$D$43&amp;")X")</f>
        <v>(SELECT instrmnt_id AS CHAVE_IT, typ_dl AS CAMPO_IT FROM CD_LOAN_TAPES_BCE.LT002_INSTRUMENT WHERE ref_date='${ref_date}' AND nome_perimetro='Individual Local' AND segmento='ESTR' AND ambito='PM' AND entidade='00100')X</v>
      </c>
      <c r="K351" s="32" t="str">
        <f>IF(VLOOKUP(B351,'0. Instruções'!$C$27:$G$32,5,FALSE)=0,
"(SELECT "&amp;VLOOKUP(B351,'0. Instruções'!$C$27:$G$32,4,FALSE)&amp;" AS CHAVE_SIMUL, "&amp;C351&amp;" AS CAMPO_SIMUL FROM "&amp;F351&amp;" WHERE "&amp;'0. Instruções'!$D$42&amp;")Y",
"(SELECT "&amp;VLOOKUP(B351,'0. Instruções'!$C$27:$G$32,4,FALSE)&amp;" AS CHAVE_SIMUL1, "&amp;VLOOKUP(B351,'0. Instruções'!$C$27:$G$32,5,FALSE)&amp;" AS CHAVE_SIMUL2, "&amp;C351&amp;" AS CAMPO_SIMUL FROM "&amp;F351&amp;" WHERE "&amp;'0. Instruções'!$D$42&amp;")Y")</f>
        <v>(SELECT instrmnt_id AS CHAVE_SIMUL, typ_dl AS CAMPO_SIMUL FROM BU_LOANTAPE_WORK.LT002_INSTRUMENT WHERE ref_date='${ref_date}' AND nome_perimetro='Individual Local' AND segmento='ESTR' AND ambito='PM' AND entidade='00100')Y</v>
      </c>
      <c r="L351" s="32" t="str">
        <f>IF(VLOOKUP(B351,'0. Instruções'!$C$27:$G$32,5,FALSE)=0,
"ON X.CHAVE_IT=Y.CHAVE_SIMUL",
"ON X.CHAVE_IT1=Y.CHAVE_SIMUL1 AND X.CHAVE_IT2=Y.CHAVE_SIMUL2")</f>
        <v>ON X.CHAVE_IT=Y.CHAVE_SIMUL</v>
      </c>
      <c r="M351" s="32" t="str">
        <f>+IF(D351="Coerência",+IF(LEFT(H351,5)="FLOAT","SELECT '"&amp;UPPER(B351)&amp;"' AS TABELA, '"&amp;UPPER(D351)&amp;"' AS TIPOLOGIA_TESTE,'"&amp;E351&amp;"' AS TABELA_LT,'"&amp;F351&amp;"' AS TABELA_SIMUL,'"&amp;C351&amp;"'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"&amp;J351&amp;" INNER JOIN "&amp;K351&amp;" "&amp;L351,"SELECT '"&amp;UPPER(B351)&amp;"' AS TABELA, '"&amp;UPPER(D351)&amp;"' AS TIPOLOGIA_TESTE,'"&amp;E351&amp;"' AS TABELA_LT,'"&amp;F351&amp;"' AS TABELA_SIMUL,'"&amp;C351&amp;"'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"&amp;J351&amp;" INNER JOIN "&amp;K351&amp;" "&amp;L351))</f>
        <v>SELECT 'INSTRUMENT' AS TABELA, 'COERÊNCIA' AS TIPOLOGIA_TESTE,'CD_LOAN_TAPES_BCE.LT002_INSTRUMENT' AS TABELA_LT,'BU_LOANTAPE_WORK.LT002_INSTRUMENT' AS TABELA_SIMUL,'typ_dl'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typ_dl AS CAMPO_IT FROM CD_LOAN_TAPES_BCE.LT002_INSTRUMENT WHERE ref_date='${ref_date}' AND nome_perimetro='Individual Local' AND segmento='ESTR' AND ambito='PM' AND entidade='00100')X INNER JOIN (SELECT instrmnt_id AS CHAVE_SIMUL, typ_dl AS CAMPO_SIMUL FROM BU_LOANTAPE_WORK.LT002_INSTRUMENT WHERE ref_date='${ref_date}' AND nome_perimetro='Individual Local' AND segmento='ESTR' AND ambito='PM' AND entidade='00100')Y ON X.CHAVE_IT=Y.CHAVE_SIMUL</v>
      </c>
      <c r="N351" s="33" t="str">
        <f t="shared" si="11"/>
        <v>UNION ALL SELECT 'INSTRUMENT' AS TABELA, 'COERÊNCIA' AS TIPOLOGIA_TESTE,'CD_LOAN_TAPES_BCE.LT002_INSTRUMENT' AS TABELA_LT,'BU_LOANTAPE_WORK.LT002_INSTRUMENT' AS TABELA_SIMUL,'typ_dl'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typ_dl AS CAMPO_IT FROM CD_LOAN_TAPES_BCE.LT002_INSTRUMENT WHERE ref_date='${ref_date}' AND nome_perimetro='Individual Local' AND segmento='ESTR' AND ambito='PM' AND entidade='00100')X INNER JOIN (SELECT instrmnt_id AS CHAVE_SIMUL, typ_dl AS CAMPO_SIMUL FROM BU_LOANTAPE_WORK.LT002_INSTRUMENT WHERE ref_date='${ref_date}' AND nome_perimetro='Individual Local' AND segmento='ESTR' AND ambito='PM' AND entidade='00100')Y ON X.CHAVE_IT=Y.CHAVE_SIMUL</v>
      </c>
      <c r="O351" s="35" t="s">
        <v>35</v>
      </c>
    </row>
    <row r="352" spans="1:15">
      <c r="A352" s="57" t="str">
        <f t="shared" si="12"/>
        <v>Instrumenttyp_fclty</v>
      </c>
      <c r="B352" s="32" t="s">
        <v>9</v>
      </c>
      <c r="C352" s="32" t="s">
        <v>503</v>
      </c>
      <c r="D352" s="32" t="s">
        <v>5</v>
      </c>
      <c r="E352" s="32" t="str">
        <f>+UPPER('0. Instruções'!$D$35&amp;"."&amp;VLOOKUP(B352,'0. Instruções'!$C$27:$D$32,2,FALSE))</f>
        <v>CD_LOAN_TAPES_BCE.LT002_INSTRUMENT</v>
      </c>
      <c r="F352" s="32" t="str">
        <f>+UPPER('0. Instruções'!$D$36&amp;"."&amp;VLOOKUP(B352,'0. Instruções'!$C$27:$E$32,3,FALSE))</f>
        <v>BU_LOANTAPE_WORK.LT002_INSTRUMENT</v>
      </c>
      <c r="H352" s="32"/>
      <c r="I352" s="32"/>
      <c r="J352" s="32" t="str">
        <f>IF(VLOOKUP(B352,'0. Instruções'!$C$27:$G$32,5,FALSE)=0,
"(SELECT "&amp;VLOOKUP(B352,'0. Instruções'!$C$27:$G$32,4,FALSE)&amp;" AS CHAVE_IT, "&amp;C352&amp;" AS CAMPO_IT FROM "&amp;E352&amp;" WHERE "&amp;'0. Instruções'!$D$43&amp;")X",
"(SELECT "&amp;VLOOKUP(B352,'0. Instruções'!$C$27:$G$32,4,FALSE)&amp;" AS CHAVE_IT1, "&amp;VLOOKUP(B352,'0. Instruções'!$C$27:$G$32,5,FALSE)&amp;" AS CHAVE_IT2, "&amp;C352&amp;" AS CAMPO_IT FROM "&amp;E352&amp;" WHERE "&amp;'0. Instruções'!$D$43&amp;")X")</f>
        <v>(SELECT instrmnt_id AS CHAVE_IT, typ_fclty AS CAMPO_IT FROM CD_LOAN_TAPES_BCE.LT002_INSTRUMENT WHERE ref_date='${ref_date}' AND nome_perimetro='Individual Local' AND segmento='ESTR' AND ambito='PM' AND entidade='00100')X</v>
      </c>
      <c r="K352" s="32" t="str">
        <f>IF(VLOOKUP(B352,'0. Instruções'!$C$27:$G$32,5,FALSE)=0,
"(SELECT "&amp;VLOOKUP(B352,'0. Instruções'!$C$27:$G$32,4,FALSE)&amp;" AS CHAVE_SIMUL, "&amp;C352&amp;" AS CAMPO_SIMUL FROM "&amp;F352&amp;" WHERE "&amp;'0. Instruções'!$D$42&amp;")Y",
"(SELECT "&amp;VLOOKUP(B352,'0. Instruções'!$C$27:$G$32,4,FALSE)&amp;" AS CHAVE_SIMUL1, "&amp;VLOOKUP(B352,'0. Instruções'!$C$27:$G$32,5,FALSE)&amp;" AS CHAVE_SIMUL2, "&amp;C352&amp;" AS CAMPO_SIMUL FROM "&amp;F352&amp;" WHERE "&amp;'0. Instruções'!$D$42&amp;")Y")</f>
        <v>(SELECT instrmnt_id AS CHAVE_SIMUL, typ_fclty AS CAMPO_SIMUL FROM BU_LOANTAPE_WORK.LT002_INSTRUMENT WHERE ref_date='${ref_date}' AND nome_perimetro='Individual Local' AND segmento='ESTR' AND ambito='PM' AND entidade='00100')Y</v>
      </c>
      <c r="L352" s="32" t="str">
        <f>IF(VLOOKUP(B352,'0. Instruções'!$C$27:$G$32,5,FALSE)=0,
"ON X.CHAVE_IT=Y.CHAVE_SIMUL",
"ON X.CHAVE_IT1=Y.CHAVE_SIMUL1 AND X.CHAVE_IT2=Y.CHAVE_SIMUL2")</f>
        <v>ON X.CHAVE_IT=Y.CHAVE_SIMUL</v>
      </c>
      <c r="M352" s="32" t="str">
        <f>+IF(D352="Coerência",+IF(LEFT(H352,5)="FLOAT","SELECT '"&amp;UPPER(B352)&amp;"' AS TABELA, '"&amp;UPPER(D352)&amp;"' AS TIPOLOGIA_TESTE,'"&amp;E352&amp;"' AS TABELA_LT,'"&amp;F352&amp;"' AS TABELA_SIMUL,'"&amp;C352&amp;"'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"&amp;J352&amp;" INNER JOIN "&amp;K352&amp;" "&amp;L352,"SELECT '"&amp;UPPER(B352)&amp;"' AS TABELA, '"&amp;UPPER(D352)&amp;"' AS TIPOLOGIA_TESTE,'"&amp;E352&amp;"' AS TABELA_LT,'"&amp;F352&amp;"' AS TABELA_SIMUL,'"&amp;C352&amp;"'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"&amp;J352&amp;" INNER JOIN "&amp;K352&amp;" "&amp;L352))</f>
        <v>SELECT 'INSTRUMENT' AS TABELA, 'COERÊNCIA' AS TIPOLOGIA_TESTE,'CD_LOAN_TAPES_BCE.LT002_INSTRUMENT' AS TABELA_LT,'BU_LOANTAPE_WORK.LT002_INSTRUMENT' AS TABELA_SIMUL,'typ_fclty'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typ_fclty AS CAMPO_IT FROM CD_LOAN_TAPES_BCE.LT002_INSTRUMENT WHERE ref_date='${ref_date}' AND nome_perimetro='Individual Local' AND segmento='ESTR' AND ambito='PM' AND entidade='00100')X INNER JOIN (SELECT instrmnt_id AS CHAVE_SIMUL, typ_fclty AS CAMPO_SIMUL FROM BU_LOANTAPE_WORK.LT002_INSTRUMENT WHERE ref_date='${ref_date}' AND nome_perimetro='Individual Local' AND segmento='ESTR' AND ambito='PM' AND entidade='00100')Y ON X.CHAVE_IT=Y.CHAVE_SIMUL</v>
      </c>
      <c r="N352" s="33" t="str">
        <f t="shared" si="11"/>
        <v>UNION ALL SELECT 'INSTRUMENT' AS TABELA, 'COERÊNCIA' AS TIPOLOGIA_TESTE,'CD_LOAN_TAPES_BCE.LT002_INSTRUMENT' AS TABELA_LT,'BU_LOANTAPE_WORK.LT002_INSTRUMENT' AS TABELA_SIMUL,'typ_fclty'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typ_fclty AS CAMPO_IT FROM CD_LOAN_TAPES_BCE.LT002_INSTRUMENT WHERE ref_date='${ref_date}' AND nome_perimetro='Individual Local' AND segmento='ESTR' AND ambito='PM' AND entidade='00100')X INNER JOIN (SELECT instrmnt_id AS CHAVE_SIMUL, typ_fclty AS CAMPO_SIMUL FROM BU_LOANTAPE_WORK.LT002_INSTRUMENT WHERE ref_date='${ref_date}' AND nome_perimetro='Individual Local' AND segmento='ESTR' AND ambito='PM' AND entidade='00100')Y ON X.CHAVE_IT=Y.CHAVE_SIMUL</v>
      </c>
      <c r="O352" s="35" t="s">
        <v>35</v>
      </c>
    </row>
    <row r="353" spans="1:15">
      <c r="A353" s="57" t="str">
        <f t="shared" si="12"/>
        <v>Instrumentus_prcds</v>
      </c>
      <c r="B353" s="32" t="s">
        <v>9</v>
      </c>
      <c r="C353" s="32" t="s">
        <v>504</v>
      </c>
      <c r="D353" s="32" t="s">
        <v>5</v>
      </c>
      <c r="E353" s="32" t="str">
        <f>+UPPER('0. Instruções'!$D$35&amp;"."&amp;VLOOKUP(B353,'0. Instruções'!$C$27:$D$32,2,FALSE))</f>
        <v>CD_LOAN_TAPES_BCE.LT002_INSTRUMENT</v>
      </c>
      <c r="F353" s="32" t="str">
        <f>+UPPER('0. Instruções'!$D$36&amp;"."&amp;VLOOKUP(B353,'0. Instruções'!$C$27:$E$32,3,FALSE))</f>
        <v>BU_LOANTAPE_WORK.LT002_INSTRUMENT</v>
      </c>
      <c r="H353" s="32"/>
      <c r="I353" s="32"/>
      <c r="J353" s="32" t="str">
        <f>IF(VLOOKUP(B353,'0. Instruções'!$C$27:$G$32,5,FALSE)=0,
"(SELECT "&amp;VLOOKUP(B353,'0. Instruções'!$C$27:$G$32,4,FALSE)&amp;" AS CHAVE_IT, "&amp;C353&amp;" AS CAMPO_IT FROM "&amp;E353&amp;" WHERE "&amp;'0. Instruções'!$D$43&amp;")X",
"(SELECT "&amp;VLOOKUP(B353,'0. Instruções'!$C$27:$G$32,4,FALSE)&amp;" AS CHAVE_IT1, "&amp;VLOOKUP(B353,'0. Instruções'!$C$27:$G$32,5,FALSE)&amp;" AS CHAVE_IT2, "&amp;C353&amp;" AS CAMPO_IT FROM "&amp;E353&amp;" WHERE "&amp;'0. Instruções'!$D$43&amp;")X")</f>
        <v>(SELECT instrmnt_id AS CHAVE_IT, us_prcds AS CAMPO_IT FROM CD_LOAN_TAPES_BCE.LT002_INSTRUMENT WHERE ref_date='${ref_date}' AND nome_perimetro='Individual Local' AND segmento='ESTR' AND ambito='PM' AND entidade='00100')X</v>
      </c>
      <c r="K353" s="32" t="str">
        <f>IF(VLOOKUP(B353,'0. Instruções'!$C$27:$G$32,5,FALSE)=0,
"(SELECT "&amp;VLOOKUP(B353,'0. Instruções'!$C$27:$G$32,4,FALSE)&amp;" AS CHAVE_SIMUL, "&amp;C353&amp;" AS CAMPO_SIMUL FROM "&amp;F353&amp;" WHERE "&amp;'0. Instruções'!$D$42&amp;")Y",
"(SELECT "&amp;VLOOKUP(B353,'0. Instruções'!$C$27:$G$32,4,FALSE)&amp;" AS CHAVE_SIMUL1, "&amp;VLOOKUP(B353,'0. Instruções'!$C$27:$G$32,5,FALSE)&amp;" AS CHAVE_SIMUL2, "&amp;C353&amp;" AS CAMPO_SIMUL FROM "&amp;F353&amp;" WHERE "&amp;'0. Instruções'!$D$42&amp;")Y")</f>
        <v>(SELECT instrmnt_id AS CHAVE_SIMUL, us_prcds AS CAMPO_SIMUL FROM BU_LOANTAPE_WORK.LT002_INSTRUMENT WHERE ref_date='${ref_date}' AND nome_perimetro='Individual Local' AND segmento='ESTR' AND ambito='PM' AND entidade='00100')Y</v>
      </c>
      <c r="L353" s="32" t="str">
        <f>IF(VLOOKUP(B353,'0. Instruções'!$C$27:$G$32,5,FALSE)=0,
"ON X.CHAVE_IT=Y.CHAVE_SIMUL",
"ON X.CHAVE_IT1=Y.CHAVE_SIMUL1 AND X.CHAVE_IT2=Y.CHAVE_SIMUL2")</f>
        <v>ON X.CHAVE_IT=Y.CHAVE_SIMUL</v>
      </c>
      <c r="M353" s="32" t="str">
        <f>+IF(D353="Coerência",+IF(LEFT(H353,5)="FLOAT","SELECT '"&amp;UPPER(B353)&amp;"' AS TABELA, '"&amp;UPPER(D353)&amp;"' AS TIPOLOGIA_TESTE,'"&amp;E353&amp;"' AS TABELA_LT,'"&amp;F353&amp;"' AS TABELA_SIMUL,'"&amp;C353&amp;"'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"&amp;J353&amp;" INNER JOIN "&amp;K353&amp;" "&amp;L353,"SELECT '"&amp;UPPER(B353)&amp;"' AS TABELA, '"&amp;UPPER(D353)&amp;"' AS TIPOLOGIA_TESTE,'"&amp;E353&amp;"' AS TABELA_LT,'"&amp;F353&amp;"' AS TABELA_SIMUL,'"&amp;C353&amp;"'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"&amp;J353&amp;" INNER JOIN "&amp;K353&amp;" "&amp;L353))</f>
        <v>SELECT 'INSTRUMENT' AS TABELA, 'COERÊNCIA' AS TIPOLOGIA_TESTE,'CD_LOAN_TAPES_BCE.LT002_INSTRUMENT' AS TABELA_LT,'BU_LOANTAPE_WORK.LT002_INSTRUMENT' AS TABELA_SIMUL,'us_prcds'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us_prcds AS CAMPO_IT FROM CD_LOAN_TAPES_BCE.LT002_INSTRUMENT WHERE ref_date='${ref_date}' AND nome_perimetro='Individual Local' AND segmento='ESTR' AND ambito='PM' AND entidade='00100')X INNER JOIN (SELECT instrmnt_id AS CHAVE_SIMUL, us_prcds AS CAMPO_SIMUL FROM BU_LOANTAPE_WORK.LT002_INSTRUMENT WHERE ref_date='${ref_date}' AND nome_perimetro='Individual Local' AND segmento='ESTR' AND ambito='PM' AND entidade='00100')Y ON X.CHAVE_IT=Y.CHAVE_SIMUL</v>
      </c>
      <c r="N353" s="33" t="str">
        <f t="shared" si="11"/>
        <v>UNION ALL SELECT 'INSTRUMENT' AS TABELA, 'COERÊNCIA' AS TIPOLOGIA_TESTE,'CD_LOAN_TAPES_BCE.LT002_INSTRUMENT' AS TABELA_LT,'BU_LOANTAPE_WORK.LT002_INSTRUMENT' AS TABELA_SIMUL,'us_prcds'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us_prcds AS CAMPO_IT FROM CD_LOAN_TAPES_BCE.LT002_INSTRUMENT WHERE ref_date='${ref_date}' AND nome_perimetro='Individual Local' AND segmento='ESTR' AND ambito='PM' AND entidade='00100')X INNER JOIN (SELECT instrmnt_id AS CHAVE_SIMUL, us_prcds AS CAMPO_SIMUL FROM BU_LOANTAPE_WORK.LT002_INSTRUMENT WHERE ref_date='${ref_date}' AND nome_perimetro='Individual Local' AND segmento='ESTR' AND ambito='PM' AND entidade='00100')Y ON X.CHAVE_IT=Y.CHAVE_SIMUL</v>
      </c>
      <c r="O353" s="35" t="s">
        <v>35</v>
      </c>
    </row>
    <row r="354" spans="1:15">
      <c r="A354" s="57" t="str">
        <f t="shared" si="12"/>
        <v>Instrumentorgnl_amnt_eur</v>
      </c>
      <c r="B354" s="32" t="s">
        <v>9</v>
      </c>
      <c r="C354" s="32" t="s">
        <v>505</v>
      </c>
      <c r="D354" s="32" t="s">
        <v>5</v>
      </c>
      <c r="E354" s="32" t="str">
        <f>+UPPER('0. Instruções'!$D$35&amp;"."&amp;VLOOKUP(B354,'0. Instruções'!$C$27:$D$32,2,FALSE))</f>
        <v>CD_LOAN_TAPES_BCE.LT002_INSTRUMENT</v>
      </c>
      <c r="F354" s="32" t="str">
        <f>+UPPER('0. Instruções'!$D$36&amp;"."&amp;VLOOKUP(B354,'0. Instruções'!$C$27:$E$32,3,FALSE))</f>
        <v>BU_LOANTAPE_WORK.LT002_INSTRUMENT</v>
      </c>
      <c r="H354" s="32"/>
      <c r="I354" s="32"/>
      <c r="J354" s="32" t="str">
        <f>IF(VLOOKUP(B354,'0. Instruções'!$C$27:$G$32,5,FALSE)=0,
"(SELECT "&amp;VLOOKUP(B354,'0. Instruções'!$C$27:$G$32,4,FALSE)&amp;" AS CHAVE_IT, "&amp;C354&amp;" AS CAMPO_IT FROM "&amp;E354&amp;" WHERE "&amp;'0. Instruções'!$D$43&amp;")X",
"(SELECT "&amp;VLOOKUP(B354,'0. Instruções'!$C$27:$G$32,4,FALSE)&amp;" AS CHAVE_IT1, "&amp;VLOOKUP(B354,'0. Instruções'!$C$27:$G$32,5,FALSE)&amp;" AS CHAVE_IT2, "&amp;C354&amp;" AS CAMPO_IT FROM "&amp;E354&amp;" WHERE "&amp;'0. Instruções'!$D$43&amp;")X")</f>
        <v>(SELECT instrmnt_id AS CHAVE_IT, orgnl_amnt_eur AS CAMPO_IT FROM CD_LOAN_TAPES_BCE.LT002_INSTRUMENT WHERE ref_date='${ref_date}' AND nome_perimetro='Individual Local' AND segmento='ESTR' AND ambito='PM' AND entidade='00100')X</v>
      </c>
      <c r="K354" s="32" t="str">
        <f>IF(VLOOKUP(B354,'0. Instruções'!$C$27:$G$32,5,FALSE)=0,
"(SELECT "&amp;VLOOKUP(B354,'0. Instruções'!$C$27:$G$32,4,FALSE)&amp;" AS CHAVE_SIMUL, "&amp;C354&amp;" AS CAMPO_SIMUL FROM "&amp;F354&amp;" WHERE "&amp;'0. Instruções'!$D$42&amp;")Y",
"(SELECT "&amp;VLOOKUP(B354,'0. Instruções'!$C$27:$G$32,4,FALSE)&amp;" AS CHAVE_SIMUL1, "&amp;VLOOKUP(B354,'0. Instruções'!$C$27:$G$32,5,FALSE)&amp;" AS CHAVE_SIMUL2, "&amp;C354&amp;" AS CAMPO_SIMUL FROM "&amp;F354&amp;" WHERE "&amp;'0. Instruções'!$D$42&amp;")Y")</f>
        <v>(SELECT instrmnt_id AS CHAVE_SIMUL, orgnl_amnt_eur AS CAMPO_SIMUL FROM BU_LOANTAPE_WORK.LT002_INSTRUMENT WHERE ref_date='${ref_date}' AND nome_perimetro='Individual Local' AND segmento='ESTR' AND ambito='PM' AND entidade='00100')Y</v>
      </c>
      <c r="L354" s="32" t="str">
        <f>IF(VLOOKUP(B354,'0. Instruções'!$C$27:$G$32,5,FALSE)=0,
"ON X.CHAVE_IT=Y.CHAVE_SIMUL",
"ON X.CHAVE_IT1=Y.CHAVE_SIMUL1 AND X.CHAVE_IT2=Y.CHAVE_SIMUL2")</f>
        <v>ON X.CHAVE_IT=Y.CHAVE_SIMUL</v>
      </c>
      <c r="M354" s="32" t="str">
        <f>+IF(D354="Coerência",+IF(LEFT(H354,5)="FLOAT","SELECT '"&amp;UPPER(B354)&amp;"' AS TABELA, '"&amp;UPPER(D354)&amp;"' AS TIPOLOGIA_TESTE,'"&amp;E354&amp;"' AS TABELA_LT,'"&amp;F354&amp;"' AS TABELA_SIMUL,'"&amp;C354&amp;"'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"&amp;J354&amp;" INNER JOIN "&amp;K354&amp;" "&amp;L354,"SELECT '"&amp;UPPER(B354)&amp;"' AS TABELA, '"&amp;UPPER(D354)&amp;"' AS TIPOLOGIA_TESTE,'"&amp;E354&amp;"' AS TABELA_LT,'"&amp;F354&amp;"' AS TABELA_SIMUL,'"&amp;C354&amp;"'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"&amp;J354&amp;" INNER JOIN "&amp;K354&amp;" "&amp;L354))</f>
        <v>SELECT 'INSTRUMENT' AS TABELA, 'COERÊNCIA' AS TIPOLOGIA_TESTE,'CD_LOAN_TAPES_BCE.LT002_INSTRUMENT' AS TABELA_LT,'BU_LOANTAPE_WORK.LT002_INSTRUMENT' AS TABELA_SIMUL,'orgnl_amnt_eur'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orgnl_amnt_eur AS CAMPO_IT FROM CD_LOAN_TAPES_BCE.LT002_INSTRUMENT WHERE ref_date='${ref_date}' AND nome_perimetro='Individual Local' AND segmento='ESTR' AND ambito='PM' AND entidade='00100')X INNER JOIN (SELECT instrmnt_id AS CHAVE_SIMUL, orgnl_amnt_eur AS CAMPO_SIMUL FROM BU_LOANTAPE_WORK.LT002_INSTRUMENT WHERE ref_date='${ref_date}' AND nome_perimetro='Individual Local' AND segmento='ESTR' AND ambito='PM' AND entidade='00100')Y ON X.CHAVE_IT=Y.CHAVE_SIMUL</v>
      </c>
      <c r="N354" s="33" t="str">
        <f t="shared" si="11"/>
        <v>UNION ALL SELECT 'INSTRUMENT' AS TABELA, 'COERÊNCIA' AS TIPOLOGIA_TESTE,'CD_LOAN_TAPES_BCE.LT002_INSTRUMENT' AS TABELA_LT,'BU_LOANTAPE_WORK.LT002_INSTRUMENT' AS TABELA_SIMUL,'orgnl_amnt_eur'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orgnl_amnt_eur AS CAMPO_IT FROM CD_LOAN_TAPES_BCE.LT002_INSTRUMENT WHERE ref_date='${ref_date}' AND nome_perimetro='Individual Local' AND segmento='ESTR' AND ambito='PM' AND entidade='00100')X INNER JOIN (SELECT instrmnt_id AS CHAVE_SIMUL, orgnl_amnt_eur AS CAMPO_SIMUL FROM BU_LOANTAPE_WORK.LT002_INSTRUMENT WHERE ref_date='${ref_date}' AND nome_perimetro='Individual Local' AND segmento='ESTR' AND ambito='PM' AND entidade='00100')Y ON X.CHAVE_IT=Y.CHAVE_SIMUL</v>
      </c>
      <c r="O354" s="35" t="s">
        <v>35</v>
      </c>
    </row>
    <row r="355" spans="1:15">
      <c r="A355" s="57" t="str">
        <f t="shared" si="12"/>
        <v>Instrumentorgnl_amnt_fx</v>
      </c>
      <c r="B355" s="32" t="s">
        <v>9</v>
      </c>
      <c r="C355" s="32" t="s">
        <v>506</v>
      </c>
      <c r="D355" s="32" t="s">
        <v>5</v>
      </c>
      <c r="E355" s="32" t="str">
        <f>+UPPER('0. Instruções'!$D$35&amp;"."&amp;VLOOKUP(B355,'0. Instruções'!$C$27:$D$32,2,FALSE))</f>
        <v>CD_LOAN_TAPES_BCE.LT002_INSTRUMENT</v>
      </c>
      <c r="F355" s="32" t="str">
        <f>+UPPER('0. Instruções'!$D$36&amp;"."&amp;VLOOKUP(B355,'0. Instruções'!$C$27:$E$32,3,FALSE))</f>
        <v>BU_LOANTAPE_WORK.LT002_INSTRUMENT</v>
      </c>
      <c r="H355" s="32"/>
      <c r="I355" s="32"/>
      <c r="J355" s="32" t="str">
        <f>IF(VLOOKUP(B355,'0. Instruções'!$C$27:$G$32,5,FALSE)=0,
"(SELECT "&amp;VLOOKUP(B355,'0. Instruções'!$C$27:$G$32,4,FALSE)&amp;" AS CHAVE_IT, "&amp;C355&amp;" AS CAMPO_IT FROM "&amp;E355&amp;" WHERE "&amp;'0. Instruções'!$D$43&amp;")X",
"(SELECT "&amp;VLOOKUP(B355,'0. Instruções'!$C$27:$G$32,4,FALSE)&amp;" AS CHAVE_IT1, "&amp;VLOOKUP(B355,'0. Instruções'!$C$27:$G$32,5,FALSE)&amp;" AS CHAVE_IT2, "&amp;C355&amp;" AS CAMPO_IT FROM "&amp;E355&amp;" WHERE "&amp;'0. Instruções'!$D$43&amp;")X")</f>
        <v>(SELECT instrmnt_id AS CHAVE_IT, orgnl_amnt_fx AS CAMPO_IT FROM CD_LOAN_TAPES_BCE.LT002_INSTRUMENT WHERE ref_date='${ref_date}' AND nome_perimetro='Individual Local' AND segmento='ESTR' AND ambito='PM' AND entidade='00100')X</v>
      </c>
      <c r="K355" s="32" t="str">
        <f>IF(VLOOKUP(B355,'0. Instruções'!$C$27:$G$32,5,FALSE)=0,
"(SELECT "&amp;VLOOKUP(B355,'0. Instruções'!$C$27:$G$32,4,FALSE)&amp;" AS CHAVE_SIMUL, "&amp;C355&amp;" AS CAMPO_SIMUL FROM "&amp;F355&amp;" WHERE "&amp;'0. Instruções'!$D$42&amp;")Y",
"(SELECT "&amp;VLOOKUP(B355,'0. Instruções'!$C$27:$G$32,4,FALSE)&amp;" AS CHAVE_SIMUL1, "&amp;VLOOKUP(B355,'0. Instruções'!$C$27:$G$32,5,FALSE)&amp;" AS CHAVE_SIMUL2, "&amp;C355&amp;" AS CAMPO_SIMUL FROM "&amp;F355&amp;" WHERE "&amp;'0. Instruções'!$D$42&amp;")Y")</f>
        <v>(SELECT instrmnt_id AS CHAVE_SIMUL, orgnl_amnt_fx AS CAMPO_SIMUL FROM BU_LOANTAPE_WORK.LT002_INSTRUMENT WHERE ref_date='${ref_date}' AND nome_perimetro='Individual Local' AND segmento='ESTR' AND ambito='PM' AND entidade='00100')Y</v>
      </c>
      <c r="L355" s="32" t="str">
        <f>IF(VLOOKUP(B355,'0. Instruções'!$C$27:$G$32,5,FALSE)=0,
"ON X.CHAVE_IT=Y.CHAVE_SIMUL",
"ON X.CHAVE_IT1=Y.CHAVE_SIMUL1 AND X.CHAVE_IT2=Y.CHAVE_SIMUL2")</f>
        <v>ON X.CHAVE_IT=Y.CHAVE_SIMUL</v>
      </c>
      <c r="M355" s="32" t="str">
        <f>+IF(D355="Coerência",+IF(LEFT(H355,5)="FLOAT","SELECT '"&amp;UPPER(B355)&amp;"' AS TABELA, '"&amp;UPPER(D355)&amp;"' AS TIPOLOGIA_TESTE,'"&amp;E355&amp;"' AS TABELA_LT,'"&amp;F355&amp;"' AS TABELA_SIMUL,'"&amp;C355&amp;"'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"&amp;J355&amp;" INNER JOIN "&amp;K355&amp;" "&amp;L355,"SELECT '"&amp;UPPER(B355)&amp;"' AS TABELA, '"&amp;UPPER(D355)&amp;"' AS TIPOLOGIA_TESTE,'"&amp;E355&amp;"' AS TABELA_LT,'"&amp;F355&amp;"' AS TABELA_SIMUL,'"&amp;C355&amp;"'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"&amp;J355&amp;" INNER JOIN "&amp;K355&amp;" "&amp;L355))</f>
        <v>SELECT 'INSTRUMENT' AS TABELA, 'COERÊNCIA' AS TIPOLOGIA_TESTE,'CD_LOAN_TAPES_BCE.LT002_INSTRUMENT' AS TABELA_LT,'BU_LOANTAPE_WORK.LT002_INSTRUMENT' AS TABELA_SIMUL,'orgnl_amnt_fx'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orgnl_amnt_fx AS CAMPO_IT FROM CD_LOAN_TAPES_BCE.LT002_INSTRUMENT WHERE ref_date='${ref_date}' AND nome_perimetro='Individual Local' AND segmento='ESTR' AND ambito='PM' AND entidade='00100')X INNER JOIN (SELECT instrmnt_id AS CHAVE_SIMUL, orgnl_amnt_fx AS CAMPO_SIMUL FROM BU_LOANTAPE_WORK.LT002_INSTRUMENT WHERE ref_date='${ref_date}' AND nome_perimetro='Individual Local' AND segmento='ESTR' AND ambito='PM' AND entidade='00100')Y ON X.CHAVE_IT=Y.CHAVE_SIMUL</v>
      </c>
      <c r="N355" s="33" t="str">
        <f t="shared" si="11"/>
        <v>UNION ALL SELECT 'INSTRUMENT' AS TABELA, 'COERÊNCIA' AS TIPOLOGIA_TESTE,'CD_LOAN_TAPES_BCE.LT002_INSTRUMENT' AS TABELA_LT,'BU_LOANTAPE_WORK.LT002_INSTRUMENT' AS TABELA_SIMUL,'orgnl_amnt_fx'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orgnl_amnt_fx AS CAMPO_IT FROM CD_LOAN_TAPES_BCE.LT002_INSTRUMENT WHERE ref_date='${ref_date}' AND nome_perimetro='Individual Local' AND segmento='ESTR' AND ambito='PM' AND entidade='00100')X INNER JOIN (SELECT instrmnt_id AS CHAVE_SIMUL, orgnl_amnt_fx AS CAMPO_SIMUL FROM BU_LOANTAPE_WORK.LT002_INSTRUMENT WHERE ref_date='${ref_date}' AND nome_perimetro='Individual Local' AND segmento='ESTR' AND ambito='PM' AND entidade='00100')Y ON X.CHAVE_IT=Y.CHAVE_SIMUL</v>
      </c>
      <c r="O355" s="35" t="s">
        <v>35</v>
      </c>
    </row>
    <row r="356" spans="1:15">
      <c r="A356" s="57" t="str">
        <f t="shared" si="12"/>
        <v>Instrumentrank_insolv</v>
      </c>
      <c r="B356" s="32" t="s">
        <v>9</v>
      </c>
      <c r="C356" s="32" t="s">
        <v>250</v>
      </c>
      <c r="D356" s="32" t="s">
        <v>5</v>
      </c>
      <c r="E356" s="32" t="str">
        <f>+UPPER('0. Instruções'!$D$35&amp;"."&amp;VLOOKUP(B356,'0. Instruções'!$C$27:$D$32,2,FALSE))</f>
        <v>CD_LOAN_TAPES_BCE.LT002_INSTRUMENT</v>
      </c>
      <c r="F356" s="32" t="str">
        <f>+UPPER('0. Instruções'!$D$36&amp;"."&amp;VLOOKUP(B356,'0. Instruções'!$C$27:$E$32,3,FALSE))</f>
        <v>BU_LOANTAPE_WORK.LT002_INSTRUMENT</v>
      </c>
      <c r="H356" s="32"/>
      <c r="I356" s="32"/>
      <c r="J356" s="32" t="str">
        <f>IF(VLOOKUP(B356,'0. Instruções'!$C$27:$G$32,5,FALSE)=0,
"(SELECT "&amp;VLOOKUP(B356,'0. Instruções'!$C$27:$G$32,4,FALSE)&amp;" AS CHAVE_IT, "&amp;C356&amp;" AS CAMPO_IT FROM "&amp;E356&amp;" WHERE "&amp;'0. Instruções'!$D$43&amp;")X",
"(SELECT "&amp;VLOOKUP(B356,'0. Instruções'!$C$27:$G$32,4,FALSE)&amp;" AS CHAVE_IT1, "&amp;VLOOKUP(B356,'0. Instruções'!$C$27:$G$32,5,FALSE)&amp;" AS CHAVE_IT2, "&amp;C356&amp;" AS CAMPO_IT FROM "&amp;E356&amp;" WHERE "&amp;'0. Instruções'!$D$43&amp;")X")</f>
        <v>(SELECT instrmnt_id AS CHAVE_IT, rank_insolv AS CAMPO_IT FROM CD_LOAN_TAPES_BCE.LT002_INSTRUMENT WHERE ref_date='${ref_date}' AND nome_perimetro='Individual Local' AND segmento='ESTR' AND ambito='PM' AND entidade='00100')X</v>
      </c>
      <c r="K356" s="32" t="str">
        <f>IF(VLOOKUP(B356,'0. Instruções'!$C$27:$G$32,5,FALSE)=0,
"(SELECT "&amp;VLOOKUP(B356,'0. Instruções'!$C$27:$G$32,4,FALSE)&amp;" AS CHAVE_SIMUL, "&amp;C356&amp;" AS CAMPO_SIMUL FROM "&amp;F356&amp;" WHERE "&amp;'0. Instruções'!$D$42&amp;")Y",
"(SELECT "&amp;VLOOKUP(B356,'0. Instruções'!$C$27:$G$32,4,FALSE)&amp;" AS CHAVE_SIMUL1, "&amp;VLOOKUP(B356,'0. Instruções'!$C$27:$G$32,5,FALSE)&amp;" AS CHAVE_SIMUL2, "&amp;C356&amp;" AS CAMPO_SIMUL FROM "&amp;F356&amp;" WHERE "&amp;'0. Instruções'!$D$42&amp;")Y")</f>
        <v>(SELECT instrmnt_id AS CHAVE_SIMUL, rank_insolv AS CAMPO_SIMUL FROM BU_LOANTAPE_WORK.LT002_INSTRUMENT WHERE ref_date='${ref_date}' AND nome_perimetro='Individual Local' AND segmento='ESTR' AND ambito='PM' AND entidade='00100')Y</v>
      </c>
      <c r="L356" s="32" t="str">
        <f>IF(VLOOKUP(B356,'0. Instruções'!$C$27:$G$32,5,FALSE)=0,
"ON X.CHAVE_IT=Y.CHAVE_SIMUL",
"ON X.CHAVE_IT1=Y.CHAVE_SIMUL1 AND X.CHAVE_IT2=Y.CHAVE_SIMUL2")</f>
        <v>ON X.CHAVE_IT=Y.CHAVE_SIMUL</v>
      </c>
      <c r="M356" s="32" t="str">
        <f>+IF(D356="Coerência",+IF(LEFT(H356,5)="FLOAT","SELECT '"&amp;UPPER(B356)&amp;"' AS TABELA, '"&amp;UPPER(D356)&amp;"' AS TIPOLOGIA_TESTE,'"&amp;E356&amp;"' AS TABELA_LT,'"&amp;F356&amp;"' AS TABELA_SIMUL,'"&amp;C356&amp;"'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"&amp;J356&amp;" INNER JOIN "&amp;K356&amp;" "&amp;L356,"SELECT '"&amp;UPPER(B356)&amp;"' AS TABELA, '"&amp;UPPER(D356)&amp;"' AS TIPOLOGIA_TESTE,'"&amp;E356&amp;"' AS TABELA_LT,'"&amp;F356&amp;"' AS TABELA_SIMUL,'"&amp;C356&amp;"'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"&amp;J356&amp;" INNER JOIN "&amp;K356&amp;" "&amp;L356))</f>
        <v>SELECT 'INSTRUMENT' AS TABELA, 'COERÊNCIA' AS TIPOLOGIA_TESTE,'CD_LOAN_TAPES_BCE.LT002_INSTRUMENT' AS TABELA_LT,'BU_LOANTAPE_WORK.LT002_INSTRUMENT'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rank_insolv AS CAMPO_IT FROM CD_LOAN_TAPES_BCE.LT002_INSTRUMENT WHERE ref_date='${ref_date}' AND nome_perimetro='Individual Local' AND segmento='ESTR' AND ambito='PM' AND entidade='00100')X INNER JOIN (SELECT instrmnt_id AS CHAVE_SIMUL, rank_insolv AS CAMPO_SIMUL FROM BU_LOANTAPE_WORK.LT002_INSTRUMENT WHERE ref_date='${ref_date}' AND nome_perimetro='Individual Local' AND segmento='ESTR' AND ambito='PM' AND entidade='00100')Y ON X.CHAVE_IT=Y.CHAVE_SIMUL</v>
      </c>
      <c r="N356" s="33" t="str">
        <f t="shared" si="11"/>
        <v>UNION ALL SELECT 'INSTRUMENT' AS TABELA, 'COERÊNCIA' AS TIPOLOGIA_TESTE,'CD_LOAN_TAPES_BCE.LT002_INSTRUMENT' AS TABELA_LT,'BU_LOANTAPE_WORK.LT002_INSTRUMENT' AS TABELA_SIMUL,'rank_insolv'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rank_insolv AS CAMPO_IT FROM CD_LOAN_TAPES_BCE.LT002_INSTRUMENT WHERE ref_date='${ref_date}' AND nome_perimetro='Individual Local' AND segmento='ESTR' AND ambito='PM' AND entidade='00100')X INNER JOIN (SELECT instrmnt_id AS CHAVE_SIMUL, rank_insolv AS CAMPO_SIMUL FROM BU_LOANTAPE_WORK.LT002_INSTRUMENT WHERE ref_date='${ref_date}' AND nome_perimetro='Individual Local' AND segmento='ESTR' AND ambito='PM' AND entidade='00100')Y ON X.CHAVE_IT=Y.CHAVE_SIMUL</v>
      </c>
      <c r="O356" s="35" t="s">
        <v>35</v>
      </c>
    </row>
    <row r="357" spans="1:15">
      <c r="A357" s="57" t="str">
        <f t="shared" si="12"/>
        <v>Instrumentdt_nxt_intrst_pymnt</v>
      </c>
      <c r="B357" s="32" t="s">
        <v>9</v>
      </c>
      <c r="C357" s="32" t="s">
        <v>507</v>
      </c>
      <c r="D357" s="32" t="s">
        <v>5</v>
      </c>
      <c r="E357" s="32" t="str">
        <f>+UPPER('0. Instruções'!$D$35&amp;"."&amp;VLOOKUP(B357,'0. Instruções'!$C$27:$D$32,2,FALSE))</f>
        <v>CD_LOAN_TAPES_BCE.LT002_INSTRUMENT</v>
      </c>
      <c r="F357" s="32" t="str">
        <f>+UPPER('0. Instruções'!$D$36&amp;"."&amp;VLOOKUP(B357,'0. Instruções'!$C$27:$E$32,3,FALSE))</f>
        <v>BU_LOANTAPE_WORK.LT002_INSTRUMENT</v>
      </c>
      <c r="H357" s="32"/>
      <c r="I357" s="32"/>
      <c r="J357" s="32" t="str">
        <f>IF(VLOOKUP(B357,'0. Instruções'!$C$27:$G$32,5,FALSE)=0,
"(SELECT "&amp;VLOOKUP(B357,'0. Instruções'!$C$27:$G$32,4,FALSE)&amp;" AS CHAVE_IT, "&amp;C357&amp;" AS CAMPO_IT FROM "&amp;E357&amp;" WHERE "&amp;'0. Instruções'!$D$43&amp;")X",
"(SELECT "&amp;VLOOKUP(B357,'0. Instruções'!$C$27:$G$32,4,FALSE)&amp;" AS CHAVE_IT1, "&amp;VLOOKUP(B357,'0. Instruções'!$C$27:$G$32,5,FALSE)&amp;" AS CHAVE_IT2, "&amp;C357&amp;" AS CAMPO_IT FROM "&amp;E357&amp;" WHERE "&amp;'0. Instruções'!$D$43&amp;")X")</f>
        <v>(SELECT instrmnt_id AS CHAVE_IT, dt_nxt_intrst_pymnt AS CAMPO_IT FROM CD_LOAN_TAPES_BCE.LT002_INSTRUMENT WHERE ref_date='${ref_date}' AND nome_perimetro='Individual Local' AND segmento='ESTR' AND ambito='PM' AND entidade='00100')X</v>
      </c>
      <c r="K357" s="32" t="str">
        <f>IF(VLOOKUP(B357,'0. Instruções'!$C$27:$G$32,5,FALSE)=0,
"(SELECT "&amp;VLOOKUP(B357,'0. Instruções'!$C$27:$G$32,4,FALSE)&amp;" AS CHAVE_SIMUL, "&amp;C357&amp;" AS CAMPO_SIMUL FROM "&amp;F357&amp;" WHERE "&amp;'0. Instruções'!$D$42&amp;")Y",
"(SELECT "&amp;VLOOKUP(B357,'0. Instruções'!$C$27:$G$32,4,FALSE)&amp;" AS CHAVE_SIMUL1, "&amp;VLOOKUP(B357,'0. Instruções'!$C$27:$G$32,5,FALSE)&amp;" AS CHAVE_SIMUL2, "&amp;C357&amp;" AS CAMPO_SIMUL FROM "&amp;F357&amp;" WHERE "&amp;'0. Instruções'!$D$42&amp;")Y")</f>
        <v>(SELECT instrmnt_id AS CHAVE_SIMUL, dt_nxt_intrst_pymnt AS CAMPO_SIMUL FROM BU_LOANTAPE_WORK.LT002_INSTRUMENT WHERE ref_date='${ref_date}' AND nome_perimetro='Individual Local' AND segmento='ESTR' AND ambito='PM' AND entidade='00100')Y</v>
      </c>
      <c r="L357" s="32" t="str">
        <f>IF(VLOOKUP(B357,'0. Instruções'!$C$27:$G$32,5,FALSE)=0,
"ON X.CHAVE_IT=Y.CHAVE_SIMUL",
"ON X.CHAVE_IT1=Y.CHAVE_SIMUL1 AND X.CHAVE_IT2=Y.CHAVE_SIMUL2")</f>
        <v>ON X.CHAVE_IT=Y.CHAVE_SIMUL</v>
      </c>
      <c r="M357" s="32" t="str">
        <f>+IF(D357="Coerência",+IF(LEFT(H357,5)="FLOAT","SELECT '"&amp;UPPER(B357)&amp;"' AS TABELA, '"&amp;UPPER(D357)&amp;"' AS TIPOLOGIA_TESTE,'"&amp;E357&amp;"' AS TABELA_LT,'"&amp;F357&amp;"' AS TABELA_SIMUL,'"&amp;C357&amp;"'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"&amp;J357&amp;" INNER JOIN "&amp;K357&amp;" "&amp;L357,"SELECT '"&amp;UPPER(B357)&amp;"' AS TABELA, '"&amp;UPPER(D357)&amp;"' AS TIPOLOGIA_TESTE,'"&amp;E357&amp;"' AS TABELA_LT,'"&amp;F357&amp;"' AS TABELA_SIMUL,'"&amp;C357&amp;"'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"&amp;J357&amp;" INNER JOIN "&amp;K357&amp;" "&amp;L357))</f>
        <v>SELECT 'INSTRUMENT' AS TABELA, 'COERÊNCIA' AS TIPOLOGIA_TESTE,'CD_LOAN_TAPES_BCE.LT002_INSTRUMENT' AS TABELA_LT,'BU_LOANTAPE_WORK.LT002_INSTRUMENT' AS TABELA_SIMUL,'dt_nxt_intrst_pymnt'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dt_nxt_intrst_pymnt AS CAMPO_IT FROM CD_LOAN_TAPES_BCE.LT002_INSTRUMENT WHERE ref_date='${ref_date}' AND nome_perimetro='Individual Local' AND segmento='ESTR' AND ambito='PM' AND entidade='00100')X INNER JOIN (SELECT instrmnt_id AS CHAVE_SIMUL, dt_nxt_intrst_pymnt AS CAMPO_SIMUL FROM BU_LOANTAPE_WORK.LT002_INSTRUMENT WHERE ref_date='${ref_date}' AND nome_perimetro='Individual Local' AND segmento='ESTR' AND ambito='PM' AND entidade='00100')Y ON X.CHAVE_IT=Y.CHAVE_SIMUL</v>
      </c>
      <c r="N357" s="33" t="str">
        <f t="shared" si="11"/>
        <v>UNION ALL SELECT 'INSTRUMENT' AS TABELA, 'COERÊNCIA' AS TIPOLOGIA_TESTE,'CD_LOAN_TAPES_BCE.LT002_INSTRUMENT' AS TABELA_LT,'BU_LOANTAPE_WORK.LT002_INSTRUMENT' AS TABELA_SIMUL,'dt_nxt_intrst_pymnt'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dt_nxt_intrst_pymnt AS CAMPO_IT FROM CD_LOAN_TAPES_BCE.LT002_INSTRUMENT WHERE ref_date='${ref_date}' AND nome_perimetro='Individual Local' AND segmento='ESTR' AND ambito='PM' AND entidade='00100')X INNER JOIN (SELECT instrmnt_id AS CHAVE_SIMUL, dt_nxt_intrst_pymnt AS CAMPO_SIMUL FROM BU_LOANTAPE_WORK.LT002_INSTRUMENT WHERE ref_date='${ref_date}' AND nome_perimetro='Individual Local' AND segmento='ESTR' AND ambito='PM' AND entidade='00100')Y ON X.CHAVE_IT=Y.CHAVE_SIMUL</v>
      </c>
      <c r="O357" s="35" t="s">
        <v>35</v>
      </c>
    </row>
    <row r="358" spans="1:15">
      <c r="A358" s="57" t="str">
        <f t="shared" si="12"/>
        <v>Instrumentamnt_scrty_eur</v>
      </c>
      <c r="B358" s="32" t="s">
        <v>9</v>
      </c>
      <c r="C358" s="32" t="s">
        <v>508</v>
      </c>
      <c r="D358" s="32" t="s">
        <v>5</v>
      </c>
      <c r="E358" s="32" t="str">
        <f>+UPPER('0. Instruções'!$D$35&amp;"."&amp;VLOOKUP(B358,'0. Instruções'!$C$27:$D$32,2,FALSE))</f>
        <v>CD_LOAN_TAPES_BCE.LT002_INSTRUMENT</v>
      </c>
      <c r="F358" s="32" t="str">
        <f>+UPPER('0. Instruções'!$D$36&amp;"."&amp;VLOOKUP(B358,'0. Instruções'!$C$27:$E$32,3,FALSE))</f>
        <v>BU_LOANTAPE_WORK.LT002_INSTRUMENT</v>
      </c>
      <c r="H358" s="32"/>
      <c r="I358" s="32"/>
      <c r="J358" s="32" t="str">
        <f>IF(VLOOKUP(B358,'0. Instruções'!$C$27:$G$32,5,FALSE)=0,
"(SELECT "&amp;VLOOKUP(B358,'0. Instruções'!$C$27:$G$32,4,FALSE)&amp;" AS CHAVE_IT, "&amp;C358&amp;" AS CAMPO_IT FROM "&amp;E358&amp;" WHERE "&amp;'0. Instruções'!$D$43&amp;")X",
"(SELECT "&amp;VLOOKUP(B358,'0. Instruções'!$C$27:$G$32,4,FALSE)&amp;" AS CHAVE_IT1, "&amp;VLOOKUP(B358,'0. Instruções'!$C$27:$G$32,5,FALSE)&amp;" AS CHAVE_IT2, "&amp;C358&amp;" AS CAMPO_IT FROM "&amp;E358&amp;" WHERE "&amp;'0. Instruções'!$D$43&amp;")X")</f>
        <v>(SELECT instrmnt_id AS CHAVE_IT, amnt_scrty_eur AS CAMPO_IT FROM CD_LOAN_TAPES_BCE.LT002_INSTRUMENT WHERE ref_date='${ref_date}' AND nome_perimetro='Individual Local' AND segmento='ESTR' AND ambito='PM' AND entidade='00100')X</v>
      </c>
      <c r="K358" s="32" t="str">
        <f>IF(VLOOKUP(B358,'0. Instruções'!$C$27:$G$32,5,FALSE)=0,
"(SELECT "&amp;VLOOKUP(B358,'0. Instruções'!$C$27:$G$32,4,FALSE)&amp;" AS CHAVE_SIMUL, "&amp;C358&amp;" AS CAMPO_SIMUL FROM "&amp;F358&amp;" WHERE "&amp;'0. Instruções'!$D$42&amp;")Y",
"(SELECT "&amp;VLOOKUP(B358,'0. Instruções'!$C$27:$G$32,4,FALSE)&amp;" AS CHAVE_SIMUL1, "&amp;VLOOKUP(B358,'0. Instruções'!$C$27:$G$32,5,FALSE)&amp;" AS CHAVE_SIMUL2, "&amp;C358&amp;" AS CAMPO_SIMUL FROM "&amp;F358&amp;" WHERE "&amp;'0. Instruções'!$D$42&amp;")Y")</f>
        <v>(SELECT instrmnt_id AS CHAVE_SIMUL, amnt_scrty_eur AS CAMPO_SIMUL FROM BU_LOANTAPE_WORK.LT002_INSTRUMENT WHERE ref_date='${ref_date}' AND nome_perimetro='Individual Local' AND segmento='ESTR' AND ambito='PM' AND entidade='00100')Y</v>
      </c>
      <c r="L358" s="32" t="str">
        <f>IF(VLOOKUP(B358,'0. Instruções'!$C$27:$G$32,5,FALSE)=0,
"ON X.CHAVE_IT=Y.CHAVE_SIMUL",
"ON X.CHAVE_IT1=Y.CHAVE_SIMUL1 AND X.CHAVE_IT2=Y.CHAVE_SIMUL2")</f>
        <v>ON X.CHAVE_IT=Y.CHAVE_SIMUL</v>
      </c>
      <c r="M358" s="32" t="str">
        <f>+IF(D358="Coerência",+IF(LEFT(H358,5)="FLOAT","SELECT '"&amp;UPPER(B358)&amp;"' AS TABELA, '"&amp;UPPER(D358)&amp;"' AS TIPOLOGIA_TESTE,'"&amp;E358&amp;"' AS TABELA_LT,'"&amp;F358&amp;"' AS TABELA_SIMUL,'"&amp;C358&amp;"'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"&amp;J358&amp;" INNER JOIN "&amp;K358&amp;" "&amp;L358,"SELECT '"&amp;UPPER(B358)&amp;"' AS TABELA, '"&amp;UPPER(D358)&amp;"' AS TIPOLOGIA_TESTE,'"&amp;E358&amp;"' AS TABELA_LT,'"&amp;F358&amp;"' AS TABELA_SIMUL,'"&amp;C358&amp;"'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"&amp;J358&amp;" INNER JOIN "&amp;K358&amp;" "&amp;L358))</f>
        <v>SELECT 'INSTRUMENT' AS TABELA, 'COERÊNCIA' AS TIPOLOGIA_TESTE,'CD_LOAN_TAPES_BCE.LT002_INSTRUMENT' AS TABELA_LT,'BU_LOANTAPE_WORK.LT002_INSTRUMENT' AS TABELA_SIMUL,'amnt_scrty_eur'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amnt_scrty_eur AS CAMPO_IT FROM CD_LOAN_TAPES_BCE.LT002_INSTRUMENT WHERE ref_date='${ref_date}' AND nome_perimetro='Individual Local' AND segmento='ESTR' AND ambito='PM' AND entidade='00100')X INNER JOIN (SELECT instrmnt_id AS CHAVE_SIMUL, amnt_scrty_eur AS CAMPO_SIMUL FROM BU_LOANTAPE_WORK.LT002_INSTRUMENT WHERE ref_date='${ref_date}' AND nome_perimetro='Individual Local' AND segmento='ESTR' AND ambito='PM' AND entidade='00100')Y ON X.CHAVE_IT=Y.CHAVE_SIMUL</v>
      </c>
      <c r="N358" s="33" t="str">
        <f t="shared" ref="N358:N420" si="13">+"UNION ALL "&amp;M358</f>
        <v>UNION ALL SELECT 'INSTRUMENT' AS TABELA, 'COERÊNCIA' AS TIPOLOGIA_TESTE,'CD_LOAN_TAPES_BCE.LT002_INSTRUMENT' AS TABELA_LT,'BU_LOANTAPE_WORK.LT002_INSTRUMENT' AS TABELA_SIMUL,'amnt_scrty_eur'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amnt_scrty_eur AS CAMPO_IT FROM CD_LOAN_TAPES_BCE.LT002_INSTRUMENT WHERE ref_date='${ref_date}' AND nome_perimetro='Individual Local' AND segmento='ESTR' AND ambito='PM' AND entidade='00100')X INNER JOIN (SELECT instrmnt_id AS CHAVE_SIMUL, amnt_scrty_eur AS CAMPO_SIMUL FROM BU_LOANTAPE_WORK.LT002_INSTRUMENT WHERE ref_date='${ref_date}' AND nome_perimetro='Individual Local' AND segmento='ESTR' AND ambito='PM' AND entidade='00100')Y ON X.CHAVE_IT=Y.CHAVE_SIMUL</v>
      </c>
      <c r="O358" s="35" t="s">
        <v>35</v>
      </c>
    </row>
    <row r="359" spans="1:15">
      <c r="A359" s="57" t="str">
        <f t="shared" si="12"/>
        <v>Instrumentamnt_scrty_fx</v>
      </c>
      <c r="B359" s="32" t="s">
        <v>9</v>
      </c>
      <c r="C359" s="32" t="s">
        <v>509</v>
      </c>
      <c r="D359" s="32" t="s">
        <v>5</v>
      </c>
      <c r="E359" s="32" t="str">
        <f>+UPPER('0. Instruções'!$D$35&amp;"."&amp;VLOOKUP(B359,'0. Instruções'!$C$27:$D$32,2,FALSE))</f>
        <v>CD_LOAN_TAPES_BCE.LT002_INSTRUMENT</v>
      </c>
      <c r="F359" s="32" t="str">
        <f>+UPPER('0. Instruções'!$D$36&amp;"."&amp;VLOOKUP(B359,'0. Instruções'!$C$27:$E$32,3,FALSE))</f>
        <v>BU_LOANTAPE_WORK.LT002_INSTRUMENT</v>
      </c>
      <c r="H359" s="32"/>
      <c r="I359" s="32"/>
      <c r="J359" s="32" t="str">
        <f>IF(VLOOKUP(B359,'0. Instruções'!$C$27:$G$32,5,FALSE)=0,
"(SELECT "&amp;VLOOKUP(B359,'0. Instruções'!$C$27:$G$32,4,FALSE)&amp;" AS CHAVE_IT, "&amp;C359&amp;" AS CAMPO_IT FROM "&amp;E359&amp;" WHERE "&amp;'0. Instruções'!$D$43&amp;")X",
"(SELECT "&amp;VLOOKUP(B359,'0. Instruções'!$C$27:$G$32,4,FALSE)&amp;" AS CHAVE_IT1, "&amp;VLOOKUP(B359,'0. Instruções'!$C$27:$G$32,5,FALSE)&amp;" AS CHAVE_IT2, "&amp;C359&amp;" AS CAMPO_IT FROM "&amp;E359&amp;" WHERE "&amp;'0. Instruções'!$D$43&amp;")X")</f>
        <v>(SELECT instrmnt_id AS CHAVE_IT, amnt_scrty_fx AS CAMPO_IT FROM CD_LOAN_TAPES_BCE.LT002_INSTRUMENT WHERE ref_date='${ref_date}' AND nome_perimetro='Individual Local' AND segmento='ESTR' AND ambito='PM' AND entidade='00100')X</v>
      </c>
      <c r="K359" s="32" t="str">
        <f>IF(VLOOKUP(B359,'0. Instruções'!$C$27:$G$32,5,FALSE)=0,
"(SELECT "&amp;VLOOKUP(B359,'0. Instruções'!$C$27:$G$32,4,FALSE)&amp;" AS CHAVE_SIMUL, "&amp;C359&amp;" AS CAMPO_SIMUL FROM "&amp;F359&amp;" WHERE "&amp;'0. Instruções'!$D$42&amp;")Y",
"(SELECT "&amp;VLOOKUP(B359,'0. Instruções'!$C$27:$G$32,4,FALSE)&amp;" AS CHAVE_SIMUL1, "&amp;VLOOKUP(B359,'0. Instruções'!$C$27:$G$32,5,FALSE)&amp;" AS CHAVE_SIMUL2, "&amp;C359&amp;" AS CAMPO_SIMUL FROM "&amp;F359&amp;" WHERE "&amp;'0. Instruções'!$D$42&amp;")Y")</f>
        <v>(SELECT instrmnt_id AS CHAVE_SIMUL, amnt_scrty_fx AS CAMPO_SIMUL FROM BU_LOANTAPE_WORK.LT002_INSTRUMENT WHERE ref_date='${ref_date}' AND nome_perimetro='Individual Local' AND segmento='ESTR' AND ambito='PM' AND entidade='00100')Y</v>
      </c>
      <c r="L359" s="32" t="str">
        <f>IF(VLOOKUP(B359,'0. Instruções'!$C$27:$G$32,5,FALSE)=0,
"ON X.CHAVE_IT=Y.CHAVE_SIMUL",
"ON X.CHAVE_IT1=Y.CHAVE_SIMUL1 AND X.CHAVE_IT2=Y.CHAVE_SIMUL2")</f>
        <v>ON X.CHAVE_IT=Y.CHAVE_SIMUL</v>
      </c>
      <c r="M359" s="32" t="str">
        <f>+IF(D359="Coerência",+IF(LEFT(H359,5)="FLOAT","SELECT '"&amp;UPPER(B359)&amp;"' AS TABELA, '"&amp;UPPER(D359)&amp;"' AS TIPOLOGIA_TESTE,'"&amp;E359&amp;"' AS TABELA_LT,'"&amp;F359&amp;"' AS TABELA_SIMUL,'"&amp;C359&amp;"'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"&amp;J359&amp;" INNER JOIN "&amp;K359&amp;" "&amp;L359,"SELECT '"&amp;UPPER(B359)&amp;"' AS TABELA, '"&amp;UPPER(D359)&amp;"' AS TIPOLOGIA_TESTE,'"&amp;E359&amp;"' AS TABELA_LT,'"&amp;F359&amp;"' AS TABELA_SIMUL,'"&amp;C359&amp;"'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"&amp;J359&amp;" INNER JOIN "&amp;K359&amp;" "&amp;L359))</f>
        <v>SELECT 'INSTRUMENT' AS TABELA, 'COERÊNCIA' AS TIPOLOGIA_TESTE,'CD_LOAN_TAPES_BCE.LT002_INSTRUMENT' AS TABELA_LT,'BU_LOANTAPE_WORK.LT002_INSTRUMENT' AS TABELA_SIMUL,'amnt_scrty_fx'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amnt_scrty_fx AS CAMPO_IT FROM CD_LOAN_TAPES_BCE.LT002_INSTRUMENT WHERE ref_date='${ref_date}' AND nome_perimetro='Individual Local' AND segmento='ESTR' AND ambito='PM' AND entidade='00100')X INNER JOIN (SELECT instrmnt_id AS CHAVE_SIMUL, amnt_scrty_fx AS CAMPO_SIMUL FROM BU_LOANTAPE_WORK.LT002_INSTRUMENT WHERE ref_date='${ref_date}' AND nome_perimetro='Individual Local' AND segmento='ESTR' AND ambito='PM' AND entidade='00100')Y ON X.CHAVE_IT=Y.CHAVE_SIMUL</v>
      </c>
      <c r="N359" s="33" t="str">
        <f t="shared" si="13"/>
        <v>UNION ALL SELECT 'INSTRUMENT' AS TABELA, 'COERÊNCIA' AS TIPOLOGIA_TESTE,'CD_LOAN_TAPES_BCE.LT002_INSTRUMENT' AS TABELA_LT,'BU_LOANTAPE_WORK.LT002_INSTRUMENT' AS TABELA_SIMUL,'amnt_scrty_fx'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amnt_scrty_fx AS CAMPO_IT FROM CD_LOAN_TAPES_BCE.LT002_INSTRUMENT WHERE ref_date='${ref_date}' AND nome_perimetro='Individual Local' AND segmento='ESTR' AND ambito='PM' AND entidade='00100')X INNER JOIN (SELECT instrmnt_id AS CHAVE_SIMUL, amnt_scrty_fx AS CAMPO_SIMUL FROM BU_LOANTAPE_WORK.LT002_INSTRUMENT WHERE ref_date='${ref_date}' AND nome_perimetro='Individual Local' AND segmento='ESTR' AND ambito='PM' AND entidade='00100')Y ON X.CHAVE_IT=Y.CHAVE_SIMUL</v>
      </c>
      <c r="O359" s="35" t="s">
        <v>35</v>
      </c>
    </row>
    <row r="360" spans="1:15">
      <c r="A360" s="57" t="str">
        <f t="shared" si="12"/>
        <v>Instrumentcsd</v>
      </c>
      <c r="B360" s="32" t="s">
        <v>9</v>
      </c>
      <c r="C360" s="32" t="s">
        <v>510</v>
      </c>
      <c r="D360" s="32" t="s">
        <v>5</v>
      </c>
      <c r="E360" s="32" t="str">
        <f>+UPPER('0. Instruções'!$D$35&amp;"."&amp;VLOOKUP(B360,'0. Instruções'!$C$27:$D$32,2,FALSE))</f>
        <v>CD_LOAN_TAPES_BCE.LT002_INSTRUMENT</v>
      </c>
      <c r="F360" s="32" t="str">
        <f>+UPPER('0. Instruções'!$D$36&amp;"."&amp;VLOOKUP(B360,'0. Instruções'!$C$27:$E$32,3,FALSE))</f>
        <v>BU_LOANTAPE_WORK.LT002_INSTRUMENT</v>
      </c>
      <c r="H360" s="32"/>
      <c r="I360" s="32"/>
      <c r="J360" s="32" t="str">
        <f>IF(VLOOKUP(B360,'0. Instruções'!$C$27:$G$32,5,FALSE)=0,
"(SELECT "&amp;VLOOKUP(B360,'0. Instruções'!$C$27:$G$32,4,FALSE)&amp;" AS CHAVE_IT, "&amp;C360&amp;" AS CAMPO_IT FROM "&amp;E360&amp;" WHERE "&amp;'0. Instruções'!$D$43&amp;")X",
"(SELECT "&amp;VLOOKUP(B360,'0. Instruções'!$C$27:$G$32,4,FALSE)&amp;" AS CHAVE_IT1, "&amp;VLOOKUP(B360,'0. Instruções'!$C$27:$G$32,5,FALSE)&amp;" AS CHAVE_IT2, "&amp;C360&amp;" AS CAMPO_IT FROM "&amp;E360&amp;" WHERE "&amp;'0. Instruções'!$D$43&amp;")X")</f>
        <v>(SELECT instrmnt_id AS CHAVE_IT, csd AS CAMPO_IT FROM CD_LOAN_TAPES_BCE.LT002_INSTRUMENT WHERE ref_date='${ref_date}' AND nome_perimetro='Individual Local' AND segmento='ESTR' AND ambito='PM' AND entidade='00100')X</v>
      </c>
      <c r="K360" s="32" t="str">
        <f>IF(VLOOKUP(B360,'0. Instruções'!$C$27:$G$32,5,FALSE)=0,
"(SELECT "&amp;VLOOKUP(B360,'0. Instruções'!$C$27:$G$32,4,FALSE)&amp;" AS CHAVE_SIMUL, "&amp;C360&amp;" AS CAMPO_SIMUL FROM "&amp;F360&amp;" WHERE "&amp;'0. Instruções'!$D$42&amp;")Y",
"(SELECT "&amp;VLOOKUP(B360,'0. Instruções'!$C$27:$G$32,4,FALSE)&amp;" AS CHAVE_SIMUL1, "&amp;VLOOKUP(B360,'0. Instruções'!$C$27:$G$32,5,FALSE)&amp;" AS CHAVE_SIMUL2, "&amp;C360&amp;" AS CAMPO_SIMUL FROM "&amp;F360&amp;" WHERE "&amp;'0. Instruções'!$D$42&amp;")Y")</f>
        <v>(SELECT instrmnt_id AS CHAVE_SIMUL, csd AS CAMPO_SIMUL FROM BU_LOANTAPE_WORK.LT002_INSTRUMENT WHERE ref_date='${ref_date}' AND nome_perimetro='Individual Local' AND segmento='ESTR' AND ambito='PM' AND entidade='00100')Y</v>
      </c>
      <c r="L360" s="32" t="str">
        <f>IF(VLOOKUP(B360,'0. Instruções'!$C$27:$G$32,5,FALSE)=0,
"ON X.CHAVE_IT=Y.CHAVE_SIMUL",
"ON X.CHAVE_IT1=Y.CHAVE_SIMUL1 AND X.CHAVE_IT2=Y.CHAVE_SIMUL2")</f>
        <v>ON X.CHAVE_IT=Y.CHAVE_SIMUL</v>
      </c>
      <c r="M360" s="32" t="str">
        <f>+IF(D360="Coerência",+IF(LEFT(H360,5)="FLOAT","SELECT '"&amp;UPPER(B360)&amp;"' AS TABELA, '"&amp;UPPER(D360)&amp;"' AS TIPOLOGIA_TESTE,'"&amp;E360&amp;"' AS TABELA_LT,'"&amp;F360&amp;"' AS TABELA_SIMUL,'"&amp;C360&amp;"'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"&amp;J360&amp;" INNER JOIN "&amp;K360&amp;" "&amp;L360,"SELECT '"&amp;UPPER(B360)&amp;"' AS TABELA, '"&amp;UPPER(D360)&amp;"' AS TIPOLOGIA_TESTE,'"&amp;E360&amp;"' AS TABELA_LT,'"&amp;F360&amp;"' AS TABELA_SIMUL,'"&amp;C360&amp;"'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"&amp;J360&amp;" INNER JOIN "&amp;K360&amp;" "&amp;L360))</f>
        <v>SELECT 'INSTRUMENT' AS TABELA, 'COERÊNCIA' AS TIPOLOGIA_TESTE,'CD_LOAN_TAPES_BCE.LT002_INSTRUMENT' AS TABELA_LT,'BU_LOANTAPE_WORK.LT002_INSTRUMENT' AS TABELA_SIMUL,'csd'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 AS CAMPO_IT FROM CD_LOAN_TAPES_BCE.LT002_INSTRUMENT WHERE ref_date='${ref_date}' AND nome_perimetro='Individual Local' AND segmento='ESTR' AND ambito='PM' AND entidade='00100')X INNER JOIN (SELECT instrmnt_id AS CHAVE_SIMUL, csd AS CAMPO_SIMUL FROM BU_LOANTAPE_WORK.LT002_INSTRUMENT WHERE ref_date='${ref_date}' AND nome_perimetro='Individual Local' AND segmento='ESTR' AND ambito='PM' AND entidade='00100')Y ON X.CHAVE_IT=Y.CHAVE_SIMUL</v>
      </c>
      <c r="N360" s="33" t="str">
        <f t="shared" si="13"/>
        <v>UNION ALL SELECT 'INSTRUMENT' AS TABELA, 'COERÊNCIA' AS TIPOLOGIA_TESTE,'CD_LOAN_TAPES_BCE.LT002_INSTRUMENT' AS TABELA_LT,'BU_LOANTAPE_WORK.LT002_INSTRUMENT' AS TABELA_SIMUL,'csd'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 AS CAMPO_IT FROM CD_LOAN_TAPES_BCE.LT002_INSTRUMENT WHERE ref_date='${ref_date}' AND nome_perimetro='Individual Local' AND segmento='ESTR' AND ambito='PM' AND entidade='00100')X INNER JOIN (SELECT instrmnt_id AS CHAVE_SIMUL, csd AS CAMPO_SIMUL FROM BU_LOANTAPE_WORK.LT002_INSTRUMENT WHERE ref_date='${ref_date}' AND nome_perimetro='Individual Local' AND segmento='ESTR' AND ambito='PM' AND entidade='00100')Y ON X.CHAVE_IT=Y.CHAVE_SIMUL</v>
      </c>
      <c r="O360" s="35" t="s">
        <v>35</v>
      </c>
    </row>
    <row r="361" spans="1:15">
      <c r="A361" s="57" t="str">
        <f t="shared" si="12"/>
        <v>Instrumentcsd_lei</v>
      </c>
      <c r="B361" s="32" t="s">
        <v>9</v>
      </c>
      <c r="C361" s="32" t="s">
        <v>511</v>
      </c>
      <c r="D361" s="32" t="s">
        <v>5</v>
      </c>
      <c r="E361" s="32" t="str">
        <f>+UPPER('0. Instruções'!$D$35&amp;"."&amp;VLOOKUP(B361,'0. Instruções'!$C$27:$D$32,2,FALSE))</f>
        <v>CD_LOAN_TAPES_BCE.LT002_INSTRUMENT</v>
      </c>
      <c r="F361" s="32" t="str">
        <f>+UPPER('0. Instruções'!$D$36&amp;"."&amp;VLOOKUP(B361,'0. Instruções'!$C$27:$E$32,3,FALSE))</f>
        <v>BU_LOANTAPE_WORK.LT002_INSTRUMENT</v>
      </c>
      <c r="H361" s="32"/>
      <c r="I361" s="32"/>
      <c r="J361" s="32" t="str">
        <f>IF(VLOOKUP(B361,'0. Instruções'!$C$27:$G$32,5,FALSE)=0,
"(SELECT "&amp;VLOOKUP(B361,'0. Instruções'!$C$27:$G$32,4,FALSE)&amp;" AS CHAVE_IT, "&amp;C361&amp;" AS CAMPO_IT FROM "&amp;E361&amp;" WHERE "&amp;'0. Instruções'!$D$43&amp;")X",
"(SELECT "&amp;VLOOKUP(B361,'0. Instruções'!$C$27:$G$32,4,FALSE)&amp;" AS CHAVE_IT1, "&amp;VLOOKUP(B361,'0. Instruções'!$C$27:$G$32,5,FALSE)&amp;" AS CHAVE_IT2, "&amp;C361&amp;" AS CAMPO_IT FROM "&amp;E361&amp;" WHERE "&amp;'0. Instruções'!$D$43&amp;")X")</f>
        <v>(SELECT instrmnt_id AS CHAVE_IT, csd_lei AS CAMPO_IT FROM CD_LOAN_TAPES_BCE.LT002_INSTRUMENT WHERE ref_date='${ref_date}' AND nome_perimetro='Individual Local' AND segmento='ESTR' AND ambito='PM' AND entidade='00100')X</v>
      </c>
      <c r="K361" s="32" t="str">
        <f>IF(VLOOKUP(B361,'0. Instruções'!$C$27:$G$32,5,FALSE)=0,
"(SELECT "&amp;VLOOKUP(B361,'0. Instruções'!$C$27:$G$32,4,FALSE)&amp;" AS CHAVE_SIMUL, "&amp;C361&amp;" AS CAMPO_SIMUL FROM "&amp;F361&amp;" WHERE "&amp;'0. Instruções'!$D$42&amp;")Y",
"(SELECT "&amp;VLOOKUP(B361,'0. Instruções'!$C$27:$G$32,4,FALSE)&amp;" AS CHAVE_SIMUL1, "&amp;VLOOKUP(B361,'0. Instruções'!$C$27:$G$32,5,FALSE)&amp;" AS CHAVE_SIMUL2, "&amp;C361&amp;" AS CAMPO_SIMUL FROM "&amp;F361&amp;" WHERE "&amp;'0. Instruções'!$D$42&amp;")Y")</f>
        <v>(SELECT instrmnt_id AS CHAVE_SIMUL, csd_lei AS CAMPO_SIMUL FROM BU_LOANTAPE_WORK.LT002_INSTRUMENT WHERE ref_date='${ref_date}' AND nome_perimetro='Individual Local' AND segmento='ESTR' AND ambito='PM' AND entidade='00100')Y</v>
      </c>
      <c r="L361" s="32" t="str">
        <f>IF(VLOOKUP(B361,'0. Instruções'!$C$27:$G$32,5,FALSE)=0,
"ON X.CHAVE_IT=Y.CHAVE_SIMUL",
"ON X.CHAVE_IT1=Y.CHAVE_SIMUL1 AND X.CHAVE_IT2=Y.CHAVE_SIMUL2")</f>
        <v>ON X.CHAVE_IT=Y.CHAVE_SIMUL</v>
      </c>
      <c r="M361" s="32" t="str">
        <f>+IF(D361="Coerência",+IF(LEFT(H361,5)="FLOAT","SELECT '"&amp;UPPER(B361)&amp;"' AS TABELA, '"&amp;UPPER(D361)&amp;"' AS TIPOLOGIA_TESTE,'"&amp;E361&amp;"' AS TABELA_LT,'"&amp;F361&amp;"' AS TABELA_SIMUL,'"&amp;C361&amp;"'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"&amp;J361&amp;" INNER JOIN "&amp;K361&amp;" "&amp;L361,"SELECT '"&amp;UPPER(B361)&amp;"' AS TABELA, '"&amp;UPPER(D361)&amp;"' AS TIPOLOGIA_TESTE,'"&amp;E361&amp;"' AS TABELA_LT,'"&amp;F361&amp;"' AS TABELA_SIMUL,'"&amp;C361&amp;"'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"&amp;J361&amp;" INNER JOIN "&amp;K361&amp;" "&amp;L361))</f>
        <v>SELECT 'INSTRUMENT' AS TABELA, 'COERÊNCIA' AS TIPOLOGIA_TESTE,'CD_LOAN_TAPES_BCE.LT002_INSTRUMENT' AS TABELA_LT,'BU_LOANTAPE_WORK.LT002_INSTRUMENT' AS TABELA_SIMUL,'csd_lei'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csd_lei AS CAMPO_IT FROM CD_LOAN_TAPES_BCE.LT002_INSTRUMENT WHERE ref_date='${ref_date}' AND nome_perimetro='Individual Local' AND segmento='ESTR' AND ambito='PM' AND entidade='00100')X INNER JOIN (SELECT instrmnt_id AS CHAVE_SIMUL, csd_lei AS CAMPO_SIMUL FROM BU_LOANTAPE_WORK.LT002_INSTRUMENT WHERE ref_date='${ref_date}' AND nome_perimetro='Individual Local' AND segmento='ESTR' AND ambito='PM' AND entidade='00100')Y ON X.CHAVE_IT=Y.CHAVE_SIMUL</v>
      </c>
      <c r="N361" s="33" t="str">
        <f t="shared" si="13"/>
        <v>UNION ALL SELECT 'INSTRUMENT' AS TABELA, 'COERÊNCIA' AS TIPOLOGIA_TESTE,'CD_LOAN_TAPES_BCE.LT002_INSTRUMENT' AS TABELA_LT,'BU_LOANTAPE_WORK.LT002_INSTRUMENT' AS TABELA_SIMUL,'csd_lei'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csd_lei AS CAMPO_IT FROM CD_LOAN_TAPES_BCE.LT002_INSTRUMENT WHERE ref_date='${ref_date}' AND nome_perimetro='Individual Local' AND segmento='ESTR' AND ambito='PM' AND entidade='00100')X INNER JOIN (SELECT instrmnt_id AS CHAVE_SIMUL, csd_lei AS CAMPO_SIMUL FROM BU_LOANTAPE_WORK.LT002_INSTRUMENT WHERE ref_date='${ref_date}' AND nome_perimetro='Individual Local' AND segmento='ESTR' AND ambito='PM' AND entidade='00100')Y ON X.CHAVE_IT=Y.CHAVE_SIMUL</v>
      </c>
      <c r="O361" s="35" t="s">
        <v>35</v>
      </c>
    </row>
    <row r="362" spans="1:15">
      <c r="A362" s="57" t="str">
        <f t="shared" si="12"/>
        <v>Instrumentpyng_agnt</v>
      </c>
      <c r="B362" s="32" t="s">
        <v>9</v>
      </c>
      <c r="C362" s="32" t="s">
        <v>512</v>
      </c>
      <c r="D362" s="32" t="s">
        <v>5</v>
      </c>
      <c r="E362" s="32" t="str">
        <f>+UPPER('0. Instruções'!$D$35&amp;"."&amp;VLOOKUP(B362,'0. Instruções'!$C$27:$D$32,2,FALSE))</f>
        <v>CD_LOAN_TAPES_BCE.LT002_INSTRUMENT</v>
      </c>
      <c r="F362" s="32" t="str">
        <f>+UPPER('0. Instruções'!$D$36&amp;"."&amp;VLOOKUP(B362,'0. Instruções'!$C$27:$E$32,3,FALSE))</f>
        <v>BU_LOANTAPE_WORK.LT002_INSTRUMENT</v>
      </c>
      <c r="H362" s="32"/>
      <c r="I362" s="32"/>
      <c r="J362" s="32" t="str">
        <f>IF(VLOOKUP(B362,'0. Instruções'!$C$27:$G$32,5,FALSE)=0,
"(SELECT "&amp;VLOOKUP(B362,'0. Instruções'!$C$27:$G$32,4,FALSE)&amp;" AS CHAVE_IT, "&amp;C362&amp;" AS CAMPO_IT FROM "&amp;E362&amp;" WHERE "&amp;'0. Instruções'!$D$43&amp;")X",
"(SELECT "&amp;VLOOKUP(B362,'0. Instruções'!$C$27:$G$32,4,FALSE)&amp;" AS CHAVE_IT1, "&amp;VLOOKUP(B362,'0. Instruções'!$C$27:$G$32,5,FALSE)&amp;" AS CHAVE_IT2, "&amp;C362&amp;" AS CAMPO_IT FROM "&amp;E362&amp;" WHERE "&amp;'0. Instruções'!$D$43&amp;")X")</f>
        <v>(SELECT instrmnt_id AS CHAVE_IT, pyng_agnt AS CAMPO_IT FROM CD_LOAN_TAPES_BCE.LT002_INSTRUMENT WHERE ref_date='${ref_date}' AND nome_perimetro='Individual Local' AND segmento='ESTR' AND ambito='PM' AND entidade='00100')X</v>
      </c>
      <c r="K362" s="32" t="str">
        <f>IF(VLOOKUP(B362,'0. Instruções'!$C$27:$G$32,5,FALSE)=0,
"(SELECT "&amp;VLOOKUP(B362,'0. Instruções'!$C$27:$G$32,4,FALSE)&amp;" AS CHAVE_SIMUL, "&amp;C362&amp;" AS CAMPO_SIMUL FROM "&amp;F362&amp;" WHERE "&amp;'0. Instruções'!$D$42&amp;")Y",
"(SELECT "&amp;VLOOKUP(B362,'0. Instruções'!$C$27:$G$32,4,FALSE)&amp;" AS CHAVE_SIMUL1, "&amp;VLOOKUP(B362,'0. Instruções'!$C$27:$G$32,5,FALSE)&amp;" AS CHAVE_SIMUL2, "&amp;C362&amp;" AS CAMPO_SIMUL FROM "&amp;F362&amp;" WHERE "&amp;'0. Instruções'!$D$42&amp;")Y")</f>
        <v>(SELECT instrmnt_id AS CHAVE_SIMUL, pyng_agnt AS CAMPO_SIMUL FROM BU_LOANTAPE_WORK.LT002_INSTRUMENT WHERE ref_date='${ref_date}' AND nome_perimetro='Individual Local' AND segmento='ESTR' AND ambito='PM' AND entidade='00100')Y</v>
      </c>
      <c r="L362" s="32" t="str">
        <f>IF(VLOOKUP(B362,'0. Instruções'!$C$27:$G$32,5,FALSE)=0,
"ON X.CHAVE_IT=Y.CHAVE_SIMUL",
"ON X.CHAVE_IT1=Y.CHAVE_SIMUL1 AND X.CHAVE_IT2=Y.CHAVE_SIMUL2")</f>
        <v>ON X.CHAVE_IT=Y.CHAVE_SIMUL</v>
      </c>
      <c r="M362" s="32" t="str">
        <f>+IF(D362="Coerência",+IF(LEFT(H362,5)="FLOAT","SELECT '"&amp;UPPER(B362)&amp;"' AS TABELA, '"&amp;UPPER(D362)&amp;"' AS TIPOLOGIA_TESTE,'"&amp;E362&amp;"' AS TABELA_LT,'"&amp;F362&amp;"' AS TABELA_SIMUL,'"&amp;C362&amp;"'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"&amp;J362&amp;" INNER JOIN "&amp;K362&amp;" "&amp;L362,"SELECT '"&amp;UPPER(B362)&amp;"' AS TABELA, '"&amp;UPPER(D362)&amp;"' AS TIPOLOGIA_TESTE,'"&amp;E362&amp;"' AS TABELA_LT,'"&amp;F362&amp;"' AS TABELA_SIMUL,'"&amp;C362&amp;"'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"&amp;J362&amp;" INNER JOIN "&amp;K362&amp;" "&amp;L362))</f>
        <v>SELECT 'INSTRUMENT' AS TABELA, 'COERÊNCIA' AS TIPOLOGIA_TESTE,'CD_LOAN_TAPES_BCE.LT002_INSTRUMENT' AS TABELA_LT,'BU_LOANTAPE_WORK.LT002_INSTRUMENT' AS TABELA_SIMUL,'pyng_agnt'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 AS CAMPO_IT FROM CD_LOAN_TAPES_BCE.LT002_INSTRUMENT WHERE ref_date='${ref_date}' AND nome_perimetro='Individual Local' AND segmento='ESTR' AND ambito='PM' AND entidade='00100')X INNER JOIN (SELECT instrmnt_id AS CHAVE_SIMUL, pyng_agnt AS CAMPO_SIMUL FROM BU_LOANTAPE_WORK.LT002_INSTRUMENT WHERE ref_date='${ref_date}' AND nome_perimetro='Individual Local' AND segmento='ESTR' AND ambito='PM' AND entidade='00100')Y ON X.CHAVE_IT=Y.CHAVE_SIMUL</v>
      </c>
      <c r="N362" s="33" t="str">
        <f t="shared" si="13"/>
        <v>UNION ALL SELECT 'INSTRUMENT' AS TABELA, 'COERÊNCIA' AS TIPOLOGIA_TESTE,'CD_LOAN_TAPES_BCE.LT002_INSTRUMENT' AS TABELA_LT,'BU_LOANTAPE_WORK.LT002_INSTRUMENT' AS TABELA_SIMUL,'pyng_agnt'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 AS CAMPO_IT FROM CD_LOAN_TAPES_BCE.LT002_INSTRUMENT WHERE ref_date='${ref_date}' AND nome_perimetro='Individual Local' AND segmento='ESTR' AND ambito='PM' AND entidade='00100')X INNER JOIN (SELECT instrmnt_id AS CHAVE_SIMUL, pyng_agnt AS CAMPO_SIMUL FROM BU_LOANTAPE_WORK.LT002_INSTRUMENT WHERE ref_date='${ref_date}' AND nome_perimetro='Individual Local' AND segmento='ESTR' AND ambito='PM' AND entidade='00100')Y ON X.CHAVE_IT=Y.CHAVE_SIMUL</v>
      </c>
      <c r="O362" s="35" t="s">
        <v>35</v>
      </c>
    </row>
    <row r="363" spans="1:15">
      <c r="A363" s="57" t="str">
        <f t="shared" si="12"/>
        <v>Instrumentpyng_agnt_lei</v>
      </c>
      <c r="B363" s="32" t="s">
        <v>9</v>
      </c>
      <c r="C363" s="32" t="s">
        <v>513</v>
      </c>
      <c r="D363" s="32" t="s">
        <v>5</v>
      </c>
      <c r="E363" s="32" t="str">
        <f>+UPPER('0. Instruções'!$D$35&amp;"."&amp;VLOOKUP(B363,'0. Instruções'!$C$27:$D$32,2,FALSE))</f>
        <v>CD_LOAN_TAPES_BCE.LT002_INSTRUMENT</v>
      </c>
      <c r="F363" s="32" t="str">
        <f>+UPPER('0. Instruções'!$D$36&amp;"."&amp;VLOOKUP(B363,'0. Instruções'!$C$27:$E$32,3,FALSE))</f>
        <v>BU_LOANTAPE_WORK.LT002_INSTRUMENT</v>
      </c>
      <c r="H363" s="32"/>
      <c r="I363" s="32"/>
      <c r="J363" s="32" t="str">
        <f>IF(VLOOKUP(B363,'0. Instruções'!$C$27:$G$32,5,FALSE)=0,
"(SELECT "&amp;VLOOKUP(B363,'0. Instruções'!$C$27:$G$32,4,FALSE)&amp;" AS CHAVE_IT, "&amp;C363&amp;" AS CAMPO_IT FROM "&amp;E363&amp;" WHERE "&amp;'0. Instruções'!$D$43&amp;")X",
"(SELECT "&amp;VLOOKUP(B363,'0. Instruções'!$C$27:$G$32,4,FALSE)&amp;" AS CHAVE_IT1, "&amp;VLOOKUP(B363,'0. Instruções'!$C$27:$G$32,5,FALSE)&amp;" AS CHAVE_IT2, "&amp;C363&amp;" AS CAMPO_IT FROM "&amp;E363&amp;" WHERE "&amp;'0. Instruções'!$D$43&amp;")X")</f>
        <v>(SELECT instrmnt_id AS CHAVE_IT, pyng_agnt_lei AS CAMPO_IT FROM CD_LOAN_TAPES_BCE.LT002_INSTRUMENT WHERE ref_date='${ref_date}' AND nome_perimetro='Individual Local' AND segmento='ESTR' AND ambito='PM' AND entidade='00100')X</v>
      </c>
      <c r="K363" s="32" t="str">
        <f>IF(VLOOKUP(B363,'0. Instruções'!$C$27:$G$32,5,FALSE)=0,
"(SELECT "&amp;VLOOKUP(B363,'0. Instruções'!$C$27:$G$32,4,FALSE)&amp;" AS CHAVE_SIMUL, "&amp;C363&amp;" AS CAMPO_SIMUL FROM "&amp;F363&amp;" WHERE "&amp;'0. Instruções'!$D$42&amp;")Y",
"(SELECT "&amp;VLOOKUP(B363,'0. Instruções'!$C$27:$G$32,4,FALSE)&amp;" AS CHAVE_SIMUL1, "&amp;VLOOKUP(B363,'0. Instruções'!$C$27:$G$32,5,FALSE)&amp;" AS CHAVE_SIMUL2, "&amp;C363&amp;" AS CAMPO_SIMUL FROM "&amp;F363&amp;" WHERE "&amp;'0. Instruções'!$D$42&amp;")Y")</f>
        <v>(SELECT instrmnt_id AS CHAVE_SIMUL, pyng_agnt_lei AS CAMPO_SIMUL FROM BU_LOANTAPE_WORK.LT002_INSTRUMENT WHERE ref_date='${ref_date}' AND nome_perimetro='Individual Local' AND segmento='ESTR' AND ambito='PM' AND entidade='00100')Y</v>
      </c>
      <c r="L363" s="32" t="str">
        <f>IF(VLOOKUP(B363,'0. Instruções'!$C$27:$G$32,5,FALSE)=0,
"ON X.CHAVE_IT=Y.CHAVE_SIMUL",
"ON X.CHAVE_IT1=Y.CHAVE_SIMUL1 AND X.CHAVE_IT2=Y.CHAVE_SIMUL2")</f>
        <v>ON X.CHAVE_IT=Y.CHAVE_SIMUL</v>
      </c>
      <c r="M363" s="32" t="str">
        <f>+IF(D363="Coerência",+IF(LEFT(H363,5)="FLOAT","SELECT '"&amp;UPPER(B363)&amp;"' AS TABELA, '"&amp;UPPER(D363)&amp;"' AS TIPOLOGIA_TESTE,'"&amp;E363&amp;"' AS TABELA_LT,'"&amp;F363&amp;"' AS TABELA_SIMUL,'"&amp;C363&amp;"'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"&amp;J363&amp;" INNER JOIN "&amp;K363&amp;" "&amp;L363,"SELECT '"&amp;UPPER(B363)&amp;"' AS TABELA, '"&amp;UPPER(D363)&amp;"' AS TIPOLOGIA_TESTE,'"&amp;E363&amp;"' AS TABELA_LT,'"&amp;F363&amp;"' AS TABELA_SIMUL,'"&amp;C363&amp;"'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"&amp;J363&amp;" INNER JOIN "&amp;K363&amp;" "&amp;L363))</f>
        <v>SELECT 'INSTRUMENT' AS TABELA, 'COERÊNCIA' AS TIPOLOGIA_TESTE,'CD_LOAN_TAPES_BCE.LT002_INSTRUMENT' AS TABELA_LT,'BU_LOANTAPE_WORK.LT002_INSTRUMENT' AS TABELA_SIMUL,'pyng_agnt_lei'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pyng_agnt_lei AS CAMPO_IT FROM CD_LOAN_TAPES_BCE.LT002_INSTRUMENT WHERE ref_date='${ref_date}' AND nome_perimetro='Individual Local' AND segmento='ESTR' AND ambito='PM' AND entidade='00100')X INNER JOIN (SELECT instrmnt_id AS CHAVE_SIMUL, pyng_agnt_lei AS CAMPO_SIMUL FROM BU_LOANTAPE_WORK.LT002_INSTRUMENT WHERE ref_date='${ref_date}' AND nome_perimetro='Individual Local' AND segmento='ESTR' AND ambito='PM' AND entidade='00100')Y ON X.CHAVE_IT=Y.CHAVE_SIMUL</v>
      </c>
      <c r="N363" s="33" t="str">
        <f t="shared" si="13"/>
        <v>UNION ALL SELECT 'INSTRUMENT' AS TABELA, 'COERÊNCIA' AS TIPOLOGIA_TESTE,'CD_LOAN_TAPES_BCE.LT002_INSTRUMENT' AS TABELA_LT,'BU_LOANTAPE_WORK.LT002_INSTRUMENT' AS TABELA_SIMUL,'pyng_agnt_lei'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pyng_agnt_lei AS CAMPO_IT FROM CD_LOAN_TAPES_BCE.LT002_INSTRUMENT WHERE ref_date='${ref_date}' AND nome_perimetro='Individual Local' AND segmento='ESTR' AND ambito='PM' AND entidade='00100')X INNER JOIN (SELECT instrmnt_id AS CHAVE_SIMUL, pyng_agnt_lei AS CAMPO_SIMUL FROM BU_LOANTAPE_WORK.LT002_INSTRUMENT WHERE ref_date='${ref_date}' AND nome_perimetro='Individual Local' AND segmento='ESTR' AND ambito='PM' AND entidade='00100')Y ON X.CHAVE_IT=Y.CHAVE_SIMUL</v>
      </c>
      <c r="O363" s="35" t="s">
        <v>35</v>
      </c>
    </row>
    <row r="364" spans="1:15">
      <c r="A364" s="57" t="str">
        <f t="shared" si="12"/>
        <v>Instrumenttyp_own_fnds_indvdl_lvl</v>
      </c>
      <c r="B364" s="32" t="s">
        <v>9</v>
      </c>
      <c r="C364" s="32" t="s">
        <v>514</v>
      </c>
      <c r="D364" s="32" t="s">
        <v>5</v>
      </c>
      <c r="E364" s="32" t="str">
        <f>+UPPER('0. Instruções'!$D$35&amp;"."&amp;VLOOKUP(B364,'0. Instruções'!$C$27:$D$32,2,FALSE))</f>
        <v>CD_LOAN_TAPES_BCE.LT002_INSTRUMENT</v>
      </c>
      <c r="F364" s="32" t="str">
        <f>+UPPER('0. Instruções'!$D$36&amp;"."&amp;VLOOKUP(B364,'0. Instruções'!$C$27:$E$32,3,FALSE))</f>
        <v>BU_LOANTAPE_WORK.LT002_INSTRUMENT</v>
      </c>
      <c r="H364" s="32"/>
      <c r="I364" s="32"/>
      <c r="J364" s="32" t="str">
        <f>IF(VLOOKUP(B364,'0. Instruções'!$C$27:$G$32,5,FALSE)=0,
"(SELECT "&amp;VLOOKUP(B364,'0. Instruções'!$C$27:$G$32,4,FALSE)&amp;" AS CHAVE_IT, "&amp;C364&amp;" AS CAMPO_IT FROM "&amp;E364&amp;" WHERE "&amp;'0. Instruções'!$D$43&amp;")X",
"(SELECT "&amp;VLOOKUP(B364,'0. Instruções'!$C$27:$G$32,4,FALSE)&amp;" AS CHAVE_IT1, "&amp;VLOOKUP(B364,'0. Instruções'!$C$27:$G$32,5,FALSE)&amp;" AS CHAVE_IT2, "&amp;C364&amp;" AS CAMPO_IT FROM "&amp;E364&amp;" WHERE "&amp;'0. Instruções'!$D$43&amp;")X")</f>
        <v>(SELECT instrmnt_id AS CHAVE_IT, typ_own_fnds_indvdl_lvl AS CAMPO_IT FROM CD_LOAN_TAPES_BCE.LT002_INSTRUMENT WHERE ref_date='${ref_date}' AND nome_perimetro='Individual Local' AND segmento='ESTR' AND ambito='PM' AND entidade='00100')X</v>
      </c>
      <c r="K364" s="32" t="str">
        <f>IF(VLOOKUP(B364,'0. Instruções'!$C$27:$G$32,5,FALSE)=0,
"(SELECT "&amp;VLOOKUP(B364,'0. Instruções'!$C$27:$G$32,4,FALSE)&amp;" AS CHAVE_SIMUL, "&amp;C364&amp;" AS CAMPO_SIMUL FROM "&amp;F364&amp;" WHERE "&amp;'0. Instruções'!$D$42&amp;")Y",
"(SELECT "&amp;VLOOKUP(B364,'0. Instruções'!$C$27:$G$32,4,FALSE)&amp;" AS CHAVE_SIMUL1, "&amp;VLOOKUP(B364,'0. Instruções'!$C$27:$G$32,5,FALSE)&amp;" AS CHAVE_SIMUL2, "&amp;C364&amp;" AS CAMPO_SIMUL FROM "&amp;F364&amp;" WHERE "&amp;'0. Instruções'!$D$42&amp;")Y")</f>
        <v>(SELECT instrmnt_id AS CHAVE_SIMUL, typ_own_fnds_indvdl_lvl AS CAMPO_SIMUL FROM BU_LOANTAPE_WORK.LT002_INSTRUMENT WHERE ref_date='${ref_date}' AND nome_perimetro='Individual Local' AND segmento='ESTR' AND ambito='PM' AND entidade='00100')Y</v>
      </c>
      <c r="L364" s="32" t="str">
        <f>IF(VLOOKUP(B364,'0. Instruções'!$C$27:$G$32,5,FALSE)=0,
"ON X.CHAVE_IT=Y.CHAVE_SIMUL",
"ON X.CHAVE_IT1=Y.CHAVE_SIMUL1 AND X.CHAVE_IT2=Y.CHAVE_SIMUL2")</f>
        <v>ON X.CHAVE_IT=Y.CHAVE_SIMUL</v>
      </c>
      <c r="M364" s="32" t="str">
        <f>+IF(D364="Coerência",+IF(LEFT(H364,5)="FLOAT","SELECT '"&amp;UPPER(B364)&amp;"' AS TABELA, '"&amp;UPPER(D364)&amp;"' AS TIPOLOGIA_TESTE,'"&amp;E364&amp;"' AS TABELA_LT,'"&amp;F364&amp;"' AS TABELA_SIMUL,'"&amp;C364&amp;"'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"&amp;J364&amp;" INNER JOIN "&amp;K364&amp;" "&amp;L364,"SELECT '"&amp;UPPER(B364)&amp;"' AS TABELA, '"&amp;UPPER(D364)&amp;"' AS TIPOLOGIA_TESTE,'"&amp;E364&amp;"' AS TABELA_LT,'"&amp;F364&amp;"' AS TABELA_SIMUL,'"&amp;C364&amp;"'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"&amp;J364&amp;" INNER JOIN "&amp;K364&amp;" "&amp;L364))</f>
        <v>SELECT 'INSTRUMENT' AS TABELA, 'COERÊNCIA' AS TIPOLOGIA_TESTE,'CD_LOAN_TAPES_BCE.LT002_INSTRUMENT' AS TABELA_LT,'BU_LOANTAPE_WORK.LT002_INSTRUMENT' AS TABELA_SIMUL,'typ_own_fnds_indvdl_lvl'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typ_own_fnds_indvdl_lvl AS CAMPO_IT FROM CD_LOAN_TAPES_BCE.LT002_INSTRUMENT WHERE ref_date='${ref_date}' AND nome_perimetro='Individual Local' AND segmento='ESTR' AND ambito='PM' AND entidade='00100')X INNER JOIN (SELECT instrmnt_id AS CHAVE_SIMUL, typ_own_fnds_indvdl_lvl AS CAMPO_SIMUL FROM BU_LOANTAPE_WORK.LT002_INSTRUMENT WHERE ref_date='${ref_date}' AND nome_perimetro='Individual Local' AND segmento='ESTR' AND ambito='PM' AND entidade='00100')Y ON X.CHAVE_IT=Y.CHAVE_SIMUL</v>
      </c>
      <c r="N364" s="33" t="str">
        <f t="shared" si="13"/>
        <v>UNION ALL SELECT 'INSTRUMENT' AS TABELA, 'COERÊNCIA' AS TIPOLOGIA_TESTE,'CD_LOAN_TAPES_BCE.LT002_INSTRUMENT' AS TABELA_LT,'BU_LOANTAPE_WORK.LT002_INSTRUMENT' AS TABELA_SIMUL,'typ_own_fnds_indvdl_lvl'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typ_own_fnds_indvdl_lvl AS CAMPO_IT FROM CD_LOAN_TAPES_BCE.LT002_INSTRUMENT WHERE ref_date='${ref_date}' AND nome_perimetro='Individual Local' AND segmento='ESTR' AND ambito='PM' AND entidade='00100')X INNER JOIN (SELECT instrmnt_id AS CHAVE_SIMUL, typ_own_fnds_indvdl_lvl AS CAMPO_SIMUL FROM BU_LOANTAPE_WORK.LT002_INSTRUMENT WHERE ref_date='${ref_date}' AND nome_perimetro='Individual Local' AND segmento='ESTR' AND ambito='PM' AND entidade='00100')Y ON X.CHAVE_IT=Y.CHAVE_SIMUL</v>
      </c>
      <c r="O364" s="35" t="s">
        <v>35</v>
      </c>
    </row>
    <row r="365" spans="1:15">
      <c r="A365" s="57" t="str">
        <f t="shared" si="12"/>
        <v>Instrumentelgbl_amnt_own_fnds_indvdl_lvl</v>
      </c>
      <c r="B365" s="32" t="s">
        <v>9</v>
      </c>
      <c r="C365" s="32" t="s">
        <v>515</v>
      </c>
      <c r="D365" s="32" t="s">
        <v>5</v>
      </c>
      <c r="E365" s="32" t="str">
        <f>+UPPER('0. Instruções'!$D$35&amp;"."&amp;VLOOKUP(B365,'0. Instruções'!$C$27:$D$32,2,FALSE))</f>
        <v>CD_LOAN_TAPES_BCE.LT002_INSTRUMENT</v>
      </c>
      <c r="F365" s="32" t="str">
        <f>+UPPER('0. Instruções'!$D$36&amp;"."&amp;VLOOKUP(B365,'0. Instruções'!$C$27:$E$32,3,FALSE))</f>
        <v>BU_LOANTAPE_WORK.LT002_INSTRUMENT</v>
      </c>
      <c r="H365" s="32"/>
      <c r="I365" s="32"/>
      <c r="J365" s="32" t="str">
        <f>IF(VLOOKUP(B365,'0. Instruções'!$C$27:$G$32,5,FALSE)=0,
"(SELECT "&amp;VLOOKUP(B365,'0. Instruções'!$C$27:$G$32,4,FALSE)&amp;" AS CHAVE_IT, "&amp;C365&amp;" AS CAMPO_IT FROM "&amp;E365&amp;" WHERE "&amp;'0. Instruções'!$D$43&amp;")X",
"(SELECT "&amp;VLOOKUP(B365,'0. Instruções'!$C$27:$G$32,4,FALSE)&amp;" AS CHAVE_IT1, "&amp;VLOOKUP(B365,'0. Instruções'!$C$27:$G$32,5,FALSE)&amp;" AS CHAVE_IT2, "&amp;C365&amp;" AS CAMPO_IT FROM "&amp;E365&amp;" WHERE "&amp;'0. Instruções'!$D$43&amp;")X")</f>
        <v>(SELECT instrmnt_id AS CHAVE_IT, elgbl_amnt_own_fnds_indvdl_lvl AS CAMPO_IT FROM CD_LOAN_TAPES_BCE.LT002_INSTRUMENT WHERE ref_date='${ref_date}' AND nome_perimetro='Individual Local' AND segmento='ESTR' AND ambito='PM' AND entidade='00100')X</v>
      </c>
      <c r="K365" s="32" t="str">
        <f>IF(VLOOKUP(B365,'0. Instruções'!$C$27:$G$32,5,FALSE)=0,
"(SELECT "&amp;VLOOKUP(B365,'0. Instruções'!$C$27:$G$32,4,FALSE)&amp;" AS CHAVE_SIMUL, "&amp;C365&amp;" AS CAMPO_SIMUL FROM "&amp;F365&amp;" WHERE "&amp;'0. Instruções'!$D$42&amp;")Y",
"(SELECT "&amp;VLOOKUP(B365,'0. Instruções'!$C$27:$G$32,4,FALSE)&amp;" AS CHAVE_SIMUL1, "&amp;VLOOKUP(B365,'0. Instruções'!$C$27:$G$32,5,FALSE)&amp;" AS CHAVE_SIMUL2, "&amp;C365&amp;" AS CAMPO_SIMUL FROM "&amp;F365&amp;" WHERE "&amp;'0. Instruções'!$D$42&amp;")Y")</f>
        <v>(SELECT instrmnt_id AS CHAVE_SIMUL, elgbl_amnt_own_fnds_indvdl_lvl AS CAMPO_SIMUL FROM BU_LOANTAPE_WORK.LT002_INSTRUMENT WHERE ref_date='${ref_date}' AND nome_perimetro='Individual Local' AND segmento='ESTR' AND ambito='PM' AND entidade='00100')Y</v>
      </c>
      <c r="L365" s="32" t="str">
        <f>IF(VLOOKUP(B365,'0. Instruções'!$C$27:$G$32,5,FALSE)=0,
"ON X.CHAVE_IT=Y.CHAVE_SIMUL",
"ON X.CHAVE_IT1=Y.CHAVE_SIMUL1 AND X.CHAVE_IT2=Y.CHAVE_SIMUL2")</f>
        <v>ON X.CHAVE_IT=Y.CHAVE_SIMUL</v>
      </c>
      <c r="M365" s="32" t="str">
        <f>+IF(D365="Coerência",+IF(LEFT(H365,5)="FLOAT","SELECT '"&amp;UPPER(B365)&amp;"' AS TABELA, '"&amp;UPPER(D365)&amp;"' AS TIPOLOGIA_TESTE,'"&amp;E365&amp;"' AS TABELA_LT,'"&amp;F365&amp;"' AS TABELA_SIMUL,'"&amp;C365&amp;"'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"&amp;J365&amp;" INNER JOIN "&amp;K365&amp;" "&amp;L365,"SELECT '"&amp;UPPER(B365)&amp;"' AS TABELA, '"&amp;UPPER(D365)&amp;"' AS TIPOLOGIA_TESTE,'"&amp;E365&amp;"' AS TABELA_LT,'"&amp;F365&amp;"' AS TABELA_SIMUL,'"&amp;C365&amp;"'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"&amp;J365&amp;" INNER JOIN "&amp;K365&amp;" "&amp;L365))</f>
        <v>SELECT 'INSTRUMENT' AS TABELA, 'COERÊNCIA' AS TIPOLOGIA_TESTE,'CD_LOAN_TAPES_BCE.LT002_INSTRUMENT' AS TABELA_LT,'BU_LOANTAPE_WORK.LT002_INSTRUMENT' AS TABELA_SIMUL,'elgbl_amnt_own_fnds_indvdl_lvl'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elgbl_amnt_own_fnds_indvdl_lvl AS CAMPO_IT FROM CD_LOAN_TAPES_BCE.LT002_INSTRUMENT WHERE ref_date='${ref_date}' AND nome_perimetro='Individual Local' AND segmento='ESTR' AND ambito='PM' AND entidade='00100')X INNER JOIN (SELECT instrmnt_id AS CHAVE_SIMUL, elgbl_amnt_own_fnds_indvdl_lvl AS CAMPO_SIMUL FROM BU_LOANTAPE_WORK.LT002_INSTRUMENT WHERE ref_date='${ref_date}' AND nome_perimetro='Individual Local' AND segmento='ESTR' AND ambito='PM' AND entidade='00100')Y ON X.CHAVE_IT=Y.CHAVE_SIMUL</v>
      </c>
      <c r="N365" s="33" t="str">
        <f t="shared" si="13"/>
        <v>UNION ALL SELECT 'INSTRUMENT' AS TABELA, 'COERÊNCIA' AS TIPOLOGIA_TESTE,'CD_LOAN_TAPES_BCE.LT002_INSTRUMENT' AS TABELA_LT,'BU_LOANTAPE_WORK.LT002_INSTRUMENT' AS TABELA_SIMUL,'elgbl_amnt_own_fnds_indvdl_lvl'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elgbl_amnt_own_fnds_indvdl_lvl AS CAMPO_IT FROM CD_LOAN_TAPES_BCE.LT002_INSTRUMENT WHERE ref_date='${ref_date}' AND nome_perimetro='Individual Local' AND segmento='ESTR' AND ambito='PM' AND entidade='00100')X INNER JOIN (SELECT instrmnt_id AS CHAVE_SIMUL, elgbl_amnt_own_fnds_indvdl_lvl AS CAMPO_SIMUL FROM BU_LOANTAPE_WORK.LT002_INSTRUMENT WHERE ref_date='${ref_date}' AND nome_perimetro='Individual Local' AND segmento='ESTR' AND ambito='PM' AND entidade='00100')Y ON X.CHAVE_IT=Y.CHAVE_SIMUL</v>
      </c>
      <c r="O365" s="35" t="s">
        <v>35</v>
      </c>
    </row>
    <row r="366" spans="1:15">
      <c r="A366" s="57" t="str">
        <f t="shared" si="12"/>
        <v>Instrumenttrdng_mthd</v>
      </c>
      <c r="B366" s="32" t="s">
        <v>9</v>
      </c>
      <c r="C366" s="32" t="s">
        <v>516</v>
      </c>
      <c r="D366" s="32" t="s">
        <v>5</v>
      </c>
      <c r="E366" s="32" t="str">
        <f>+UPPER('0. Instruções'!$D$35&amp;"."&amp;VLOOKUP(B366,'0. Instruções'!$C$27:$D$32,2,FALSE))</f>
        <v>CD_LOAN_TAPES_BCE.LT002_INSTRUMENT</v>
      </c>
      <c r="F366" s="32" t="str">
        <f>+UPPER('0. Instruções'!$D$36&amp;"."&amp;VLOOKUP(B366,'0. Instruções'!$C$27:$E$32,3,FALSE))</f>
        <v>BU_LOANTAPE_WORK.LT002_INSTRUMENT</v>
      </c>
      <c r="H366" s="32"/>
      <c r="I366" s="32"/>
      <c r="J366" s="32" t="str">
        <f>IF(VLOOKUP(B366,'0. Instruções'!$C$27:$G$32,5,FALSE)=0,
"(SELECT "&amp;VLOOKUP(B366,'0. Instruções'!$C$27:$G$32,4,FALSE)&amp;" AS CHAVE_IT, "&amp;C366&amp;" AS CAMPO_IT FROM "&amp;E366&amp;" WHERE "&amp;'0. Instruções'!$D$43&amp;")X",
"(SELECT "&amp;VLOOKUP(B366,'0. Instruções'!$C$27:$G$32,4,FALSE)&amp;" AS CHAVE_IT1, "&amp;VLOOKUP(B366,'0. Instruções'!$C$27:$G$32,5,FALSE)&amp;" AS CHAVE_IT2, "&amp;C366&amp;" AS CAMPO_IT FROM "&amp;E366&amp;" WHERE "&amp;'0. Instruções'!$D$43&amp;")X")</f>
        <v>(SELECT instrmnt_id AS CHAVE_IT, trdng_mthd AS CAMPO_IT FROM CD_LOAN_TAPES_BCE.LT002_INSTRUMENT WHERE ref_date='${ref_date}' AND nome_perimetro='Individual Local' AND segmento='ESTR' AND ambito='PM' AND entidade='00100')X</v>
      </c>
      <c r="K366" s="32" t="str">
        <f>IF(VLOOKUP(B366,'0. Instruções'!$C$27:$G$32,5,FALSE)=0,
"(SELECT "&amp;VLOOKUP(B366,'0. Instruções'!$C$27:$G$32,4,FALSE)&amp;" AS CHAVE_SIMUL, "&amp;C366&amp;" AS CAMPO_SIMUL FROM "&amp;F366&amp;" WHERE "&amp;'0. Instruções'!$D$42&amp;")Y",
"(SELECT "&amp;VLOOKUP(B366,'0. Instruções'!$C$27:$G$32,4,FALSE)&amp;" AS CHAVE_SIMUL1, "&amp;VLOOKUP(B366,'0. Instruções'!$C$27:$G$32,5,FALSE)&amp;" AS CHAVE_SIMUL2, "&amp;C366&amp;" AS CAMPO_SIMUL FROM "&amp;F366&amp;" WHERE "&amp;'0. Instruções'!$D$42&amp;")Y")</f>
        <v>(SELECT instrmnt_id AS CHAVE_SIMUL, trdng_mthd AS CAMPO_SIMUL FROM BU_LOANTAPE_WORK.LT002_INSTRUMENT WHERE ref_date='${ref_date}' AND nome_perimetro='Individual Local' AND segmento='ESTR' AND ambito='PM' AND entidade='00100')Y</v>
      </c>
      <c r="L366" s="32" t="str">
        <f>IF(VLOOKUP(B366,'0. Instruções'!$C$27:$G$32,5,FALSE)=0,
"ON X.CHAVE_IT=Y.CHAVE_SIMUL",
"ON X.CHAVE_IT1=Y.CHAVE_SIMUL1 AND X.CHAVE_IT2=Y.CHAVE_SIMUL2")</f>
        <v>ON X.CHAVE_IT=Y.CHAVE_SIMUL</v>
      </c>
      <c r="M366" s="32" t="str">
        <f>+IF(D366="Coerência",+IF(LEFT(H366,5)="FLOAT","SELECT '"&amp;UPPER(B366)&amp;"' AS TABELA, '"&amp;UPPER(D366)&amp;"' AS TIPOLOGIA_TESTE,'"&amp;E366&amp;"' AS TABELA_LT,'"&amp;F366&amp;"' AS TABELA_SIMUL,'"&amp;C366&amp;"'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"&amp;J366&amp;" INNER JOIN "&amp;K366&amp;" "&amp;L366,"SELECT '"&amp;UPPER(B366)&amp;"' AS TABELA, '"&amp;UPPER(D366)&amp;"' AS TIPOLOGIA_TESTE,'"&amp;E366&amp;"' AS TABELA_LT,'"&amp;F366&amp;"' AS TABELA_SIMUL,'"&amp;C366&amp;"'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"&amp;J366&amp;" INNER JOIN "&amp;K366&amp;" "&amp;L366))</f>
        <v>SELECT 'INSTRUMENT' AS TABELA, 'COERÊNCIA' AS TIPOLOGIA_TESTE,'CD_LOAN_TAPES_BCE.LT002_INSTRUMENT' AS TABELA_LT,'BU_LOANTAPE_WORK.LT002_INSTRUMENT' AS TABELA_SIMUL,'trdng_mthd'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trdng_mthd AS CAMPO_IT FROM CD_LOAN_TAPES_BCE.LT002_INSTRUMENT WHERE ref_date='${ref_date}' AND nome_perimetro='Individual Local' AND segmento='ESTR' AND ambito='PM' AND entidade='00100')X INNER JOIN (SELECT instrmnt_id AS CHAVE_SIMUL, trdng_mthd AS CAMPO_SIMUL FROM BU_LOANTAPE_WORK.LT002_INSTRUMENT WHERE ref_date='${ref_date}' AND nome_perimetro='Individual Local' AND segmento='ESTR' AND ambito='PM' AND entidade='00100')Y ON X.CHAVE_IT=Y.CHAVE_SIMUL</v>
      </c>
      <c r="N366" s="33" t="str">
        <f t="shared" si="13"/>
        <v>UNION ALL SELECT 'INSTRUMENT' AS TABELA, 'COERÊNCIA' AS TIPOLOGIA_TESTE,'CD_LOAN_TAPES_BCE.LT002_INSTRUMENT' AS TABELA_LT,'BU_LOANTAPE_WORK.LT002_INSTRUMENT' AS TABELA_SIMUL,'trdng_mthd'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CHAVE_IT, trdng_mthd AS CAMPO_IT FROM CD_LOAN_TAPES_BCE.LT002_INSTRUMENT WHERE ref_date='${ref_date}' AND nome_perimetro='Individual Local' AND segmento='ESTR' AND ambito='PM' AND entidade='00100')X INNER JOIN (SELECT instrmnt_id AS CHAVE_SIMUL, trdng_mthd AS CAMPO_SIMUL FROM BU_LOANTAPE_WORK.LT002_INSTRUMENT WHERE ref_date='${ref_date}' AND nome_perimetro='Individual Local' AND segmento='ESTR' AND ambito='PM' AND entidade='00100')Y ON X.CHAVE_IT=Y.CHAVE_SIMUL</v>
      </c>
      <c r="O366" s="35" t="s">
        <v>35</v>
      </c>
    </row>
    <row r="367" spans="1:15">
      <c r="A367" s="57" t="str">
        <f t="shared" si="12"/>
        <v>Entitycntry</v>
      </c>
      <c r="B367" s="32" t="s">
        <v>60</v>
      </c>
      <c r="C367" s="32" t="s">
        <v>155</v>
      </c>
      <c r="D367" s="32" t="s">
        <v>5</v>
      </c>
      <c r="E367" s="32" t="str">
        <f>+UPPER('0. Instruções'!$D$35&amp;"."&amp;VLOOKUP(B367,'0. Instruções'!$C$27:$D$32,2,FALSE))</f>
        <v>CD_LOAN_TAPES_BCE.LT003_ENTITY</v>
      </c>
      <c r="F367" s="32" t="str">
        <f>+UPPER('0. Instruções'!$D$36&amp;"."&amp;VLOOKUP(B367,'0. Instruções'!$C$27:$E$32,3,FALSE))</f>
        <v>BU_LOANTAPE_WORK.LT003_ENTITY</v>
      </c>
      <c r="H367" s="32"/>
      <c r="I367" s="32"/>
      <c r="J367" s="32" t="str">
        <f>IF(VLOOKUP(B367,'0. Instruções'!$C$27:$G$32,5,FALSE)=0,
"(SELECT "&amp;VLOOKUP(B367,'0. Instruções'!$C$27:$G$32,4,FALSE)&amp;" AS CHAVE_IT, "&amp;C367&amp;" AS CAMPO_IT FROM "&amp;E367&amp;" WHERE "&amp;'0. Instruções'!$D$43&amp;")X",
"(SELECT "&amp;VLOOKUP(B367,'0. Instruções'!$C$27:$G$32,4,FALSE)&amp;" AS CHAVE_IT1, "&amp;VLOOKUP(B367,'0. Instruções'!$C$27:$G$32,5,FALSE)&amp;" AS CHAVE_IT2, "&amp;C367&amp;" AS CAMPO_IT FROM "&amp;E367&amp;" WHERE "&amp;'0. Instruções'!$D$43&amp;")X")</f>
        <v>(SELECT entty_id AS CHAVE_IT, cntry AS CAMPO_IT FROM CD_LOAN_TAPES_BCE.LT003_ENTITY WHERE ref_date='${ref_date}' AND nome_perimetro='Individual Local' AND segmento='ESTR' AND ambito='PM' AND entidade='00100')X</v>
      </c>
      <c r="K367" s="32" t="str">
        <f>IF(VLOOKUP(B367,'0. Instruções'!$C$27:$G$32,5,FALSE)=0,
"(SELECT "&amp;VLOOKUP(B367,'0. Instruções'!$C$27:$G$32,4,FALSE)&amp;" AS CHAVE_SIMUL, "&amp;C367&amp;" AS CAMPO_SIMUL FROM "&amp;F367&amp;" WHERE "&amp;'0. Instruções'!$D$42&amp;")Y",
"(SELECT "&amp;VLOOKUP(B367,'0. Instruções'!$C$27:$G$32,4,FALSE)&amp;" AS CHAVE_SIMUL1, "&amp;VLOOKUP(B367,'0. Instruções'!$C$27:$G$32,5,FALSE)&amp;" AS CHAVE_SIMUL2, "&amp;C367&amp;" AS CAMPO_SIMUL FROM "&amp;F367&amp;" WHERE "&amp;'0. Instruções'!$D$42&amp;")Y")</f>
        <v>(SELECT entty_id AS CHAVE_SIMUL, cntry AS CAMPO_SIMUL FROM BU_LOANTAPE_WORK.LT003_ENTITY WHERE ref_date='${ref_date}' AND nome_perimetro='Individual Local' AND segmento='ESTR' AND ambito='PM' AND entidade='00100')Y</v>
      </c>
      <c r="L367" s="32" t="str">
        <f>IF(VLOOKUP(B367,'0. Instruções'!$C$27:$G$32,5,FALSE)=0,
"ON X.CHAVE_IT=Y.CHAVE_SIMUL",
"ON X.CHAVE_IT1=Y.CHAVE_SIMUL1 AND X.CHAVE_IT2=Y.CHAVE_SIMUL2")</f>
        <v>ON X.CHAVE_IT=Y.CHAVE_SIMUL</v>
      </c>
      <c r="M367" s="32" t="str">
        <f>+IF(D367="Coerência",+IF(LEFT(H367,5)="FLOAT","SELECT '"&amp;UPPER(B367)&amp;"' AS TABELA, '"&amp;UPPER(D367)&amp;"' AS TIPOLOGIA_TESTE,'"&amp;E367&amp;"' AS TABELA_LT,'"&amp;F367&amp;"' AS TABELA_SIMUL,'"&amp;C367&amp;"'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"&amp;J367&amp;" INNER JOIN "&amp;K367&amp;" "&amp;L367,"SELECT '"&amp;UPPER(B367)&amp;"' AS TABELA, '"&amp;UPPER(D367)&amp;"' AS TIPOLOGIA_TESTE,'"&amp;E367&amp;"' AS TABELA_LT,'"&amp;F367&amp;"' AS TABELA_SIMUL,'"&amp;C367&amp;"'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"&amp;J367&amp;" INNER JOIN "&amp;K367&amp;" "&amp;L367))</f>
        <v>SELECT 'ENTITY' AS TABELA, 'COERÊNCIA' AS TIPOLOGIA_TESTE,'CD_LOAN_TAPES_BCE.LT003_ENTITY' AS TABELA_LT,'BU_LOANTAPE_WORK.LT003_ENTITY' AS TABELA_SIMUL,'cntry'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cntry AS CAMPO_IT FROM CD_LOAN_TAPES_BCE.LT003_ENTITY WHERE ref_date='${ref_date}' AND nome_perimetro='Individual Local' AND segmento='ESTR' AND ambito='PM' AND entidade='00100')X INNER JOIN (SELECT entty_id AS CHAVE_SIMUL, cntry AS CAMPO_SIMUL FROM BU_LOANTAPE_WORK.LT003_ENTITY WHERE ref_date='${ref_date}' AND nome_perimetro='Individual Local' AND segmento='ESTR' AND ambito='PM' AND entidade='00100')Y ON X.CHAVE_IT=Y.CHAVE_SIMUL</v>
      </c>
      <c r="N367" s="33" t="str">
        <f t="shared" si="13"/>
        <v>UNION ALL SELECT 'ENTITY' AS TABELA, 'COERÊNCIA' AS TIPOLOGIA_TESTE,'CD_LOAN_TAPES_BCE.LT003_ENTITY' AS TABELA_LT,'BU_LOANTAPE_WORK.LT003_ENTITY' AS TABELA_SIMUL,'cntry'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cntry AS CAMPO_IT FROM CD_LOAN_TAPES_BCE.LT003_ENTITY WHERE ref_date='${ref_date}' AND nome_perimetro='Individual Local' AND segmento='ESTR' AND ambito='PM' AND entidade='00100')X INNER JOIN (SELECT entty_id AS CHAVE_SIMUL, cntry AS CAMPO_SIMUL FROM BU_LOANTAPE_WORK.LT003_ENTITY WHERE ref_date='${ref_date}' AND nome_perimetro='Individual Local' AND segmento='ESTR' AND ambito='PM' AND entidade='00100')Y ON X.CHAVE_IT=Y.CHAVE_SIMUL</v>
      </c>
      <c r="O367" s="35" t="s">
        <v>35</v>
      </c>
    </row>
    <row r="368" spans="1:15">
      <c r="A368" s="57" t="str">
        <f t="shared" si="12"/>
        <v>Entitydt_brth</v>
      </c>
      <c r="B368" s="32" t="s">
        <v>60</v>
      </c>
      <c r="C368" s="32" t="s">
        <v>517</v>
      </c>
      <c r="D368" s="32" t="s">
        <v>5</v>
      </c>
      <c r="E368" s="32" t="str">
        <f>+UPPER('0. Instruções'!$D$35&amp;"."&amp;VLOOKUP(B368,'0. Instruções'!$C$27:$D$32,2,FALSE))</f>
        <v>CD_LOAN_TAPES_BCE.LT003_ENTITY</v>
      </c>
      <c r="F368" s="32" t="str">
        <f>+UPPER('0. Instruções'!$D$36&amp;"."&amp;VLOOKUP(B368,'0. Instruções'!$C$27:$E$32,3,FALSE))</f>
        <v>BU_LOANTAPE_WORK.LT003_ENTITY</v>
      </c>
      <c r="H368" s="32"/>
      <c r="I368" s="32"/>
      <c r="J368" s="32" t="str">
        <f>IF(VLOOKUP(B368,'0. Instruções'!$C$27:$G$32,5,FALSE)=0,
"(SELECT "&amp;VLOOKUP(B368,'0. Instruções'!$C$27:$G$32,4,FALSE)&amp;" AS CHAVE_IT, "&amp;C368&amp;" AS CAMPO_IT FROM "&amp;E368&amp;" WHERE "&amp;'0. Instruções'!$D$43&amp;")X",
"(SELECT "&amp;VLOOKUP(B368,'0. Instruções'!$C$27:$G$32,4,FALSE)&amp;" AS CHAVE_IT1, "&amp;VLOOKUP(B368,'0. Instruções'!$C$27:$G$32,5,FALSE)&amp;" AS CHAVE_IT2, "&amp;C368&amp;" AS CAMPO_IT FROM "&amp;E368&amp;" WHERE "&amp;'0. Instruções'!$D$43&amp;")X")</f>
        <v>(SELECT entty_id AS CHAVE_IT, dt_brth AS CAMPO_IT FROM CD_LOAN_TAPES_BCE.LT003_ENTITY WHERE ref_date='${ref_date}' AND nome_perimetro='Individual Local' AND segmento='ESTR' AND ambito='PM' AND entidade='00100')X</v>
      </c>
      <c r="K368" s="32" t="str">
        <f>IF(VLOOKUP(B368,'0. Instruções'!$C$27:$G$32,5,FALSE)=0,
"(SELECT "&amp;VLOOKUP(B368,'0. Instruções'!$C$27:$G$32,4,FALSE)&amp;" AS CHAVE_SIMUL, "&amp;C368&amp;" AS CAMPO_SIMUL FROM "&amp;F368&amp;" WHERE "&amp;'0. Instruções'!$D$42&amp;")Y",
"(SELECT "&amp;VLOOKUP(B368,'0. Instruções'!$C$27:$G$32,4,FALSE)&amp;" AS CHAVE_SIMUL1, "&amp;VLOOKUP(B368,'0. Instruções'!$C$27:$G$32,5,FALSE)&amp;" AS CHAVE_SIMUL2, "&amp;C368&amp;" AS CAMPO_SIMUL FROM "&amp;F368&amp;" WHERE "&amp;'0. Instruções'!$D$42&amp;")Y")</f>
        <v>(SELECT entty_id AS CHAVE_SIMUL, dt_brth AS CAMPO_SIMUL FROM BU_LOANTAPE_WORK.LT003_ENTITY WHERE ref_date='${ref_date}' AND nome_perimetro='Individual Local' AND segmento='ESTR' AND ambito='PM' AND entidade='00100')Y</v>
      </c>
      <c r="L368" s="32" t="str">
        <f>IF(VLOOKUP(B368,'0. Instruções'!$C$27:$G$32,5,FALSE)=0,
"ON X.CHAVE_IT=Y.CHAVE_SIMUL",
"ON X.CHAVE_IT1=Y.CHAVE_SIMUL1 AND X.CHAVE_IT2=Y.CHAVE_SIMUL2")</f>
        <v>ON X.CHAVE_IT=Y.CHAVE_SIMUL</v>
      </c>
      <c r="M368" s="32" t="str">
        <f>+IF(D368="Coerência",+IF(LEFT(H368,5)="FLOAT","SELECT '"&amp;UPPER(B368)&amp;"' AS TABELA, '"&amp;UPPER(D368)&amp;"' AS TIPOLOGIA_TESTE,'"&amp;E368&amp;"' AS TABELA_LT,'"&amp;F368&amp;"' AS TABELA_SIMUL,'"&amp;C368&amp;"'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"&amp;J368&amp;" INNER JOIN "&amp;K368&amp;" "&amp;L368,"SELECT '"&amp;UPPER(B368)&amp;"' AS TABELA, '"&amp;UPPER(D368)&amp;"' AS TIPOLOGIA_TESTE,'"&amp;E368&amp;"' AS TABELA_LT,'"&amp;F368&amp;"' AS TABELA_SIMUL,'"&amp;C368&amp;"'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"&amp;J368&amp;" INNER JOIN "&amp;K368&amp;" "&amp;L368))</f>
        <v>SELECT 'ENTITY' AS TABELA, 'COERÊNCIA' AS TIPOLOGIA_TESTE,'CD_LOAN_TAPES_BCE.LT003_ENTITY' AS TABELA_LT,'BU_LOANTAPE_WORK.LT003_ENTITY' AS TABELA_SIMUL,'dt_brth'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dt_brth AS CAMPO_IT FROM CD_LOAN_TAPES_BCE.LT003_ENTITY WHERE ref_date='${ref_date}' AND nome_perimetro='Individual Local' AND segmento='ESTR' AND ambito='PM' AND entidade='00100')X INNER JOIN (SELECT entty_id AS CHAVE_SIMUL, dt_brth AS CAMPO_SIMUL FROM BU_LOANTAPE_WORK.LT003_ENTITY WHERE ref_date='${ref_date}' AND nome_perimetro='Individual Local' AND segmento='ESTR' AND ambito='PM' AND entidade='00100')Y ON X.CHAVE_IT=Y.CHAVE_SIMUL</v>
      </c>
      <c r="N368" s="33" t="str">
        <f t="shared" si="13"/>
        <v>UNION ALL SELECT 'ENTITY' AS TABELA, 'COERÊNCIA' AS TIPOLOGIA_TESTE,'CD_LOAN_TAPES_BCE.LT003_ENTITY' AS TABELA_LT,'BU_LOANTAPE_WORK.LT003_ENTITY' AS TABELA_SIMUL,'dt_brth'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dt_brth AS CAMPO_IT FROM CD_LOAN_TAPES_BCE.LT003_ENTITY WHERE ref_date='${ref_date}' AND nome_perimetro='Individual Local' AND segmento='ESTR' AND ambito='PM' AND entidade='00100')X INNER JOIN (SELECT entty_id AS CHAVE_SIMUL, dt_brth AS CAMPO_SIMUL FROM BU_LOANTAPE_WORK.LT003_ENTITY WHERE ref_date='${ref_date}' AND nome_perimetro='Individual Local' AND segmento='ESTR' AND ambito='PM' AND entidade='00100')Y ON X.CHAVE_IT=Y.CHAVE_SIMUL</v>
      </c>
      <c r="O368" s="35" t="s">
        <v>35</v>
      </c>
    </row>
    <row r="369" spans="1:15">
      <c r="A369" s="57" t="str">
        <f t="shared" si="12"/>
        <v>Entitydt_dflt_stts</v>
      </c>
      <c r="B369" s="32" t="s">
        <v>60</v>
      </c>
      <c r="C369" s="32" t="s">
        <v>518</v>
      </c>
      <c r="D369" s="32" t="s">
        <v>5</v>
      </c>
      <c r="E369" s="32" t="str">
        <f>+UPPER('0. Instruções'!$D$35&amp;"."&amp;VLOOKUP(B369,'0. Instruções'!$C$27:$D$32,2,FALSE))</f>
        <v>CD_LOAN_TAPES_BCE.LT003_ENTITY</v>
      </c>
      <c r="F369" s="32" t="str">
        <f>+UPPER('0. Instruções'!$D$36&amp;"."&amp;VLOOKUP(B369,'0. Instruções'!$C$27:$E$32,3,FALSE))</f>
        <v>BU_LOANTAPE_WORK.LT003_ENTITY</v>
      </c>
      <c r="H369" s="32"/>
      <c r="I369" s="32"/>
      <c r="J369" s="32" t="str">
        <f>IF(VLOOKUP(B369,'0. Instruções'!$C$27:$G$32,5,FALSE)=0,
"(SELECT "&amp;VLOOKUP(B369,'0. Instruções'!$C$27:$G$32,4,FALSE)&amp;" AS CHAVE_IT, "&amp;C369&amp;" AS CAMPO_IT FROM "&amp;E369&amp;" WHERE "&amp;'0. Instruções'!$D$43&amp;")X",
"(SELECT "&amp;VLOOKUP(B369,'0. Instruções'!$C$27:$G$32,4,FALSE)&amp;" AS CHAVE_IT1, "&amp;VLOOKUP(B369,'0. Instruções'!$C$27:$G$32,5,FALSE)&amp;" AS CHAVE_IT2, "&amp;C369&amp;" AS CAMPO_IT FROM "&amp;E369&amp;" WHERE "&amp;'0. Instruções'!$D$43&amp;")X")</f>
        <v>(SELECT entty_id AS CHAVE_IT, dt_dflt_stts AS CAMPO_IT FROM CD_LOAN_TAPES_BCE.LT003_ENTITY WHERE ref_date='${ref_date}' AND nome_perimetro='Individual Local' AND segmento='ESTR' AND ambito='PM' AND entidade='00100')X</v>
      </c>
      <c r="K369" s="32" t="str">
        <f>IF(VLOOKUP(B369,'0. Instruções'!$C$27:$G$32,5,FALSE)=0,
"(SELECT "&amp;VLOOKUP(B369,'0. Instruções'!$C$27:$G$32,4,FALSE)&amp;" AS CHAVE_SIMUL, "&amp;C369&amp;" AS CAMPO_SIMUL FROM "&amp;F369&amp;" WHERE "&amp;'0. Instruções'!$D$42&amp;")Y",
"(SELECT "&amp;VLOOKUP(B369,'0. Instruções'!$C$27:$G$32,4,FALSE)&amp;" AS CHAVE_SIMUL1, "&amp;VLOOKUP(B369,'0. Instruções'!$C$27:$G$32,5,FALSE)&amp;" AS CHAVE_SIMUL2, "&amp;C369&amp;" AS CAMPO_SIMUL FROM "&amp;F369&amp;" WHERE "&amp;'0. Instruções'!$D$42&amp;")Y")</f>
        <v>(SELECT entty_id AS CHAVE_SIMUL, dt_dflt_stts AS CAMPO_SIMUL FROM BU_LOANTAPE_WORK.LT003_ENTITY WHERE ref_date='${ref_date}' AND nome_perimetro='Individual Local' AND segmento='ESTR' AND ambito='PM' AND entidade='00100')Y</v>
      </c>
      <c r="L369" s="32" t="str">
        <f>IF(VLOOKUP(B369,'0. Instruções'!$C$27:$G$32,5,FALSE)=0,
"ON X.CHAVE_IT=Y.CHAVE_SIMUL",
"ON X.CHAVE_IT1=Y.CHAVE_SIMUL1 AND X.CHAVE_IT2=Y.CHAVE_SIMUL2")</f>
        <v>ON X.CHAVE_IT=Y.CHAVE_SIMUL</v>
      </c>
      <c r="M369" s="32" t="str">
        <f>+IF(D369="Coerência",+IF(LEFT(H369,5)="FLOAT","SELECT '"&amp;UPPER(B369)&amp;"' AS TABELA, '"&amp;UPPER(D369)&amp;"' AS TIPOLOGIA_TESTE,'"&amp;E369&amp;"' AS TABELA_LT,'"&amp;F369&amp;"' AS TABELA_SIMUL,'"&amp;C369&amp;"'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"&amp;J369&amp;" INNER JOIN "&amp;K369&amp;" "&amp;L369,"SELECT '"&amp;UPPER(B369)&amp;"' AS TABELA, '"&amp;UPPER(D369)&amp;"' AS TIPOLOGIA_TESTE,'"&amp;E369&amp;"' AS TABELA_LT,'"&amp;F369&amp;"' AS TABELA_SIMUL,'"&amp;C369&amp;"'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"&amp;J369&amp;" INNER JOIN "&amp;K369&amp;" "&amp;L369))</f>
        <v>SELECT 'ENTITY' AS TABELA, 'COERÊNCIA' AS TIPOLOGIA_TESTE,'CD_LOAN_TAPES_BCE.LT003_ENTITY' AS TABELA_LT,'BU_LOANTAPE_WORK.LT003_ENTITY' AS TABELA_SIMUL,'dt_dflt_stts'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dt_dflt_stts AS CAMPO_IT FROM CD_LOAN_TAPES_BCE.LT003_ENTITY WHERE ref_date='${ref_date}' AND nome_perimetro='Individual Local' AND segmento='ESTR' AND ambito='PM' AND entidade='00100')X INNER JOIN (SELECT entty_id AS CHAVE_SIMUL, dt_dflt_stts AS CAMPO_SIMUL FROM BU_LOANTAPE_WORK.LT003_ENTITY WHERE ref_date='${ref_date}' AND nome_perimetro='Individual Local' AND segmento='ESTR' AND ambito='PM' AND entidade='00100')Y ON X.CHAVE_IT=Y.CHAVE_SIMUL</v>
      </c>
      <c r="N369" s="33" t="str">
        <f t="shared" si="13"/>
        <v>UNION ALL SELECT 'ENTITY' AS TABELA, 'COERÊNCIA' AS TIPOLOGIA_TESTE,'CD_LOAN_TAPES_BCE.LT003_ENTITY' AS TABELA_LT,'BU_LOANTAPE_WORK.LT003_ENTITY' AS TABELA_SIMUL,'dt_dflt_stts'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dt_dflt_stts AS CAMPO_IT FROM CD_LOAN_TAPES_BCE.LT003_ENTITY WHERE ref_date='${ref_date}' AND nome_perimetro='Individual Local' AND segmento='ESTR' AND ambito='PM' AND entidade='00100')X INNER JOIN (SELECT entty_id AS CHAVE_SIMUL, dt_dflt_stts AS CAMPO_SIMUL FROM BU_LOANTAPE_WORK.LT003_ENTITY WHERE ref_date='${ref_date}' AND nome_perimetro='Individual Local' AND segmento='ESTR' AND ambito='PM' AND entidade='00100')Y ON X.CHAVE_IT=Y.CHAVE_SIMUL</v>
      </c>
      <c r="O369" s="35" t="s">
        <v>35</v>
      </c>
    </row>
    <row r="370" spans="1:15">
      <c r="A370" s="57" t="str">
        <f t="shared" si="12"/>
        <v>Entitydt_fnncl_sttmts</v>
      </c>
      <c r="B370" s="32" t="s">
        <v>60</v>
      </c>
      <c r="C370" s="32" t="s">
        <v>519</v>
      </c>
      <c r="D370" s="32" t="s">
        <v>5</v>
      </c>
      <c r="E370" s="32" t="str">
        <f>+UPPER('0. Instruções'!$D$35&amp;"."&amp;VLOOKUP(B370,'0. Instruções'!$C$27:$D$32,2,FALSE))</f>
        <v>CD_LOAN_TAPES_BCE.LT003_ENTITY</v>
      </c>
      <c r="F370" s="32" t="str">
        <f>+UPPER('0. Instruções'!$D$36&amp;"."&amp;VLOOKUP(B370,'0. Instruções'!$C$27:$E$32,3,FALSE))</f>
        <v>BU_LOANTAPE_WORK.LT003_ENTITY</v>
      </c>
      <c r="H370" s="32"/>
      <c r="I370" s="32"/>
      <c r="J370" s="32" t="str">
        <f>IF(VLOOKUP(B370,'0. Instruções'!$C$27:$G$32,5,FALSE)=0,
"(SELECT "&amp;VLOOKUP(B370,'0. Instruções'!$C$27:$G$32,4,FALSE)&amp;" AS CHAVE_IT, "&amp;C370&amp;" AS CAMPO_IT FROM "&amp;E370&amp;" WHERE "&amp;'0. Instruções'!$D$43&amp;")X",
"(SELECT "&amp;VLOOKUP(B370,'0. Instruções'!$C$27:$G$32,4,FALSE)&amp;" AS CHAVE_IT1, "&amp;VLOOKUP(B370,'0. Instruções'!$C$27:$G$32,5,FALSE)&amp;" AS CHAVE_IT2, "&amp;C370&amp;" AS CAMPO_IT FROM "&amp;E370&amp;" WHERE "&amp;'0. Instruções'!$D$43&amp;")X")</f>
        <v>(SELECT entty_id AS CHAVE_IT, dt_fnncl_sttmts AS CAMPO_IT FROM CD_LOAN_TAPES_BCE.LT003_ENTITY WHERE ref_date='${ref_date}' AND nome_perimetro='Individual Local' AND segmento='ESTR' AND ambito='PM' AND entidade='00100')X</v>
      </c>
      <c r="K370" s="32" t="str">
        <f>IF(VLOOKUP(B370,'0. Instruções'!$C$27:$G$32,5,FALSE)=0,
"(SELECT "&amp;VLOOKUP(B370,'0. Instruções'!$C$27:$G$32,4,FALSE)&amp;" AS CHAVE_SIMUL, "&amp;C370&amp;" AS CAMPO_SIMUL FROM "&amp;F370&amp;" WHERE "&amp;'0. Instruções'!$D$42&amp;")Y",
"(SELECT "&amp;VLOOKUP(B370,'0. Instruções'!$C$27:$G$32,4,FALSE)&amp;" AS CHAVE_SIMUL1, "&amp;VLOOKUP(B370,'0. Instruções'!$C$27:$G$32,5,FALSE)&amp;" AS CHAVE_SIMUL2, "&amp;C370&amp;" AS CAMPO_SIMUL FROM "&amp;F370&amp;" WHERE "&amp;'0. Instruções'!$D$42&amp;")Y")</f>
        <v>(SELECT entty_id AS CHAVE_SIMUL, dt_fnncl_sttmts AS CAMPO_SIMUL FROM BU_LOANTAPE_WORK.LT003_ENTITY WHERE ref_date='${ref_date}' AND nome_perimetro='Individual Local' AND segmento='ESTR' AND ambito='PM' AND entidade='00100')Y</v>
      </c>
      <c r="L370" s="32" t="str">
        <f>IF(VLOOKUP(B370,'0. Instruções'!$C$27:$G$32,5,FALSE)=0,
"ON X.CHAVE_IT=Y.CHAVE_SIMUL",
"ON X.CHAVE_IT1=Y.CHAVE_SIMUL1 AND X.CHAVE_IT2=Y.CHAVE_SIMUL2")</f>
        <v>ON X.CHAVE_IT=Y.CHAVE_SIMUL</v>
      </c>
      <c r="M370" s="32" t="str">
        <f>+IF(D370="Coerência",+IF(LEFT(H370,5)="FLOAT","SELECT '"&amp;UPPER(B370)&amp;"' AS TABELA, '"&amp;UPPER(D370)&amp;"' AS TIPOLOGIA_TESTE,'"&amp;E370&amp;"' AS TABELA_LT,'"&amp;F370&amp;"' AS TABELA_SIMUL,'"&amp;C370&amp;"'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"&amp;J370&amp;" INNER JOIN "&amp;K370&amp;" "&amp;L370,"SELECT '"&amp;UPPER(B370)&amp;"' AS TABELA, '"&amp;UPPER(D370)&amp;"' AS TIPOLOGIA_TESTE,'"&amp;E370&amp;"' AS TABELA_LT,'"&amp;F370&amp;"' AS TABELA_SIMUL,'"&amp;C370&amp;"'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"&amp;J370&amp;" INNER JOIN "&amp;K370&amp;" "&amp;L370))</f>
        <v>SELECT 'ENTITY' AS TABELA, 'COERÊNCIA' AS TIPOLOGIA_TESTE,'CD_LOAN_TAPES_BCE.LT003_ENTITY' AS TABELA_LT,'BU_LOANTAPE_WORK.LT003_ENTITY' AS TABELA_SIMUL,'dt_fnncl_sttmts'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 AS CAMPO_IT FROM CD_LOAN_TAPES_BCE.LT003_ENTITY WHERE ref_date='${ref_date}' AND nome_perimetro='Individual Local' AND segmento='ESTR' AND ambito='PM' AND entidade='00100')X INNER JOIN (SELECT entty_id AS CHAVE_SIMUL, dt_fnncl_sttmts AS CAMPO_SIMUL FROM BU_LOANTAPE_WORK.LT003_ENTITY WHERE ref_date='${ref_date}' AND nome_perimetro='Individual Local' AND segmento='ESTR' AND ambito='PM' AND entidade='00100')Y ON X.CHAVE_IT=Y.CHAVE_SIMUL</v>
      </c>
      <c r="N370" s="33" t="str">
        <f t="shared" si="13"/>
        <v>UNION ALL SELECT 'ENTITY' AS TABELA, 'COERÊNCIA' AS TIPOLOGIA_TESTE,'CD_LOAN_TAPES_BCE.LT003_ENTITY' AS TABELA_LT,'BU_LOANTAPE_WORK.LT003_ENTITY' AS TABELA_SIMUL,'dt_fnncl_sttmts'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 AS CAMPO_IT FROM CD_LOAN_TAPES_BCE.LT003_ENTITY WHERE ref_date='${ref_date}' AND nome_perimetro='Individual Local' AND segmento='ESTR' AND ambito='PM' AND entidade='00100')X INNER JOIN (SELECT entty_id AS CHAVE_SIMUL, dt_fnncl_sttmts AS CAMPO_SIMUL FROM BU_LOANTAPE_WORK.LT003_ENTITY WHERE ref_date='${ref_date}' AND nome_perimetro='Individual Local' AND segmento='ESTR' AND ambito='PM' AND entidade='00100')Y ON X.CHAVE_IT=Y.CHAVE_SIMUL</v>
      </c>
      <c r="O370" s="35" t="s">
        <v>35</v>
      </c>
    </row>
    <row r="371" spans="1:15">
      <c r="A371" s="57" t="str">
        <f t="shared" si="12"/>
        <v>Entitydt_fnncl_sttmts_prvs</v>
      </c>
      <c r="B371" s="32" t="s">
        <v>60</v>
      </c>
      <c r="C371" s="32" t="s">
        <v>520</v>
      </c>
      <c r="D371" s="32" t="s">
        <v>5</v>
      </c>
      <c r="E371" s="32" t="str">
        <f>+UPPER('0. Instruções'!$D$35&amp;"."&amp;VLOOKUP(B371,'0. Instruções'!$C$27:$D$32,2,FALSE))</f>
        <v>CD_LOAN_TAPES_BCE.LT003_ENTITY</v>
      </c>
      <c r="F371" s="32" t="str">
        <f>+UPPER('0. Instruções'!$D$36&amp;"."&amp;VLOOKUP(B371,'0. Instruções'!$C$27:$E$32,3,FALSE))</f>
        <v>BU_LOANTAPE_WORK.LT003_ENTITY</v>
      </c>
      <c r="H371" s="32"/>
      <c r="I371" s="32"/>
      <c r="J371" s="32" t="str">
        <f>IF(VLOOKUP(B371,'0. Instruções'!$C$27:$G$32,5,FALSE)=0,
"(SELECT "&amp;VLOOKUP(B371,'0. Instruções'!$C$27:$G$32,4,FALSE)&amp;" AS CHAVE_IT, "&amp;C371&amp;" AS CAMPO_IT FROM "&amp;E371&amp;" WHERE "&amp;'0. Instruções'!$D$43&amp;")X",
"(SELECT "&amp;VLOOKUP(B371,'0. Instruções'!$C$27:$G$32,4,FALSE)&amp;" AS CHAVE_IT1, "&amp;VLOOKUP(B371,'0. Instruções'!$C$27:$G$32,5,FALSE)&amp;" AS CHAVE_IT2, "&amp;C371&amp;" AS CAMPO_IT FROM "&amp;E371&amp;" WHERE "&amp;'0. Instruções'!$D$43&amp;")X")</f>
        <v>(SELECT entty_id AS CHAVE_IT, dt_fnncl_sttmts_prvs AS CAMPO_IT FROM CD_LOAN_TAPES_BCE.LT003_ENTITY WHERE ref_date='${ref_date}' AND nome_perimetro='Individual Local' AND segmento='ESTR' AND ambito='PM' AND entidade='00100')X</v>
      </c>
      <c r="K371" s="32" t="str">
        <f>IF(VLOOKUP(B371,'0. Instruções'!$C$27:$G$32,5,FALSE)=0,
"(SELECT "&amp;VLOOKUP(B371,'0. Instruções'!$C$27:$G$32,4,FALSE)&amp;" AS CHAVE_SIMUL, "&amp;C371&amp;" AS CAMPO_SIMUL FROM "&amp;F371&amp;" WHERE "&amp;'0. Instruções'!$D$42&amp;")Y",
"(SELECT "&amp;VLOOKUP(B371,'0. Instruções'!$C$27:$G$32,4,FALSE)&amp;" AS CHAVE_SIMUL1, "&amp;VLOOKUP(B371,'0. Instruções'!$C$27:$G$32,5,FALSE)&amp;" AS CHAVE_SIMUL2, "&amp;C371&amp;" AS CAMPO_SIMUL FROM "&amp;F371&amp;" WHERE "&amp;'0. Instruções'!$D$42&amp;")Y")</f>
        <v>(SELECT entty_id AS CHAVE_SIMUL, dt_fnncl_sttmts_prvs AS CAMPO_SIMUL FROM BU_LOANTAPE_WORK.LT003_ENTITY WHERE ref_date='${ref_date}' AND nome_perimetro='Individual Local' AND segmento='ESTR' AND ambito='PM' AND entidade='00100')Y</v>
      </c>
      <c r="L371" s="32" t="str">
        <f>IF(VLOOKUP(B371,'0. Instruções'!$C$27:$G$32,5,FALSE)=0,
"ON X.CHAVE_IT=Y.CHAVE_SIMUL",
"ON X.CHAVE_IT1=Y.CHAVE_SIMUL1 AND X.CHAVE_IT2=Y.CHAVE_SIMUL2")</f>
        <v>ON X.CHAVE_IT=Y.CHAVE_SIMUL</v>
      </c>
      <c r="M371" s="32" t="str">
        <f>+IF(D371="Coerência",+IF(LEFT(H371,5)="FLOAT","SELECT '"&amp;UPPER(B371)&amp;"' AS TABELA, '"&amp;UPPER(D371)&amp;"' AS TIPOLOGIA_TESTE,'"&amp;E371&amp;"' AS TABELA_LT,'"&amp;F371&amp;"' AS TABELA_SIMUL,'"&amp;C371&amp;"'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"&amp;J371&amp;" INNER JOIN "&amp;K371&amp;" "&amp;L371,"SELECT '"&amp;UPPER(B371)&amp;"' AS TABELA, '"&amp;UPPER(D371)&amp;"' AS TIPOLOGIA_TESTE,'"&amp;E371&amp;"' AS TABELA_LT,'"&amp;F371&amp;"' AS TABELA_SIMUL,'"&amp;C371&amp;"'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"&amp;J371&amp;" INNER JOIN "&amp;K371&amp;" "&amp;L371))</f>
        <v>SELECT 'ENTITY' AS TABELA, 'COERÊNCIA' AS TIPOLOGIA_TESTE,'CD_LOAN_TAPES_BCE.LT003_ENTITY' AS TABELA_LT,'BU_LOANTAPE_WORK.LT003_ENTITY' AS TABELA_SIMUL,'dt_fnncl_sttmts_prvs'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dt_fnncl_sttmts_prvs AS CAMPO_IT FROM CD_LOAN_TAPES_BCE.LT003_ENTITY WHERE ref_date='${ref_date}' AND nome_perimetro='Individual Local' AND segmento='ESTR' AND ambito='PM' AND entidade='00100')X INNER JOIN (SELECT entty_id AS CHAVE_SIMUL, dt_fnncl_sttmts_prvs AS CAMPO_SIMUL FROM BU_LOANTAPE_WORK.LT003_ENTITY WHERE ref_date='${ref_date}' AND nome_perimetro='Individual Local' AND segmento='ESTR' AND ambito='PM' AND entidade='00100')Y ON X.CHAVE_IT=Y.CHAVE_SIMUL</v>
      </c>
      <c r="N371" s="33" t="str">
        <f t="shared" si="13"/>
        <v>UNION ALL SELECT 'ENTITY' AS TABELA, 'COERÊNCIA' AS TIPOLOGIA_TESTE,'CD_LOAN_TAPES_BCE.LT003_ENTITY' AS TABELA_LT,'BU_LOANTAPE_WORK.LT003_ENTITY' AS TABELA_SIMUL,'dt_fnncl_sttmts_prvs'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dt_fnncl_sttmts_prvs AS CAMPO_IT FROM CD_LOAN_TAPES_BCE.LT003_ENTITY WHERE ref_date='${ref_date}' AND nome_perimetro='Individual Local' AND segmento='ESTR' AND ambito='PM' AND entidade='00100')X INNER JOIN (SELECT entty_id AS CHAVE_SIMUL, dt_fnncl_sttmts_prvs AS CAMPO_SIMUL FROM BU_LOANTAPE_WORK.LT003_ENTITY WHERE ref_date='${ref_date}' AND nome_perimetro='Individual Local' AND segmento='ESTR' AND ambito='PM' AND entidade='00100')Y ON X.CHAVE_IT=Y.CHAVE_SIMUL</v>
      </c>
      <c r="O371" s="35" t="s">
        <v>35</v>
      </c>
    </row>
    <row r="372" spans="1:15">
      <c r="A372" s="57" t="str">
        <f t="shared" si="12"/>
        <v>Entitydt_inttn_lgl_prcdngs_le</v>
      </c>
      <c r="B372" s="32" t="s">
        <v>60</v>
      </c>
      <c r="C372" s="32" t="s">
        <v>521</v>
      </c>
      <c r="D372" s="32" t="s">
        <v>5</v>
      </c>
      <c r="E372" s="32" t="str">
        <f>+UPPER('0. Instruções'!$D$35&amp;"."&amp;VLOOKUP(B372,'0. Instruções'!$C$27:$D$32,2,FALSE))</f>
        <v>CD_LOAN_TAPES_BCE.LT003_ENTITY</v>
      </c>
      <c r="F372" s="32" t="str">
        <f>+UPPER('0. Instruções'!$D$36&amp;"."&amp;VLOOKUP(B372,'0. Instruções'!$C$27:$E$32,3,FALSE))</f>
        <v>BU_LOANTAPE_WORK.LT003_ENTITY</v>
      </c>
      <c r="H372" s="32"/>
      <c r="I372" s="32"/>
      <c r="J372" s="32" t="str">
        <f>IF(VLOOKUP(B372,'0. Instruções'!$C$27:$G$32,5,FALSE)=0,
"(SELECT "&amp;VLOOKUP(B372,'0. Instruções'!$C$27:$G$32,4,FALSE)&amp;" AS CHAVE_IT, "&amp;C372&amp;" AS CAMPO_IT FROM "&amp;E372&amp;" WHERE "&amp;'0. Instruções'!$D$43&amp;")X",
"(SELECT "&amp;VLOOKUP(B372,'0. Instruções'!$C$27:$G$32,4,FALSE)&amp;" AS CHAVE_IT1, "&amp;VLOOKUP(B372,'0. Instruções'!$C$27:$G$32,5,FALSE)&amp;" AS CHAVE_IT2, "&amp;C372&amp;" AS CAMPO_IT FROM "&amp;E372&amp;" WHERE "&amp;'0. Instruções'!$D$43&amp;")X")</f>
        <v>(SELECT entty_id AS CHAVE_IT, dt_inttn_lgl_prcdngs_le AS CAMPO_IT FROM CD_LOAN_TAPES_BCE.LT003_ENTITY WHERE ref_date='${ref_date}' AND nome_perimetro='Individual Local' AND segmento='ESTR' AND ambito='PM' AND entidade='00100')X</v>
      </c>
      <c r="K372" s="32" t="str">
        <f>IF(VLOOKUP(B372,'0. Instruções'!$C$27:$G$32,5,FALSE)=0,
"(SELECT "&amp;VLOOKUP(B372,'0. Instruções'!$C$27:$G$32,4,FALSE)&amp;" AS CHAVE_SIMUL, "&amp;C372&amp;" AS CAMPO_SIMUL FROM "&amp;F372&amp;" WHERE "&amp;'0. Instruções'!$D$42&amp;")Y",
"(SELECT "&amp;VLOOKUP(B372,'0. Instruções'!$C$27:$G$32,4,FALSE)&amp;" AS CHAVE_SIMUL1, "&amp;VLOOKUP(B372,'0. Instruções'!$C$27:$G$32,5,FALSE)&amp;" AS CHAVE_SIMUL2, "&amp;C372&amp;" AS CAMPO_SIMUL FROM "&amp;F372&amp;" WHERE "&amp;'0. Instruções'!$D$42&amp;")Y")</f>
        <v>(SELECT entty_id AS CHAVE_SIMUL, dt_inttn_lgl_prcdngs_le AS CAMPO_SIMUL FROM BU_LOANTAPE_WORK.LT003_ENTITY WHERE ref_date='${ref_date}' AND nome_perimetro='Individual Local' AND segmento='ESTR' AND ambito='PM' AND entidade='00100')Y</v>
      </c>
      <c r="L372" s="32" t="str">
        <f>IF(VLOOKUP(B372,'0. Instruções'!$C$27:$G$32,5,FALSE)=0,
"ON X.CHAVE_IT=Y.CHAVE_SIMUL",
"ON X.CHAVE_IT1=Y.CHAVE_SIMUL1 AND X.CHAVE_IT2=Y.CHAVE_SIMUL2")</f>
        <v>ON X.CHAVE_IT=Y.CHAVE_SIMUL</v>
      </c>
      <c r="M372" s="32" t="str">
        <f>+IF(D372="Coerência",+IF(LEFT(H372,5)="FLOAT","SELECT '"&amp;UPPER(B372)&amp;"' AS TABELA, '"&amp;UPPER(D372)&amp;"' AS TIPOLOGIA_TESTE,'"&amp;E372&amp;"' AS TABELA_LT,'"&amp;F372&amp;"' AS TABELA_SIMUL,'"&amp;C372&amp;"'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"&amp;J372&amp;" INNER JOIN "&amp;K372&amp;" "&amp;L372,"SELECT '"&amp;UPPER(B372)&amp;"' AS TABELA, '"&amp;UPPER(D372)&amp;"' AS TIPOLOGIA_TESTE,'"&amp;E372&amp;"' AS TABELA_LT,'"&amp;F372&amp;"' AS TABELA_SIMUL,'"&amp;C372&amp;"'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"&amp;J372&amp;" INNER JOIN "&amp;K372&amp;" "&amp;L372))</f>
        <v>SELECT 'ENTITY' AS TABELA, 'COERÊNCIA' AS TIPOLOGIA_TESTE,'CD_LOAN_TAPES_BCE.LT003_ENTITY' AS TABELA_LT,'BU_LOANTAPE_WORK.LT003_ENTITY' AS TABELA_SIMUL,'dt_inttn_lgl_prcdngs_le'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dt_inttn_lgl_prcdngs_le AS CAMPO_IT FROM CD_LOAN_TAPES_BCE.LT003_ENTITY WHERE ref_date='${ref_date}' AND nome_perimetro='Individual Local' AND segmento='ESTR' AND ambito='PM' AND entidade='00100')X INNER JOIN (SELECT entty_id AS CHAVE_SIMUL, dt_inttn_lgl_prcdngs_le AS CAMPO_SIMUL FROM BU_LOANTAPE_WORK.LT003_ENTITY WHERE ref_date='${ref_date}' AND nome_perimetro='Individual Local' AND segmento='ESTR' AND ambito='PM' AND entidade='00100')Y ON X.CHAVE_IT=Y.CHAVE_SIMUL</v>
      </c>
      <c r="N372" s="33" t="str">
        <f t="shared" si="13"/>
        <v>UNION ALL SELECT 'ENTITY' AS TABELA, 'COERÊNCIA' AS TIPOLOGIA_TESTE,'CD_LOAN_TAPES_BCE.LT003_ENTITY' AS TABELA_LT,'BU_LOANTAPE_WORK.LT003_ENTITY' AS TABELA_SIMUL,'dt_inttn_lgl_prcdngs_le'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dt_inttn_lgl_prcdngs_le AS CAMPO_IT FROM CD_LOAN_TAPES_BCE.LT003_ENTITY WHERE ref_date='${ref_date}' AND nome_perimetro='Individual Local' AND segmento='ESTR' AND ambito='PM' AND entidade='00100')X INNER JOIN (SELECT entty_id AS CHAVE_SIMUL, dt_inttn_lgl_prcdngs_le AS CAMPO_SIMUL FROM BU_LOANTAPE_WORK.LT003_ENTITY WHERE ref_date='${ref_date}' AND nome_perimetro='Individual Local' AND segmento='ESTR' AND ambito='PM' AND entidade='00100')Y ON X.CHAVE_IT=Y.CHAVE_SIMUL</v>
      </c>
      <c r="O372" s="35" t="s">
        <v>35</v>
      </c>
    </row>
    <row r="373" spans="1:15">
      <c r="A373" s="57" t="str">
        <f t="shared" si="12"/>
        <v>Entitydt_prfrmng_stts_le</v>
      </c>
      <c r="B373" s="32" t="s">
        <v>60</v>
      </c>
      <c r="C373" s="32" t="s">
        <v>71</v>
      </c>
      <c r="D373" s="32" t="s">
        <v>5</v>
      </c>
      <c r="E373" s="32" t="str">
        <f>+UPPER('0. Instruções'!$D$35&amp;"."&amp;VLOOKUP(B373,'0. Instruções'!$C$27:$D$32,2,FALSE))</f>
        <v>CD_LOAN_TAPES_BCE.LT003_ENTITY</v>
      </c>
      <c r="F373" s="32" t="str">
        <f>+UPPER('0. Instruções'!$D$36&amp;"."&amp;VLOOKUP(B373,'0. Instruções'!$C$27:$E$32,3,FALSE))</f>
        <v>BU_LOANTAPE_WORK.LT003_ENTITY</v>
      </c>
      <c r="H373" s="32"/>
      <c r="I373" s="32"/>
      <c r="J373" s="32" t="str">
        <f>IF(VLOOKUP(B373,'0. Instruções'!$C$27:$G$32,5,FALSE)=0,
"(SELECT "&amp;VLOOKUP(B373,'0. Instruções'!$C$27:$G$32,4,FALSE)&amp;" AS CHAVE_IT, "&amp;C373&amp;" AS CAMPO_IT FROM "&amp;E373&amp;" WHERE "&amp;'0. Instruções'!$D$43&amp;")X",
"(SELECT "&amp;VLOOKUP(B373,'0. Instruções'!$C$27:$G$32,4,FALSE)&amp;" AS CHAVE_IT1, "&amp;VLOOKUP(B373,'0. Instruções'!$C$27:$G$32,5,FALSE)&amp;" AS CHAVE_IT2, "&amp;C373&amp;" AS CAMPO_IT FROM "&amp;E373&amp;" WHERE "&amp;'0. Instruções'!$D$43&amp;")X")</f>
        <v>(SELECT entty_id AS CHAVE_IT, dt_prfrmng_stts_le AS CAMPO_IT FROM CD_LOAN_TAPES_BCE.LT003_ENTITY WHERE ref_date='${ref_date}' AND nome_perimetro='Individual Local' AND segmento='ESTR' AND ambito='PM' AND entidade='00100')X</v>
      </c>
      <c r="K373" s="32" t="str">
        <f>IF(VLOOKUP(B373,'0. Instruções'!$C$27:$G$32,5,FALSE)=0,
"(SELECT "&amp;VLOOKUP(B373,'0. Instruções'!$C$27:$G$32,4,FALSE)&amp;" AS CHAVE_SIMUL, "&amp;C373&amp;" AS CAMPO_SIMUL FROM "&amp;F373&amp;" WHERE "&amp;'0. Instruções'!$D$42&amp;")Y",
"(SELECT "&amp;VLOOKUP(B373,'0. Instruções'!$C$27:$G$32,4,FALSE)&amp;" AS CHAVE_SIMUL1, "&amp;VLOOKUP(B373,'0. Instruções'!$C$27:$G$32,5,FALSE)&amp;" AS CHAVE_SIMUL2, "&amp;C373&amp;" AS CAMPO_SIMUL FROM "&amp;F373&amp;" WHERE "&amp;'0. Instruções'!$D$42&amp;")Y")</f>
        <v>(SELECT entty_id AS CHAVE_SIMUL, dt_prfrmng_stts_le AS CAMPO_SIMUL FROM BU_LOANTAPE_WORK.LT003_ENTITY WHERE ref_date='${ref_date}' AND nome_perimetro='Individual Local' AND segmento='ESTR' AND ambito='PM' AND entidade='00100')Y</v>
      </c>
      <c r="L373" s="32" t="str">
        <f>IF(VLOOKUP(B373,'0. Instruções'!$C$27:$G$32,5,FALSE)=0,
"ON X.CHAVE_IT=Y.CHAVE_SIMUL",
"ON X.CHAVE_IT1=Y.CHAVE_SIMUL1 AND X.CHAVE_IT2=Y.CHAVE_SIMUL2")</f>
        <v>ON X.CHAVE_IT=Y.CHAVE_SIMUL</v>
      </c>
      <c r="M373" s="32" t="str">
        <f>+IF(D373="Coerência",+IF(LEFT(H373,5)="FLOAT","SELECT '"&amp;UPPER(B373)&amp;"' AS TABELA, '"&amp;UPPER(D373)&amp;"' AS TIPOLOGIA_TESTE,'"&amp;E373&amp;"' AS TABELA_LT,'"&amp;F373&amp;"' AS TABELA_SIMUL,'"&amp;C373&amp;"'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"&amp;J373&amp;" INNER JOIN "&amp;K373&amp;" "&amp;L373,"SELECT '"&amp;UPPER(B373)&amp;"' AS TABELA, '"&amp;UPPER(D373)&amp;"' AS TIPOLOGIA_TESTE,'"&amp;E373&amp;"' AS TABELA_LT,'"&amp;F373&amp;"' AS TABELA_SIMUL,'"&amp;C373&amp;"'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"&amp;J373&amp;" INNER JOIN "&amp;K373&amp;" "&amp;L373))</f>
        <v>SELECT 'ENTITY' AS TABELA, 'COERÊNCIA' AS TIPOLOGIA_TESTE,'CD_LOAN_TAPES_BCE.LT003_ENTITY' AS TABELA_LT,'BU_LOANTAPE_WORK.LT003_ENTITY' AS TABELA_SIMUL,'dt_prfrmng_stts_le'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dt_prfrmng_stts_le AS CAMPO_IT FROM CD_LOAN_TAPES_BCE.LT003_ENTITY WHERE ref_date='${ref_date}' AND nome_perimetro='Individual Local' AND segmento='ESTR' AND ambito='PM' AND entidade='00100')X INNER JOIN (SELECT entty_id AS CHAVE_SIMUL, dt_prfrmng_stts_le AS CAMPO_SIMUL FROM BU_LOANTAPE_WORK.LT003_ENTITY WHERE ref_date='${ref_date}' AND nome_perimetro='Individual Local' AND segmento='ESTR' AND ambito='PM' AND entidade='00100')Y ON X.CHAVE_IT=Y.CHAVE_SIMUL</v>
      </c>
      <c r="N373" s="33" t="str">
        <f t="shared" si="13"/>
        <v>UNION ALL SELECT 'ENTITY' AS TABELA, 'COERÊNCIA' AS TIPOLOGIA_TESTE,'CD_LOAN_TAPES_BCE.LT003_ENTITY' AS TABELA_LT,'BU_LOANTAPE_WORK.LT003_ENTITY' AS TABELA_SIMUL,'dt_prfrmng_stts_le'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dt_prfrmng_stts_le AS CAMPO_IT FROM CD_LOAN_TAPES_BCE.LT003_ENTITY WHERE ref_date='${ref_date}' AND nome_perimetro='Individual Local' AND segmento='ESTR' AND ambito='PM' AND entidade='00100')X INNER JOIN (SELECT entty_id AS CHAVE_SIMUL, dt_prfrmng_stts_le AS CAMPO_SIMUL FROM BU_LOANTAPE_WORK.LT003_ENTITY WHERE ref_date='${ref_date}' AND nome_perimetro='Individual Local' AND segmento='ESTR' AND ambito='PM' AND entidade='00100')Y ON X.CHAVE_IT=Y.CHAVE_SIMUL</v>
      </c>
      <c r="O373" s="35" t="s">
        <v>35</v>
      </c>
    </row>
    <row r="374" spans="1:15">
      <c r="A374" s="57" t="str">
        <f t="shared" si="12"/>
        <v>Entitygcc_prnt_id</v>
      </c>
      <c r="B374" s="32" t="s">
        <v>60</v>
      </c>
      <c r="C374" s="32" t="s">
        <v>522</v>
      </c>
      <c r="D374" s="32" t="s">
        <v>5</v>
      </c>
      <c r="E374" s="32" t="str">
        <f>+UPPER('0. Instruções'!$D$35&amp;"."&amp;VLOOKUP(B374,'0. Instruções'!$C$27:$D$32,2,FALSE))</f>
        <v>CD_LOAN_TAPES_BCE.LT003_ENTITY</v>
      </c>
      <c r="F374" s="32" t="str">
        <f>+UPPER('0. Instruções'!$D$36&amp;"."&amp;VLOOKUP(B374,'0. Instruções'!$C$27:$E$32,3,FALSE))</f>
        <v>BU_LOANTAPE_WORK.LT003_ENTITY</v>
      </c>
      <c r="H374" s="32"/>
      <c r="I374" s="32"/>
      <c r="J374" s="32" t="str">
        <f>IF(VLOOKUP(B374,'0. Instruções'!$C$27:$G$32,5,FALSE)=0,
"(SELECT "&amp;VLOOKUP(B374,'0. Instruções'!$C$27:$G$32,4,FALSE)&amp;" AS CHAVE_IT, "&amp;C374&amp;" AS CAMPO_IT FROM "&amp;E374&amp;" WHERE "&amp;'0. Instruções'!$D$43&amp;")X",
"(SELECT "&amp;VLOOKUP(B374,'0. Instruções'!$C$27:$G$32,4,FALSE)&amp;" AS CHAVE_IT1, "&amp;VLOOKUP(B374,'0. Instruções'!$C$27:$G$32,5,FALSE)&amp;" AS CHAVE_IT2, "&amp;C374&amp;" AS CAMPO_IT FROM "&amp;E374&amp;" WHERE "&amp;'0. Instruções'!$D$43&amp;")X")</f>
        <v>(SELECT entty_id AS CHAVE_IT, gcc_prnt_id AS CAMPO_IT FROM CD_LOAN_TAPES_BCE.LT003_ENTITY WHERE ref_date='${ref_date}' AND nome_perimetro='Individual Local' AND segmento='ESTR' AND ambito='PM' AND entidade='00100')X</v>
      </c>
      <c r="K374" s="32" t="str">
        <f>IF(VLOOKUP(B374,'0. Instruções'!$C$27:$G$32,5,FALSE)=0,
"(SELECT "&amp;VLOOKUP(B374,'0. Instruções'!$C$27:$G$32,4,FALSE)&amp;" AS CHAVE_SIMUL, "&amp;C374&amp;" AS CAMPO_SIMUL FROM "&amp;F374&amp;" WHERE "&amp;'0. Instruções'!$D$42&amp;")Y",
"(SELECT "&amp;VLOOKUP(B374,'0. Instruções'!$C$27:$G$32,4,FALSE)&amp;" AS CHAVE_SIMUL1, "&amp;VLOOKUP(B374,'0. Instruções'!$C$27:$G$32,5,FALSE)&amp;" AS CHAVE_SIMUL2, "&amp;C374&amp;" AS CAMPO_SIMUL FROM "&amp;F374&amp;" WHERE "&amp;'0. Instruções'!$D$42&amp;")Y")</f>
        <v>(SELECT entty_id AS CHAVE_SIMUL, gcc_prnt_id AS CAMPO_SIMUL FROM BU_LOANTAPE_WORK.LT003_ENTITY WHERE ref_date='${ref_date}' AND nome_perimetro='Individual Local' AND segmento='ESTR' AND ambito='PM' AND entidade='00100')Y</v>
      </c>
      <c r="L374" s="32" t="str">
        <f>IF(VLOOKUP(B374,'0. Instruções'!$C$27:$G$32,5,FALSE)=0,
"ON X.CHAVE_IT=Y.CHAVE_SIMUL",
"ON X.CHAVE_IT1=Y.CHAVE_SIMUL1 AND X.CHAVE_IT2=Y.CHAVE_SIMUL2")</f>
        <v>ON X.CHAVE_IT=Y.CHAVE_SIMUL</v>
      </c>
      <c r="M374" s="32" t="str">
        <f>+IF(D374="Coerência",+IF(LEFT(H374,5)="FLOAT","SELECT '"&amp;UPPER(B374)&amp;"' AS TABELA, '"&amp;UPPER(D374)&amp;"' AS TIPOLOGIA_TESTE,'"&amp;E374&amp;"' AS TABELA_LT,'"&amp;F374&amp;"' AS TABELA_SIMUL,'"&amp;C374&amp;"'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"&amp;J374&amp;" INNER JOIN "&amp;K374&amp;" "&amp;L374,"SELECT '"&amp;UPPER(B374)&amp;"' AS TABELA, '"&amp;UPPER(D374)&amp;"' AS TIPOLOGIA_TESTE,'"&amp;E374&amp;"' AS TABELA_LT,'"&amp;F374&amp;"' AS TABELA_SIMUL,'"&amp;C374&amp;"'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"&amp;J374&amp;" INNER JOIN "&amp;K374&amp;" "&amp;L374))</f>
        <v>SELECT 'ENTITY' AS TABELA, 'COERÊNCIA' AS TIPOLOGIA_TESTE,'CD_LOAN_TAPES_BCE.LT003_ENTITY' AS TABELA_LT,'BU_LOANTAPE_WORK.LT003_ENTITY' AS TABELA_SIMUL,'gcc_prnt_id'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gcc_prnt_id AS CAMPO_IT FROM CD_LOAN_TAPES_BCE.LT003_ENTITY WHERE ref_date='${ref_date}' AND nome_perimetro='Individual Local' AND segmento='ESTR' AND ambito='PM' AND entidade='00100')X INNER JOIN (SELECT entty_id AS CHAVE_SIMUL, gcc_prnt_id AS CAMPO_SIMUL FROM BU_LOANTAPE_WORK.LT003_ENTITY WHERE ref_date='${ref_date}' AND nome_perimetro='Individual Local' AND segmento='ESTR' AND ambito='PM' AND entidade='00100')Y ON X.CHAVE_IT=Y.CHAVE_SIMUL</v>
      </c>
      <c r="N374" s="33" t="str">
        <f t="shared" si="13"/>
        <v>UNION ALL SELECT 'ENTITY' AS TABELA, 'COERÊNCIA' AS TIPOLOGIA_TESTE,'CD_LOAN_TAPES_BCE.LT003_ENTITY' AS TABELA_LT,'BU_LOANTAPE_WORK.LT003_ENTITY' AS TABELA_SIMUL,'gcc_prnt_id'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gcc_prnt_id AS CAMPO_IT FROM CD_LOAN_TAPES_BCE.LT003_ENTITY WHERE ref_date='${ref_date}' AND nome_perimetro='Individual Local' AND segmento='ESTR' AND ambito='PM' AND entidade='00100')X INNER JOIN (SELECT entty_id AS CHAVE_SIMUL, gcc_prnt_id AS CAMPO_SIMUL FROM BU_LOANTAPE_WORK.LT003_ENTITY WHERE ref_date='${ref_date}' AND nome_perimetro='Individual Local' AND segmento='ESTR' AND ambito='PM' AND entidade='00100')Y ON X.CHAVE_IT=Y.CHAVE_SIMUL</v>
      </c>
      <c r="O374" s="35" t="s">
        <v>35</v>
      </c>
    </row>
    <row r="375" spans="1:15">
      <c r="A375" s="57" t="str">
        <f t="shared" si="12"/>
        <v>Entitygcc_prnt_nm</v>
      </c>
      <c r="B375" s="32" t="s">
        <v>60</v>
      </c>
      <c r="C375" s="32" t="s">
        <v>523</v>
      </c>
      <c r="D375" s="32" t="s">
        <v>5</v>
      </c>
      <c r="E375" s="32" t="str">
        <f>+UPPER('0. Instruções'!$D$35&amp;"."&amp;VLOOKUP(B375,'0. Instruções'!$C$27:$D$32,2,FALSE))</f>
        <v>CD_LOAN_TAPES_BCE.LT003_ENTITY</v>
      </c>
      <c r="F375" s="32" t="str">
        <f>+UPPER('0. Instruções'!$D$36&amp;"."&amp;VLOOKUP(B375,'0. Instruções'!$C$27:$E$32,3,FALSE))</f>
        <v>BU_LOANTAPE_WORK.LT003_ENTITY</v>
      </c>
      <c r="H375" s="32"/>
      <c r="I375" s="32"/>
      <c r="J375" s="32" t="str">
        <f>IF(VLOOKUP(B375,'0. Instruções'!$C$27:$G$32,5,FALSE)=0,
"(SELECT "&amp;VLOOKUP(B375,'0. Instruções'!$C$27:$G$32,4,FALSE)&amp;" AS CHAVE_IT, "&amp;C375&amp;" AS CAMPO_IT FROM "&amp;E375&amp;" WHERE "&amp;'0. Instruções'!$D$43&amp;")X",
"(SELECT "&amp;VLOOKUP(B375,'0. Instruções'!$C$27:$G$32,4,FALSE)&amp;" AS CHAVE_IT1, "&amp;VLOOKUP(B375,'0. Instruções'!$C$27:$G$32,5,FALSE)&amp;" AS CHAVE_IT2, "&amp;C375&amp;" AS CAMPO_IT FROM "&amp;E375&amp;" WHERE "&amp;'0. Instruções'!$D$43&amp;")X")</f>
        <v>(SELECT entty_id AS CHAVE_IT, gcc_prnt_nm AS CAMPO_IT FROM CD_LOAN_TAPES_BCE.LT003_ENTITY WHERE ref_date='${ref_date}' AND nome_perimetro='Individual Local' AND segmento='ESTR' AND ambito='PM' AND entidade='00100')X</v>
      </c>
      <c r="K375" s="32" t="str">
        <f>IF(VLOOKUP(B375,'0. Instruções'!$C$27:$G$32,5,FALSE)=0,
"(SELECT "&amp;VLOOKUP(B375,'0. Instruções'!$C$27:$G$32,4,FALSE)&amp;" AS CHAVE_SIMUL, "&amp;C375&amp;" AS CAMPO_SIMUL FROM "&amp;F375&amp;" WHERE "&amp;'0. Instruções'!$D$42&amp;")Y",
"(SELECT "&amp;VLOOKUP(B375,'0. Instruções'!$C$27:$G$32,4,FALSE)&amp;" AS CHAVE_SIMUL1, "&amp;VLOOKUP(B375,'0. Instruções'!$C$27:$G$32,5,FALSE)&amp;" AS CHAVE_SIMUL2, "&amp;C375&amp;" AS CAMPO_SIMUL FROM "&amp;F375&amp;" WHERE "&amp;'0. Instruções'!$D$42&amp;")Y")</f>
        <v>(SELECT entty_id AS CHAVE_SIMUL, gcc_prnt_nm AS CAMPO_SIMUL FROM BU_LOANTAPE_WORK.LT003_ENTITY WHERE ref_date='${ref_date}' AND nome_perimetro='Individual Local' AND segmento='ESTR' AND ambito='PM' AND entidade='00100')Y</v>
      </c>
      <c r="L375" s="32" t="str">
        <f>IF(VLOOKUP(B375,'0. Instruções'!$C$27:$G$32,5,FALSE)=0,
"ON X.CHAVE_IT=Y.CHAVE_SIMUL",
"ON X.CHAVE_IT1=Y.CHAVE_SIMUL1 AND X.CHAVE_IT2=Y.CHAVE_SIMUL2")</f>
        <v>ON X.CHAVE_IT=Y.CHAVE_SIMUL</v>
      </c>
      <c r="M375" s="32" t="str">
        <f>+IF(D375="Coerência",+IF(LEFT(H375,5)="FLOAT","SELECT '"&amp;UPPER(B375)&amp;"' AS TABELA, '"&amp;UPPER(D375)&amp;"' AS TIPOLOGIA_TESTE,'"&amp;E375&amp;"' AS TABELA_LT,'"&amp;F375&amp;"' AS TABELA_SIMUL,'"&amp;C375&amp;"'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"&amp;J375&amp;" INNER JOIN "&amp;K375&amp;" "&amp;L375,"SELECT '"&amp;UPPER(B375)&amp;"' AS TABELA, '"&amp;UPPER(D375)&amp;"' AS TIPOLOGIA_TESTE,'"&amp;E375&amp;"' AS TABELA_LT,'"&amp;F375&amp;"' AS TABELA_SIMUL,'"&amp;C375&amp;"'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"&amp;J375&amp;" INNER JOIN "&amp;K375&amp;" "&amp;L375))</f>
        <v>SELECT 'ENTITY' AS TABELA, 'COERÊNCIA' AS TIPOLOGIA_TESTE,'CD_LOAN_TAPES_BCE.LT003_ENTITY' AS TABELA_LT,'BU_LOANTAPE_WORK.LT003_ENTITY' AS TABELA_SIMUL,'gcc_prnt_nm'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gcc_prnt_nm AS CAMPO_IT FROM CD_LOAN_TAPES_BCE.LT003_ENTITY WHERE ref_date='${ref_date}' AND nome_perimetro='Individual Local' AND segmento='ESTR' AND ambito='PM' AND entidade='00100')X INNER JOIN (SELECT entty_id AS CHAVE_SIMUL, gcc_prnt_nm AS CAMPO_SIMUL FROM BU_LOANTAPE_WORK.LT003_ENTITY WHERE ref_date='${ref_date}' AND nome_perimetro='Individual Local' AND segmento='ESTR' AND ambito='PM' AND entidade='00100')Y ON X.CHAVE_IT=Y.CHAVE_SIMUL</v>
      </c>
      <c r="N375" s="33" t="str">
        <f t="shared" si="13"/>
        <v>UNION ALL SELECT 'ENTITY' AS TABELA, 'COERÊNCIA' AS TIPOLOGIA_TESTE,'CD_LOAN_TAPES_BCE.LT003_ENTITY' AS TABELA_LT,'BU_LOANTAPE_WORK.LT003_ENTITY' AS TABELA_SIMUL,'gcc_prnt_nm'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gcc_prnt_nm AS CAMPO_IT FROM CD_LOAN_TAPES_BCE.LT003_ENTITY WHERE ref_date='${ref_date}' AND nome_perimetro='Individual Local' AND segmento='ESTR' AND ambito='PM' AND entidade='00100')X INNER JOIN (SELECT entty_id AS CHAVE_SIMUL, gcc_prnt_nm AS CAMPO_SIMUL FROM BU_LOANTAPE_WORK.LT003_ENTITY WHERE ref_date='${ref_date}' AND nome_perimetro='Individual Local' AND segmento='ESTR' AND ambito='PM' AND entidade='00100')Y ON X.CHAVE_IT=Y.CHAVE_SIMUL</v>
      </c>
      <c r="O375" s="35" t="s">
        <v>35</v>
      </c>
    </row>
    <row r="376" spans="1:15">
      <c r="A376" s="57" t="str">
        <f t="shared" si="12"/>
        <v>Entityintrnl_sgmnt</v>
      </c>
      <c r="B376" s="32" t="s">
        <v>60</v>
      </c>
      <c r="C376" s="32" t="s">
        <v>273</v>
      </c>
      <c r="D376" s="32" t="s">
        <v>5</v>
      </c>
      <c r="E376" s="32" t="str">
        <f>+UPPER('0. Instruções'!$D$35&amp;"."&amp;VLOOKUP(B376,'0. Instruções'!$C$27:$D$32,2,FALSE))</f>
        <v>CD_LOAN_TAPES_BCE.LT003_ENTITY</v>
      </c>
      <c r="F376" s="32" t="str">
        <f>+UPPER('0. Instruções'!$D$36&amp;"."&amp;VLOOKUP(B376,'0. Instruções'!$C$27:$E$32,3,FALSE))</f>
        <v>BU_LOANTAPE_WORK.LT003_ENTITY</v>
      </c>
      <c r="H376" s="32"/>
      <c r="I376" s="32"/>
      <c r="J376" s="32" t="str">
        <f>IF(VLOOKUP(B376,'0. Instruções'!$C$27:$G$32,5,FALSE)=0,
"(SELECT "&amp;VLOOKUP(B376,'0. Instruções'!$C$27:$G$32,4,FALSE)&amp;" AS CHAVE_IT, "&amp;C376&amp;" AS CAMPO_IT FROM "&amp;E376&amp;" WHERE "&amp;'0. Instruções'!$D$43&amp;")X",
"(SELECT "&amp;VLOOKUP(B376,'0. Instruções'!$C$27:$G$32,4,FALSE)&amp;" AS CHAVE_IT1, "&amp;VLOOKUP(B376,'0. Instruções'!$C$27:$G$32,5,FALSE)&amp;" AS CHAVE_IT2, "&amp;C376&amp;" AS CAMPO_IT FROM "&amp;E376&amp;" WHERE "&amp;'0. Instruções'!$D$43&amp;")X")</f>
        <v>(SELECT entty_id AS CHAVE_IT, intrnl_sgmnt AS CAMPO_IT FROM CD_LOAN_TAPES_BCE.LT003_ENTITY WHERE ref_date='${ref_date}' AND nome_perimetro='Individual Local' AND segmento='ESTR' AND ambito='PM' AND entidade='00100')X</v>
      </c>
      <c r="K376" s="32" t="str">
        <f>IF(VLOOKUP(B376,'0. Instruções'!$C$27:$G$32,5,FALSE)=0,
"(SELECT "&amp;VLOOKUP(B376,'0. Instruções'!$C$27:$G$32,4,FALSE)&amp;" AS CHAVE_SIMUL, "&amp;C376&amp;" AS CAMPO_SIMUL FROM "&amp;F376&amp;" WHERE "&amp;'0. Instruções'!$D$42&amp;")Y",
"(SELECT "&amp;VLOOKUP(B376,'0. Instruções'!$C$27:$G$32,4,FALSE)&amp;" AS CHAVE_SIMUL1, "&amp;VLOOKUP(B376,'0. Instruções'!$C$27:$G$32,5,FALSE)&amp;" AS CHAVE_SIMUL2, "&amp;C376&amp;" AS CAMPO_SIMUL FROM "&amp;F376&amp;" WHERE "&amp;'0. Instruções'!$D$42&amp;")Y")</f>
        <v>(SELECT entty_id AS CHAVE_SIMUL, intrnl_sgmnt AS CAMPO_SIMUL FROM BU_LOANTAPE_WORK.LT003_ENTITY WHERE ref_date='${ref_date}' AND nome_perimetro='Individual Local' AND segmento='ESTR' AND ambito='PM' AND entidade='00100')Y</v>
      </c>
      <c r="L376" s="32" t="str">
        <f>IF(VLOOKUP(B376,'0. Instruções'!$C$27:$G$32,5,FALSE)=0,
"ON X.CHAVE_IT=Y.CHAVE_SIMUL",
"ON X.CHAVE_IT1=Y.CHAVE_SIMUL1 AND X.CHAVE_IT2=Y.CHAVE_SIMUL2")</f>
        <v>ON X.CHAVE_IT=Y.CHAVE_SIMUL</v>
      </c>
      <c r="M376" s="32" t="str">
        <f>+IF(D376="Coerência",+IF(LEFT(H376,5)="FLOAT","SELECT '"&amp;UPPER(B376)&amp;"' AS TABELA, '"&amp;UPPER(D376)&amp;"' AS TIPOLOGIA_TESTE,'"&amp;E376&amp;"' AS TABELA_LT,'"&amp;F376&amp;"' AS TABELA_SIMUL,'"&amp;C376&amp;"'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"&amp;J376&amp;" INNER JOIN "&amp;K376&amp;" "&amp;L376,"SELECT '"&amp;UPPER(B376)&amp;"' AS TABELA, '"&amp;UPPER(D376)&amp;"' AS TIPOLOGIA_TESTE,'"&amp;E376&amp;"' AS TABELA_LT,'"&amp;F376&amp;"' AS TABELA_SIMUL,'"&amp;C376&amp;"'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"&amp;J376&amp;" INNER JOIN "&amp;K376&amp;" "&amp;L376))</f>
        <v>SELECT 'ENTITY' AS TABELA, 'COERÊNCIA' AS TIPOLOGIA_TESTE,'CD_LOAN_TAPES_BCE.LT003_ENTITY' AS TABELA_LT,'BU_LOANTAPE_WORK.LT003_ENTITY'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intrnl_sgmnt AS CAMPO_IT FROM CD_LOAN_TAPES_BCE.LT003_ENTITY WHERE ref_date='${ref_date}' AND nome_perimetro='Individual Local' AND segmento='ESTR' AND ambito='PM' AND entidade='00100')X INNER JOIN (SELECT entty_id AS CHAVE_SIMUL, intrnl_sgmnt AS CAMPO_SIMUL FROM BU_LOANTAPE_WORK.LT003_ENTITY WHERE ref_date='${ref_date}' AND nome_perimetro='Individual Local' AND segmento='ESTR' AND ambito='PM' AND entidade='00100')Y ON X.CHAVE_IT=Y.CHAVE_SIMUL</v>
      </c>
      <c r="N376" s="33" t="str">
        <f t="shared" si="13"/>
        <v>UNION ALL SELECT 'ENTITY' AS TABELA, 'COERÊNCIA' AS TIPOLOGIA_TESTE,'CD_LOAN_TAPES_BCE.LT003_ENTITY' AS TABELA_LT,'BU_LOANTAPE_WORK.LT003_ENTITY' AS TABELA_SIMUL,'intrnl_sgmnt'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intrnl_sgmnt AS CAMPO_IT FROM CD_LOAN_TAPES_BCE.LT003_ENTITY WHERE ref_date='${ref_date}' AND nome_perimetro='Individual Local' AND segmento='ESTR' AND ambito='PM' AND entidade='00100')X INNER JOIN (SELECT entty_id AS CHAVE_SIMUL, intrnl_sgmnt AS CAMPO_SIMUL FROM BU_LOANTAPE_WORK.LT003_ENTITY WHERE ref_date='${ref_date}' AND nome_perimetro='Individual Local' AND segmento='ESTR' AND ambito='PM' AND entidade='00100')Y ON X.CHAVE_IT=Y.CHAVE_SIMUL</v>
      </c>
      <c r="O376" s="35" t="s">
        <v>35</v>
      </c>
    </row>
    <row r="377" spans="1:15">
      <c r="A377" s="57" t="str">
        <f t="shared" si="12"/>
        <v>Entityintrnl_unt</v>
      </c>
      <c r="B377" s="32" t="s">
        <v>60</v>
      </c>
      <c r="C377" s="32" t="s">
        <v>274</v>
      </c>
      <c r="D377" s="32" t="s">
        <v>5</v>
      </c>
      <c r="E377" s="32" t="str">
        <f>+UPPER('0. Instruções'!$D$35&amp;"."&amp;VLOOKUP(B377,'0. Instruções'!$C$27:$D$32,2,FALSE))</f>
        <v>CD_LOAN_TAPES_BCE.LT003_ENTITY</v>
      </c>
      <c r="F377" s="32" t="str">
        <f>+UPPER('0. Instruções'!$D$36&amp;"."&amp;VLOOKUP(B377,'0. Instruções'!$C$27:$E$32,3,FALSE))</f>
        <v>BU_LOANTAPE_WORK.LT003_ENTITY</v>
      </c>
      <c r="H377" s="32"/>
      <c r="I377" s="32"/>
      <c r="J377" s="32" t="str">
        <f>IF(VLOOKUP(B377,'0. Instruções'!$C$27:$G$32,5,FALSE)=0,
"(SELECT "&amp;VLOOKUP(B377,'0. Instruções'!$C$27:$G$32,4,FALSE)&amp;" AS CHAVE_IT, "&amp;C377&amp;" AS CAMPO_IT FROM "&amp;E377&amp;" WHERE "&amp;'0. Instruções'!$D$43&amp;")X",
"(SELECT "&amp;VLOOKUP(B377,'0. Instruções'!$C$27:$G$32,4,FALSE)&amp;" AS CHAVE_IT1, "&amp;VLOOKUP(B377,'0. Instruções'!$C$27:$G$32,5,FALSE)&amp;" AS CHAVE_IT2, "&amp;C377&amp;" AS CAMPO_IT FROM "&amp;E377&amp;" WHERE "&amp;'0. Instruções'!$D$43&amp;")X")</f>
        <v>(SELECT entty_id AS CHAVE_IT, intrnl_unt AS CAMPO_IT FROM CD_LOAN_TAPES_BCE.LT003_ENTITY WHERE ref_date='${ref_date}' AND nome_perimetro='Individual Local' AND segmento='ESTR' AND ambito='PM' AND entidade='00100')X</v>
      </c>
      <c r="K377" s="32" t="str">
        <f>IF(VLOOKUP(B377,'0. Instruções'!$C$27:$G$32,5,FALSE)=0,
"(SELECT "&amp;VLOOKUP(B377,'0. Instruções'!$C$27:$G$32,4,FALSE)&amp;" AS CHAVE_SIMUL, "&amp;C377&amp;" AS CAMPO_SIMUL FROM "&amp;F377&amp;" WHERE "&amp;'0. Instruções'!$D$42&amp;")Y",
"(SELECT "&amp;VLOOKUP(B377,'0. Instruções'!$C$27:$G$32,4,FALSE)&amp;" AS CHAVE_SIMUL1, "&amp;VLOOKUP(B377,'0. Instruções'!$C$27:$G$32,5,FALSE)&amp;" AS CHAVE_SIMUL2, "&amp;C377&amp;" AS CAMPO_SIMUL FROM "&amp;F377&amp;" WHERE "&amp;'0. Instruções'!$D$42&amp;")Y")</f>
        <v>(SELECT entty_id AS CHAVE_SIMUL, intrnl_unt AS CAMPO_SIMUL FROM BU_LOANTAPE_WORK.LT003_ENTITY WHERE ref_date='${ref_date}' AND nome_perimetro='Individual Local' AND segmento='ESTR' AND ambito='PM' AND entidade='00100')Y</v>
      </c>
      <c r="L377" s="32" t="str">
        <f>IF(VLOOKUP(B377,'0. Instruções'!$C$27:$G$32,5,FALSE)=0,
"ON X.CHAVE_IT=Y.CHAVE_SIMUL",
"ON X.CHAVE_IT1=Y.CHAVE_SIMUL1 AND X.CHAVE_IT2=Y.CHAVE_SIMUL2")</f>
        <v>ON X.CHAVE_IT=Y.CHAVE_SIMUL</v>
      </c>
      <c r="M377" s="32" t="str">
        <f>+IF(D377="Coerência",+IF(LEFT(H377,5)="FLOAT","SELECT '"&amp;UPPER(B377)&amp;"' AS TABELA, '"&amp;UPPER(D377)&amp;"' AS TIPOLOGIA_TESTE,'"&amp;E377&amp;"' AS TABELA_LT,'"&amp;F377&amp;"' AS TABELA_SIMUL,'"&amp;C377&amp;"'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"&amp;J377&amp;" INNER JOIN "&amp;K377&amp;" "&amp;L377,"SELECT '"&amp;UPPER(B377)&amp;"' AS TABELA, '"&amp;UPPER(D377)&amp;"' AS TIPOLOGIA_TESTE,'"&amp;E377&amp;"' AS TABELA_LT,'"&amp;F377&amp;"' AS TABELA_SIMUL,'"&amp;C377&amp;"'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"&amp;J377&amp;" INNER JOIN "&amp;K377&amp;" "&amp;L377))</f>
        <v>SELECT 'ENTITY' AS TABELA, 'COERÊNCIA' AS TIPOLOGIA_TESTE,'CD_LOAN_TAPES_BCE.LT003_ENTITY' AS TABELA_LT,'BU_LOANTAPE_WORK.LT003_ENTITY'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intrnl_unt AS CAMPO_IT FROM CD_LOAN_TAPES_BCE.LT003_ENTITY WHERE ref_date='${ref_date}' AND nome_perimetro='Individual Local' AND segmento='ESTR' AND ambito='PM' AND entidade='00100')X INNER JOIN (SELECT entty_id AS CHAVE_SIMUL, intrnl_unt AS CAMPO_SIMUL FROM BU_LOANTAPE_WORK.LT003_ENTITY WHERE ref_date='${ref_date}' AND nome_perimetro='Individual Local' AND segmento='ESTR' AND ambito='PM' AND entidade='00100')Y ON X.CHAVE_IT=Y.CHAVE_SIMUL</v>
      </c>
      <c r="N377" s="33" t="str">
        <f t="shared" si="13"/>
        <v>UNION ALL SELECT 'ENTITY' AS TABELA, 'COERÊNCIA' AS TIPOLOGIA_TESTE,'CD_LOAN_TAPES_BCE.LT003_ENTITY' AS TABELA_LT,'BU_LOANTAPE_WORK.LT003_ENTITY' AS TABELA_SIMUL,'intrnl_unt'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intrnl_unt AS CAMPO_IT FROM CD_LOAN_TAPES_BCE.LT003_ENTITY WHERE ref_date='${ref_date}' AND nome_perimetro='Individual Local' AND segmento='ESTR' AND ambito='PM' AND entidade='00100')X INNER JOIN (SELECT entty_id AS CHAVE_SIMUL, intrnl_unt AS CAMPO_SIMUL FROM BU_LOANTAPE_WORK.LT003_ENTITY WHERE ref_date='${ref_date}' AND nome_perimetro='Individual Local' AND segmento='ESTR' AND ambito='PM' AND entidade='00100')Y ON X.CHAVE_IT=Y.CHAVE_SIMUL</v>
      </c>
      <c r="O377" s="35" t="s">
        <v>35</v>
      </c>
    </row>
    <row r="378" spans="1:15">
      <c r="A378" s="57" t="str">
        <f t="shared" si="12"/>
        <v>Entitylei</v>
      </c>
      <c r="B378" s="32" t="s">
        <v>60</v>
      </c>
      <c r="C378" s="32" t="s">
        <v>156</v>
      </c>
      <c r="D378" s="32" t="s">
        <v>5</v>
      </c>
      <c r="E378" s="32" t="str">
        <f>+UPPER('0. Instruções'!$D$35&amp;"."&amp;VLOOKUP(B378,'0. Instruções'!$C$27:$D$32,2,FALSE))</f>
        <v>CD_LOAN_TAPES_BCE.LT003_ENTITY</v>
      </c>
      <c r="F378" s="32" t="str">
        <f>+UPPER('0. Instruções'!$D$36&amp;"."&amp;VLOOKUP(B378,'0. Instruções'!$C$27:$E$32,3,FALSE))</f>
        <v>BU_LOANTAPE_WORK.LT003_ENTITY</v>
      </c>
      <c r="H378" s="32"/>
      <c r="I378" s="32"/>
      <c r="J378" s="32" t="str">
        <f>IF(VLOOKUP(B378,'0. Instruções'!$C$27:$G$32,5,FALSE)=0,
"(SELECT "&amp;VLOOKUP(B378,'0. Instruções'!$C$27:$G$32,4,FALSE)&amp;" AS CHAVE_IT, "&amp;C378&amp;" AS CAMPO_IT FROM "&amp;E378&amp;" WHERE "&amp;'0. Instruções'!$D$43&amp;")X",
"(SELECT "&amp;VLOOKUP(B378,'0. Instruções'!$C$27:$G$32,4,FALSE)&amp;" AS CHAVE_IT1, "&amp;VLOOKUP(B378,'0. Instruções'!$C$27:$G$32,5,FALSE)&amp;" AS CHAVE_IT2, "&amp;C378&amp;" AS CAMPO_IT FROM "&amp;E378&amp;" WHERE "&amp;'0. Instruções'!$D$43&amp;")X")</f>
        <v>(SELECT entty_id AS CHAVE_IT, lei AS CAMPO_IT FROM CD_LOAN_TAPES_BCE.LT003_ENTITY WHERE ref_date='${ref_date}' AND nome_perimetro='Individual Local' AND segmento='ESTR' AND ambito='PM' AND entidade='00100')X</v>
      </c>
      <c r="K378" s="32" t="str">
        <f>IF(VLOOKUP(B378,'0. Instruções'!$C$27:$G$32,5,FALSE)=0,
"(SELECT "&amp;VLOOKUP(B378,'0. Instruções'!$C$27:$G$32,4,FALSE)&amp;" AS CHAVE_SIMUL, "&amp;C378&amp;" AS CAMPO_SIMUL FROM "&amp;F378&amp;" WHERE "&amp;'0. Instruções'!$D$42&amp;")Y",
"(SELECT "&amp;VLOOKUP(B378,'0. Instruções'!$C$27:$G$32,4,FALSE)&amp;" AS CHAVE_SIMUL1, "&amp;VLOOKUP(B378,'0. Instruções'!$C$27:$G$32,5,FALSE)&amp;" AS CHAVE_SIMUL2, "&amp;C378&amp;" AS CAMPO_SIMUL FROM "&amp;F378&amp;" WHERE "&amp;'0. Instruções'!$D$42&amp;")Y")</f>
        <v>(SELECT entty_id AS CHAVE_SIMUL, lei AS CAMPO_SIMUL FROM BU_LOANTAPE_WORK.LT003_ENTITY WHERE ref_date='${ref_date}' AND nome_perimetro='Individual Local' AND segmento='ESTR' AND ambito='PM' AND entidade='00100')Y</v>
      </c>
      <c r="L378" s="32" t="str">
        <f>IF(VLOOKUP(B378,'0. Instruções'!$C$27:$G$32,5,FALSE)=0,
"ON X.CHAVE_IT=Y.CHAVE_SIMUL",
"ON X.CHAVE_IT1=Y.CHAVE_SIMUL1 AND X.CHAVE_IT2=Y.CHAVE_SIMUL2")</f>
        <v>ON X.CHAVE_IT=Y.CHAVE_SIMUL</v>
      </c>
      <c r="M378" s="32" t="str">
        <f>+IF(D378="Coerência",+IF(LEFT(H378,5)="FLOAT","SELECT '"&amp;UPPER(B378)&amp;"' AS TABELA, '"&amp;UPPER(D378)&amp;"' AS TIPOLOGIA_TESTE,'"&amp;E378&amp;"' AS TABELA_LT,'"&amp;F378&amp;"' AS TABELA_SIMUL,'"&amp;C378&amp;"'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"&amp;J378&amp;" INNER JOIN "&amp;K378&amp;" "&amp;L378,"SELECT '"&amp;UPPER(B378)&amp;"' AS TABELA, '"&amp;UPPER(D378)&amp;"' AS TIPOLOGIA_TESTE,'"&amp;E378&amp;"' AS TABELA_LT,'"&amp;F378&amp;"' AS TABELA_SIMUL,'"&amp;C378&amp;"'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"&amp;J378&amp;" INNER JOIN "&amp;K378&amp;" "&amp;L378))</f>
        <v>SELECT 'ENTITY' AS TABELA, 'COERÊNCIA' AS TIPOLOGIA_TESTE,'CD_LOAN_TAPES_BCE.LT003_ENTITY' AS TABELA_LT,'BU_LOANTAPE_WORK.LT003_ENTITY' AS TABELA_SIMUL,'lei'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lei AS CAMPO_IT FROM CD_LOAN_TAPES_BCE.LT003_ENTITY WHERE ref_date='${ref_date}' AND nome_perimetro='Individual Local' AND segmento='ESTR' AND ambito='PM' AND entidade='00100')X INNER JOIN (SELECT entty_id AS CHAVE_SIMUL, lei AS CAMPO_SIMUL FROM BU_LOANTAPE_WORK.LT003_ENTITY WHERE ref_date='${ref_date}' AND nome_perimetro='Individual Local' AND segmento='ESTR' AND ambito='PM' AND entidade='00100')Y ON X.CHAVE_IT=Y.CHAVE_SIMUL</v>
      </c>
      <c r="N378" s="33" t="str">
        <f t="shared" si="13"/>
        <v>UNION ALL SELECT 'ENTITY' AS TABELA, 'COERÊNCIA' AS TIPOLOGIA_TESTE,'CD_LOAN_TAPES_BCE.LT003_ENTITY' AS TABELA_LT,'BU_LOANTAPE_WORK.LT003_ENTITY' AS TABELA_SIMUL,'lei'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lei AS CAMPO_IT FROM CD_LOAN_TAPES_BCE.LT003_ENTITY WHERE ref_date='${ref_date}' AND nome_perimetro='Individual Local' AND segmento='ESTR' AND ambito='PM' AND entidade='00100')X INNER JOIN (SELECT entty_id AS CHAVE_SIMUL, lei AS CAMPO_SIMUL FROM BU_LOANTAPE_WORK.LT003_ENTITY WHERE ref_date='${ref_date}' AND nome_perimetro='Individual Local' AND segmento='ESTR' AND ambito='PM' AND entidade='00100')Y ON X.CHAVE_IT=Y.CHAVE_SIMUL</v>
      </c>
      <c r="O378" s="35" t="s">
        <v>35</v>
      </c>
    </row>
    <row r="379" spans="1:15">
      <c r="A379" s="57" t="str">
        <f t="shared" si="12"/>
        <v>Entityentty_nm</v>
      </c>
      <c r="B379" s="32" t="s">
        <v>60</v>
      </c>
      <c r="C379" s="32" t="s">
        <v>175</v>
      </c>
      <c r="D379" s="32" t="s">
        <v>5</v>
      </c>
      <c r="E379" s="32" t="str">
        <f>+UPPER('0. Instruções'!$D$35&amp;"."&amp;VLOOKUP(B379,'0. Instruções'!$C$27:$D$32,2,FALSE))</f>
        <v>CD_LOAN_TAPES_BCE.LT003_ENTITY</v>
      </c>
      <c r="F379" s="32" t="str">
        <f>+UPPER('0. Instruções'!$D$36&amp;"."&amp;VLOOKUP(B379,'0. Instruções'!$C$27:$E$32,3,FALSE))</f>
        <v>BU_LOANTAPE_WORK.LT003_ENTITY</v>
      </c>
      <c r="H379" s="32"/>
      <c r="I379" s="32"/>
      <c r="J379" s="32" t="str">
        <f>IF(VLOOKUP(B379,'0. Instruções'!$C$27:$G$32,5,FALSE)=0,
"(SELECT "&amp;VLOOKUP(B379,'0. Instruções'!$C$27:$G$32,4,FALSE)&amp;" AS CHAVE_IT, "&amp;C379&amp;" AS CAMPO_IT FROM "&amp;E379&amp;" WHERE "&amp;'0. Instruções'!$D$43&amp;")X",
"(SELECT "&amp;VLOOKUP(B379,'0. Instruções'!$C$27:$G$32,4,FALSE)&amp;" AS CHAVE_IT1, "&amp;VLOOKUP(B379,'0. Instruções'!$C$27:$G$32,5,FALSE)&amp;" AS CHAVE_IT2, "&amp;C379&amp;" AS CAMPO_IT FROM "&amp;E379&amp;" WHERE "&amp;'0. Instruções'!$D$43&amp;")X")</f>
        <v>(SELECT entty_id AS CHAVE_IT, entty_nm AS CAMPO_IT FROM CD_LOAN_TAPES_BCE.LT003_ENTITY WHERE ref_date='${ref_date}' AND nome_perimetro='Individual Local' AND segmento='ESTR' AND ambito='PM' AND entidade='00100')X</v>
      </c>
      <c r="K379" s="32" t="str">
        <f>IF(VLOOKUP(B379,'0. Instruções'!$C$27:$G$32,5,FALSE)=0,
"(SELECT "&amp;VLOOKUP(B379,'0. Instruções'!$C$27:$G$32,4,FALSE)&amp;" AS CHAVE_SIMUL, "&amp;C379&amp;" AS CAMPO_SIMUL FROM "&amp;F379&amp;" WHERE "&amp;'0. Instruções'!$D$42&amp;")Y",
"(SELECT "&amp;VLOOKUP(B379,'0. Instruções'!$C$27:$G$32,4,FALSE)&amp;" AS CHAVE_SIMUL1, "&amp;VLOOKUP(B379,'0. Instruções'!$C$27:$G$32,5,FALSE)&amp;" AS CHAVE_SIMUL2, "&amp;C379&amp;" AS CAMPO_SIMUL FROM "&amp;F379&amp;" WHERE "&amp;'0. Instruções'!$D$42&amp;")Y")</f>
        <v>(SELECT entty_id AS CHAVE_SIMUL, entty_nm AS CAMPO_SIMUL FROM BU_LOANTAPE_WORK.LT003_ENTITY WHERE ref_date='${ref_date}' AND nome_perimetro='Individual Local' AND segmento='ESTR' AND ambito='PM' AND entidade='00100')Y</v>
      </c>
      <c r="L379" s="32" t="str">
        <f>IF(VLOOKUP(B379,'0. Instruções'!$C$27:$G$32,5,FALSE)=0,
"ON X.CHAVE_IT=Y.CHAVE_SIMUL",
"ON X.CHAVE_IT1=Y.CHAVE_SIMUL1 AND X.CHAVE_IT2=Y.CHAVE_SIMUL2")</f>
        <v>ON X.CHAVE_IT=Y.CHAVE_SIMUL</v>
      </c>
      <c r="M379" s="32" t="str">
        <f>+IF(D379="Coerência",+IF(LEFT(H379,5)="FLOAT","SELECT '"&amp;UPPER(B379)&amp;"' AS TABELA, '"&amp;UPPER(D379)&amp;"' AS TIPOLOGIA_TESTE,'"&amp;E379&amp;"' AS TABELA_LT,'"&amp;F379&amp;"' AS TABELA_SIMUL,'"&amp;C379&amp;"'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"&amp;J379&amp;" INNER JOIN "&amp;K379&amp;" "&amp;L379,"SELECT '"&amp;UPPER(B379)&amp;"' AS TABELA, '"&amp;UPPER(D379)&amp;"' AS TIPOLOGIA_TESTE,'"&amp;E379&amp;"' AS TABELA_LT,'"&amp;F379&amp;"' AS TABELA_SIMUL,'"&amp;C379&amp;"'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"&amp;J379&amp;" INNER JOIN "&amp;K379&amp;" "&amp;L379))</f>
        <v>SELECT 'ENTITY' AS TABELA, 'COERÊNCIA' AS TIPOLOGIA_TESTE,'CD_LOAN_TAPES_BCE.LT003_ENTITY' AS TABELA_LT,'BU_LOANTAPE_WORK.LT003_ENTITY' AS TABELA_SIMUL,'entty_nm'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entty_nm AS CAMPO_IT FROM CD_LOAN_TAPES_BCE.LT003_ENTITY WHERE ref_date='${ref_date}' AND nome_perimetro='Individual Local' AND segmento='ESTR' AND ambito='PM' AND entidade='00100')X INNER JOIN (SELECT entty_id AS CHAVE_SIMUL, entty_nm AS CAMPO_SIMUL FROM BU_LOANTAPE_WORK.LT003_ENTITY WHERE ref_date='${ref_date}' AND nome_perimetro='Individual Local' AND segmento='ESTR' AND ambito='PM' AND entidade='00100')Y ON X.CHAVE_IT=Y.CHAVE_SIMUL</v>
      </c>
      <c r="N379" s="33" t="str">
        <f t="shared" si="13"/>
        <v>UNION ALL SELECT 'ENTITY' AS TABELA, 'COERÊNCIA' AS TIPOLOGIA_TESTE,'CD_LOAN_TAPES_BCE.LT003_ENTITY' AS TABELA_LT,'BU_LOANTAPE_WORK.LT003_ENTITY' AS TABELA_SIMUL,'entty_nm'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entty_nm AS CAMPO_IT FROM CD_LOAN_TAPES_BCE.LT003_ENTITY WHERE ref_date='${ref_date}' AND nome_perimetro='Individual Local' AND segmento='ESTR' AND ambito='PM' AND entidade='00100')X INNER JOIN (SELECT entty_id AS CHAVE_SIMUL, entty_nm AS CAMPO_SIMUL FROM BU_LOANTAPE_WORK.LT003_ENTITY WHERE ref_date='${ref_date}' AND nome_perimetro='Individual Local' AND segmento='ESTR' AND ambito='PM' AND entidade='00100')Y ON X.CHAVE_IT=Y.CHAVE_SIMUL</v>
      </c>
      <c r="O379" s="35" t="s">
        <v>35</v>
      </c>
    </row>
    <row r="380" spans="1:15">
      <c r="A380" s="57" t="str">
        <f t="shared" si="12"/>
        <v>Entityextrnl_rtng_nm</v>
      </c>
      <c r="B380" s="32" t="s">
        <v>60</v>
      </c>
      <c r="C380" s="32" t="s">
        <v>524</v>
      </c>
      <c r="D380" s="32" t="s">
        <v>5</v>
      </c>
      <c r="E380" s="32" t="str">
        <f>+UPPER('0. Instruções'!$D$35&amp;"."&amp;VLOOKUP(B380,'0. Instruções'!$C$27:$D$32,2,FALSE))</f>
        <v>CD_LOAN_TAPES_BCE.LT003_ENTITY</v>
      </c>
      <c r="F380" s="32" t="str">
        <f>+UPPER('0. Instruções'!$D$36&amp;"."&amp;VLOOKUP(B380,'0. Instruções'!$C$27:$E$32,3,FALSE))</f>
        <v>BU_LOANTAPE_WORK.LT003_ENTITY</v>
      </c>
      <c r="H380" s="32"/>
      <c r="I380" s="32"/>
      <c r="J380" s="32" t="str">
        <f>IF(VLOOKUP(B380,'0. Instruções'!$C$27:$G$32,5,FALSE)=0,
"(SELECT "&amp;VLOOKUP(B380,'0. Instruções'!$C$27:$G$32,4,FALSE)&amp;" AS CHAVE_IT, "&amp;C380&amp;" AS CAMPO_IT FROM "&amp;E380&amp;" WHERE "&amp;'0. Instruções'!$D$43&amp;")X",
"(SELECT "&amp;VLOOKUP(B380,'0. Instruções'!$C$27:$G$32,4,FALSE)&amp;" AS CHAVE_IT1, "&amp;VLOOKUP(B380,'0. Instruções'!$C$27:$G$32,5,FALSE)&amp;" AS CHAVE_IT2, "&amp;C380&amp;" AS CAMPO_IT FROM "&amp;E380&amp;" WHERE "&amp;'0. Instruções'!$D$43&amp;")X")</f>
        <v>(SELECT entty_id AS CHAVE_IT, extrnl_rtng_nm AS CAMPO_IT FROM CD_LOAN_TAPES_BCE.LT003_ENTITY WHERE ref_date='${ref_date}' AND nome_perimetro='Individual Local' AND segmento='ESTR' AND ambito='PM' AND entidade='00100')X</v>
      </c>
      <c r="K380" s="32" t="str">
        <f>IF(VLOOKUP(B380,'0. Instruções'!$C$27:$G$32,5,FALSE)=0,
"(SELECT "&amp;VLOOKUP(B380,'0. Instruções'!$C$27:$G$32,4,FALSE)&amp;" AS CHAVE_SIMUL, "&amp;C380&amp;" AS CAMPO_SIMUL FROM "&amp;F380&amp;" WHERE "&amp;'0. Instruções'!$D$42&amp;")Y",
"(SELECT "&amp;VLOOKUP(B380,'0. Instruções'!$C$27:$G$32,4,FALSE)&amp;" AS CHAVE_SIMUL1, "&amp;VLOOKUP(B380,'0. Instruções'!$C$27:$G$32,5,FALSE)&amp;" AS CHAVE_SIMUL2, "&amp;C380&amp;" AS CAMPO_SIMUL FROM "&amp;F380&amp;" WHERE "&amp;'0. Instruções'!$D$42&amp;")Y")</f>
        <v>(SELECT entty_id AS CHAVE_SIMUL, extrnl_rtng_nm AS CAMPO_SIMUL FROM BU_LOANTAPE_WORK.LT003_ENTITY WHERE ref_date='${ref_date}' AND nome_perimetro='Individual Local' AND segmento='ESTR' AND ambito='PM' AND entidade='00100')Y</v>
      </c>
      <c r="L380" s="32" t="str">
        <f>IF(VLOOKUP(B380,'0. Instruções'!$C$27:$G$32,5,FALSE)=0,
"ON X.CHAVE_IT=Y.CHAVE_SIMUL",
"ON X.CHAVE_IT1=Y.CHAVE_SIMUL1 AND X.CHAVE_IT2=Y.CHAVE_SIMUL2")</f>
        <v>ON X.CHAVE_IT=Y.CHAVE_SIMUL</v>
      </c>
      <c r="M380" s="32" t="str">
        <f>+IF(D380="Coerência",+IF(LEFT(H380,5)="FLOAT","SELECT '"&amp;UPPER(B380)&amp;"' AS TABELA, '"&amp;UPPER(D380)&amp;"' AS TIPOLOGIA_TESTE,'"&amp;E380&amp;"' AS TABELA_LT,'"&amp;F380&amp;"' AS TABELA_SIMUL,'"&amp;C380&amp;"'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"&amp;J380&amp;" INNER JOIN "&amp;K380&amp;" "&amp;L380,"SELECT '"&amp;UPPER(B380)&amp;"' AS TABELA, '"&amp;UPPER(D380)&amp;"' AS TIPOLOGIA_TESTE,'"&amp;E380&amp;"' AS TABELA_LT,'"&amp;F380&amp;"' AS TABELA_SIMUL,'"&amp;C380&amp;"'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"&amp;J380&amp;" INNER JOIN "&amp;K380&amp;" "&amp;L380))</f>
        <v>SELECT 'ENTITY' AS TABELA, 'COERÊNCIA' AS TIPOLOGIA_TESTE,'CD_LOAN_TAPES_BCE.LT003_ENTITY' AS TABELA_LT,'BU_LOANTAPE_WORK.LT003_ENTITY' AS TABELA_SIMUL,'extrnl_rtng_nm'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extrnl_rtng_nm AS CAMPO_IT FROM CD_LOAN_TAPES_BCE.LT003_ENTITY WHERE ref_date='${ref_date}' AND nome_perimetro='Individual Local' AND segmento='ESTR' AND ambito='PM' AND entidade='00100')X INNER JOIN (SELECT entty_id AS CHAVE_SIMUL, extrnl_rtng_nm AS CAMPO_SIMUL FROM BU_LOANTAPE_WORK.LT003_ENTITY WHERE ref_date='${ref_date}' AND nome_perimetro='Individual Local' AND segmento='ESTR' AND ambito='PM' AND entidade='00100')Y ON X.CHAVE_IT=Y.CHAVE_SIMUL</v>
      </c>
      <c r="N380" s="33" t="str">
        <f t="shared" si="13"/>
        <v>UNION ALL SELECT 'ENTITY' AS TABELA, 'COERÊNCIA' AS TIPOLOGIA_TESTE,'CD_LOAN_TAPES_BCE.LT003_ENTITY' AS TABELA_LT,'BU_LOANTAPE_WORK.LT003_ENTITY' AS TABELA_SIMUL,'extrnl_rtng_nm'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extrnl_rtng_nm AS CAMPO_IT FROM CD_LOAN_TAPES_BCE.LT003_ENTITY WHERE ref_date='${ref_date}' AND nome_perimetro='Individual Local' AND segmento='ESTR' AND ambito='PM' AND entidade='00100')X INNER JOIN (SELECT entty_id AS CHAVE_SIMUL, extrnl_rtng_nm AS CAMPO_SIMUL FROM BU_LOANTAPE_WORK.LT003_ENTITY WHERE ref_date='${ref_date}' AND nome_perimetro='Individual Local' AND segmento='ESTR' AND ambito='PM' AND entidade='00100')Y ON X.CHAVE_IT=Y.CHAVE_SIMUL</v>
      </c>
      <c r="O380" s="35" t="s">
        <v>35</v>
      </c>
    </row>
    <row r="381" spans="1:15">
      <c r="A381" s="57" t="str">
        <f t="shared" si="12"/>
        <v>Entityaccntng_frmwrk_sl</v>
      </c>
      <c r="B381" s="32" t="s">
        <v>60</v>
      </c>
      <c r="C381" s="32" t="s">
        <v>525</v>
      </c>
      <c r="D381" s="32" t="s">
        <v>5</v>
      </c>
      <c r="E381" s="32" t="str">
        <f>+UPPER('0. Instruções'!$D$35&amp;"."&amp;VLOOKUP(B381,'0. Instruções'!$C$27:$D$32,2,FALSE))</f>
        <v>CD_LOAN_TAPES_BCE.LT003_ENTITY</v>
      </c>
      <c r="F381" s="32" t="str">
        <f>+UPPER('0. Instruções'!$D$36&amp;"."&amp;VLOOKUP(B381,'0. Instruções'!$C$27:$E$32,3,FALSE))</f>
        <v>BU_LOANTAPE_WORK.LT003_ENTITY</v>
      </c>
      <c r="H381" s="32"/>
      <c r="I381" s="32"/>
      <c r="J381" s="32" t="str">
        <f>IF(VLOOKUP(B381,'0. Instruções'!$C$27:$G$32,5,FALSE)=0,
"(SELECT "&amp;VLOOKUP(B381,'0. Instruções'!$C$27:$G$32,4,FALSE)&amp;" AS CHAVE_IT, "&amp;C381&amp;" AS CAMPO_IT FROM "&amp;E381&amp;" WHERE "&amp;'0. Instruções'!$D$43&amp;")X",
"(SELECT "&amp;VLOOKUP(B381,'0. Instruções'!$C$27:$G$32,4,FALSE)&amp;" AS CHAVE_IT1, "&amp;VLOOKUP(B381,'0. Instruções'!$C$27:$G$32,5,FALSE)&amp;" AS CHAVE_IT2, "&amp;C381&amp;" AS CAMPO_IT FROM "&amp;E381&amp;" WHERE "&amp;'0. Instruções'!$D$43&amp;")X")</f>
        <v>(SELECT entty_id AS CHAVE_IT, accntng_frmwrk_sl AS CAMPO_IT FROM CD_LOAN_TAPES_BCE.LT003_ENTITY WHERE ref_date='${ref_date}' AND nome_perimetro='Individual Local' AND segmento='ESTR' AND ambito='PM' AND entidade='00100')X</v>
      </c>
      <c r="K381" s="32" t="str">
        <f>IF(VLOOKUP(B381,'0. Instruções'!$C$27:$G$32,5,FALSE)=0,
"(SELECT "&amp;VLOOKUP(B381,'0. Instruções'!$C$27:$G$32,4,FALSE)&amp;" AS CHAVE_SIMUL, "&amp;C381&amp;" AS CAMPO_SIMUL FROM "&amp;F381&amp;" WHERE "&amp;'0. Instruções'!$D$42&amp;")Y",
"(SELECT "&amp;VLOOKUP(B381,'0. Instruções'!$C$27:$G$32,4,FALSE)&amp;" AS CHAVE_SIMUL1, "&amp;VLOOKUP(B381,'0. Instruções'!$C$27:$G$32,5,FALSE)&amp;" AS CHAVE_SIMUL2, "&amp;C381&amp;" AS CAMPO_SIMUL FROM "&amp;F381&amp;" WHERE "&amp;'0. Instruções'!$D$42&amp;")Y")</f>
        <v>(SELECT entty_id AS CHAVE_SIMUL, accntng_frmwrk_sl AS CAMPO_SIMUL FROM BU_LOANTAPE_WORK.LT003_ENTITY WHERE ref_date='${ref_date}' AND nome_perimetro='Individual Local' AND segmento='ESTR' AND ambito='PM' AND entidade='00100')Y</v>
      </c>
      <c r="L381" s="32" t="str">
        <f>IF(VLOOKUP(B381,'0. Instruções'!$C$27:$G$32,5,FALSE)=0,
"ON X.CHAVE_IT=Y.CHAVE_SIMUL",
"ON X.CHAVE_IT1=Y.CHAVE_SIMUL1 AND X.CHAVE_IT2=Y.CHAVE_SIMUL2")</f>
        <v>ON X.CHAVE_IT=Y.CHAVE_SIMUL</v>
      </c>
      <c r="M381" s="32" t="str">
        <f>+IF(D381="Coerência",+IF(LEFT(H381,5)="FLOAT","SELECT '"&amp;UPPER(B381)&amp;"' AS TABELA, '"&amp;UPPER(D381)&amp;"' AS TIPOLOGIA_TESTE,'"&amp;E381&amp;"' AS TABELA_LT,'"&amp;F381&amp;"' AS TABELA_SIMUL,'"&amp;C381&amp;"'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"&amp;J381&amp;" INNER JOIN "&amp;K381&amp;" "&amp;L381,"SELECT '"&amp;UPPER(B381)&amp;"' AS TABELA, '"&amp;UPPER(D381)&amp;"' AS TIPOLOGIA_TESTE,'"&amp;E381&amp;"' AS TABELA_LT,'"&amp;F381&amp;"' AS TABELA_SIMUL,'"&amp;C381&amp;"'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"&amp;J381&amp;" INNER JOIN "&amp;K381&amp;" "&amp;L381))</f>
        <v>SELECT 'ENTITY' AS TABELA, 'COERÊNCIA' AS TIPOLOGIA_TESTE,'CD_LOAN_TAPES_BCE.LT003_ENTITY' AS TABELA_LT,'BU_LOANTAPE_WORK.LT003_ENTITY' AS TABELA_SIMUL,'accntng_frmwrk_sl'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accntng_frmwrk_sl AS CAMPO_IT FROM CD_LOAN_TAPES_BCE.LT003_ENTITY WHERE ref_date='${ref_date}' AND nome_perimetro='Individual Local' AND segmento='ESTR' AND ambito='PM' AND entidade='00100')X INNER JOIN (SELECT entty_id AS CHAVE_SIMUL, accntng_frmwrk_sl AS CAMPO_SIMUL FROM BU_LOANTAPE_WORK.LT003_ENTITY WHERE ref_date='${ref_date}' AND nome_perimetro='Individual Local' AND segmento='ESTR' AND ambito='PM' AND entidade='00100')Y ON X.CHAVE_IT=Y.CHAVE_SIMUL</v>
      </c>
      <c r="N381" s="33" t="str">
        <f t="shared" si="13"/>
        <v>UNION ALL SELECT 'ENTITY' AS TABELA, 'COERÊNCIA' AS TIPOLOGIA_TESTE,'CD_LOAN_TAPES_BCE.LT003_ENTITY' AS TABELA_LT,'BU_LOANTAPE_WORK.LT003_ENTITY' AS TABELA_SIMUL,'accntng_frmwrk_sl'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accntng_frmwrk_sl AS CAMPO_IT FROM CD_LOAN_TAPES_BCE.LT003_ENTITY WHERE ref_date='${ref_date}' AND nome_perimetro='Individual Local' AND segmento='ESTR' AND ambito='PM' AND entidade='00100')X INNER JOIN (SELECT entty_id AS CHAVE_SIMUL, accntng_frmwrk_sl AS CAMPO_SIMUL FROM BU_LOANTAPE_WORK.LT003_ENTITY WHERE ref_date='${ref_date}' AND nome_perimetro='Individual Local' AND segmento='ESTR' AND ambito='PM' AND entidade='00100')Y ON X.CHAVE_IT=Y.CHAVE_SIMUL</v>
      </c>
      <c r="O381" s="35" t="s">
        <v>35</v>
      </c>
    </row>
    <row r="382" spans="1:15">
      <c r="A382" s="57" t="str">
        <f t="shared" si="12"/>
        <v>Entitycr_flg</v>
      </c>
      <c r="B382" s="32" t="s">
        <v>60</v>
      </c>
      <c r="C382" s="32" t="s">
        <v>70</v>
      </c>
      <c r="D382" s="32" t="s">
        <v>5</v>
      </c>
      <c r="E382" s="32" t="str">
        <f>+UPPER('0. Instruções'!$D$35&amp;"."&amp;VLOOKUP(B382,'0. Instruções'!$C$27:$D$32,2,FALSE))</f>
        <v>CD_LOAN_TAPES_BCE.LT003_ENTITY</v>
      </c>
      <c r="F382" s="32" t="str">
        <f>+UPPER('0. Instruções'!$D$36&amp;"."&amp;VLOOKUP(B382,'0. Instruções'!$C$27:$E$32,3,FALSE))</f>
        <v>BU_LOANTAPE_WORK.LT003_ENTITY</v>
      </c>
      <c r="H382" s="32"/>
      <c r="I382" s="32"/>
      <c r="J382" s="32" t="str">
        <f>IF(VLOOKUP(B382,'0. Instruções'!$C$27:$G$32,5,FALSE)=0,
"(SELECT "&amp;VLOOKUP(B382,'0. Instruções'!$C$27:$G$32,4,FALSE)&amp;" AS CHAVE_IT, "&amp;C382&amp;" AS CAMPO_IT FROM "&amp;E382&amp;" WHERE "&amp;'0. Instruções'!$D$43&amp;")X",
"(SELECT "&amp;VLOOKUP(B382,'0. Instruções'!$C$27:$G$32,4,FALSE)&amp;" AS CHAVE_IT1, "&amp;VLOOKUP(B382,'0. Instruções'!$C$27:$G$32,5,FALSE)&amp;" AS CHAVE_IT2, "&amp;C382&amp;" AS CAMPO_IT FROM "&amp;E382&amp;" WHERE "&amp;'0. Instruções'!$D$43&amp;")X")</f>
        <v>(SELECT entty_id AS CHAVE_IT, cr_flg AS CAMPO_IT FROM CD_LOAN_TAPES_BCE.LT003_ENTITY WHERE ref_date='${ref_date}' AND nome_perimetro='Individual Local' AND segmento='ESTR' AND ambito='PM' AND entidade='00100')X</v>
      </c>
      <c r="K382" s="32" t="str">
        <f>IF(VLOOKUP(B382,'0. Instruções'!$C$27:$G$32,5,FALSE)=0,
"(SELECT "&amp;VLOOKUP(B382,'0. Instruções'!$C$27:$G$32,4,FALSE)&amp;" AS CHAVE_SIMUL, "&amp;C382&amp;" AS CAMPO_SIMUL FROM "&amp;F382&amp;" WHERE "&amp;'0. Instruções'!$D$42&amp;")Y",
"(SELECT "&amp;VLOOKUP(B382,'0. Instruções'!$C$27:$G$32,4,FALSE)&amp;" AS CHAVE_SIMUL1, "&amp;VLOOKUP(B382,'0. Instruções'!$C$27:$G$32,5,FALSE)&amp;" AS CHAVE_SIMUL2, "&amp;C382&amp;" AS CAMPO_SIMUL FROM "&amp;F382&amp;" WHERE "&amp;'0. Instruções'!$D$42&amp;")Y")</f>
        <v>(SELECT entty_id AS CHAVE_SIMUL, cr_flg AS CAMPO_SIMUL FROM BU_LOANTAPE_WORK.LT003_ENTITY WHERE ref_date='${ref_date}' AND nome_perimetro='Individual Local' AND segmento='ESTR' AND ambito='PM' AND entidade='00100')Y</v>
      </c>
      <c r="L382" s="32" t="str">
        <f>IF(VLOOKUP(B382,'0. Instruções'!$C$27:$G$32,5,FALSE)=0,
"ON X.CHAVE_IT=Y.CHAVE_SIMUL",
"ON X.CHAVE_IT1=Y.CHAVE_SIMUL1 AND X.CHAVE_IT2=Y.CHAVE_SIMUL2")</f>
        <v>ON X.CHAVE_IT=Y.CHAVE_SIMUL</v>
      </c>
      <c r="M382" s="32" t="str">
        <f>+IF(D382="Coerência",+IF(LEFT(H382,5)="FLOAT","SELECT '"&amp;UPPER(B382)&amp;"' AS TABELA, '"&amp;UPPER(D382)&amp;"' AS TIPOLOGIA_TESTE,'"&amp;E382&amp;"' AS TABELA_LT,'"&amp;F382&amp;"' AS TABELA_SIMUL,'"&amp;C382&amp;"'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"&amp;J382&amp;" INNER JOIN "&amp;K382&amp;" "&amp;L382,"SELECT '"&amp;UPPER(B382)&amp;"' AS TABELA, '"&amp;UPPER(D382)&amp;"' AS TIPOLOGIA_TESTE,'"&amp;E382&amp;"' AS TABELA_LT,'"&amp;F382&amp;"' AS TABELA_SIMUL,'"&amp;C382&amp;"'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"&amp;J382&amp;" INNER JOIN "&amp;K382&amp;" "&amp;L382))</f>
        <v>SELECT 'ENTITY' AS TABELA, 'COERÊNCIA' AS TIPOLOGIA_TESTE,'CD_LOAN_TAPES_BCE.LT003_ENTITY' AS TABELA_LT,'BU_LOANTAPE_WORK.LT003_ENTITY' AS TABELA_SIMUL,'cr_flg'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cr_flg AS CAMPO_IT FROM CD_LOAN_TAPES_BCE.LT003_ENTITY WHERE ref_date='${ref_date}' AND nome_perimetro='Individual Local' AND segmento='ESTR' AND ambito='PM' AND entidade='00100')X INNER JOIN (SELECT entty_id AS CHAVE_SIMUL, cr_flg AS CAMPO_SIMUL FROM BU_LOANTAPE_WORK.LT003_ENTITY WHERE ref_date='${ref_date}' AND nome_perimetro='Individual Local' AND segmento='ESTR' AND ambito='PM' AND entidade='00100')Y ON X.CHAVE_IT=Y.CHAVE_SIMUL</v>
      </c>
      <c r="N382" s="33" t="str">
        <f t="shared" si="13"/>
        <v>UNION ALL SELECT 'ENTITY' AS TABELA, 'COERÊNCIA' AS TIPOLOGIA_TESTE,'CD_LOAN_TAPES_BCE.LT003_ENTITY' AS TABELA_LT,'BU_LOANTAPE_WORK.LT003_ENTITY' AS TABELA_SIMUL,'cr_flg'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cr_flg AS CAMPO_IT FROM CD_LOAN_TAPES_BCE.LT003_ENTITY WHERE ref_date='${ref_date}' AND nome_perimetro='Individual Local' AND segmento='ESTR' AND ambito='PM' AND entidade='00100')X INNER JOIN (SELECT entty_id AS CHAVE_SIMUL, cr_flg AS CAMPO_SIMUL FROM BU_LOANTAPE_WORK.LT003_ENTITY WHERE ref_date='${ref_date}' AND nome_perimetro='Individual Local' AND segmento='ESTR' AND ambito='PM' AND entidade='00100')Y ON X.CHAVE_IT=Y.CHAVE_SIMUL</v>
      </c>
      <c r="O382" s="35" t="s">
        <v>35</v>
      </c>
    </row>
    <row r="383" spans="1:15">
      <c r="A383" s="57" t="str">
        <f t="shared" si="12"/>
        <v>Entitydcsd</v>
      </c>
      <c r="B383" s="32" t="s">
        <v>60</v>
      </c>
      <c r="C383" s="32" t="s">
        <v>526</v>
      </c>
      <c r="D383" s="32" t="s">
        <v>5</v>
      </c>
      <c r="E383" s="32" t="str">
        <f>+UPPER('0. Instruções'!$D$35&amp;"."&amp;VLOOKUP(B383,'0. Instruções'!$C$27:$D$32,2,FALSE))</f>
        <v>CD_LOAN_TAPES_BCE.LT003_ENTITY</v>
      </c>
      <c r="F383" s="32" t="str">
        <f>+UPPER('0. Instruções'!$D$36&amp;"."&amp;VLOOKUP(B383,'0. Instruções'!$C$27:$E$32,3,FALSE))</f>
        <v>BU_LOANTAPE_WORK.LT003_ENTITY</v>
      </c>
      <c r="H383" s="32"/>
      <c r="I383" s="32"/>
      <c r="J383" s="32" t="str">
        <f>IF(VLOOKUP(B383,'0. Instruções'!$C$27:$G$32,5,FALSE)=0,
"(SELECT "&amp;VLOOKUP(B383,'0. Instruções'!$C$27:$G$32,4,FALSE)&amp;" AS CHAVE_IT, "&amp;C383&amp;" AS CAMPO_IT FROM "&amp;E383&amp;" WHERE "&amp;'0. Instruções'!$D$43&amp;")X",
"(SELECT "&amp;VLOOKUP(B383,'0. Instruções'!$C$27:$G$32,4,FALSE)&amp;" AS CHAVE_IT1, "&amp;VLOOKUP(B383,'0. Instruções'!$C$27:$G$32,5,FALSE)&amp;" AS CHAVE_IT2, "&amp;C383&amp;" AS CAMPO_IT FROM "&amp;E383&amp;" WHERE "&amp;'0. Instruções'!$D$43&amp;")X")</f>
        <v>(SELECT entty_id AS CHAVE_IT, dcsd AS CAMPO_IT FROM CD_LOAN_TAPES_BCE.LT003_ENTITY WHERE ref_date='${ref_date}' AND nome_perimetro='Individual Local' AND segmento='ESTR' AND ambito='PM' AND entidade='00100')X</v>
      </c>
      <c r="K383" s="32" t="str">
        <f>IF(VLOOKUP(B383,'0. Instruções'!$C$27:$G$32,5,FALSE)=0,
"(SELECT "&amp;VLOOKUP(B383,'0. Instruções'!$C$27:$G$32,4,FALSE)&amp;" AS CHAVE_SIMUL, "&amp;C383&amp;" AS CAMPO_SIMUL FROM "&amp;F383&amp;" WHERE "&amp;'0. Instruções'!$D$42&amp;")Y",
"(SELECT "&amp;VLOOKUP(B383,'0. Instruções'!$C$27:$G$32,4,FALSE)&amp;" AS CHAVE_SIMUL1, "&amp;VLOOKUP(B383,'0. Instruções'!$C$27:$G$32,5,FALSE)&amp;" AS CHAVE_SIMUL2, "&amp;C383&amp;" AS CAMPO_SIMUL FROM "&amp;F383&amp;" WHERE "&amp;'0. Instruções'!$D$42&amp;")Y")</f>
        <v>(SELECT entty_id AS CHAVE_SIMUL, dcsd AS CAMPO_SIMUL FROM BU_LOANTAPE_WORK.LT003_ENTITY WHERE ref_date='${ref_date}' AND nome_perimetro='Individual Local' AND segmento='ESTR' AND ambito='PM' AND entidade='00100')Y</v>
      </c>
      <c r="L383" s="32" t="str">
        <f>IF(VLOOKUP(B383,'0. Instruções'!$C$27:$G$32,5,FALSE)=0,
"ON X.CHAVE_IT=Y.CHAVE_SIMUL",
"ON X.CHAVE_IT1=Y.CHAVE_SIMUL1 AND X.CHAVE_IT2=Y.CHAVE_SIMUL2")</f>
        <v>ON X.CHAVE_IT=Y.CHAVE_SIMUL</v>
      </c>
      <c r="M383" s="32" t="str">
        <f>+IF(D383="Coerência",+IF(LEFT(H383,5)="FLOAT","SELECT '"&amp;UPPER(B383)&amp;"' AS TABELA, '"&amp;UPPER(D383)&amp;"' AS TIPOLOGIA_TESTE,'"&amp;E383&amp;"' AS TABELA_LT,'"&amp;F383&amp;"' AS TABELA_SIMUL,'"&amp;C383&amp;"'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"&amp;J383&amp;" INNER JOIN "&amp;K383&amp;" "&amp;L383,"SELECT '"&amp;UPPER(B383)&amp;"' AS TABELA, '"&amp;UPPER(D383)&amp;"' AS TIPOLOGIA_TESTE,'"&amp;E383&amp;"' AS TABELA_LT,'"&amp;F383&amp;"' AS TABELA_SIMUL,'"&amp;C383&amp;"'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"&amp;J383&amp;" INNER JOIN "&amp;K383&amp;" "&amp;L383))</f>
        <v>SELECT 'ENTITY' AS TABELA, 'COERÊNCIA' AS TIPOLOGIA_TESTE,'CD_LOAN_TAPES_BCE.LT003_ENTITY' AS TABELA_LT,'BU_LOANTAPE_WORK.LT003_ENTITY' AS TABELA_SIMUL,'dcsd'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dcsd AS CAMPO_IT FROM CD_LOAN_TAPES_BCE.LT003_ENTITY WHERE ref_date='${ref_date}' AND nome_perimetro='Individual Local' AND segmento='ESTR' AND ambito='PM' AND entidade='00100')X INNER JOIN (SELECT entty_id AS CHAVE_SIMUL, dcsd AS CAMPO_SIMUL FROM BU_LOANTAPE_WORK.LT003_ENTITY WHERE ref_date='${ref_date}' AND nome_perimetro='Individual Local' AND segmento='ESTR' AND ambito='PM' AND entidade='00100')Y ON X.CHAVE_IT=Y.CHAVE_SIMUL</v>
      </c>
      <c r="N383" s="33" t="str">
        <f t="shared" si="13"/>
        <v>UNION ALL SELECT 'ENTITY' AS TABELA, 'COERÊNCIA' AS TIPOLOGIA_TESTE,'CD_LOAN_TAPES_BCE.LT003_ENTITY' AS TABELA_LT,'BU_LOANTAPE_WORK.LT003_ENTITY' AS TABELA_SIMUL,'dcsd'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dcsd AS CAMPO_IT FROM CD_LOAN_TAPES_BCE.LT003_ENTITY WHERE ref_date='${ref_date}' AND nome_perimetro='Individual Local' AND segmento='ESTR' AND ambito='PM' AND entidade='00100')X INNER JOIN (SELECT entty_id AS CHAVE_SIMUL, dcsd AS CAMPO_SIMUL FROM BU_LOANTAPE_WORK.LT003_ENTITY WHERE ref_date='${ref_date}' AND nome_perimetro='Individual Local' AND segmento='ESTR' AND ambito='PM' AND entidade='00100')Y ON X.CHAVE_IT=Y.CHAVE_SIMUL</v>
      </c>
      <c r="O383" s="35" t="s">
        <v>35</v>
      </c>
    </row>
    <row r="384" spans="1:15">
      <c r="A384" s="57" t="str">
        <f t="shared" si="12"/>
        <v>Entitydflt_stts</v>
      </c>
      <c r="B384" s="32" t="s">
        <v>60</v>
      </c>
      <c r="C384" s="32" t="s">
        <v>527</v>
      </c>
      <c r="D384" s="32" t="s">
        <v>5</v>
      </c>
      <c r="E384" s="32" t="str">
        <f>+UPPER('0. Instruções'!$D$35&amp;"."&amp;VLOOKUP(B384,'0. Instruções'!$C$27:$D$32,2,FALSE))</f>
        <v>CD_LOAN_TAPES_BCE.LT003_ENTITY</v>
      </c>
      <c r="F384" s="32" t="str">
        <f>+UPPER('0. Instruções'!$D$36&amp;"."&amp;VLOOKUP(B384,'0. Instruções'!$C$27:$E$32,3,FALSE))</f>
        <v>BU_LOANTAPE_WORK.LT003_ENTITY</v>
      </c>
      <c r="H384" s="32"/>
      <c r="I384" s="32"/>
      <c r="J384" s="32" t="str">
        <f>IF(VLOOKUP(B384,'0. Instruções'!$C$27:$G$32,5,FALSE)=0,
"(SELECT "&amp;VLOOKUP(B384,'0. Instruções'!$C$27:$G$32,4,FALSE)&amp;" AS CHAVE_IT, "&amp;C384&amp;" AS CAMPO_IT FROM "&amp;E384&amp;" WHERE "&amp;'0. Instruções'!$D$43&amp;")X",
"(SELECT "&amp;VLOOKUP(B384,'0. Instruções'!$C$27:$G$32,4,FALSE)&amp;" AS CHAVE_IT1, "&amp;VLOOKUP(B384,'0. Instruções'!$C$27:$G$32,5,FALSE)&amp;" AS CHAVE_IT2, "&amp;C384&amp;" AS CAMPO_IT FROM "&amp;E384&amp;" WHERE "&amp;'0. Instruções'!$D$43&amp;")X")</f>
        <v>(SELECT entty_id AS CHAVE_IT, dflt_stts AS CAMPO_IT FROM CD_LOAN_TAPES_BCE.LT003_ENTITY WHERE ref_date='${ref_date}' AND nome_perimetro='Individual Local' AND segmento='ESTR' AND ambito='PM' AND entidade='00100')X</v>
      </c>
      <c r="K384" s="32" t="str">
        <f>IF(VLOOKUP(B384,'0. Instruções'!$C$27:$G$32,5,FALSE)=0,
"(SELECT "&amp;VLOOKUP(B384,'0. Instruções'!$C$27:$G$32,4,FALSE)&amp;" AS CHAVE_SIMUL, "&amp;C384&amp;" AS CAMPO_SIMUL FROM "&amp;F384&amp;" WHERE "&amp;'0. Instruções'!$D$42&amp;")Y",
"(SELECT "&amp;VLOOKUP(B384,'0. Instruções'!$C$27:$G$32,4,FALSE)&amp;" AS CHAVE_SIMUL1, "&amp;VLOOKUP(B384,'0. Instruções'!$C$27:$G$32,5,FALSE)&amp;" AS CHAVE_SIMUL2, "&amp;C384&amp;" AS CAMPO_SIMUL FROM "&amp;F384&amp;" WHERE "&amp;'0. Instruções'!$D$42&amp;")Y")</f>
        <v>(SELECT entty_id AS CHAVE_SIMUL, dflt_stts AS CAMPO_SIMUL FROM BU_LOANTAPE_WORK.LT003_ENTITY WHERE ref_date='${ref_date}' AND nome_perimetro='Individual Local' AND segmento='ESTR' AND ambito='PM' AND entidade='00100')Y</v>
      </c>
      <c r="L384" s="32" t="str">
        <f>IF(VLOOKUP(B384,'0. Instruções'!$C$27:$G$32,5,FALSE)=0,
"ON X.CHAVE_IT=Y.CHAVE_SIMUL",
"ON X.CHAVE_IT1=Y.CHAVE_SIMUL1 AND X.CHAVE_IT2=Y.CHAVE_SIMUL2")</f>
        <v>ON X.CHAVE_IT=Y.CHAVE_SIMUL</v>
      </c>
      <c r="M384" s="32" t="str">
        <f>+IF(D384="Coerência",+IF(LEFT(H384,5)="FLOAT","SELECT '"&amp;UPPER(B384)&amp;"' AS TABELA, '"&amp;UPPER(D384)&amp;"' AS TIPOLOGIA_TESTE,'"&amp;E384&amp;"' AS TABELA_LT,'"&amp;F384&amp;"' AS TABELA_SIMUL,'"&amp;C384&amp;"'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"&amp;J384&amp;" INNER JOIN "&amp;K384&amp;" "&amp;L384,"SELECT '"&amp;UPPER(B384)&amp;"' AS TABELA, '"&amp;UPPER(D384)&amp;"' AS TIPOLOGIA_TESTE,'"&amp;E384&amp;"' AS TABELA_LT,'"&amp;F384&amp;"' AS TABELA_SIMUL,'"&amp;C384&amp;"'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"&amp;J384&amp;" INNER JOIN "&amp;K384&amp;" "&amp;L384))</f>
        <v>SELECT 'ENTITY' AS TABELA, 'COERÊNCIA' AS TIPOLOGIA_TESTE,'CD_LOAN_TAPES_BCE.LT003_ENTITY' AS TABELA_LT,'BU_LOANTAPE_WORK.LT003_ENTITY' AS TABELA_SIMUL,'dflt_stts'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dflt_stts AS CAMPO_IT FROM CD_LOAN_TAPES_BCE.LT003_ENTITY WHERE ref_date='${ref_date}' AND nome_perimetro='Individual Local' AND segmento='ESTR' AND ambito='PM' AND entidade='00100')X INNER JOIN (SELECT entty_id AS CHAVE_SIMUL, dflt_stts AS CAMPO_SIMUL FROM BU_LOANTAPE_WORK.LT003_ENTITY WHERE ref_date='${ref_date}' AND nome_perimetro='Individual Local' AND segmento='ESTR' AND ambito='PM' AND entidade='00100')Y ON X.CHAVE_IT=Y.CHAVE_SIMUL</v>
      </c>
      <c r="N384" s="33" t="str">
        <f t="shared" si="13"/>
        <v>UNION ALL SELECT 'ENTITY' AS TABELA, 'COERÊNCIA' AS TIPOLOGIA_TESTE,'CD_LOAN_TAPES_BCE.LT003_ENTITY' AS TABELA_LT,'BU_LOANTAPE_WORK.LT003_ENTITY' AS TABELA_SIMUL,'dflt_stts'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dflt_stts AS CAMPO_IT FROM CD_LOAN_TAPES_BCE.LT003_ENTITY WHERE ref_date='${ref_date}' AND nome_perimetro='Individual Local' AND segmento='ESTR' AND ambito='PM' AND entidade='00100')X INNER JOIN (SELECT entty_id AS CHAVE_SIMUL, dflt_stts AS CAMPO_SIMUL FROM BU_LOANTAPE_WORK.LT003_ENTITY WHERE ref_date='${ref_date}' AND nome_perimetro='Individual Local' AND segmento='ESTR' AND ambito='PM' AND entidade='00100')Y ON X.CHAVE_IT=Y.CHAVE_SIMUL</v>
      </c>
      <c r="O384" s="35" t="s">
        <v>35</v>
      </c>
    </row>
    <row r="385" spans="1:15">
      <c r="A385" s="57" t="str">
        <f t="shared" si="12"/>
        <v>Entitydt_extrnl_rtng</v>
      </c>
      <c r="B385" s="32" t="s">
        <v>60</v>
      </c>
      <c r="C385" s="32" t="s">
        <v>528</v>
      </c>
      <c r="D385" s="32" t="s">
        <v>5</v>
      </c>
      <c r="E385" s="32" t="str">
        <f>+UPPER('0. Instruções'!$D$35&amp;"."&amp;VLOOKUP(B385,'0. Instruções'!$C$27:$D$32,2,FALSE))</f>
        <v>CD_LOAN_TAPES_BCE.LT003_ENTITY</v>
      </c>
      <c r="F385" s="32" t="str">
        <f>+UPPER('0. Instruções'!$D$36&amp;"."&amp;VLOOKUP(B385,'0. Instruções'!$C$27:$E$32,3,FALSE))</f>
        <v>BU_LOANTAPE_WORK.LT003_ENTITY</v>
      </c>
      <c r="H385" s="32"/>
      <c r="I385" s="32"/>
      <c r="J385" s="32" t="str">
        <f>IF(VLOOKUP(B385,'0. Instruções'!$C$27:$G$32,5,FALSE)=0,
"(SELECT "&amp;VLOOKUP(B385,'0. Instruções'!$C$27:$G$32,4,FALSE)&amp;" AS CHAVE_IT, "&amp;C385&amp;" AS CAMPO_IT FROM "&amp;E385&amp;" WHERE "&amp;'0. Instruções'!$D$43&amp;")X",
"(SELECT "&amp;VLOOKUP(B385,'0. Instruções'!$C$27:$G$32,4,FALSE)&amp;" AS CHAVE_IT1, "&amp;VLOOKUP(B385,'0. Instruções'!$C$27:$G$32,5,FALSE)&amp;" AS CHAVE_IT2, "&amp;C385&amp;" AS CAMPO_IT FROM "&amp;E385&amp;" WHERE "&amp;'0. Instruções'!$D$43&amp;")X")</f>
        <v>(SELECT entty_id AS CHAVE_IT, dt_extrnl_rtng AS CAMPO_IT FROM CD_LOAN_TAPES_BCE.LT003_ENTITY WHERE ref_date='${ref_date}' AND nome_perimetro='Individual Local' AND segmento='ESTR' AND ambito='PM' AND entidade='00100')X</v>
      </c>
      <c r="K385" s="32" t="str">
        <f>IF(VLOOKUP(B385,'0. Instruções'!$C$27:$G$32,5,FALSE)=0,
"(SELECT "&amp;VLOOKUP(B385,'0. Instruções'!$C$27:$G$32,4,FALSE)&amp;" AS CHAVE_SIMUL, "&amp;C385&amp;" AS CAMPO_SIMUL FROM "&amp;F385&amp;" WHERE "&amp;'0. Instruções'!$D$42&amp;")Y",
"(SELECT "&amp;VLOOKUP(B385,'0. Instruções'!$C$27:$G$32,4,FALSE)&amp;" AS CHAVE_SIMUL1, "&amp;VLOOKUP(B385,'0. Instruções'!$C$27:$G$32,5,FALSE)&amp;" AS CHAVE_SIMUL2, "&amp;C385&amp;" AS CAMPO_SIMUL FROM "&amp;F385&amp;" WHERE "&amp;'0. Instruções'!$D$42&amp;")Y")</f>
        <v>(SELECT entty_id AS CHAVE_SIMUL, dt_extrnl_rtng AS CAMPO_SIMUL FROM BU_LOANTAPE_WORK.LT003_ENTITY WHERE ref_date='${ref_date}' AND nome_perimetro='Individual Local' AND segmento='ESTR' AND ambito='PM' AND entidade='00100')Y</v>
      </c>
      <c r="L385" s="32" t="str">
        <f>IF(VLOOKUP(B385,'0. Instruções'!$C$27:$G$32,5,FALSE)=0,
"ON X.CHAVE_IT=Y.CHAVE_SIMUL",
"ON X.CHAVE_IT1=Y.CHAVE_SIMUL1 AND X.CHAVE_IT2=Y.CHAVE_SIMUL2")</f>
        <v>ON X.CHAVE_IT=Y.CHAVE_SIMUL</v>
      </c>
      <c r="M385" s="32" t="str">
        <f>+IF(D385="Coerência",+IF(LEFT(H385,5)="FLOAT","SELECT '"&amp;UPPER(B385)&amp;"' AS TABELA, '"&amp;UPPER(D385)&amp;"' AS TIPOLOGIA_TESTE,'"&amp;E385&amp;"' AS TABELA_LT,'"&amp;F385&amp;"' AS TABELA_SIMUL,'"&amp;C385&amp;"'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"&amp;J385&amp;" INNER JOIN "&amp;K385&amp;" "&amp;L385,"SELECT '"&amp;UPPER(B385)&amp;"' AS TABELA, '"&amp;UPPER(D385)&amp;"' AS TIPOLOGIA_TESTE,'"&amp;E385&amp;"' AS TABELA_LT,'"&amp;F385&amp;"' AS TABELA_SIMUL,'"&amp;C385&amp;"'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"&amp;J385&amp;" INNER JOIN "&amp;K385&amp;" "&amp;L385))</f>
        <v>SELECT 'ENTITY' AS TABELA, 'COERÊNCIA' AS TIPOLOGIA_TESTE,'CD_LOAN_TAPES_BCE.LT003_ENTITY' AS TABELA_LT,'BU_LOANTAPE_WORK.LT003_ENTITY' AS TABELA_SIMUL,'dt_extrnl_rtng'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dt_extrnl_rtng AS CAMPO_IT FROM CD_LOAN_TAPES_BCE.LT003_ENTITY WHERE ref_date='${ref_date}' AND nome_perimetro='Individual Local' AND segmento='ESTR' AND ambito='PM' AND entidade='00100')X INNER JOIN (SELECT entty_id AS CHAVE_SIMUL, dt_extrnl_rtng AS CAMPO_SIMUL FROM BU_LOANTAPE_WORK.LT003_ENTITY WHERE ref_date='${ref_date}' AND nome_perimetro='Individual Local' AND segmento='ESTR' AND ambito='PM' AND entidade='00100')Y ON X.CHAVE_IT=Y.CHAVE_SIMUL</v>
      </c>
      <c r="N385" s="33" t="str">
        <f t="shared" si="13"/>
        <v>UNION ALL SELECT 'ENTITY' AS TABELA, 'COERÊNCIA' AS TIPOLOGIA_TESTE,'CD_LOAN_TAPES_BCE.LT003_ENTITY' AS TABELA_LT,'BU_LOANTAPE_WORK.LT003_ENTITY' AS TABELA_SIMUL,'dt_extrnl_rtng'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dt_extrnl_rtng AS CAMPO_IT FROM CD_LOAN_TAPES_BCE.LT003_ENTITY WHERE ref_date='${ref_date}' AND nome_perimetro='Individual Local' AND segmento='ESTR' AND ambito='PM' AND entidade='00100')X INNER JOIN (SELECT entty_id AS CHAVE_SIMUL, dt_extrnl_rtng AS CAMPO_SIMUL FROM BU_LOANTAPE_WORK.LT003_ENTITY WHERE ref_date='${ref_date}' AND nome_perimetro='Individual Local' AND segmento='ESTR' AND ambito='PM' AND entidade='00100')Y ON X.CHAVE_IT=Y.CHAVE_SIMUL</v>
      </c>
      <c r="O385" s="35" t="s">
        <v>35</v>
      </c>
    </row>
    <row r="386" spans="1:15">
      <c r="A386" s="57" t="str">
        <f t="shared" si="12"/>
        <v>Entitydt_intrnl_rtng</v>
      </c>
      <c r="B386" s="32" t="s">
        <v>60</v>
      </c>
      <c r="C386" s="32" t="s">
        <v>266</v>
      </c>
      <c r="D386" s="32" t="s">
        <v>5</v>
      </c>
      <c r="E386" s="32" t="str">
        <f>+UPPER('0. Instruções'!$D$35&amp;"."&amp;VLOOKUP(B386,'0. Instruções'!$C$27:$D$32,2,FALSE))</f>
        <v>CD_LOAN_TAPES_BCE.LT003_ENTITY</v>
      </c>
      <c r="F386" s="32" t="str">
        <f>+UPPER('0. Instruções'!$D$36&amp;"."&amp;VLOOKUP(B386,'0. Instruções'!$C$27:$E$32,3,FALSE))</f>
        <v>BU_LOANTAPE_WORK.LT003_ENTITY</v>
      </c>
      <c r="H386" s="32"/>
      <c r="I386" s="32"/>
      <c r="J386" s="32" t="str">
        <f>IF(VLOOKUP(B386,'0. Instruções'!$C$27:$G$32,5,FALSE)=0,
"(SELECT "&amp;VLOOKUP(B386,'0. Instruções'!$C$27:$G$32,4,FALSE)&amp;" AS CHAVE_IT, "&amp;C386&amp;" AS CAMPO_IT FROM "&amp;E386&amp;" WHERE "&amp;'0. Instruções'!$D$43&amp;")X",
"(SELECT "&amp;VLOOKUP(B386,'0. Instruções'!$C$27:$G$32,4,FALSE)&amp;" AS CHAVE_IT1, "&amp;VLOOKUP(B386,'0. Instruções'!$C$27:$G$32,5,FALSE)&amp;" AS CHAVE_IT2, "&amp;C386&amp;" AS CAMPO_IT FROM "&amp;E386&amp;" WHERE "&amp;'0. Instruções'!$D$43&amp;")X")</f>
        <v>(SELECT entty_id AS CHAVE_IT, dt_intrnl_rtng AS CAMPO_IT FROM CD_LOAN_TAPES_BCE.LT003_ENTITY WHERE ref_date='${ref_date}' AND nome_perimetro='Individual Local' AND segmento='ESTR' AND ambito='PM' AND entidade='00100')X</v>
      </c>
      <c r="K386" s="32" t="str">
        <f>IF(VLOOKUP(B386,'0. Instruções'!$C$27:$G$32,5,FALSE)=0,
"(SELECT "&amp;VLOOKUP(B386,'0. Instruções'!$C$27:$G$32,4,FALSE)&amp;" AS CHAVE_SIMUL, "&amp;C386&amp;" AS CAMPO_SIMUL FROM "&amp;F386&amp;" WHERE "&amp;'0. Instruções'!$D$42&amp;")Y",
"(SELECT "&amp;VLOOKUP(B386,'0. Instruções'!$C$27:$G$32,4,FALSE)&amp;" AS CHAVE_SIMUL1, "&amp;VLOOKUP(B386,'0. Instruções'!$C$27:$G$32,5,FALSE)&amp;" AS CHAVE_SIMUL2, "&amp;C386&amp;" AS CAMPO_SIMUL FROM "&amp;F386&amp;" WHERE "&amp;'0. Instruções'!$D$42&amp;")Y")</f>
        <v>(SELECT entty_id AS CHAVE_SIMUL, dt_intrnl_rtng AS CAMPO_SIMUL FROM BU_LOANTAPE_WORK.LT003_ENTITY WHERE ref_date='${ref_date}' AND nome_perimetro='Individual Local' AND segmento='ESTR' AND ambito='PM' AND entidade='00100')Y</v>
      </c>
      <c r="L386" s="32" t="str">
        <f>IF(VLOOKUP(B386,'0. Instruções'!$C$27:$G$32,5,FALSE)=0,
"ON X.CHAVE_IT=Y.CHAVE_SIMUL",
"ON X.CHAVE_IT1=Y.CHAVE_SIMUL1 AND X.CHAVE_IT2=Y.CHAVE_SIMUL2")</f>
        <v>ON X.CHAVE_IT=Y.CHAVE_SIMUL</v>
      </c>
      <c r="M386" s="32" t="str">
        <f>+IF(D386="Coerência",+IF(LEFT(H386,5)="FLOAT","SELECT '"&amp;UPPER(B386)&amp;"' AS TABELA, '"&amp;UPPER(D386)&amp;"' AS TIPOLOGIA_TESTE,'"&amp;E386&amp;"' AS TABELA_LT,'"&amp;F386&amp;"' AS TABELA_SIMUL,'"&amp;C386&amp;"'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"&amp;J386&amp;" INNER JOIN "&amp;K386&amp;" "&amp;L386,"SELECT '"&amp;UPPER(B386)&amp;"' AS TABELA, '"&amp;UPPER(D386)&amp;"' AS TIPOLOGIA_TESTE,'"&amp;E386&amp;"' AS TABELA_LT,'"&amp;F386&amp;"' AS TABELA_SIMUL,'"&amp;C386&amp;"'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"&amp;J386&amp;" INNER JOIN "&amp;K386&amp;" "&amp;L386))</f>
        <v>SELECT 'ENTITY' AS TABELA, 'COERÊNCIA' AS TIPOLOGIA_TESTE,'CD_LOAN_TAPES_BCE.LT003_ENTITY' AS TABELA_LT,'BU_LOANTAPE_WORK.LT003_ENTITY'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dt_intrnl_rtng AS CAMPO_IT FROM CD_LOAN_TAPES_BCE.LT003_ENTITY WHERE ref_date='${ref_date}' AND nome_perimetro='Individual Local' AND segmento='ESTR' AND ambito='PM' AND entidade='00100')X INNER JOIN (SELECT entty_id AS CHAVE_SIMUL, dt_intrnl_rtng AS CAMPO_SIMUL FROM BU_LOANTAPE_WORK.LT003_ENTITY WHERE ref_date='${ref_date}' AND nome_perimetro='Individual Local' AND segmento='ESTR' AND ambito='PM' AND entidade='00100')Y ON X.CHAVE_IT=Y.CHAVE_SIMUL</v>
      </c>
      <c r="N386" s="33" t="str">
        <f t="shared" si="13"/>
        <v>UNION ALL SELECT 'ENTITY' AS TABELA, 'COERÊNCIA' AS TIPOLOGIA_TESTE,'CD_LOAN_TAPES_BCE.LT003_ENTITY' AS TABELA_LT,'BU_LOANTAPE_WORK.LT003_ENTITY' AS TABELA_SIMUL,'dt_intrnl_rtng'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dt_intrnl_rtng AS CAMPO_IT FROM CD_LOAN_TAPES_BCE.LT003_ENTITY WHERE ref_date='${ref_date}' AND nome_perimetro='Individual Local' AND segmento='ESTR' AND ambito='PM' AND entidade='00100')X INNER JOIN (SELECT entty_id AS CHAVE_SIMUL, dt_intrnl_rtng AS CAMPO_SIMUL FROM BU_LOANTAPE_WORK.LT003_ENTITY WHERE ref_date='${ref_date}' AND nome_perimetro='Individual Local' AND segmento='ESTR' AND ambito='PM' AND entidade='00100')Y ON X.CHAVE_IT=Y.CHAVE_SIMUL</v>
      </c>
      <c r="O386" s="35" t="s">
        <v>35</v>
      </c>
    </row>
    <row r="387" spans="1:15">
      <c r="A387" s="57" t="str">
        <f t="shared" si="12"/>
        <v>Entityecnmc_actvty</v>
      </c>
      <c r="B387" s="32" t="s">
        <v>60</v>
      </c>
      <c r="C387" s="32" t="s">
        <v>157</v>
      </c>
      <c r="D387" s="32" t="s">
        <v>5</v>
      </c>
      <c r="E387" s="32" t="str">
        <f>+UPPER('0. Instruções'!$D$35&amp;"."&amp;VLOOKUP(B387,'0. Instruções'!$C$27:$D$32,2,FALSE))</f>
        <v>CD_LOAN_TAPES_BCE.LT003_ENTITY</v>
      </c>
      <c r="F387" s="32" t="str">
        <f>+UPPER('0. Instruções'!$D$36&amp;"."&amp;VLOOKUP(B387,'0. Instruções'!$C$27:$E$32,3,FALSE))</f>
        <v>BU_LOANTAPE_WORK.LT003_ENTITY</v>
      </c>
      <c r="H387" s="32"/>
      <c r="I387" s="32"/>
      <c r="J387" s="32" t="str">
        <f>IF(VLOOKUP(B387,'0. Instruções'!$C$27:$G$32,5,FALSE)=0,
"(SELECT "&amp;VLOOKUP(B387,'0. Instruções'!$C$27:$G$32,4,FALSE)&amp;" AS CHAVE_IT, "&amp;C387&amp;" AS CAMPO_IT FROM "&amp;E387&amp;" WHERE "&amp;'0. Instruções'!$D$43&amp;")X",
"(SELECT "&amp;VLOOKUP(B387,'0. Instruções'!$C$27:$G$32,4,FALSE)&amp;" AS CHAVE_IT1, "&amp;VLOOKUP(B387,'0. Instruções'!$C$27:$G$32,5,FALSE)&amp;" AS CHAVE_IT2, "&amp;C387&amp;" AS CAMPO_IT FROM "&amp;E387&amp;" WHERE "&amp;'0. Instruções'!$D$43&amp;")X")</f>
        <v>(SELECT entty_id AS CHAVE_IT, ecnmc_actvty AS CAMPO_IT FROM CD_LOAN_TAPES_BCE.LT003_ENTITY WHERE ref_date='${ref_date}' AND nome_perimetro='Individual Local' AND segmento='ESTR' AND ambito='PM' AND entidade='00100')X</v>
      </c>
      <c r="K387" s="32" t="str">
        <f>IF(VLOOKUP(B387,'0. Instruções'!$C$27:$G$32,5,FALSE)=0,
"(SELECT "&amp;VLOOKUP(B387,'0. Instruções'!$C$27:$G$32,4,FALSE)&amp;" AS CHAVE_SIMUL, "&amp;C387&amp;" AS CAMPO_SIMUL FROM "&amp;F387&amp;" WHERE "&amp;'0. Instruções'!$D$42&amp;")Y",
"(SELECT "&amp;VLOOKUP(B387,'0. Instruções'!$C$27:$G$32,4,FALSE)&amp;" AS CHAVE_SIMUL1, "&amp;VLOOKUP(B387,'0. Instruções'!$C$27:$G$32,5,FALSE)&amp;" AS CHAVE_SIMUL2, "&amp;C387&amp;" AS CAMPO_SIMUL FROM "&amp;F387&amp;" WHERE "&amp;'0. Instruções'!$D$42&amp;")Y")</f>
        <v>(SELECT entty_id AS CHAVE_SIMUL, ecnmc_actvty AS CAMPO_SIMUL FROM BU_LOANTAPE_WORK.LT003_ENTITY WHERE ref_date='${ref_date}' AND nome_perimetro='Individual Local' AND segmento='ESTR' AND ambito='PM' AND entidade='00100')Y</v>
      </c>
      <c r="L387" s="32" t="str">
        <f>IF(VLOOKUP(B387,'0. Instruções'!$C$27:$G$32,5,FALSE)=0,
"ON X.CHAVE_IT=Y.CHAVE_SIMUL",
"ON X.CHAVE_IT1=Y.CHAVE_SIMUL1 AND X.CHAVE_IT2=Y.CHAVE_SIMUL2")</f>
        <v>ON X.CHAVE_IT=Y.CHAVE_SIMUL</v>
      </c>
      <c r="M387" s="32" t="str">
        <f>+IF(D387="Coerência",+IF(LEFT(H387,5)="FLOAT","SELECT '"&amp;UPPER(B387)&amp;"' AS TABELA, '"&amp;UPPER(D387)&amp;"' AS TIPOLOGIA_TESTE,'"&amp;E387&amp;"' AS TABELA_LT,'"&amp;F387&amp;"' AS TABELA_SIMUL,'"&amp;C387&amp;"'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"&amp;J387&amp;" INNER JOIN "&amp;K387&amp;" "&amp;L387,"SELECT '"&amp;UPPER(B387)&amp;"' AS TABELA, '"&amp;UPPER(D387)&amp;"' AS TIPOLOGIA_TESTE,'"&amp;E387&amp;"' AS TABELA_LT,'"&amp;F387&amp;"' AS TABELA_SIMUL,'"&amp;C387&amp;"'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"&amp;J387&amp;" INNER JOIN "&amp;K387&amp;" "&amp;L387))</f>
        <v>SELECT 'ENTITY' AS TABELA, 'COERÊNCIA' AS TIPOLOGIA_TESTE,'CD_LOAN_TAPES_BCE.LT003_ENTITY' AS TABELA_LT,'BU_LOANTAPE_WORK.LT003_ENTITY' AS TABELA_SIMUL,'ecnmc_actvty'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ecnmc_actvty AS CAMPO_IT FROM CD_LOAN_TAPES_BCE.LT003_ENTITY WHERE ref_date='${ref_date}' AND nome_perimetro='Individual Local' AND segmento='ESTR' AND ambito='PM' AND entidade='00100')X INNER JOIN (SELECT entty_id AS CHAVE_SIMUL, ecnmc_actvty AS CAMPO_SIMUL FROM BU_LOANTAPE_WORK.LT003_ENTITY WHERE ref_date='${ref_date}' AND nome_perimetro='Individual Local' AND segmento='ESTR' AND ambito='PM' AND entidade='00100')Y ON X.CHAVE_IT=Y.CHAVE_SIMUL</v>
      </c>
      <c r="N387" s="33" t="str">
        <f t="shared" si="13"/>
        <v>UNION ALL SELECT 'ENTITY' AS TABELA, 'COERÊNCIA' AS TIPOLOGIA_TESTE,'CD_LOAN_TAPES_BCE.LT003_ENTITY' AS TABELA_LT,'BU_LOANTAPE_WORK.LT003_ENTITY' AS TABELA_SIMUL,'ecnmc_actvty'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ecnmc_actvty AS CAMPO_IT FROM CD_LOAN_TAPES_BCE.LT003_ENTITY WHERE ref_date='${ref_date}' AND nome_perimetro='Individual Local' AND segmento='ESTR' AND ambito='PM' AND entidade='00100')X INNER JOIN (SELECT entty_id AS CHAVE_SIMUL, ecnmc_actvty AS CAMPO_SIMUL FROM BU_LOANTAPE_WORK.LT003_ENTITY WHERE ref_date='${ref_date}' AND nome_perimetro='Individual Local' AND segmento='ESTR' AND ambito='PM' AND entidade='00100')Y ON X.CHAVE_IT=Y.CHAVE_SIMUL</v>
      </c>
      <c r="O387" s="35" t="s">
        <v>35</v>
      </c>
    </row>
    <row r="388" spans="1:15">
      <c r="A388" s="57" t="str">
        <f t="shared" si="12"/>
        <v>Entityemplymnt_stts_intrnl</v>
      </c>
      <c r="B388" s="32" t="s">
        <v>60</v>
      </c>
      <c r="C388" s="32" t="s">
        <v>529</v>
      </c>
      <c r="D388" s="32" t="s">
        <v>5</v>
      </c>
      <c r="E388" s="32" t="str">
        <f>+UPPER('0. Instruções'!$D$35&amp;"."&amp;VLOOKUP(B388,'0. Instruções'!$C$27:$D$32,2,FALSE))</f>
        <v>CD_LOAN_TAPES_BCE.LT003_ENTITY</v>
      </c>
      <c r="F388" s="32" t="str">
        <f>+UPPER('0. Instruções'!$D$36&amp;"."&amp;VLOOKUP(B388,'0. Instruções'!$C$27:$E$32,3,FALSE))</f>
        <v>BU_LOANTAPE_WORK.LT003_ENTITY</v>
      </c>
      <c r="H388" s="32"/>
      <c r="I388" s="32"/>
      <c r="J388" s="32" t="str">
        <f>IF(VLOOKUP(B388,'0. Instruções'!$C$27:$G$32,5,FALSE)=0,
"(SELECT "&amp;VLOOKUP(B388,'0. Instruções'!$C$27:$G$32,4,FALSE)&amp;" AS CHAVE_IT, "&amp;C388&amp;" AS CAMPO_IT FROM "&amp;E388&amp;" WHERE "&amp;'0. Instruções'!$D$43&amp;")X",
"(SELECT "&amp;VLOOKUP(B388,'0. Instruções'!$C$27:$G$32,4,FALSE)&amp;" AS CHAVE_IT1, "&amp;VLOOKUP(B388,'0. Instruções'!$C$27:$G$32,5,FALSE)&amp;" AS CHAVE_IT2, "&amp;C388&amp;" AS CAMPO_IT FROM "&amp;E388&amp;" WHERE "&amp;'0. Instruções'!$D$43&amp;")X")</f>
        <v>(SELECT entty_id AS CHAVE_IT, emplymnt_stts_intrnl AS CAMPO_IT FROM CD_LOAN_TAPES_BCE.LT003_ENTITY WHERE ref_date='${ref_date}' AND nome_perimetro='Individual Local' AND segmento='ESTR' AND ambito='PM' AND entidade='00100')X</v>
      </c>
      <c r="K388" s="32" t="str">
        <f>IF(VLOOKUP(B388,'0. Instruções'!$C$27:$G$32,5,FALSE)=0,
"(SELECT "&amp;VLOOKUP(B388,'0. Instruções'!$C$27:$G$32,4,FALSE)&amp;" AS CHAVE_SIMUL, "&amp;C388&amp;" AS CAMPO_SIMUL FROM "&amp;F388&amp;" WHERE "&amp;'0. Instruções'!$D$42&amp;")Y",
"(SELECT "&amp;VLOOKUP(B388,'0. Instruções'!$C$27:$G$32,4,FALSE)&amp;" AS CHAVE_SIMUL1, "&amp;VLOOKUP(B388,'0. Instruções'!$C$27:$G$32,5,FALSE)&amp;" AS CHAVE_SIMUL2, "&amp;C388&amp;" AS CAMPO_SIMUL FROM "&amp;F388&amp;" WHERE "&amp;'0. Instruções'!$D$42&amp;")Y")</f>
        <v>(SELECT entty_id AS CHAVE_SIMUL, emplymnt_stts_intrnl AS CAMPO_SIMUL FROM BU_LOANTAPE_WORK.LT003_ENTITY WHERE ref_date='${ref_date}' AND nome_perimetro='Individual Local' AND segmento='ESTR' AND ambito='PM' AND entidade='00100')Y</v>
      </c>
      <c r="L388" s="32" t="str">
        <f>IF(VLOOKUP(B388,'0. Instruções'!$C$27:$G$32,5,FALSE)=0,
"ON X.CHAVE_IT=Y.CHAVE_SIMUL",
"ON X.CHAVE_IT1=Y.CHAVE_SIMUL1 AND X.CHAVE_IT2=Y.CHAVE_SIMUL2")</f>
        <v>ON X.CHAVE_IT=Y.CHAVE_SIMUL</v>
      </c>
      <c r="M388" s="32" t="str">
        <f>+IF(D388="Coerência",+IF(LEFT(H388,5)="FLOAT","SELECT '"&amp;UPPER(B388)&amp;"' AS TABELA, '"&amp;UPPER(D388)&amp;"' AS TIPOLOGIA_TESTE,'"&amp;E388&amp;"' AS TABELA_LT,'"&amp;F388&amp;"' AS TABELA_SIMUL,'"&amp;C388&amp;"'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"&amp;J388&amp;" INNER JOIN "&amp;K388&amp;" "&amp;L388,"SELECT '"&amp;UPPER(B388)&amp;"' AS TABELA, '"&amp;UPPER(D388)&amp;"' AS TIPOLOGIA_TESTE,'"&amp;E388&amp;"' AS TABELA_LT,'"&amp;F388&amp;"' AS TABELA_SIMUL,'"&amp;C388&amp;"'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"&amp;J388&amp;" INNER JOIN "&amp;K388&amp;" "&amp;L388))</f>
        <v>SELECT 'ENTITY' AS TABELA, 'COERÊNCIA' AS TIPOLOGIA_TESTE,'CD_LOAN_TAPES_BCE.LT003_ENTITY' AS TABELA_LT,'BU_LOANTAPE_WORK.LT003_ENTITY' AS TABELA_SIMUL,'emplymnt_stts_intrnl'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emplymnt_stts_intrnl AS CAMPO_IT FROM CD_LOAN_TAPES_BCE.LT003_ENTITY WHERE ref_date='${ref_date}' AND nome_perimetro='Individual Local' AND segmento='ESTR' AND ambito='PM' AND entidade='00100')X INNER JOIN (SELECT entty_id AS CHAVE_SIMUL, emplymnt_stts_intrnl AS CAMPO_SIMUL FROM BU_LOANTAPE_WORK.LT003_ENTITY WHERE ref_date='${ref_date}' AND nome_perimetro='Individual Local' AND segmento='ESTR' AND ambito='PM' AND entidade='00100')Y ON X.CHAVE_IT=Y.CHAVE_SIMUL</v>
      </c>
      <c r="N388" s="33" t="str">
        <f t="shared" si="13"/>
        <v>UNION ALL SELECT 'ENTITY' AS TABELA, 'COERÊNCIA' AS TIPOLOGIA_TESTE,'CD_LOAN_TAPES_BCE.LT003_ENTITY' AS TABELA_LT,'BU_LOANTAPE_WORK.LT003_ENTITY' AS TABELA_SIMUL,'emplymnt_stts_intrnl'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emplymnt_stts_intrnl AS CAMPO_IT FROM CD_LOAN_TAPES_BCE.LT003_ENTITY WHERE ref_date='${ref_date}' AND nome_perimetro='Individual Local' AND segmento='ESTR' AND ambito='PM' AND entidade='00100')X INNER JOIN (SELECT entty_id AS CHAVE_SIMUL, emplymnt_stts_intrnl AS CAMPO_SIMUL FROM BU_LOANTAPE_WORK.LT003_ENTITY WHERE ref_date='${ref_date}' AND nome_perimetro='Individual Local' AND segmento='ESTR' AND ambito='PM' AND entidade='00100')Y ON X.CHAVE_IT=Y.CHAVE_SIMUL</v>
      </c>
      <c r="O388" s="35" t="s">
        <v>35</v>
      </c>
    </row>
    <row r="389" spans="1:15">
      <c r="A389" s="57" t="str">
        <f t="shared" si="12"/>
        <v>Entityemplymnt_stts</v>
      </c>
      <c r="B389" s="32" t="s">
        <v>60</v>
      </c>
      <c r="C389" s="32" t="s">
        <v>530</v>
      </c>
      <c r="D389" s="32" t="s">
        <v>5</v>
      </c>
      <c r="E389" s="32" t="str">
        <f>+UPPER('0. Instruções'!$D$35&amp;"."&amp;VLOOKUP(B389,'0. Instruções'!$C$27:$D$32,2,FALSE))</f>
        <v>CD_LOAN_TAPES_BCE.LT003_ENTITY</v>
      </c>
      <c r="F389" s="32" t="str">
        <f>+UPPER('0. Instruções'!$D$36&amp;"."&amp;VLOOKUP(B389,'0. Instruções'!$C$27:$E$32,3,FALSE))</f>
        <v>BU_LOANTAPE_WORK.LT003_ENTITY</v>
      </c>
      <c r="H389" s="32"/>
      <c r="I389" s="32"/>
      <c r="J389" s="32" t="str">
        <f>IF(VLOOKUP(B389,'0. Instruções'!$C$27:$G$32,5,FALSE)=0,
"(SELECT "&amp;VLOOKUP(B389,'0. Instruções'!$C$27:$G$32,4,FALSE)&amp;" AS CHAVE_IT, "&amp;C389&amp;" AS CAMPO_IT FROM "&amp;E389&amp;" WHERE "&amp;'0. Instruções'!$D$43&amp;")X",
"(SELECT "&amp;VLOOKUP(B389,'0. Instruções'!$C$27:$G$32,4,FALSE)&amp;" AS CHAVE_IT1, "&amp;VLOOKUP(B389,'0. Instruções'!$C$27:$G$32,5,FALSE)&amp;" AS CHAVE_IT2, "&amp;C389&amp;" AS CAMPO_IT FROM "&amp;E389&amp;" WHERE "&amp;'0. Instruções'!$D$43&amp;")X")</f>
        <v>(SELECT entty_id AS CHAVE_IT, emplymnt_stts AS CAMPO_IT FROM CD_LOAN_TAPES_BCE.LT003_ENTITY WHERE ref_date='${ref_date}' AND nome_perimetro='Individual Local' AND segmento='ESTR' AND ambito='PM' AND entidade='00100')X</v>
      </c>
      <c r="K389" s="32" t="str">
        <f>IF(VLOOKUP(B389,'0. Instruções'!$C$27:$G$32,5,FALSE)=0,
"(SELECT "&amp;VLOOKUP(B389,'0. Instruções'!$C$27:$G$32,4,FALSE)&amp;" AS CHAVE_SIMUL, "&amp;C389&amp;" AS CAMPO_SIMUL FROM "&amp;F389&amp;" WHERE "&amp;'0. Instruções'!$D$42&amp;")Y",
"(SELECT "&amp;VLOOKUP(B389,'0. Instruções'!$C$27:$G$32,4,FALSE)&amp;" AS CHAVE_SIMUL1, "&amp;VLOOKUP(B389,'0. Instruções'!$C$27:$G$32,5,FALSE)&amp;" AS CHAVE_SIMUL2, "&amp;C389&amp;" AS CAMPO_SIMUL FROM "&amp;F389&amp;" WHERE "&amp;'0. Instruções'!$D$42&amp;")Y")</f>
        <v>(SELECT entty_id AS CHAVE_SIMUL, emplymnt_stts AS CAMPO_SIMUL FROM BU_LOANTAPE_WORK.LT003_ENTITY WHERE ref_date='${ref_date}' AND nome_perimetro='Individual Local' AND segmento='ESTR' AND ambito='PM' AND entidade='00100')Y</v>
      </c>
      <c r="L389" s="32" t="str">
        <f>IF(VLOOKUP(B389,'0. Instruções'!$C$27:$G$32,5,FALSE)=0,
"ON X.CHAVE_IT=Y.CHAVE_SIMUL",
"ON X.CHAVE_IT1=Y.CHAVE_SIMUL1 AND X.CHAVE_IT2=Y.CHAVE_SIMUL2")</f>
        <v>ON X.CHAVE_IT=Y.CHAVE_SIMUL</v>
      </c>
      <c r="M389" s="32" t="str">
        <f>+IF(D389="Coerência",+IF(LEFT(H389,5)="FLOAT","SELECT '"&amp;UPPER(B389)&amp;"' AS TABELA, '"&amp;UPPER(D389)&amp;"' AS TIPOLOGIA_TESTE,'"&amp;E389&amp;"' AS TABELA_LT,'"&amp;F389&amp;"' AS TABELA_SIMUL,'"&amp;C389&amp;"'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"&amp;J389&amp;" INNER JOIN "&amp;K389&amp;" "&amp;L389,"SELECT '"&amp;UPPER(B389)&amp;"' AS TABELA, '"&amp;UPPER(D389)&amp;"' AS TIPOLOGIA_TESTE,'"&amp;E389&amp;"' AS TABELA_LT,'"&amp;F389&amp;"' AS TABELA_SIMUL,'"&amp;C389&amp;"'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"&amp;J389&amp;" INNER JOIN "&amp;K389&amp;" "&amp;L389))</f>
        <v>SELECT 'ENTITY' AS TABELA, 'COERÊNCIA' AS TIPOLOGIA_TESTE,'CD_LOAN_TAPES_BCE.LT003_ENTITY' AS TABELA_LT,'BU_LOANTAPE_WORK.LT003_ENTITY' AS TABELA_SIMUL,'emplymnt_stts'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 AS CAMPO_IT FROM CD_LOAN_TAPES_BCE.LT003_ENTITY WHERE ref_date='${ref_date}' AND nome_perimetro='Individual Local' AND segmento='ESTR' AND ambito='PM' AND entidade='00100')X INNER JOIN (SELECT entty_id AS CHAVE_SIMUL, emplymnt_stts AS CAMPO_SIMUL FROM BU_LOANTAPE_WORK.LT003_ENTITY WHERE ref_date='${ref_date}' AND nome_perimetro='Individual Local' AND segmento='ESTR' AND ambito='PM' AND entidade='00100')Y ON X.CHAVE_IT=Y.CHAVE_SIMUL</v>
      </c>
      <c r="N389" s="33" t="str">
        <f t="shared" si="13"/>
        <v>UNION ALL SELECT 'ENTITY' AS TABELA, 'COERÊNCIA' AS TIPOLOGIA_TESTE,'CD_LOAN_TAPES_BCE.LT003_ENTITY' AS TABELA_LT,'BU_LOANTAPE_WORK.LT003_ENTITY' AS TABELA_SIMUL,'emplymnt_stts'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emplymnt_stts AS CAMPO_IT FROM CD_LOAN_TAPES_BCE.LT003_ENTITY WHERE ref_date='${ref_date}' AND nome_perimetro='Individual Local' AND segmento='ESTR' AND ambito='PM' AND entidade='00100')X INNER JOIN (SELECT entty_id AS CHAVE_SIMUL, emplymnt_stts AS CAMPO_SIMUL FROM BU_LOANTAPE_WORK.LT003_ENTITY WHERE ref_date='${ref_date}' AND nome_perimetro='Individual Local' AND segmento='ESTR' AND ambito='PM' AND entidade='00100')Y ON X.CHAVE_IT=Y.CHAVE_SIMUL</v>
      </c>
      <c r="O389" s="35" t="s">
        <v>35</v>
      </c>
    </row>
    <row r="390" spans="1:15">
      <c r="A390" s="57" t="str">
        <f t="shared" si="12"/>
        <v>Entityentrprs_sz_le</v>
      </c>
      <c r="B390" s="32" t="s">
        <v>60</v>
      </c>
      <c r="C390" s="32" t="s">
        <v>531</v>
      </c>
      <c r="D390" s="32" t="s">
        <v>5</v>
      </c>
      <c r="E390" s="32" t="str">
        <f>+UPPER('0. Instruções'!$D$35&amp;"."&amp;VLOOKUP(B390,'0. Instruções'!$C$27:$D$32,2,FALSE))</f>
        <v>CD_LOAN_TAPES_BCE.LT003_ENTITY</v>
      </c>
      <c r="F390" s="32" t="str">
        <f>+UPPER('0. Instruções'!$D$36&amp;"."&amp;VLOOKUP(B390,'0. Instruções'!$C$27:$E$32,3,FALSE))</f>
        <v>BU_LOANTAPE_WORK.LT003_ENTITY</v>
      </c>
      <c r="H390" s="32"/>
      <c r="I390" s="32"/>
      <c r="J390" s="32" t="str">
        <f>IF(VLOOKUP(B390,'0. Instruções'!$C$27:$G$32,5,FALSE)=0,
"(SELECT "&amp;VLOOKUP(B390,'0. Instruções'!$C$27:$G$32,4,FALSE)&amp;" AS CHAVE_IT, "&amp;C390&amp;" AS CAMPO_IT FROM "&amp;E390&amp;" WHERE "&amp;'0. Instruções'!$D$43&amp;")X",
"(SELECT "&amp;VLOOKUP(B390,'0. Instruções'!$C$27:$G$32,4,FALSE)&amp;" AS CHAVE_IT1, "&amp;VLOOKUP(B390,'0. Instruções'!$C$27:$G$32,5,FALSE)&amp;" AS CHAVE_IT2, "&amp;C390&amp;" AS CAMPO_IT FROM "&amp;E390&amp;" WHERE "&amp;'0. Instruções'!$D$43&amp;")X")</f>
        <v>(SELECT entty_id AS CHAVE_IT, entrprs_sz_le AS CAMPO_IT FROM CD_LOAN_TAPES_BCE.LT003_ENTITY WHERE ref_date='${ref_date}' AND nome_perimetro='Individual Local' AND segmento='ESTR' AND ambito='PM' AND entidade='00100')X</v>
      </c>
      <c r="K390" s="32" t="str">
        <f>IF(VLOOKUP(B390,'0. Instruções'!$C$27:$G$32,5,FALSE)=0,
"(SELECT "&amp;VLOOKUP(B390,'0. Instruções'!$C$27:$G$32,4,FALSE)&amp;" AS CHAVE_SIMUL, "&amp;C390&amp;" AS CAMPO_SIMUL FROM "&amp;F390&amp;" WHERE "&amp;'0. Instruções'!$D$42&amp;")Y",
"(SELECT "&amp;VLOOKUP(B390,'0. Instruções'!$C$27:$G$32,4,FALSE)&amp;" AS CHAVE_SIMUL1, "&amp;VLOOKUP(B390,'0. Instruções'!$C$27:$G$32,5,FALSE)&amp;" AS CHAVE_SIMUL2, "&amp;C390&amp;" AS CAMPO_SIMUL FROM "&amp;F390&amp;" WHERE "&amp;'0. Instruções'!$D$42&amp;")Y")</f>
        <v>(SELECT entty_id AS CHAVE_SIMUL, entrprs_sz_le AS CAMPO_SIMUL FROM BU_LOANTAPE_WORK.LT003_ENTITY WHERE ref_date='${ref_date}' AND nome_perimetro='Individual Local' AND segmento='ESTR' AND ambito='PM' AND entidade='00100')Y</v>
      </c>
      <c r="L390" s="32" t="str">
        <f>IF(VLOOKUP(B390,'0. Instruções'!$C$27:$G$32,5,FALSE)=0,
"ON X.CHAVE_IT=Y.CHAVE_SIMUL",
"ON X.CHAVE_IT1=Y.CHAVE_SIMUL1 AND X.CHAVE_IT2=Y.CHAVE_SIMUL2")</f>
        <v>ON X.CHAVE_IT=Y.CHAVE_SIMUL</v>
      </c>
      <c r="M390" s="32" t="str">
        <f>+IF(D390="Coerência",+IF(LEFT(H390,5)="FLOAT","SELECT '"&amp;UPPER(B390)&amp;"' AS TABELA, '"&amp;UPPER(D390)&amp;"' AS TIPOLOGIA_TESTE,'"&amp;E390&amp;"' AS TABELA_LT,'"&amp;F390&amp;"' AS TABELA_SIMUL,'"&amp;C390&amp;"'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"&amp;J390&amp;" INNER JOIN "&amp;K390&amp;" "&amp;L390,"SELECT '"&amp;UPPER(B390)&amp;"' AS TABELA, '"&amp;UPPER(D390)&amp;"' AS TIPOLOGIA_TESTE,'"&amp;E390&amp;"' AS TABELA_LT,'"&amp;F390&amp;"' AS TABELA_SIMUL,'"&amp;C390&amp;"'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"&amp;J390&amp;" INNER JOIN "&amp;K390&amp;" "&amp;L390))</f>
        <v>SELECT 'ENTITY' AS TABELA, 'COERÊNCIA' AS TIPOLOGIA_TESTE,'CD_LOAN_TAPES_BCE.LT003_ENTITY' AS TABELA_LT,'BU_LOANTAPE_WORK.LT003_ENTITY' AS TABELA_SIMUL,'entrprs_sz_le'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entrprs_sz_le AS CAMPO_IT FROM CD_LOAN_TAPES_BCE.LT003_ENTITY WHERE ref_date='${ref_date}' AND nome_perimetro='Individual Local' AND segmento='ESTR' AND ambito='PM' AND entidade='00100')X INNER JOIN (SELECT entty_id AS CHAVE_SIMUL, entrprs_sz_le AS CAMPO_SIMUL FROM BU_LOANTAPE_WORK.LT003_ENTITY WHERE ref_date='${ref_date}' AND nome_perimetro='Individual Local' AND segmento='ESTR' AND ambito='PM' AND entidade='00100')Y ON X.CHAVE_IT=Y.CHAVE_SIMUL</v>
      </c>
      <c r="N390" s="33" t="str">
        <f t="shared" si="13"/>
        <v>UNION ALL SELECT 'ENTITY' AS TABELA, 'COERÊNCIA' AS TIPOLOGIA_TESTE,'CD_LOAN_TAPES_BCE.LT003_ENTITY' AS TABELA_LT,'BU_LOANTAPE_WORK.LT003_ENTITY' AS TABELA_SIMUL,'entrprs_sz_le'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entrprs_sz_le AS CAMPO_IT FROM CD_LOAN_TAPES_BCE.LT003_ENTITY WHERE ref_date='${ref_date}' AND nome_perimetro='Individual Local' AND segmento='ESTR' AND ambito='PM' AND entidade='00100')X INNER JOIN (SELECT entty_id AS CHAVE_SIMUL, entrprs_sz_le AS CAMPO_SIMUL FROM BU_LOANTAPE_WORK.LT003_ENTITY WHERE ref_date='${ref_date}' AND nome_perimetro='Individual Local' AND segmento='ESTR' AND ambito='PM' AND entidade='00100')Y ON X.CHAVE_IT=Y.CHAVE_SIMUL</v>
      </c>
      <c r="O390" s="35" t="s">
        <v>35</v>
      </c>
    </row>
    <row r="391" spans="1:15">
      <c r="A391" s="57" t="str">
        <f t="shared" si="12"/>
        <v>Entityextrnl_rtng</v>
      </c>
      <c r="B391" s="32" t="s">
        <v>60</v>
      </c>
      <c r="C391" s="32" t="s">
        <v>532</v>
      </c>
      <c r="D391" s="32" t="s">
        <v>5</v>
      </c>
      <c r="E391" s="32" t="str">
        <f>+UPPER('0. Instruções'!$D$35&amp;"."&amp;VLOOKUP(B391,'0. Instruções'!$C$27:$D$32,2,FALSE))</f>
        <v>CD_LOAN_TAPES_BCE.LT003_ENTITY</v>
      </c>
      <c r="F391" s="32" t="str">
        <f>+UPPER('0. Instruções'!$D$36&amp;"."&amp;VLOOKUP(B391,'0. Instruções'!$C$27:$E$32,3,FALSE))</f>
        <v>BU_LOANTAPE_WORK.LT003_ENTITY</v>
      </c>
      <c r="H391" s="32"/>
      <c r="I391" s="32"/>
      <c r="J391" s="32" t="str">
        <f>IF(VLOOKUP(B391,'0. Instruções'!$C$27:$G$32,5,FALSE)=0,
"(SELECT "&amp;VLOOKUP(B391,'0. Instruções'!$C$27:$G$32,4,FALSE)&amp;" AS CHAVE_IT, "&amp;C391&amp;" AS CAMPO_IT FROM "&amp;E391&amp;" WHERE "&amp;'0. Instruções'!$D$43&amp;")X",
"(SELECT "&amp;VLOOKUP(B391,'0. Instruções'!$C$27:$G$32,4,FALSE)&amp;" AS CHAVE_IT1, "&amp;VLOOKUP(B391,'0. Instruções'!$C$27:$G$32,5,FALSE)&amp;" AS CHAVE_IT2, "&amp;C391&amp;" AS CAMPO_IT FROM "&amp;E391&amp;" WHERE "&amp;'0. Instruções'!$D$43&amp;")X")</f>
        <v>(SELECT entty_id AS CHAVE_IT, extrnl_rtng AS CAMPO_IT FROM CD_LOAN_TAPES_BCE.LT003_ENTITY WHERE ref_date='${ref_date}' AND nome_perimetro='Individual Local' AND segmento='ESTR' AND ambito='PM' AND entidade='00100')X</v>
      </c>
      <c r="K391" s="32" t="str">
        <f>IF(VLOOKUP(B391,'0. Instruções'!$C$27:$G$32,5,FALSE)=0,
"(SELECT "&amp;VLOOKUP(B391,'0. Instruções'!$C$27:$G$32,4,FALSE)&amp;" AS CHAVE_SIMUL, "&amp;C391&amp;" AS CAMPO_SIMUL FROM "&amp;F391&amp;" WHERE "&amp;'0. Instruções'!$D$42&amp;")Y",
"(SELECT "&amp;VLOOKUP(B391,'0. Instruções'!$C$27:$G$32,4,FALSE)&amp;" AS CHAVE_SIMUL1, "&amp;VLOOKUP(B391,'0. Instruções'!$C$27:$G$32,5,FALSE)&amp;" AS CHAVE_SIMUL2, "&amp;C391&amp;" AS CAMPO_SIMUL FROM "&amp;F391&amp;" WHERE "&amp;'0. Instruções'!$D$42&amp;")Y")</f>
        <v>(SELECT entty_id AS CHAVE_SIMUL, extrnl_rtng AS CAMPO_SIMUL FROM BU_LOANTAPE_WORK.LT003_ENTITY WHERE ref_date='${ref_date}' AND nome_perimetro='Individual Local' AND segmento='ESTR' AND ambito='PM' AND entidade='00100')Y</v>
      </c>
      <c r="L391" s="32" t="str">
        <f>IF(VLOOKUP(B391,'0. Instruções'!$C$27:$G$32,5,FALSE)=0,
"ON X.CHAVE_IT=Y.CHAVE_SIMUL",
"ON X.CHAVE_IT1=Y.CHAVE_SIMUL1 AND X.CHAVE_IT2=Y.CHAVE_SIMUL2")</f>
        <v>ON X.CHAVE_IT=Y.CHAVE_SIMUL</v>
      </c>
      <c r="M391" s="32" t="str">
        <f>+IF(D391="Coerência",+IF(LEFT(H391,5)="FLOAT","SELECT '"&amp;UPPER(B391)&amp;"' AS TABELA, '"&amp;UPPER(D391)&amp;"' AS TIPOLOGIA_TESTE,'"&amp;E391&amp;"' AS TABELA_LT,'"&amp;F391&amp;"' AS TABELA_SIMUL,'"&amp;C391&amp;"'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"&amp;J391&amp;" INNER JOIN "&amp;K391&amp;" "&amp;L391,"SELECT '"&amp;UPPER(B391)&amp;"' AS TABELA, '"&amp;UPPER(D391)&amp;"' AS TIPOLOGIA_TESTE,'"&amp;E391&amp;"' AS TABELA_LT,'"&amp;F391&amp;"' AS TABELA_SIMUL,'"&amp;C391&amp;"'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"&amp;J391&amp;" INNER JOIN "&amp;K391&amp;" "&amp;L391))</f>
        <v>SELECT 'ENTITY' AS TABELA, 'COERÊNCIA' AS TIPOLOGIA_TESTE,'CD_LOAN_TAPES_BCE.LT003_ENTITY' AS TABELA_LT,'BU_LOANTAPE_WORK.LT003_ENTITY' AS TABELA_SIMUL,'extrnl_rtng'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 AS CAMPO_IT FROM CD_LOAN_TAPES_BCE.LT003_ENTITY WHERE ref_date='${ref_date}' AND nome_perimetro='Individual Local' AND segmento='ESTR' AND ambito='PM' AND entidade='00100')X INNER JOIN (SELECT entty_id AS CHAVE_SIMUL, extrnl_rtng AS CAMPO_SIMUL FROM BU_LOANTAPE_WORK.LT003_ENTITY WHERE ref_date='${ref_date}' AND nome_perimetro='Individual Local' AND segmento='ESTR' AND ambito='PM' AND entidade='00100')Y ON X.CHAVE_IT=Y.CHAVE_SIMUL</v>
      </c>
      <c r="N391" s="33" t="str">
        <f t="shared" si="13"/>
        <v>UNION ALL SELECT 'ENTITY' AS TABELA, 'COERÊNCIA' AS TIPOLOGIA_TESTE,'CD_LOAN_TAPES_BCE.LT003_ENTITY' AS TABELA_LT,'BU_LOANTAPE_WORK.LT003_ENTITY' AS TABELA_SIMUL,'extrnl_rtng'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 AS CAMPO_IT FROM CD_LOAN_TAPES_BCE.LT003_ENTITY WHERE ref_date='${ref_date}' AND nome_perimetro='Individual Local' AND segmento='ESTR' AND ambito='PM' AND entidade='00100')X INNER JOIN (SELECT entty_id AS CHAVE_SIMUL, extrnl_rtng AS CAMPO_SIMUL FROM BU_LOANTAPE_WORK.LT003_ENTITY WHERE ref_date='${ref_date}' AND nome_perimetro='Individual Local' AND segmento='ESTR' AND ambito='PM' AND entidade='00100')Y ON X.CHAVE_IT=Y.CHAVE_SIMUL</v>
      </c>
      <c r="O391" s="35" t="s">
        <v>35</v>
      </c>
    </row>
    <row r="392" spans="1:15">
      <c r="A392" s="57" t="str">
        <f t="shared" si="12"/>
        <v>Entityextrnl_rtng_prvs</v>
      </c>
      <c r="B392" s="32" t="s">
        <v>60</v>
      </c>
      <c r="C392" s="32" t="s">
        <v>533</v>
      </c>
      <c r="D392" s="32" t="s">
        <v>5</v>
      </c>
      <c r="E392" s="32" t="str">
        <f>+UPPER('0. Instruções'!$D$35&amp;"."&amp;VLOOKUP(B392,'0. Instruções'!$C$27:$D$32,2,FALSE))</f>
        <v>CD_LOAN_TAPES_BCE.LT003_ENTITY</v>
      </c>
      <c r="F392" s="32" t="str">
        <f>+UPPER('0. Instruções'!$D$36&amp;"."&amp;VLOOKUP(B392,'0. Instruções'!$C$27:$E$32,3,FALSE))</f>
        <v>BU_LOANTAPE_WORK.LT003_ENTITY</v>
      </c>
      <c r="H392" s="32"/>
      <c r="I392" s="32"/>
      <c r="J392" s="32" t="str">
        <f>IF(VLOOKUP(B392,'0. Instruções'!$C$27:$G$32,5,FALSE)=0,
"(SELECT "&amp;VLOOKUP(B392,'0. Instruções'!$C$27:$G$32,4,FALSE)&amp;" AS CHAVE_IT, "&amp;C392&amp;" AS CAMPO_IT FROM "&amp;E392&amp;" WHERE "&amp;'0. Instruções'!$D$43&amp;")X",
"(SELECT "&amp;VLOOKUP(B392,'0. Instruções'!$C$27:$G$32,4,FALSE)&amp;" AS CHAVE_IT1, "&amp;VLOOKUP(B392,'0. Instruções'!$C$27:$G$32,5,FALSE)&amp;" AS CHAVE_IT2, "&amp;C392&amp;" AS CAMPO_IT FROM "&amp;E392&amp;" WHERE "&amp;'0. Instruções'!$D$43&amp;")X")</f>
        <v>(SELECT entty_id AS CHAVE_IT, extrnl_rtng_prvs AS CAMPO_IT FROM CD_LOAN_TAPES_BCE.LT003_ENTITY WHERE ref_date='${ref_date}' AND nome_perimetro='Individual Local' AND segmento='ESTR' AND ambito='PM' AND entidade='00100')X</v>
      </c>
      <c r="K392" s="32" t="str">
        <f>IF(VLOOKUP(B392,'0. Instruções'!$C$27:$G$32,5,FALSE)=0,
"(SELECT "&amp;VLOOKUP(B392,'0. Instruções'!$C$27:$G$32,4,FALSE)&amp;" AS CHAVE_SIMUL, "&amp;C392&amp;" AS CAMPO_SIMUL FROM "&amp;F392&amp;" WHERE "&amp;'0. Instruções'!$D$42&amp;")Y",
"(SELECT "&amp;VLOOKUP(B392,'0. Instruções'!$C$27:$G$32,4,FALSE)&amp;" AS CHAVE_SIMUL1, "&amp;VLOOKUP(B392,'0. Instruções'!$C$27:$G$32,5,FALSE)&amp;" AS CHAVE_SIMUL2, "&amp;C392&amp;" AS CAMPO_SIMUL FROM "&amp;F392&amp;" WHERE "&amp;'0. Instruções'!$D$42&amp;")Y")</f>
        <v>(SELECT entty_id AS CHAVE_SIMUL, extrnl_rtng_prvs AS CAMPO_SIMUL FROM BU_LOANTAPE_WORK.LT003_ENTITY WHERE ref_date='${ref_date}' AND nome_perimetro='Individual Local' AND segmento='ESTR' AND ambito='PM' AND entidade='00100')Y</v>
      </c>
      <c r="L392" s="32" t="str">
        <f>IF(VLOOKUP(B392,'0. Instruções'!$C$27:$G$32,5,FALSE)=0,
"ON X.CHAVE_IT=Y.CHAVE_SIMUL",
"ON X.CHAVE_IT1=Y.CHAVE_SIMUL1 AND X.CHAVE_IT2=Y.CHAVE_SIMUL2")</f>
        <v>ON X.CHAVE_IT=Y.CHAVE_SIMUL</v>
      </c>
      <c r="M392" s="32" t="str">
        <f>+IF(D392="Coerência",+IF(LEFT(H392,5)="FLOAT","SELECT '"&amp;UPPER(B392)&amp;"' AS TABELA, '"&amp;UPPER(D392)&amp;"' AS TIPOLOGIA_TESTE,'"&amp;E392&amp;"' AS TABELA_LT,'"&amp;F392&amp;"' AS TABELA_SIMUL,'"&amp;C392&amp;"'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"&amp;J392&amp;" INNER JOIN "&amp;K392&amp;" "&amp;L392,"SELECT '"&amp;UPPER(B392)&amp;"' AS TABELA, '"&amp;UPPER(D392)&amp;"' AS TIPOLOGIA_TESTE,'"&amp;E392&amp;"' AS TABELA_LT,'"&amp;F392&amp;"' AS TABELA_SIMUL,'"&amp;C392&amp;"'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"&amp;J392&amp;" INNER JOIN "&amp;K392&amp;" "&amp;L392))</f>
        <v>SELECT 'ENTITY' AS TABELA, 'COERÊNCIA' AS TIPOLOGIA_TESTE,'CD_LOAN_TAPES_BCE.LT003_ENTITY' AS TABELA_LT,'BU_LOANTAPE_WORK.LT003_ENTITY' AS TABELA_SIMUL,'extrnl_rtng_prvs'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extrnl_rtng_prvs AS CAMPO_IT FROM CD_LOAN_TAPES_BCE.LT003_ENTITY WHERE ref_date='${ref_date}' AND nome_perimetro='Individual Local' AND segmento='ESTR' AND ambito='PM' AND entidade='00100')X INNER JOIN (SELECT entty_id AS CHAVE_SIMUL, extrnl_rtng_prvs AS CAMPO_SIMUL FROM BU_LOANTAPE_WORK.LT003_ENTITY WHERE ref_date='${ref_date}' AND nome_perimetro='Individual Local' AND segmento='ESTR' AND ambito='PM' AND entidade='00100')Y ON X.CHAVE_IT=Y.CHAVE_SIMUL</v>
      </c>
      <c r="N392" s="33" t="str">
        <f t="shared" si="13"/>
        <v>UNION ALL SELECT 'ENTITY' AS TABELA, 'COERÊNCIA' AS TIPOLOGIA_TESTE,'CD_LOAN_TAPES_BCE.LT003_ENTITY' AS TABELA_LT,'BU_LOANTAPE_WORK.LT003_ENTITY' AS TABELA_SIMUL,'extrnl_rtng_prvs'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extrnl_rtng_prvs AS CAMPO_IT FROM CD_LOAN_TAPES_BCE.LT003_ENTITY WHERE ref_date='${ref_date}' AND nome_perimetro='Individual Local' AND segmento='ESTR' AND ambito='PM' AND entidade='00100')X INNER JOIN (SELECT entty_id AS CHAVE_SIMUL, extrnl_rtng_prvs AS CAMPO_SIMUL FROM BU_LOANTAPE_WORK.LT003_ENTITY WHERE ref_date='${ref_date}' AND nome_perimetro='Individual Local' AND segmento='ESTR' AND ambito='PM' AND entidade='00100')Y ON X.CHAVE_IT=Y.CHAVE_SIMUL</v>
      </c>
      <c r="O392" s="35" t="s">
        <v>35</v>
      </c>
    </row>
    <row r="393" spans="1:15">
      <c r="A393" s="57" t="str">
        <f t="shared" ref="A393:A456" si="14">+B393&amp;C393</f>
        <v>Entityflg_bnkrptcy_in_grp</v>
      </c>
      <c r="B393" s="32" t="s">
        <v>60</v>
      </c>
      <c r="C393" s="32" t="s">
        <v>534</v>
      </c>
      <c r="D393" s="32" t="s">
        <v>5</v>
      </c>
      <c r="E393" s="32" t="str">
        <f>+UPPER('0. Instruções'!$D$35&amp;"."&amp;VLOOKUP(B393,'0. Instruções'!$C$27:$D$32,2,FALSE))</f>
        <v>CD_LOAN_TAPES_BCE.LT003_ENTITY</v>
      </c>
      <c r="F393" s="32" t="str">
        <f>+UPPER('0. Instruções'!$D$36&amp;"."&amp;VLOOKUP(B393,'0. Instruções'!$C$27:$E$32,3,FALSE))</f>
        <v>BU_LOANTAPE_WORK.LT003_ENTITY</v>
      </c>
      <c r="H393" s="32"/>
      <c r="I393" s="32"/>
      <c r="J393" s="32" t="str">
        <f>IF(VLOOKUP(B393,'0. Instruções'!$C$27:$G$32,5,FALSE)=0,
"(SELECT "&amp;VLOOKUP(B393,'0. Instruções'!$C$27:$G$32,4,FALSE)&amp;" AS CHAVE_IT, "&amp;C393&amp;" AS CAMPO_IT FROM "&amp;E393&amp;" WHERE "&amp;'0. Instruções'!$D$43&amp;")X",
"(SELECT "&amp;VLOOKUP(B393,'0. Instruções'!$C$27:$G$32,4,FALSE)&amp;" AS CHAVE_IT1, "&amp;VLOOKUP(B393,'0. Instruções'!$C$27:$G$32,5,FALSE)&amp;" AS CHAVE_IT2, "&amp;C393&amp;" AS CAMPO_IT FROM "&amp;E393&amp;" WHERE "&amp;'0. Instruções'!$D$43&amp;")X")</f>
        <v>(SELECT entty_id AS CHAVE_IT, flg_bnkrptcy_in_grp AS CAMPO_IT FROM CD_LOAN_TAPES_BCE.LT003_ENTITY WHERE ref_date='${ref_date}' AND nome_perimetro='Individual Local' AND segmento='ESTR' AND ambito='PM' AND entidade='00100')X</v>
      </c>
      <c r="K393" s="32" t="str">
        <f>IF(VLOOKUP(B393,'0. Instruções'!$C$27:$G$32,5,FALSE)=0,
"(SELECT "&amp;VLOOKUP(B393,'0. Instruções'!$C$27:$G$32,4,FALSE)&amp;" AS CHAVE_SIMUL, "&amp;C393&amp;" AS CAMPO_SIMUL FROM "&amp;F393&amp;" WHERE "&amp;'0. Instruções'!$D$42&amp;")Y",
"(SELECT "&amp;VLOOKUP(B393,'0. Instruções'!$C$27:$G$32,4,FALSE)&amp;" AS CHAVE_SIMUL1, "&amp;VLOOKUP(B393,'0. Instruções'!$C$27:$G$32,5,FALSE)&amp;" AS CHAVE_SIMUL2, "&amp;C393&amp;" AS CAMPO_SIMUL FROM "&amp;F393&amp;" WHERE "&amp;'0. Instruções'!$D$42&amp;")Y")</f>
        <v>(SELECT entty_id AS CHAVE_SIMUL, flg_bnkrptcy_in_grp AS CAMPO_SIMUL FROM BU_LOANTAPE_WORK.LT003_ENTITY WHERE ref_date='${ref_date}' AND nome_perimetro='Individual Local' AND segmento='ESTR' AND ambito='PM' AND entidade='00100')Y</v>
      </c>
      <c r="L393" s="32" t="str">
        <f>IF(VLOOKUP(B393,'0. Instruções'!$C$27:$G$32,5,FALSE)=0,
"ON X.CHAVE_IT=Y.CHAVE_SIMUL",
"ON X.CHAVE_IT1=Y.CHAVE_SIMUL1 AND X.CHAVE_IT2=Y.CHAVE_SIMUL2")</f>
        <v>ON X.CHAVE_IT=Y.CHAVE_SIMUL</v>
      </c>
      <c r="M393" s="32" t="str">
        <f>+IF(D393="Coerência",+IF(LEFT(H393,5)="FLOAT","SELECT '"&amp;UPPER(B393)&amp;"' AS TABELA, '"&amp;UPPER(D393)&amp;"' AS TIPOLOGIA_TESTE,'"&amp;E393&amp;"' AS TABELA_LT,'"&amp;F393&amp;"' AS TABELA_SIMUL,'"&amp;C393&amp;"'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"&amp;J393&amp;" INNER JOIN "&amp;K393&amp;" "&amp;L393,"SELECT '"&amp;UPPER(B393)&amp;"' AS TABELA, '"&amp;UPPER(D393)&amp;"' AS TIPOLOGIA_TESTE,'"&amp;E393&amp;"' AS TABELA_LT,'"&amp;F393&amp;"' AS TABELA_SIMUL,'"&amp;C393&amp;"'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"&amp;J393&amp;" INNER JOIN "&amp;K393&amp;" "&amp;L393))</f>
        <v>SELECT 'ENTITY' AS TABELA, 'COERÊNCIA' AS TIPOLOGIA_TESTE,'CD_LOAN_TAPES_BCE.LT003_ENTITY' AS TABELA_LT,'BU_LOANTAPE_WORK.LT003_ENTITY' AS TABELA_SIMUL,'flg_bnkrptcy_in_grp'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flg_bnkrptcy_in_grp AS CAMPO_IT FROM CD_LOAN_TAPES_BCE.LT003_ENTITY WHERE ref_date='${ref_date}' AND nome_perimetro='Individual Local' AND segmento='ESTR' AND ambito='PM' AND entidade='00100')X INNER JOIN (SELECT entty_id AS CHAVE_SIMUL, flg_bnkrptcy_in_grp AS CAMPO_SIMUL FROM BU_LOANTAPE_WORK.LT003_ENTITY WHERE ref_date='${ref_date}' AND nome_perimetro='Individual Local' AND segmento='ESTR' AND ambito='PM' AND entidade='00100')Y ON X.CHAVE_IT=Y.CHAVE_SIMUL</v>
      </c>
      <c r="N393" s="33" t="str">
        <f t="shared" si="13"/>
        <v>UNION ALL SELECT 'ENTITY' AS TABELA, 'COERÊNCIA' AS TIPOLOGIA_TESTE,'CD_LOAN_TAPES_BCE.LT003_ENTITY' AS TABELA_LT,'BU_LOANTAPE_WORK.LT003_ENTITY' AS TABELA_SIMUL,'flg_bnkrptcy_in_grp'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flg_bnkrptcy_in_grp AS CAMPO_IT FROM CD_LOAN_TAPES_BCE.LT003_ENTITY WHERE ref_date='${ref_date}' AND nome_perimetro='Individual Local' AND segmento='ESTR' AND ambito='PM' AND entidade='00100')X INNER JOIN (SELECT entty_id AS CHAVE_SIMUL, flg_bnkrptcy_in_grp AS CAMPO_SIMUL FROM BU_LOANTAPE_WORK.LT003_ENTITY WHERE ref_date='${ref_date}' AND nome_perimetro='Individual Local' AND segmento='ESTR' AND ambito='PM' AND entidade='00100')Y ON X.CHAVE_IT=Y.CHAVE_SIMUL</v>
      </c>
      <c r="O393" s="35" t="s">
        <v>35</v>
      </c>
    </row>
    <row r="394" spans="1:15">
      <c r="A394" s="57" t="str">
        <f t="shared" si="14"/>
        <v>Entityflg_hgh_cds</v>
      </c>
      <c r="B394" s="32" t="s">
        <v>60</v>
      </c>
      <c r="C394" s="32" t="s">
        <v>535</v>
      </c>
      <c r="D394" s="32" t="s">
        <v>5</v>
      </c>
      <c r="E394" s="32" t="str">
        <f>+UPPER('0. Instruções'!$D$35&amp;"."&amp;VLOOKUP(B394,'0. Instruções'!$C$27:$D$32,2,FALSE))</f>
        <v>CD_LOAN_TAPES_BCE.LT003_ENTITY</v>
      </c>
      <c r="F394" s="32" t="str">
        <f>+UPPER('0. Instruções'!$D$36&amp;"."&amp;VLOOKUP(B394,'0. Instruções'!$C$27:$E$32,3,FALSE))</f>
        <v>BU_LOANTAPE_WORK.LT003_ENTITY</v>
      </c>
      <c r="H394" s="32"/>
      <c r="I394" s="32"/>
      <c r="J394" s="32" t="str">
        <f>IF(VLOOKUP(B394,'0. Instruções'!$C$27:$G$32,5,FALSE)=0,
"(SELECT "&amp;VLOOKUP(B394,'0. Instruções'!$C$27:$G$32,4,FALSE)&amp;" AS CHAVE_IT, "&amp;C394&amp;" AS CAMPO_IT FROM "&amp;E394&amp;" WHERE "&amp;'0. Instruções'!$D$43&amp;")X",
"(SELECT "&amp;VLOOKUP(B394,'0. Instruções'!$C$27:$G$32,4,FALSE)&amp;" AS CHAVE_IT1, "&amp;VLOOKUP(B394,'0. Instruções'!$C$27:$G$32,5,FALSE)&amp;" AS CHAVE_IT2, "&amp;C394&amp;" AS CAMPO_IT FROM "&amp;E394&amp;" WHERE "&amp;'0. Instruções'!$D$43&amp;")X")</f>
        <v>(SELECT entty_id AS CHAVE_IT, flg_hgh_cds AS CAMPO_IT FROM CD_LOAN_TAPES_BCE.LT003_ENTITY WHERE ref_date='${ref_date}' AND nome_perimetro='Individual Local' AND segmento='ESTR' AND ambito='PM' AND entidade='00100')X</v>
      </c>
      <c r="K394" s="32" t="str">
        <f>IF(VLOOKUP(B394,'0. Instruções'!$C$27:$G$32,5,FALSE)=0,
"(SELECT "&amp;VLOOKUP(B394,'0. Instruções'!$C$27:$G$32,4,FALSE)&amp;" AS CHAVE_SIMUL, "&amp;C394&amp;" AS CAMPO_SIMUL FROM "&amp;F394&amp;" WHERE "&amp;'0. Instruções'!$D$42&amp;")Y",
"(SELECT "&amp;VLOOKUP(B394,'0. Instruções'!$C$27:$G$32,4,FALSE)&amp;" AS CHAVE_SIMUL1, "&amp;VLOOKUP(B394,'0. Instruções'!$C$27:$G$32,5,FALSE)&amp;" AS CHAVE_SIMUL2, "&amp;C394&amp;" AS CAMPO_SIMUL FROM "&amp;F394&amp;" WHERE "&amp;'0. Instruções'!$D$42&amp;")Y")</f>
        <v>(SELECT entty_id AS CHAVE_SIMUL, flg_hgh_cds AS CAMPO_SIMUL FROM BU_LOANTAPE_WORK.LT003_ENTITY WHERE ref_date='${ref_date}' AND nome_perimetro='Individual Local' AND segmento='ESTR' AND ambito='PM' AND entidade='00100')Y</v>
      </c>
      <c r="L394" s="32" t="str">
        <f>IF(VLOOKUP(B394,'0. Instruções'!$C$27:$G$32,5,FALSE)=0,
"ON X.CHAVE_IT=Y.CHAVE_SIMUL",
"ON X.CHAVE_IT1=Y.CHAVE_SIMUL1 AND X.CHAVE_IT2=Y.CHAVE_SIMUL2")</f>
        <v>ON X.CHAVE_IT=Y.CHAVE_SIMUL</v>
      </c>
      <c r="M394" s="32" t="str">
        <f>+IF(D394="Coerência",+IF(LEFT(H394,5)="FLOAT","SELECT '"&amp;UPPER(B394)&amp;"' AS TABELA, '"&amp;UPPER(D394)&amp;"' AS TIPOLOGIA_TESTE,'"&amp;E394&amp;"' AS TABELA_LT,'"&amp;F394&amp;"' AS TABELA_SIMUL,'"&amp;C394&amp;"'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"&amp;J394&amp;" INNER JOIN "&amp;K394&amp;" "&amp;L394,"SELECT '"&amp;UPPER(B394)&amp;"' AS TABELA, '"&amp;UPPER(D394)&amp;"' AS TIPOLOGIA_TESTE,'"&amp;E394&amp;"' AS TABELA_LT,'"&amp;F394&amp;"' AS TABELA_SIMUL,'"&amp;C394&amp;"'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"&amp;J394&amp;" INNER JOIN "&amp;K394&amp;" "&amp;L394))</f>
        <v>SELECT 'ENTITY' AS TABELA, 'COERÊNCIA' AS TIPOLOGIA_TESTE,'CD_LOAN_TAPES_BCE.LT003_ENTITY' AS TABELA_LT,'BU_LOANTAPE_WORK.LT003_ENTITY' AS TABELA_SIMUL,'flg_hgh_cds'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flg_hgh_cds AS CAMPO_IT FROM CD_LOAN_TAPES_BCE.LT003_ENTITY WHERE ref_date='${ref_date}' AND nome_perimetro='Individual Local' AND segmento='ESTR' AND ambito='PM' AND entidade='00100')X INNER JOIN (SELECT entty_id AS CHAVE_SIMUL, flg_hgh_cds AS CAMPO_SIMUL FROM BU_LOANTAPE_WORK.LT003_ENTITY WHERE ref_date='${ref_date}' AND nome_perimetro='Individual Local' AND segmento='ESTR' AND ambito='PM' AND entidade='00100')Y ON X.CHAVE_IT=Y.CHAVE_SIMUL</v>
      </c>
      <c r="N394" s="33" t="str">
        <f t="shared" si="13"/>
        <v>UNION ALL SELECT 'ENTITY' AS TABELA, 'COERÊNCIA' AS TIPOLOGIA_TESTE,'CD_LOAN_TAPES_BCE.LT003_ENTITY' AS TABELA_LT,'BU_LOANTAPE_WORK.LT003_ENTITY' AS TABELA_SIMUL,'flg_hgh_cds'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flg_hgh_cds AS CAMPO_IT FROM CD_LOAN_TAPES_BCE.LT003_ENTITY WHERE ref_date='${ref_date}' AND nome_perimetro='Individual Local' AND segmento='ESTR' AND ambito='PM' AND entidade='00100')X INNER JOIN (SELECT entty_id AS CHAVE_SIMUL, flg_hgh_cds AS CAMPO_SIMUL FROM BU_LOANTAPE_WORK.LT003_ENTITY WHERE ref_date='${ref_date}' AND nome_perimetro='Individual Local' AND segmento='ESTR' AND ambito='PM' AND entidade='00100')Y ON X.CHAVE_IT=Y.CHAVE_SIMUL</v>
      </c>
      <c r="O394" s="35" t="s">
        <v>35</v>
      </c>
    </row>
    <row r="395" spans="1:15">
      <c r="A395" s="57" t="str">
        <f t="shared" si="14"/>
        <v>Entityflg_isda_crdt_evnt</v>
      </c>
      <c r="B395" s="32" t="s">
        <v>60</v>
      </c>
      <c r="C395" s="32" t="s">
        <v>536</v>
      </c>
      <c r="D395" s="32" t="s">
        <v>5</v>
      </c>
      <c r="E395" s="32" t="str">
        <f>+UPPER('0. Instruções'!$D$35&amp;"."&amp;VLOOKUP(B395,'0. Instruções'!$C$27:$D$32,2,FALSE))</f>
        <v>CD_LOAN_TAPES_BCE.LT003_ENTITY</v>
      </c>
      <c r="F395" s="32" t="str">
        <f>+UPPER('0. Instruções'!$D$36&amp;"."&amp;VLOOKUP(B395,'0. Instruções'!$C$27:$E$32,3,FALSE))</f>
        <v>BU_LOANTAPE_WORK.LT003_ENTITY</v>
      </c>
      <c r="H395" s="32"/>
      <c r="I395" s="32"/>
      <c r="J395" s="32" t="str">
        <f>IF(VLOOKUP(B395,'0. Instruções'!$C$27:$G$32,5,FALSE)=0,
"(SELECT "&amp;VLOOKUP(B395,'0. Instruções'!$C$27:$G$32,4,FALSE)&amp;" AS CHAVE_IT, "&amp;C395&amp;" AS CAMPO_IT FROM "&amp;E395&amp;" WHERE "&amp;'0. Instruções'!$D$43&amp;")X",
"(SELECT "&amp;VLOOKUP(B395,'0. Instruções'!$C$27:$G$32,4,FALSE)&amp;" AS CHAVE_IT1, "&amp;VLOOKUP(B395,'0. Instruções'!$C$27:$G$32,5,FALSE)&amp;" AS CHAVE_IT2, "&amp;C395&amp;" AS CAMPO_IT FROM "&amp;E395&amp;" WHERE "&amp;'0. Instruções'!$D$43&amp;")X")</f>
        <v>(SELECT entty_id AS CHAVE_IT, flg_isda_crdt_evnt AS CAMPO_IT FROM CD_LOAN_TAPES_BCE.LT003_ENTITY WHERE ref_date='${ref_date}' AND nome_perimetro='Individual Local' AND segmento='ESTR' AND ambito='PM' AND entidade='00100')X</v>
      </c>
      <c r="K395" s="32" t="str">
        <f>IF(VLOOKUP(B395,'0. Instruções'!$C$27:$G$32,5,FALSE)=0,
"(SELECT "&amp;VLOOKUP(B395,'0. Instruções'!$C$27:$G$32,4,FALSE)&amp;" AS CHAVE_SIMUL, "&amp;C395&amp;" AS CAMPO_SIMUL FROM "&amp;F395&amp;" WHERE "&amp;'0. Instruções'!$D$42&amp;")Y",
"(SELECT "&amp;VLOOKUP(B395,'0. Instruções'!$C$27:$G$32,4,FALSE)&amp;" AS CHAVE_SIMUL1, "&amp;VLOOKUP(B395,'0. Instruções'!$C$27:$G$32,5,FALSE)&amp;" AS CHAVE_SIMUL2, "&amp;C395&amp;" AS CAMPO_SIMUL FROM "&amp;F395&amp;" WHERE "&amp;'0. Instruções'!$D$42&amp;")Y")</f>
        <v>(SELECT entty_id AS CHAVE_SIMUL, flg_isda_crdt_evnt AS CAMPO_SIMUL FROM BU_LOANTAPE_WORK.LT003_ENTITY WHERE ref_date='${ref_date}' AND nome_perimetro='Individual Local' AND segmento='ESTR' AND ambito='PM' AND entidade='00100')Y</v>
      </c>
      <c r="L395" s="32" t="str">
        <f>IF(VLOOKUP(B395,'0. Instruções'!$C$27:$G$32,5,FALSE)=0,
"ON X.CHAVE_IT=Y.CHAVE_SIMUL",
"ON X.CHAVE_IT1=Y.CHAVE_SIMUL1 AND X.CHAVE_IT2=Y.CHAVE_SIMUL2")</f>
        <v>ON X.CHAVE_IT=Y.CHAVE_SIMUL</v>
      </c>
      <c r="M395" s="32" t="str">
        <f>+IF(D395="Coerência",+IF(LEFT(H395,5)="FLOAT","SELECT '"&amp;UPPER(B395)&amp;"' AS TABELA, '"&amp;UPPER(D395)&amp;"' AS TIPOLOGIA_TESTE,'"&amp;E395&amp;"' AS TABELA_LT,'"&amp;F395&amp;"' AS TABELA_SIMUL,'"&amp;C395&amp;"'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"&amp;J395&amp;" INNER JOIN "&amp;K395&amp;" "&amp;L395,"SELECT '"&amp;UPPER(B395)&amp;"' AS TABELA, '"&amp;UPPER(D395)&amp;"' AS TIPOLOGIA_TESTE,'"&amp;E395&amp;"' AS TABELA_LT,'"&amp;F395&amp;"' AS TABELA_SIMUL,'"&amp;C395&amp;"'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"&amp;J395&amp;" INNER JOIN "&amp;K395&amp;" "&amp;L395))</f>
        <v>SELECT 'ENTITY' AS TABELA, 'COERÊNCIA' AS TIPOLOGIA_TESTE,'CD_LOAN_TAPES_BCE.LT003_ENTITY' AS TABELA_LT,'BU_LOANTAPE_WORK.LT003_ENTITY' AS TABELA_SIMUL,'flg_isda_crdt_evnt'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flg_isda_crdt_evnt AS CAMPO_IT FROM CD_LOAN_TAPES_BCE.LT003_ENTITY WHERE ref_date='${ref_date}' AND nome_perimetro='Individual Local' AND segmento='ESTR' AND ambito='PM' AND entidade='00100')X INNER JOIN (SELECT entty_id AS CHAVE_SIMUL, flg_isda_crdt_evnt AS CAMPO_SIMUL FROM BU_LOANTAPE_WORK.LT003_ENTITY WHERE ref_date='${ref_date}' AND nome_perimetro='Individual Local' AND segmento='ESTR' AND ambito='PM' AND entidade='00100')Y ON X.CHAVE_IT=Y.CHAVE_SIMUL</v>
      </c>
      <c r="N395" s="33" t="str">
        <f t="shared" si="13"/>
        <v>UNION ALL SELECT 'ENTITY' AS TABELA, 'COERÊNCIA' AS TIPOLOGIA_TESTE,'CD_LOAN_TAPES_BCE.LT003_ENTITY' AS TABELA_LT,'BU_LOANTAPE_WORK.LT003_ENTITY' AS TABELA_SIMUL,'flg_isda_crdt_evnt'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flg_isda_crdt_evnt AS CAMPO_IT FROM CD_LOAN_TAPES_BCE.LT003_ENTITY WHERE ref_date='${ref_date}' AND nome_perimetro='Individual Local' AND segmento='ESTR' AND ambito='PM' AND entidade='00100')X INNER JOIN (SELECT entty_id AS CHAVE_SIMUL, flg_isda_crdt_evnt AS CAMPO_SIMUL FROM BU_LOANTAPE_WORK.LT003_ENTITY WHERE ref_date='${ref_date}' AND nome_perimetro='Individual Local' AND segmento='ESTR' AND ambito='PM' AND entidade='00100')Y ON X.CHAVE_IT=Y.CHAVE_SIMUL</v>
      </c>
      <c r="O395" s="35" t="s">
        <v>35</v>
      </c>
    </row>
    <row r="396" spans="1:15">
      <c r="A396" s="57" t="str">
        <f t="shared" si="14"/>
        <v>Entityflg_rqst_bnkrptcy</v>
      </c>
      <c r="B396" s="32" t="s">
        <v>60</v>
      </c>
      <c r="C396" s="32" t="s">
        <v>537</v>
      </c>
      <c r="D396" s="32" t="s">
        <v>5</v>
      </c>
      <c r="E396" s="32" t="str">
        <f>+UPPER('0. Instruções'!$D$35&amp;"."&amp;VLOOKUP(B396,'0. Instruções'!$C$27:$D$32,2,FALSE))</f>
        <v>CD_LOAN_TAPES_BCE.LT003_ENTITY</v>
      </c>
      <c r="F396" s="32" t="str">
        <f>+UPPER('0. Instruções'!$D$36&amp;"."&amp;VLOOKUP(B396,'0. Instruções'!$C$27:$E$32,3,FALSE))</f>
        <v>BU_LOANTAPE_WORK.LT003_ENTITY</v>
      </c>
      <c r="H396" s="32"/>
      <c r="I396" s="32"/>
      <c r="J396" s="32" t="str">
        <f>IF(VLOOKUP(B396,'0. Instruções'!$C$27:$G$32,5,FALSE)=0,
"(SELECT "&amp;VLOOKUP(B396,'0. Instruções'!$C$27:$G$32,4,FALSE)&amp;" AS CHAVE_IT, "&amp;C396&amp;" AS CAMPO_IT FROM "&amp;E396&amp;" WHERE "&amp;'0. Instruções'!$D$43&amp;")X",
"(SELECT "&amp;VLOOKUP(B396,'0. Instruções'!$C$27:$G$32,4,FALSE)&amp;" AS CHAVE_IT1, "&amp;VLOOKUP(B396,'0. Instruções'!$C$27:$G$32,5,FALSE)&amp;" AS CHAVE_IT2, "&amp;C396&amp;" AS CAMPO_IT FROM "&amp;E396&amp;" WHERE "&amp;'0. Instruções'!$D$43&amp;")X")</f>
        <v>(SELECT entty_id AS CHAVE_IT, flg_rqst_bnkrptcy AS CAMPO_IT FROM CD_LOAN_TAPES_BCE.LT003_ENTITY WHERE ref_date='${ref_date}' AND nome_perimetro='Individual Local' AND segmento='ESTR' AND ambito='PM' AND entidade='00100')X</v>
      </c>
      <c r="K396" s="32" t="str">
        <f>IF(VLOOKUP(B396,'0. Instruções'!$C$27:$G$32,5,FALSE)=0,
"(SELECT "&amp;VLOOKUP(B396,'0. Instruções'!$C$27:$G$32,4,FALSE)&amp;" AS CHAVE_SIMUL, "&amp;C396&amp;" AS CAMPO_SIMUL FROM "&amp;F396&amp;" WHERE "&amp;'0. Instruções'!$D$42&amp;")Y",
"(SELECT "&amp;VLOOKUP(B396,'0. Instruções'!$C$27:$G$32,4,FALSE)&amp;" AS CHAVE_SIMUL1, "&amp;VLOOKUP(B396,'0. Instruções'!$C$27:$G$32,5,FALSE)&amp;" AS CHAVE_SIMUL2, "&amp;C396&amp;" AS CAMPO_SIMUL FROM "&amp;F396&amp;" WHERE "&amp;'0. Instruções'!$D$42&amp;")Y")</f>
        <v>(SELECT entty_id AS CHAVE_SIMUL, flg_rqst_bnkrptcy AS CAMPO_SIMUL FROM BU_LOANTAPE_WORK.LT003_ENTITY WHERE ref_date='${ref_date}' AND nome_perimetro='Individual Local' AND segmento='ESTR' AND ambito='PM' AND entidade='00100')Y</v>
      </c>
      <c r="L396" s="32" t="str">
        <f>IF(VLOOKUP(B396,'0. Instruções'!$C$27:$G$32,5,FALSE)=0,
"ON X.CHAVE_IT=Y.CHAVE_SIMUL",
"ON X.CHAVE_IT1=Y.CHAVE_SIMUL1 AND X.CHAVE_IT2=Y.CHAVE_SIMUL2")</f>
        <v>ON X.CHAVE_IT=Y.CHAVE_SIMUL</v>
      </c>
      <c r="M396" s="32" t="str">
        <f>+IF(D396="Coerência",+IF(LEFT(H396,5)="FLOAT","SELECT '"&amp;UPPER(B396)&amp;"' AS TABELA, '"&amp;UPPER(D396)&amp;"' AS TIPOLOGIA_TESTE,'"&amp;E396&amp;"' AS TABELA_LT,'"&amp;F396&amp;"' AS TABELA_SIMUL,'"&amp;C396&amp;"'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"&amp;J396&amp;" INNER JOIN "&amp;K396&amp;" "&amp;L396,"SELECT '"&amp;UPPER(B396)&amp;"' AS TABELA, '"&amp;UPPER(D396)&amp;"' AS TIPOLOGIA_TESTE,'"&amp;E396&amp;"' AS TABELA_LT,'"&amp;F396&amp;"' AS TABELA_SIMUL,'"&amp;C396&amp;"'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"&amp;J396&amp;" INNER JOIN "&amp;K396&amp;" "&amp;L396))</f>
        <v>SELECT 'ENTITY' AS TABELA, 'COERÊNCIA' AS TIPOLOGIA_TESTE,'CD_LOAN_TAPES_BCE.LT003_ENTITY' AS TABELA_LT,'BU_LOANTAPE_WORK.LT003_ENTITY' AS TABELA_SIMUL,'flg_rqst_bnkrptcy'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flg_rqst_bnkrptcy AS CAMPO_IT FROM CD_LOAN_TAPES_BCE.LT003_ENTITY WHERE ref_date='${ref_date}' AND nome_perimetro='Individual Local' AND segmento='ESTR' AND ambito='PM' AND entidade='00100')X INNER JOIN (SELECT entty_id AS CHAVE_SIMUL, flg_rqst_bnkrptcy AS CAMPO_SIMUL FROM BU_LOANTAPE_WORK.LT003_ENTITY WHERE ref_date='${ref_date}' AND nome_perimetro='Individual Local' AND segmento='ESTR' AND ambito='PM' AND entidade='00100')Y ON X.CHAVE_IT=Y.CHAVE_SIMUL</v>
      </c>
      <c r="N396" s="33" t="str">
        <f t="shared" si="13"/>
        <v>UNION ALL SELECT 'ENTITY' AS TABELA, 'COERÊNCIA' AS TIPOLOGIA_TESTE,'CD_LOAN_TAPES_BCE.LT003_ENTITY' AS TABELA_LT,'BU_LOANTAPE_WORK.LT003_ENTITY' AS TABELA_SIMUL,'flg_rqst_bnkrptcy'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flg_rqst_bnkrptcy AS CAMPO_IT FROM CD_LOAN_TAPES_BCE.LT003_ENTITY WHERE ref_date='${ref_date}' AND nome_perimetro='Individual Local' AND segmento='ESTR' AND ambito='PM' AND entidade='00100')X INNER JOIN (SELECT entty_id AS CHAVE_SIMUL, flg_rqst_bnkrptcy AS CAMPO_SIMUL FROM BU_LOANTAPE_WORK.LT003_ENTITY WHERE ref_date='${ref_date}' AND nome_perimetro='Individual Local' AND segmento='ESTR' AND ambito='PM' AND entidade='00100')Y ON X.CHAVE_IT=Y.CHAVE_SIMUL</v>
      </c>
      <c r="O396" s="35" t="s">
        <v>35</v>
      </c>
    </row>
    <row r="397" spans="1:15">
      <c r="A397" s="57" t="str">
        <f t="shared" si="14"/>
        <v>Entityflg_rqst_dstrssd_rstrctrng</v>
      </c>
      <c r="B397" s="32" t="s">
        <v>60</v>
      </c>
      <c r="C397" s="32" t="s">
        <v>538</v>
      </c>
      <c r="D397" s="32" t="s">
        <v>5</v>
      </c>
      <c r="E397" s="32" t="str">
        <f>+UPPER('0. Instruções'!$D$35&amp;"."&amp;VLOOKUP(B397,'0. Instruções'!$C$27:$D$32,2,FALSE))</f>
        <v>CD_LOAN_TAPES_BCE.LT003_ENTITY</v>
      </c>
      <c r="F397" s="32" t="str">
        <f>+UPPER('0. Instruções'!$D$36&amp;"."&amp;VLOOKUP(B397,'0. Instruções'!$C$27:$E$32,3,FALSE))</f>
        <v>BU_LOANTAPE_WORK.LT003_ENTITY</v>
      </c>
      <c r="H397" s="32"/>
      <c r="I397" s="32"/>
      <c r="J397" s="32" t="str">
        <f>IF(VLOOKUP(B397,'0. Instruções'!$C$27:$G$32,5,FALSE)=0,
"(SELECT "&amp;VLOOKUP(B397,'0. Instruções'!$C$27:$G$32,4,FALSE)&amp;" AS CHAVE_IT, "&amp;C397&amp;" AS CAMPO_IT FROM "&amp;E397&amp;" WHERE "&amp;'0. Instruções'!$D$43&amp;")X",
"(SELECT "&amp;VLOOKUP(B397,'0. Instruções'!$C$27:$G$32,4,FALSE)&amp;" AS CHAVE_IT1, "&amp;VLOOKUP(B397,'0. Instruções'!$C$27:$G$32,5,FALSE)&amp;" AS CHAVE_IT2, "&amp;C397&amp;" AS CAMPO_IT FROM "&amp;E397&amp;" WHERE "&amp;'0. Instruções'!$D$43&amp;")X")</f>
        <v>(SELECT entty_id AS CHAVE_IT, flg_rqst_dstrssd_rstrctrng AS CAMPO_IT FROM CD_LOAN_TAPES_BCE.LT003_ENTITY WHERE ref_date='${ref_date}' AND nome_perimetro='Individual Local' AND segmento='ESTR' AND ambito='PM' AND entidade='00100')X</v>
      </c>
      <c r="K397" s="32" t="str">
        <f>IF(VLOOKUP(B397,'0. Instruções'!$C$27:$G$32,5,FALSE)=0,
"(SELECT "&amp;VLOOKUP(B397,'0. Instruções'!$C$27:$G$32,4,FALSE)&amp;" AS CHAVE_SIMUL, "&amp;C397&amp;" AS CAMPO_SIMUL FROM "&amp;F397&amp;" WHERE "&amp;'0. Instruções'!$D$42&amp;")Y",
"(SELECT "&amp;VLOOKUP(B397,'0. Instruções'!$C$27:$G$32,4,FALSE)&amp;" AS CHAVE_SIMUL1, "&amp;VLOOKUP(B397,'0. Instruções'!$C$27:$G$32,5,FALSE)&amp;" AS CHAVE_SIMUL2, "&amp;C397&amp;" AS CAMPO_SIMUL FROM "&amp;F397&amp;" WHERE "&amp;'0. Instruções'!$D$42&amp;")Y")</f>
        <v>(SELECT entty_id AS CHAVE_SIMUL, flg_rqst_dstrssd_rstrctrng AS CAMPO_SIMUL FROM BU_LOANTAPE_WORK.LT003_ENTITY WHERE ref_date='${ref_date}' AND nome_perimetro='Individual Local' AND segmento='ESTR' AND ambito='PM' AND entidade='00100')Y</v>
      </c>
      <c r="L397" s="32" t="str">
        <f>IF(VLOOKUP(B397,'0. Instruções'!$C$27:$G$32,5,FALSE)=0,
"ON X.CHAVE_IT=Y.CHAVE_SIMUL",
"ON X.CHAVE_IT1=Y.CHAVE_SIMUL1 AND X.CHAVE_IT2=Y.CHAVE_SIMUL2")</f>
        <v>ON X.CHAVE_IT=Y.CHAVE_SIMUL</v>
      </c>
      <c r="M397" s="32" t="str">
        <f>+IF(D397="Coerência",+IF(LEFT(H397,5)="FLOAT","SELECT '"&amp;UPPER(B397)&amp;"' AS TABELA, '"&amp;UPPER(D397)&amp;"' AS TIPOLOGIA_TESTE,'"&amp;E397&amp;"' AS TABELA_LT,'"&amp;F397&amp;"' AS TABELA_SIMUL,'"&amp;C397&amp;"'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"&amp;J397&amp;" INNER JOIN "&amp;K397&amp;" "&amp;L397,"SELECT '"&amp;UPPER(B397)&amp;"' AS TABELA, '"&amp;UPPER(D397)&amp;"' AS TIPOLOGIA_TESTE,'"&amp;E397&amp;"' AS TABELA_LT,'"&amp;F397&amp;"' AS TABELA_SIMUL,'"&amp;C397&amp;"'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"&amp;J397&amp;" INNER JOIN "&amp;K397&amp;" "&amp;L397))</f>
        <v>SELECT 'ENTITY' AS TABELA, 'COERÊNCIA' AS TIPOLOGIA_TESTE,'CD_LOAN_TAPES_BCE.LT003_ENTITY' AS TABELA_LT,'BU_LOANTAPE_WORK.LT003_ENTITY' AS TABELA_SIMUL,'flg_rqst_dstrssd_rstrctrng'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flg_rqst_dstrssd_rstrctrng AS CAMPO_IT FROM CD_LOAN_TAPES_BCE.LT003_ENTITY WHERE ref_date='${ref_date}' AND nome_perimetro='Individual Local' AND segmento='ESTR' AND ambito='PM' AND entidade='00100')X INNER JOIN (SELECT entty_id AS CHAVE_SIMUL, flg_rqst_dstrssd_rstrctrng AS CAMPO_SIMUL FROM BU_LOANTAPE_WORK.LT003_ENTITY WHERE ref_date='${ref_date}' AND nome_perimetro='Individual Local' AND segmento='ESTR' AND ambito='PM' AND entidade='00100')Y ON X.CHAVE_IT=Y.CHAVE_SIMUL</v>
      </c>
      <c r="N397" s="33" t="str">
        <f t="shared" si="13"/>
        <v>UNION ALL SELECT 'ENTITY' AS TABELA, 'COERÊNCIA' AS TIPOLOGIA_TESTE,'CD_LOAN_TAPES_BCE.LT003_ENTITY' AS TABELA_LT,'BU_LOANTAPE_WORK.LT003_ENTITY' AS TABELA_SIMUL,'flg_rqst_dstrssd_rstrctrng'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flg_rqst_dstrssd_rstrctrng AS CAMPO_IT FROM CD_LOAN_TAPES_BCE.LT003_ENTITY WHERE ref_date='${ref_date}' AND nome_perimetro='Individual Local' AND segmento='ESTR' AND ambito='PM' AND entidade='00100')X INNER JOIN (SELECT entty_id AS CHAVE_SIMUL, flg_rqst_dstrssd_rstrctrng AS CAMPO_SIMUL FROM BU_LOANTAPE_WORK.LT003_ENTITY WHERE ref_date='${ref_date}' AND nome_perimetro='Individual Local' AND segmento='ESTR' AND ambito='PM' AND entidade='00100')Y ON X.CHAVE_IT=Y.CHAVE_SIMUL</v>
      </c>
      <c r="O397" s="35" t="s">
        <v>35</v>
      </c>
    </row>
    <row r="398" spans="1:15">
      <c r="A398" s="57" t="str">
        <f t="shared" si="14"/>
        <v>Entityflg_rqst_emrgncy_fndng</v>
      </c>
      <c r="B398" s="32" t="s">
        <v>60</v>
      </c>
      <c r="C398" s="32" t="s">
        <v>539</v>
      </c>
      <c r="D398" s="32" t="s">
        <v>5</v>
      </c>
      <c r="E398" s="32" t="str">
        <f>+UPPER('0. Instruções'!$D$35&amp;"."&amp;VLOOKUP(B398,'0. Instruções'!$C$27:$D$32,2,FALSE))</f>
        <v>CD_LOAN_TAPES_BCE.LT003_ENTITY</v>
      </c>
      <c r="F398" s="32" t="str">
        <f>+UPPER('0. Instruções'!$D$36&amp;"."&amp;VLOOKUP(B398,'0. Instruções'!$C$27:$E$32,3,FALSE))</f>
        <v>BU_LOANTAPE_WORK.LT003_ENTITY</v>
      </c>
      <c r="H398" s="32"/>
      <c r="I398" s="32"/>
      <c r="J398" s="32" t="str">
        <f>IF(VLOOKUP(B398,'0. Instruções'!$C$27:$G$32,5,FALSE)=0,
"(SELECT "&amp;VLOOKUP(B398,'0. Instruções'!$C$27:$G$32,4,FALSE)&amp;" AS CHAVE_IT, "&amp;C398&amp;" AS CAMPO_IT FROM "&amp;E398&amp;" WHERE "&amp;'0. Instruções'!$D$43&amp;")X",
"(SELECT "&amp;VLOOKUP(B398,'0. Instruções'!$C$27:$G$32,4,FALSE)&amp;" AS CHAVE_IT1, "&amp;VLOOKUP(B398,'0. Instruções'!$C$27:$G$32,5,FALSE)&amp;" AS CHAVE_IT2, "&amp;C398&amp;" AS CAMPO_IT FROM "&amp;E398&amp;" WHERE "&amp;'0. Instruções'!$D$43&amp;")X")</f>
        <v>(SELECT entty_id AS CHAVE_IT, flg_rqst_emrgncy_fndng AS CAMPO_IT FROM CD_LOAN_TAPES_BCE.LT003_ENTITY WHERE ref_date='${ref_date}' AND nome_perimetro='Individual Local' AND segmento='ESTR' AND ambito='PM' AND entidade='00100')X</v>
      </c>
      <c r="K398" s="32" t="str">
        <f>IF(VLOOKUP(B398,'0. Instruções'!$C$27:$G$32,5,FALSE)=0,
"(SELECT "&amp;VLOOKUP(B398,'0. Instruções'!$C$27:$G$32,4,FALSE)&amp;" AS CHAVE_SIMUL, "&amp;C398&amp;" AS CAMPO_SIMUL FROM "&amp;F398&amp;" WHERE "&amp;'0. Instruções'!$D$42&amp;")Y",
"(SELECT "&amp;VLOOKUP(B398,'0. Instruções'!$C$27:$G$32,4,FALSE)&amp;" AS CHAVE_SIMUL1, "&amp;VLOOKUP(B398,'0. Instruções'!$C$27:$G$32,5,FALSE)&amp;" AS CHAVE_SIMUL2, "&amp;C398&amp;" AS CAMPO_SIMUL FROM "&amp;F398&amp;" WHERE "&amp;'0. Instruções'!$D$42&amp;")Y")</f>
        <v>(SELECT entty_id AS CHAVE_SIMUL, flg_rqst_emrgncy_fndng AS CAMPO_SIMUL FROM BU_LOANTAPE_WORK.LT003_ENTITY WHERE ref_date='${ref_date}' AND nome_perimetro='Individual Local' AND segmento='ESTR' AND ambito='PM' AND entidade='00100')Y</v>
      </c>
      <c r="L398" s="32" t="str">
        <f>IF(VLOOKUP(B398,'0. Instruções'!$C$27:$G$32,5,FALSE)=0,
"ON X.CHAVE_IT=Y.CHAVE_SIMUL",
"ON X.CHAVE_IT1=Y.CHAVE_SIMUL1 AND X.CHAVE_IT2=Y.CHAVE_SIMUL2")</f>
        <v>ON X.CHAVE_IT=Y.CHAVE_SIMUL</v>
      </c>
      <c r="M398" s="32" t="str">
        <f>+IF(D398="Coerência",+IF(LEFT(H398,5)="FLOAT","SELECT '"&amp;UPPER(B398)&amp;"' AS TABELA, '"&amp;UPPER(D398)&amp;"' AS TIPOLOGIA_TESTE,'"&amp;E398&amp;"' AS TABELA_LT,'"&amp;F398&amp;"' AS TABELA_SIMUL,'"&amp;C398&amp;"'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"&amp;J398&amp;" INNER JOIN "&amp;K398&amp;" "&amp;L398,"SELECT '"&amp;UPPER(B398)&amp;"' AS TABELA, '"&amp;UPPER(D398)&amp;"' AS TIPOLOGIA_TESTE,'"&amp;E398&amp;"' AS TABELA_LT,'"&amp;F398&amp;"' AS TABELA_SIMUL,'"&amp;C398&amp;"'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"&amp;J398&amp;" INNER JOIN "&amp;K398&amp;" "&amp;L398))</f>
        <v>SELECT 'ENTITY' AS TABELA, 'COERÊNCIA' AS TIPOLOGIA_TESTE,'CD_LOAN_TAPES_BCE.LT003_ENTITY' AS TABELA_LT,'BU_LOANTAPE_WORK.LT003_ENTITY' AS TABELA_SIMUL,'flg_rqst_emrgncy_fndng'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flg_rqst_emrgncy_fndng AS CAMPO_IT FROM CD_LOAN_TAPES_BCE.LT003_ENTITY WHERE ref_date='${ref_date}' AND nome_perimetro='Individual Local' AND segmento='ESTR' AND ambito='PM' AND entidade='00100')X INNER JOIN (SELECT entty_id AS CHAVE_SIMUL, flg_rqst_emrgncy_fndng AS CAMPO_SIMUL FROM BU_LOANTAPE_WORK.LT003_ENTITY WHERE ref_date='${ref_date}' AND nome_perimetro='Individual Local' AND segmento='ESTR' AND ambito='PM' AND entidade='00100')Y ON X.CHAVE_IT=Y.CHAVE_SIMUL</v>
      </c>
      <c r="N398" s="33" t="str">
        <f t="shared" si="13"/>
        <v>UNION ALL SELECT 'ENTITY' AS TABELA, 'COERÊNCIA' AS TIPOLOGIA_TESTE,'CD_LOAN_TAPES_BCE.LT003_ENTITY' AS TABELA_LT,'BU_LOANTAPE_WORK.LT003_ENTITY' AS TABELA_SIMUL,'flg_rqst_emrgncy_fndng'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flg_rqst_emrgncy_fndng AS CAMPO_IT FROM CD_LOAN_TAPES_BCE.LT003_ENTITY WHERE ref_date='${ref_date}' AND nome_perimetro='Individual Local' AND segmento='ESTR' AND ambito='PM' AND entidade='00100')X INNER JOIN (SELECT entty_id AS CHAVE_SIMUL, flg_rqst_emrgncy_fndng AS CAMPO_SIMUL FROM BU_LOANTAPE_WORK.LT003_ENTITY WHERE ref_date='${ref_date}' AND nome_perimetro='Individual Local' AND segmento='ESTR' AND ambito='PM' AND entidade='00100')Y ON X.CHAVE_IT=Y.CHAVE_SIMUL</v>
      </c>
      <c r="O398" s="35" t="s">
        <v>35</v>
      </c>
    </row>
    <row r="399" spans="1:15">
      <c r="A399" s="57" t="str">
        <f t="shared" si="14"/>
        <v>Entityflg_sll_wth_lss</v>
      </c>
      <c r="B399" s="32" t="s">
        <v>60</v>
      </c>
      <c r="C399" s="32" t="s">
        <v>540</v>
      </c>
      <c r="D399" s="32" t="s">
        <v>5</v>
      </c>
      <c r="E399" s="32" t="str">
        <f>+UPPER('0. Instruções'!$D$35&amp;"."&amp;VLOOKUP(B399,'0. Instruções'!$C$27:$D$32,2,FALSE))</f>
        <v>CD_LOAN_TAPES_BCE.LT003_ENTITY</v>
      </c>
      <c r="F399" s="32" t="str">
        <f>+UPPER('0. Instruções'!$D$36&amp;"."&amp;VLOOKUP(B399,'0. Instruções'!$C$27:$E$32,3,FALSE))</f>
        <v>BU_LOANTAPE_WORK.LT003_ENTITY</v>
      </c>
      <c r="H399" s="32"/>
      <c r="I399" s="32"/>
      <c r="J399" s="32" t="str">
        <f>IF(VLOOKUP(B399,'0. Instruções'!$C$27:$G$32,5,FALSE)=0,
"(SELECT "&amp;VLOOKUP(B399,'0. Instruções'!$C$27:$G$32,4,FALSE)&amp;" AS CHAVE_IT, "&amp;C399&amp;" AS CAMPO_IT FROM "&amp;E399&amp;" WHERE "&amp;'0. Instruções'!$D$43&amp;")X",
"(SELECT "&amp;VLOOKUP(B399,'0. Instruções'!$C$27:$G$32,4,FALSE)&amp;" AS CHAVE_IT1, "&amp;VLOOKUP(B399,'0. Instruções'!$C$27:$G$32,5,FALSE)&amp;" AS CHAVE_IT2, "&amp;C399&amp;" AS CAMPO_IT FROM "&amp;E399&amp;" WHERE "&amp;'0. Instruções'!$D$43&amp;")X")</f>
        <v>(SELECT entty_id AS CHAVE_IT, flg_sll_wth_lss AS CAMPO_IT FROM CD_LOAN_TAPES_BCE.LT003_ENTITY WHERE ref_date='${ref_date}' AND nome_perimetro='Individual Local' AND segmento='ESTR' AND ambito='PM' AND entidade='00100')X</v>
      </c>
      <c r="K399" s="32" t="str">
        <f>IF(VLOOKUP(B399,'0. Instruções'!$C$27:$G$32,5,FALSE)=0,
"(SELECT "&amp;VLOOKUP(B399,'0. Instruções'!$C$27:$G$32,4,FALSE)&amp;" AS CHAVE_SIMUL, "&amp;C399&amp;" AS CAMPO_SIMUL FROM "&amp;F399&amp;" WHERE "&amp;'0. Instruções'!$D$42&amp;")Y",
"(SELECT "&amp;VLOOKUP(B399,'0. Instruções'!$C$27:$G$32,4,FALSE)&amp;" AS CHAVE_SIMUL1, "&amp;VLOOKUP(B399,'0. Instruções'!$C$27:$G$32,5,FALSE)&amp;" AS CHAVE_SIMUL2, "&amp;C399&amp;" AS CAMPO_SIMUL FROM "&amp;F399&amp;" WHERE "&amp;'0. Instruções'!$D$42&amp;")Y")</f>
        <v>(SELECT entty_id AS CHAVE_SIMUL, flg_sll_wth_lss AS CAMPO_SIMUL FROM BU_LOANTAPE_WORK.LT003_ENTITY WHERE ref_date='${ref_date}' AND nome_perimetro='Individual Local' AND segmento='ESTR' AND ambito='PM' AND entidade='00100')Y</v>
      </c>
      <c r="L399" s="32" t="str">
        <f>IF(VLOOKUP(B399,'0. Instruções'!$C$27:$G$32,5,FALSE)=0,
"ON X.CHAVE_IT=Y.CHAVE_SIMUL",
"ON X.CHAVE_IT1=Y.CHAVE_SIMUL1 AND X.CHAVE_IT2=Y.CHAVE_SIMUL2")</f>
        <v>ON X.CHAVE_IT=Y.CHAVE_SIMUL</v>
      </c>
      <c r="M399" s="32" t="str">
        <f>+IF(D399="Coerência",+IF(LEFT(H399,5)="FLOAT","SELECT '"&amp;UPPER(B399)&amp;"' AS TABELA, '"&amp;UPPER(D399)&amp;"' AS TIPOLOGIA_TESTE,'"&amp;E399&amp;"' AS TABELA_LT,'"&amp;F399&amp;"' AS TABELA_SIMUL,'"&amp;C399&amp;"'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"&amp;J399&amp;" INNER JOIN "&amp;K399&amp;" "&amp;L399,"SELECT '"&amp;UPPER(B399)&amp;"' AS TABELA, '"&amp;UPPER(D399)&amp;"' AS TIPOLOGIA_TESTE,'"&amp;E399&amp;"' AS TABELA_LT,'"&amp;F399&amp;"' AS TABELA_SIMUL,'"&amp;C399&amp;"'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"&amp;J399&amp;" INNER JOIN "&amp;K399&amp;" "&amp;L399))</f>
        <v>SELECT 'ENTITY' AS TABELA, 'COERÊNCIA' AS TIPOLOGIA_TESTE,'CD_LOAN_TAPES_BCE.LT003_ENTITY' AS TABELA_LT,'BU_LOANTAPE_WORK.LT003_ENTITY' AS TABELA_SIMUL,'flg_sll_wth_lss'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flg_sll_wth_lss AS CAMPO_IT FROM CD_LOAN_TAPES_BCE.LT003_ENTITY WHERE ref_date='${ref_date}' AND nome_perimetro='Individual Local' AND segmento='ESTR' AND ambito='PM' AND entidade='00100')X INNER JOIN (SELECT entty_id AS CHAVE_SIMUL, flg_sll_wth_lss AS CAMPO_SIMUL FROM BU_LOANTAPE_WORK.LT003_ENTITY WHERE ref_date='${ref_date}' AND nome_perimetro='Individual Local' AND segmento='ESTR' AND ambito='PM' AND entidade='00100')Y ON X.CHAVE_IT=Y.CHAVE_SIMUL</v>
      </c>
      <c r="N399" s="33" t="str">
        <f t="shared" si="13"/>
        <v>UNION ALL SELECT 'ENTITY' AS TABELA, 'COERÊNCIA' AS TIPOLOGIA_TESTE,'CD_LOAN_TAPES_BCE.LT003_ENTITY' AS TABELA_LT,'BU_LOANTAPE_WORK.LT003_ENTITY' AS TABELA_SIMUL,'flg_sll_wth_lss'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flg_sll_wth_lss AS CAMPO_IT FROM CD_LOAN_TAPES_BCE.LT003_ENTITY WHERE ref_date='${ref_date}' AND nome_perimetro='Individual Local' AND segmento='ESTR' AND ambito='PM' AND entidade='00100')X INNER JOIN (SELECT entty_id AS CHAVE_SIMUL, flg_sll_wth_lss AS CAMPO_SIMUL FROM BU_LOANTAPE_WORK.LT003_ENTITY WHERE ref_date='${ref_date}' AND nome_perimetro='Individual Local' AND segmento='ESTR' AND ambito='PM' AND entidade='00100')Y ON X.CHAVE_IT=Y.CHAVE_SIMUL</v>
      </c>
      <c r="O399" s="35" t="s">
        <v>35</v>
      </c>
    </row>
    <row r="400" spans="1:15">
      <c r="A400" s="57" t="str">
        <f t="shared" si="14"/>
        <v>Entityincm_sc</v>
      </c>
      <c r="B400" s="32" t="s">
        <v>60</v>
      </c>
      <c r="C400" s="32" t="s">
        <v>541</v>
      </c>
      <c r="D400" s="32" t="s">
        <v>5</v>
      </c>
      <c r="E400" s="32" t="str">
        <f>+UPPER('0. Instruções'!$D$35&amp;"."&amp;VLOOKUP(B400,'0. Instruções'!$C$27:$D$32,2,FALSE))</f>
        <v>CD_LOAN_TAPES_BCE.LT003_ENTITY</v>
      </c>
      <c r="F400" s="32" t="str">
        <f>+UPPER('0. Instruções'!$D$36&amp;"."&amp;VLOOKUP(B400,'0. Instruções'!$C$27:$E$32,3,FALSE))</f>
        <v>BU_LOANTAPE_WORK.LT003_ENTITY</v>
      </c>
      <c r="H400" s="32"/>
      <c r="I400" s="32"/>
      <c r="J400" s="32" t="str">
        <f>IF(VLOOKUP(B400,'0. Instruções'!$C$27:$G$32,5,FALSE)=0,
"(SELECT "&amp;VLOOKUP(B400,'0. Instruções'!$C$27:$G$32,4,FALSE)&amp;" AS CHAVE_IT, "&amp;C400&amp;" AS CAMPO_IT FROM "&amp;E400&amp;" WHERE "&amp;'0. Instruções'!$D$43&amp;")X",
"(SELECT "&amp;VLOOKUP(B400,'0. Instruções'!$C$27:$G$32,4,FALSE)&amp;" AS CHAVE_IT1, "&amp;VLOOKUP(B400,'0. Instruções'!$C$27:$G$32,5,FALSE)&amp;" AS CHAVE_IT2, "&amp;C400&amp;" AS CAMPO_IT FROM "&amp;E400&amp;" WHERE "&amp;'0. Instruções'!$D$43&amp;")X")</f>
        <v>(SELECT entty_id AS CHAVE_IT, incm_sc AS CAMPO_IT FROM CD_LOAN_TAPES_BCE.LT003_ENTITY WHERE ref_date='${ref_date}' AND nome_perimetro='Individual Local' AND segmento='ESTR' AND ambito='PM' AND entidade='00100')X</v>
      </c>
      <c r="K400" s="32" t="str">
        <f>IF(VLOOKUP(B400,'0. Instruções'!$C$27:$G$32,5,FALSE)=0,
"(SELECT "&amp;VLOOKUP(B400,'0. Instruções'!$C$27:$G$32,4,FALSE)&amp;" AS CHAVE_SIMUL, "&amp;C400&amp;" AS CAMPO_SIMUL FROM "&amp;F400&amp;" WHERE "&amp;'0. Instruções'!$D$42&amp;")Y",
"(SELECT "&amp;VLOOKUP(B400,'0. Instruções'!$C$27:$G$32,4,FALSE)&amp;" AS CHAVE_SIMUL1, "&amp;VLOOKUP(B400,'0. Instruções'!$C$27:$G$32,5,FALSE)&amp;" AS CHAVE_SIMUL2, "&amp;C400&amp;" AS CAMPO_SIMUL FROM "&amp;F400&amp;" WHERE "&amp;'0. Instruções'!$D$42&amp;")Y")</f>
        <v>(SELECT entty_id AS CHAVE_SIMUL, incm_sc AS CAMPO_SIMUL FROM BU_LOANTAPE_WORK.LT003_ENTITY WHERE ref_date='${ref_date}' AND nome_perimetro='Individual Local' AND segmento='ESTR' AND ambito='PM' AND entidade='00100')Y</v>
      </c>
      <c r="L400" s="32" t="str">
        <f>IF(VLOOKUP(B400,'0. Instruções'!$C$27:$G$32,5,FALSE)=0,
"ON X.CHAVE_IT=Y.CHAVE_SIMUL",
"ON X.CHAVE_IT1=Y.CHAVE_SIMUL1 AND X.CHAVE_IT2=Y.CHAVE_SIMUL2")</f>
        <v>ON X.CHAVE_IT=Y.CHAVE_SIMUL</v>
      </c>
      <c r="M400" s="32" t="str">
        <f>+IF(D400="Coerência",+IF(LEFT(H400,5)="FLOAT","SELECT '"&amp;UPPER(B400)&amp;"' AS TABELA, '"&amp;UPPER(D400)&amp;"' AS TIPOLOGIA_TESTE,'"&amp;E400&amp;"' AS TABELA_LT,'"&amp;F400&amp;"' AS TABELA_SIMUL,'"&amp;C400&amp;"'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"&amp;J400&amp;" INNER JOIN "&amp;K400&amp;" "&amp;L400,"SELECT '"&amp;UPPER(B400)&amp;"' AS TABELA, '"&amp;UPPER(D400)&amp;"' AS TIPOLOGIA_TESTE,'"&amp;E400&amp;"' AS TABELA_LT,'"&amp;F400&amp;"' AS TABELA_SIMUL,'"&amp;C400&amp;"'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"&amp;J400&amp;" INNER JOIN "&amp;K400&amp;" "&amp;L400))</f>
        <v>SELECT 'ENTITY' AS TABELA, 'COERÊNCIA' AS TIPOLOGIA_TESTE,'CD_LOAN_TAPES_BCE.LT003_ENTITY' AS TABELA_LT,'BU_LOANTAPE_WORK.LT003_ENTITY' AS TABELA_SIMUL,'incm_sc'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incm_sc AS CAMPO_IT FROM CD_LOAN_TAPES_BCE.LT003_ENTITY WHERE ref_date='${ref_date}' AND nome_perimetro='Individual Local' AND segmento='ESTR' AND ambito='PM' AND entidade='00100')X INNER JOIN (SELECT entty_id AS CHAVE_SIMUL, incm_sc AS CAMPO_SIMUL FROM BU_LOANTAPE_WORK.LT003_ENTITY WHERE ref_date='${ref_date}' AND nome_perimetro='Individual Local' AND segmento='ESTR' AND ambito='PM' AND entidade='00100')Y ON X.CHAVE_IT=Y.CHAVE_SIMUL</v>
      </c>
      <c r="N400" s="33" t="str">
        <f t="shared" si="13"/>
        <v>UNION ALL SELECT 'ENTITY' AS TABELA, 'COERÊNCIA' AS TIPOLOGIA_TESTE,'CD_LOAN_TAPES_BCE.LT003_ENTITY' AS TABELA_LT,'BU_LOANTAPE_WORK.LT003_ENTITY' AS TABELA_SIMUL,'incm_sc'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incm_sc AS CAMPO_IT FROM CD_LOAN_TAPES_BCE.LT003_ENTITY WHERE ref_date='${ref_date}' AND nome_perimetro='Individual Local' AND segmento='ESTR' AND ambito='PM' AND entidade='00100')X INNER JOIN (SELECT entty_id AS CHAVE_SIMUL, incm_sc AS CAMPO_SIMUL FROM BU_LOANTAPE_WORK.LT003_ENTITY WHERE ref_date='${ref_date}' AND nome_perimetro='Individual Local' AND segmento='ESTR' AND ambito='PM' AND entidade='00100')Y ON X.CHAVE_IT=Y.CHAVE_SIMUL</v>
      </c>
      <c r="O400" s="35" t="s">
        <v>35</v>
      </c>
    </row>
    <row r="401" spans="1:15">
      <c r="A401" s="57" t="str">
        <f t="shared" si="14"/>
        <v>Entityintrnl_rtng</v>
      </c>
      <c r="B401" s="32" t="s">
        <v>60</v>
      </c>
      <c r="C401" s="32" t="s">
        <v>271</v>
      </c>
      <c r="D401" s="32" t="s">
        <v>5</v>
      </c>
      <c r="E401" s="32" t="str">
        <f>+UPPER('0. Instruções'!$D$35&amp;"."&amp;VLOOKUP(B401,'0. Instruções'!$C$27:$D$32,2,FALSE))</f>
        <v>CD_LOAN_TAPES_BCE.LT003_ENTITY</v>
      </c>
      <c r="F401" s="32" t="str">
        <f>+UPPER('0. Instruções'!$D$36&amp;"."&amp;VLOOKUP(B401,'0. Instruções'!$C$27:$E$32,3,FALSE))</f>
        <v>BU_LOANTAPE_WORK.LT003_ENTITY</v>
      </c>
      <c r="H401" s="32"/>
      <c r="I401" s="32"/>
      <c r="J401" s="32" t="str">
        <f>IF(VLOOKUP(B401,'0. Instruções'!$C$27:$G$32,5,FALSE)=0,
"(SELECT "&amp;VLOOKUP(B401,'0. Instruções'!$C$27:$G$32,4,FALSE)&amp;" AS CHAVE_IT, "&amp;C401&amp;" AS CAMPO_IT FROM "&amp;E401&amp;" WHERE "&amp;'0. Instruções'!$D$43&amp;")X",
"(SELECT "&amp;VLOOKUP(B401,'0. Instruções'!$C$27:$G$32,4,FALSE)&amp;" AS CHAVE_IT1, "&amp;VLOOKUP(B401,'0. Instruções'!$C$27:$G$32,5,FALSE)&amp;" AS CHAVE_IT2, "&amp;C401&amp;" AS CAMPO_IT FROM "&amp;E401&amp;" WHERE "&amp;'0. Instruções'!$D$43&amp;")X")</f>
        <v>(SELECT entty_id AS CHAVE_IT, intrnl_rtng AS CAMPO_IT FROM CD_LOAN_TAPES_BCE.LT003_ENTITY WHERE ref_date='${ref_date}' AND nome_perimetro='Individual Local' AND segmento='ESTR' AND ambito='PM' AND entidade='00100')X</v>
      </c>
      <c r="K401" s="32" t="str">
        <f>IF(VLOOKUP(B401,'0. Instruções'!$C$27:$G$32,5,FALSE)=0,
"(SELECT "&amp;VLOOKUP(B401,'0. Instruções'!$C$27:$G$32,4,FALSE)&amp;" AS CHAVE_SIMUL, "&amp;C401&amp;" AS CAMPO_SIMUL FROM "&amp;F401&amp;" WHERE "&amp;'0. Instruções'!$D$42&amp;")Y",
"(SELECT "&amp;VLOOKUP(B401,'0. Instruções'!$C$27:$G$32,4,FALSE)&amp;" AS CHAVE_SIMUL1, "&amp;VLOOKUP(B401,'0. Instruções'!$C$27:$G$32,5,FALSE)&amp;" AS CHAVE_SIMUL2, "&amp;C401&amp;" AS CAMPO_SIMUL FROM "&amp;F401&amp;" WHERE "&amp;'0. Instruções'!$D$42&amp;")Y")</f>
        <v>(SELECT entty_id AS CHAVE_SIMUL, intrnl_rtng AS CAMPO_SIMUL FROM BU_LOANTAPE_WORK.LT003_ENTITY WHERE ref_date='${ref_date}' AND nome_perimetro='Individual Local' AND segmento='ESTR' AND ambito='PM' AND entidade='00100')Y</v>
      </c>
      <c r="L401" s="32" t="str">
        <f>IF(VLOOKUP(B401,'0. Instruções'!$C$27:$G$32,5,FALSE)=0,
"ON X.CHAVE_IT=Y.CHAVE_SIMUL",
"ON X.CHAVE_IT1=Y.CHAVE_SIMUL1 AND X.CHAVE_IT2=Y.CHAVE_SIMUL2")</f>
        <v>ON X.CHAVE_IT=Y.CHAVE_SIMUL</v>
      </c>
      <c r="M401" s="32" t="str">
        <f>+IF(D401="Coerência",+IF(LEFT(H401,5)="FLOAT","SELECT '"&amp;UPPER(B401)&amp;"' AS TABELA, '"&amp;UPPER(D401)&amp;"' AS TIPOLOGIA_TESTE,'"&amp;E401&amp;"' AS TABELA_LT,'"&amp;F401&amp;"' AS TABELA_SIMUL,'"&amp;C401&amp;"'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"&amp;J401&amp;" INNER JOIN "&amp;K401&amp;" "&amp;L401,"SELECT '"&amp;UPPER(B401)&amp;"' AS TABELA, '"&amp;UPPER(D401)&amp;"' AS TIPOLOGIA_TESTE,'"&amp;E401&amp;"' AS TABELA_LT,'"&amp;F401&amp;"' AS TABELA_SIMUL,'"&amp;C401&amp;"'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"&amp;J401&amp;" INNER JOIN "&amp;K401&amp;" "&amp;L401))</f>
        <v>SELECT 'ENTITY' AS TABELA, 'COERÊNCIA' AS TIPOLOGIA_TESTE,'CD_LOAN_TAPES_BCE.LT003_ENTITY' AS TABELA_LT,'BU_LOANTAPE_WORK.LT003_ENTITY'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 AS CAMPO_IT FROM CD_LOAN_TAPES_BCE.LT003_ENTITY WHERE ref_date='${ref_date}' AND nome_perimetro='Individual Local' AND segmento='ESTR' AND ambito='PM' AND entidade='00100')X INNER JOIN (SELECT entty_id AS CHAVE_SIMUL, intrnl_rtng AS CAMPO_SIMUL FROM BU_LOANTAPE_WORK.LT003_ENTITY WHERE ref_date='${ref_date}' AND nome_perimetro='Individual Local' AND segmento='ESTR' AND ambito='PM' AND entidade='00100')Y ON X.CHAVE_IT=Y.CHAVE_SIMUL</v>
      </c>
      <c r="N401" s="33" t="str">
        <f t="shared" si="13"/>
        <v>UNION ALL SELECT 'ENTITY' AS TABELA, 'COERÊNCIA' AS TIPOLOGIA_TESTE,'CD_LOAN_TAPES_BCE.LT003_ENTITY' AS TABELA_LT,'BU_LOANTAPE_WORK.LT003_ENTITY' AS TABELA_SIMUL,'intrnl_rtng'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 AS CAMPO_IT FROM CD_LOAN_TAPES_BCE.LT003_ENTITY WHERE ref_date='${ref_date}' AND nome_perimetro='Individual Local' AND segmento='ESTR' AND ambito='PM' AND entidade='00100')X INNER JOIN (SELECT entty_id AS CHAVE_SIMUL, intrnl_rtng AS CAMPO_SIMUL FROM BU_LOANTAPE_WORK.LT003_ENTITY WHERE ref_date='${ref_date}' AND nome_perimetro='Individual Local' AND segmento='ESTR' AND ambito='PM' AND entidade='00100')Y ON X.CHAVE_IT=Y.CHAVE_SIMUL</v>
      </c>
      <c r="O401" s="35" t="s">
        <v>35</v>
      </c>
    </row>
    <row r="402" spans="1:15">
      <c r="A402" s="57" t="str">
        <f t="shared" si="14"/>
        <v>Entityintrnl_rtng_prvs</v>
      </c>
      <c r="B402" s="32" t="s">
        <v>60</v>
      </c>
      <c r="C402" s="32" t="s">
        <v>542</v>
      </c>
      <c r="D402" s="32" t="s">
        <v>5</v>
      </c>
      <c r="E402" s="32" t="str">
        <f>+UPPER('0. Instruções'!$D$35&amp;"."&amp;VLOOKUP(B402,'0. Instruções'!$C$27:$D$32,2,FALSE))</f>
        <v>CD_LOAN_TAPES_BCE.LT003_ENTITY</v>
      </c>
      <c r="F402" s="32" t="str">
        <f>+UPPER('0. Instruções'!$D$36&amp;"."&amp;VLOOKUP(B402,'0. Instruções'!$C$27:$E$32,3,FALSE))</f>
        <v>BU_LOANTAPE_WORK.LT003_ENTITY</v>
      </c>
      <c r="H402" s="32"/>
      <c r="I402" s="32"/>
      <c r="J402" s="32" t="str">
        <f>IF(VLOOKUP(B402,'0. Instruções'!$C$27:$G$32,5,FALSE)=0,
"(SELECT "&amp;VLOOKUP(B402,'0. Instruções'!$C$27:$G$32,4,FALSE)&amp;" AS CHAVE_IT, "&amp;C402&amp;" AS CAMPO_IT FROM "&amp;E402&amp;" WHERE "&amp;'0. Instruções'!$D$43&amp;")X",
"(SELECT "&amp;VLOOKUP(B402,'0. Instruções'!$C$27:$G$32,4,FALSE)&amp;" AS CHAVE_IT1, "&amp;VLOOKUP(B402,'0. Instruções'!$C$27:$G$32,5,FALSE)&amp;" AS CHAVE_IT2, "&amp;C402&amp;" AS CAMPO_IT FROM "&amp;E402&amp;" WHERE "&amp;'0. Instruções'!$D$43&amp;")X")</f>
        <v>(SELECT entty_id AS CHAVE_IT, intrnl_rtng_prvs AS CAMPO_IT FROM CD_LOAN_TAPES_BCE.LT003_ENTITY WHERE ref_date='${ref_date}' AND nome_perimetro='Individual Local' AND segmento='ESTR' AND ambito='PM' AND entidade='00100')X</v>
      </c>
      <c r="K402" s="32" t="str">
        <f>IF(VLOOKUP(B402,'0. Instruções'!$C$27:$G$32,5,FALSE)=0,
"(SELECT "&amp;VLOOKUP(B402,'0. Instruções'!$C$27:$G$32,4,FALSE)&amp;" AS CHAVE_SIMUL, "&amp;C402&amp;" AS CAMPO_SIMUL FROM "&amp;F402&amp;" WHERE "&amp;'0. Instruções'!$D$42&amp;")Y",
"(SELECT "&amp;VLOOKUP(B402,'0. Instruções'!$C$27:$G$32,4,FALSE)&amp;" AS CHAVE_SIMUL1, "&amp;VLOOKUP(B402,'0. Instruções'!$C$27:$G$32,5,FALSE)&amp;" AS CHAVE_SIMUL2, "&amp;C402&amp;" AS CAMPO_SIMUL FROM "&amp;F402&amp;" WHERE "&amp;'0. Instruções'!$D$42&amp;")Y")</f>
        <v>(SELECT entty_id AS CHAVE_SIMUL, intrnl_rtng_prvs AS CAMPO_SIMUL FROM BU_LOANTAPE_WORK.LT003_ENTITY WHERE ref_date='${ref_date}' AND nome_perimetro='Individual Local' AND segmento='ESTR' AND ambito='PM' AND entidade='00100')Y</v>
      </c>
      <c r="L402" s="32" t="str">
        <f>IF(VLOOKUP(B402,'0. Instruções'!$C$27:$G$32,5,FALSE)=0,
"ON X.CHAVE_IT=Y.CHAVE_SIMUL",
"ON X.CHAVE_IT1=Y.CHAVE_SIMUL1 AND X.CHAVE_IT2=Y.CHAVE_SIMUL2")</f>
        <v>ON X.CHAVE_IT=Y.CHAVE_SIMUL</v>
      </c>
      <c r="M402" s="32" t="str">
        <f>+IF(D402="Coerência",+IF(LEFT(H402,5)="FLOAT","SELECT '"&amp;UPPER(B402)&amp;"' AS TABELA, '"&amp;UPPER(D402)&amp;"' AS TIPOLOGIA_TESTE,'"&amp;E402&amp;"' AS TABELA_LT,'"&amp;F402&amp;"' AS TABELA_SIMUL,'"&amp;C402&amp;"'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"&amp;J402&amp;" INNER JOIN "&amp;K402&amp;" "&amp;L402,"SELECT '"&amp;UPPER(B402)&amp;"' AS TABELA, '"&amp;UPPER(D402)&amp;"' AS TIPOLOGIA_TESTE,'"&amp;E402&amp;"' AS TABELA_LT,'"&amp;F402&amp;"' AS TABELA_SIMUL,'"&amp;C402&amp;"'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"&amp;J402&amp;" INNER JOIN "&amp;K402&amp;" "&amp;L402))</f>
        <v>SELECT 'ENTITY' AS TABELA, 'COERÊNCIA' AS TIPOLOGIA_TESTE,'CD_LOAN_TAPES_BCE.LT003_ENTITY' AS TABELA_LT,'BU_LOANTAPE_WORK.LT003_ENTITY' AS TABELA_SIMUL,'intrnl_rtng_prvs'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intrnl_rtng_prvs AS CAMPO_IT FROM CD_LOAN_TAPES_BCE.LT003_ENTITY WHERE ref_date='${ref_date}' AND nome_perimetro='Individual Local' AND segmento='ESTR' AND ambito='PM' AND entidade='00100')X INNER JOIN (SELECT entty_id AS CHAVE_SIMUL, intrnl_rtng_prvs AS CAMPO_SIMUL FROM BU_LOANTAPE_WORK.LT003_ENTITY WHERE ref_date='${ref_date}' AND nome_perimetro='Individual Local' AND segmento='ESTR' AND ambito='PM' AND entidade='00100')Y ON X.CHAVE_IT=Y.CHAVE_SIMUL</v>
      </c>
      <c r="N402" s="33" t="str">
        <f t="shared" si="13"/>
        <v>UNION ALL SELECT 'ENTITY' AS TABELA, 'COERÊNCIA' AS TIPOLOGIA_TESTE,'CD_LOAN_TAPES_BCE.LT003_ENTITY' AS TABELA_LT,'BU_LOANTAPE_WORK.LT003_ENTITY' AS TABELA_SIMUL,'intrnl_rtng_prvs'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intrnl_rtng_prvs AS CAMPO_IT FROM CD_LOAN_TAPES_BCE.LT003_ENTITY WHERE ref_date='${ref_date}' AND nome_perimetro='Individual Local' AND segmento='ESTR' AND ambito='PM' AND entidade='00100')X INNER JOIN (SELECT entty_id AS CHAVE_SIMUL, intrnl_rtng_prvs AS CAMPO_SIMUL FROM BU_LOANTAPE_WORK.LT003_ENTITY WHERE ref_date='${ref_date}' AND nome_perimetro='Individual Local' AND segmento='ESTR' AND ambito='PM' AND entidade='00100')Y ON X.CHAVE_IT=Y.CHAVE_SIMUL</v>
      </c>
      <c r="O402" s="35" t="s">
        <v>35</v>
      </c>
    </row>
    <row r="403" spans="1:15">
      <c r="A403" s="57" t="str">
        <f t="shared" si="14"/>
        <v>Entitylgl_prcdng_stts_le</v>
      </c>
      <c r="B403" s="32" t="s">
        <v>60</v>
      </c>
      <c r="C403" s="32" t="s">
        <v>543</v>
      </c>
      <c r="D403" s="32" t="s">
        <v>5</v>
      </c>
      <c r="E403" s="32" t="str">
        <f>+UPPER('0. Instruções'!$D$35&amp;"."&amp;VLOOKUP(B403,'0. Instruções'!$C$27:$D$32,2,FALSE))</f>
        <v>CD_LOAN_TAPES_BCE.LT003_ENTITY</v>
      </c>
      <c r="F403" s="32" t="str">
        <f>+UPPER('0. Instruções'!$D$36&amp;"."&amp;VLOOKUP(B403,'0. Instruções'!$C$27:$E$32,3,FALSE))</f>
        <v>BU_LOANTAPE_WORK.LT003_ENTITY</v>
      </c>
      <c r="H403" s="32"/>
      <c r="I403" s="32"/>
      <c r="J403" s="32" t="str">
        <f>IF(VLOOKUP(B403,'0. Instruções'!$C$27:$G$32,5,FALSE)=0,
"(SELECT "&amp;VLOOKUP(B403,'0. Instruções'!$C$27:$G$32,4,FALSE)&amp;" AS CHAVE_IT, "&amp;C403&amp;" AS CAMPO_IT FROM "&amp;E403&amp;" WHERE "&amp;'0. Instruções'!$D$43&amp;")X",
"(SELECT "&amp;VLOOKUP(B403,'0. Instruções'!$C$27:$G$32,4,FALSE)&amp;" AS CHAVE_IT1, "&amp;VLOOKUP(B403,'0. Instruções'!$C$27:$G$32,5,FALSE)&amp;" AS CHAVE_IT2, "&amp;C403&amp;" AS CAMPO_IT FROM "&amp;E403&amp;" WHERE "&amp;'0. Instruções'!$D$43&amp;")X")</f>
        <v>(SELECT entty_id AS CHAVE_IT, lgl_prcdng_stts_le AS CAMPO_IT FROM CD_LOAN_TAPES_BCE.LT003_ENTITY WHERE ref_date='${ref_date}' AND nome_perimetro='Individual Local' AND segmento='ESTR' AND ambito='PM' AND entidade='00100')X</v>
      </c>
      <c r="K403" s="32" t="str">
        <f>IF(VLOOKUP(B403,'0. Instruções'!$C$27:$G$32,5,FALSE)=0,
"(SELECT "&amp;VLOOKUP(B403,'0. Instruções'!$C$27:$G$32,4,FALSE)&amp;" AS CHAVE_SIMUL, "&amp;C403&amp;" AS CAMPO_SIMUL FROM "&amp;F403&amp;" WHERE "&amp;'0. Instruções'!$D$42&amp;")Y",
"(SELECT "&amp;VLOOKUP(B403,'0. Instruções'!$C$27:$G$32,4,FALSE)&amp;" AS CHAVE_SIMUL1, "&amp;VLOOKUP(B403,'0. Instruções'!$C$27:$G$32,5,FALSE)&amp;" AS CHAVE_SIMUL2, "&amp;C403&amp;" AS CAMPO_SIMUL FROM "&amp;F403&amp;" WHERE "&amp;'0. Instruções'!$D$42&amp;")Y")</f>
        <v>(SELECT entty_id AS CHAVE_SIMUL, lgl_prcdng_stts_le AS CAMPO_SIMUL FROM BU_LOANTAPE_WORK.LT003_ENTITY WHERE ref_date='${ref_date}' AND nome_perimetro='Individual Local' AND segmento='ESTR' AND ambito='PM' AND entidade='00100')Y</v>
      </c>
      <c r="L403" s="32" t="str">
        <f>IF(VLOOKUP(B403,'0. Instruções'!$C$27:$G$32,5,FALSE)=0,
"ON X.CHAVE_IT=Y.CHAVE_SIMUL",
"ON X.CHAVE_IT1=Y.CHAVE_SIMUL1 AND X.CHAVE_IT2=Y.CHAVE_SIMUL2")</f>
        <v>ON X.CHAVE_IT=Y.CHAVE_SIMUL</v>
      </c>
      <c r="M403" s="32" t="str">
        <f>+IF(D403="Coerência",+IF(LEFT(H403,5)="FLOAT","SELECT '"&amp;UPPER(B403)&amp;"' AS TABELA, '"&amp;UPPER(D403)&amp;"' AS TIPOLOGIA_TESTE,'"&amp;E403&amp;"' AS TABELA_LT,'"&amp;F403&amp;"' AS TABELA_SIMUL,'"&amp;C403&amp;"'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"&amp;J403&amp;" INNER JOIN "&amp;K403&amp;" "&amp;L403,"SELECT '"&amp;UPPER(B403)&amp;"' AS TABELA, '"&amp;UPPER(D403)&amp;"' AS TIPOLOGIA_TESTE,'"&amp;E403&amp;"' AS TABELA_LT,'"&amp;F403&amp;"' AS TABELA_SIMUL,'"&amp;C403&amp;"'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"&amp;J403&amp;" INNER JOIN "&amp;K403&amp;" "&amp;L403))</f>
        <v>SELECT 'ENTITY' AS TABELA, 'COERÊNCIA' AS TIPOLOGIA_TESTE,'CD_LOAN_TAPES_BCE.LT003_ENTITY' AS TABELA_LT,'BU_LOANTAPE_WORK.LT003_ENTITY' AS TABELA_SIMUL,'lgl_prcdng_stts_le'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lgl_prcdng_stts_le AS CAMPO_IT FROM CD_LOAN_TAPES_BCE.LT003_ENTITY WHERE ref_date='${ref_date}' AND nome_perimetro='Individual Local' AND segmento='ESTR' AND ambito='PM' AND entidade='00100')X INNER JOIN (SELECT entty_id AS CHAVE_SIMUL, lgl_prcdng_stts_le AS CAMPO_SIMUL FROM BU_LOANTAPE_WORK.LT003_ENTITY WHERE ref_date='${ref_date}' AND nome_perimetro='Individual Local' AND segmento='ESTR' AND ambito='PM' AND entidade='00100')Y ON X.CHAVE_IT=Y.CHAVE_SIMUL</v>
      </c>
      <c r="N403" s="33" t="str">
        <f t="shared" si="13"/>
        <v>UNION ALL SELECT 'ENTITY' AS TABELA, 'COERÊNCIA' AS TIPOLOGIA_TESTE,'CD_LOAN_TAPES_BCE.LT003_ENTITY' AS TABELA_LT,'BU_LOANTAPE_WORK.LT003_ENTITY' AS TABELA_SIMUL,'lgl_prcdng_stts_le'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lgl_prcdng_stts_le AS CAMPO_IT FROM CD_LOAN_TAPES_BCE.LT003_ENTITY WHERE ref_date='${ref_date}' AND nome_perimetro='Individual Local' AND segmento='ESTR' AND ambito='PM' AND entidade='00100')X INNER JOIN (SELECT entty_id AS CHAVE_SIMUL, lgl_prcdng_stts_le AS CAMPO_SIMUL FROM BU_LOANTAPE_WORK.LT003_ENTITY WHERE ref_date='${ref_date}' AND nome_perimetro='Individual Local' AND segmento='ESTR' AND ambito='PM' AND entidade='00100')Y ON X.CHAVE_IT=Y.CHAVE_SIMUL</v>
      </c>
      <c r="O403" s="35" t="s">
        <v>35</v>
      </c>
    </row>
    <row r="404" spans="1:15">
      <c r="A404" s="57" t="str">
        <f t="shared" si="14"/>
        <v>Entityownd_by_spnsr</v>
      </c>
      <c r="B404" s="32" t="s">
        <v>60</v>
      </c>
      <c r="C404" s="32" t="s">
        <v>544</v>
      </c>
      <c r="D404" s="32" t="s">
        <v>5</v>
      </c>
      <c r="E404" s="32" t="str">
        <f>+UPPER('0. Instruções'!$D$35&amp;"."&amp;VLOOKUP(B404,'0. Instruções'!$C$27:$D$32,2,FALSE))</f>
        <v>CD_LOAN_TAPES_BCE.LT003_ENTITY</v>
      </c>
      <c r="F404" s="32" t="str">
        <f>+UPPER('0. Instruções'!$D$36&amp;"."&amp;VLOOKUP(B404,'0. Instruções'!$C$27:$E$32,3,FALSE))</f>
        <v>BU_LOANTAPE_WORK.LT003_ENTITY</v>
      </c>
      <c r="H404" s="32"/>
      <c r="I404" s="32"/>
      <c r="J404" s="32" t="str">
        <f>IF(VLOOKUP(B404,'0. Instruções'!$C$27:$G$32,5,FALSE)=0,
"(SELECT "&amp;VLOOKUP(B404,'0. Instruções'!$C$27:$G$32,4,FALSE)&amp;" AS CHAVE_IT, "&amp;C404&amp;" AS CAMPO_IT FROM "&amp;E404&amp;" WHERE "&amp;'0. Instruções'!$D$43&amp;")X",
"(SELECT "&amp;VLOOKUP(B404,'0. Instruções'!$C$27:$G$32,4,FALSE)&amp;" AS CHAVE_IT1, "&amp;VLOOKUP(B404,'0. Instruções'!$C$27:$G$32,5,FALSE)&amp;" AS CHAVE_IT2, "&amp;C404&amp;" AS CAMPO_IT FROM "&amp;E404&amp;" WHERE "&amp;'0. Instruções'!$D$43&amp;")X")</f>
        <v>(SELECT entty_id AS CHAVE_IT, ownd_by_spnsr AS CAMPO_IT FROM CD_LOAN_TAPES_BCE.LT003_ENTITY WHERE ref_date='${ref_date}' AND nome_perimetro='Individual Local' AND segmento='ESTR' AND ambito='PM' AND entidade='00100')X</v>
      </c>
      <c r="K404" s="32" t="str">
        <f>IF(VLOOKUP(B404,'0. Instruções'!$C$27:$G$32,5,FALSE)=0,
"(SELECT "&amp;VLOOKUP(B404,'0. Instruções'!$C$27:$G$32,4,FALSE)&amp;" AS CHAVE_SIMUL, "&amp;C404&amp;" AS CAMPO_SIMUL FROM "&amp;F404&amp;" WHERE "&amp;'0. Instruções'!$D$42&amp;")Y",
"(SELECT "&amp;VLOOKUP(B404,'0. Instruções'!$C$27:$G$32,4,FALSE)&amp;" AS CHAVE_SIMUL1, "&amp;VLOOKUP(B404,'0. Instruções'!$C$27:$G$32,5,FALSE)&amp;" AS CHAVE_SIMUL2, "&amp;C404&amp;" AS CAMPO_SIMUL FROM "&amp;F404&amp;" WHERE "&amp;'0. Instruções'!$D$42&amp;")Y")</f>
        <v>(SELECT entty_id AS CHAVE_SIMUL, ownd_by_spnsr AS CAMPO_SIMUL FROM BU_LOANTAPE_WORK.LT003_ENTITY WHERE ref_date='${ref_date}' AND nome_perimetro='Individual Local' AND segmento='ESTR' AND ambito='PM' AND entidade='00100')Y</v>
      </c>
      <c r="L404" s="32" t="str">
        <f>IF(VLOOKUP(B404,'0. Instruções'!$C$27:$G$32,5,FALSE)=0,
"ON X.CHAVE_IT=Y.CHAVE_SIMUL",
"ON X.CHAVE_IT1=Y.CHAVE_SIMUL1 AND X.CHAVE_IT2=Y.CHAVE_SIMUL2")</f>
        <v>ON X.CHAVE_IT=Y.CHAVE_SIMUL</v>
      </c>
      <c r="M404" s="32" t="str">
        <f>+IF(D404="Coerência",+IF(LEFT(H404,5)="FLOAT","SELECT '"&amp;UPPER(B404)&amp;"' AS TABELA, '"&amp;UPPER(D404)&amp;"' AS TIPOLOGIA_TESTE,'"&amp;E404&amp;"' AS TABELA_LT,'"&amp;F404&amp;"' AS TABELA_SIMUL,'"&amp;C404&amp;"'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"&amp;J404&amp;" INNER JOIN "&amp;K404&amp;" "&amp;L404,"SELECT '"&amp;UPPER(B404)&amp;"' AS TABELA, '"&amp;UPPER(D404)&amp;"' AS TIPOLOGIA_TESTE,'"&amp;E404&amp;"' AS TABELA_LT,'"&amp;F404&amp;"' AS TABELA_SIMUL,'"&amp;C404&amp;"'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"&amp;J404&amp;" INNER JOIN "&amp;K404&amp;" "&amp;L404))</f>
        <v>SELECT 'ENTITY' AS TABELA, 'COERÊNCIA' AS TIPOLOGIA_TESTE,'CD_LOAN_TAPES_BCE.LT003_ENTITY' AS TABELA_LT,'BU_LOANTAPE_WORK.LT003_ENTITY' AS TABELA_SIMUL,'ownd_by_spnsr'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ownd_by_spnsr AS CAMPO_IT FROM CD_LOAN_TAPES_BCE.LT003_ENTITY WHERE ref_date='${ref_date}' AND nome_perimetro='Individual Local' AND segmento='ESTR' AND ambito='PM' AND entidade='00100')X INNER JOIN (SELECT entty_id AS CHAVE_SIMUL, ownd_by_spnsr AS CAMPO_SIMUL FROM BU_LOANTAPE_WORK.LT003_ENTITY WHERE ref_date='${ref_date}' AND nome_perimetro='Individual Local' AND segmento='ESTR' AND ambito='PM' AND entidade='00100')Y ON X.CHAVE_IT=Y.CHAVE_SIMUL</v>
      </c>
      <c r="N404" s="33" t="str">
        <f t="shared" si="13"/>
        <v>UNION ALL SELECT 'ENTITY' AS TABELA, 'COERÊNCIA' AS TIPOLOGIA_TESTE,'CD_LOAN_TAPES_BCE.LT003_ENTITY' AS TABELA_LT,'BU_LOANTAPE_WORK.LT003_ENTITY' AS TABELA_SIMUL,'ownd_by_spnsr'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ownd_by_spnsr AS CAMPO_IT FROM CD_LOAN_TAPES_BCE.LT003_ENTITY WHERE ref_date='${ref_date}' AND nome_perimetro='Individual Local' AND segmento='ESTR' AND ambito='PM' AND entidade='00100')X INNER JOIN (SELECT entty_id AS CHAVE_SIMUL, ownd_by_spnsr AS CAMPO_SIMUL FROM BU_LOANTAPE_WORK.LT003_ENTITY WHERE ref_date='${ref_date}' AND nome_perimetro='Individual Local' AND segmento='ESTR' AND ambito='PM' AND entidade='00100')Y ON X.CHAVE_IT=Y.CHAVE_SIMUL</v>
      </c>
      <c r="O404" s="35" t="s">
        <v>35</v>
      </c>
    </row>
    <row r="405" spans="1:15">
      <c r="A405" s="57" t="str">
        <f t="shared" si="14"/>
        <v>Entityprfrmng_stts_le</v>
      </c>
      <c r="B405" s="32" t="s">
        <v>60</v>
      </c>
      <c r="C405" s="32" t="s">
        <v>545</v>
      </c>
      <c r="D405" s="32" t="s">
        <v>5</v>
      </c>
      <c r="E405" s="32" t="str">
        <f>+UPPER('0. Instruções'!$D$35&amp;"."&amp;VLOOKUP(B405,'0. Instruções'!$C$27:$D$32,2,FALSE))</f>
        <v>CD_LOAN_TAPES_BCE.LT003_ENTITY</v>
      </c>
      <c r="F405" s="32" t="str">
        <f>+UPPER('0. Instruções'!$D$36&amp;"."&amp;VLOOKUP(B405,'0. Instruções'!$C$27:$E$32,3,FALSE))</f>
        <v>BU_LOANTAPE_WORK.LT003_ENTITY</v>
      </c>
      <c r="H405" s="32"/>
      <c r="I405" s="32"/>
      <c r="J405" s="32" t="str">
        <f>IF(VLOOKUP(B405,'0. Instruções'!$C$27:$G$32,5,FALSE)=0,
"(SELECT "&amp;VLOOKUP(B405,'0. Instruções'!$C$27:$G$32,4,FALSE)&amp;" AS CHAVE_IT, "&amp;C405&amp;" AS CAMPO_IT FROM "&amp;E405&amp;" WHERE "&amp;'0. Instruções'!$D$43&amp;")X",
"(SELECT "&amp;VLOOKUP(B405,'0. Instruções'!$C$27:$G$32,4,FALSE)&amp;" AS CHAVE_IT1, "&amp;VLOOKUP(B405,'0. Instruções'!$C$27:$G$32,5,FALSE)&amp;" AS CHAVE_IT2, "&amp;C405&amp;" AS CAMPO_IT FROM "&amp;E405&amp;" WHERE "&amp;'0. Instruções'!$D$43&amp;")X")</f>
        <v>(SELECT entty_id AS CHAVE_IT, prfrmng_stts_le AS CAMPO_IT FROM CD_LOAN_TAPES_BCE.LT003_ENTITY WHERE ref_date='${ref_date}' AND nome_perimetro='Individual Local' AND segmento='ESTR' AND ambito='PM' AND entidade='00100')X</v>
      </c>
      <c r="K405" s="32" t="str">
        <f>IF(VLOOKUP(B405,'0. Instruções'!$C$27:$G$32,5,FALSE)=0,
"(SELECT "&amp;VLOOKUP(B405,'0. Instruções'!$C$27:$G$32,4,FALSE)&amp;" AS CHAVE_SIMUL, "&amp;C405&amp;" AS CAMPO_SIMUL FROM "&amp;F405&amp;" WHERE "&amp;'0. Instruções'!$D$42&amp;")Y",
"(SELECT "&amp;VLOOKUP(B405,'0. Instruções'!$C$27:$G$32,4,FALSE)&amp;" AS CHAVE_SIMUL1, "&amp;VLOOKUP(B405,'0. Instruções'!$C$27:$G$32,5,FALSE)&amp;" AS CHAVE_SIMUL2, "&amp;C405&amp;" AS CAMPO_SIMUL FROM "&amp;F405&amp;" WHERE "&amp;'0. Instruções'!$D$42&amp;")Y")</f>
        <v>(SELECT entty_id AS CHAVE_SIMUL, prfrmng_stts_le AS CAMPO_SIMUL FROM BU_LOANTAPE_WORK.LT003_ENTITY WHERE ref_date='${ref_date}' AND nome_perimetro='Individual Local' AND segmento='ESTR' AND ambito='PM' AND entidade='00100')Y</v>
      </c>
      <c r="L405" s="32" t="str">
        <f>IF(VLOOKUP(B405,'0. Instruções'!$C$27:$G$32,5,FALSE)=0,
"ON X.CHAVE_IT=Y.CHAVE_SIMUL",
"ON X.CHAVE_IT1=Y.CHAVE_SIMUL1 AND X.CHAVE_IT2=Y.CHAVE_SIMUL2")</f>
        <v>ON X.CHAVE_IT=Y.CHAVE_SIMUL</v>
      </c>
      <c r="M405" s="32" t="str">
        <f>+IF(D405="Coerência",+IF(LEFT(H405,5)="FLOAT","SELECT '"&amp;UPPER(B405)&amp;"' AS TABELA, '"&amp;UPPER(D405)&amp;"' AS TIPOLOGIA_TESTE,'"&amp;E405&amp;"' AS TABELA_LT,'"&amp;F405&amp;"' AS TABELA_SIMUL,'"&amp;C405&amp;"'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"&amp;J405&amp;" INNER JOIN "&amp;K405&amp;" "&amp;L405,"SELECT '"&amp;UPPER(B405)&amp;"' AS TABELA, '"&amp;UPPER(D405)&amp;"' AS TIPOLOGIA_TESTE,'"&amp;E405&amp;"' AS TABELA_LT,'"&amp;F405&amp;"' AS TABELA_SIMUL,'"&amp;C405&amp;"'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"&amp;J405&amp;" INNER JOIN "&amp;K405&amp;" "&amp;L405))</f>
        <v>SELECT 'ENTITY' AS TABELA, 'COERÊNCIA' AS TIPOLOGIA_TESTE,'CD_LOAN_TAPES_BCE.LT003_ENTITY' AS TABELA_LT,'BU_LOANTAPE_WORK.LT003_ENTITY' AS TABELA_SIMUL,'prfrmng_stts_le'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prfrmng_stts_le AS CAMPO_IT FROM CD_LOAN_TAPES_BCE.LT003_ENTITY WHERE ref_date='${ref_date}' AND nome_perimetro='Individual Local' AND segmento='ESTR' AND ambito='PM' AND entidade='00100')X INNER JOIN (SELECT entty_id AS CHAVE_SIMUL, prfrmng_stts_le AS CAMPO_SIMUL FROM BU_LOANTAPE_WORK.LT003_ENTITY WHERE ref_date='${ref_date}' AND nome_perimetro='Individual Local' AND segmento='ESTR' AND ambito='PM' AND entidade='00100')Y ON X.CHAVE_IT=Y.CHAVE_SIMUL</v>
      </c>
      <c r="N405" s="33" t="str">
        <f t="shared" si="13"/>
        <v>UNION ALL SELECT 'ENTITY' AS TABELA, 'COERÊNCIA' AS TIPOLOGIA_TESTE,'CD_LOAN_TAPES_BCE.LT003_ENTITY' AS TABELA_LT,'BU_LOANTAPE_WORK.LT003_ENTITY' AS TABELA_SIMUL,'prfrmng_stts_le'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prfrmng_stts_le AS CAMPO_IT FROM CD_LOAN_TAPES_BCE.LT003_ENTITY WHERE ref_date='${ref_date}' AND nome_perimetro='Individual Local' AND segmento='ESTR' AND ambito='PM' AND entidade='00100')X INNER JOIN (SELECT entty_id AS CHAVE_SIMUL, prfrmng_stts_le AS CAMPO_SIMUL FROM BU_LOANTAPE_WORK.LT003_ENTITY WHERE ref_date='${ref_date}' AND nome_perimetro='Individual Local' AND segmento='ESTR' AND ambito='PM' AND entidade='00100')Y ON X.CHAVE_IT=Y.CHAVE_SIMUL</v>
      </c>
      <c r="O405" s="35" t="s">
        <v>35</v>
      </c>
    </row>
    <row r="406" spans="1:15">
      <c r="A406" s="57" t="str">
        <f t="shared" si="14"/>
        <v>Entityrtng_mthd</v>
      </c>
      <c r="B406" s="32" t="s">
        <v>60</v>
      </c>
      <c r="C406" s="32" t="s">
        <v>340</v>
      </c>
      <c r="D406" s="32" t="s">
        <v>5</v>
      </c>
      <c r="E406" s="32" t="str">
        <f>+UPPER('0. Instruções'!$D$35&amp;"."&amp;VLOOKUP(B406,'0. Instruções'!$C$27:$D$32,2,FALSE))</f>
        <v>CD_LOAN_TAPES_BCE.LT003_ENTITY</v>
      </c>
      <c r="F406" s="32" t="str">
        <f>+UPPER('0. Instruções'!$D$36&amp;"."&amp;VLOOKUP(B406,'0. Instruções'!$C$27:$E$32,3,FALSE))</f>
        <v>BU_LOANTAPE_WORK.LT003_ENTITY</v>
      </c>
      <c r="H406" s="32"/>
      <c r="I406" s="32"/>
      <c r="J406" s="32" t="str">
        <f>IF(VLOOKUP(B406,'0. Instruções'!$C$27:$G$32,5,FALSE)=0,
"(SELECT "&amp;VLOOKUP(B406,'0. Instruções'!$C$27:$G$32,4,FALSE)&amp;" AS CHAVE_IT, "&amp;C406&amp;" AS CAMPO_IT FROM "&amp;E406&amp;" WHERE "&amp;'0. Instruções'!$D$43&amp;")X",
"(SELECT "&amp;VLOOKUP(B406,'0. Instruções'!$C$27:$G$32,4,FALSE)&amp;" AS CHAVE_IT1, "&amp;VLOOKUP(B406,'0. Instruções'!$C$27:$G$32,5,FALSE)&amp;" AS CHAVE_IT2, "&amp;C406&amp;" AS CAMPO_IT FROM "&amp;E406&amp;" WHERE "&amp;'0. Instruções'!$D$43&amp;")X")</f>
        <v>(SELECT entty_id AS CHAVE_IT, rtng_mthd AS CAMPO_IT FROM CD_LOAN_TAPES_BCE.LT003_ENTITY WHERE ref_date='${ref_date}' AND nome_perimetro='Individual Local' AND segmento='ESTR' AND ambito='PM' AND entidade='00100')X</v>
      </c>
      <c r="K406" s="32" t="str">
        <f>IF(VLOOKUP(B406,'0. Instruções'!$C$27:$G$32,5,FALSE)=0,
"(SELECT "&amp;VLOOKUP(B406,'0. Instruções'!$C$27:$G$32,4,FALSE)&amp;" AS CHAVE_SIMUL, "&amp;C406&amp;" AS CAMPO_SIMUL FROM "&amp;F406&amp;" WHERE "&amp;'0. Instruções'!$D$42&amp;")Y",
"(SELECT "&amp;VLOOKUP(B406,'0. Instruções'!$C$27:$G$32,4,FALSE)&amp;" AS CHAVE_SIMUL1, "&amp;VLOOKUP(B406,'0. Instruções'!$C$27:$G$32,5,FALSE)&amp;" AS CHAVE_SIMUL2, "&amp;C406&amp;" AS CAMPO_SIMUL FROM "&amp;F406&amp;" WHERE "&amp;'0. Instruções'!$D$42&amp;")Y")</f>
        <v>(SELECT entty_id AS CHAVE_SIMUL, rtng_mthd AS CAMPO_SIMUL FROM BU_LOANTAPE_WORK.LT003_ENTITY WHERE ref_date='${ref_date}' AND nome_perimetro='Individual Local' AND segmento='ESTR' AND ambito='PM' AND entidade='00100')Y</v>
      </c>
      <c r="L406" s="32" t="str">
        <f>IF(VLOOKUP(B406,'0. Instruções'!$C$27:$G$32,5,FALSE)=0,
"ON X.CHAVE_IT=Y.CHAVE_SIMUL",
"ON X.CHAVE_IT1=Y.CHAVE_SIMUL1 AND X.CHAVE_IT2=Y.CHAVE_SIMUL2")</f>
        <v>ON X.CHAVE_IT=Y.CHAVE_SIMUL</v>
      </c>
      <c r="M406" s="32" t="str">
        <f>+IF(D406="Coerência",+IF(LEFT(H406,5)="FLOAT","SELECT '"&amp;UPPER(B406)&amp;"' AS TABELA, '"&amp;UPPER(D406)&amp;"' AS TIPOLOGIA_TESTE,'"&amp;E406&amp;"' AS TABELA_LT,'"&amp;F406&amp;"' AS TABELA_SIMUL,'"&amp;C406&amp;"'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"&amp;J406&amp;" INNER JOIN "&amp;K406&amp;" "&amp;L406,"SELECT '"&amp;UPPER(B406)&amp;"' AS TABELA, '"&amp;UPPER(D406)&amp;"' AS TIPOLOGIA_TESTE,'"&amp;E406&amp;"' AS TABELA_LT,'"&amp;F406&amp;"' AS TABELA_SIMUL,'"&amp;C406&amp;"'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"&amp;J406&amp;" INNER JOIN "&amp;K406&amp;" "&amp;L406))</f>
        <v>SELECT 'ENTITY' AS TABELA, 'COERÊNCIA' AS TIPOLOGIA_TESTE,'CD_LOAN_TAPES_BCE.LT003_ENTITY' AS TABELA_LT,'BU_LOANTAPE_WORK.LT003_ENTITY'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rtng_mthd AS CAMPO_IT FROM CD_LOAN_TAPES_BCE.LT003_ENTITY WHERE ref_date='${ref_date}' AND nome_perimetro='Individual Local' AND segmento='ESTR' AND ambito='PM' AND entidade='00100')X INNER JOIN (SELECT entty_id AS CHAVE_SIMUL, rtng_mthd AS CAMPO_SIMUL FROM BU_LOANTAPE_WORK.LT003_ENTITY WHERE ref_date='${ref_date}' AND nome_perimetro='Individual Local' AND segmento='ESTR' AND ambito='PM' AND entidade='00100')Y ON X.CHAVE_IT=Y.CHAVE_SIMUL</v>
      </c>
      <c r="N406" s="33" t="str">
        <f t="shared" si="13"/>
        <v>UNION ALL SELECT 'ENTITY' AS TABELA, 'COERÊNCIA' AS TIPOLOGIA_TESTE,'CD_LOAN_TAPES_BCE.LT003_ENTITY' AS TABELA_LT,'BU_LOANTAPE_WORK.LT003_ENTITY' AS TABELA_SIMUL,'rtng_mthd'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rtng_mthd AS CAMPO_IT FROM CD_LOAN_TAPES_BCE.LT003_ENTITY WHERE ref_date='${ref_date}' AND nome_perimetro='Individual Local' AND segmento='ESTR' AND ambito='PM' AND entidade='00100')X INNER JOIN (SELECT entty_id AS CHAVE_SIMUL, rtng_mthd AS CAMPO_SIMUL FROM BU_LOANTAPE_WORK.LT003_ENTITY WHERE ref_date='${ref_date}' AND nome_perimetro='Individual Local' AND segmento='ESTR' AND ambito='PM' AND entidade='00100')Y ON X.CHAVE_IT=Y.CHAVE_SIMUL</v>
      </c>
      <c r="O406" s="35" t="s">
        <v>35</v>
      </c>
    </row>
    <row r="407" spans="1:15">
      <c r="A407" s="57" t="str">
        <f t="shared" si="14"/>
        <v>Entityrtng_scl</v>
      </c>
      <c r="B407" s="32" t="s">
        <v>60</v>
      </c>
      <c r="C407" s="32" t="s">
        <v>341</v>
      </c>
      <c r="D407" s="32" t="s">
        <v>5</v>
      </c>
      <c r="E407" s="32" t="str">
        <f>+UPPER('0. Instruções'!$D$35&amp;"."&amp;VLOOKUP(B407,'0. Instruções'!$C$27:$D$32,2,FALSE))</f>
        <v>CD_LOAN_TAPES_BCE.LT003_ENTITY</v>
      </c>
      <c r="F407" s="32" t="str">
        <f>+UPPER('0. Instruções'!$D$36&amp;"."&amp;VLOOKUP(B407,'0. Instruções'!$C$27:$E$32,3,FALSE))</f>
        <v>BU_LOANTAPE_WORK.LT003_ENTITY</v>
      </c>
      <c r="H407" s="32"/>
      <c r="I407" s="32"/>
      <c r="J407" s="32" t="str">
        <f>IF(VLOOKUP(B407,'0. Instruções'!$C$27:$G$32,5,FALSE)=0,
"(SELECT "&amp;VLOOKUP(B407,'0. Instruções'!$C$27:$G$32,4,FALSE)&amp;" AS CHAVE_IT, "&amp;C407&amp;" AS CAMPO_IT FROM "&amp;E407&amp;" WHERE "&amp;'0. Instruções'!$D$43&amp;")X",
"(SELECT "&amp;VLOOKUP(B407,'0. Instruções'!$C$27:$G$32,4,FALSE)&amp;" AS CHAVE_IT1, "&amp;VLOOKUP(B407,'0. Instruções'!$C$27:$G$32,5,FALSE)&amp;" AS CHAVE_IT2, "&amp;C407&amp;" AS CAMPO_IT FROM "&amp;E407&amp;" WHERE "&amp;'0. Instruções'!$D$43&amp;")X")</f>
        <v>(SELECT entty_id AS CHAVE_IT, rtng_scl AS CAMPO_IT FROM CD_LOAN_TAPES_BCE.LT003_ENTITY WHERE ref_date='${ref_date}' AND nome_perimetro='Individual Local' AND segmento='ESTR' AND ambito='PM' AND entidade='00100')X</v>
      </c>
      <c r="K407" s="32" t="str">
        <f>IF(VLOOKUP(B407,'0. Instruções'!$C$27:$G$32,5,FALSE)=0,
"(SELECT "&amp;VLOOKUP(B407,'0. Instruções'!$C$27:$G$32,4,FALSE)&amp;" AS CHAVE_SIMUL, "&amp;C407&amp;" AS CAMPO_SIMUL FROM "&amp;F407&amp;" WHERE "&amp;'0. Instruções'!$D$42&amp;")Y",
"(SELECT "&amp;VLOOKUP(B407,'0. Instruções'!$C$27:$G$32,4,FALSE)&amp;" AS CHAVE_SIMUL1, "&amp;VLOOKUP(B407,'0. Instruções'!$C$27:$G$32,5,FALSE)&amp;" AS CHAVE_SIMUL2, "&amp;C407&amp;" AS CAMPO_SIMUL FROM "&amp;F407&amp;" WHERE "&amp;'0. Instruções'!$D$42&amp;")Y")</f>
        <v>(SELECT entty_id AS CHAVE_SIMUL, rtng_scl AS CAMPO_SIMUL FROM BU_LOANTAPE_WORK.LT003_ENTITY WHERE ref_date='${ref_date}' AND nome_perimetro='Individual Local' AND segmento='ESTR' AND ambito='PM' AND entidade='00100')Y</v>
      </c>
      <c r="L407" s="32" t="str">
        <f>IF(VLOOKUP(B407,'0. Instruções'!$C$27:$G$32,5,FALSE)=0,
"ON X.CHAVE_IT=Y.CHAVE_SIMUL",
"ON X.CHAVE_IT1=Y.CHAVE_SIMUL1 AND X.CHAVE_IT2=Y.CHAVE_SIMUL2")</f>
        <v>ON X.CHAVE_IT=Y.CHAVE_SIMUL</v>
      </c>
      <c r="M407" s="32" t="str">
        <f>+IF(D407="Coerência",+IF(LEFT(H407,5)="FLOAT","SELECT '"&amp;UPPER(B407)&amp;"' AS TABELA, '"&amp;UPPER(D407)&amp;"' AS TIPOLOGIA_TESTE,'"&amp;E407&amp;"' AS TABELA_LT,'"&amp;F407&amp;"' AS TABELA_SIMUL,'"&amp;C407&amp;"'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"&amp;J407&amp;" INNER JOIN "&amp;K407&amp;" "&amp;L407,"SELECT '"&amp;UPPER(B407)&amp;"' AS TABELA, '"&amp;UPPER(D407)&amp;"' AS TIPOLOGIA_TESTE,'"&amp;E407&amp;"' AS TABELA_LT,'"&amp;F407&amp;"' AS TABELA_SIMUL,'"&amp;C407&amp;"'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"&amp;J407&amp;" INNER JOIN "&amp;K407&amp;" "&amp;L407))</f>
        <v>SELECT 'ENTITY' AS TABELA, 'COERÊNCIA' AS TIPOLOGIA_TESTE,'CD_LOAN_TAPES_BCE.LT003_ENTITY' AS TABELA_LT,'BU_LOANTAPE_WORK.LT003_ENTITY'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rtng_scl AS CAMPO_IT FROM CD_LOAN_TAPES_BCE.LT003_ENTITY WHERE ref_date='${ref_date}' AND nome_perimetro='Individual Local' AND segmento='ESTR' AND ambito='PM' AND entidade='00100')X INNER JOIN (SELECT entty_id AS CHAVE_SIMUL, rtng_scl AS CAMPO_SIMUL FROM BU_LOANTAPE_WORK.LT003_ENTITY WHERE ref_date='${ref_date}' AND nome_perimetro='Individual Local' AND segmento='ESTR' AND ambito='PM' AND entidade='00100')Y ON X.CHAVE_IT=Y.CHAVE_SIMUL</v>
      </c>
      <c r="N407" s="33" t="str">
        <f t="shared" si="13"/>
        <v>UNION ALL SELECT 'ENTITY' AS TABELA, 'COERÊNCIA' AS TIPOLOGIA_TESTE,'CD_LOAN_TAPES_BCE.LT003_ENTITY' AS TABELA_LT,'BU_LOANTAPE_WORK.LT003_ENTITY' AS TABELA_SIMUL,'rtng_scl'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rtng_scl AS CAMPO_IT FROM CD_LOAN_TAPES_BCE.LT003_ENTITY WHERE ref_date='${ref_date}' AND nome_perimetro='Individual Local' AND segmento='ESTR' AND ambito='PM' AND entidade='00100')X INNER JOIN (SELECT entty_id AS CHAVE_SIMUL, rtng_scl AS CAMPO_SIMUL FROM BU_LOANTAPE_WORK.LT003_ENTITY WHERE ref_date='${ref_date}' AND nome_perimetro='Individual Local' AND segmento='ESTR' AND ambito='PM' AND entidade='00100')Y ON X.CHAVE_IT=Y.CHAVE_SIMUL</v>
      </c>
      <c r="O407" s="35" t="s">
        <v>35</v>
      </c>
    </row>
    <row r="408" spans="1:15">
      <c r="A408" s="57" t="str">
        <f t="shared" si="14"/>
        <v>Entitywtch_lst</v>
      </c>
      <c r="B408" s="32" t="s">
        <v>60</v>
      </c>
      <c r="C408" s="32" t="s">
        <v>546</v>
      </c>
      <c r="D408" s="32" t="s">
        <v>5</v>
      </c>
      <c r="E408" s="32" t="str">
        <f>+UPPER('0. Instruções'!$D$35&amp;"."&amp;VLOOKUP(B408,'0. Instruções'!$C$27:$D$32,2,FALSE))</f>
        <v>CD_LOAN_TAPES_BCE.LT003_ENTITY</v>
      </c>
      <c r="F408" s="32" t="str">
        <f>+UPPER('0. Instruções'!$D$36&amp;"."&amp;VLOOKUP(B408,'0. Instruções'!$C$27:$E$32,3,FALSE))</f>
        <v>BU_LOANTAPE_WORK.LT003_ENTITY</v>
      </c>
      <c r="H408" s="32"/>
      <c r="I408" s="32"/>
      <c r="J408" s="32" t="str">
        <f>IF(VLOOKUP(B408,'0. Instruções'!$C$27:$G$32,5,FALSE)=0,
"(SELECT "&amp;VLOOKUP(B408,'0. Instruções'!$C$27:$G$32,4,FALSE)&amp;" AS CHAVE_IT, "&amp;C408&amp;" AS CAMPO_IT FROM "&amp;E408&amp;" WHERE "&amp;'0. Instruções'!$D$43&amp;")X",
"(SELECT "&amp;VLOOKUP(B408,'0. Instruções'!$C$27:$G$32,4,FALSE)&amp;" AS CHAVE_IT1, "&amp;VLOOKUP(B408,'0. Instruções'!$C$27:$G$32,5,FALSE)&amp;" AS CHAVE_IT2, "&amp;C408&amp;" AS CAMPO_IT FROM "&amp;E408&amp;" WHERE "&amp;'0. Instruções'!$D$43&amp;")X")</f>
        <v>(SELECT entty_id AS CHAVE_IT, wtch_lst AS CAMPO_IT FROM CD_LOAN_TAPES_BCE.LT003_ENTITY WHERE ref_date='${ref_date}' AND nome_perimetro='Individual Local' AND segmento='ESTR' AND ambito='PM' AND entidade='00100')X</v>
      </c>
      <c r="K408" s="32" t="str">
        <f>IF(VLOOKUP(B408,'0. Instruções'!$C$27:$G$32,5,FALSE)=0,
"(SELECT "&amp;VLOOKUP(B408,'0. Instruções'!$C$27:$G$32,4,FALSE)&amp;" AS CHAVE_SIMUL, "&amp;C408&amp;" AS CAMPO_SIMUL FROM "&amp;F408&amp;" WHERE "&amp;'0. Instruções'!$D$42&amp;")Y",
"(SELECT "&amp;VLOOKUP(B408,'0. Instruções'!$C$27:$G$32,4,FALSE)&amp;" AS CHAVE_SIMUL1, "&amp;VLOOKUP(B408,'0. Instruções'!$C$27:$G$32,5,FALSE)&amp;" AS CHAVE_SIMUL2, "&amp;C408&amp;" AS CAMPO_SIMUL FROM "&amp;F408&amp;" WHERE "&amp;'0. Instruções'!$D$42&amp;")Y")</f>
        <v>(SELECT entty_id AS CHAVE_SIMUL, wtch_lst AS CAMPO_SIMUL FROM BU_LOANTAPE_WORK.LT003_ENTITY WHERE ref_date='${ref_date}' AND nome_perimetro='Individual Local' AND segmento='ESTR' AND ambito='PM' AND entidade='00100')Y</v>
      </c>
      <c r="L408" s="32" t="str">
        <f>IF(VLOOKUP(B408,'0. Instruções'!$C$27:$G$32,5,FALSE)=0,
"ON X.CHAVE_IT=Y.CHAVE_SIMUL",
"ON X.CHAVE_IT1=Y.CHAVE_SIMUL1 AND X.CHAVE_IT2=Y.CHAVE_SIMUL2")</f>
        <v>ON X.CHAVE_IT=Y.CHAVE_SIMUL</v>
      </c>
      <c r="M408" s="32" t="str">
        <f>+IF(D408="Coerência",+IF(LEFT(H408,5)="FLOAT","SELECT '"&amp;UPPER(B408)&amp;"' AS TABELA, '"&amp;UPPER(D408)&amp;"' AS TIPOLOGIA_TESTE,'"&amp;E408&amp;"' AS TABELA_LT,'"&amp;F408&amp;"' AS TABELA_SIMUL,'"&amp;C408&amp;"'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"&amp;J408&amp;" INNER JOIN "&amp;K408&amp;" "&amp;L408,"SELECT '"&amp;UPPER(B408)&amp;"' AS TABELA, '"&amp;UPPER(D408)&amp;"' AS TIPOLOGIA_TESTE,'"&amp;E408&amp;"' AS TABELA_LT,'"&amp;F408&amp;"' AS TABELA_SIMUL,'"&amp;C408&amp;"'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"&amp;J408&amp;" INNER JOIN "&amp;K408&amp;" "&amp;L408))</f>
        <v>SELECT 'ENTITY' AS TABELA, 'COERÊNCIA' AS TIPOLOGIA_TESTE,'CD_LOAN_TAPES_BCE.LT003_ENTITY' AS TABELA_LT,'BU_LOANTAPE_WORK.LT003_ENTITY' AS TABELA_SIMUL,'wtch_lst'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wtch_lst AS CAMPO_IT FROM CD_LOAN_TAPES_BCE.LT003_ENTITY WHERE ref_date='${ref_date}' AND nome_perimetro='Individual Local' AND segmento='ESTR' AND ambito='PM' AND entidade='00100')X INNER JOIN (SELECT entty_id AS CHAVE_SIMUL, wtch_lst AS CAMPO_SIMUL FROM BU_LOANTAPE_WORK.LT003_ENTITY WHERE ref_date='${ref_date}' AND nome_perimetro='Individual Local' AND segmento='ESTR' AND ambito='PM' AND entidade='00100')Y ON X.CHAVE_IT=Y.CHAVE_SIMUL</v>
      </c>
      <c r="N408" s="33" t="str">
        <f t="shared" si="13"/>
        <v>UNION ALL SELECT 'ENTITY' AS TABELA, 'COERÊNCIA' AS TIPOLOGIA_TESTE,'CD_LOAN_TAPES_BCE.LT003_ENTITY' AS TABELA_LT,'BU_LOANTAPE_WORK.LT003_ENTITY' AS TABELA_SIMUL,'wtch_lst'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wtch_lst AS CAMPO_IT FROM CD_LOAN_TAPES_BCE.LT003_ENTITY WHERE ref_date='${ref_date}' AND nome_perimetro='Individual Local' AND segmento='ESTR' AND ambito='PM' AND entidade='00100')X INNER JOIN (SELECT entty_id AS CHAVE_SIMUL, wtch_lst AS CAMPO_SIMUL FROM BU_LOANTAPE_WORK.LT003_ENTITY WHERE ref_date='${ref_date}' AND nome_perimetro='Individual Local' AND segmento='ESTR' AND ambito='PM' AND entidade='00100')Y ON X.CHAVE_IT=Y.CHAVE_SIMUL</v>
      </c>
      <c r="O408" s="35" t="s">
        <v>35</v>
      </c>
    </row>
    <row r="409" spans="1:15">
      <c r="A409" s="57" t="str">
        <f t="shared" si="14"/>
        <v>Entitysngl_prps_vhcl</v>
      </c>
      <c r="B409" s="32" t="s">
        <v>60</v>
      </c>
      <c r="C409" s="32" t="s">
        <v>547</v>
      </c>
      <c r="D409" s="32" t="s">
        <v>5</v>
      </c>
      <c r="E409" s="32" t="str">
        <f>+UPPER('0. Instruções'!$D$35&amp;"."&amp;VLOOKUP(B409,'0. Instruções'!$C$27:$D$32,2,FALSE))</f>
        <v>CD_LOAN_TAPES_BCE.LT003_ENTITY</v>
      </c>
      <c r="F409" s="32" t="str">
        <f>+UPPER('0. Instruções'!$D$36&amp;"."&amp;VLOOKUP(B409,'0. Instruções'!$C$27:$E$32,3,FALSE))</f>
        <v>BU_LOANTAPE_WORK.LT003_ENTITY</v>
      </c>
      <c r="H409" s="32"/>
      <c r="I409" s="32"/>
      <c r="J409" s="32" t="str">
        <f>IF(VLOOKUP(B409,'0. Instruções'!$C$27:$G$32,5,FALSE)=0,
"(SELECT "&amp;VLOOKUP(B409,'0. Instruções'!$C$27:$G$32,4,FALSE)&amp;" AS CHAVE_IT, "&amp;C409&amp;" AS CAMPO_IT FROM "&amp;E409&amp;" WHERE "&amp;'0. Instruções'!$D$43&amp;")X",
"(SELECT "&amp;VLOOKUP(B409,'0. Instruções'!$C$27:$G$32,4,FALSE)&amp;" AS CHAVE_IT1, "&amp;VLOOKUP(B409,'0. Instruções'!$C$27:$G$32,5,FALSE)&amp;" AS CHAVE_IT2, "&amp;C409&amp;" AS CAMPO_IT FROM "&amp;E409&amp;" WHERE "&amp;'0. Instruções'!$D$43&amp;")X")</f>
        <v>(SELECT entty_id AS CHAVE_IT, sngl_prps_vhcl AS CAMPO_IT FROM CD_LOAN_TAPES_BCE.LT003_ENTITY WHERE ref_date='${ref_date}' AND nome_perimetro='Individual Local' AND segmento='ESTR' AND ambito='PM' AND entidade='00100')X</v>
      </c>
      <c r="K409" s="32" t="str">
        <f>IF(VLOOKUP(B409,'0. Instruções'!$C$27:$G$32,5,FALSE)=0,
"(SELECT "&amp;VLOOKUP(B409,'0. Instruções'!$C$27:$G$32,4,FALSE)&amp;" AS CHAVE_SIMUL, "&amp;C409&amp;" AS CAMPO_SIMUL FROM "&amp;F409&amp;" WHERE "&amp;'0. Instruções'!$D$42&amp;")Y",
"(SELECT "&amp;VLOOKUP(B409,'0. Instruções'!$C$27:$G$32,4,FALSE)&amp;" AS CHAVE_SIMUL1, "&amp;VLOOKUP(B409,'0. Instruções'!$C$27:$G$32,5,FALSE)&amp;" AS CHAVE_SIMUL2, "&amp;C409&amp;" AS CAMPO_SIMUL FROM "&amp;F409&amp;" WHERE "&amp;'0. Instruções'!$D$42&amp;")Y")</f>
        <v>(SELECT entty_id AS CHAVE_SIMUL, sngl_prps_vhcl AS CAMPO_SIMUL FROM BU_LOANTAPE_WORK.LT003_ENTITY WHERE ref_date='${ref_date}' AND nome_perimetro='Individual Local' AND segmento='ESTR' AND ambito='PM' AND entidade='00100')Y</v>
      </c>
      <c r="L409" s="32" t="str">
        <f>IF(VLOOKUP(B409,'0. Instruções'!$C$27:$G$32,5,FALSE)=0,
"ON X.CHAVE_IT=Y.CHAVE_SIMUL",
"ON X.CHAVE_IT1=Y.CHAVE_SIMUL1 AND X.CHAVE_IT2=Y.CHAVE_SIMUL2")</f>
        <v>ON X.CHAVE_IT=Y.CHAVE_SIMUL</v>
      </c>
      <c r="M409" s="32" t="str">
        <f>+IF(D409="Coerência",+IF(LEFT(H409,5)="FLOAT","SELECT '"&amp;UPPER(B409)&amp;"' AS TABELA, '"&amp;UPPER(D409)&amp;"' AS TIPOLOGIA_TESTE,'"&amp;E409&amp;"' AS TABELA_LT,'"&amp;F409&amp;"' AS TABELA_SIMUL,'"&amp;C409&amp;"'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"&amp;J409&amp;" INNER JOIN "&amp;K409&amp;" "&amp;L409,"SELECT '"&amp;UPPER(B409)&amp;"' AS TABELA, '"&amp;UPPER(D409)&amp;"' AS TIPOLOGIA_TESTE,'"&amp;E409&amp;"' AS TABELA_LT,'"&amp;F409&amp;"' AS TABELA_SIMUL,'"&amp;C409&amp;"'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"&amp;J409&amp;" INNER JOIN "&amp;K409&amp;" "&amp;L409))</f>
        <v>SELECT 'ENTITY' AS TABELA, 'COERÊNCIA' AS TIPOLOGIA_TESTE,'CD_LOAN_TAPES_BCE.LT003_ENTITY' AS TABELA_LT,'BU_LOANTAPE_WORK.LT003_ENTITY' AS TABELA_SIMUL,'sngl_prps_vhcl'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sngl_prps_vhcl AS CAMPO_IT FROM CD_LOAN_TAPES_BCE.LT003_ENTITY WHERE ref_date='${ref_date}' AND nome_perimetro='Individual Local' AND segmento='ESTR' AND ambito='PM' AND entidade='00100')X INNER JOIN (SELECT entty_id AS CHAVE_SIMUL, sngl_prps_vhcl AS CAMPO_SIMUL FROM BU_LOANTAPE_WORK.LT003_ENTITY WHERE ref_date='${ref_date}' AND nome_perimetro='Individual Local' AND segmento='ESTR' AND ambito='PM' AND entidade='00100')Y ON X.CHAVE_IT=Y.CHAVE_SIMUL</v>
      </c>
      <c r="N409" s="33" t="str">
        <f t="shared" si="13"/>
        <v>UNION ALL SELECT 'ENTITY' AS TABELA, 'COERÊNCIA' AS TIPOLOGIA_TESTE,'CD_LOAN_TAPES_BCE.LT003_ENTITY' AS TABELA_LT,'BU_LOANTAPE_WORK.LT003_ENTITY' AS TABELA_SIMUL,'sngl_prps_vhcl'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sngl_prps_vhcl AS CAMPO_IT FROM CD_LOAN_TAPES_BCE.LT003_ENTITY WHERE ref_date='${ref_date}' AND nome_perimetro='Individual Local' AND segmento='ESTR' AND ambito='PM' AND entidade='00100')X INNER JOIN (SELECT entty_id AS CHAVE_SIMUL, sngl_prps_vhcl AS CAMPO_SIMUL FROM BU_LOANTAPE_WORK.LT003_ENTITY WHERE ref_date='${ref_date}' AND nome_perimetro='Individual Local' AND segmento='ESTR' AND ambito='PM' AND entidade='00100')Y ON X.CHAVE_IT=Y.CHAVE_SIMUL</v>
      </c>
      <c r="O409" s="35" t="s">
        <v>35</v>
      </c>
    </row>
    <row r="410" spans="1:15">
      <c r="A410" s="57" t="str">
        <f t="shared" si="14"/>
        <v>Entitygrp_ebitda</v>
      </c>
      <c r="B410" s="32" t="s">
        <v>60</v>
      </c>
      <c r="C410" s="32" t="s">
        <v>548</v>
      </c>
      <c r="D410" s="32" t="s">
        <v>5</v>
      </c>
      <c r="E410" s="32" t="str">
        <f>+UPPER('0. Instruções'!$D$35&amp;"."&amp;VLOOKUP(B410,'0. Instruções'!$C$27:$D$32,2,FALSE))</f>
        <v>CD_LOAN_TAPES_BCE.LT003_ENTITY</v>
      </c>
      <c r="F410" s="32" t="str">
        <f>+UPPER('0. Instruções'!$D$36&amp;"."&amp;VLOOKUP(B410,'0. Instruções'!$C$27:$E$32,3,FALSE))</f>
        <v>BU_LOANTAPE_WORK.LT003_ENTITY</v>
      </c>
      <c r="H410" s="32"/>
      <c r="I410" s="32"/>
      <c r="J410" s="32" t="str">
        <f>IF(VLOOKUP(B410,'0. Instruções'!$C$27:$G$32,5,FALSE)=0,
"(SELECT "&amp;VLOOKUP(B410,'0. Instruções'!$C$27:$G$32,4,FALSE)&amp;" AS CHAVE_IT, "&amp;C410&amp;" AS CAMPO_IT FROM "&amp;E410&amp;" WHERE "&amp;'0. Instruções'!$D$43&amp;")X",
"(SELECT "&amp;VLOOKUP(B410,'0. Instruções'!$C$27:$G$32,4,FALSE)&amp;" AS CHAVE_IT1, "&amp;VLOOKUP(B410,'0. Instruções'!$C$27:$G$32,5,FALSE)&amp;" AS CHAVE_IT2, "&amp;C410&amp;" AS CAMPO_IT FROM "&amp;E410&amp;" WHERE "&amp;'0. Instruções'!$D$43&amp;")X")</f>
        <v>(SELECT entty_id AS CHAVE_IT, grp_ebitda AS CAMPO_IT FROM CD_LOAN_TAPES_BCE.LT003_ENTITY WHERE ref_date='${ref_date}' AND nome_perimetro='Individual Local' AND segmento='ESTR' AND ambito='PM' AND entidade='00100')X</v>
      </c>
      <c r="K410" s="32" t="str">
        <f>IF(VLOOKUP(B410,'0. Instruções'!$C$27:$G$32,5,FALSE)=0,
"(SELECT "&amp;VLOOKUP(B410,'0. Instruções'!$C$27:$G$32,4,FALSE)&amp;" AS CHAVE_SIMUL, "&amp;C410&amp;" AS CAMPO_SIMUL FROM "&amp;F410&amp;" WHERE "&amp;'0. Instruções'!$D$42&amp;")Y",
"(SELECT "&amp;VLOOKUP(B410,'0. Instruções'!$C$27:$G$32,4,FALSE)&amp;" AS CHAVE_SIMUL1, "&amp;VLOOKUP(B410,'0. Instruções'!$C$27:$G$32,5,FALSE)&amp;" AS CHAVE_SIMUL2, "&amp;C410&amp;" AS CAMPO_SIMUL FROM "&amp;F410&amp;" WHERE "&amp;'0. Instruções'!$D$42&amp;")Y")</f>
        <v>(SELECT entty_id AS CHAVE_SIMUL, grp_ebitda AS CAMPO_SIMUL FROM BU_LOANTAPE_WORK.LT003_ENTITY WHERE ref_date='${ref_date}' AND nome_perimetro='Individual Local' AND segmento='ESTR' AND ambito='PM' AND entidade='00100')Y</v>
      </c>
      <c r="L410" s="32" t="str">
        <f>IF(VLOOKUP(B410,'0. Instruções'!$C$27:$G$32,5,FALSE)=0,
"ON X.CHAVE_IT=Y.CHAVE_SIMUL",
"ON X.CHAVE_IT1=Y.CHAVE_SIMUL1 AND X.CHAVE_IT2=Y.CHAVE_SIMUL2")</f>
        <v>ON X.CHAVE_IT=Y.CHAVE_SIMUL</v>
      </c>
      <c r="M410" s="32" t="str">
        <f>+IF(D410="Coerência",+IF(LEFT(H410,5)="FLOAT","SELECT '"&amp;UPPER(B410)&amp;"' AS TABELA, '"&amp;UPPER(D410)&amp;"' AS TIPOLOGIA_TESTE,'"&amp;E410&amp;"' AS TABELA_LT,'"&amp;F410&amp;"' AS TABELA_SIMUL,'"&amp;C410&amp;"'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"&amp;J410&amp;" INNER JOIN "&amp;K410&amp;" "&amp;L410,"SELECT '"&amp;UPPER(B410)&amp;"' AS TABELA, '"&amp;UPPER(D410)&amp;"' AS TIPOLOGIA_TESTE,'"&amp;E410&amp;"' AS TABELA_LT,'"&amp;F410&amp;"' AS TABELA_SIMUL,'"&amp;C410&amp;"'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"&amp;J410&amp;" INNER JOIN "&amp;K410&amp;" "&amp;L410))</f>
        <v>SELECT 'ENTITY' AS TABELA, 'COERÊNCIA' AS TIPOLOGIA_TESTE,'CD_LOAN_TAPES_BCE.LT003_ENTITY' AS TABELA_LT,'BU_LOANTAPE_WORK.LT003_ENTITY' AS TABELA_SIMUL,'grp_ebitda'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grp_ebitda AS CAMPO_IT FROM CD_LOAN_TAPES_BCE.LT003_ENTITY WHERE ref_date='${ref_date}' AND nome_perimetro='Individual Local' AND segmento='ESTR' AND ambito='PM' AND entidade='00100')X INNER JOIN (SELECT entty_id AS CHAVE_SIMUL, grp_ebitda AS CAMPO_SIMUL FROM BU_LOANTAPE_WORK.LT003_ENTITY WHERE ref_date='${ref_date}' AND nome_perimetro='Individual Local' AND segmento='ESTR' AND ambito='PM' AND entidade='00100')Y ON X.CHAVE_IT=Y.CHAVE_SIMUL</v>
      </c>
      <c r="N410" s="33" t="str">
        <f t="shared" si="13"/>
        <v>UNION ALL SELECT 'ENTITY' AS TABELA, 'COERÊNCIA' AS TIPOLOGIA_TESTE,'CD_LOAN_TAPES_BCE.LT003_ENTITY' AS TABELA_LT,'BU_LOANTAPE_WORK.LT003_ENTITY' AS TABELA_SIMUL,'grp_ebitda'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grp_ebitda AS CAMPO_IT FROM CD_LOAN_TAPES_BCE.LT003_ENTITY WHERE ref_date='${ref_date}' AND nome_perimetro='Individual Local' AND segmento='ESTR' AND ambito='PM' AND entidade='00100')X INNER JOIN (SELECT entty_id AS CHAVE_SIMUL, grp_ebitda AS CAMPO_SIMUL FROM BU_LOANTAPE_WORK.LT003_ENTITY WHERE ref_date='${ref_date}' AND nome_perimetro='Individual Local' AND segmento='ESTR' AND ambito='PM' AND entidade='00100')Y ON X.CHAVE_IT=Y.CHAVE_SIMUL</v>
      </c>
      <c r="O410" s="35" t="s">
        <v>35</v>
      </c>
    </row>
    <row r="411" spans="1:15">
      <c r="A411" s="57" t="str">
        <f t="shared" si="14"/>
        <v>Entitygrp_eqty</v>
      </c>
      <c r="B411" s="32" t="s">
        <v>60</v>
      </c>
      <c r="C411" s="32" t="s">
        <v>158</v>
      </c>
      <c r="D411" s="32" t="s">
        <v>5</v>
      </c>
      <c r="E411" s="32" t="str">
        <f>+UPPER('0. Instruções'!$D$35&amp;"."&amp;VLOOKUP(B411,'0. Instruções'!$C$27:$D$32,2,FALSE))</f>
        <v>CD_LOAN_TAPES_BCE.LT003_ENTITY</v>
      </c>
      <c r="F411" s="32" t="str">
        <f>+UPPER('0. Instruções'!$D$36&amp;"."&amp;VLOOKUP(B411,'0. Instruções'!$C$27:$E$32,3,FALSE))</f>
        <v>BU_LOANTAPE_WORK.LT003_ENTITY</v>
      </c>
      <c r="H411" s="32"/>
      <c r="I411" s="32"/>
      <c r="J411" s="32" t="str">
        <f>IF(VLOOKUP(B411,'0. Instruções'!$C$27:$G$32,5,FALSE)=0,
"(SELECT "&amp;VLOOKUP(B411,'0. Instruções'!$C$27:$G$32,4,FALSE)&amp;" AS CHAVE_IT, "&amp;C411&amp;" AS CAMPO_IT FROM "&amp;E411&amp;" WHERE "&amp;'0. Instruções'!$D$43&amp;")X",
"(SELECT "&amp;VLOOKUP(B411,'0. Instruções'!$C$27:$G$32,4,FALSE)&amp;" AS CHAVE_IT1, "&amp;VLOOKUP(B411,'0. Instruções'!$C$27:$G$32,5,FALSE)&amp;" AS CHAVE_IT2, "&amp;C411&amp;" AS CAMPO_IT FROM "&amp;E411&amp;" WHERE "&amp;'0. Instruções'!$D$43&amp;")X")</f>
        <v>(SELECT entty_id AS CHAVE_IT, grp_eqty AS CAMPO_IT FROM CD_LOAN_TAPES_BCE.LT003_ENTITY WHERE ref_date='${ref_date}' AND nome_perimetro='Individual Local' AND segmento='ESTR' AND ambito='PM' AND entidade='00100')X</v>
      </c>
      <c r="K411" s="32" t="str">
        <f>IF(VLOOKUP(B411,'0. Instruções'!$C$27:$G$32,5,FALSE)=0,
"(SELECT "&amp;VLOOKUP(B411,'0. Instruções'!$C$27:$G$32,4,FALSE)&amp;" AS CHAVE_SIMUL, "&amp;C411&amp;" AS CAMPO_SIMUL FROM "&amp;F411&amp;" WHERE "&amp;'0. Instruções'!$D$42&amp;")Y",
"(SELECT "&amp;VLOOKUP(B411,'0. Instruções'!$C$27:$G$32,4,FALSE)&amp;" AS CHAVE_SIMUL1, "&amp;VLOOKUP(B411,'0. Instruções'!$C$27:$G$32,5,FALSE)&amp;" AS CHAVE_SIMUL2, "&amp;C411&amp;" AS CAMPO_SIMUL FROM "&amp;F411&amp;" WHERE "&amp;'0. Instruções'!$D$42&amp;")Y")</f>
        <v>(SELECT entty_id AS CHAVE_SIMUL, grp_eqty AS CAMPO_SIMUL FROM BU_LOANTAPE_WORK.LT003_ENTITY WHERE ref_date='${ref_date}' AND nome_perimetro='Individual Local' AND segmento='ESTR' AND ambito='PM' AND entidade='00100')Y</v>
      </c>
      <c r="L411" s="32" t="str">
        <f>IF(VLOOKUP(B411,'0. Instruções'!$C$27:$G$32,5,FALSE)=0,
"ON X.CHAVE_IT=Y.CHAVE_SIMUL",
"ON X.CHAVE_IT1=Y.CHAVE_SIMUL1 AND X.CHAVE_IT2=Y.CHAVE_SIMUL2")</f>
        <v>ON X.CHAVE_IT=Y.CHAVE_SIMUL</v>
      </c>
      <c r="M411" s="32" t="str">
        <f>+IF(D411="Coerência",+IF(LEFT(H411,5)="FLOAT","SELECT '"&amp;UPPER(B411)&amp;"' AS TABELA, '"&amp;UPPER(D411)&amp;"' AS TIPOLOGIA_TESTE,'"&amp;E411&amp;"' AS TABELA_LT,'"&amp;F411&amp;"' AS TABELA_SIMUL,'"&amp;C411&amp;"'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"&amp;J411&amp;" INNER JOIN "&amp;K411&amp;" "&amp;L411,"SELECT '"&amp;UPPER(B411)&amp;"' AS TABELA, '"&amp;UPPER(D411)&amp;"' AS TIPOLOGIA_TESTE,'"&amp;E411&amp;"' AS TABELA_LT,'"&amp;F411&amp;"' AS TABELA_SIMUL,'"&amp;C411&amp;"'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"&amp;J411&amp;" INNER JOIN "&amp;K411&amp;" "&amp;L411))</f>
        <v>SELECT 'ENTITY' AS TABELA, 'COERÊNCIA' AS TIPOLOGIA_TESTE,'CD_LOAN_TAPES_BCE.LT003_ENTITY' AS TABELA_LT,'BU_LOANTAPE_WORK.LT003_ENTITY' AS TABELA_SIMUL,'grp_eqty'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grp_eqty AS CAMPO_IT FROM CD_LOAN_TAPES_BCE.LT003_ENTITY WHERE ref_date='${ref_date}' AND nome_perimetro='Individual Local' AND segmento='ESTR' AND ambito='PM' AND entidade='00100')X INNER JOIN (SELECT entty_id AS CHAVE_SIMUL, grp_eqty AS CAMPO_SIMUL FROM BU_LOANTAPE_WORK.LT003_ENTITY WHERE ref_date='${ref_date}' AND nome_perimetro='Individual Local' AND segmento='ESTR' AND ambito='PM' AND entidade='00100')Y ON X.CHAVE_IT=Y.CHAVE_SIMUL</v>
      </c>
      <c r="N411" s="33" t="str">
        <f t="shared" si="13"/>
        <v>UNION ALL SELECT 'ENTITY' AS TABELA, 'COERÊNCIA' AS TIPOLOGIA_TESTE,'CD_LOAN_TAPES_BCE.LT003_ENTITY' AS TABELA_LT,'BU_LOANTAPE_WORK.LT003_ENTITY' AS TABELA_SIMUL,'grp_eqty'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grp_eqty AS CAMPO_IT FROM CD_LOAN_TAPES_BCE.LT003_ENTITY WHERE ref_date='${ref_date}' AND nome_perimetro='Individual Local' AND segmento='ESTR' AND ambito='PM' AND entidade='00100')X INNER JOIN (SELECT entty_id AS CHAVE_SIMUL, grp_eqty AS CAMPO_SIMUL FROM BU_LOANTAPE_WORK.LT003_ENTITY WHERE ref_date='${ref_date}' AND nome_perimetro='Individual Local' AND segmento='ESTR' AND ambito='PM' AND entidade='00100')Y ON X.CHAVE_IT=Y.CHAVE_SIMUL</v>
      </c>
      <c r="O411" s="35" t="s">
        <v>35</v>
      </c>
    </row>
    <row r="412" spans="1:15">
      <c r="A412" s="57" t="str">
        <f t="shared" si="14"/>
        <v>Entitygrp_nt_dbt</v>
      </c>
      <c r="B412" s="32" t="s">
        <v>60</v>
      </c>
      <c r="C412" s="32" t="s">
        <v>549</v>
      </c>
      <c r="D412" s="32" t="s">
        <v>5</v>
      </c>
      <c r="E412" s="32" t="str">
        <f>+UPPER('0. Instruções'!$D$35&amp;"."&amp;VLOOKUP(B412,'0. Instruções'!$C$27:$D$32,2,FALSE))</f>
        <v>CD_LOAN_TAPES_BCE.LT003_ENTITY</v>
      </c>
      <c r="F412" s="32" t="str">
        <f>+UPPER('0. Instruções'!$D$36&amp;"."&amp;VLOOKUP(B412,'0. Instruções'!$C$27:$E$32,3,FALSE))</f>
        <v>BU_LOANTAPE_WORK.LT003_ENTITY</v>
      </c>
      <c r="H412" s="32"/>
      <c r="I412" s="32"/>
      <c r="J412" s="32" t="str">
        <f>IF(VLOOKUP(B412,'0. Instruções'!$C$27:$G$32,5,FALSE)=0,
"(SELECT "&amp;VLOOKUP(B412,'0. Instruções'!$C$27:$G$32,4,FALSE)&amp;" AS CHAVE_IT, "&amp;C412&amp;" AS CAMPO_IT FROM "&amp;E412&amp;" WHERE "&amp;'0. Instruções'!$D$43&amp;")X",
"(SELECT "&amp;VLOOKUP(B412,'0. Instruções'!$C$27:$G$32,4,FALSE)&amp;" AS CHAVE_IT1, "&amp;VLOOKUP(B412,'0. Instruções'!$C$27:$G$32,5,FALSE)&amp;" AS CHAVE_IT2, "&amp;C412&amp;" AS CAMPO_IT FROM "&amp;E412&amp;" WHERE "&amp;'0. Instruções'!$D$43&amp;")X")</f>
        <v>(SELECT entty_id AS CHAVE_IT, grp_nt_dbt AS CAMPO_IT FROM CD_LOAN_TAPES_BCE.LT003_ENTITY WHERE ref_date='${ref_date}' AND nome_perimetro='Individual Local' AND segmento='ESTR' AND ambito='PM' AND entidade='00100')X</v>
      </c>
      <c r="K412" s="32" t="str">
        <f>IF(VLOOKUP(B412,'0. Instruções'!$C$27:$G$32,5,FALSE)=0,
"(SELECT "&amp;VLOOKUP(B412,'0. Instruções'!$C$27:$G$32,4,FALSE)&amp;" AS CHAVE_SIMUL, "&amp;C412&amp;" AS CAMPO_SIMUL FROM "&amp;F412&amp;" WHERE "&amp;'0. Instruções'!$D$42&amp;")Y",
"(SELECT "&amp;VLOOKUP(B412,'0. Instruções'!$C$27:$G$32,4,FALSE)&amp;" AS CHAVE_SIMUL1, "&amp;VLOOKUP(B412,'0. Instruções'!$C$27:$G$32,5,FALSE)&amp;" AS CHAVE_SIMUL2, "&amp;C412&amp;" AS CAMPO_SIMUL FROM "&amp;F412&amp;" WHERE "&amp;'0. Instruções'!$D$42&amp;")Y")</f>
        <v>(SELECT entty_id AS CHAVE_SIMUL, grp_nt_dbt AS CAMPO_SIMUL FROM BU_LOANTAPE_WORK.LT003_ENTITY WHERE ref_date='${ref_date}' AND nome_perimetro='Individual Local' AND segmento='ESTR' AND ambito='PM' AND entidade='00100')Y</v>
      </c>
      <c r="L412" s="32" t="str">
        <f>IF(VLOOKUP(B412,'0. Instruções'!$C$27:$G$32,5,FALSE)=0,
"ON X.CHAVE_IT=Y.CHAVE_SIMUL",
"ON X.CHAVE_IT1=Y.CHAVE_SIMUL1 AND X.CHAVE_IT2=Y.CHAVE_SIMUL2")</f>
        <v>ON X.CHAVE_IT=Y.CHAVE_SIMUL</v>
      </c>
      <c r="M412" s="32" t="str">
        <f>+IF(D412="Coerência",+IF(LEFT(H412,5)="FLOAT","SELECT '"&amp;UPPER(B412)&amp;"' AS TABELA, '"&amp;UPPER(D412)&amp;"' AS TIPOLOGIA_TESTE,'"&amp;E412&amp;"' AS TABELA_LT,'"&amp;F412&amp;"' AS TABELA_SIMUL,'"&amp;C412&amp;"'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"&amp;J412&amp;" INNER JOIN "&amp;K412&amp;" "&amp;L412,"SELECT '"&amp;UPPER(B412)&amp;"' AS TABELA, '"&amp;UPPER(D412)&amp;"' AS TIPOLOGIA_TESTE,'"&amp;E412&amp;"' AS TABELA_LT,'"&amp;F412&amp;"' AS TABELA_SIMUL,'"&amp;C412&amp;"'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"&amp;J412&amp;" INNER JOIN "&amp;K412&amp;" "&amp;L412))</f>
        <v>SELECT 'ENTITY' AS TABELA, 'COERÊNCIA' AS TIPOLOGIA_TESTE,'CD_LOAN_TAPES_BCE.LT003_ENTITY' AS TABELA_LT,'BU_LOANTAPE_WORK.LT003_ENTITY' AS TABELA_SIMUL,'grp_nt_dbt'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grp_nt_dbt AS CAMPO_IT FROM CD_LOAN_TAPES_BCE.LT003_ENTITY WHERE ref_date='${ref_date}' AND nome_perimetro='Individual Local' AND segmento='ESTR' AND ambito='PM' AND entidade='00100')X INNER JOIN (SELECT entty_id AS CHAVE_SIMUL, grp_nt_dbt AS CAMPO_SIMUL FROM BU_LOANTAPE_WORK.LT003_ENTITY WHERE ref_date='${ref_date}' AND nome_perimetro='Individual Local' AND segmento='ESTR' AND ambito='PM' AND entidade='00100')Y ON X.CHAVE_IT=Y.CHAVE_SIMUL</v>
      </c>
      <c r="N412" s="33" t="str">
        <f t="shared" si="13"/>
        <v>UNION ALL SELECT 'ENTITY' AS TABELA, 'COERÊNCIA' AS TIPOLOGIA_TESTE,'CD_LOAN_TAPES_BCE.LT003_ENTITY' AS TABELA_LT,'BU_LOANTAPE_WORK.LT003_ENTITY' AS TABELA_SIMUL,'grp_nt_dbt'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grp_nt_dbt AS CAMPO_IT FROM CD_LOAN_TAPES_BCE.LT003_ENTITY WHERE ref_date='${ref_date}' AND nome_perimetro='Individual Local' AND segmento='ESTR' AND ambito='PM' AND entidade='00100')X INNER JOIN (SELECT entty_id AS CHAVE_SIMUL, grp_nt_dbt AS CAMPO_SIMUL FROM BU_LOANTAPE_WORK.LT003_ENTITY WHERE ref_date='${ref_date}' AND nome_perimetro='Individual Local' AND segmento='ESTR' AND ambito='PM' AND entidade='00100')Y ON X.CHAVE_IT=Y.CHAVE_SIMUL</v>
      </c>
      <c r="O412" s="35" t="s">
        <v>35</v>
      </c>
    </row>
    <row r="413" spans="1:15">
      <c r="A413" s="57" t="str">
        <f t="shared" si="14"/>
        <v>Entityannl_trnvr_le</v>
      </c>
      <c r="B413" s="32" t="s">
        <v>60</v>
      </c>
      <c r="C413" s="32" t="s">
        <v>159</v>
      </c>
      <c r="D413" s="32" t="s">
        <v>5</v>
      </c>
      <c r="E413" s="32" t="str">
        <f>+UPPER('0. Instruções'!$D$35&amp;"."&amp;VLOOKUP(B413,'0. Instruções'!$C$27:$D$32,2,FALSE))</f>
        <v>CD_LOAN_TAPES_BCE.LT003_ENTITY</v>
      </c>
      <c r="F413" s="32" t="str">
        <f>+UPPER('0. Instruções'!$D$36&amp;"."&amp;VLOOKUP(B413,'0. Instruções'!$C$27:$E$32,3,FALSE))</f>
        <v>BU_LOANTAPE_WORK.LT003_ENTITY</v>
      </c>
      <c r="H413" s="32"/>
      <c r="I413" s="32"/>
      <c r="J413" s="32" t="str">
        <f>IF(VLOOKUP(B413,'0. Instruções'!$C$27:$G$32,5,FALSE)=0,
"(SELECT "&amp;VLOOKUP(B413,'0. Instruções'!$C$27:$G$32,4,FALSE)&amp;" AS CHAVE_IT, "&amp;C413&amp;" AS CAMPO_IT FROM "&amp;E413&amp;" WHERE "&amp;'0. Instruções'!$D$43&amp;")X",
"(SELECT "&amp;VLOOKUP(B413,'0. Instruções'!$C$27:$G$32,4,FALSE)&amp;" AS CHAVE_IT1, "&amp;VLOOKUP(B413,'0. Instruções'!$C$27:$G$32,5,FALSE)&amp;" AS CHAVE_IT2, "&amp;C413&amp;" AS CAMPO_IT FROM "&amp;E413&amp;" WHERE "&amp;'0. Instruções'!$D$43&amp;")X")</f>
        <v>(SELECT entty_id AS CHAVE_IT, annl_trnvr_le AS CAMPO_IT FROM CD_LOAN_TAPES_BCE.LT003_ENTITY WHERE ref_date='${ref_date}' AND nome_perimetro='Individual Local' AND segmento='ESTR' AND ambito='PM' AND entidade='00100')X</v>
      </c>
      <c r="K413" s="32" t="str">
        <f>IF(VLOOKUP(B413,'0. Instruções'!$C$27:$G$32,5,FALSE)=0,
"(SELECT "&amp;VLOOKUP(B413,'0. Instruções'!$C$27:$G$32,4,FALSE)&amp;" AS CHAVE_SIMUL, "&amp;C413&amp;" AS CAMPO_SIMUL FROM "&amp;F413&amp;" WHERE "&amp;'0. Instruções'!$D$42&amp;")Y",
"(SELECT "&amp;VLOOKUP(B413,'0. Instruções'!$C$27:$G$32,4,FALSE)&amp;" AS CHAVE_SIMUL1, "&amp;VLOOKUP(B413,'0. Instruções'!$C$27:$G$32,5,FALSE)&amp;" AS CHAVE_SIMUL2, "&amp;C413&amp;" AS CAMPO_SIMUL FROM "&amp;F413&amp;" WHERE "&amp;'0. Instruções'!$D$42&amp;")Y")</f>
        <v>(SELECT entty_id AS CHAVE_SIMUL, annl_trnvr_le AS CAMPO_SIMUL FROM BU_LOANTAPE_WORK.LT003_ENTITY WHERE ref_date='${ref_date}' AND nome_perimetro='Individual Local' AND segmento='ESTR' AND ambito='PM' AND entidade='00100')Y</v>
      </c>
      <c r="L413" s="32" t="str">
        <f>IF(VLOOKUP(B413,'0. Instruções'!$C$27:$G$32,5,FALSE)=0,
"ON X.CHAVE_IT=Y.CHAVE_SIMUL",
"ON X.CHAVE_IT1=Y.CHAVE_SIMUL1 AND X.CHAVE_IT2=Y.CHAVE_SIMUL2")</f>
        <v>ON X.CHAVE_IT=Y.CHAVE_SIMUL</v>
      </c>
      <c r="M413" s="32" t="str">
        <f>+IF(D413="Coerência",+IF(LEFT(H413,5)="FLOAT","SELECT '"&amp;UPPER(B413)&amp;"' AS TABELA, '"&amp;UPPER(D413)&amp;"' AS TIPOLOGIA_TESTE,'"&amp;E413&amp;"' AS TABELA_LT,'"&amp;F413&amp;"' AS TABELA_SIMUL,'"&amp;C413&amp;"'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"&amp;J413&amp;" INNER JOIN "&amp;K413&amp;" "&amp;L413,"SELECT '"&amp;UPPER(B413)&amp;"' AS TABELA, '"&amp;UPPER(D413)&amp;"' AS TIPOLOGIA_TESTE,'"&amp;E413&amp;"' AS TABELA_LT,'"&amp;F413&amp;"' AS TABELA_SIMUL,'"&amp;C413&amp;"'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"&amp;J413&amp;" INNER JOIN "&amp;K413&amp;" "&amp;L413))</f>
        <v>SELECT 'ENTITY' AS TABELA, 'COERÊNCIA' AS TIPOLOGIA_TESTE,'CD_LOAN_TAPES_BCE.LT003_ENTITY' AS TABELA_LT,'BU_LOANTAPE_WORK.LT003_ENTITY' AS TABELA_SIMUL,'annl_trnvr_le'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 AS CAMPO_IT FROM CD_LOAN_TAPES_BCE.LT003_ENTITY WHERE ref_date='${ref_date}' AND nome_perimetro='Individual Local' AND segmento='ESTR' AND ambito='PM' AND entidade='00100')X INNER JOIN (SELECT entty_id AS CHAVE_SIMUL, annl_trnvr_le AS CAMPO_SIMUL FROM BU_LOANTAPE_WORK.LT003_ENTITY WHERE ref_date='${ref_date}' AND nome_perimetro='Individual Local' AND segmento='ESTR' AND ambito='PM' AND entidade='00100')Y ON X.CHAVE_IT=Y.CHAVE_SIMUL</v>
      </c>
      <c r="N413" s="33" t="str">
        <f t="shared" si="13"/>
        <v>UNION ALL SELECT 'ENTITY' AS TABELA, 'COERÊNCIA' AS TIPOLOGIA_TESTE,'CD_LOAN_TAPES_BCE.LT003_ENTITY' AS TABELA_LT,'BU_LOANTAPE_WORK.LT003_ENTITY' AS TABELA_SIMUL,'annl_trnvr_le'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 AS CAMPO_IT FROM CD_LOAN_TAPES_BCE.LT003_ENTITY WHERE ref_date='${ref_date}' AND nome_perimetro='Individual Local' AND segmento='ESTR' AND ambito='PM' AND entidade='00100')X INNER JOIN (SELECT entty_id AS CHAVE_SIMUL, annl_trnvr_le AS CAMPO_SIMUL FROM BU_LOANTAPE_WORK.LT003_ENTITY WHERE ref_date='${ref_date}' AND nome_perimetro='Individual Local' AND segmento='ESTR' AND ambito='PM' AND entidade='00100')Y ON X.CHAVE_IT=Y.CHAVE_SIMUL</v>
      </c>
      <c r="O413" s="35" t="s">
        <v>35</v>
      </c>
    </row>
    <row r="414" spans="1:15">
      <c r="A414" s="57" t="str">
        <f t="shared" si="14"/>
        <v>Entityannl_trnvr_prvs</v>
      </c>
      <c r="B414" s="32" t="s">
        <v>60</v>
      </c>
      <c r="C414" s="32" t="s">
        <v>550</v>
      </c>
      <c r="D414" s="32" t="s">
        <v>5</v>
      </c>
      <c r="E414" s="32" t="str">
        <f>+UPPER('0. Instruções'!$D$35&amp;"."&amp;VLOOKUP(B414,'0. Instruções'!$C$27:$D$32,2,FALSE))</f>
        <v>CD_LOAN_TAPES_BCE.LT003_ENTITY</v>
      </c>
      <c r="F414" s="32" t="str">
        <f>+UPPER('0. Instruções'!$D$36&amp;"."&amp;VLOOKUP(B414,'0. Instruções'!$C$27:$E$32,3,FALSE))</f>
        <v>BU_LOANTAPE_WORK.LT003_ENTITY</v>
      </c>
      <c r="H414" s="32"/>
      <c r="I414" s="32"/>
      <c r="J414" s="32" t="str">
        <f>IF(VLOOKUP(B414,'0. Instruções'!$C$27:$G$32,5,FALSE)=0,
"(SELECT "&amp;VLOOKUP(B414,'0. Instruções'!$C$27:$G$32,4,FALSE)&amp;" AS CHAVE_IT, "&amp;C414&amp;" AS CAMPO_IT FROM "&amp;E414&amp;" WHERE "&amp;'0. Instruções'!$D$43&amp;")X",
"(SELECT "&amp;VLOOKUP(B414,'0. Instruções'!$C$27:$G$32,4,FALSE)&amp;" AS CHAVE_IT1, "&amp;VLOOKUP(B414,'0. Instruções'!$C$27:$G$32,5,FALSE)&amp;" AS CHAVE_IT2, "&amp;C414&amp;" AS CAMPO_IT FROM "&amp;E414&amp;" WHERE "&amp;'0. Instruções'!$D$43&amp;")X")</f>
        <v>(SELECT entty_id AS CHAVE_IT, annl_trnvr_prvs AS CAMPO_IT FROM CD_LOAN_TAPES_BCE.LT003_ENTITY WHERE ref_date='${ref_date}' AND nome_perimetro='Individual Local' AND segmento='ESTR' AND ambito='PM' AND entidade='00100')X</v>
      </c>
      <c r="K414" s="32" t="str">
        <f>IF(VLOOKUP(B414,'0. Instruções'!$C$27:$G$32,5,FALSE)=0,
"(SELECT "&amp;VLOOKUP(B414,'0. Instruções'!$C$27:$G$32,4,FALSE)&amp;" AS CHAVE_SIMUL, "&amp;C414&amp;" AS CAMPO_SIMUL FROM "&amp;F414&amp;" WHERE "&amp;'0. Instruções'!$D$42&amp;")Y",
"(SELECT "&amp;VLOOKUP(B414,'0. Instruções'!$C$27:$G$32,4,FALSE)&amp;" AS CHAVE_SIMUL1, "&amp;VLOOKUP(B414,'0. Instruções'!$C$27:$G$32,5,FALSE)&amp;" AS CHAVE_SIMUL2, "&amp;C414&amp;" AS CAMPO_SIMUL FROM "&amp;F414&amp;" WHERE "&amp;'0. Instruções'!$D$42&amp;")Y")</f>
        <v>(SELECT entty_id AS CHAVE_SIMUL, annl_trnvr_prvs AS CAMPO_SIMUL FROM BU_LOANTAPE_WORK.LT003_ENTITY WHERE ref_date='${ref_date}' AND nome_perimetro='Individual Local' AND segmento='ESTR' AND ambito='PM' AND entidade='00100')Y</v>
      </c>
      <c r="L414" s="32" t="str">
        <f>IF(VLOOKUP(B414,'0. Instruções'!$C$27:$G$32,5,FALSE)=0,
"ON X.CHAVE_IT=Y.CHAVE_SIMUL",
"ON X.CHAVE_IT1=Y.CHAVE_SIMUL1 AND X.CHAVE_IT2=Y.CHAVE_SIMUL2")</f>
        <v>ON X.CHAVE_IT=Y.CHAVE_SIMUL</v>
      </c>
      <c r="M414" s="32" t="str">
        <f>+IF(D414="Coerência",+IF(LEFT(H414,5)="FLOAT","SELECT '"&amp;UPPER(B414)&amp;"' AS TABELA, '"&amp;UPPER(D414)&amp;"' AS TIPOLOGIA_TESTE,'"&amp;E414&amp;"' AS TABELA_LT,'"&amp;F414&amp;"' AS TABELA_SIMUL,'"&amp;C414&amp;"'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"&amp;J414&amp;" INNER JOIN "&amp;K414&amp;" "&amp;L414,"SELECT '"&amp;UPPER(B414)&amp;"' AS TABELA, '"&amp;UPPER(D414)&amp;"' AS TIPOLOGIA_TESTE,'"&amp;E414&amp;"' AS TABELA_LT,'"&amp;F414&amp;"' AS TABELA_SIMUL,'"&amp;C414&amp;"'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"&amp;J414&amp;" INNER JOIN "&amp;K414&amp;" "&amp;L414))</f>
        <v>SELECT 'ENTITY' AS TABELA, 'COERÊNCIA' AS TIPOLOGIA_TESTE,'CD_LOAN_TAPES_BCE.LT003_ENTITY' AS TABELA_LT,'BU_LOANTAPE_WORK.LT003_ENTITY' AS TABELA_SIMUL,'annl_trnvr_prvs'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 AS CAMPO_IT FROM CD_LOAN_TAPES_BCE.LT003_ENTITY WHERE ref_date='${ref_date}' AND nome_perimetro='Individual Local' AND segmento='ESTR' AND ambito='PM' AND entidade='00100')X INNER JOIN (SELECT entty_id AS CHAVE_SIMUL, annl_trnvr_prvs AS CAMPO_SIMUL FROM BU_LOANTAPE_WORK.LT003_ENTITY WHERE ref_date='${ref_date}' AND nome_perimetro='Individual Local' AND segmento='ESTR' AND ambito='PM' AND entidade='00100')Y ON X.CHAVE_IT=Y.CHAVE_SIMUL</v>
      </c>
      <c r="N414" s="33" t="str">
        <f t="shared" si="13"/>
        <v>UNION ALL SELECT 'ENTITY' AS TABELA, 'COERÊNCIA' AS TIPOLOGIA_TESTE,'CD_LOAN_TAPES_BCE.LT003_ENTITY' AS TABELA_LT,'BU_LOANTAPE_WORK.LT003_ENTITY' AS TABELA_SIMUL,'annl_trnvr_prvs'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 AS CAMPO_IT FROM CD_LOAN_TAPES_BCE.LT003_ENTITY WHERE ref_date='${ref_date}' AND nome_perimetro='Individual Local' AND segmento='ESTR' AND ambito='PM' AND entidade='00100')X INNER JOIN (SELECT entty_id AS CHAVE_SIMUL, annl_trnvr_prvs AS CAMPO_SIMUL FROM BU_LOANTAPE_WORK.LT003_ENTITY WHERE ref_date='${ref_date}' AND nome_perimetro='Individual Local' AND segmento='ESTR' AND ambito='PM' AND entidade='00100')Y ON X.CHAVE_IT=Y.CHAVE_SIMUL</v>
      </c>
      <c r="O414" s="35" t="s">
        <v>35</v>
      </c>
    </row>
    <row r="415" spans="1:15">
      <c r="A415" s="57" t="str">
        <f t="shared" si="14"/>
        <v>Entitycapex</v>
      </c>
      <c r="B415" s="32" t="s">
        <v>60</v>
      </c>
      <c r="C415" s="32" t="s">
        <v>551</v>
      </c>
      <c r="D415" s="32" t="s">
        <v>5</v>
      </c>
      <c r="E415" s="32" t="str">
        <f>+UPPER('0. Instruções'!$D$35&amp;"."&amp;VLOOKUP(B415,'0. Instruções'!$C$27:$D$32,2,FALSE))</f>
        <v>CD_LOAN_TAPES_BCE.LT003_ENTITY</v>
      </c>
      <c r="F415" s="32" t="str">
        <f>+UPPER('0. Instruções'!$D$36&amp;"."&amp;VLOOKUP(B415,'0. Instruções'!$C$27:$E$32,3,FALSE))</f>
        <v>BU_LOANTAPE_WORK.LT003_ENTITY</v>
      </c>
      <c r="H415" s="32"/>
      <c r="I415" s="32"/>
      <c r="J415" s="32" t="str">
        <f>IF(VLOOKUP(B415,'0. Instruções'!$C$27:$G$32,5,FALSE)=0,
"(SELECT "&amp;VLOOKUP(B415,'0. Instruções'!$C$27:$G$32,4,FALSE)&amp;" AS CHAVE_IT, "&amp;C415&amp;" AS CAMPO_IT FROM "&amp;E415&amp;" WHERE "&amp;'0. Instruções'!$D$43&amp;")X",
"(SELECT "&amp;VLOOKUP(B415,'0. Instruções'!$C$27:$G$32,4,FALSE)&amp;" AS CHAVE_IT1, "&amp;VLOOKUP(B415,'0. Instruções'!$C$27:$G$32,5,FALSE)&amp;" AS CHAVE_IT2, "&amp;C415&amp;" AS CAMPO_IT FROM "&amp;E415&amp;" WHERE "&amp;'0. Instruções'!$D$43&amp;")X")</f>
        <v>(SELECT entty_id AS CHAVE_IT, capex AS CAMPO_IT FROM CD_LOAN_TAPES_BCE.LT003_ENTITY WHERE ref_date='${ref_date}' AND nome_perimetro='Individual Local' AND segmento='ESTR' AND ambito='PM' AND entidade='00100')X</v>
      </c>
      <c r="K415" s="32" t="str">
        <f>IF(VLOOKUP(B415,'0. Instruções'!$C$27:$G$32,5,FALSE)=0,
"(SELECT "&amp;VLOOKUP(B415,'0. Instruções'!$C$27:$G$32,4,FALSE)&amp;" AS CHAVE_SIMUL, "&amp;C415&amp;" AS CAMPO_SIMUL FROM "&amp;F415&amp;" WHERE "&amp;'0. Instruções'!$D$42&amp;")Y",
"(SELECT "&amp;VLOOKUP(B415,'0. Instruções'!$C$27:$G$32,4,FALSE)&amp;" AS CHAVE_SIMUL1, "&amp;VLOOKUP(B415,'0. Instruções'!$C$27:$G$32,5,FALSE)&amp;" AS CHAVE_SIMUL2, "&amp;C415&amp;" AS CAMPO_SIMUL FROM "&amp;F415&amp;" WHERE "&amp;'0. Instruções'!$D$42&amp;")Y")</f>
        <v>(SELECT entty_id AS CHAVE_SIMUL, capex AS CAMPO_SIMUL FROM BU_LOANTAPE_WORK.LT003_ENTITY WHERE ref_date='${ref_date}' AND nome_perimetro='Individual Local' AND segmento='ESTR' AND ambito='PM' AND entidade='00100')Y</v>
      </c>
      <c r="L415" s="32" t="str">
        <f>IF(VLOOKUP(B415,'0. Instruções'!$C$27:$G$32,5,FALSE)=0,
"ON X.CHAVE_IT=Y.CHAVE_SIMUL",
"ON X.CHAVE_IT1=Y.CHAVE_SIMUL1 AND X.CHAVE_IT2=Y.CHAVE_SIMUL2")</f>
        <v>ON X.CHAVE_IT=Y.CHAVE_SIMUL</v>
      </c>
      <c r="M415" s="32" t="str">
        <f>+IF(D415="Coerência",+IF(LEFT(H415,5)="FLOAT","SELECT '"&amp;UPPER(B415)&amp;"' AS TABELA, '"&amp;UPPER(D415)&amp;"' AS TIPOLOGIA_TESTE,'"&amp;E415&amp;"' AS TABELA_LT,'"&amp;F415&amp;"' AS TABELA_SIMUL,'"&amp;C415&amp;"'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"&amp;J415&amp;" INNER JOIN "&amp;K415&amp;" "&amp;L415,"SELECT '"&amp;UPPER(B415)&amp;"' AS TABELA, '"&amp;UPPER(D415)&amp;"' AS TIPOLOGIA_TESTE,'"&amp;E415&amp;"' AS TABELA_LT,'"&amp;F415&amp;"' AS TABELA_SIMUL,'"&amp;C415&amp;"'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"&amp;J415&amp;" INNER JOIN "&amp;K415&amp;" "&amp;L415))</f>
        <v>SELECT 'ENTITY' AS TABELA, 'COERÊNCIA' AS TIPOLOGIA_TESTE,'CD_LOAN_TAPES_BCE.LT003_ENTITY' AS TABELA_LT,'BU_LOANTAPE_WORK.LT003_ENTITY' AS TABELA_SIMUL,'capex'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 AS CAMPO_IT FROM CD_LOAN_TAPES_BCE.LT003_ENTITY WHERE ref_date='${ref_date}' AND nome_perimetro='Individual Local' AND segmento='ESTR' AND ambito='PM' AND entidade='00100')X INNER JOIN (SELECT entty_id AS CHAVE_SIMUL, capex AS CAMPO_SIMUL FROM BU_LOANTAPE_WORK.LT003_ENTITY WHERE ref_date='${ref_date}' AND nome_perimetro='Individual Local' AND segmento='ESTR' AND ambito='PM' AND entidade='00100')Y ON X.CHAVE_IT=Y.CHAVE_SIMUL</v>
      </c>
      <c r="N415" s="33" t="str">
        <f t="shared" si="13"/>
        <v>UNION ALL SELECT 'ENTITY' AS TABELA, 'COERÊNCIA' AS TIPOLOGIA_TESTE,'CD_LOAN_TAPES_BCE.LT003_ENTITY' AS TABELA_LT,'BU_LOANTAPE_WORK.LT003_ENTITY' AS TABELA_SIMUL,'capex'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 AS CAMPO_IT FROM CD_LOAN_TAPES_BCE.LT003_ENTITY WHERE ref_date='${ref_date}' AND nome_perimetro='Individual Local' AND segmento='ESTR' AND ambito='PM' AND entidade='00100')X INNER JOIN (SELECT entty_id AS CHAVE_SIMUL, capex AS CAMPO_SIMUL FROM BU_LOANTAPE_WORK.LT003_ENTITY WHERE ref_date='${ref_date}' AND nome_perimetro='Individual Local' AND segmento='ESTR' AND ambito='PM' AND entidade='00100')Y ON X.CHAVE_IT=Y.CHAVE_SIMUL</v>
      </c>
      <c r="O415" s="35" t="s">
        <v>35</v>
      </c>
    </row>
    <row r="416" spans="1:15">
      <c r="A416" s="57" t="str">
        <f t="shared" si="14"/>
        <v>Entitycapex_prvs</v>
      </c>
      <c r="B416" s="32" t="s">
        <v>60</v>
      </c>
      <c r="C416" s="32" t="s">
        <v>552</v>
      </c>
      <c r="D416" s="32" t="s">
        <v>5</v>
      </c>
      <c r="E416" s="32" t="str">
        <f>+UPPER('0. Instruções'!$D$35&amp;"."&amp;VLOOKUP(B416,'0. Instruções'!$C$27:$D$32,2,FALSE))</f>
        <v>CD_LOAN_TAPES_BCE.LT003_ENTITY</v>
      </c>
      <c r="F416" s="32" t="str">
        <f>+UPPER('0. Instruções'!$D$36&amp;"."&amp;VLOOKUP(B416,'0. Instruções'!$C$27:$E$32,3,FALSE))</f>
        <v>BU_LOANTAPE_WORK.LT003_ENTITY</v>
      </c>
      <c r="H416" s="32"/>
      <c r="I416" s="32"/>
      <c r="J416" s="32" t="str">
        <f>IF(VLOOKUP(B416,'0. Instruções'!$C$27:$G$32,5,FALSE)=0,
"(SELECT "&amp;VLOOKUP(B416,'0. Instruções'!$C$27:$G$32,4,FALSE)&amp;" AS CHAVE_IT, "&amp;C416&amp;" AS CAMPO_IT FROM "&amp;E416&amp;" WHERE "&amp;'0. Instruções'!$D$43&amp;")X",
"(SELECT "&amp;VLOOKUP(B416,'0. Instruções'!$C$27:$G$32,4,FALSE)&amp;" AS CHAVE_IT1, "&amp;VLOOKUP(B416,'0. Instruções'!$C$27:$G$32,5,FALSE)&amp;" AS CHAVE_IT2, "&amp;C416&amp;" AS CAMPO_IT FROM "&amp;E416&amp;" WHERE "&amp;'0. Instruções'!$D$43&amp;")X")</f>
        <v>(SELECT entty_id AS CHAVE_IT, capex_prvs AS CAMPO_IT FROM CD_LOAN_TAPES_BCE.LT003_ENTITY WHERE ref_date='${ref_date}' AND nome_perimetro='Individual Local' AND segmento='ESTR' AND ambito='PM' AND entidade='00100')X</v>
      </c>
      <c r="K416" s="32" t="str">
        <f>IF(VLOOKUP(B416,'0. Instruções'!$C$27:$G$32,5,FALSE)=0,
"(SELECT "&amp;VLOOKUP(B416,'0. Instruções'!$C$27:$G$32,4,FALSE)&amp;" AS CHAVE_SIMUL, "&amp;C416&amp;" AS CAMPO_SIMUL FROM "&amp;F416&amp;" WHERE "&amp;'0. Instruções'!$D$42&amp;")Y",
"(SELECT "&amp;VLOOKUP(B416,'0. Instruções'!$C$27:$G$32,4,FALSE)&amp;" AS CHAVE_SIMUL1, "&amp;VLOOKUP(B416,'0. Instruções'!$C$27:$G$32,5,FALSE)&amp;" AS CHAVE_SIMUL2, "&amp;C416&amp;" AS CAMPO_SIMUL FROM "&amp;F416&amp;" WHERE "&amp;'0. Instruções'!$D$42&amp;")Y")</f>
        <v>(SELECT entty_id AS CHAVE_SIMUL, capex_prvs AS CAMPO_SIMUL FROM BU_LOANTAPE_WORK.LT003_ENTITY WHERE ref_date='${ref_date}' AND nome_perimetro='Individual Local' AND segmento='ESTR' AND ambito='PM' AND entidade='00100')Y</v>
      </c>
      <c r="L416" s="32" t="str">
        <f>IF(VLOOKUP(B416,'0. Instruções'!$C$27:$G$32,5,FALSE)=0,
"ON X.CHAVE_IT=Y.CHAVE_SIMUL",
"ON X.CHAVE_IT1=Y.CHAVE_SIMUL1 AND X.CHAVE_IT2=Y.CHAVE_SIMUL2")</f>
        <v>ON X.CHAVE_IT=Y.CHAVE_SIMUL</v>
      </c>
      <c r="M416" s="32" t="str">
        <f>+IF(D416="Coerência",+IF(LEFT(H416,5)="FLOAT","SELECT '"&amp;UPPER(B416)&amp;"' AS TABELA, '"&amp;UPPER(D416)&amp;"' AS TIPOLOGIA_TESTE,'"&amp;E416&amp;"' AS TABELA_LT,'"&amp;F416&amp;"' AS TABELA_SIMUL,'"&amp;C416&amp;"'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"&amp;J416&amp;" INNER JOIN "&amp;K416&amp;" "&amp;L416,"SELECT '"&amp;UPPER(B416)&amp;"' AS TABELA, '"&amp;UPPER(D416)&amp;"' AS TIPOLOGIA_TESTE,'"&amp;E416&amp;"' AS TABELA_LT,'"&amp;F416&amp;"' AS TABELA_SIMUL,'"&amp;C416&amp;"'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"&amp;J416&amp;" INNER JOIN "&amp;K416&amp;" "&amp;L416))</f>
        <v>SELECT 'ENTITY' AS TABELA, 'COERÊNCIA' AS TIPOLOGIA_TESTE,'CD_LOAN_TAPES_BCE.LT003_ENTITY' AS TABELA_LT,'BU_LOANTAPE_WORK.LT003_ENTITY' AS TABELA_SIMUL,'capex_prvs'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capex_prvs AS CAMPO_IT FROM CD_LOAN_TAPES_BCE.LT003_ENTITY WHERE ref_date='${ref_date}' AND nome_perimetro='Individual Local' AND segmento='ESTR' AND ambito='PM' AND entidade='00100')X INNER JOIN (SELECT entty_id AS CHAVE_SIMUL, capex_prvs AS CAMPO_SIMUL FROM BU_LOANTAPE_WORK.LT003_ENTITY WHERE ref_date='${ref_date}' AND nome_perimetro='Individual Local' AND segmento='ESTR' AND ambito='PM' AND entidade='00100')Y ON X.CHAVE_IT=Y.CHAVE_SIMUL</v>
      </c>
      <c r="N416" s="33" t="str">
        <f t="shared" si="13"/>
        <v>UNION ALL SELECT 'ENTITY' AS TABELA, 'COERÊNCIA' AS TIPOLOGIA_TESTE,'CD_LOAN_TAPES_BCE.LT003_ENTITY' AS TABELA_LT,'BU_LOANTAPE_WORK.LT003_ENTITY' AS TABELA_SIMUL,'capex_prvs'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capex_prvs AS CAMPO_IT FROM CD_LOAN_TAPES_BCE.LT003_ENTITY WHERE ref_date='${ref_date}' AND nome_perimetro='Individual Local' AND segmento='ESTR' AND ambito='PM' AND entidade='00100')X INNER JOIN (SELECT entty_id AS CHAVE_SIMUL, capex_prvs AS CAMPO_SIMUL FROM BU_LOANTAPE_WORK.LT003_ENTITY WHERE ref_date='${ref_date}' AND nome_perimetro='Individual Local' AND segmento='ESTR' AND ambito='PM' AND entidade='00100')Y ON X.CHAVE_IT=Y.CHAVE_SIMUL</v>
      </c>
      <c r="O416" s="35" t="s">
        <v>35</v>
      </c>
    </row>
    <row r="417" spans="1:15">
      <c r="A417" s="57" t="str">
        <f t="shared" si="14"/>
        <v>Entitycllctn_md</v>
      </c>
      <c r="B417" s="32" t="s">
        <v>60</v>
      </c>
      <c r="C417" s="32" t="s">
        <v>553</v>
      </c>
      <c r="D417" s="32" t="s">
        <v>5</v>
      </c>
      <c r="E417" s="32" t="str">
        <f>+UPPER('0. Instruções'!$D$35&amp;"."&amp;VLOOKUP(B417,'0. Instruções'!$C$27:$D$32,2,FALSE))</f>
        <v>CD_LOAN_TAPES_BCE.LT003_ENTITY</v>
      </c>
      <c r="F417" s="32" t="str">
        <f>+UPPER('0. Instruções'!$D$36&amp;"."&amp;VLOOKUP(B417,'0. Instruções'!$C$27:$E$32,3,FALSE))</f>
        <v>BU_LOANTAPE_WORK.LT003_ENTITY</v>
      </c>
      <c r="H417" s="32"/>
      <c r="I417" s="32"/>
      <c r="J417" s="32" t="str">
        <f>IF(VLOOKUP(B417,'0. Instruções'!$C$27:$G$32,5,FALSE)=0,
"(SELECT "&amp;VLOOKUP(B417,'0. Instruções'!$C$27:$G$32,4,FALSE)&amp;" AS CHAVE_IT, "&amp;C417&amp;" AS CAMPO_IT FROM "&amp;E417&amp;" WHERE "&amp;'0. Instruções'!$D$43&amp;")X",
"(SELECT "&amp;VLOOKUP(B417,'0. Instruções'!$C$27:$G$32,4,FALSE)&amp;" AS CHAVE_IT1, "&amp;VLOOKUP(B417,'0. Instruções'!$C$27:$G$32,5,FALSE)&amp;" AS CHAVE_IT2, "&amp;C417&amp;" AS CAMPO_IT FROM "&amp;E417&amp;" WHERE "&amp;'0. Instruções'!$D$43&amp;")X")</f>
        <v>(SELECT entty_id AS CHAVE_IT, cllctn_md AS CAMPO_IT FROM CD_LOAN_TAPES_BCE.LT003_ENTITY WHERE ref_date='${ref_date}' AND nome_perimetro='Individual Local' AND segmento='ESTR' AND ambito='PM' AND entidade='00100')X</v>
      </c>
      <c r="K417" s="32" t="str">
        <f>IF(VLOOKUP(B417,'0. Instruções'!$C$27:$G$32,5,FALSE)=0,
"(SELECT "&amp;VLOOKUP(B417,'0. Instruções'!$C$27:$G$32,4,FALSE)&amp;" AS CHAVE_SIMUL, "&amp;C417&amp;" AS CAMPO_SIMUL FROM "&amp;F417&amp;" WHERE "&amp;'0. Instruções'!$D$42&amp;")Y",
"(SELECT "&amp;VLOOKUP(B417,'0. Instruções'!$C$27:$G$32,4,FALSE)&amp;" AS CHAVE_SIMUL1, "&amp;VLOOKUP(B417,'0. Instruções'!$C$27:$G$32,5,FALSE)&amp;" AS CHAVE_SIMUL2, "&amp;C417&amp;" AS CAMPO_SIMUL FROM "&amp;F417&amp;" WHERE "&amp;'0. Instruções'!$D$42&amp;")Y")</f>
        <v>(SELECT entty_id AS CHAVE_SIMUL, cllctn_md AS CAMPO_SIMUL FROM BU_LOANTAPE_WORK.LT003_ENTITY WHERE ref_date='${ref_date}' AND nome_perimetro='Individual Local' AND segmento='ESTR' AND ambito='PM' AND entidade='00100')Y</v>
      </c>
      <c r="L417" s="32" t="str">
        <f>IF(VLOOKUP(B417,'0. Instruções'!$C$27:$G$32,5,FALSE)=0,
"ON X.CHAVE_IT=Y.CHAVE_SIMUL",
"ON X.CHAVE_IT1=Y.CHAVE_SIMUL1 AND X.CHAVE_IT2=Y.CHAVE_SIMUL2")</f>
        <v>ON X.CHAVE_IT=Y.CHAVE_SIMUL</v>
      </c>
      <c r="M417" s="32" t="str">
        <f>+IF(D417="Coerência",+IF(LEFT(H417,5)="FLOAT","SELECT '"&amp;UPPER(B417)&amp;"' AS TABELA, '"&amp;UPPER(D417)&amp;"' AS TIPOLOGIA_TESTE,'"&amp;E417&amp;"' AS TABELA_LT,'"&amp;F417&amp;"' AS TABELA_SIMUL,'"&amp;C417&amp;"'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"&amp;J417&amp;" INNER JOIN "&amp;K417&amp;" "&amp;L417,"SELECT '"&amp;UPPER(B417)&amp;"' AS TABELA, '"&amp;UPPER(D417)&amp;"' AS TIPOLOGIA_TESTE,'"&amp;E417&amp;"' AS TABELA_LT,'"&amp;F417&amp;"' AS TABELA_SIMUL,'"&amp;C417&amp;"'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"&amp;J417&amp;" INNER JOIN "&amp;K417&amp;" "&amp;L417))</f>
        <v>SELECT 'ENTITY' AS TABELA, 'COERÊNCIA' AS TIPOLOGIA_TESTE,'CD_LOAN_TAPES_BCE.LT003_ENTITY' AS TABELA_LT,'BU_LOANTAPE_WORK.LT003_ENTITY' AS TABELA_SIMUL,'cllctn_md'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cllctn_md AS CAMPO_IT FROM CD_LOAN_TAPES_BCE.LT003_ENTITY WHERE ref_date='${ref_date}' AND nome_perimetro='Individual Local' AND segmento='ESTR' AND ambito='PM' AND entidade='00100')X INNER JOIN (SELECT entty_id AS CHAVE_SIMUL, cllctn_md AS CAMPO_SIMUL FROM BU_LOANTAPE_WORK.LT003_ENTITY WHERE ref_date='${ref_date}' AND nome_perimetro='Individual Local' AND segmento='ESTR' AND ambito='PM' AND entidade='00100')Y ON X.CHAVE_IT=Y.CHAVE_SIMUL</v>
      </c>
      <c r="N417" s="33" t="str">
        <f t="shared" si="13"/>
        <v>UNION ALL SELECT 'ENTITY' AS TABELA, 'COERÊNCIA' AS TIPOLOGIA_TESTE,'CD_LOAN_TAPES_BCE.LT003_ENTITY' AS TABELA_LT,'BU_LOANTAPE_WORK.LT003_ENTITY' AS TABELA_SIMUL,'cllctn_md'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cllctn_md AS CAMPO_IT FROM CD_LOAN_TAPES_BCE.LT003_ENTITY WHERE ref_date='${ref_date}' AND nome_perimetro='Individual Local' AND segmento='ESTR' AND ambito='PM' AND entidade='00100')X INNER JOIN (SELECT entty_id AS CHAVE_SIMUL, cllctn_md AS CAMPO_SIMUL FROM BU_LOANTAPE_WORK.LT003_ENTITY WHERE ref_date='${ref_date}' AND nome_perimetro='Individual Local' AND segmento='ESTR' AND ambito='PM' AND entidade='00100')Y ON X.CHAVE_IT=Y.CHAVE_SIMUL</v>
      </c>
      <c r="O417" s="35" t="s">
        <v>35</v>
      </c>
    </row>
    <row r="418" spans="1:15">
      <c r="A418" s="57" t="str">
        <f t="shared" si="14"/>
        <v>Entitycsh</v>
      </c>
      <c r="B418" s="32" t="s">
        <v>60</v>
      </c>
      <c r="C418" s="32" t="s">
        <v>554</v>
      </c>
      <c r="D418" s="32" t="s">
        <v>5</v>
      </c>
      <c r="E418" s="32" t="str">
        <f>+UPPER('0. Instruções'!$D$35&amp;"."&amp;VLOOKUP(B418,'0. Instruções'!$C$27:$D$32,2,FALSE))</f>
        <v>CD_LOAN_TAPES_BCE.LT003_ENTITY</v>
      </c>
      <c r="F418" s="32" t="str">
        <f>+UPPER('0. Instruções'!$D$36&amp;"."&amp;VLOOKUP(B418,'0. Instruções'!$C$27:$E$32,3,FALSE))</f>
        <v>BU_LOANTAPE_WORK.LT003_ENTITY</v>
      </c>
      <c r="H418" s="32"/>
      <c r="I418" s="32"/>
      <c r="J418" s="32" t="str">
        <f>IF(VLOOKUP(B418,'0. Instruções'!$C$27:$G$32,5,FALSE)=0,
"(SELECT "&amp;VLOOKUP(B418,'0. Instruções'!$C$27:$G$32,4,FALSE)&amp;" AS CHAVE_IT, "&amp;C418&amp;" AS CAMPO_IT FROM "&amp;E418&amp;" WHERE "&amp;'0. Instruções'!$D$43&amp;")X",
"(SELECT "&amp;VLOOKUP(B418,'0. Instruções'!$C$27:$G$32,4,FALSE)&amp;" AS CHAVE_IT1, "&amp;VLOOKUP(B418,'0. Instruções'!$C$27:$G$32,5,FALSE)&amp;" AS CHAVE_IT2, "&amp;C418&amp;" AS CAMPO_IT FROM "&amp;E418&amp;" WHERE "&amp;'0. Instruções'!$D$43&amp;")X")</f>
        <v>(SELECT entty_id AS CHAVE_IT, csh AS CAMPO_IT FROM CD_LOAN_TAPES_BCE.LT003_ENTITY WHERE ref_date='${ref_date}' AND nome_perimetro='Individual Local' AND segmento='ESTR' AND ambito='PM' AND entidade='00100')X</v>
      </c>
      <c r="K418" s="32" t="str">
        <f>IF(VLOOKUP(B418,'0. Instruções'!$C$27:$G$32,5,FALSE)=0,
"(SELECT "&amp;VLOOKUP(B418,'0. Instruções'!$C$27:$G$32,4,FALSE)&amp;" AS CHAVE_SIMUL, "&amp;C418&amp;" AS CAMPO_SIMUL FROM "&amp;F418&amp;" WHERE "&amp;'0. Instruções'!$D$42&amp;")Y",
"(SELECT "&amp;VLOOKUP(B418,'0. Instruções'!$C$27:$G$32,4,FALSE)&amp;" AS CHAVE_SIMUL1, "&amp;VLOOKUP(B418,'0. Instruções'!$C$27:$G$32,5,FALSE)&amp;" AS CHAVE_SIMUL2, "&amp;C418&amp;" AS CAMPO_SIMUL FROM "&amp;F418&amp;" WHERE "&amp;'0. Instruções'!$D$42&amp;")Y")</f>
        <v>(SELECT entty_id AS CHAVE_SIMUL, csh AS CAMPO_SIMUL FROM BU_LOANTAPE_WORK.LT003_ENTITY WHERE ref_date='${ref_date}' AND nome_perimetro='Individual Local' AND segmento='ESTR' AND ambito='PM' AND entidade='00100')Y</v>
      </c>
      <c r="L418" s="32" t="str">
        <f>IF(VLOOKUP(B418,'0. Instruções'!$C$27:$G$32,5,FALSE)=0,
"ON X.CHAVE_IT=Y.CHAVE_SIMUL",
"ON X.CHAVE_IT1=Y.CHAVE_SIMUL1 AND X.CHAVE_IT2=Y.CHAVE_SIMUL2")</f>
        <v>ON X.CHAVE_IT=Y.CHAVE_SIMUL</v>
      </c>
      <c r="M418" s="32" t="str">
        <f>+IF(D418="Coerência",+IF(LEFT(H418,5)="FLOAT","SELECT '"&amp;UPPER(B418)&amp;"' AS TABELA, '"&amp;UPPER(D418)&amp;"' AS TIPOLOGIA_TESTE,'"&amp;E418&amp;"' AS TABELA_LT,'"&amp;F418&amp;"' AS TABELA_SIMUL,'"&amp;C418&amp;"'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"&amp;J418&amp;" INNER JOIN "&amp;K418&amp;" "&amp;L418,"SELECT '"&amp;UPPER(B418)&amp;"' AS TABELA, '"&amp;UPPER(D418)&amp;"' AS TIPOLOGIA_TESTE,'"&amp;E418&amp;"' AS TABELA_LT,'"&amp;F418&amp;"' AS TABELA_SIMUL,'"&amp;C418&amp;"'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"&amp;J418&amp;" INNER JOIN "&amp;K418&amp;" "&amp;L418))</f>
        <v>SELECT 'ENTITY' AS TABELA, 'COERÊNCIA' AS TIPOLOGIA_TESTE,'CD_LOAN_TAPES_BCE.LT003_ENTITY' AS TABELA_LT,'BU_LOANTAPE_WORK.LT003_ENTITY' AS TABELA_SIMUL,'csh'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 AS CAMPO_IT FROM CD_LOAN_TAPES_BCE.LT003_ENTITY WHERE ref_date='${ref_date}' AND nome_perimetro='Individual Local' AND segmento='ESTR' AND ambito='PM' AND entidade='00100')X INNER JOIN (SELECT entty_id AS CHAVE_SIMUL, csh AS CAMPO_SIMUL FROM BU_LOANTAPE_WORK.LT003_ENTITY WHERE ref_date='${ref_date}' AND nome_perimetro='Individual Local' AND segmento='ESTR' AND ambito='PM' AND entidade='00100')Y ON X.CHAVE_IT=Y.CHAVE_SIMUL</v>
      </c>
      <c r="N418" s="33" t="str">
        <f t="shared" si="13"/>
        <v>UNION ALL SELECT 'ENTITY' AS TABELA, 'COERÊNCIA' AS TIPOLOGIA_TESTE,'CD_LOAN_TAPES_BCE.LT003_ENTITY' AS TABELA_LT,'BU_LOANTAPE_WORK.LT003_ENTITY' AS TABELA_SIMUL,'csh'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 AS CAMPO_IT FROM CD_LOAN_TAPES_BCE.LT003_ENTITY WHERE ref_date='${ref_date}' AND nome_perimetro='Individual Local' AND segmento='ESTR' AND ambito='PM' AND entidade='00100')X INNER JOIN (SELECT entty_id AS CHAVE_SIMUL, csh AS CAMPO_SIMUL FROM BU_LOANTAPE_WORK.LT003_ENTITY WHERE ref_date='${ref_date}' AND nome_perimetro='Individual Local' AND segmento='ESTR' AND ambito='PM' AND entidade='00100')Y ON X.CHAVE_IT=Y.CHAVE_SIMUL</v>
      </c>
      <c r="O418" s="35" t="s">
        <v>35</v>
      </c>
    </row>
    <row r="419" spans="1:15">
      <c r="A419" s="57" t="str">
        <f t="shared" si="14"/>
        <v>Entitycsh_prvs</v>
      </c>
      <c r="B419" s="32" t="s">
        <v>60</v>
      </c>
      <c r="C419" s="32" t="s">
        <v>555</v>
      </c>
      <c r="D419" s="32" t="s">
        <v>5</v>
      </c>
      <c r="E419" s="32" t="str">
        <f>+UPPER('0. Instruções'!$D$35&amp;"."&amp;VLOOKUP(B419,'0. Instruções'!$C$27:$D$32,2,FALSE))</f>
        <v>CD_LOAN_TAPES_BCE.LT003_ENTITY</v>
      </c>
      <c r="F419" s="32" t="str">
        <f>+UPPER('0. Instruções'!$D$36&amp;"."&amp;VLOOKUP(B419,'0. Instruções'!$C$27:$E$32,3,FALSE))</f>
        <v>BU_LOANTAPE_WORK.LT003_ENTITY</v>
      </c>
      <c r="H419" s="32"/>
      <c r="I419" s="32"/>
      <c r="J419" s="32" t="str">
        <f>IF(VLOOKUP(B419,'0. Instruções'!$C$27:$G$32,5,FALSE)=0,
"(SELECT "&amp;VLOOKUP(B419,'0. Instruções'!$C$27:$G$32,4,FALSE)&amp;" AS CHAVE_IT, "&amp;C419&amp;" AS CAMPO_IT FROM "&amp;E419&amp;" WHERE "&amp;'0. Instruções'!$D$43&amp;")X",
"(SELECT "&amp;VLOOKUP(B419,'0. Instruções'!$C$27:$G$32,4,FALSE)&amp;" AS CHAVE_IT1, "&amp;VLOOKUP(B419,'0. Instruções'!$C$27:$G$32,5,FALSE)&amp;" AS CHAVE_IT2, "&amp;C419&amp;" AS CAMPO_IT FROM "&amp;E419&amp;" WHERE "&amp;'0. Instruções'!$D$43&amp;")X")</f>
        <v>(SELECT entty_id AS CHAVE_IT, csh_prvs AS CAMPO_IT FROM CD_LOAN_TAPES_BCE.LT003_ENTITY WHERE ref_date='${ref_date}' AND nome_perimetro='Individual Local' AND segmento='ESTR' AND ambito='PM' AND entidade='00100')X</v>
      </c>
      <c r="K419" s="32" t="str">
        <f>IF(VLOOKUP(B419,'0. Instruções'!$C$27:$G$32,5,FALSE)=0,
"(SELECT "&amp;VLOOKUP(B419,'0. Instruções'!$C$27:$G$32,4,FALSE)&amp;" AS CHAVE_SIMUL, "&amp;C419&amp;" AS CAMPO_SIMUL FROM "&amp;F419&amp;" WHERE "&amp;'0. Instruções'!$D$42&amp;")Y",
"(SELECT "&amp;VLOOKUP(B419,'0. Instruções'!$C$27:$G$32,4,FALSE)&amp;" AS CHAVE_SIMUL1, "&amp;VLOOKUP(B419,'0. Instruções'!$C$27:$G$32,5,FALSE)&amp;" AS CHAVE_SIMUL2, "&amp;C419&amp;" AS CAMPO_SIMUL FROM "&amp;F419&amp;" WHERE "&amp;'0. Instruções'!$D$42&amp;")Y")</f>
        <v>(SELECT entty_id AS CHAVE_SIMUL, csh_prvs AS CAMPO_SIMUL FROM BU_LOANTAPE_WORK.LT003_ENTITY WHERE ref_date='${ref_date}' AND nome_perimetro='Individual Local' AND segmento='ESTR' AND ambito='PM' AND entidade='00100')Y</v>
      </c>
      <c r="L419" s="32" t="str">
        <f>IF(VLOOKUP(B419,'0. Instruções'!$C$27:$G$32,5,FALSE)=0,
"ON X.CHAVE_IT=Y.CHAVE_SIMUL",
"ON X.CHAVE_IT1=Y.CHAVE_SIMUL1 AND X.CHAVE_IT2=Y.CHAVE_SIMUL2")</f>
        <v>ON X.CHAVE_IT=Y.CHAVE_SIMUL</v>
      </c>
      <c r="M419" s="32" t="str">
        <f>+IF(D419="Coerência",+IF(LEFT(H419,5)="FLOAT","SELECT '"&amp;UPPER(B419)&amp;"' AS TABELA, '"&amp;UPPER(D419)&amp;"' AS TIPOLOGIA_TESTE,'"&amp;E419&amp;"' AS TABELA_LT,'"&amp;F419&amp;"' AS TABELA_SIMUL,'"&amp;C419&amp;"'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"&amp;J419&amp;" INNER JOIN "&amp;K419&amp;" "&amp;L419,"SELECT '"&amp;UPPER(B419)&amp;"' AS TABELA, '"&amp;UPPER(D419)&amp;"' AS TIPOLOGIA_TESTE,'"&amp;E419&amp;"' AS TABELA_LT,'"&amp;F419&amp;"' AS TABELA_SIMUL,'"&amp;C419&amp;"'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"&amp;J419&amp;" INNER JOIN "&amp;K419&amp;" "&amp;L419))</f>
        <v>SELECT 'ENTITY' AS TABELA, 'COERÊNCIA' AS TIPOLOGIA_TESTE,'CD_LOAN_TAPES_BCE.LT003_ENTITY' AS TABELA_LT,'BU_LOANTAPE_WORK.LT003_ENTITY' AS TABELA_SIMUL,'csh_prvs'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csh_prvs AS CAMPO_IT FROM CD_LOAN_TAPES_BCE.LT003_ENTITY WHERE ref_date='${ref_date}' AND nome_perimetro='Individual Local' AND segmento='ESTR' AND ambito='PM' AND entidade='00100')X INNER JOIN (SELECT entty_id AS CHAVE_SIMUL, csh_prvs AS CAMPO_SIMUL FROM BU_LOANTAPE_WORK.LT003_ENTITY WHERE ref_date='${ref_date}' AND nome_perimetro='Individual Local' AND segmento='ESTR' AND ambito='PM' AND entidade='00100')Y ON X.CHAVE_IT=Y.CHAVE_SIMUL</v>
      </c>
      <c r="N419" s="33" t="str">
        <f t="shared" si="13"/>
        <v>UNION ALL SELECT 'ENTITY' AS TABELA, 'COERÊNCIA' AS TIPOLOGIA_TESTE,'CD_LOAN_TAPES_BCE.LT003_ENTITY' AS TABELA_LT,'BU_LOANTAPE_WORK.LT003_ENTITY' AS TABELA_SIMUL,'csh_prvs'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csh_prvs AS CAMPO_IT FROM CD_LOAN_TAPES_BCE.LT003_ENTITY WHERE ref_date='${ref_date}' AND nome_perimetro='Individual Local' AND segmento='ESTR' AND ambito='PM' AND entidade='00100')X INNER JOIN (SELECT entty_id AS CHAVE_SIMUL, csh_prvs AS CAMPO_SIMUL FROM BU_LOANTAPE_WORK.LT003_ENTITY WHERE ref_date='${ref_date}' AND nome_perimetro='Individual Local' AND segmento='ESTR' AND ambito='PM' AND entidade='00100')Y ON X.CHAVE_IT=Y.CHAVE_SIMUL</v>
      </c>
      <c r="O419" s="35" t="s">
        <v>35</v>
      </c>
    </row>
    <row r="420" spans="1:15">
      <c r="A420" s="57" t="str">
        <f t="shared" si="14"/>
        <v>Entityebitda</v>
      </c>
      <c r="B420" s="32" t="s">
        <v>60</v>
      </c>
      <c r="C420" s="32" t="s">
        <v>556</v>
      </c>
      <c r="D420" s="32" t="s">
        <v>5</v>
      </c>
      <c r="E420" s="32" t="str">
        <f>+UPPER('0. Instruções'!$D$35&amp;"."&amp;VLOOKUP(B420,'0. Instruções'!$C$27:$D$32,2,FALSE))</f>
        <v>CD_LOAN_TAPES_BCE.LT003_ENTITY</v>
      </c>
      <c r="F420" s="32" t="str">
        <f>+UPPER('0. Instruções'!$D$36&amp;"."&amp;VLOOKUP(B420,'0. Instruções'!$C$27:$E$32,3,FALSE))</f>
        <v>BU_LOANTAPE_WORK.LT003_ENTITY</v>
      </c>
      <c r="H420" s="32"/>
      <c r="I420" s="32"/>
      <c r="J420" s="32" t="str">
        <f>IF(VLOOKUP(B420,'0. Instruções'!$C$27:$G$32,5,FALSE)=0,
"(SELECT "&amp;VLOOKUP(B420,'0. Instruções'!$C$27:$G$32,4,FALSE)&amp;" AS CHAVE_IT, "&amp;C420&amp;" AS CAMPO_IT FROM "&amp;E420&amp;" WHERE "&amp;'0. Instruções'!$D$43&amp;")X",
"(SELECT "&amp;VLOOKUP(B420,'0. Instruções'!$C$27:$G$32,4,FALSE)&amp;" AS CHAVE_IT1, "&amp;VLOOKUP(B420,'0. Instruções'!$C$27:$G$32,5,FALSE)&amp;" AS CHAVE_IT2, "&amp;C420&amp;" AS CAMPO_IT FROM "&amp;E420&amp;" WHERE "&amp;'0. Instruções'!$D$43&amp;")X")</f>
        <v>(SELECT entty_id AS CHAVE_IT, ebitda AS CAMPO_IT FROM CD_LOAN_TAPES_BCE.LT003_ENTITY WHERE ref_date='${ref_date}' AND nome_perimetro='Individual Local' AND segmento='ESTR' AND ambito='PM' AND entidade='00100')X</v>
      </c>
      <c r="K420" s="32" t="str">
        <f>IF(VLOOKUP(B420,'0. Instruções'!$C$27:$G$32,5,FALSE)=0,
"(SELECT "&amp;VLOOKUP(B420,'0. Instruções'!$C$27:$G$32,4,FALSE)&amp;" AS CHAVE_SIMUL, "&amp;C420&amp;" AS CAMPO_SIMUL FROM "&amp;F420&amp;" WHERE "&amp;'0. Instruções'!$D$42&amp;")Y",
"(SELECT "&amp;VLOOKUP(B420,'0. Instruções'!$C$27:$G$32,4,FALSE)&amp;" AS CHAVE_SIMUL1, "&amp;VLOOKUP(B420,'0. Instruções'!$C$27:$G$32,5,FALSE)&amp;" AS CHAVE_SIMUL2, "&amp;C420&amp;" AS CAMPO_SIMUL FROM "&amp;F420&amp;" WHERE "&amp;'0. Instruções'!$D$42&amp;")Y")</f>
        <v>(SELECT entty_id AS CHAVE_SIMUL, ebitda AS CAMPO_SIMUL FROM BU_LOANTAPE_WORK.LT003_ENTITY WHERE ref_date='${ref_date}' AND nome_perimetro='Individual Local' AND segmento='ESTR' AND ambito='PM' AND entidade='00100')Y</v>
      </c>
      <c r="L420" s="32" t="str">
        <f>IF(VLOOKUP(B420,'0. Instruções'!$C$27:$G$32,5,FALSE)=0,
"ON X.CHAVE_IT=Y.CHAVE_SIMUL",
"ON X.CHAVE_IT1=Y.CHAVE_SIMUL1 AND X.CHAVE_IT2=Y.CHAVE_SIMUL2")</f>
        <v>ON X.CHAVE_IT=Y.CHAVE_SIMUL</v>
      </c>
      <c r="M420" s="32" t="str">
        <f>+IF(D420="Coerência",+IF(LEFT(H420,5)="FLOAT","SELECT '"&amp;UPPER(B420)&amp;"' AS TABELA, '"&amp;UPPER(D420)&amp;"' AS TIPOLOGIA_TESTE,'"&amp;E420&amp;"' AS TABELA_LT,'"&amp;F420&amp;"' AS TABELA_SIMUL,'"&amp;C420&amp;"'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"&amp;J420&amp;" INNER JOIN "&amp;K420&amp;" "&amp;L420,"SELECT '"&amp;UPPER(B420)&amp;"' AS TABELA, '"&amp;UPPER(D420)&amp;"' AS TIPOLOGIA_TESTE,'"&amp;E420&amp;"' AS TABELA_LT,'"&amp;F420&amp;"' AS TABELA_SIMUL,'"&amp;C420&amp;"'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"&amp;J420&amp;" INNER JOIN "&amp;K420&amp;" "&amp;L420))</f>
        <v>SELECT 'ENTITY' AS TABELA, 'COERÊNCIA' AS TIPOLOGIA_TESTE,'CD_LOAN_TAPES_BCE.LT003_ENTITY' AS TABELA_LT,'BU_LOANTAPE_WORK.LT003_ENTITY' AS TABELA_SIMUL,'ebitda'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 AS CAMPO_IT FROM CD_LOAN_TAPES_BCE.LT003_ENTITY WHERE ref_date='${ref_date}' AND nome_perimetro='Individual Local' AND segmento='ESTR' AND ambito='PM' AND entidade='00100')X INNER JOIN (SELECT entty_id AS CHAVE_SIMUL, ebitda AS CAMPO_SIMUL FROM BU_LOANTAPE_WORK.LT003_ENTITY WHERE ref_date='${ref_date}' AND nome_perimetro='Individual Local' AND segmento='ESTR' AND ambito='PM' AND entidade='00100')Y ON X.CHAVE_IT=Y.CHAVE_SIMUL</v>
      </c>
      <c r="N420" s="33" t="str">
        <f t="shared" si="13"/>
        <v>UNION ALL SELECT 'ENTITY' AS TABELA, 'COERÊNCIA' AS TIPOLOGIA_TESTE,'CD_LOAN_TAPES_BCE.LT003_ENTITY' AS TABELA_LT,'BU_LOANTAPE_WORK.LT003_ENTITY' AS TABELA_SIMUL,'ebitda'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 AS CAMPO_IT FROM CD_LOAN_TAPES_BCE.LT003_ENTITY WHERE ref_date='${ref_date}' AND nome_perimetro='Individual Local' AND segmento='ESTR' AND ambito='PM' AND entidade='00100')X INNER JOIN (SELECT entty_id AS CHAVE_SIMUL, ebitda AS CAMPO_SIMUL FROM BU_LOANTAPE_WORK.LT003_ENTITY WHERE ref_date='${ref_date}' AND nome_perimetro='Individual Local' AND segmento='ESTR' AND ambito='PM' AND entidade='00100')Y ON X.CHAVE_IT=Y.CHAVE_SIMUL</v>
      </c>
      <c r="O420" s="35" t="s">
        <v>35</v>
      </c>
    </row>
    <row r="421" spans="1:15">
      <c r="A421" s="57" t="str">
        <f t="shared" si="14"/>
        <v>Entityebitda_prvs</v>
      </c>
      <c r="B421" s="32" t="s">
        <v>60</v>
      </c>
      <c r="C421" s="32" t="s">
        <v>557</v>
      </c>
      <c r="D421" s="32" t="s">
        <v>5</v>
      </c>
      <c r="E421" s="32" t="str">
        <f>+UPPER('0. Instruções'!$D$35&amp;"."&amp;VLOOKUP(B421,'0. Instruções'!$C$27:$D$32,2,FALSE))</f>
        <v>CD_LOAN_TAPES_BCE.LT003_ENTITY</v>
      </c>
      <c r="F421" s="32" t="str">
        <f>+UPPER('0. Instruções'!$D$36&amp;"."&amp;VLOOKUP(B421,'0. Instruções'!$C$27:$E$32,3,FALSE))</f>
        <v>BU_LOANTAPE_WORK.LT003_ENTITY</v>
      </c>
      <c r="H421" s="32"/>
      <c r="I421" s="32"/>
      <c r="J421" s="32" t="str">
        <f>IF(VLOOKUP(B421,'0. Instruções'!$C$27:$G$32,5,FALSE)=0,
"(SELECT "&amp;VLOOKUP(B421,'0. Instruções'!$C$27:$G$32,4,FALSE)&amp;" AS CHAVE_IT, "&amp;C421&amp;" AS CAMPO_IT FROM "&amp;E421&amp;" WHERE "&amp;'0. Instruções'!$D$43&amp;")X",
"(SELECT "&amp;VLOOKUP(B421,'0. Instruções'!$C$27:$G$32,4,FALSE)&amp;" AS CHAVE_IT1, "&amp;VLOOKUP(B421,'0. Instruções'!$C$27:$G$32,5,FALSE)&amp;" AS CHAVE_IT2, "&amp;C421&amp;" AS CAMPO_IT FROM "&amp;E421&amp;" WHERE "&amp;'0. Instruções'!$D$43&amp;")X")</f>
        <v>(SELECT entty_id AS CHAVE_IT, ebitda_prvs AS CAMPO_IT FROM CD_LOAN_TAPES_BCE.LT003_ENTITY WHERE ref_date='${ref_date}' AND nome_perimetro='Individual Local' AND segmento='ESTR' AND ambito='PM' AND entidade='00100')X</v>
      </c>
      <c r="K421" s="32" t="str">
        <f>IF(VLOOKUP(B421,'0. Instruções'!$C$27:$G$32,5,FALSE)=0,
"(SELECT "&amp;VLOOKUP(B421,'0. Instruções'!$C$27:$G$32,4,FALSE)&amp;" AS CHAVE_SIMUL, "&amp;C421&amp;" AS CAMPO_SIMUL FROM "&amp;F421&amp;" WHERE "&amp;'0. Instruções'!$D$42&amp;")Y",
"(SELECT "&amp;VLOOKUP(B421,'0. Instruções'!$C$27:$G$32,4,FALSE)&amp;" AS CHAVE_SIMUL1, "&amp;VLOOKUP(B421,'0. Instruções'!$C$27:$G$32,5,FALSE)&amp;" AS CHAVE_SIMUL2, "&amp;C421&amp;" AS CAMPO_SIMUL FROM "&amp;F421&amp;" WHERE "&amp;'0. Instruções'!$D$42&amp;")Y")</f>
        <v>(SELECT entty_id AS CHAVE_SIMUL, ebitda_prvs AS CAMPO_SIMUL FROM BU_LOANTAPE_WORK.LT003_ENTITY WHERE ref_date='${ref_date}' AND nome_perimetro='Individual Local' AND segmento='ESTR' AND ambito='PM' AND entidade='00100')Y</v>
      </c>
      <c r="L421" s="32" t="str">
        <f>IF(VLOOKUP(B421,'0. Instruções'!$C$27:$G$32,5,FALSE)=0,
"ON X.CHAVE_IT=Y.CHAVE_SIMUL",
"ON X.CHAVE_IT1=Y.CHAVE_SIMUL1 AND X.CHAVE_IT2=Y.CHAVE_SIMUL2")</f>
        <v>ON X.CHAVE_IT=Y.CHAVE_SIMUL</v>
      </c>
      <c r="M421" s="32" t="str">
        <f>+IF(D421="Coerência",+IF(LEFT(H421,5)="FLOAT","SELECT '"&amp;UPPER(B421)&amp;"' AS TABELA, '"&amp;UPPER(D421)&amp;"' AS TIPOLOGIA_TESTE,'"&amp;E421&amp;"' AS TABELA_LT,'"&amp;F421&amp;"' AS TABELA_SIMUL,'"&amp;C421&amp;"'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"&amp;J421&amp;" INNER JOIN "&amp;K421&amp;" "&amp;L421,"SELECT '"&amp;UPPER(B421)&amp;"' AS TABELA, '"&amp;UPPER(D421)&amp;"' AS TIPOLOGIA_TESTE,'"&amp;E421&amp;"' AS TABELA_LT,'"&amp;F421&amp;"' AS TABELA_SIMUL,'"&amp;C421&amp;"'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"&amp;J421&amp;" INNER JOIN "&amp;K421&amp;" "&amp;L421))</f>
        <v>SELECT 'ENTITY' AS TABELA, 'COERÊNCIA' AS TIPOLOGIA_TESTE,'CD_LOAN_TAPES_BCE.LT003_ENTITY' AS TABELA_LT,'BU_LOANTAPE_WORK.LT003_ENTITY' AS TABELA_SIMUL,'ebitda_prvs'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ebitda_prvs AS CAMPO_IT FROM CD_LOAN_TAPES_BCE.LT003_ENTITY WHERE ref_date='${ref_date}' AND nome_perimetro='Individual Local' AND segmento='ESTR' AND ambito='PM' AND entidade='00100')X INNER JOIN (SELECT entty_id AS CHAVE_SIMUL, ebitda_prvs AS CAMPO_SIMUL FROM BU_LOANTAPE_WORK.LT003_ENTITY WHERE ref_date='${ref_date}' AND nome_perimetro='Individual Local' AND segmento='ESTR' AND ambito='PM' AND entidade='00100')Y ON X.CHAVE_IT=Y.CHAVE_SIMUL</v>
      </c>
      <c r="N421" s="33" t="str">
        <f t="shared" ref="N421:N484" si="15">+"UNION ALL "&amp;M421</f>
        <v>UNION ALL SELECT 'ENTITY' AS TABELA, 'COERÊNCIA' AS TIPOLOGIA_TESTE,'CD_LOAN_TAPES_BCE.LT003_ENTITY' AS TABELA_LT,'BU_LOANTAPE_WORK.LT003_ENTITY' AS TABELA_SIMUL,'ebitda_prvs'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ebitda_prvs AS CAMPO_IT FROM CD_LOAN_TAPES_BCE.LT003_ENTITY WHERE ref_date='${ref_date}' AND nome_perimetro='Individual Local' AND segmento='ESTR' AND ambito='PM' AND entidade='00100')X INNER JOIN (SELECT entty_id AS CHAVE_SIMUL, ebitda_prvs AS CAMPO_SIMUL FROM BU_LOANTAPE_WORK.LT003_ENTITY WHERE ref_date='${ref_date}' AND nome_perimetro='Individual Local' AND segmento='ESTR' AND ambito='PM' AND entidade='00100')Y ON X.CHAVE_IT=Y.CHAVE_SIMUL</v>
      </c>
      <c r="O421" s="35" t="s">
        <v>35</v>
      </c>
    </row>
    <row r="422" spans="1:15">
      <c r="A422" s="57" t="str">
        <f t="shared" si="14"/>
        <v>Entityeqty</v>
      </c>
      <c r="B422" s="32" t="s">
        <v>60</v>
      </c>
      <c r="C422" s="32" t="s">
        <v>160</v>
      </c>
      <c r="D422" s="32" t="s">
        <v>5</v>
      </c>
      <c r="E422" s="32" t="str">
        <f>+UPPER('0. Instruções'!$D$35&amp;"."&amp;VLOOKUP(B422,'0. Instruções'!$C$27:$D$32,2,FALSE))</f>
        <v>CD_LOAN_TAPES_BCE.LT003_ENTITY</v>
      </c>
      <c r="F422" s="32" t="str">
        <f>+UPPER('0. Instruções'!$D$36&amp;"."&amp;VLOOKUP(B422,'0. Instruções'!$C$27:$E$32,3,FALSE))</f>
        <v>BU_LOANTAPE_WORK.LT003_ENTITY</v>
      </c>
      <c r="H422" s="32"/>
      <c r="I422" s="32"/>
      <c r="J422" s="32" t="str">
        <f>IF(VLOOKUP(B422,'0. Instruções'!$C$27:$G$32,5,FALSE)=0,
"(SELECT "&amp;VLOOKUP(B422,'0. Instruções'!$C$27:$G$32,4,FALSE)&amp;" AS CHAVE_IT, "&amp;C422&amp;" AS CAMPO_IT FROM "&amp;E422&amp;" WHERE "&amp;'0. Instruções'!$D$43&amp;")X",
"(SELECT "&amp;VLOOKUP(B422,'0. Instruções'!$C$27:$G$32,4,FALSE)&amp;" AS CHAVE_IT1, "&amp;VLOOKUP(B422,'0. Instruções'!$C$27:$G$32,5,FALSE)&amp;" AS CHAVE_IT2, "&amp;C422&amp;" AS CAMPO_IT FROM "&amp;E422&amp;" WHERE "&amp;'0. Instruções'!$D$43&amp;")X")</f>
        <v>(SELECT entty_id AS CHAVE_IT, eqty AS CAMPO_IT FROM CD_LOAN_TAPES_BCE.LT003_ENTITY WHERE ref_date='${ref_date}' AND nome_perimetro='Individual Local' AND segmento='ESTR' AND ambito='PM' AND entidade='00100')X</v>
      </c>
      <c r="K422" s="32" t="str">
        <f>IF(VLOOKUP(B422,'0. Instruções'!$C$27:$G$32,5,FALSE)=0,
"(SELECT "&amp;VLOOKUP(B422,'0. Instruções'!$C$27:$G$32,4,FALSE)&amp;" AS CHAVE_SIMUL, "&amp;C422&amp;" AS CAMPO_SIMUL FROM "&amp;F422&amp;" WHERE "&amp;'0. Instruções'!$D$42&amp;")Y",
"(SELECT "&amp;VLOOKUP(B422,'0. Instruções'!$C$27:$G$32,4,FALSE)&amp;" AS CHAVE_SIMUL1, "&amp;VLOOKUP(B422,'0. Instruções'!$C$27:$G$32,5,FALSE)&amp;" AS CHAVE_SIMUL2, "&amp;C422&amp;" AS CAMPO_SIMUL FROM "&amp;F422&amp;" WHERE "&amp;'0. Instruções'!$D$42&amp;")Y")</f>
        <v>(SELECT entty_id AS CHAVE_SIMUL, eqty AS CAMPO_SIMUL FROM BU_LOANTAPE_WORK.LT003_ENTITY WHERE ref_date='${ref_date}' AND nome_perimetro='Individual Local' AND segmento='ESTR' AND ambito='PM' AND entidade='00100')Y</v>
      </c>
      <c r="L422" s="32" t="str">
        <f>IF(VLOOKUP(B422,'0. Instruções'!$C$27:$G$32,5,FALSE)=0,
"ON X.CHAVE_IT=Y.CHAVE_SIMUL",
"ON X.CHAVE_IT1=Y.CHAVE_SIMUL1 AND X.CHAVE_IT2=Y.CHAVE_SIMUL2")</f>
        <v>ON X.CHAVE_IT=Y.CHAVE_SIMUL</v>
      </c>
      <c r="M422" s="32" t="str">
        <f>+IF(D422="Coerência",+IF(LEFT(H422,5)="FLOAT","SELECT '"&amp;UPPER(B422)&amp;"' AS TABELA, '"&amp;UPPER(D422)&amp;"' AS TIPOLOGIA_TESTE,'"&amp;E422&amp;"' AS TABELA_LT,'"&amp;F422&amp;"' AS TABELA_SIMUL,'"&amp;C422&amp;"'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"&amp;J422&amp;" INNER JOIN "&amp;K422&amp;" "&amp;L422,"SELECT '"&amp;UPPER(B422)&amp;"' AS TABELA, '"&amp;UPPER(D422)&amp;"' AS TIPOLOGIA_TESTE,'"&amp;E422&amp;"' AS TABELA_LT,'"&amp;F422&amp;"' AS TABELA_SIMUL,'"&amp;C422&amp;"'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"&amp;J422&amp;" INNER JOIN "&amp;K422&amp;" "&amp;L422))</f>
        <v>SELECT 'ENTITY' AS TABELA, 'COERÊNCIA' AS TIPOLOGIA_TESTE,'CD_LOAN_TAPES_BCE.LT003_ENTITY' AS TABELA_LT,'BU_LOANTAPE_WORK.LT003_ENTITY' AS TABELA_SIMUL,'eqty'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 AS CAMPO_IT FROM CD_LOAN_TAPES_BCE.LT003_ENTITY WHERE ref_date='${ref_date}' AND nome_perimetro='Individual Local' AND segmento='ESTR' AND ambito='PM' AND entidade='00100')X INNER JOIN (SELECT entty_id AS CHAVE_SIMUL, eqty AS CAMPO_SIMUL FROM BU_LOANTAPE_WORK.LT003_ENTITY WHERE ref_date='${ref_date}' AND nome_perimetro='Individual Local' AND segmento='ESTR' AND ambito='PM' AND entidade='00100')Y ON X.CHAVE_IT=Y.CHAVE_SIMUL</v>
      </c>
      <c r="N422" s="33" t="str">
        <f t="shared" si="15"/>
        <v>UNION ALL SELECT 'ENTITY' AS TABELA, 'COERÊNCIA' AS TIPOLOGIA_TESTE,'CD_LOAN_TAPES_BCE.LT003_ENTITY' AS TABELA_LT,'BU_LOANTAPE_WORK.LT003_ENTITY' AS TABELA_SIMUL,'eqty'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 AS CAMPO_IT FROM CD_LOAN_TAPES_BCE.LT003_ENTITY WHERE ref_date='${ref_date}' AND nome_perimetro='Individual Local' AND segmento='ESTR' AND ambito='PM' AND entidade='00100')X INNER JOIN (SELECT entty_id AS CHAVE_SIMUL, eqty AS CAMPO_SIMUL FROM BU_LOANTAPE_WORK.LT003_ENTITY WHERE ref_date='${ref_date}' AND nome_perimetro='Individual Local' AND segmento='ESTR' AND ambito='PM' AND entidade='00100')Y ON X.CHAVE_IT=Y.CHAVE_SIMUL</v>
      </c>
      <c r="O422" s="35" t="s">
        <v>35</v>
      </c>
    </row>
    <row r="423" spans="1:15">
      <c r="A423" s="57" t="str">
        <f t="shared" si="14"/>
        <v>Entityeqty_prvs</v>
      </c>
      <c r="B423" s="32" t="s">
        <v>60</v>
      </c>
      <c r="C423" s="32" t="s">
        <v>558</v>
      </c>
      <c r="D423" s="32" t="s">
        <v>5</v>
      </c>
      <c r="E423" s="32" t="str">
        <f>+UPPER('0. Instruções'!$D$35&amp;"."&amp;VLOOKUP(B423,'0. Instruções'!$C$27:$D$32,2,FALSE))</f>
        <v>CD_LOAN_TAPES_BCE.LT003_ENTITY</v>
      </c>
      <c r="F423" s="32" t="str">
        <f>+UPPER('0. Instruções'!$D$36&amp;"."&amp;VLOOKUP(B423,'0. Instruções'!$C$27:$E$32,3,FALSE))</f>
        <v>BU_LOANTAPE_WORK.LT003_ENTITY</v>
      </c>
      <c r="H423" s="32"/>
      <c r="I423" s="32"/>
      <c r="J423" s="32" t="str">
        <f>IF(VLOOKUP(B423,'0. Instruções'!$C$27:$G$32,5,FALSE)=0,
"(SELECT "&amp;VLOOKUP(B423,'0. Instruções'!$C$27:$G$32,4,FALSE)&amp;" AS CHAVE_IT, "&amp;C423&amp;" AS CAMPO_IT FROM "&amp;E423&amp;" WHERE "&amp;'0. Instruções'!$D$43&amp;")X",
"(SELECT "&amp;VLOOKUP(B423,'0. Instruções'!$C$27:$G$32,4,FALSE)&amp;" AS CHAVE_IT1, "&amp;VLOOKUP(B423,'0. Instruções'!$C$27:$G$32,5,FALSE)&amp;" AS CHAVE_IT2, "&amp;C423&amp;" AS CAMPO_IT FROM "&amp;E423&amp;" WHERE "&amp;'0. Instruções'!$D$43&amp;")X")</f>
        <v>(SELECT entty_id AS CHAVE_IT, eqty_prvs AS CAMPO_IT FROM CD_LOAN_TAPES_BCE.LT003_ENTITY WHERE ref_date='${ref_date}' AND nome_perimetro='Individual Local' AND segmento='ESTR' AND ambito='PM' AND entidade='00100')X</v>
      </c>
      <c r="K423" s="32" t="str">
        <f>IF(VLOOKUP(B423,'0. Instruções'!$C$27:$G$32,5,FALSE)=0,
"(SELECT "&amp;VLOOKUP(B423,'0. Instruções'!$C$27:$G$32,4,FALSE)&amp;" AS CHAVE_SIMUL, "&amp;C423&amp;" AS CAMPO_SIMUL FROM "&amp;F423&amp;" WHERE "&amp;'0. Instruções'!$D$42&amp;")Y",
"(SELECT "&amp;VLOOKUP(B423,'0. Instruções'!$C$27:$G$32,4,FALSE)&amp;" AS CHAVE_SIMUL1, "&amp;VLOOKUP(B423,'0. Instruções'!$C$27:$G$32,5,FALSE)&amp;" AS CHAVE_SIMUL2, "&amp;C423&amp;" AS CAMPO_SIMUL FROM "&amp;F423&amp;" WHERE "&amp;'0. Instruções'!$D$42&amp;")Y")</f>
        <v>(SELECT entty_id AS CHAVE_SIMUL, eqty_prvs AS CAMPO_SIMUL FROM BU_LOANTAPE_WORK.LT003_ENTITY WHERE ref_date='${ref_date}' AND nome_perimetro='Individual Local' AND segmento='ESTR' AND ambito='PM' AND entidade='00100')Y</v>
      </c>
      <c r="L423" s="32" t="str">
        <f>IF(VLOOKUP(B423,'0. Instruções'!$C$27:$G$32,5,FALSE)=0,
"ON X.CHAVE_IT=Y.CHAVE_SIMUL",
"ON X.CHAVE_IT1=Y.CHAVE_SIMUL1 AND X.CHAVE_IT2=Y.CHAVE_SIMUL2")</f>
        <v>ON X.CHAVE_IT=Y.CHAVE_SIMUL</v>
      </c>
      <c r="M423" s="32" t="str">
        <f>+IF(D423="Coerência",+IF(LEFT(H423,5)="FLOAT","SELECT '"&amp;UPPER(B423)&amp;"' AS TABELA, '"&amp;UPPER(D423)&amp;"' AS TIPOLOGIA_TESTE,'"&amp;E423&amp;"' AS TABELA_LT,'"&amp;F423&amp;"' AS TABELA_SIMUL,'"&amp;C423&amp;"'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"&amp;J423&amp;" INNER JOIN "&amp;K423&amp;" "&amp;L423,"SELECT '"&amp;UPPER(B423)&amp;"' AS TABELA, '"&amp;UPPER(D423)&amp;"' AS TIPOLOGIA_TESTE,'"&amp;E423&amp;"' AS TABELA_LT,'"&amp;F423&amp;"' AS TABELA_SIMUL,'"&amp;C423&amp;"'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"&amp;J423&amp;" INNER JOIN "&amp;K423&amp;" "&amp;L423))</f>
        <v>SELECT 'ENTITY' AS TABELA, 'COERÊNCIA' AS TIPOLOGIA_TESTE,'CD_LOAN_TAPES_BCE.LT003_ENTITY' AS TABELA_LT,'BU_LOANTAPE_WORK.LT003_ENTITY' AS TABELA_SIMUL,'eqty_prvs'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eqty_prvs AS CAMPO_IT FROM CD_LOAN_TAPES_BCE.LT003_ENTITY WHERE ref_date='${ref_date}' AND nome_perimetro='Individual Local' AND segmento='ESTR' AND ambito='PM' AND entidade='00100')X INNER JOIN (SELECT entty_id AS CHAVE_SIMUL, eqty_prvs AS CAMPO_SIMUL FROM BU_LOANTAPE_WORK.LT003_ENTITY WHERE ref_date='${ref_date}' AND nome_perimetro='Individual Local' AND segmento='ESTR' AND ambito='PM' AND entidade='00100')Y ON X.CHAVE_IT=Y.CHAVE_SIMUL</v>
      </c>
      <c r="N423" s="33" t="str">
        <f t="shared" si="15"/>
        <v>UNION ALL SELECT 'ENTITY' AS TABELA, 'COERÊNCIA' AS TIPOLOGIA_TESTE,'CD_LOAN_TAPES_BCE.LT003_ENTITY' AS TABELA_LT,'BU_LOANTAPE_WORK.LT003_ENTITY' AS TABELA_SIMUL,'eqty_prvs'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eqty_prvs AS CAMPO_IT FROM CD_LOAN_TAPES_BCE.LT003_ENTITY WHERE ref_date='${ref_date}' AND nome_perimetro='Individual Local' AND segmento='ESTR' AND ambito='PM' AND entidade='00100')X INNER JOIN (SELECT entty_id AS CHAVE_SIMUL, eqty_prvs AS CAMPO_SIMUL FROM BU_LOANTAPE_WORK.LT003_ENTITY WHERE ref_date='${ref_date}' AND nome_perimetro='Individual Local' AND segmento='ESTR' AND ambito='PM' AND entidade='00100')Y ON X.CHAVE_IT=Y.CHAVE_SIMUL</v>
      </c>
      <c r="O423" s="35" t="s">
        <v>35</v>
      </c>
    </row>
    <row r="424" spans="1:15">
      <c r="A424" s="57" t="str">
        <f t="shared" si="14"/>
        <v>Entitygrp_ttl_dbt</v>
      </c>
      <c r="B424" s="32" t="s">
        <v>60</v>
      </c>
      <c r="C424" s="32" t="s">
        <v>161</v>
      </c>
      <c r="D424" s="32" t="s">
        <v>5</v>
      </c>
      <c r="E424" s="32" t="str">
        <f>+UPPER('0. Instruções'!$D$35&amp;"."&amp;VLOOKUP(B424,'0. Instruções'!$C$27:$D$32,2,FALSE))</f>
        <v>CD_LOAN_TAPES_BCE.LT003_ENTITY</v>
      </c>
      <c r="F424" s="32" t="str">
        <f>+UPPER('0. Instruções'!$D$36&amp;"."&amp;VLOOKUP(B424,'0. Instruções'!$C$27:$E$32,3,FALSE))</f>
        <v>BU_LOANTAPE_WORK.LT003_ENTITY</v>
      </c>
      <c r="H424" s="32"/>
      <c r="I424" s="32"/>
      <c r="J424" s="32" t="str">
        <f>IF(VLOOKUP(B424,'0. Instruções'!$C$27:$G$32,5,FALSE)=0,
"(SELECT "&amp;VLOOKUP(B424,'0. Instruções'!$C$27:$G$32,4,FALSE)&amp;" AS CHAVE_IT, "&amp;C424&amp;" AS CAMPO_IT FROM "&amp;E424&amp;" WHERE "&amp;'0. Instruções'!$D$43&amp;")X",
"(SELECT "&amp;VLOOKUP(B424,'0. Instruções'!$C$27:$G$32,4,FALSE)&amp;" AS CHAVE_IT1, "&amp;VLOOKUP(B424,'0. Instruções'!$C$27:$G$32,5,FALSE)&amp;" AS CHAVE_IT2, "&amp;C424&amp;" AS CAMPO_IT FROM "&amp;E424&amp;" WHERE "&amp;'0. Instruções'!$D$43&amp;")X")</f>
        <v>(SELECT entty_id AS CHAVE_IT, grp_ttl_dbt AS CAMPO_IT FROM CD_LOAN_TAPES_BCE.LT003_ENTITY WHERE ref_date='${ref_date}' AND nome_perimetro='Individual Local' AND segmento='ESTR' AND ambito='PM' AND entidade='00100')X</v>
      </c>
      <c r="K424" s="32" t="str">
        <f>IF(VLOOKUP(B424,'0. Instruções'!$C$27:$G$32,5,FALSE)=0,
"(SELECT "&amp;VLOOKUP(B424,'0. Instruções'!$C$27:$G$32,4,FALSE)&amp;" AS CHAVE_SIMUL, "&amp;C424&amp;" AS CAMPO_SIMUL FROM "&amp;F424&amp;" WHERE "&amp;'0. Instruções'!$D$42&amp;")Y",
"(SELECT "&amp;VLOOKUP(B424,'0. Instruções'!$C$27:$G$32,4,FALSE)&amp;" AS CHAVE_SIMUL1, "&amp;VLOOKUP(B424,'0. Instruções'!$C$27:$G$32,5,FALSE)&amp;" AS CHAVE_SIMUL2, "&amp;C424&amp;" AS CAMPO_SIMUL FROM "&amp;F424&amp;" WHERE "&amp;'0. Instruções'!$D$42&amp;")Y")</f>
        <v>(SELECT entty_id AS CHAVE_SIMUL, grp_ttl_dbt AS CAMPO_SIMUL FROM BU_LOANTAPE_WORK.LT003_ENTITY WHERE ref_date='${ref_date}' AND nome_perimetro='Individual Local' AND segmento='ESTR' AND ambito='PM' AND entidade='00100')Y</v>
      </c>
      <c r="L424" s="32" t="str">
        <f>IF(VLOOKUP(B424,'0. Instruções'!$C$27:$G$32,5,FALSE)=0,
"ON X.CHAVE_IT=Y.CHAVE_SIMUL",
"ON X.CHAVE_IT1=Y.CHAVE_SIMUL1 AND X.CHAVE_IT2=Y.CHAVE_SIMUL2")</f>
        <v>ON X.CHAVE_IT=Y.CHAVE_SIMUL</v>
      </c>
      <c r="M424" s="32" t="str">
        <f>+IF(D424="Coerência",+IF(LEFT(H424,5)="FLOAT","SELECT '"&amp;UPPER(B424)&amp;"' AS TABELA, '"&amp;UPPER(D424)&amp;"' AS TIPOLOGIA_TESTE,'"&amp;E424&amp;"' AS TABELA_LT,'"&amp;F424&amp;"' AS TABELA_SIMUL,'"&amp;C424&amp;"'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"&amp;J424&amp;" INNER JOIN "&amp;K424&amp;" "&amp;L424,"SELECT '"&amp;UPPER(B424)&amp;"' AS TABELA, '"&amp;UPPER(D424)&amp;"' AS TIPOLOGIA_TESTE,'"&amp;E424&amp;"' AS TABELA_LT,'"&amp;F424&amp;"' AS TABELA_SIMUL,'"&amp;C424&amp;"'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"&amp;J424&amp;" INNER JOIN "&amp;K424&amp;" "&amp;L424))</f>
        <v>SELECT 'ENTITY' AS TABELA, 'COERÊNCIA' AS TIPOLOGIA_TESTE,'CD_LOAN_TAPES_BCE.LT003_ENTITY' AS TABELA_LT,'BU_LOANTAPE_WORK.LT003_ENTITY' AS TABELA_SIMUL,'grp_ttl_dbt'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grp_ttl_dbt AS CAMPO_IT FROM CD_LOAN_TAPES_BCE.LT003_ENTITY WHERE ref_date='${ref_date}' AND nome_perimetro='Individual Local' AND segmento='ESTR' AND ambito='PM' AND entidade='00100')X INNER JOIN (SELECT entty_id AS CHAVE_SIMUL, grp_ttl_dbt AS CAMPO_SIMUL FROM BU_LOANTAPE_WORK.LT003_ENTITY WHERE ref_date='${ref_date}' AND nome_perimetro='Individual Local' AND segmento='ESTR' AND ambito='PM' AND entidade='00100')Y ON X.CHAVE_IT=Y.CHAVE_SIMUL</v>
      </c>
      <c r="N424" s="33" t="str">
        <f t="shared" si="15"/>
        <v>UNION ALL SELECT 'ENTITY' AS TABELA, 'COERÊNCIA' AS TIPOLOGIA_TESTE,'CD_LOAN_TAPES_BCE.LT003_ENTITY' AS TABELA_LT,'BU_LOANTAPE_WORK.LT003_ENTITY' AS TABELA_SIMUL,'grp_ttl_dbt'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grp_ttl_dbt AS CAMPO_IT FROM CD_LOAN_TAPES_BCE.LT003_ENTITY WHERE ref_date='${ref_date}' AND nome_perimetro='Individual Local' AND segmento='ESTR' AND ambito='PM' AND entidade='00100')X INNER JOIN (SELECT entty_id AS CHAVE_SIMUL, grp_ttl_dbt AS CAMPO_SIMUL FROM BU_LOANTAPE_WORK.LT003_ENTITY WHERE ref_date='${ref_date}' AND nome_perimetro='Individual Local' AND segmento='ESTR' AND ambito='PM' AND entidade='00100')Y ON X.CHAVE_IT=Y.CHAVE_SIMUL</v>
      </c>
      <c r="O424" s="35" t="s">
        <v>35</v>
      </c>
    </row>
    <row r="425" spans="1:15">
      <c r="A425" s="57" t="str">
        <f t="shared" si="14"/>
        <v>Entitygdwill</v>
      </c>
      <c r="B425" s="32" t="s">
        <v>60</v>
      </c>
      <c r="C425" s="32" t="s">
        <v>559</v>
      </c>
      <c r="D425" s="32" t="s">
        <v>5</v>
      </c>
      <c r="E425" s="32" t="str">
        <f>+UPPER('0. Instruções'!$D$35&amp;"."&amp;VLOOKUP(B425,'0. Instruções'!$C$27:$D$32,2,FALSE))</f>
        <v>CD_LOAN_TAPES_BCE.LT003_ENTITY</v>
      </c>
      <c r="F425" s="32" t="str">
        <f>+UPPER('0. Instruções'!$D$36&amp;"."&amp;VLOOKUP(B425,'0. Instruções'!$C$27:$E$32,3,FALSE))</f>
        <v>BU_LOANTAPE_WORK.LT003_ENTITY</v>
      </c>
      <c r="H425" s="32"/>
      <c r="I425" s="32"/>
      <c r="J425" s="32" t="str">
        <f>IF(VLOOKUP(B425,'0. Instruções'!$C$27:$G$32,5,FALSE)=0,
"(SELECT "&amp;VLOOKUP(B425,'0. Instruções'!$C$27:$G$32,4,FALSE)&amp;" AS CHAVE_IT, "&amp;C425&amp;" AS CAMPO_IT FROM "&amp;E425&amp;" WHERE "&amp;'0. Instruções'!$D$43&amp;")X",
"(SELECT "&amp;VLOOKUP(B425,'0. Instruções'!$C$27:$G$32,4,FALSE)&amp;" AS CHAVE_IT1, "&amp;VLOOKUP(B425,'0. Instruções'!$C$27:$G$32,5,FALSE)&amp;" AS CHAVE_IT2, "&amp;C425&amp;" AS CAMPO_IT FROM "&amp;E425&amp;" WHERE "&amp;'0. Instruções'!$D$43&amp;")X")</f>
        <v>(SELECT entty_id AS CHAVE_IT, gdwill AS CAMPO_IT FROM CD_LOAN_TAPES_BCE.LT003_ENTITY WHERE ref_date='${ref_date}' AND nome_perimetro='Individual Local' AND segmento='ESTR' AND ambito='PM' AND entidade='00100')X</v>
      </c>
      <c r="K425" s="32" t="str">
        <f>IF(VLOOKUP(B425,'0. Instruções'!$C$27:$G$32,5,FALSE)=0,
"(SELECT "&amp;VLOOKUP(B425,'0. Instruções'!$C$27:$G$32,4,FALSE)&amp;" AS CHAVE_SIMUL, "&amp;C425&amp;" AS CAMPO_SIMUL FROM "&amp;F425&amp;" WHERE "&amp;'0. Instruções'!$D$42&amp;")Y",
"(SELECT "&amp;VLOOKUP(B425,'0. Instruções'!$C$27:$G$32,4,FALSE)&amp;" AS CHAVE_SIMUL1, "&amp;VLOOKUP(B425,'0. Instruções'!$C$27:$G$32,5,FALSE)&amp;" AS CHAVE_SIMUL2, "&amp;C425&amp;" AS CAMPO_SIMUL FROM "&amp;F425&amp;" WHERE "&amp;'0. Instruções'!$D$42&amp;")Y")</f>
        <v>(SELECT entty_id AS CHAVE_SIMUL, gdwill AS CAMPO_SIMUL FROM BU_LOANTAPE_WORK.LT003_ENTITY WHERE ref_date='${ref_date}' AND nome_perimetro='Individual Local' AND segmento='ESTR' AND ambito='PM' AND entidade='00100')Y</v>
      </c>
      <c r="L425" s="32" t="str">
        <f>IF(VLOOKUP(B425,'0. Instruções'!$C$27:$G$32,5,FALSE)=0,
"ON X.CHAVE_IT=Y.CHAVE_SIMUL",
"ON X.CHAVE_IT1=Y.CHAVE_SIMUL1 AND X.CHAVE_IT2=Y.CHAVE_SIMUL2")</f>
        <v>ON X.CHAVE_IT=Y.CHAVE_SIMUL</v>
      </c>
      <c r="M425" s="32" t="str">
        <f>+IF(D425="Coerência",+IF(LEFT(H425,5)="FLOAT","SELECT '"&amp;UPPER(B425)&amp;"' AS TABELA, '"&amp;UPPER(D425)&amp;"' AS TIPOLOGIA_TESTE,'"&amp;E425&amp;"' AS TABELA_LT,'"&amp;F425&amp;"' AS TABELA_SIMUL,'"&amp;C425&amp;"'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"&amp;J425&amp;" INNER JOIN "&amp;K425&amp;" "&amp;L425,"SELECT '"&amp;UPPER(B425)&amp;"' AS TABELA, '"&amp;UPPER(D425)&amp;"' AS TIPOLOGIA_TESTE,'"&amp;E425&amp;"' AS TABELA_LT,'"&amp;F425&amp;"' AS TABELA_SIMUL,'"&amp;C425&amp;"'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"&amp;J425&amp;" INNER JOIN "&amp;K425&amp;" "&amp;L425))</f>
        <v>SELECT 'ENTITY' AS TABELA, 'COERÊNCIA' AS TIPOLOGIA_TESTE,'CD_LOAN_TAPES_BCE.LT003_ENTITY' AS TABELA_LT,'BU_LOANTAPE_WORK.LT003_ENTITY' AS TABELA_SIMUL,'gdwill'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 AS CAMPO_IT FROM CD_LOAN_TAPES_BCE.LT003_ENTITY WHERE ref_date='${ref_date}' AND nome_perimetro='Individual Local' AND segmento='ESTR' AND ambito='PM' AND entidade='00100')X INNER JOIN (SELECT entty_id AS CHAVE_SIMUL, gdwill AS CAMPO_SIMUL FROM BU_LOANTAPE_WORK.LT003_ENTITY WHERE ref_date='${ref_date}' AND nome_perimetro='Individual Local' AND segmento='ESTR' AND ambito='PM' AND entidade='00100')Y ON X.CHAVE_IT=Y.CHAVE_SIMUL</v>
      </c>
      <c r="N425" s="33" t="str">
        <f t="shared" si="15"/>
        <v>UNION ALL SELECT 'ENTITY' AS TABELA, 'COERÊNCIA' AS TIPOLOGIA_TESTE,'CD_LOAN_TAPES_BCE.LT003_ENTITY' AS TABELA_LT,'BU_LOANTAPE_WORK.LT003_ENTITY' AS TABELA_SIMUL,'gdwill'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 AS CAMPO_IT FROM CD_LOAN_TAPES_BCE.LT003_ENTITY WHERE ref_date='${ref_date}' AND nome_perimetro='Individual Local' AND segmento='ESTR' AND ambito='PM' AND entidade='00100')X INNER JOIN (SELECT entty_id AS CHAVE_SIMUL, gdwill AS CAMPO_SIMUL FROM BU_LOANTAPE_WORK.LT003_ENTITY WHERE ref_date='${ref_date}' AND nome_perimetro='Individual Local' AND segmento='ESTR' AND ambito='PM' AND entidade='00100')Y ON X.CHAVE_IT=Y.CHAVE_SIMUL</v>
      </c>
      <c r="O425" s="35" t="s">
        <v>35</v>
      </c>
    </row>
    <row r="426" spans="1:15">
      <c r="A426" s="57" t="str">
        <f t="shared" si="14"/>
        <v>Entitygdwill_prvs</v>
      </c>
      <c r="B426" s="32" t="s">
        <v>60</v>
      </c>
      <c r="C426" s="32" t="s">
        <v>560</v>
      </c>
      <c r="D426" s="32" t="s">
        <v>5</v>
      </c>
      <c r="E426" s="32" t="str">
        <f>+UPPER('0. Instruções'!$D$35&amp;"."&amp;VLOOKUP(B426,'0. Instruções'!$C$27:$D$32,2,FALSE))</f>
        <v>CD_LOAN_TAPES_BCE.LT003_ENTITY</v>
      </c>
      <c r="F426" s="32" t="str">
        <f>+UPPER('0. Instruções'!$D$36&amp;"."&amp;VLOOKUP(B426,'0. Instruções'!$C$27:$E$32,3,FALSE))</f>
        <v>BU_LOANTAPE_WORK.LT003_ENTITY</v>
      </c>
      <c r="H426" s="32"/>
      <c r="I426" s="32"/>
      <c r="J426" s="32" t="str">
        <f>IF(VLOOKUP(B426,'0. Instruções'!$C$27:$G$32,5,FALSE)=0,
"(SELECT "&amp;VLOOKUP(B426,'0. Instruções'!$C$27:$G$32,4,FALSE)&amp;" AS CHAVE_IT, "&amp;C426&amp;" AS CAMPO_IT FROM "&amp;E426&amp;" WHERE "&amp;'0. Instruções'!$D$43&amp;")X",
"(SELECT "&amp;VLOOKUP(B426,'0. Instruções'!$C$27:$G$32,4,FALSE)&amp;" AS CHAVE_IT1, "&amp;VLOOKUP(B426,'0. Instruções'!$C$27:$G$32,5,FALSE)&amp;" AS CHAVE_IT2, "&amp;C426&amp;" AS CAMPO_IT FROM "&amp;E426&amp;" WHERE "&amp;'0. Instruções'!$D$43&amp;")X")</f>
        <v>(SELECT entty_id AS CHAVE_IT, gdwill_prvs AS CAMPO_IT FROM CD_LOAN_TAPES_BCE.LT003_ENTITY WHERE ref_date='${ref_date}' AND nome_perimetro='Individual Local' AND segmento='ESTR' AND ambito='PM' AND entidade='00100')X</v>
      </c>
      <c r="K426" s="32" t="str">
        <f>IF(VLOOKUP(B426,'0. Instruções'!$C$27:$G$32,5,FALSE)=0,
"(SELECT "&amp;VLOOKUP(B426,'0. Instruções'!$C$27:$G$32,4,FALSE)&amp;" AS CHAVE_SIMUL, "&amp;C426&amp;" AS CAMPO_SIMUL FROM "&amp;F426&amp;" WHERE "&amp;'0. Instruções'!$D$42&amp;")Y",
"(SELECT "&amp;VLOOKUP(B426,'0. Instruções'!$C$27:$G$32,4,FALSE)&amp;" AS CHAVE_SIMUL1, "&amp;VLOOKUP(B426,'0. Instruções'!$C$27:$G$32,5,FALSE)&amp;" AS CHAVE_SIMUL2, "&amp;C426&amp;" AS CAMPO_SIMUL FROM "&amp;F426&amp;" WHERE "&amp;'0. Instruções'!$D$42&amp;")Y")</f>
        <v>(SELECT entty_id AS CHAVE_SIMUL, gdwill_prvs AS CAMPO_SIMUL FROM BU_LOANTAPE_WORK.LT003_ENTITY WHERE ref_date='${ref_date}' AND nome_perimetro='Individual Local' AND segmento='ESTR' AND ambito='PM' AND entidade='00100')Y</v>
      </c>
      <c r="L426" s="32" t="str">
        <f>IF(VLOOKUP(B426,'0. Instruções'!$C$27:$G$32,5,FALSE)=0,
"ON X.CHAVE_IT=Y.CHAVE_SIMUL",
"ON X.CHAVE_IT1=Y.CHAVE_SIMUL1 AND X.CHAVE_IT2=Y.CHAVE_SIMUL2")</f>
        <v>ON X.CHAVE_IT=Y.CHAVE_SIMUL</v>
      </c>
      <c r="M426" s="32" t="str">
        <f>+IF(D426="Coerência",+IF(LEFT(H426,5)="FLOAT","SELECT '"&amp;UPPER(B426)&amp;"' AS TABELA, '"&amp;UPPER(D426)&amp;"' AS TIPOLOGIA_TESTE,'"&amp;E426&amp;"' AS TABELA_LT,'"&amp;F426&amp;"' AS TABELA_SIMUL,'"&amp;C426&amp;"'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"&amp;J426&amp;" INNER JOIN "&amp;K426&amp;" "&amp;L426,"SELECT '"&amp;UPPER(B426)&amp;"' AS TABELA, '"&amp;UPPER(D426)&amp;"' AS TIPOLOGIA_TESTE,'"&amp;E426&amp;"' AS TABELA_LT,'"&amp;F426&amp;"' AS TABELA_SIMUL,'"&amp;C426&amp;"'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"&amp;J426&amp;" INNER JOIN "&amp;K426&amp;" "&amp;L426))</f>
        <v>SELECT 'ENTITY' AS TABELA, 'COERÊNCIA' AS TIPOLOGIA_TESTE,'CD_LOAN_TAPES_BCE.LT003_ENTITY' AS TABELA_LT,'BU_LOANTAPE_WORK.LT003_ENTITY' AS TABELA_SIMUL,'gdwill_prvs'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gdwill_prvs AS CAMPO_IT FROM CD_LOAN_TAPES_BCE.LT003_ENTITY WHERE ref_date='${ref_date}' AND nome_perimetro='Individual Local' AND segmento='ESTR' AND ambito='PM' AND entidade='00100')X INNER JOIN (SELECT entty_id AS CHAVE_SIMUL, gdwill_prvs AS CAMPO_SIMUL FROM BU_LOANTAPE_WORK.LT003_ENTITY WHERE ref_date='${ref_date}' AND nome_perimetro='Individual Local' AND segmento='ESTR' AND ambito='PM' AND entidade='00100')Y ON X.CHAVE_IT=Y.CHAVE_SIMUL</v>
      </c>
      <c r="N426" s="33" t="str">
        <f t="shared" si="15"/>
        <v>UNION ALL SELECT 'ENTITY' AS TABELA, 'COERÊNCIA' AS TIPOLOGIA_TESTE,'CD_LOAN_TAPES_BCE.LT003_ENTITY' AS TABELA_LT,'BU_LOANTAPE_WORK.LT003_ENTITY' AS TABELA_SIMUL,'gdwill_prvs'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gdwill_prvs AS CAMPO_IT FROM CD_LOAN_TAPES_BCE.LT003_ENTITY WHERE ref_date='${ref_date}' AND nome_perimetro='Individual Local' AND segmento='ESTR' AND ambito='PM' AND entidade='00100')X INNER JOIN (SELECT entty_id AS CHAVE_SIMUL, gdwill_prvs AS CAMPO_SIMUL FROM BU_LOANTAPE_WORK.LT003_ENTITY WHERE ref_date='${ref_date}' AND nome_perimetro='Individual Local' AND segmento='ESTR' AND ambito='PM' AND entidade='00100')Y ON X.CHAVE_IT=Y.CHAVE_SIMUL</v>
      </c>
      <c r="O426" s="35" t="s">
        <v>35</v>
      </c>
    </row>
    <row r="427" spans="1:15">
      <c r="A427" s="57" t="str">
        <f t="shared" si="14"/>
        <v>Entitylti</v>
      </c>
      <c r="B427" s="32" t="s">
        <v>60</v>
      </c>
      <c r="C427" s="32" t="s">
        <v>561</v>
      </c>
      <c r="D427" s="32" t="s">
        <v>5</v>
      </c>
      <c r="E427" s="32" t="str">
        <f>+UPPER('0. Instruções'!$D$35&amp;"."&amp;VLOOKUP(B427,'0. Instruções'!$C$27:$D$32,2,FALSE))</f>
        <v>CD_LOAN_TAPES_BCE.LT003_ENTITY</v>
      </c>
      <c r="F427" s="32" t="str">
        <f>+UPPER('0. Instruções'!$D$36&amp;"."&amp;VLOOKUP(B427,'0. Instruções'!$C$27:$E$32,3,FALSE))</f>
        <v>BU_LOANTAPE_WORK.LT003_ENTITY</v>
      </c>
      <c r="H427" s="32"/>
      <c r="I427" s="32"/>
      <c r="J427" s="32" t="str">
        <f>IF(VLOOKUP(B427,'0. Instruções'!$C$27:$G$32,5,FALSE)=0,
"(SELECT "&amp;VLOOKUP(B427,'0. Instruções'!$C$27:$G$32,4,FALSE)&amp;" AS CHAVE_IT, "&amp;C427&amp;" AS CAMPO_IT FROM "&amp;E427&amp;" WHERE "&amp;'0. Instruções'!$D$43&amp;")X",
"(SELECT "&amp;VLOOKUP(B427,'0. Instruções'!$C$27:$G$32,4,FALSE)&amp;" AS CHAVE_IT1, "&amp;VLOOKUP(B427,'0. Instruções'!$C$27:$G$32,5,FALSE)&amp;" AS CHAVE_IT2, "&amp;C427&amp;" AS CAMPO_IT FROM "&amp;E427&amp;" WHERE "&amp;'0. Instruções'!$D$43&amp;")X")</f>
        <v>(SELECT entty_id AS CHAVE_IT, lti AS CAMPO_IT FROM CD_LOAN_TAPES_BCE.LT003_ENTITY WHERE ref_date='${ref_date}' AND nome_perimetro='Individual Local' AND segmento='ESTR' AND ambito='PM' AND entidade='00100')X</v>
      </c>
      <c r="K427" s="32" t="str">
        <f>IF(VLOOKUP(B427,'0. Instruções'!$C$27:$G$32,5,FALSE)=0,
"(SELECT "&amp;VLOOKUP(B427,'0. Instruções'!$C$27:$G$32,4,FALSE)&amp;" AS CHAVE_SIMUL, "&amp;C427&amp;" AS CAMPO_SIMUL FROM "&amp;F427&amp;" WHERE "&amp;'0. Instruções'!$D$42&amp;")Y",
"(SELECT "&amp;VLOOKUP(B427,'0. Instruções'!$C$27:$G$32,4,FALSE)&amp;" AS CHAVE_SIMUL1, "&amp;VLOOKUP(B427,'0. Instruções'!$C$27:$G$32,5,FALSE)&amp;" AS CHAVE_SIMUL2, "&amp;C427&amp;" AS CAMPO_SIMUL FROM "&amp;F427&amp;" WHERE "&amp;'0. Instruções'!$D$42&amp;")Y")</f>
        <v>(SELECT entty_id AS CHAVE_SIMUL, lti AS CAMPO_SIMUL FROM BU_LOANTAPE_WORK.LT003_ENTITY WHERE ref_date='${ref_date}' AND nome_perimetro='Individual Local' AND segmento='ESTR' AND ambito='PM' AND entidade='00100')Y</v>
      </c>
      <c r="L427" s="32" t="str">
        <f>IF(VLOOKUP(B427,'0. Instruções'!$C$27:$G$32,5,FALSE)=0,
"ON X.CHAVE_IT=Y.CHAVE_SIMUL",
"ON X.CHAVE_IT1=Y.CHAVE_SIMUL1 AND X.CHAVE_IT2=Y.CHAVE_SIMUL2")</f>
        <v>ON X.CHAVE_IT=Y.CHAVE_SIMUL</v>
      </c>
      <c r="M427" s="32" t="str">
        <f>+IF(D427="Coerência",+IF(LEFT(H427,5)="FLOAT","SELECT '"&amp;UPPER(B427)&amp;"' AS TABELA, '"&amp;UPPER(D427)&amp;"' AS TIPOLOGIA_TESTE,'"&amp;E427&amp;"' AS TABELA_LT,'"&amp;F427&amp;"' AS TABELA_SIMUL,'"&amp;C427&amp;"'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"&amp;J427&amp;" INNER JOIN "&amp;K427&amp;" "&amp;L427,"SELECT '"&amp;UPPER(B427)&amp;"' AS TABELA, '"&amp;UPPER(D427)&amp;"' AS TIPOLOGIA_TESTE,'"&amp;E427&amp;"' AS TABELA_LT,'"&amp;F427&amp;"' AS TABELA_SIMUL,'"&amp;C427&amp;"'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"&amp;J427&amp;" INNER JOIN "&amp;K427&amp;" "&amp;L427))</f>
        <v>SELECT 'ENTITY' AS TABELA, 'COERÊNCIA' AS TIPOLOGIA_TESTE,'CD_LOAN_TAPES_BCE.LT003_ENTITY' AS TABELA_LT,'BU_LOANTAPE_WORK.LT003_ENTITY' AS TABELA_SIMUL,'lti'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lti AS CAMPO_IT FROM CD_LOAN_TAPES_BCE.LT003_ENTITY WHERE ref_date='${ref_date}' AND nome_perimetro='Individual Local' AND segmento='ESTR' AND ambito='PM' AND entidade='00100')X INNER JOIN (SELECT entty_id AS CHAVE_SIMUL, lti AS CAMPO_SIMUL FROM BU_LOANTAPE_WORK.LT003_ENTITY WHERE ref_date='${ref_date}' AND nome_perimetro='Individual Local' AND segmento='ESTR' AND ambito='PM' AND entidade='00100')Y ON X.CHAVE_IT=Y.CHAVE_SIMUL</v>
      </c>
      <c r="N427" s="33" t="str">
        <f t="shared" si="15"/>
        <v>UNION ALL SELECT 'ENTITY' AS TABELA, 'COERÊNCIA' AS TIPOLOGIA_TESTE,'CD_LOAN_TAPES_BCE.LT003_ENTITY' AS TABELA_LT,'BU_LOANTAPE_WORK.LT003_ENTITY' AS TABELA_SIMUL,'lti'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lti AS CAMPO_IT FROM CD_LOAN_TAPES_BCE.LT003_ENTITY WHERE ref_date='${ref_date}' AND nome_perimetro='Individual Local' AND segmento='ESTR' AND ambito='PM' AND entidade='00100')X INNER JOIN (SELECT entty_id AS CHAVE_SIMUL, lti AS CAMPO_SIMUL FROM BU_LOANTAPE_WORK.LT003_ENTITY WHERE ref_date='${ref_date}' AND nome_perimetro='Individual Local' AND segmento='ESTR' AND ambito='PM' AND entidade='00100')Y ON X.CHAVE_IT=Y.CHAVE_SIMUL</v>
      </c>
      <c r="O427" s="35" t="s">
        <v>35</v>
      </c>
    </row>
    <row r="428" spans="1:15">
      <c r="A428" s="57" t="str">
        <f t="shared" si="14"/>
        <v>Entitylvrg</v>
      </c>
      <c r="B428" s="32" t="s">
        <v>60</v>
      </c>
      <c r="C428" s="32" t="s">
        <v>562</v>
      </c>
      <c r="D428" s="32" t="s">
        <v>5</v>
      </c>
      <c r="E428" s="32" t="str">
        <f>+UPPER('0. Instruções'!$D$35&amp;"."&amp;VLOOKUP(B428,'0. Instruções'!$C$27:$D$32,2,FALSE))</f>
        <v>CD_LOAN_TAPES_BCE.LT003_ENTITY</v>
      </c>
      <c r="F428" s="32" t="str">
        <f>+UPPER('0. Instruções'!$D$36&amp;"."&amp;VLOOKUP(B428,'0. Instruções'!$C$27:$E$32,3,FALSE))</f>
        <v>BU_LOANTAPE_WORK.LT003_ENTITY</v>
      </c>
      <c r="H428" s="32"/>
      <c r="I428" s="32"/>
      <c r="J428" s="32" t="str">
        <f>IF(VLOOKUP(B428,'0. Instruções'!$C$27:$G$32,5,FALSE)=0,
"(SELECT "&amp;VLOOKUP(B428,'0. Instruções'!$C$27:$G$32,4,FALSE)&amp;" AS CHAVE_IT, "&amp;C428&amp;" AS CAMPO_IT FROM "&amp;E428&amp;" WHERE "&amp;'0. Instruções'!$D$43&amp;")X",
"(SELECT "&amp;VLOOKUP(B428,'0. Instruções'!$C$27:$G$32,4,FALSE)&amp;" AS CHAVE_IT1, "&amp;VLOOKUP(B428,'0. Instruções'!$C$27:$G$32,5,FALSE)&amp;" AS CHAVE_IT2, "&amp;C428&amp;" AS CAMPO_IT FROM "&amp;E428&amp;" WHERE "&amp;'0. Instruções'!$D$43&amp;")X")</f>
        <v>(SELECT entty_id AS CHAVE_IT, lvrg AS CAMPO_IT FROM CD_LOAN_TAPES_BCE.LT003_ENTITY WHERE ref_date='${ref_date}' AND nome_perimetro='Individual Local' AND segmento='ESTR' AND ambito='PM' AND entidade='00100')X</v>
      </c>
      <c r="K428" s="32" t="str">
        <f>IF(VLOOKUP(B428,'0. Instruções'!$C$27:$G$32,5,FALSE)=0,
"(SELECT "&amp;VLOOKUP(B428,'0. Instruções'!$C$27:$G$32,4,FALSE)&amp;" AS CHAVE_SIMUL, "&amp;C428&amp;" AS CAMPO_SIMUL FROM "&amp;F428&amp;" WHERE "&amp;'0. Instruções'!$D$42&amp;")Y",
"(SELECT "&amp;VLOOKUP(B428,'0. Instruções'!$C$27:$G$32,4,FALSE)&amp;" AS CHAVE_SIMUL1, "&amp;VLOOKUP(B428,'0. Instruções'!$C$27:$G$32,5,FALSE)&amp;" AS CHAVE_SIMUL2, "&amp;C428&amp;" AS CAMPO_SIMUL FROM "&amp;F428&amp;" WHERE "&amp;'0. Instruções'!$D$42&amp;")Y")</f>
        <v>(SELECT entty_id AS CHAVE_SIMUL, lvrg AS CAMPO_SIMUL FROM BU_LOANTAPE_WORK.LT003_ENTITY WHERE ref_date='${ref_date}' AND nome_perimetro='Individual Local' AND segmento='ESTR' AND ambito='PM' AND entidade='00100')Y</v>
      </c>
      <c r="L428" s="32" t="str">
        <f>IF(VLOOKUP(B428,'0. Instruções'!$C$27:$G$32,5,FALSE)=0,
"ON X.CHAVE_IT=Y.CHAVE_SIMUL",
"ON X.CHAVE_IT1=Y.CHAVE_SIMUL1 AND X.CHAVE_IT2=Y.CHAVE_SIMUL2")</f>
        <v>ON X.CHAVE_IT=Y.CHAVE_SIMUL</v>
      </c>
      <c r="M428" s="32" t="str">
        <f>+IF(D428="Coerência",+IF(LEFT(H428,5)="FLOAT","SELECT '"&amp;UPPER(B428)&amp;"' AS TABELA, '"&amp;UPPER(D428)&amp;"' AS TIPOLOGIA_TESTE,'"&amp;E428&amp;"' AS TABELA_LT,'"&amp;F428&amp;"' AS TABELA_SIMUL,'"&amp;C428&amp;"'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"&amp;J428&amp;" INNER JOIN "&amp;K428&amp;" "&amp;L428,"SELECT '"&amp;UPPER(B428)&amp;"' AS TABELA, '"&amp;UPPER(D428)&amp;"' AS TIPOLOGIA_TESTE,'"&amp;E428&amp;"' AS TABELA_LT,'"&amp;F428&amp;"' AS TABELA_SIMUL,'"&amp;C428&amp;"'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"&amp;J428&amp;" INNER JOIN "&amp;K428&amp;" "&amp;L428))</f>
        <v>SELECT 'ENTITY' AS TABELA, 'COERÊNCIA' AS TIPOLOGIA_TESTE,'CD_LOAN_TAPES_BCE.LT003_ENTITY' AS TABELA_LT,'BU_LOANTAPE_WORK.LT003_ENTITY' AS TABELA_SIMUL,'lvrg'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 AS CAMPO_IT FROM CD_LOAN_TAPES_BCE.LT003_ENTITY WHERE ref_date='${ref_date}' AND nome_perimetro='Individual Local' AND segmento='ESTR' AND ambito='PM' AND entidade='00100')X INNER JOIN (SELECT entty_id AS CHAVE_SIMUL, lvrg AS CAMPO_SIMUL FROM BU_LOANTAPE_WORK.LT003_ENTITY WHERE ref_date='${ref_date}' AND nome_perimetro='Individual Local' AND segmento='ESTR' AND ambito='PM' AND entidade='00100')Y ON X.CHAVE_IT=Y.CHAVE_SIMUL</v>
      </c>
      <c r="N428" s="33" t="str">
        <f t="shared" si="15"/>
        <v>UNION ALL SELECT 'ENTITY' AS TABELA, 'COERÊNCIA' AS TIPOLOGIA_TESTE,'CD_LOAN_TAPES_BCE.LT003_ENTITY' AS TABELA_LT,'BU_LOANTAPE_WORK.LT003_ENTITY' AS TABELA_SIMUL,'lvrg'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 AS CAMPO_IT FROM CD_LOAN_TAPES_BCE.LT003_ENTITY WHERE ref_date='${ref_date}' AND nome_perimetro='Individual Local' AND segmento='ESTR' AND ambito='PM' AND entidade='00100')X INNER JOIN (SELECT entty_id AS CHAVE_SIMUL, lvrg AS CAMPO_SIMUL FROM BU_LOANTAPE_WORK.LT003_ENTITY WHERE ref_date='${ref_date}' AND nome_perimetro='Individual Local' AND segmento='ESTR' AND ambito='PM' AND entidade='00100')Y ON X.CHAVE_IT=Y.CHAVE_SIMUL</v>
      </c>
      <c r="O428" s="35" t="s">
        <v>35</v>
      </c>
    </row>
    <row r="429" spans="1:15">
      <c r="A429" s="57" t="str">
        <f t="shared" si="14"/>
        <v>Entitylvrg_prvs</v>
      </c>
      <c r="B429" s="32" t="s">
        <v>60</v>
      </c>
      <c r="C429" s="32" t="s">
        <v>563</v>
      </c>
      <c r="D429" s="32" t="s">
        <v>5</v>
      </c>
      <c r="E429" s="32" t="str">
        <f>+UPPER('0. Instruções'!$D$35&amp;"."&amp;VLOOKUP(B429,'0. Instruções'!$C$27:$D$32,2,FALSE))</f>
        <v>CD_LOAN_TAPES_BCE.LT003_ENTITY</v>
      </c>
      <c r="F429" s="32" t="str">
        <f>+UPPER('0. Instruções'!$D$36&amp;"."&amp;VLOOKUP(B429,'0. Instruções'!$C$27:$E$32,3,FALSE))</f>
        <v>BU_LOANTAPE_WORK.LT003_ENTITY</v>
      </c>
      <c r="H429" s="32"/>
      <c r="I429" s="32"/>
      <c r="J429" s="32" t="str">
        <f>IF(VLOOKUP(B429,'0. Instruções'!$C$27:$G$32,5,FALSE)=0,
"(SELECT "&amp;VLOOKUP(B429,'0. Instruções'!$C$27:$G$32,4,FALSE)&amp;" AS CHAVE_IT, "&amp;C429&amp;" AS CAMPO_IT FROM "&amp;E429&amp;" WHERE "&amp;'0. Instruções'!$D$43&amp;")X",
"(SELECT "&amp;VLOOKUP(B429,'0. Instruções'!$C$27:$G$32,4,FALSE)&amp;" AS CHAVE_IT1, "&amp;VLOOKUP(B429,'0. Instruções'!$C$27:$G$32,5,FALSE)&amp;" AS CHAVE_IT2, "&amp;C429&amp;" AS CAMPO_IT FROM "&amp;E429&amp;" WHERE "&amp;'0. Instruções'!$D$43&amp;")X")</f>
        <v>(SELECT entty_id AS CHAVE_IT, lvrg_prvs AS CAMPO_IT FROM CD_LOAN_TAPES_BCE.LT003_ENTITY WHERE ref_date='${ref_date}' AND nome_perimetro='Individual Local' AND segmento='ESTR' AND ambito='PM' AND entidade='00100')X</v>
      </c>
      <c r="K429" s="32" t="str">
        <f>IF(VLOOKUP(B429,'0. Instruções'!$C$27:$G$32,5,FALSE)=0,
"(SELECT "&amp;VLOOKUP(B429,'0. Instruções'!$C$27:$G$32,4,FALSE)&amp;" AS CHAVE_SIMUL, "&amp;C429&amp;" AS CAMPO_SIMUL FROM "&amp;F429&amp;" WHERE "&amp;'0. Instruções'!$D$42&amp;")Y",
"(SELECT "&amp;VLOOKUP(B429,'0. Instruções'!$C$27:$G$32,4,FALSE)&amp;" AS CHAVE_SIMUL1, "&amp;VLOOKUP(B429,'0. Instruções'!$C$27:$G$32,5,FALSE)&amp;" AS CHAVE_SIMUL2, "&amp;C429&amp;" AS CAMPO_SIMUL FROM "&amp;F429&amp;" WHERE "&amp;'0. Instruções'!$D$42&amp;")Y")</f>
        <v>(SELECT entty_id AS CHAVE_SIMUL, lvrg_prvs AS CAMPO_SIMUL FROM BU_LOANTAPE_WORK.LT003_ENTITY WHERE ref_date='${ref_date}' AND nome_perimetro='Individual Local' AND segmento='ESTR' AND ambito='PM' AND entidade='00100')Y</v>
      </c>
      <c r="L429" s="32" t="str">
        <f>IF(VLOOKUP(B429,'0. Instruções'!$C$27:$G$32,5,FALSE)=0,
"ON X.CHAVE_IT=Y.CHAVE_SIMUL",
"ON X.CHAVE_IT1=Y.CHAVE_SIMUL1 AND X.CHAVE_IT2=Y.CHAVE_SIMUL2")</f>
        <v>ON X.CHAVE_IT=Y.CHAVE_SIMUL</v>
      </c>
      <c r="M429" s="32" t="str">
        <f>+IF(D429="Coerência",+IF(LEFT(H429,5)="FLOAT","SELECT '"&amp;UPPER(B429)&amp;"' AS TABELA, '"&amp;UPPER(D429)&amp;"' AS TIPOLOGIA_TESTE,'"&amp;E429&amp;"' AS TABELA_LT,'"&amp;F429&amp;"' AS TABELA_SIMUL,'"&amp;C429&amp;"'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"&amp;J429&amp;" INNER JOIN "&amp;K429&amp;" "&amp;L429,"SELECT '"&amp;UPPER(B429)&amp;"' AS TABELA, '"&amp;UPPER(D429)&amp;"' AS TIPOLOGIA_TESTE,'"&amp;E429&amp;"' AS TABELA_LT,'"&amp;F429&amp;"' AS TABELA_SIMUL,'"&amp;C429&amp;"'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"&amp;J429&amp;" INNER JOIN "&amp;K429&amp;" "&amp;L429))</f>
        <v>SELECT 'ENTITY' AS TABELA, 'COERÊNCIA' AS TIPOLOGIA_TESTE,'CD_LOAN_TAPES_BCE.LT003_ENTITY' AS TABELA_LT,'BU_LOANTAPE_WORK.LT003_ENTITY' AS TABELA_SIMUL,'lvrg_prvs'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lvrg_prvs AS CAMPO_IT FROM CD_LOAN_TAPES_BCE.LT003_ENTITY WHERE ref_date='${ref_date}' AND nome_perimetro='Individual Local' AND segmento='ESTR' AND ambito='PM' AND entidade='00100')X INNER JOIN (SELECT entty_id AS CHAVE_SIMUL, lvrg_prvs AS CAMPO_SIMUL FROM BU_LOANTAPE_WORK.LT003_ENTITY WHERE ref_date='${ref_date}' AND nome_perimetro='Individual Local' AND segmento='ESTR' AND ambito='PM' AND entidade='00100')Y ON X.CHAVE_IT=Y.CHAVE_SIMUL</v>
      </c>
      <c r="N429" s="33" t="str">
        <f t="shared" si="15"/>
        <v>UNION ALL SELECT 'ENTITY' AS TABELA, 'COERÊNCIA' AS TIPOLOGIA_TESTE,'CD_LOAN_TAPES_BCE.LT003_ENTITY' AS TABELA_LT,'BU_LOANTAPE_WORK.LT003_ENTITY' AS TABELA_SIMUL,'lvrg_prvs'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lvrg_prvs AS CAMPO_IT FROM CD_LOAN_TAPES_BCE.LT003_ENTITY WHERE ref_date='${ref_date}' AND nome_perimetro='Individual Local' AND segmento='ESTR' AND ambito='PM' AND entidade='00100')X INNER JOIN (SELECT entty_id AS CHAVE_SIMUL, lvrg_prvs AS CAMPO_SIMUL FROM BU_LOANTAPE_WORK.LT003_ENTITY WHERE ref_date='${ref_date}' AND nome_perimetro='Individual Local' AND segmento='ESTR' AND ambito='PM' AND entidade='00100')Y ON X.CHAVE_IT=Y.CHAVE_SIMUL</v>
      </c>
      <c r="O429" s="35" t="s">
        <v>35</v>
      </c>
    </row>
    <row r="430" spans="1:15">
      <c r="A430" s="57" t="str">
        <f t="shared" si="14"/>
        <v>Entitymnthl_incm</v>
      </c>
      <c r="B430" s="32" t="s">
        <v>60</v>
      </c>
      <c r="C430" s="32" t="s">
        <v>564</v>
      </c>
      <c r="D430" s="32" t="s">
        <v>5</v>
      </c>
      <c r="E430" s="32" t="str">
        <f>+UPPER('0. Instruções'!$D$35&amp;"."&amp;VLOOKUP(B430,'0. Instruções'!$C$27:$D$32,2,FALSE))</f>
        <v>CD_LOAN_TAPES_BCE.LT003_ENTITY</v>
      </c>
      <c r="F430" s="32" t="str">
        <f>+UPPER('0. Instruções'!$D$36&amp;"."&amp;VLOOKUP(B430,'0. Instruções'!$C$27:$E$32,3,FALSE))</f>
        <v>BU_LOANTAPE_WORK.LT003_ENTITY</v>
      </c>
      <c r="H430" s="32"/>
      <c r="I430" s="32"/>
      <c r="J430" s="32" t="str">
        <f>IF(VLOOKUP(B430,'0. Instruções'!$C$27:$G$32,5,FALSE)=0,
"(SELECT "&amp;VLOOKUP(B430,'0. Instruções'!$C$27:$G$32,4,FALSE)&amp;" AS CHAVE_IT, "&amp;C430&amp;" AS CAMPO_IT FROM "&amp;E430&amp;" WHERE "&amp;'0. Instruções'!$D$43&amp;")X",
"(SELECT "&amp;VLOOKUP(B430,'0. Instruções'!$C$27:$G$32,4,FALSE)&amp;" AS CHAVE_IT1, "&amp;VLOOKUP(B430,'0. Instruções'!$C$27:$G$32,5,FALSE)&amp;" AS CHAVE_IT2, "&amp;C430&amp;" AS CAMPO_IT FROM "&amp;E430&amp;" WHERE "&amp;'0. Instruções'!$D$43&amp;")X")</f>
        <v>(SELECT entty_id AS CHAVE_IT, mnthl_incm AS CAMPO_IT FROM CD_LOAN_TAPES_BCE.LT003_ENTITY WHERE ref_date='${ref_date}' AND nome_perimetro='Individual Local' AND segmento='ESTR' AND ambito='PM' AND entidade='00100')X</v>
      </c>
      <c r="K430" s="32" t="str">
        <f>IF(VLOOKUP(B430,'0. Instruções'!$C$27:$G$32,5,FALSE)=0,
"(SELECT "&amp;VLOOKUP(B430,'0. Instruções'!$C$27:$G$32,4,FALSE)&amp;" AS CHAVE_SIMUL, "&amp;C430&amp;" AS CAMPO_SIMUL FROM "&amp;F430&amp;" WHERE "&amp;'0. Instruções'!$D$42&amp;")Y",
"(SELECT "&amp;VLOOKUP(B430,'0. Instruções'!$C$27:$G$32,4,FALSE)&amp;" AS CHAVE_SIMUL1, "&amp;VLOOKUP(B430,'0. Instruções'!$C$27:$G$32,5,FALSE)&amp;" AS CHAVE_SIMUL2, "&amp;C430&amp;" AS CAMPO_SIMUL FROM "&amp;F430&amp;" WHERE "&amp;'0. Instruções'!$D$42&amp;")Y")</f>
        <v>(SELECT entty_id AS CHAVE_SIMUL, mnthl_incm AS CAMPO_SIMUL FROM BU_LOANTAPE_WORK.LT003_ENTITY WHERE ref_date='${ref_date}' AND nome_perimetro='Individual Local' AND segmento='ESTR' AND ambito='PM' AND entidade='00100')Y</v>
      </c>
      <c r="L430" s="32" t="str">
        <f>IF(VLOOKUP(B430,'0. Instruções'!$C$27:$G$32,5,FALSE)=0,
"ON X.CHAVE_IT=Y.CHAVE_SIMUL",
"ON X.CHAVE_IT1=Y.CHAVE_SIMUL1 AND X.CHAVE_IT2=Y.CHAVE_SIMUL2")</f>
        <v>ON X.CHAVE_IT=Y.CHAVE_SIMUL</v>
      </c>
      <c r="M430" s="32" t="str">
        <f>+IF(D430="Coerência",+IF(LEFT(H430,5)="FLOAT","SELECT '"&amp;UPPER(B430)&amp;"' AS TABELA, '"&amp;UPPER(D430)&amp;"' AS TIPOLOGIA_TESTE,'"&amp;E430&amp;"' AS TABELA_LT,'"&amp;F430&amp;"' AS TABELA_SIMUL,'"&amp;C430&amp;"'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"&amp;J430&amp;" INNER JOIN "&amp;K430&amp;" "&amp;L430,"SELECT '"&amp;UPPER(B430)&amp;"' AS TABELA, '"&amp;UPPER(D430)&amp;"' AS TIPOLOGIA_TESTE,'"&amp;E430&amp;"' AS TABELA_LT,'"&amp;F430&amp;"' AS TABELA_SIMUL,'"&amp;C430&amp;"'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"&amp;J430&amp;" INNER JOIN "&amp;K430&amp;" "&amp;L430))</f>
        <v>SELECT 'ENTITY' AS TABELA, 'COERÊNCIA' AS TIPOLOGIA_TESTE,'CD_LOAN_TAPES_BCE.LT003_ENTITY' AS TABELA_LT,'BU_LOANTAPE_WORK.LT003_ENTITY' AS TABELA_SIMUL,'mnthl_incm'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 AS CAMPO_IT FROM CD_LOAN_TAPES_BCE.LT003_ENTITY WHERE ref_date='${ref_date}' AND nome_perimetro='Individual Local' AND segmento='ESTR' AND ambito='PM' AND entidade='00100')X INNER JOIN (SELECT entty_id AS CHAVE_SIMUL, mnthl_incm AS CAMPO_SIMUL FROM BU_LOANTAPE_WORK.LT003_ENTITY WHERE ref_date='${ref_date}' AND nome_perimetro='Individual Local' AND segmento='ESTR' AND ambito='PM' AND entidade='00100')Y ON X.CHAVE_IT=Y.CHAVE_SIMUL</v>
      </c>
      <c r="N430" s="33" t="str">
        <f t="shared" si="15"/>
        <v>UNION ALL SELECT 'ENTITY' AS TABELA, 'COERÊNCIA' AS TIPOLOGIA_TESTE,'CD_LOAN_TAPES_BCE.LT003_ENTITY' AS TABELA_LT,'BU_LOANTAPE_WORK.LT003_ENTITY' AS TABELA_SIMUL,'mnthl_incm'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 AS CAMPO_IT FROM CD_LOAN_TAPES_BCE.LT003_ENTITY WHERE ref_date='${ref_date}' AND nome_perimetro='Individual Local' AND segmento='ESTR' AND ambito='PM' AND entidade='00100')X INNER JOIN (SELECT entty_id AS CHAVE_SIMUL, mnthl_incm AS CAMPO_SIMUL FROM BU_LOANTAPE_WORK.LT003_ENTITY WHERE ref_date='${ref_date}' AND nome_perimetro='Individual Local' AND segmento='ESTR' AND ambito='PM' AND entidade='00100')Y ON X.CHAVE_IT=Y.CHAVE_SIMUL</v>
      </c>
      <c r="O430" s="35" t="s">
        <v>35</v>
      </c>
    </row>
    <row r="431" spans="1:15">
      <c r="A431" s="57" t="str">
        <f t="shared" si="14"/>
        <v>Entitymnthl_incm_slr</v>
      </c>
      <c r="B431" s="32" t="s">
        <v>60</v>
      </c>
      <c r="C431" s="32" t="s">
        <v>565</v>
      </c>
      <c r="D431" s="32" t="s">
        <v>5</v>
      </c>
      <c r="E431" s="32" t="str">
        <f>+UPPER('0. Instruções'!$D$35&amp;"."&amp;VLOOKUP(B431,'0. Instruções'!$C$27:$D$32,2,FALSE))</f>
        <v>CD_LOAN_TAPES_BCE.LT003_ENTITY</v>
      </c>
      <c r="F431" s="32" t="str">
        <f>+UPPER('0. Instruções'!$D$36&amp;"."&amp;VLOOKUP(B431,'0. Instruções'!$C$27:$E$32,3,FALSE))</f>
        <v>BU_LOANTAPE_WORK.LT003_ENTITY</v>
      </c>
      <c r="H431" s="32"/>
      <c r="I431" s="32"/>
      <c r="J431" s="32" t="str">
        <f>IF(VLOOKUP(B431,'0. Instruções'!$C$27:$G$32,5,FALSE)=0,
"(SELECT "&amp;VLOOKUP(B431,'0. Instruções'!$C$27:$G$32,4,FALSE)&amp;" AS CHAVE_IT, "&amp;C431&amp;" AS CAMPO_IT FROM "&amp;E431&amp;" WHERE "&amp;'0. Instruções'!$D$43&amp;")X",
"(SELECT "&amp;VLOOKUP(B431,'0. Instruções'!$C$27:$G$32,4,FALSE)&amp;" AS CHAVE_IT1, "&amp;VLOOKUP(B431,'0. Instruções'!$C$27:$G$32,5,FALSE)&amp;" AS CHAVE_IT2, "&amp;C431&amp;" AS CAMPO_IT FROM "&amp;E431&amp;" WHERE "&amp;'0. Instruções'!$D$43&amp;")X")</f>
        <v>(SELECT entty_id AS CHAVE_IT, mnthl_incm_slr AS CAMPO_IT FROM CD_LOAN_TAPES_BCE.LT003_ENTITY WHERE ref_date='${ref_date}' AND nome_perimetro='Individual Local' AND segmento='ESTR' AND ambito='PM' AND entidade='00100')X</v>
      </c>
      <c r="K431" s="32" t="str">
        <f>IF(VLOOKUP(B431,'0. Instruções'!$C$27:$G$32,5,FALSE)=0,
"(SELECT "&amp;VLOOKUP(B431,'0. Instruções'!$C$27:$G$32,4,FALSE)&amp;" AS CHAVE_SIMUL, "&amp;C431&amp;" AS CAMPO_SIMUL FROM "&amp;F431&amp;" WHERE "&amp;'0. Instruções'!$D$42&amp;")Y",
"(SELECT "&amp;VLOOKUP(B431,'0. Instruções'!$C$27:$G$32,4,FALSE)&amp;" AS CHAVE_SIMUL1, "&amp;VLOOKUP(B431,'0. Instruções'!$C$27:$G$32,5,FALSE)&amp;" AS CHAVE_SIMUL2, "&amp;C431&amp;" AS CAMPO_SIMUL FROM "&amp;F431&amp;" WHERE "&amp;'0. Instruções'!$D$42&amp;")Y")</f>
        <v>(SELECT entty_id AS CHAVE_SIMUL, mnthl_incm_slr AS CAMPO_SIMUL FROM BU_LOANTAPE_WORK.LT003_ENTITY WHERE ref_date='${ref_date}' AND nome_perimetro='Individual Local' AND segmento='ESTR' AND ambito='PM' AND entidade='00100')Y</v>
      </c>
      <c r="L431" s="32" t="str">
        <f>IF(VLOOKUP(B431,'0. Instruções'!$C$27:$G$32,5,FALSE)=0,
"ON X.CHAVE_IT=Y.CHAVE_SIMUL",
"ON X.CHAVE_IT1=Y.CHAVE_SIMUL1 AND X.CHAVE_IT2=Y.CHAVE_SIMUL2")</f>
        <v>ON X.CHAVE_IT=Y.CHAVE_SIMUL</v>
      </c>
      <c r="M431" s="32" t="str">
        <f>+IF(D431="Coerência",+IF(LEFT(H431,5)="FLOAT","SELECT '"&amp;UPPER(B431)&amp;"' AS TABELA, '"&amp;UPPER(D431)&amp;"' AS TIPOLOGIA_TESTE,'"&amp;E431&amp;"' AS TABELA_LT,'"&amp;F431&amp;"' AS TABELA_SIMUL,'"&amp;C431&amp;"'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"&amp;J431&amp;" INNER JOIN "&amp;K431&amp;" "&amp;L431,"SELECT '"&amp;UPPER(B431)&amp;"' AS TABELA, '"&amp;UPPER(D431)&amp;"' AS TIPOLOGIA_TESTE,'"&amp;E431&amp;"' AS TABELA_LT,'"&amp;F431&amp;"' AS TABELA_SIMUL,'"&amp;C431&amp;"'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"&amp;J431&amp;" INNER JOIN "&amp;K431&amp;" "&amp;L431))</f>
        <v>SELECT 'ENTITY' AS TABELA, 'COERÊNCIA' AS TIPOLOGIA_TESTE,'CD_LOAN_TAPES_BCE.LT003_ENTITY' AS TABELA_LT,'BU_LOANTAPE_WORK.LT003_ENTITY' AS TABELA_SIMUL,'mnthl_incm_slr'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mnthl_incm_slr AS CAMPO_IT FROM CD_LOAN_TAPES_BCE.LT003_ENTITY WHERE ref_date='${ref_date}' AND nome_perimetro='Individual Local' AND segmento='ESTR' AND ambito='PM' AND entidade='00100')X INNER JOIN (SELECT entty_id AS CHAVE_SIMUL, mnthl_incm_slr AS CAMPO_SIMUL FROM BU_LOANTAPE_WORK.LT003_ENTITY WHERE ref_date='${ref_date}' AND nome_perimetro='Individual Local' AND segmento='ESTR' AND ambito='PM' AND entidade='00100')Y ON X.CHAVE_IT=Y.CHAVE_SIMUL</v>
      </c>
      <c r="N431" s="33" t="str">
        <f t="shared" si="15"/>
        <v>UNION ALL SELECT 'ENTITY' AS TABELA, 'COERÊNCIA' AS TIPOLOGIA_TESTE,'CD_LOAN_TAPES_BCE.LT003_ENTITY' AS TABELA_LT,'BU_LOANTAPE_WORK.LT003_ENTITY' AS TABELA_SIMUL,'mnthl_incm_slr'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mnthl_incm_slr AS CAMPO_IT FROM CD_LOAN_TAPES_BCE.LT003_ENTITY WHERE ref_date='${ref_date}' AND nome_perimetro='Individual Local' AND segmento='ESTR' AND ambito='PM' AND entidade='00100')X INNER JOIN (SELECT entty_id AS CHAVE_SIMUL, mnthl_incm_slr AS CAMPO_SIMUL FROM BU_LOANTAPE_WORK.LT003_ENTITY WHERE ref_date='${ref_date}' AND nome_perimetro='Individual Local' AND segmento='ESTR' AND ambito='PM' AND entidade='00100')Y ON X.CHAVE_IT=Y.CHAVE_SIMUL</v>
      </c>
      <c r="O431" s="35" t="s">
        <v>35</v>
      </c>
    </row>
    <row r="432" spans="1:15">
      <c r="A432" s="57" t="str">
        <f t="shared" si="14"/>
        <v>Entitymnthl_trnvr</v>
      </c>
      <c r="B432" s="32" t="s">
        <v>60</v>
      </c>
      <c r="C432" s="32" t="s">
        <v>566</v>
      </c>
      <c r="D432" s="32" t="s">
        <v>5</v>
      </c>
      <c r="E432" s="32" t="str">
        <f>+UPPER('0. Instruções'!$D$35&amp;"."&amp;VLOOKUP(B432,'0. Instruções'!$C$27:$D$32,2,FALSE))</f>
        <v>CD_LOAN_TAPES_BCE.LT003_ENTITY</v>
      </c>
      <c r="F432" s="32" t="str">
        <f>+UPPER('0. Instruções'!$D$36&amp;"."&amp;VLOOKUP(B432,'0. Instruções'!$C$27:$E$32,3,FALSE))</f>
        <v>BU_LOANTAPE_WORK.LT003_ENTITY</v>
      </c>
      <c r="H432" s="32"/>
      <c r="I432" s="32"/>
      <c r="J432" s="32" t="str">
        <f>IF(VLOOKUP(B432,'0. Instruções'!$C$27:$G$32,5,FALSE)=0,
"(SELECT "&amp;VLOOKUP(B432,'0. Instruções'!$C$27:$G$32,4,FALSE)&amp;" AS CHAVE_IT, "&amp;C432&amp;" AS CAMPO_IT FROM "&amp;E432&amp;" WHERE "&amp;'0. Instruções'!$D$43&amp;")X",
"(SELECT "&amp;VLOOKUP(B432,'0. Instruções'!$C$27:$G$32,4,FALSE)&amp;" AS CHAVE_IT1, "&amp;VLOOKUP(B432,'0. Instruções'!$C$27:$G$32,5,FALSE)&amp;" AS CHAVE_IT2, "&amp;C432&amp;" AS CAMPO_IT FROM "&amp;E432&amp;" WHERE "&amp;'0. Instruções'!$D$43&amp;")X")</f>
        <v>(SELECT entty_id AS CHAVE_IT, mnthl_trnvr AS CAMPO_IT FROM CD_LOAN_TAPES_BCE.LT003_ENTITY WHERE ref_date='${ref_date}' AND nome_perimetro='Individual Local' AND segmento='ESTR' AND ambito='PM' AND entidade='00100')X</v>
      </c>
      <c r="K432" s="32" t="str">
        <f>IF(VLOOKUP(B432,'0. Instruções'!$C$27:$G$32,5,FALSE)=0,
"(SELECT "&amp;VLOOKUP(B432,'0. Instruções'!$C$27:$G$32,4,FALSE)&amp;" AS CHAVE_SIMUL, "&amp;C432&amp;" AS CAMPO_SIMUL FROM "&amp;F432&amp;" WHERE "&amp;'0. Instruções'!$D$42&amp;")Y",
"(SELECT "&amp;VLOOKUP(B432,'0. Instruções'!$C$27:$G$32,4,FALSE)&amp;" AS CHAVE_SIMUL1, "&amp;VLOOKUP(B432,'0. Instruções'!$C$27:$G$32,5,FALSE)&amp;" AS CHAVE_SIMUL2, "&amp;C432&amp;" AS CAMPO_SIMUL FROM "&amp;F432&amp;" WHERE "&amp;'0. Instruções'!$D$42&amp;")Y")</f>
        <v>(SELECT entty_id AS CHAVE_SIMUL, mnthl_trnvr AS CAMPO_SIMUL FROM BU_LOANTAPE_WORK.LT003_ENTITY WHERE ref_date='${ref_date}' AND nome_perimetro='Individual Local' AND segmento='ESTR' AND ambito='PM' AND entidade='00100')Y</v>
      </c>
      <c r="L432" s="32" t="str">
        <f>IF(VLOOKUP(B432,'0. Instruções'!$C$27:$G$32,5,FALSE)=0,
"ON X.CHAVE_IT=Y.CHAVE_SIMUL",
"ON X.CHAVE_IT1=Y.CHAVE_SIMUL1 AND X.CHAVE_IT2=Y.CHAVE_SIMUL2")</f>
        <v>ON X.CHAVE_IT=Y.CHAVE_SIMUL</v>
      </c>
      <c r="M432" s="32" t="str">
        <f>+IF(D432="Coerência",+IF(LEFT(H432,5)="FLOAT","SELECT '"&amp;UPPER(B432)&amp;"' AS TABELA, '"&amp;UPPER(D432)&amp;"' AS TIPOLOGIA_TESTE,'"&amp;E432&amp;"' AS TABELA_LT,'"&amp;F432&amp;"' AS TABELA_SIMUL,'"&amp;C432&amp;"'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"&amp;J432&amp;" INNER JOIN "&amp;K432&amp;" "&amp;L432,"SELECT '"&amp;UPPER(B432)&amp;"' AS TABELA, '"&amp;UPPER(D432)&amp;"' AS TIPOLOGIA_TESTE,'"&amp;E432&amp;"' AS TABELA_LT,'"&amp;F432&amp;"' AS TABELA_SIMUL,'"&amp;C432&amp;"'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"&amp;J432&amp;" INNER JOIN "&amp;K432&amp;" "&amp;L432))</f>
        <v>SELECT 'ENTITY' AS TABELA, 'COERÊNCIA' AS TIPOLOGIA_TESTE,'CD_LOAN_TAPES_BCE.LT003_ENTITY' AS TABELA_LT,'BU_LOANTAPE_WORK.LT003_ENTITY' AS TABELA_SIMUL,'mnthl_trnvr'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mnthl_trnvr AS CAMPO_IT FROM CD_LOAN_TAPES_BCE.LT003_ENTITY WHERE ref_date='${ref_date}' AND nome_perimetro='Individual Local' AND segmento='ESTR' AND ambito='PM' AND entidade='00100')X INNER JOIN (SELECT entty_id AS CHAVE_SIMUL, mnthl_trnvr AS CAMPO_SIMUL FROM BU_LOANTAPE_WORK.LT003_ENTITY WHERE ref_date='${ref_date}' AND nome_perimetro='Individual Local' AND segmento='ESTR' AND ambito='PM' AND entidade='00100')Y ON X.CHAVE_IT=Y.CHAVE_SIMUL</v>
      </c>
      <c r="N432" s="33" t="str">
        <f t="shared" si="15"/>
        <v>UNION ALL SELECT 'ENTITY' AS TABELA, 'COERÊNCIA' AS TIPOLOGIA_TESTE,'CD_LOAN_TAPES_BCE.LT003_ENTITY' AS TABELA_LT,'BU_LOANTAPE_WORK.LT003_ENTITY' AS TABELA_SIMUL,'mnthl_trnvr'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mnthl_trnvr AS CAMPO_IT FROM CD_LOAN_TAPES_BCE.LT003_ENTITY WHERE ref_date='${ref_date}' AND nome_perimetro='Individual Local' AND segmento='ESTR' AND ambito='PM' AND entidade='00100')X INNER JOIN (SELECT entty_id AS CHAVE_SIMUL, mnthl_trnvr AS CAMPO_SIMUL FROM BU_LOANTAPE_WORK.LT003_ENTITY WHERE ref_date='${ref_date}' AND nome_perimetro='Individual Local' AND segmento='ESTR' AND ambito='PM' AND entidade='00100')Y ON X.CHAVE_IT=Y.CHAVE_SIMUL</v>
      </c>
      <c r="O432" s="35" t="s">
        <v>35</v>
      </c>
    </row>
    <row r="433" spans="1:15">
      <c r="A433" s="57" t="str">
        <f t="shared" si="14"/>
        <v>Entitynt_incm</v>
      </c>
      <c r="B433" s="32" t="s">
        <v>60</v>
      </c>
      <c r="C433" s="32" t="s">
        <v>567</v>
      </c>
      <c r="D433" s="32" t="s">
        <v>5</v>
      </c>
      <c r="E433" s="32" t="str">
        <f>+UPPER('0. Instruções'!$D$35&amp;"."&amp;VLOOKUP(B433,'0. Instruções'!$C$27:$D$32,2,FALSE))</f>
        <v>CD_LOAN_TAPES_BCE.LT003_ENTITY</v>
      </c>
      <c r="F433" s="32" t="str">
        <f>+UPPER('0. Instruções'!$D$36&amp;"."&amp;VLOOKUP(B433,'0. Instruções'!$C$27:$E$32,3,FALSE))</f>
        <v>BU_LOANTAPE_WORK.LT003_ENTITY</v>
      </c>
      <c r="H433" s="32"/>
      <c r="I433" s="32"/>
      <c r="J433" s="32" t="str">
        <f>IF(VLOOKUP(B433,'0. Instruções'!$C$27:$G$32,5,FALSE)=0,
"(SELECT "&amp;VLOOKUP(B433,'0. Instruções'!$C$27:$G$32,4,FALSE)&amp;" AS CHAVE_IT, "&amp;C433&amp;" AS CAMPO_IT FROM "&amp;E433&amp;" WHERE "&amp;'0. Instruções'!$D$43&amp;")X",
"(SELECT "&amp;VLOOKUP(B433,'0. Instruções'!$C$27:$G$32,4,FALSE)&amp;" AS CHAVE_IT1, "&amp;VLOOKUP(B433,'0. Instruções'!$C$27:$G$32,5,FALSE)&amp;" AS CHAVE_IT2, "&amp;C433&amp;" AS CAMPO_IT FROM "&amp;E433&amp;" WHERE "&amp;'0. Instruções'!$D$43&amp;")X")</f>
        <v>(SELECT entty_id AS CHAVE_IT, nt_incm AS CAMPO_IT FROM CD_LOAN_TAPES_BCE.LT003_ENTITY WHERE ref_date='${ref_date}' AND nome_perimetro='Individual Local' AND segmento='ESTR' AND ambito='PM' AND entidade='00100')X</v>
      </c>
      <c r="K433" s="32" t="str">
        <f>IF(VLOOKUP(B433,'0. Instruções'!$C$27:$G$32,5,FALSE)=0,
"(SELECT "&amp;VLOOKUP(B433,'0. Instruções'!$C$27:$G$32,4,FALSE)&amp;" AS CHAVE_SIMUL, "&amp;C433&amp;" AS CAMPO_SIMUL FROM "&amp;F433&amp;" WHERE "&amp;'0. Instruções'!$D$42&amp;")Y",
"(SELECT "&amp;VLOOKUP(B433,'0. Instruções'!$C$27:$G$32,4,FALSE)&amp;" AS CHAVE_SIMUL1, "&amp;VLOOKUP(B433,'0. Instruções'!$C$27:$G$32,5,FALSE)&amp;" AS CHAVE_SIMUL2, "&amp;C433&amp;" AS CAMPO_SIMUL FROM "&amp;F433&amp;" WHERE "&amp;'0. Instruções'!$D$42&amp;")Y")</f>
        <v>(SELECT entty_id AS CHAVE_SIMUL, nt_incm AS CAMPO_SIMUL FROM BU_LOANTAPE_WORK.LT003_ENTITY WHERE ref_date='${ref_date}' AND nome_perimetro='Individual Local' AND segmento='ESTR' AND ambito='PM' AND entidade='00100')Y</v>
      </c>
      <c r="L433" s="32" t="str">
        <f>IF(VLOOKUP(B433,'0. Instruções'!$C$27:$G$32,5,FALSE)=0,
"ON X.CHAVE_IT=Y.CHAVE_SIMUL",
"ON X.CHAVE_IT1=Y.CHAVE_SIMUL1 AND X.CHAVE_IT2=Y.CHAVE_SIMUL2")</f>
        <v>ON X.CHAVE_IT=Y.CHAVE_SIMUL</v>
      </c>
      <c r="M433" s="32" t="str">
        <f>+IF(D433="Coerência",+IF(LEFT(H433,5)="FLOAT","SELECT '"&amp;UPPER(B433)&amp;"' AS TABELA, '"&amp;UPPER(D433)&amp;"' AS TIPOLOGIA_TESTE,'"&amp;E433&amp;"' AS TABELA_LT,'"&amp;F433&amp;"' AS TABELA_SIMUL,'"&amp;C433&amp;"'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"&amp;J433&amp;" INNER JOIN "&amp;K433&amp;" "&amp;L433,"SELECT '"&amp;UPPER(B433)&amp;"' AS TABELA, '"&amp;UPPER(D433)&amp;"' AS TIPOLOGIA_TESTE,'"&amp;E433&amp;"' AS TABELA_LT,'"&amp;F433&amp;"' AS TABELA_SIMUL,'"&amp;C433&amp;"'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"&amp;J433&amp;" INNER JOIN "&amp;K433&amp;" "&amp;L433))</f>
        <v>SELECT 'ENTITY' AS TABELA, 'COERÊNCIA' AS TIPOLOGIA_TESTE,'CD_LOAN_TAPES_BCE.LT003_ENTITY' AS TABELA_LT,'BU_LOANTAPE_WORK.LT003_ENTITY' AS TABELA_SIMUL,'nt_incm'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 AS CAMPO_IT FROM CD_LOAN_TAPES_BCE.LT003_ENTITY WHERE ref_date='${ref_date}' AND nome_perimetro='Individual Local' AND segmento='ESTR' AND ambito='PM' AND entidade='00100')X INNER JOIN (SELECT entty_id AS CHAVE_SIMUL, nt_incm AS CAMPO_SIMUL FROM BU_LOANTAPE_WORK.LT003_ENTITY WHERE ref_date='${ref_date}' AND nome_perimetro='Individual Local' AND segmento='ESTR' AND ambito='PM' AND entidade='00100')Y ON X.CHAVE_IT=Y.CHAVE_SIMUL</v>
      </c>
      <c r="N433" s="33" t="str">
        <f t="shared" si="15"/>
        <v>UNION ALL SELECT 'ENTITY' AS TABELA, 'COERÊNCIA' AS TIPOLOGIA_TESTE,'CD_LOAN_TAPES_BCE.LT003_ENTITY' AS TABELA_LT,'BU_LOANTAPE_WORK.LT003_ENTITY' AS TABELA_SIMUL,'nt_incm'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 AS CAMPO_IT FROM CD_LOAN_TAPES_BCE.LT003_ENTITY WHERE ref_date='${ref_date}' AND nome_perimetro='Individual Local' AND segmento='ESTR' AND ambito='PM' AND entidade='00100')X INNER JOIN (SELECT entty_id AS CHAVE_SIMUL, nt_incm AS CAMPO_SIMUL FROM BU_LOANTAPE_WORK.LT003_ENTITY WHERE ref_date='${ref_date}' AND nome_perimetro='Individual Local' AND segmento='ESTR' AND ambito='PM' AND entidade='00100')Y ON X.CHAVE_IT=Y.CHAVE_SIMUL</v>
      </c>
      <c r="O433" s="35" t="s">
        <v>35</v>
      </c>
    </row>
    <row r="434" spans="1:15">
      <c r="A434" s="57" t="str">
        <f t="shared" si="14"/>
        <v>Entitynt_incm_prvs</v>
      </c>
      <c r="B434" s="32" t="s">
        <v>60</v>
      </c>
      <c r="C434" s="32" t="s">
        <v>568</v>
      </c>
      <c r="D434" s="32" t="s">
        <v>5</v>
      </c>
      <c r="E434" s="32" t="str">
        <f>+UPPER('0. Instruções'!$D$35&amp;"."&amp;VLOOKUP(B434,'0. Instruções'!$C$27:$D$32,2,FALSE))</f>
        <v>CD_LOAN_TAPES_BCE.LT003_ENTITY</v>
      </c>
      <c r="F434" s="32" t="str">
        <f>+UPPER('0. Instruções'!$D$36&amp;"."&amp;VLOOKUP(B434,'0. Instruções'!$C$27:$E$32,3,FALSE))</f>
        <v>BU_LOANTAPE_WORK.LT003_ENTITY</v>
      </c>
      <c r="H434" s="32"/>
      <c r="I434" s="32"/>
      <c r="J434" s="32" t="str">
        <f>IF(VLOOKUP(B434,'0. Instruções'!$C$27:$G$32,5,FALSE)=0,
"(SELECT "&amp;VLOOKUP(B434,'0. Instruções'!$C$27:$G$32,4,FALSE)&amp;" AS CHAVE_IT, "&amp;C434&amp;" AS CAMPO_IT FROM "&amp;E434&amp;" WHERE "&amp;'0. Instruções'!$D$43&amp;")X",
"(SELECT "&amp;VLOOKUP(B434,'0. Instruções'!$C$27:$G$32,4,FALSE)&amp;" AS CHAVE_IT1, "&amp;VLOOKUP(B434,'0. Instruções'!$C$27:$G$32,5,FALSE)&amp;" AS CHAVE_IT2, "&amp;C434&amp;" AS CAMPO_IT FROM "&amp;E434&amp;" WHERE "&amp;'0. Instruções'!$D$43&amp;")X")</f>
        <v>(SELECT entty_id AS CHAVE_IT, nt_incm_prvs AS CAMPO_IT FROM CD_LOAN_TAPES_BCE.LT003_ENTITY WHERE ref_date='${ref_date}' AND nome_perimetro='Individual Local' AND segmento='ESTR' AND ambito='PM' AND entidade='00100')X</v>
      </c>
      <c r="K434" s="32" t="str">
        <f>IF(VLOOKUP(B434,'0. Instruções'!$C$27:$G$32,5,FALSE)=0,
"(SELECT "&amp;VLOOKUP(B434,'0. Instruções'!$C$27:$G$32,4,FALSE)&amp;" AS CHAVE_SIMUL, "&amp;C434&amp;" AS CAMPO_SIMUL FROM "&amp;F434&amp;" WHERE "&amp;'0. Instruções'!$D$42&amp;")Y",
"(SELECT "&amp;VLOOKUP(B434,'0. Instruções'!$C$27:$G$32,4,FALSE)&amp;" AS CHAVE_SIMUL1, "&amp;VLOOKUP(B434,'0. Instruções'!$C$27:$G$32,5,FALSE)&amp;" AS CHAVE_SIMUL2, "&amp;C434&amp;" AS CAMPO_SIMUL FROM "&amp;F434&amp;" WHERE "&amp;'0. Instruções'!$D$42&amp;")Y")</f>
        <v>(SELECT entty_id AS CHAVE_SIMUL, nt_incm_prvs AS CAMPO_SIMUL FROM BU_LOANTAPE_WORK.LT003_ENTITY WHERE ref_date='${ref_date}' AND nome_perimetro='Individual Local' AND segmento='ESTR' AND ambito='PM' AND entidade='00100')Y</v>
      </c>
      <c r="L434" s="32" t="str">
        <f>IF(VLOOKUP(B434,'0. Instruções'!$C$27:$G$32,5,FALSE)=0,
"ON X.CHAVE_IT=Y.CHAVE_SIMUL",
"ON X.CHAVE_IT1=Y.CHAVE_SIMUL1 AND X.CHAVE_IT2=Y.CHAVE_SIMUL2")</f>
        <v>ON X.CHAVE_IT=Y.CHAVE_SIMUL</v>
      </c>
      <c r="M434" s="32" t="str">
        <f>+IF(D434="Coerência",+IF(LEFT(H434,5)="FLOAT","SELECT '"&amp;UPPER(B434)&amp;"' AS TABELA, '"&amp;UPPER(D434)&amp;"' AS TIPOLOGIA_TESTE,'"&amp;E434&amp;"' AS TABELA_LT,'"&amp;F434&amp;"' AS TABELA_SIMUL,'"&amp;C434&amp;"'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"&amp;J434&amp;" INNER JOIN "&amp;K434&amp;" "&amp;L434,"SELECT '"&amp;UPPER(B434)&amp;"' AS TABELA, '"&amp;UPPER(D434)&amp;"' AS TIPOLOGIA_TESTE,'"&amp;E434&amp;"' AS TABELA_LT,'"&amp;F434&amp;"' AS TABELA_SIMUL,'"&amp;C434&amp;"'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"&amp;J434&amp;" INNER JOIN "&amp;K434&amp;" "&amp;L434))</f>
        <v>SELECT 'ENTITY' AS TABELA, 'COERÊNCIA' AS TIPOLOGIA_TESTE,'CD_LOAN_TAPES_BCE.LT003_ENTITY' AS TABELA_LT,'BU_LOANTAPE_WORK.LT003_ENTITY' AS TABELA_SIMUL,'nt_incm_prvs'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nt_incm_prvs AS CAMPO_IT FROM CD_LOAN_TAPES_BCE.LT003_ENTITY WHERE ref_date='${ref_date}' AND nome_perimetro='Individual Local' AND segmento='ESTR' AND ambito='PM' AND entidade='00100')X INNER JOIN (SELECT entty_id AS CHAVE_SIMUL, nt_incm_prvs AS CAMPO_SIMUL FROM BU_LOANTAPE_WORK.LT003_ENTITY WHERE ref_date='${ref_date}' AND nome_perimetro='Individual Local' AND segmento='ESTR' AND ambito='PM' AND entidade='00100')Y ON X.CHAVE_IT=Y.CHAVE_SIMUL</v>
      </c>
      <c r="N434" s="33" t="str">
        <f t="shared" si="15"/>
        <v>UNION ALL SELECT 'ENTITY' AS TABELA, 'COERÊNCIA' AS TIPOLOGIA_TESTE,'CD_LOAN_TAPES_BCE.LT003_ENTITY' AS TABELA_LT,'BU_LOANTAPE_WORK.LT003_ENTITY' AS TABELA_SIMUL,'nt_incm_prvs'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nt_incm_prvs AS CAMPO_IT FROM CD_LOAN_TAPES_BCE.LT003_ENTITY WHERE ref_date='${ref_date}' AND nome_perimetro='Individual Local' AND segmento='ESTR' AND ambito='PM' AND entidade='00100')X INNER JOIN (SELECT entty_id AS CHAVE_SIMUL, nt_incm_prvs AS CAMPO_SIMUL FROM BU_LOANTAPE_WORK.LT003_ENTITY WHERE ref_date='${ref_date}' AND nome_perimetro='Individual Local' AND segmento='ESTR' AND ambito='PM' AND entidade='00100')Y ON X.CHAVE_IT=Y.CHAVE_SIMUL</v>
      </c>
      <c r="O434" s="35" t="s">
        <v>35</v>
      </c>
    </row>
    <row r="435" spans="1:15">
      <c r="A435" s="57" t="str">
        <f t="shared" si="14"/>
        <v>Entityttl_dbt</v>
      </c>
      <c r="B435" s="32" t="s">
        <v>60</v>
      </c>
      <c r="C435" s="32" t="s">
        <v>162</v>
      </c>
      <c r="D435" s="32" t="s">
        <v>5</v>
      </c>
      <c r="E435" s="32" t="str">
        <f>+UPPER('0. Instruções'!$D$35&amp;"."&amp;VLOOKUP(B435,'0. Instruções'!$C$27:$D$32,2,FALSE))</f>
        <v>CD_LOAN_TAPES_BCE.LT003_ENTITY</v>
      </c>
      <c r="F435" s="32" t="str">
        <f>+UPPER('0. Instruções'!$D$36&amp;"."&amp;VLOOKUP(B435,'0. Instruções'!$C$27:$E$32,3,FALSE))</f>
        <v>BU_LOANTAPE_WORK.LT003_ENTITY</v>
      </c>
      <c r="H435" s="32"/>
      <c r="I435" s="32"/>
      <c r="J435" s="32" t="str">
        <f>IF(VLOOKUP(B435,'0. Instruções'!$C$27:$G$32,5,FALSE)=0,
"(SELECT "&amp;VLOOKUP(B435,'0. Instruções'!$C$27:$G$32,4,FALSE)&amp;" AS CHAVE_IT, "&amp;C435&amp;" AS CAMPO_IT FROM "&amp;E435&amp;" WHERE "&amp;'0. Instruções'!$D$43&amp;")X",
"(SELECT "&amp;VLOOKUP(B435,'0. Instruções'!$C$27:$G$32,4,FALSE)&amp;" AS CHAVE_IT1, "&amp;VLOOKUP(B435,'0. Instruções'!$C$27:$G$32,5,FALSE)&amp;" AS CHAVE_IT2, "&amp;C435&amp;" AS CAMPO_IT FROM "&amp;E435&amp;" WHERE "&amp;'0. Instruções'!$D$43&amp;")X")</f>
        <v>(SELECT entty_id AS CHAVE_IT, ttl_dbt AS CAMPO_IT FROM CD_LOAN_TAPES_BCE.LT003_ENTITY WHERE ref_date='${ref_date}' AND nome_perimetro='Individual Local' AND segmento='ESTR' AND ambito='PM' AND entidade='00100')X</v>
      </c>
      <c r="K435" s="32" t="str">
        <f>IF(VLOOKUP(B435,'0. Instruções'!$C$27:$G$32,5,FALSE)=0,
"(SELECT "&amp;VLOOKUP(B435,'0. Instruções'!$C$27:$G$32,4,FALSE)&amp;" AS CHAVE_SIMUL, "&amp;C435&amp;" AS CAMPO_SIMUL FROM "&amp;F435&amp;" WHERE "&amp;'0. Instruções'!$D$42&amp;")Y",
"(SELECT "&amp;VLOOKUP(B435,'0. Instruções'!$C$27:$G$32,4,FALSE)&amp;" AS CHAVE_SIMUL1, "&amp;VLOOKUP(B435,'0. Instruções'!$C$27:$G$32,5,FALSE)&amp;" AS CHAVE_SIMUL2, "&amp;C435&amp;" AS CAMPO_SIMUL FROM "&amp;F435&amp;" WHERE "&amp;'0. Instruções'!$D$42&amp;")Y")</f>
        <v>(SELECT entty_id AS CHAVE_SIMUL, ttl_dbt AS CAMPO_SIMUL FROM BU_LOANTAPE_WORK.LT003_ENTITY WHERE ref_date='${ref_date}' AND nome_perimetro='Individual Local' AND segmento='ESTR' AND ambito='PM' AND entidade='00100')Y</v>
      </c>
      <c r="L435" s="32" t="str">
        <f>IF(VLOOKUP(B435,'0. Instruções'!$C$27:$G$32,5,FALSE)=0,
"ON X.CHAVE_IT=Y.CHAVE_SIMUL",
"ON X.CHAVE_IT1=Y.CHAVE_SIMUL1 AND X.CHAVE_IT2=Y.CHAVE_SIMUL2")</f>
        <v>ON X.CHAVE_IT=Y.CHAVE_SIMUL</v>
      </c>
      <c r="M435" s="32" t="str">
        <f>+IF(D435="Coerência",+IF(LEFT(H435,5)="FLOAT","SELECT '"&amp;UPPER(B435)&amp;"' AS TABELA, '"&amp;UPPER(D435)&amp;"' AS TIPOLOGIA_TESTE,'"&amp;E435&amp;"' AS TABELA_LT,'"&amp;F435&amp;"' AS TABELA_SIMUL,'"&amp;C435&amp;"'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"&amp;J435&amp;" INNER JOIN "&amp;K435&amp;" "&amp;L435,"SELECT '"&amp;UPPER(B435)&amp;"' AS TABELA, '"&amp;UPPER(D435)&amp;"' AS TIPOLOGIA_TESTE,'"&amp;E435&amp;"' AS TABELA_LT,'"&amp;F435&amp;"' AS TABELA_SIMUL,'"&amp;C435&amp;"'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"&amp;J435&amp;" INNER JOIN "&amp;K435&amp;" "&amp;L435))</f>
        <v>SELECT 'ENTITY' AS TABELA, 'COERÊNCIA' AS TIPOLOGIA_TESTE,'CD_LOAN_TAPES_BCE.LT003_ENTITY' AS TABELA_LT,'BU_LOANTAPE_WORK.LT003_ENTITY' AS TABELA_SIMUL,'ttl_dbt'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 AS CAMPO_IT FROM CD_LOAN_TAPES_BCE.LT003_ENTITY WHERE ref_date='${ref_date}' AND nome_perimetro='Individual Local' AND segmento='ESTR' AND ambito='PM' AND entidade='00100')X INNER JOIN (SELECT entty_id AS CHAVE_SIMUL, ttl_dbt AS CAMPO_SIMUL FROM BU_LOANTAPE_WORK.LT003_ENTITY WHERE ref_date='${ref_date}' AND nome_perimetro='Individual Local' AND segmento='ESTR' AND ambito='PM' AND entidade='00100')Y ON X.CHAVE_IT=Y.CHAVE_SIMUL</v>
      </c>
      <c r="N435" s="33" t="str">
        <f t="shared" si="15"/>
        <v>UNION ALL SELECT 'ENTITY' AS TABELA, 'COERÊNCIA' AS TIPOLOGIA_TESTE,'CD_LOAN_TAPES_BCE.LT003_ENTITY' AS TABELA_LT,'BU_LOANTAPE_WORK.LT003_ENTITY' AS TABELA_SIMUL,'ttl_dbt'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 AS CAMPO_IT FROM CD_LOAN_TAPES_BCE.LT003_ENTITY WHERE ref_date='${ref_date}' AND nome_perimetro='Individual Local' AND segmento='ESTR' AND ambito='PM' AND entidade='00100')X INNER JOIN (SELECT entty_id AS CHAVE_SIMUL, ttl_dbt AS CAMPO_SIMUL FROM BU_LOANTAPE_WORK.LT003_ENTITY WHERE ref_date='${ref_date}' AND nome_perimetro='Individual Local' AND segmento='ESTR' AND ambito='PM' AND entidade='00100')Y ON X.CHAVE_IT=Y.CHAVE_SIMUL</v>
      </c>
      <c r="O435" s="35" t="s">
        <v>35</v>
      </c>
    </row>
    <row r="436" spans="1:15">
      <c r="A436" s="57" t="str">
        <f t="shared" si="14"/>
        <v>Entityttl_dbt_prvs</v>
      </c>
      <c r="B436" s="32" t="s">
        <v>60</v>
      </c>
      <c r="C436" s="32" t="s">
        <v>569</v>
      </c>
      <c r="D436" s="32" t="s">
        <v>5</v>
      </c>
      <c r="E436" s="32" t="str">
        <f>+UPPER('0. Instruções'!$D$35&amp;"."&amp;VLOOKUP(B436,'0. Instruções'!$C$27:$D$32,2,FALSE))</f>
        <v>CD_LOAN_TAPES_BCE.LT003_ENTITY</v>
      </c>
      <c r="F436" s="32" t="str">
        <f>+UPPER('0. Instruções'!$D$36&amp;"."&amp;VLOOKUP(B436,'0. Instruções'!$C$27:$E$32,3,FALSE))</f>
        <v>BU_LOANTAPE_WORK.LT003_ENTITY</v>
      </c>
      <c r="H436" s="32"/>
      <c r="I436" s="32"/>
      <c r="J436" s="32" t="str">
        <f>IF(VLOOKUP(B436,'0. Instruções'!$C$27:$G$32,5,FALSE)=0,
"(SELECT "&amp;VLOOKUP(B436,'0. Instruções'!$C$27:$G$32,4,FALSE)&amp;" AS CHAVE_IT, "&amp;C436&amp;" AS CAMPO_IT FROM "&amp;E436&amp;" WHERE "&amp;'0. Instruções'!$D$43&amp;")X",
"(SELECT "&amp;VLOOKUP(B436,'0. Instruções'!$C$27:$G$32,4,FALSE)&amp;" AS CHAVE_IT1, "&amp;VLOOKUP(B436,'0. Instruções'!$C$27:$G$32,5,FALSE)&amp;" AS CHAVE_IT2, "&amp;C436&amp;" AS CAMPO_IT FROM "&amp;E436&amp;" WHERE "&amp;'0. Instruções'!$D$43&amp;")X")</f>
        <v>(SELECT entty_id AS CHAVE_IT, ttl_dbt_prvs AS CAMPO_IT FROM CD_LOAN_TAPES_BCE.LT003_ENTITY WHERE ref_date='${ref_date}' AND nome_perimetro='Individual Local' AND segmento='ESTR' AND ambito='PM' AND entidade='00100')X</v>
      </c>
      <c r="K436" s="32" t="str">
        <f>IF(VLOOKUP(B436,'0. Instruções'!$C$27:$G$32,5,FALSE)=0,
"(SELECT "&amp;VLOOKUP(B436,'0. Instruções'!$C$27:$G$32,4,FALSE)&amp;" AS CHAVE_SIMUL, "&amp;C436&amp;" AS CAMPO_SIMUL FROM "&amp;F436&amp;" WHERE "&amp;'0. Instruções'!$D$42&amp;")Y",
"(SELECT "&amp;VLOOKUP(B436,'0. Instruções'!$C$27:$G$32,4,FALSE)&amp;" AS CHAVE_SIMUL1, "&amp;VLOOKUP(B436,'0. Instruções'!$C$27:$G$32,5,FALSE)&amp;" AS CHAVE_SIMUL2, "&amp;C436&amp;" AS CAMPO_SIMUL FROM "&amp;F436&amp;" WHERE "&amp;'0. Instruções'!$D$42&amp;")Y")</f>
        <v>(SELECT entty_id AS CHAVE_SIMUL, ttl_dbt_prvs AS CAMPO_SIMUL FROM BU_LOANTAPE_WORK.LT003_ENTITY WHERE ref_date='${ref_date}' AND nome_perimetro='Individual Local' AND segmento='ESTR' AND ambito='PM' AND entidade='00100')Y</v>
      </c>
      <c r="L436" s="32" t="str">
        <f>IF(VLOOKUP(B436,'0. Instruções'!$C$27:$G$32,5,FALSE)=0,
"ON X.CHAVE_IT=Y.CHAVE_SIMUL",
"ON X.CHAVE_IT1=Y.CHAVE_SIMUL1 AND X.CHAVE_IT2=Y.CHAVE_SIMUL2")</f>
        <v>ON X.CHAVE_IT=Y.CHAVE_SIMUL</v>
      </c>
      <c r="M436" s="32" t="str">
        <f>+IF(D436="Coerência",+IF(LEFT(H436,5)="FLOAT","SELECT '"&amp;UPPER(B436)&amp;"' AS TABELA, '"&amp;UPPER(D436)&amp;"' AS TIPOLOGIA_TESTE,'"&amp;E436&amp;"' AS TABELA_LT,'"&amp;F436&amp;"' AS TABELA_SIMUL,'"&amp;C436&amp;"'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"&amp;J436&amp;" INNER JOIN "&amp;K436&amp;" "&amp;L436,"SELECT '"&amp;UPPER(B436)&amp;"' AS TABELA, '"&amp;UPPER(D436)&amp;"' AS TIPOLOGIA_TESTE,'"&amp;E436&amp;"' AS TABELA_LT,'"&amp;F436&amp;"' AS TABELA_SIMUL,'"&amp;C436&amp;"'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"&amp;J436&amp;" INNER JOIN "&amp;K436&amp;" "&amp;L436))</f>
        <v>SELECT 'ENTITY' AS TABELA, 'COERÊNCIA' AS TIPOLOGIA_TESTE,'CD_LOAN_TAPES_BCE.LT003_ENTITY' AS TABELA_LT,'BU_LOANTAPE_WORK.LT003_ENTITY' AS TABELA_SIMUL,'ttl_dbt_prvs'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ttl_dbt_prvs AS CAMPO_IT FROM CD_LOAN_TAPES_BCE.LT003_ENTITY WHERE ref_date='${ref_date}' AND nome_perimetro='Individual Local' AND segmento='ESTR' AND ambito='PM' AND entidade='00100')X INNER JOIN (SELECT entty_id AS CHAVE_SIMUL, ttl_dbt_prvs AS CAMPO_SIMUL FROM BU_LOANTAPE_WORK.LT003_ENTITY WHERE ref_date='${ref_date}' AND nome_perimetro='Individual Local' AND segmento='ESTR' AND ambito='PM' AND entidade='00100')Y ON X.CHAVE_IT=Y.CHAVE_SIMUL</v>
      </c>
      <c r="N436" s="33" t="str">
        <f t="shared" si="15"/>
        <v>UNION ALL SELECT 'ENTITY' AS TABELA, 'COERÊNCIA' AS TIPOLOGIA_TESTE,'CD_LOAN_TAPES_BCE.LT003_ENTITY' AS TABELA_LT,'BU_LOANTAPE_WORK.LT003_ENTITY' AS TABELA_SIMUL,'ttl_dbt_prvs'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ttl_dbt_prvs AS CAMPO_IT FROM CD_LOAN_TAPES_BCE.LT003_ENTITY WHERE ref_date='${ref_date}' AND nome_perimetro='Individual Local' AND segmento='ESTR' AND ambito='PM' AND entidade='00100')X INNER JOIN (SELECT entty_id AS CHAVE_SIMUL, ttl_dbt_prvs AS CAMPO_SIMUL FROM BU_LOANTAPE_WORK.LT003_ENTITY WHERE ref_date='${ref_date}' AND nome_perimetro='Individual Local' AND segmento='ESTR' AND ambito='PM' AND entidade='00100')Y ON X.CHAVE_IT=Y.CHAVE_SIMUL</v>
      </c>
      <c r="O436" s="35" t="s">
        <v>35</v>
      </c>
    </row>
    <row r="437" spans="1:15">
      <c r="A437" s="57" t="str">
        <f t="shared" si="14"/>
        <v>Entityttl_intrst_pd</v>
      </c>
      <c r="B437" s="32" t="s">
        <v>60</v>
      </c>
      <c r="C437" s="32" t="s">
        <v>570</v>
      </c>
      <c r="D437" s="32" t="s">
        <v>5</v>
      </c>
      <c r="E437" s="32" t="str">
        <f>+UPPER('0. Instruções'!$D$35&amp;"."&amp;VLOOKUP(B437,'0. Instruções'!$C$27:$D$32,2,FALSE))</f>
        <v>CD_LOAN_TAPES_BCE.LT003_ENTITY</v>
      </c>
      <c r="F437" s="32" t="str">
        <f>+UPPER('0. Instruções'!$D$36&amp;"."&amp;VLOOKUP(B437,'0. Instruções'!$C$27:$E$32,3,FALSE))</f>
        <v>BU_LOANTAPE_WORK.LT003_ENTITY</v>
      </c>
      <c r="H437" s="32"/>
      <c r="I437" s="32"/>
      <c r="J437" s="32" t="str">
        <f>IF(VLOOKUP(B437,'0. Instruções'!$C$27:$G$32,5,FALSE)=0,
"(SELECT "&amp;VLOOKUP(B437,'0. Instruções'!$C$27:$G$32,4,FALSE)&amp;" AS CHAVE_IT, "&amp;C437&amp;" AS CAMPO_IT FROM "&amp;E437&amp;" WHERE "&amp;'0. Instruções'!$D$43&amp;")X",
"(SELECT "&amp;VLOOKUP(B437,'0. Instruções'!$C$27:$G$32,4,FALSE)&amp;" AS CHAVE_IT1, "&amp;VLOOKUP(B437,'0. Instruções'!$C$27:$G$32,5,FALSE)&amp;" AS CHAVE_IT2, "&amp;C437&amp;" AS CAMPO_IT FROM "&amp;E437&amp;" WHERE "&amp;'0. Instruções'!$D$43&amp;")X")</f>
        <v>(SELECT entty_id AS CHAVE_IT, ttl_intrst_pd AS CAMPO_IT FROM CD_LOAN_TAPES_BCE.LT003_ENTITY WHERE ref_date='${ref_date}' AND nome_perimetro='Individual Local' AND segmento='ESTR' AND ambito='PM' AND entidade='00100')X</v>
      </c>
      <c r="K437" s="32" t="str">
        <f>IF(VLOOKUP(B437,'0. Instruções'!$C$27:$G$32,5,FALSE)=0,
"(SELECT "&amp;VLOOKUP(B437,'0. Instruções'!$C$27:$G$32,4,FALSE)&amp;" AS CHAVE_SIMUL, "&amp;C437&amp;" AS CAMPO_SIMUL FROM "&amp;F437&amp;" WHERE "&amp;'0. Instruções'!$D$42&amp;")Y",
"(SELECT "&amp;VLOOKUP(B437,'0. Instruções'!$C$27:$G$32,4,FALSE)&amp;" AS CHAVE_SIMUL1, "&amp;VLOOKUP(B437,'0. Instruções'!$C$27:$G$32,5,FALSE)&amp;" AS CHAVE_SIMUL2, "&amp;C437&amp;" AS CAMPO_SIMUL FROM "&amp;F437&amp;" WHERE "&amp;'0. Instruções'!$D$42&amp;")Y")</f>
        <v>(SELECT entty_id AS CHAVE_SIMUL, ttl_intrst_pd AS CAMPO_SIMUL FROM BU_LOANTAPE_WORK.LT003_ENTITY WHERE ref_date='${ref_date}' AND nome_perimetro='Individual Local' AND segmento='ESTR' AND ambito='PM' AND entidade='00100')Y</v>
      </c>
      <c r="L437" s="32" t="str">
        <f>IF(VLOOKUP(B437,'0. Instruções'!$C$27:$G$32,5,FALSE)=0,
"ON X.CHAVE_IT=Y.CHAVE_SIMUL",
"ON X.CHAVE_IT1=Y.CHAVE_SIMUL1 AND X.CHAVE_IT2=Y.CHAVE_SIMUL2")</f>
        <v>ON X.CHAVE_IT=Y.CHAVE_SIMUL</v>
      </c>
      <c r="M437" s="32" t="str">
        <f>+IF(D437="Coerência",+IF(LEFT(H437,5)="FLOAT","SELECT '"&amp;UPPER(B437)&amp;"' AS TABELA, '"&amp;UPPER(D437)&amp;"' AS TIPOLOGIA_TESTE,'"&amp;E437&amp;"' AS TABELA_LT,'"&amp;F437&amp;"' AS TABELA_SIMUL,'"&amp;C437&amp;"'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"&amp;J437&amp;" INNER JOIN "&amp;K437&amp;" "&amp;L437,"SELECT '"&amp;UPPER(B437)&amp;"' AS TABELA, '"&amp;UPPER(D437)&amp;"' AS TIPOLOGIA_TESTE,'"&amp;E437&amp;"' AS TABELA_LT,'"&amp;F437&amp;"' AS TABELA_SIMUL,'"&amp;C437&amp;"'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"&amp;J437&amp;" INNER JOIN "&amp;K437&amp;" "&amp;L437))</f>
        <v>SELECT 'ENTITY' AS TABELA, 'COERÊNCIA' AS TIPOLOGIA_TESTE,'CD_LOAN_TAPES_BCE.LT003_ENTITY' AS TABELA_LT,'BU_LOANTAPE_WORK.LT003_ENTITY' AS TABELA_SIMUL,'ttl_intrst_pd'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ttl_intrst_pd AS CAMPO_IT FROM CD_LOAN_TAPES_BCE.LT003_ENTITY WHERE ref_date='${ref_date}' AND nome_perimetro='Individual Local' AND segmento='ESTR' AND ambito='PM' AND entidade='00100')X INNER JOIN (SELECT entty_id AS CHAVE_SIMUL, ttl_intrst_pd AS CAMPO_SIMUL FROM BU_LOANTAPE_WORK.LT003_ENTITY WHERE ref_date='${ref_date}' AND nome_perimetro='Individual Local' AND segmento='ESTR' AND ambito='PM' AND entidade='00100')Y ON X.CHAVE_IT=Y.CHAVE_SIMUL</v>
      </c>
      <c r="N437" s="33" t="str">
        <f t="shared" si="15"/>
        <v>UNION ALL SELECT 'ENTITY' AS TABELA, 'COERÊNCIA' AS TIPOLOGIA_TESTE,'CD_LOAN_TAPES_BCE.LT003_ENTITY' AS TABELA_LT,'BU_LOANTAPE_WORK.LT003_ENTITY' AS TABELA_SIMUL,'ttl_intrst_pd'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ttl_intrst_pd AS CAMPO_IT FROM CD_LOAN_TAPES_BCE.LT003_ENTITY WHERE ref_date='${ref_date}' AND nome_perimetro='Individual Local' AND segmento='ESTR' AND ambito='PM' AND entidade='00100')X INNER JOIN (SELECT entty_id AS CHAVE_SIMUL, ttl_intrst_pd AS CAMPO_SIMUL FROM BU_LOANTAPE_WORK.LT003_ENTITY WHERE ref_date='${ref_date}' AND nome_perimetro='Individual Local' AND segmento='ESTR' AND ambito='PM' AND entidade='00100')Y ON X.CHAVE_IT=Y.CHAVE_SIMUL</v>
      </c>
      <c r="O437" s="35" t="s">
        <v>35</v>
      </c>
    </row>
    <row r="438" spans="1:15">
      <c r="A438" s="57" t="str">
        <f t="shared" si="14"/>
        <v>Entityttl_lvrg_rt</v>
      </c>
      <c r="B438" s="32" t="s">
        <v>60</v>
      </c>
      <c r="C438" s="32" t="s">
        <v>571</v>
      </c>
      <c r="D438" s="32" t="s">
        <v>5</v>
      </c>
      <c r="E438" s="32" t="str">
        <f>+UPPER('0. Instruções'!$D$35&amp;"."&amp;VLOOKUP(B438,'0. Instruções'!$C$27:$D$32,2,FALSE))</f>
        <v>CD_LOAN_TAPES_BCE.LT003_ENTITY</v>
      </c>
      <c r="F438" s="32" t="str">
        <f>+UPPER('0. Instruções'!$D$36&amp;"."&amp;VLOOKUP(B438,'0. Instruções'!$C$27:$E$32,3,FALSE))</f>
        <v>BU_LOANTAPE_WORK.LT003_ENTITY</v>
      </c>
      <c r="H438" s="32"/>
      <c r="I438" s="32"/>
      <c r="J438" s="32" t="str">
        <f>IF(VLOOKUP(B438,'0. Instruções'!$C$27:$G$32,5,FALSE)=0,
"(SELECT "&amp;VLOOKUP(B438,'0. Instruções'!$C$27:$G$32,4,FALSE)&amp;" AS CHAVE_IT, "&amp;C438&amp;" AS CAMPO_IT FROM "&amp;E438&amp;" WHERE "&amp;'0. Instruções'!$D$43&amp;")X",
"(SELECT "&amp;VLOOKUP(B438,'0. Instruções'!$C$27:$G$32,4,FALSE)&amp;" AS CHAVE_IT1, "&amp;VLOOKUP(B438,'0. Instruções'!$C$27:$G$32,5,FALSE)&amp;" AS CHAVE_IT2, "&amp;C438&amp;" AS CAMPO_IT FROM "&amp;E438&amp;" WHERE "&amp;'0. Instruções'!$D$43&amp;")X")</f>
        <v>(SELECT entty_id AS CHAVE_IT, ttl_lvrg_rt AS CAMPO_IT FROM CD_LOAN_TAPES_BCE.LT003_ENTITY WHERE ref_date='${ref_date}' AND nome_perimetro='Individual Local' AND segmento='ESTR' AND ambito='PM' AND entidade='00100')X</v>
      </c>
      <c r="K438" s="32" t="str">
        <f>IF(VLOOKUP(B438,'0. Instruções'!$C$27:$G$32,5,FALSE)=0,
"(SELECT "&amp;VLOOKUP(B438,'0. Instruções'!$C$27:$G$32,4,FALSE)&amp;" AS CHAVE_SIMUL, "&amp;C438&amp;" AS CAMPO_SIMUL FROM "&amp;F438&amp;" WHERE "&amp;'0. Instruções'!$D$42&amp;")Y",
"(SELECT "&amp;VLOOKUP(B438,'0. Instruções'!$C$27:$G$32,4,FALSE)&amp;" AS CHAVE_SIMUL1, "&amp;VLOOKUP(B438,'0. Instruções'!$C$27:$G$32,5,FALSE)&amp;" AS CHAVE_SIMUL2, "&amp;C438&amp;" AS CAMPO_SIMUL FROM "&amp;F438&amp;" WHERE "&amp;'0. Instruções'!$D$42&amp;")Y")</f>
        <v>(SELECT entty_id AS CHAVE_SIMUL, ttl_lvrg_rt AS CAMPO_SIMUL FROM BU_LOANTAPE_WORK.LT003_ENTITY WHERE ref_date='${ref_date}' AND nome_perimetro='Individual Local' AND segmento='ESTR' AND ambito='PM' AND entidade='00100')Y</v>
      </c>
      <c r="L438" s="32" t="str">
        <f>IF(VLOOKUP(B438,'0. Instruções'!$C$27:$G$32,5,FALSE)=0,
"ON X.CHAVE_IT=Y.CHAVE_SIMUL",
"ON X.CHAVE_IT1=Y.CHAVE_SIMUL1 AND X.CHAVE_IT2=Y.CHAVE_SIMUL2")</f>
        <v>ON X.CHAVE_IT=Y.CHAVE_SIMUL</v>
      </c>
      <c r="M438" s="32" t="str">
        <f>+IF(D438="Coerência",+IF(LEFT(H438,5)="FLOAT","SELECT '"&amp;UPPER(B438)&amp;"' AS TABELA, '"&amp;UPPER(D438)&amp;"' AS TIPOLOGIA_TESTE,'"&amp;E438&amp;"' AS TABELA_LT,'"&amp;F438&amp;"' AS TABELA_SIMUL,'"&amp;C438&amp;"'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"&amp;J438&amp;" INNER JOIN "&amp;K438&amp;" "&amp;L438,"SELECT '"&amp;UPPER(B438)&amp;"' AS TABELA, '"&amp;UPPER(D438)&amp;"' AS TIPOLOGIA_TESTE,'"&amp;E438&amp;"' AS TABELA_LT,'"&amp;F438&amp;"' AS TABELA_SIMUL,'"&amp;C438&amp;"'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"&amp;J438&amp;" INNER JOIN "&amp;K438&amp;" "&amp;L438))</f>
        <v>SELECT 'ENTITY' AS TABELA, 'COERÊNCIA' AS TIPOLOGIA_TESTE,'CD_LOAN_TAPES_BCE.LT003_ENTITY' AS TABELA_LT,'BU_LOANTAPE_WORK.LT003_ENTITY' AS TABELA_SIMUL,'ttl_lvrg_rt'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 AS CAMPO_IT FROM CD_LOAN_TAPES_BCE.LT003_ENTITY WHERE ref_date='${ref_date}' AND nome_perimetro='Individual Local' AND segmento='ESTR' AND ambito='PM' AND entidade='00100')X INNER JOIN (SELECT entty_id AS CHAVE_SIMUL, ttl_lvrg_rt AS CAMPO_SIMUL FROM BU_LOANTAPE_WORK.LT003_ENTITY WHERE ref_date='${ref_date}' AND nome_perimetro='Individual Local' AND segmento='ESTR' AND ambito='PM' AND entidade='00100')Y ON X.CHAVE_IT=Y.CHAVE_SIMUL</v>
      </c>
      <c r="N438" s="33" t="str">
        <f t="shared" si="15"/>
        <v>UNION ALL SELECT 'ENTITY' AS TABELA, 'COERÊNCIA' AS TIPOLOGIA_TESTE,'CD_LOAN_TAPES_BCE.LT003_ENTITY' AS TABELA_LT,'BU_LOANTAPE_WORK.LT003_ENTITY' AS TABELA_SIMUL,'ttl_lvrg_rt'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 AS CAMPO_IT FROM CD_LOAN_TAPES_BCE.LT003_ENTITY WHERE ref_date='${ref_date}' AND nome_perimetro='Individual Local' AND segmento='ESTR' AND ambito='PM' AND entidade='00100')X INNER JOIN (SELECT entty_id AS CHAVE_SIMUL, ttl_lvrg_rt AS CAMPO_SIMUL FROM BU_LOANTAPE_WORK.LT003_ENTITY WHERE ref_date='${ref_date}' AND nome_perimetro='Individual Local' AND segmento='ESTR' AND ambito='PM' AND entidade='00100')Y ON X.CHAVE_IT=Y.CHAVE_SIMUL</v>
      </c>
      <c r="O438" s="35" t="s">
        <v>35</v>
      </c>
    </row>
    <row r="439" spans="1:15">
      <c r="A439" s="57" t="str">
        <f t="shared" si="14"/>
        <v>Entityttl_lvrg_rt_prvs</v>
      </c>
      <c r="B439" s="32" t="s">
        <v>60</v>
      </c>
      <c r="C439" s="32" t="s">
        <v>572</v>
      </c>
      <c r="D439" s="32" t="s">
        <v>5</v>
      </c>
      <c r="E439" s="32" t="str">
        <f>+UPPER('0. Instruções'!$D$35&amp;"."&amp;VLOOKUP(B439,'0. Instruções'!$C$27:$D$32,2,FALSE))</f>
        <v>CD_LOAN_TAPES_BCE.LT003_ENTITY</v>
      </c>
      <c r="F439" s="32" t="str">
        <f>+UPPER('0. Instruções'!$D$36&amp;"."&amp;VLOOKUP(B439,'0. Instruções'!$C$27:$E$32,3,FALSE))</f>
        <v>BU_LOANTAPE_WORK.LT003_ENTITY</v>
      </c>
      <c r="H439" s="32"/>
      <c r="I439" s="32"/>
      <c r="J439" s="32" t="str">
        <f>IF(VLOOKUP(B439,'0. Instruções'!$C$27:$G$32,5,FALSE)=0,
"(SELECT "&amp;VLOOKUP(B439,'0. Instruções'!$C$27:$G$32,4,FALSE)&amp;" AS CHAVE_IT, "&amp;C439&amp;" AS CAMPO_IT FROM "&amp;E439&amp;" WHERE "&amp;'0. Instruções'!$D$43&amp;")X",
"(SELECT "&amp;VLOOKUP(B439,'0. Instruções'!$C$27:$G$32,4,FALSE)&amp;" AS CHAVE_IT1, "&amp;VLOOKUP(B439,'0. Instruções'!$C$27:$G$32,5,FALSE)&amp;" AS CHAVE_IT2, "&amp;C439&amp;" AS CAMPO_IT FROM "&amp;E439&amp;" WHERE "&amp;'0. Instruções'!$D$43&amp;")X")</f>
        <v>(SELECT entty_id AS CHAVE_IT, ttl_lvrg_rt_prvs AS CAMPO_IT FROM CD_LOAN_TAPES_BCE.LT003_ENTITY WHERE ref_date='${ref_date}' AND nome_perimetro='Individual Local' AND segmento='ESTR' AND ambito='PM' AND entidade='00100')X</v>
      </c>
      <c r="K439" s="32" t="str">
        <f>IF(VLOOKUP(B439,'0. Instruções'!$C$27:$G$32,5,FALSE)=0,
"(SELECT "&amp;VLOOKUP(B439,'0. Instruções'!$C$27:$G$32,4,FALSE)&amp;" AS CHAVE_SIMUL, "&amp;C439&amp;" AS CAMPO_SIMUL FROM "&amp;F439&amp;" WHERE "&amp;'0. Instruções'!$D$42&amp;")Y",
"(SELECT "&amp;VLOOKUP(B439,'0. Instruções'!$C$27:$G$32,4,FALSE)&amp;" AS CHAVE_SIMUL1, "&amp;VLOOKUP(B439,'0. Instruções'!$C$27:$G$32,5,FALSE)&amp;" AS CHAVE_SIMUL2, "&amp;C439&amp;" AS CAMPO_SIMUL FROM "&amp;F439&amp;" WHERE "&amp;'0. Instruções'!$D$42&amp;")Y")</f>
        <v>(SELECT entty_id AS CHAVE_SIMUL, ttl_lvrg_rt_prvs AS CAMPO_SIMUL FROM BU_LOANTAPE_WORK.LT003_ENTITY WHERE ref_date='${ref_date}' AND nome_perimetro='Individual Local' AND segmento='ESTR' AND ambito='PM' AND entidade='00100')Y</v>
      </c>
      <c r="L439" s="32" t="str">
        <f>IF(VLOOKUP(B439,'0. Instruções'!$C$27:$G$32,5,FALSE)=0,
"ON X.CHAVE_IT=Y.CHAVE_SIMUL",
"ON X.CHAVE_IT1=Y.CHAVE_SIMUL1 AND X.CHAVE_IT2=Y.CHAVE_SIMUL2")</f>
        <v>ON X.CHAVE_IT=Y.CHAVE_SIMUL</v>
      </c>
      <c r="M439" s="32" t="str">
        <f>+IF(D439="Coerência",+IF(LEFT(H439,5)="FLOAT","SELECT '"&amp;UPPER(B439)&amp;"' AS TABELA, '"&amp;UPPER(D439)&amp;"' AS TIPOLOGIA_TESTE,'"&amp;E439&amp;"' AS TABELA_LT,'"&amp;F439&amp;"' AS TABELA_SIMUL,'"&amp;C439&amp;"'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"&amp;J439&amp;" INNER JOIN "&amp;K439&amp;" "&amp;L439,"SELECT '"&amp;UPPER(B439)&amp;"' AS TABELA, '"&amp;UPPER(D439)&amp;"' AS TIPOLOGIA_TESTE,'"&amp;E439&amp;"' AS TABELA_LT,'"&amp;F439&amp;"' AS TABELA_SIMUL,'"&amp;C439&amp;"'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"&amp;J439&amp;" INNER JOIN "&amp;K439&amp;" "&amp;L439))</f>
        <v>SELECT 'ENTITY' AS TABELA, 'COERÊNCIA' AS TIPOLOGIA_TESTE,'CD_LOAN_TAPES_BCE.LT003_ENTITY' AS TABELA_LT,'BU_LOANTAPE_WORK.LT003_ENTITY' AS TABELA_SIMUL,'ttl_lvrg_rt_prvs'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ttl_lvrg_rt_prvs AS CAMPO_IT FROM CD_LOAN_TAPES_BCE.LT003_ENTITY WHERE ref_date='${ref_date}' AND nome_perimetro='Individual Local' AND segmento='ESTR' AND ambito='PM' AND entidade='00100')X INNER JOIN (SELECT entty_id AS CHAVE_SIMUL, ttl_lvrg_rt_prvs AS CAMPO_SIMUL FROM BU_LOANTAPE_WORK.LT003_ENTITY WHERE ref_date='${ref_date}' AND nome_perimetro='Individual Local' AND segmento='ESTR' AND ambito='PM' AND entidade='00100')Y ON X.CHAVE_IT=Y.CHAVE_SIMUL</v>
      </c>
      <c r="N439" s="33" t="str">
        <f t="shared" si="15"/>
        <v>UNION ALL SELECT 'ENTITY' AS TABELA, 'COERÊNCIA' AS TIPOLOGIA_TESTE,'CD_LOAN_TAPES_BCE.LT003_ENTITY' AS TABELA_LT,'BU_LOANTAPE_WORK.LT003_ENTITY' AS TABELA_SIMUL,'ttl_lvrg_rt_prvs'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ttl_lvrg_rt_prvs AS CAMPO_IT FROM CD_LOAN_TAPES_BCE.LT003_ENTITY WHERE ref_date='${ref_date}' AND nome_perimetro='Individual Local' AND segmento='ESTR' AND ambito='PM' AND entidade='00100')X INNER JOIN (SELECT entty_id AS CHAVE_SIMUL, ttl_lvrg_rt_prvs AS CAMPO_SIMUL FROM BU_LOANTAPE_WORK.LT003_ENTITY WHERE ref_date='${ref_date}' AND nome_perimetro='Individual Local' AND segmento='ESTR' AND ambito='PM' AND entidade='00100')Y ON X.CHAVE_IT=Y.CHAVE_SIMUL</v>
      </c>
      <c r="O439" s="35" t="s">
        <v>35</v>
      </c>
    </row>
    <row r="440" spans="1:15">
      <c r="A440" s="57" t="str">
        <f t="shared" si="14"/>
        <v>Entitydbt_rpymnt_cpcty_snr_dbt</v>
      </c>
      <c r="B440" s="32" t="s">
        <v>60</v>
      </c>
      <c r="C440" s="32" t="s">
        <v>573</v>
      </c>
      <c r="D440" s="32" t="s">
        <v>5</v>
      </c>
      <c r="E440" s="32" t="str">
        <f>+UPPER('0. Instruções'!$D$35&amp;"."&amp;VLOOKUP(B440,'0. Instruções'!$C$27:$D$32,2,FALSE))</f>
        <v>CD_LOAN_TAPES_BCE.LT003_ENTITY</v>
      </c>
      <c r="F440" s="32" t="str">
        <f>+UPPER('0. Instruções'!$D$36&amp;"."&amp;VLOOKUP(B440,'0. Instruções'!$C$27:$E$32,3,FALSE))</f>
        <v>BU_LOANTAPE_WORK.LT003_ENTITY</v>
      </c>
      <c r="H440" s="32"/>
      <c r="I440" s="32"/>
      <c r="J440" s="32" t="str">
        <f>IF(VLOOKUP(B440,'0. Instruções'!$C$27:$G$32,5,FALSE)=0,
"(SELECT "&amp;VLOOKUP(B440,'0. Instruções'!$C$27:$G$32,4,FALSE)&amp;" AS CHAVE_IT, "&amp;C440&amp;" AS CAMPO_IT FROM "&amp;E440&amp;" WHERE "&amp;'0. Instruções'!$D$43&amp;")X",
"(SELECT "&amp;VLOOKUP(B440,'0. Instruções'!$C$27:$G$32,4,FALSE)&amp;" AS CHAVE_IT1, "&amp;VLOOKUP(B440,'0. Instruções'!$C$27:$G$32,5,FALSE)&amp;" AS CHAVE_IT2, "&amp;C440&amp;" AS CAMPO_IT FROM "&amp;E440&amp;" WHERE "&amp;'0. Instruções'!$D$43&amp;")X")</f>
        <v>(SELECT entty_id AS CHAVE_IT, dbt_rpymnt_cpcty_snr_dbt AS CAMPO_IT FROM CD_LOAN_TAPES_BCE.LT003_ENTITY WHERE ref_date='${ref_date}' AND nome_perimetro='Individual Local' AND segmento='ESTR' AND ambito='PM' AND entidade='00100')X</v>
      </c>
      <c r="K440" s="32" t="str">
        <f>IF(VLOOKUP(B440,'0. Instruções'!$C$27:$G$32,5,FALSE)=0,
"(SELECT "&amp;VLOOKUP(B440,'0. Instruções'!$C$27:$G$32,4,FALSE)&amp;" AS CHAVE_SIMUL, "&amp;C440&amp;" AS CAMPO_SIMUL FROM "&amp;F440&amp;" WHERE "&amp;'0. Instruções'!$D$42&amp;")Y",
"(SELECT "&amp;VLOOKUP(B440,'0. Instruções'!$C$27:$G$32,4,FALSE)&amp;" AS CHAVE_SIMUL1, "&amp;VLOOKUP(B440,'0. Instruções'!$C$27:$G$32,5,FALSE)&amp;" AS CHAVE_SIMUL2, "&amp;C440&amp;" AS CAMPO_SIMUL FROM "&amp;F440&amp;" WHERE "&amp;'0. Instruções'!$D$42&amp;")Y")</f>
        <v>(SELECT entty_id AS CHAVE_SIMUL, dbt_rpymnt_cpcty_snr_dbt AS CAMPO_SIMUL FROM BU_LOANTAPE_WORK.LT003_ENTITY WHERE ref_date='${ref_date}' AND nome_perimetro='Individual Local' AND segmento='ESTR' AND ambito='PM' AND entidade='00100')Y</v>
      </c>
      <c r="L440" s="32" t="str">
        <f>IF(VLOOKUP(B440,'0. Instruções'!$C$27:$G$32,5,FALSE)=0,
"ON X.CHAVE_IT=Y.CHAVE_SIMUL",
"ON X.CHAVE_IT1=Y.CHAVE_SIMUL1 AND X.CHAVE_IT2=Y.CHAVE_SIMUL2")</f>
        <v>ON X.CHAVE_IT=Y.CHAVE_SIMUL</v>
      </c>
      <c r="M440" s="32" t="str">
        <f>+IF(D440="Coerência",+IF(LEFT(H440,5)="FLOAT","SELECT '"&amp;UPPER(B440)&amp;"' AS TABELA, '"&amp;UPPER(D440)&amp;"' AS TIPOLOGIA_TESTE,'"&amp;E440&amp;"' AS TABELA_LT,'"&amp;F440&amp;"' AS TABELA_SIMUL,'"&amp;C440&amp;"'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"&amp;J440&amp;" INNER JOIN "&amp;K440&amp;" "&amp;L440,"SELECT '"&amp;UPPER(B440)&amp;"' AS TABELA, '"&amp;UPPER(D440)&amp;"' AS TIPOLOGIA_TESTE,'"&amp;E440&amp;"' AS TABELA_LT,'"&amp;F440&amp;"' AS TABELA_SIMUL,'"&amp;C440&amp;"'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"&amp;J440&amp;" INNER JOIN "&amp;K440&amp;" "&amp;L440))</f>
        <v>SELECT 'ENTITY' AS TABELA, 'COERÊNCIA' AS TIPOLOGIA_TESTE,'CD_LOAN_TAPES_BCE.LT003_ENTITY' AS TABELA_LT,'BU_LOANTAPE_WORK.LT003_ENTITY' AS TABELA_SIMUL,'dbt_rpymnt_cpcty_snr_dbt'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dbt_rpymnt_cpcty_snr_dbt AS CAMPO_IT FROM CD_LOAN_TAPES_BCE.LT003_ENTITY WHERE ref_date='${ref_date}' AND nome_perimetro='Individual Local' AND segmento='ESTR' AND ambito='PM' AND entidade='00100')X INNER JOIN (SELECT entty_id AS CHAVE_SIMUL, dbt_rpymnt_cpcty_snr_dbt AS CAMPO_SIMUL FROM BU_LOANTAPE_WORK.LT003_ENTITY WHERE ref_date='${ref_date}' AND nome_perimetro='Individual Local' AND segmento='ESTR' AND ambito='PM' AND entidade='00100')Y ON X.CHAVE_IT=Y.CHAVE_SIMUL</v>
      </c>
      <c r="N440" s="33" t="str">
        <f t="shared" si="15"/>
        <v>UNION ALL SELECT 'ENTITY' AS TABELA, 'COERÊNCIA' AS TIPOLOGIA_TESTE,'CD_LOAN_TAPES_BCE.LT003_ENTITY' AS TABELA_LT,'BU_LOANTAPE_WORK.LT003_ENTITY' AS TABELA_SIMUL,'dbt_rpymnt_cpcty_snr_dbt'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dbt_rpymnt_cpcty_snr_dbt AS CAMPO_IT FROM CD_LOAN_TAPES_BCE.LT003_ENTITY WHERE ref_date='${ref_date}' AND nome_perimetro='Individual Local' AND segmento='ESTR' AND ambito='PM' AND entidade='00100')X INNER JOIN (SELECT entty_id AS CHAVE_SIMUL, dbt_rpymnt_cpcty_snr_dbt AS CAMPO_SIMUL FROM BU_LOANTAPE_WORK.LT003_ENTITY WHERE ref_date='${ref_date}' AND nome_perimetro='Individual Local' AND segmento='ESTR' AND ambito='PM' AND entidade='00100')Y ON X.CHAVE_IT=Y.CHAVE_SIMUL</v>
      </c>
      <c r="O440" s="35" t="s">
        <v>35</v>
      </c>
    </row>
    <row r="441" spans="1:15">
      <c r="A441" s="57" t="str">
        <f t="shared" si="14"/>
        <v>Entitydbt_rpymnt_cpcty_ttl</v>
      </c>
      <c r="B441" s="32" t="s">
        <v>60</v>
      </c>
      <c r="C441" s="32" t="s">
        <v>574</v>
      </c>
      <c r="D441" s="32" t="s">
        <v>5</v>
      </c>
      <c r="E441" s="32" t="str">
        <f>+UPPER('0. Instruções'!$D$35&amp;"."&amp;VLOOKUP(B441,'0. Instruções'!$C$27:$D$32,2,FALSE))</f>
        <v>CD_LOAN_TAPES_BCE.LT003_ENTITY</v>
      </c>
      <c r="F441" s="32" t="str">
        <f>+UPPER('0. Instruções'!$D$36&amp;"."&amp;VLOOKUP(B441,'0. Instruções'!$C$27:$E$32,3,FALSE))</f>
        <v>BU_LOANTAPE_WORK.LT003_ENTITY</v>
      </c>
      <c r="H441" s="32"/>
      <c r="I441" s="32"/>
      <c r="J441" s="32" t="str">
        <f>IF(VLOOKUP(B441,'0. Instruções'!$C$27:$G$32,5,FALSE)=0,
"(SELECT "&amp;VLOOKUP(B441,'0. Instruções'!$C$27:$G$32,4,FALSE)&amp;" AS CHAVE_IT, "&amp;C441&amp;" AS CAMPO_IT FROM "&amp;E441&amp;" WHERE "&amp;'0. Instruções'!$D$43&amp;")X",
"(SELECT "&amp;VLOOKUP(B441,'0. Instruções'!$C$27:$G$32,4,FALSE)&amp;" AS CHAVE_IT1, "&amp;VLOOKUP(B441,'0. Instruções'!$C$27:$G$32,5,FALSE)&amp;" AS CHAVE_IT2, "&amp;C441&amp;" AS CAMPO_IT FROM "&amp;E441&amp;" WHERE "&amp;'0. Instruções'!$D$43&amp;")X")</f>
        <v>(SELECT entty_id AS CHAVE_IT, dbt_rpymnt_cpcty_ttl AS CAMPO_IT FROM CD_LOAN_TAPES_BCE.LT003_ENTITY WHERE ref_date='${ref_date}' AND nome_perimetro='Individual Local' AND segmento='ESTR' AND ambito='PM' AND entidade='00100')X</v>
      </c>
      <c r="K441" s="32" t="str">
        <f>IF(VLOOKUP(B441,'0. Instruções'!$C$27:$G$32,5,FALSE)=0,
"(SELECT "&amp;VLOOKUP(B441,'0. Instruções'!$C$27:$G$32,4,FALSE)&amp;" AS CHAVE_SIMUL, "&amp;C441&amp;" AS CAMPO_SIMUL FROM "&amp;F441&amp;" WHERE "&amp;'0. Instruções'!$D$42&amp;")Y",
"(SELECT "&amp;VLOOKUP(B441,'0. Instruções'!$C$27:$G$32,4,FALSE)&amp;" AS CHAVE_SIMUL1, "&amp;VLOOKUP(B441,'0. Instruções'!$C$27:$G$32,5,FALSE)&amp;" AS CHAVE_SIMUL2, "&amp;C441&amp;" AS CAMPO_SIMUL FROM "&amp;F441&amp;" WHERE "&amp;'0. Instruções'!$D$42&amp;")Y")</f>
        <v>(SELECT entty_id AS CHAVE_SIMUL, dbt_rpymnt_cpcty_ttl AS CAMPO_SIMUL FROM BU_LOANTAPE_WORK.LT003_ENTITY WHERE ref_date='${ref_date}' AND nome_perimetro='Individual Local' AND segmento='ESTR' AND ambito='PM' AND entidade='00100')Y</v>
      </c>
      <c r="L441" s="32" t="str">
        <f>IF(VLOOKUP(B441,'0. Instruções'!$C$27:$G$32,5,FALSE)=0,
"ON X.CHAVE_IT=Y.CHAVE_SIMUL",
"ON X.CHAVE_IT1=Y.CHAVE_SIMUL1 AND X.CHAVE_IT2=Y.CHAVE_SIMUL2")</f>
        <v>ON X.CHAVE_IT=Y.CHAVE_SIMUL</v>
      </c>
      <c r="M441" s="32" t="str">
        <f>+IF(D441="Coerência",+IF(LEFT(H441,5)="FLOAT","SELECT '"&amp;UPPER(B441)&amp;"' AS TABELA, '"&amp;UPPER(D441)&amp;"' AS TIPOLOGIA_TESTE,'"&amp;E441&amp;"' AS TABELA_LT,'"&amp;F441&amp;"' AS TABELA_SIMUL,'"&amp;C441&amp;"'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"&amp;J441&amp;" INNER JOIN "&amp;K441&amp;" "&amp;L441,"SELECT '"&amp;UPPER(B441)&amp;"' AS TABELA, '"&amp;UPPER(D441)&amp;"' AS TIPOLOGIA_TESTE,'"&amp;E441&amp;"' AS TABELA_LT,'"&amp;F441&amp;"' AS TABELA_SIMUL,'"&amp;C441&amp;"'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"&amp;J441&amp;" INNER JOIN "&amp;K441&amp;" "&amp;L441))</f>
        <v>SELECT 'ENTITY' AS TABELA, 'COERÊNCIA' AS TIPOLOGIA_TESTE,'CD_LOAN_TAPES_BCE.LT003_ENTITY' AS TABELA_LT,'BU_LOANTAPE_WORK.LT003_ENTITY' AS TABELA_SIMUL,'dbt_rpymnt_cpcty_ttl'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dbt_rpymnt_cpcty_ttl AS CAMPO_IT FROM CD_LOAN_TAPES_BCE.LT003_ENTITY WHERE ref_date='${ref_date}' AND nome_perimetro='Individual Local' AND segmento='ESTR' AND ambito='PM' AND entidade='00100')X INNER JOIN (SELECT entty_id AS CHAVE_SIMUL, dbt_rpymnt_cpcty_ttl AS CAMPO_SIMUL FROM BU_LOANTAPE_WORK.LT003_ENTITY WHERE ref_date='${ref_date}' AND nome_perimetro='Individual Local' AND segmento='ESTR' AND ambito='PM' AND entidade='00100')Y ON X.CHAVE_IT=Y.CHAVE_SIMUL</v>
      </c>
      <c r="N441" s="33" t="str">
        <f t="shared" si="15"/>
        <v>UNION ALL SELECT 'ENTITY' AS TABELA, 'COERÊNCIA' AS TIPOLOGIA_TESTE,'CD_LOAN_TAPES_BCE.LT003_ENTITY' AS TABELA_LT,'BU_LOANTAPE_WORK.LT003_ENTITY' AS TABELA_SIMUL,'dbt_rpymnt_cpcty_ttl'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dbt_rpymnt_cpcty_ttl AS CAMPO_IT FROM CD_LOAN_TAPES_BCE.LT003_ENTITY WHERE ref_date='${ref_date}' AND nome_perimetro='Individual Local' AND segmento='ESTR' AND ambito='PM' AND entidade='00100')X INNER JOIN (SELECT entty_id AS CHAVE_SIMUL, dbt_rpymnt_cpcty_ttl AS CAMPO_SIMUL FROM BU_LOANTAPE_WORK.LT003_ENTITY WHERE ref_date='${ref_date}' AND nome_perimetro='Individual Local' AND segmento='ESTR' AND ambito='PM' AND entidade='00100')Y ON X.CHAVE_IT=Y.CHAVE_SIMUL</v>
      </c>
      <c r="O441" s="35" t="s">
        <v>35</v>
      </c>
    </row>
    <row r="442" spans="1:15">
      <c r="A442" s="57" t="str">
        <f t="shared" si="14"/>
        <v>Entitydbt_srvc_rt</v>
      </c>
      <c r="B442" s="32" t="s">
        <v>60</v>
      </c>
      <c r="C442" s="32" t="s">
        <v>575</v>
      </c>
      <c r="D442" s="32" t="s">
        <v>5</v>
      </c>
      <c r="E442" s="32" t="str">
        <f>+UPPER('0. Instruções'!$D$35&amp;"."&amp;VLOOKUP(B442,'0. Instruções'!$C$27:$D$32,2,FALSE))</f>
        <v>CD_LOAN_TAPES_BCE.LT003_ENTITY</v>
      </c>
      <c r="F442" s="32" t="str">
        <f>+UPPER('0. Instruções'!$D$36&amp;"."&amp;VLOOKUP(B442,'0. Instruções'!$C$27:$E$32,3,FALSE))</f>
        <v>BU_LOANTAPE_WORK.LT003_ENTITY</v>
      </c>
      <c r="H442" s="32"/>
      <c r="I442" s="32"/>
      <c r="J442" s="32" t="str">
        <f>IF(VLOOKUP(B442,'0. Instruções'!$C$27:$G$32,5,FALSE)=0,
"(SELECT "&amp;VLOOKUP(B442,'0. Instruções'!$C$27:$G$32,4,FALSE)&amp;" AS CHAVE_IT, "&amp;C442&amp;" AS CAMPO_IT FROM "&amp;E442&amp;" WHERE "&amp;'0. Instruções'!$D$43&amp;")X",
"(SELECT "&amp;VLOOKUP(B442,'0. Instruções'!$C$27:$G$32,4,FALSE)&amp;" AS CHAVE_IT1, "&amp;VLOOKUP(B442,'0. Instruções'!$C$27:$G$32,5,FALSE)&amp;" AS CHAVE_IT2, "&amp;C442&amp;" AS CAMPO_IT FROM "&amp;E442&amp;" WHERE "&amp;'0. Instruções'!$D$43&amp;")X")</f>
        <v>(SELECT entty_id AS CHAVE_IT, dbt_srvc_rt AS CAMPO_IT FROM CD_LOAN_TAPES_BCE.LT003_ENTITY WHERE ref_date='${ref_date}' AND nome_perimetro='Individual Local' AND segmento='ESTR' AND ambito='PM' AND entidade='00100')X</v>
      </c>
      <c r="K442" s="32" t="str">
        <f>IF(VLOOKUP(B442,'0. Instruções'!$C$27:$G$32,5,FALSE)=0,
"(SELECT "&amp;VLOOKUP(B442,'0. Instruções'!$C$27:$G$32,4,FALSE)&amp;" AS CHAVE_SIMUL, "&amp;C442&amp;" AS CAMPO_SIMUL FROM "&amp;F442&amp;" WHERE "&amp;'0. Instruções'!$D$42&amp;")Y",
"(SELECT "&amp;VLOOKUP(B442,'0. Instruções'!$C$27:$G$32,4,FALSE)&amp;" AS CHAVE_SIMUL1, "&amp;VLOOKUP(B442,'0. Instruções'!$C$27:$G$32,5,FALSE)&amp;" AS CHAVE_SIMUL2, "&amp;C442&amp;" AS CAMPO_SIMUL FROM "&amp;F442&amp;" WHERE "&amp;'0. Instruções'!$D$42&amp;")Y")</f>
        <v>(SELECT entty_id AS CHAVE_SIMUL, dbt_srvc_rt AS CAMPO_SIMUL FROM BU_LOANTAPE_WORK.LT003_ENTITY WHERE ref_date='${ref_date}' AND nome_perimetro='Individual Local' AND segmento='ESTR' AND ambito='PM' AND entidade='00100')Y</v>
      </c>
      <c r="L442" s="32" t="str">
        <f>IF(VLOOKUP(B442,'0. Instruções'!$C$27:$G$32,5,FALSE)=0,
"ON X.CHAVE_IT=Y.CHAVE_SIMUL",
"ON X.CHAVE_IT1=Y.CHAVE_SIMUL1 AND X.CHAVE_IT2=Y.CHAVE_SIMUL2")</f>
        <v>ON X.CHAVE_IT=Y.CHAVE_SIMUL</v>
      </c>
      <c r="M442" s="32" t="str">
        <f>+IF(D442="Coerência",+IF(LEFT(H442,5)="FLOAT","SELECT '"&amp;UPPER(B442)&amp;"' AS TABELA, '"&amp;UPPER(D442)&amp;"' AS TIPOLOGIA_TESTE,'"&amp;E442&amp;"' AS TABELA_LT,'"&amp;F442&amp;"' AS TABELA_SIMUL,'"&amp;C442&amp;"'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"&amp;J442&amp;" INNER JOIN "&amp;K442&amp;" "&amp;L442,"SELECT '"&amp;UPPER(B442)&amp;"' AS TABELA, '"&amp;UPPER(D442)&amp;"' AS TIPOLOGIA_TESTE,'"&amp;E442&amp;"' AS TABELA_LT,'"&amp;F442&amp;"' AS TABELA_SIMUL,'"&amp;C442&amp;"'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"&amp;J442&amp;" INNER JOIN "&amp;K442&amp;" "&amp;L442))</f>
        <v>SELECT 'ENTITY' AS TABELA, 'COERÊNCIA' AS TIPOLOGIA_TESTE,'CD_LOAN_TAPES_BCE.LT003_ENTITY' AS TABELA_LT,'BU_LOANTAPE_WORK.LT003_ENTITY' AS TABELA_SIMUL,'dbt_srvc_rt'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 AS CAMPO_IT FROM CD_LOAN_TAPES_BCE.LT003_ENTITY WHERE ref_date='${ref_date}' AND nome_perimetro='Individual Local' AND segmento='ESTR' AND ambito='PM' AND entidade='00100')X INNER JOIN (SELECT entty_id AS CHAVE_SIMUL, dbt_srvc_rt AS CAMPO_SIMUL FROM BU_LOANTAPE_WORK.LT003_ENTITY WHERE ref_date='${ref_date}' AND nome_perimetro='Individual Local' AND segmento='ESTR' AND ambito='PM' AND entidade='00100')Y ON X.CHAVE_IT=Y.CHAVE_SIMUL</v>
      </c>
      <c r="N442" s="33" t="str">
        <f t="shared" si="15"/>
        <v>UNION ALL SELECT 'ENTITY' AS TABELA, 'COERÊNCIA' AS TIPOLOGIA_TESTE,'CD_LOAN_TAPES_BCE.LT003_ENTITY' AS TABELA_LT,'BU_LOANTAPE_WORK.LT003_ENTITY' AS TABELA_SIMUL,'dbt_srvc_rt'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 AS CAMPO_IT FROM CD_LOAN_TAPES_BCE.LT003_ENTITY WHERE ref_date='${ref_date}' AND nome_perimetro='Individual Local' AND segmento='ESTR' AND ambito='PM' AND entidade='00100')X INNER JOIN (SELECT entty_id AS CHAVE_SIMUL, dbt_srvc_rt AS CAMPO_SIMUL FROM BU_LOANTAPE_WORK.LT003_ENTITY WHERE ref_date='${ref_date}' AND nome_perimetro='Individual Local' AND segmento='ESTR' AND ambito='PM' AND entidade='00100')Y ON X.CHAVE_IT=Y.CHAVE_SIMUL</v>
      </c>
      <c r="O442" s="35" t="s">
        <v>35</v>
      </c>
    </row>
    <row r="443" spans="1:15">
      <c r="A443" s="57" t="str">
        <f t="shared" si="14"/>
        <v>Entitydbt_srvc_rt_12m</v>
      </c>
      <c r="B443" s="32" t="s">
        <v>60</v>
      </c>
      <c r="C443" s="32" t="s">
        <v>576</v>
      </c>
      <c r="D443" s="32" t="s">
        <v>5</v>
      </c>
      <c r="E443" s="32" t="str">
        <f>+UPPER('0. Instruções'!$D$35&amp;"."&amp;VLOOKUP(B443,'0. Instruções'!$C$27:$D$32,2,FALSE))</f>
        <v>CD_LOAN_TAPES_BCE.LT003_ENTITY</v>
      </c>
      <c r="F443" s="32" t="str">
        <f>+UPPER('0. Instruções'!$D$36&amp;"."&amp;VLOOKUP(B443,'0. Instruções'!$C$27:$E$32,3,FALSE))</f>
        <v>BU_LOANTAPE_WORK.LT003_ENTITY</v>
      </c>
      <c r="H443" s="32"/>
      <c r="I443" s="32"/>
      <c r="J443" s="32" t="str">
        <f>IF(VLOOKUP(B443,'0. Instruções'!$C$27:$G$32,5,FALSE)=0,
"(SELECT "&amp;VLOOKUP(B443,'0. Instruções'!$C$27:$G$32,4,FALSE)&amp;" AS CHAVE_IT, "&amp;C443&amp;" AS CAMPO_IT FROM "&amp;E443&amp;" WHERE "&amp;'0. Instruções'!$D$43&amp;")X",
"(SELECT "&amp;VLOOKUP(B443,'0. Instruções'!$C$27:$G$32,4,FALSE)&amp;" AS CHAVE_IT1, "&amp;VLOOKUP(B443,'0. Instruções'!$C$27:$G$32,5,FALSE)&amp;" AS CHAVE_IT2, "&amp;C443&amp;" AS CAMPO_IT FROM "&amp;E443&amp;" WHERE "&amp;'0. Instruções'!$D$43&amp;")X")</f>
        <v>(SELECT entty_id AS CHAVE_IT, dbt_srvc_rt_12m AS CAMPO_IT FROM CD_LOAN_TAPES_BCE.LT003_ENTITY WHERE ref_date='${ref_date}' AND nome_perimetro='Individual Local' AND segmento='ESTR' AND ambito='PM' AND entidade='00100')X</v>
      </c>
      <c r="K443" s="32" t="str">
        <f>IF(VLOOKUP(B443,'0. Instruções'!$C$27:$G$32,5,FALSE)=0,
"(SELECT "&amp;VLOOKUP(B443,'0. Instruções'!$C$27:$G$32,4,FALSE)&amp;" AS CHAVE_SIMUL, "&amp;C443&amp;" AS CAMPO_SIMUL FROM "&amp;F443&amp;" WHERE "&amp;'0. Instruções'!$D$42&amp;")Y",
"(SELECT "&amp;VLOOKUP(B443,'0. Instruções'!$C$27:$G$32,4,FALSE)&amp;" AS CHAVE_SIMUL1, "&amp;VLOOKUP(B443,'0. Instruções'!$C$27:$G$32,5,FALSE)&amp;" AS CHAVE_SIMUL2, "&amp;C443&amp;" AS CAMPO_SIMUL FROM "&amp;F443&amp;" WHERE "&amp;'0. Instruções'!$D$42&amp;")Y")</f>
        <v>(SELECT entty_id AS CHAVE_SIMUL, dbt_srvc_rt_12m AS CAMPO_SIMUL FROM BU_LOANTAPE_WORK.LT003_ENTITY WHERE ref_date='${ref_date}' AND nome_perimetro='Individual Local' AND segmento='ESTR' AND ambito='PM' AND entidade='00100')Y</v>
      </c>
      <c r="L443" s="32" t="str">
        <f>IF(VLOOKUP(B443,'0. Instruções'!$C$27:$G$32,5,FALSE)=0,
"ON X.CHAVE_IT=Y.CHAVE_SIMUL",
"ON X.CHAVE_IT1=Y.CHAVE_SIMUL1 AND X.CHAVE_IT2=Y.CHAVE_SIMUL2")</f>
        <v>ON X.CHAVE_IT=Y.CHAVE_SIMUL</v>
      </c>
      <c r="M443" s="32" t="str">
        <f>+IF(D443="Coerência",+IF(LEFT(H443,5)="FLOAT","SELECT '"&amp;UPPER(B443)&amp;"' AS TABELA, '"&amp;UPPER(D443)&amp;"' AS TIPOLOGIA_TESTE,'"&amp;E443&amp;"' AS TABELA_LT,'"&amp;F443&amp;"' AS TABELA_SIMUL,'"&amp;C443&amp;"'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"&amp;J443&amp;" INNER JOIN "&amp;K443&amp;" "&amp;L443,"SELECT '"&amp;UPPER(B443)&amp;"' AS TABELA, '"&amp;UPPER(D443)&amp;"' AS TIPOLOGIA_TESTE,'"&amp;E443&amp;"' AS TABELA_LT,'"&amp;F443&amp;"' AS TABELA_SIMUL,'"&amp;C443&amp;"'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"&amp;J443&amp;" INNER JOIN "&amp;K443&amp;" "&amp;L443))</f>
        <v>SELECT 'ENTITY' AS TABELA, 'COERÊNCIA' AS TIPOLOGIA_TESTE,'CD_LOAN_TAPES_BCE.LT003_ENTITY' AS TABELA_LT,'BU_LOANTAPE_WORK.LT003_ENTITY' AS TABELA_SIMUL,'dbt_srvc_rt_12m'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dbt_srvc_rt_12m AS CAMPO_IT FROM CD_LOAN_TAPES_BCE.LT003_ENTITY WHERE ref_date='${ref_date}' AND nome_perimetro='Individual Local' AND segmento='ESTR' AND ambito='PM' AND entidade='00100')X INNER JOIN (SELECT entty_id AS CHAVE_SIMUL, dbt_srvc_rt_12m AS CAMPO_SIMUL FROM BU_LOANTAPE_WORK.LT003_ENTITY WHERE ref_date='${ref_date}' AND nome_perimetro='Individual Local' AND segmento='ESTR' AND ambito='PM' AND entidade='00100')Y ON X.CHAVE_IT=Y.CHAVE_SIMUL</v>
      </c>
      <c r="N443" s="33" t="str">
        <f t="shared" si="15"/>
        <v>UNION ALL SELECT 'ENTITY' AS TABELA, 'COERÊNCIA' AS TIPOLOGIA_TESTE,'CD_LOAN_TAPES_BCE.LT003_ENTITY' AS TABELA_LT,'BU_LOANTAPE_WORK.LT003_ENTITY' AS TABELA_SIMUL,'dbt_srvc_rt_12m'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dbt_srvc_rt_12m AS CAMPO_IT FROM CD_LOAN_TAPES_BCE.LT003_ENTITY WHERE ref_date='${ref_date}' AND nome_perimetro='Individual Local' AND segmento='ESTR' AND ambito='PM' AND entidade='00100')X INNER JOIN (SELECT entty_id AS CHAVE_SIMUL, dbt_srvc_rt_12m AS CAMPO_SIMUL FROM BU_LOANTAPE_WORK.LT003_ENTITY WHERE ref_date='${ref_date}' AND nome_perimetro='Individual Local' AND segmento='ESTR' AND ambito='PM' AND entidade='00100')Y ON X.CHAVE_IT=Y.CHAVE_SIMUL</v>
      </c>
      <c r="O443" s="35" t="s">
        <v>35</v>
      </c>
    </row>
    <row r="444" spans="1:15">
      <c r="A444" s="57" t="str">
        <f t="shared" si="14"/>
        <v>Entitypd_crr_rd</v>
      </c>
      <c r="B444" s="32" t="s">
        <v>60</v>
      </c>
      <c r="C444" s="32" t="s">
        <v>332</v>
      </c>
      <c r="D444" s="32" t="s">
        <v>5</v>
      </c>
      <c r="E444" s="32" t="str">
        <f>+UPPER('0. Instruções'!$D$35&amp;"."&amp;VLOOKUP(B444,'0. Instruções'!$C$27:$D$32,2,FALSE))</f>
        <v>CD_LOAN_TAPES_BCE.LT003_ENTITY</v>
      </c>
      <c r="F444" s="32" t="str">
        <f>+UPPER('0. Instruções'!$D$36&amp;"."&amp;VLOOKUP(B444,'0. Instruções'!$C$27:$E$32,3,FALSE))</f>
        <v>BU_LOANTAPE_WORK.LT003_ENTITY</v>
      </c>
      <c r="H444" s="32"/>
      <c r="I444" s="32"/>
      <c r="J444" s="32" t="str">
        <f>IF(VLOOKUP(B444,'0. Instruções'!$C$27:$G$32,5,FALSE)=0,
"(SELECT "&amp;VLOOKUP(B444,'0. Instruções'!$C$27:$G$32,4,FALSE)&amp;" AS CHAVE_IT, "&amp;C444&amp;" AS CAMPO_IT FROM "&amp;E444&amp;" WHERE "&amp;'0. Instruções'!$D$43&amp;")X",
"(SELECT "&amp;VLOOKUP(B444,'0. Instruções'!$C$27:$G$32,4,FALSE)&amp;" AS CHAVE_IT1, "&amp;VLOOKUP(B444,'0. Instruções'!$C$27:$G$32,5,FALSE)&amp;" AS CHAVE_IT2, "&amp;C444&amp;" AS CAMPO_IT FROM "&amp;E444&amp;" WHERE "&amp;'0. Instruções'!$D$43&amp;")X")</f>
        <v>(SELECT entty_id AS CHAVE_IT, pd_crr_rd AS CAMPO_IT FROM CD_LOAN_TAPES_BCE.LT003_ENTITY WHERE ref_date='${ref_date}' AND nome_perimetro='Individual Local' AND segmento='ESTR' AND ambito='PM' AND entidade='00100')X</v>
      </c>
      <c r="K444" s="32" t="str">
        <f>IF(VLOOKUP(B444,'0. Instruções'!$C$27:$G$32,5,FALSE)=0,
"(SELECT "&amp;VLOOKUP(B444,'0. Instruções'!$C$27:$G$32,4,FALSE)&amp;" AS CHAVE_SIMUL, "&amp;C444&amp;" AS CAMPO_SIMUL FROM "&amp;F444&amp;" WHERE "&amp;'0. Instruções'!$D$42&amp;")Y",
"(SELECT "&amp;VLOOKUP(B444,'0. Instruções'!$C$27:$G$32,4,FALSE)&amp;" AS CHAVE_SIMUL1, "&amp;VLOOKUP(B444,'0. Instruções'!$C$27:$G$32,5,FALSE)&amp;" AS CHAVE_SIMUL2, "&amp;C444&amp;" AS CAMPO_SIMUL FROM "&amp;F444&amp;" WHERE "&amp;'0. Instruções'!$D$42&amp;")Y")</f>
        <v>(SELECT entty_id AS CHAVE_SIMUL, pd_crr_rd AS CAMPO_SIMUL FROM BU_LOANTAPE_WORK.LT003_ENTITY WHERE ref_date='${ref_date}' AND nome_perimetro='Individual Local' AND segmento='ESTR' AND ambito='PM' AND entidade='00100')Y</v>
      </c>
      <c r="L444" s="32" t="str">
        <f>IF(VLOOKUP(B444,'0. Instruções'!$C$27:$G$32,5,FALSE)=0,
"ON X.CHAVE_IT=Y.CHAVE_SIMUL",
"ON X.CHAVE_IT1=Y.CHAVE_SIMUL1 AND X.CHAVE_IT2=Y.CHAVE_SIMUL2")</f>
        <v>ON X.CHAVE_IT=Y.CHAVE_SIMUL</v>
      </c>
      <c r="M444" s="32" t="str">
        <f>+IF(D444="Coerência",+IF(LEFT(H444,5)="FLOAT","SELECT '"&amp;UPPER(B444)&amp;"' AS TABELA, '"&amp;UPPER(D444)&amp;"' AS TIPOLOGIA_TESTE,'"&amp;E444&amp;"' AS TABELA_LT,'"&amp;F444&amp;"' AS TABELA_SIMUL,'"&amp;C444&amp;"'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"&amp;J444&amp;" INNER JOIN "&amp;K444&amp;" "&amp;L444,"SELECT '"&amp;UPPER(B444)&amp;"' AS TABELA, '"&amp;UPPER(D444)&amp;"' AS TIPOLOGIA_TESTE,'"&amp;E444&amp;"' AS TABELA_LT,'"&amp;F444&amp;"' AS TABELA_SIMUL,'"&amp;C444&amp;"'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"&amp;J444&amp;" INNER JOIN "&amp;K444&amp;" "&amp;L444))</f>
        <v>SELECT 'ENTITY' AS TABELA, 'COERÊNCIA' AS TIPOLOGIA_TESTE,'CD_LOAN_TAPES_BCE.LT003_ENTITY' AS TABELA_LT,'BU_LOANTAPE_WORK.LT003_ENTITY'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 AS CAMPO_IT FROM CD_LOAN_TAPES_BCE.LT003_ENTITY WHERE ref_date='${ref_date}' AND nome_perimetro='Individual Local' AND segmento='ESTR' AND ambito='PM' AND entidade='00100')X INNER JOIN (SELECT entty_id AS CHAVE_SIMUL, pd_crr_rd AS CAMPO_SIMUL FROM BU_LOANTAPE_WORK.LT003_ENTITY WHERE ref_date='${ref_date}' AND nome_perimetro='Individual Local' AND segmento='ESTR' AND ambito='PM' AND entidade='00100')Y ON X.CHAVE_IT=Y.CHAVE_SIMUL</v>
      </c>
      <c r="N444" s="33" t="str">
        <f t="shared" si="15"/>
        <v>UNION ALL SELECT 'ENTITY' AS TABELA, 'COERÊNCIA' AS TIPOLOGIA_TESTE,'CD_LOAN_TAPES_BCE.LT003_ENTITY' AS TABELA_LT,'BU_LOANTAPE_WORK.LT003_ENTITY' AS TABELA_SIMUL,'pd_crr_rd'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 AS CAMPO_IT FROM CD_LOAN_TAPES_BCE.LT003_ENTITY WHERE ref_date='${ref_date}' AND nome_perimetro='Individual Local' AND segmento='ESTR' AND ambito='PM' AND entidade='00100')X INNER JOIN (SELECT entty_id AS CHAVE_SIMUL, pd_crr_rd AS CAMPO_SIMUL FROM BU_LOANTAPE_WORK.LT003_ENTITY WHERE ref_date='${ref_date}' AND nome_perimetro='Individual Local' AND segmento='ESTR' AND ambito='PM' AND entidade='00100')Y ON X.CHAVE_IT=Y.CHAVE_SIMUL</v>
      </c>
      <c r="O444" s="35" t="s">
        <v>35</v>
      </c>
    </row>
    <row r="445" spans="1:15">
      <c r="A445" s="57" t="str">
        <f t="shared" si="14"/>
        <v>Entitypd_ifrs9_12m_rd</v>
      </c>
      <c r="B445" s="32" t="s">
        <v>60</v>
      </c>
      <c r="C445" s="32" t="s">
        <v>335</v>
      </c>
      <c r="D445" s="32" t="s">
        <v>5</v>
      </c>
      <c r="E445" s="32" t="str">
        <f>+UPPER('0. Instruções'!$D$35&amp;"."&amp;VLOOKUP(B445,'0. Instruções'!$C$27:$D$32,2,FALSE))</f>
        <v>CD_LOAN_TAPES_BCE.LT003_ENTITY</v>
      </c>
      <c r="F445" s="32" t="str">
        <f>+UPPER('0. Instruções'!$D$36&amp;"."&amp;VLOOKUP(B445,'0. Instruções'!$C$27:$E$32,3,FALSE))</f>
        <v>BU_LOANTAPE_WORK.LT003_ENTITY</v>
      </c>
      <c r="H445" s="32"/>
      <c r="I445" s="32"/>
      <c r="J445" s="32" t="str">
        <f>IF(VLOOKUP(B445,'0. Instruções'!$C$27:$G$32,5,FALSE)=0,
"(SELECT "&amp;VLOOKUP(B445,'0. Instruções'!$C$27:$G$32,4,FALSE)&amp;" AS CHAVE_IT, "&amp;C445&amp;" AS CAMPO_IT FROM "&amp;E445&amp;" WHERE "&amp;'0. Instruções'!$D$43&amp;")X",
"(SELECT "&amp;VLOOKUP(B445,'0. Instruções'!$C$27:$G$32,4,FALSE)&amp;" AS CHAVE_IT1, "&amp;VLOOKUP(B445,'0. Instruções'!$C$27:$G$32,5,FALSE)&amp;" AS CHAVE_IT2, "&amp;C445&amp;" AS CAMPO_IT FROM "&amp;E445&amp;" WHERE "&amp;'0. Instruções'!$D$43&amp;")X")</f>
        <v>(SELECT entty_id AS CHAVE_IT, pd_ifrs9_12m_rd AS CAMPO_IT FROM CD_LOAN_TAPES_BCE.LT003_ENTITY WHERE ref_date='${ref_date}' AND nome_perimetro='Individual Local' AND segmento='ESTR' AND ambito='PM' AND entidade='00100')X</v>
      </c>
      <c r="K445" s="32" t="str">
        <f>IF(VLOOKUP(B445,'0. Instruções'!$C$27:$G$32,5,FALSE)=0,
"(SELECT "&amp;VLOOKUP(B445,'0. Instruções'!$C$27:$G$32,4,FALSE)&amp;" AS CHAVE_SIMUL, "&amp;C445&amp;" AS CAMPO_SIMUL FROM "&amp;F445&amp;" WHERE "&amp;'0. Instruções'!$D$42&amp;")Y",
"(SELECT "&amp;VLOOKUP(B445,'0. Instruções'!$C$27:$G$32,4,FALSE)&amp;" AS CHAVE_SIMUL1, "&amp;VLOOKUP(B445,'0. Instruções'!$C$27:$G$32,5,FALSE)&amp;" AS CHAVE_SIMUL2, "&amp;C445&amp;" AS CAMPO_SIMUL FROM "&amp;F445&amp;" WHERE "&amp;'0. Instruções'!$D$42&amp;")Y")</f>
        <v>(SELECT entty_id AS CHAVE_SIMUL, pd_ifrs9_12m_rd AS CAMPO_SIMUL FROM BU_LOANTAPE_WORK.LT003_ENTITY WHERE ref_date='${ref_date}' AND nome_perimetro='Individual Local' AND segmento='ESTR' AND ambito='PM' AND entidade='00100')Y</v>
      </c>
      <c r="L445" s="32" t="str">
        <f>IF(VLOOKUP(B445,'0. Instruções'!$C$27:$G$32,5,FALSE)=0,
"ON X.CHAVE_IT=Y.CHAVE_SIMUL",
"ON X.CHAVE_IT1=Y.CHAVE_SIMUL1 AND X.CHAVE_IT2=Y.CHAVE_SIMUL2")</f>
        <v>ON X.CHAVE_IT=Y.CHAVE_SIMUL</v>
      </c>
      <c r="M445" s="32" t="str">
        <f>+IF(D445="Coerência",+IF(LEFT(H445,5)="FLOAT","SELECT '"&amp;UPPER(B445)&amp;"' AS TABELA, '"&amp;UPPER(D445)&amp;"' AS TIPOLOGIA_TESTE,'"&amp;E445&amp;"' AS TABELA_LT,'"&amp;F445&amp;"' AS TABELA_SIMUL,'"&amp;C445&amp;"'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"&amp;J445&amp;" INNER JOIN "&amp;K445&amp;" "&amp;L445,"SELECT '"&amp;UPPER(B445)&amp;"' AS TABELA, '"&amp;UPPER(D445)&amp;"' AS TIPOLOGIA_TESTE,'"&amp;E445&amp;"' AS TABELA_LT,'"&amp;F445&amp;"' AS TABELA_SIMUL,'"&amp;C445&amp;"'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"&amp;J445&amp;" INNER JOIN "&amp;K445&amp;" "&amp;L445))</f>
        <v>SELECT 'ENTITY' AS TABELA, 'COERÊNCIA' AS TIPOLOGIA_TESTE,'CD_LOAN_TAPES_BCE.LT003_ENTITY' AS TABELA_LT,'BU_LOANTAPE_WORK.LT003_ENTITY'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 AS CAMPO_IT FROM CD_LOAN_TAPES_BCE.LT003_ENTITY WHERE ref_date='${ref_date}' AND nome_perimetro='Individual Local' AND segmento='ESTR' AND ambito='PM' AND entidade='00100')X INNER JOIN (SELECT entty_id AS CHAVE_SIMUL, pd_ifrs9_12m_rd AS CAMPO_SIMUL FROM BU_LOANTAPE_WORK.LT003_ENTITY WHERE ref_date='${ref_date}' AND nome_perimetro='Individual Local' AND segmento='ESTR' AND ambito='PM' AND entidade='00100')Y ON X.CHAVE_IT=Y.CHAVE_SIMUL</v>
      </c>
      <c r="N445" s="33" t="str">
        <f t="shared" si="15"/>
        <v>UNION ALL SELECT 'ENTITY' AS TABELA, 'COERÊNCIA' AS TIPOLOGIA_TESTE,'CD_LOAN_TAPES_BCE.LT003_ENTITY' AS TABELA_LT,'BU_LOANTAPE_WORK.LT003_ENTITY' AS TABELA_SIMUL,'pd_ifrs9_12m_rd'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 AS CAMPO_IT FROM CD_LOAN_TAPES_BCE.LT003_ENTITY WHERE ref_date='${ref_date}' AND nome_perimetro='Individual Local' AND segmento='ESTR' AND ambito='PM' AND entidade='00100')X INNER JOIN (SELECT entty_id AS CHAVE_SIMUL, pd_ifrs9_12m_rd AS CAMPO_SIMUL FROM BU_LOANTAPE_WORK.LT003_ENTITY WHERE ref_date='${ref_date}' AND nome_perimetro='Individual Local' AND segmento='ESTR' AND ambito='PM' AND entidade='00100')Y ON X.CHAVE_IT=Y.CHAVE_SIMUL</v>
      </c>
      <c r="O445" s="35" t="s">
        <v>35</v>
      </c>
    </row>
    <row r="446" spans="1:15">
      <c r="A446" s="57" t="str">
        <f t="shared" si="14"/>
        <v>Entitypd_ifrs9_12m_rd_t1</v>
      </c>
      <c r="B446" s="32" t="s">
        <v>60</v>
      </c>
      <c r="C446" s="32" t="s">
        <v>336</v>
      </c>
      <c r="D446" s="32" t="s">
        <v>5</v>
      </c>
      <c r="E446" s="32" t="str">
        <f>+UPPER('0. Instruções'!$D$35&amp;"."&amp;VLOOKUP(B446,'0. Instruções'!$C$27:$D$32,2,FALSE))</f>
        <v>CD_LOAN_TAPES_BCE.LT003_ENTITY</v>
      </c>
      <c r="F446" s="32" t="str">
        <f>+UPPER('0. Instruções'!$D$36&amp;"."&amp;VLOOKUP(B446,'0. Instruções'!$C$27:$E$32,3,FALSE))</f>
        <v>BU_LOANTAPE_WORK.LT003_ENTITY</v>
      </c>
      <c r="H446" s="32"/>
      <c r="I446" s="32"/>
      <c r="J446" s="32" t="str">
        <f>IF(VLOOKUP(B446,'0. Instruções'!$C$27:$G$32,5,FALSE)=0,
"(SELECT "&amp;VLOOKUP(B446,'0. Instruções'!$C$27:$G$32,4,FALSE)&amp;" AS CHAVE_IT, "&amp;C446&amp;" AS CAMPO_IT FROM "&amp;E446&amp;" WHERE "&amp;'0. Instruções'!$D$43&amp;")X",
"(SELECT "&amp;VLOOKUP(B446,'0. Instruções'!$C$27:$G$32,4,FALSE)&amp;" AS CHAVE_IT1, "&amp;VLOOKUP(B446,'0. Instruções'!$C$27:$G$32,5,FALSE)&amp;" AS CHAVE_IT2, "&amp;C446&amp;" AS CAMPO_IT FROM "&amp;E446&amp;" WHERE "&amp;'0. Instruções'!$D$43&amp;")X")</f>
        <v>(SELECT entty_id AS CHAVE_IT, pd_ifrs9_12m_rd_t1 AS CAMPO_IT FROM CD_LOAN_TAPES_BCE.LT003_ENTITY WHERE ref_date='${ref_date}' AND nome_perimetro='Individual Local' AND segmento='ESTR' AND ambito='PM' AND entidade='00100')X</v>
      </c>
      <c r="K446" s="32" t="str">
        <f>IF(VLOOKUP(B446,'0. Instruções'!$C$27:$G$32,5,FALSE)=0,
"(SELECT "&amp;VLOOKUP(B446,'0. Instruções'!$C$27:$G$32,4,FALSE)&amp;" AS CHAVE_SIMUL, "&amp;C446&amp;" AS CAMPO_SIMUL FROM "&amp;F446&amp;" WHERE "&amp;'0. Instruções'!$D$42&amp;")Y",
"(SELECT "&amp;VLOOKUP(B446,'0. Instruções'!$C$27:$G$32,4,FALSE)&amp;" AS CHAVE_SIMUL1, "&amp;VLOOKUP(B446,'0. Instruções'!$C$27:$G$32,5,FALSE)&amp;" AS CHAVE_SIMUL2, "&amp;C446&amp;" AS CAMPO_SIMUL FROM "&amp;F446&amp;" WHERE "&amp;'0. Instruções'!$D$42&amp;")Y")</f>
        <v>(SELECT entty_id AS CHAVE_SIMUL, pd_ifrs9_12m_rd_t1 AS CAMPO_SIMUL FROM BU_LOANTAPE_WORK.LT003_ENTITY WHERE ref_date='${ref_date}' AND nome_perimetro='Individual Local' AND segmento='ESTR' AND ambito='PM' AND entidade='00100')Y</v>
      </c>
      <c r="L446" s="32" t="str">
        <f>IF(VLOOKUP(B446,'0. Instruções'!$C$27:$G$32,5,FALSE)=0,
"ON X.CHAVE_IT=Y.CHAVE_SIMUL",
"ON X.CHAVE_IT1=Y.CHAVE_SIMUL1 AND X.CHAVE_IT2=Y.CHAVE_SIMUL2")</f>
        <v>ON X.CHAVE_IT=Y.CHAVE_SIMUL</v>
      </c>
      <c r="M446" s="32" t="str">
        <f>+IF(D446="Coerência",+IF(LEFT(H446,5)="FLOAT","SELECT '"&amp;UPPER(B446)&amp;"' AS TABELA, '"&amp;UPPER(D446)&amp;"' AS TIPOLOGIA_TESTE,'"&amp;E446&amp;"' AS TABELA_LT,'"&amp;F446&amp;"' AS TABELA_SIMUL,'"&amp;C446&amp;"'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"&amp;J446&amp;" INNER JOIN "&amp;K446&amp;" "&amp;L446,"SELECT '"&amp;UPPER(B446)&amp;"' AS TABELA, '"&amp;UPPER(D446)&amp;"' AS TIPOLOGIA_TESTE,'"&amp;E446&amp;"' AS TABELA_LT,'"&amp;F446&amp;"' AS TABELA_SIMUL,'"&amp;C446&amp;"'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"&amp;J446&amp;" INNER JOIN "&amp;K446&amp;" "&amp;L446))</f>
        <v>SELECT 'ENTITY' AS TABELA, 'COERÊNCIA' AS TIPOLOGIA_TESTE,'CD_LOAN_TAPES_BCE.LT003_ENTITY' AS TABELA_LT,'BU_LOANTAPE_WORK.LT003_ENTITY'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pd_ifrs9_12m_rd_t1 AS CAMPO_IT FROM CD_LOAN_TAPES_BCE.LT003_ENTITY WHERE ref_date='${ref_date}' AND nome_perimetro='Individual Local' AND segmento='ESTR' AND ambito='PM' AND entidade='00100')X INNER JOIN (SELECT entty_id AS CHAVE_SIMUL, pd_ifrs9_12m_rd_t1 AS CAMPO_SIMUL FROM BU_LOANTAPE_WORK.LT003_ENTITY WHERE ref_date='${ref_date}' AND nome_perimetro='Individual Local' AND segmento='ESTR' AND ambito='PM' AND entidade='00100')Y ON X.CHAVE_IT=Y.CHAVE_SIMUL</v>
      </c>
      <c r="N446" s="33" t="str">
        <f t="shared" si="15"/>
        <v>UNION ALL SELECT 'ENTITY' AS TABELA, 'COERÊNCIA' AS TIPOLOGIA_TESTE,'CD_LOAN_TAPES_BCE.LT003_ENTITY' AS TABELA_LT,'BU_LOANTAPE_WORK.LT003_ENTITY' AS TABELA_SIMUL,'pd_ifrs9_12m_rd_t1'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pd_ifrs9_12m_rd_t1 AS CAMPO_IT FROM CD_LOAN_TAPES_BCE.LT003_ENTITY WHERE ref_date='${ref_date}' AND nome_perimetro='Individual Local' AND segmento='ESTR' AND ambito='PM' AND entidade='00100')X INNER JOIN (SELECT entty_id AS CHAVE_SIMUL, pd_ifrs9_12m_rd_t1 AS CAMPO_SIMUL FROM BU_LOANTAPE_WORK.LT003_ENTITY WHERE ref_date='${ref_date}' AND nome_perimetro='Individual Local' AND segmento='ESTR' AND ambito='PM' AND entidade='00100')Y ON X.CHAVE_IT=Y.CHAVE_SIMUL</v>
      </c>
      <c r="O446" s="35" t="s">
        <v>35</v>
      </c>
    </row>
    <row r="447" spans="1:15">
      <c r="A447" s="57" t="str">
        <f t="shared" si="14"/>
        <v>Entityadd_fld01</v>
      </c>
      <c r="B447" s="32" t="s">
        <v>60</v>
      </c>
      <c r="C447" s="32" t="s">
        <v>347</v>
      </c>
      <c r="D447" s="32" t="s">
        <v>5</v>
      </c>
      <c r="E447" s="32" t="str">
        <f>+UPPER('0. Instruções'!$D$35&amp;"."&amp;VLOOKUP(B447,'0. Instruções'!$C$27:$D$32,2,FALSE))</f>
        <v>CD_LOAN_TAPES_BCE.LT003_ENTITY</v>
      </c>
      <c r="F447" s="32" t="str">
        <f>+UPPER('0. Instruções'!$D$36&amp;"."&amp;VLOOKUP(B447,'0. Instruções'!$C$27:$E$32,3,FALSE))</f>
        <v>BU_LOANTAPE_WORK.LT003_ENTITY</v>
      </c>
      <c r="H447" s="32"/>
      <c r="I447" s="32"/>
      <c r="J447" s="32" t="str">
        <f>IF(VLOOKUP(B447,'0. Instruções'!$C$27:$G$32,5,FALSE)=0,
"(SELECT "&amp;VLOOKUP(B447,'0. Instruções'!$C$27:$G$32,4,FALSE)&amp;" AS CHAVE_IT, "&amp;C447&amp;" AS CAMPO_IT FROM "&amp;E447&amp;" WHERE "&amp;'0. Instruções'!$D$43&amp;")X",
"(SELECT "&amp;VLOOKUP(B447,'0. Instruções'!$C$27:$G$32,4,FALSE)&amp;" AS CHAVE_IT1, "&amp;VLOOKUP(B447,'0. Instruções'!$C$27:$G$32,5,FALSE)&amp;" AS CHAVE_IT2, "&amp;C447&amp;" AS CAMPO_IT FROM "&amp;E447&amp;" WHERE "&amp;'0. Instruções'!$D$43&amp;")X")</f>
        <v>(SELECT entty_id AS CHAVE_IT, add_fld01 AS CAMPO_IT FROM CD_LOAN_TAPES_BCE.LT003_ENTITY WHERE ref_date='${ref_date}' AND nome_perimetro='Individual Local' AND segmento='ESTR' AND ambito='PM' AND entidade='00100')X</v>
      </c>
      <c r="K447" s="32" t="str">
        <f>IF(VLOOKUP(B447,'0. Instruções'!$C$27:$G$32,5,FALSE)=0,
"(SELECT "&amp;VLOOKUP(B447,'0. Instruções'!$C$27:$G$32,4,FALSE)&amp;" AS CHAVE_SIMUL, "&amp;C447&amp;" AS CAMPO_SIMUL FROM "&amp;F447&amp;" WHERE "&amp;'0. Instruções'!$D$42&amp;")Y",
"(SELECT "&amp;VLOOKUP(B447,'0. Instruções'!$C$27:$G$32,4,FALSE)&amp;" AS CHAVE_SIMUL1, "&amp;VLOOKUP(B447,'0. Instruções'!$C$27:$G$32,5,FALSE)&amp;" AS CHAVE_SIMUL2, "&amp;C447&amp;" AS CAMPO_SIMUL FROM "&amp;F447&amp;" WHERE "&amp;'0. Instruções'!$D$42&amp;")Y")</f>
        <v>(SELECT entty_id AS CHAVE_SIMUL, add_fld01 AS CAMPO_SIMUL FROM BU_LOANTAPE_WORK.LT003_ENTITY WHERE ref_date='${ref_date}' AND nome_perimetro='Individual Local' AND segmento='ESTR' AND ambito='PM' AND entidade='00100')Y</v>
      </c>
      <c r="L447" s="32" t="str">
        <f>IF(VLOOKUP(B447,'0. Instruções'!$C$27:$G$32,5,FALSE)=0,
"ON X.CHAVE_IT=Y.CHAVE_SIMUL",
"ON X.CHAVE_IT1=Y.CHAVE_SIMUL1 AND X.CHAVE_IT2=Y.CHAVE_SIMUL2")</f>
        <v>ON X.CHAVE_IT=Y.CHAVE_SIMUL</v>
      </c>
      <c r="M447" s="32" t="str">
        <f>+IF(D447="Coerência",+IF(LEFT(H447,5)="FLOAT","SELECT '"&amp;UPPER(B447)&amp;"' AS TABELA, '"&amp;UPPER(D447)&amp;"' AS TIPOLOGIA_TESTE,'"&amp;E447&amp;"' AS TABELA_LT,'"&amp;F447&amp;"' AS TABELA_SIMUL,'"&amp;C447&amp;"'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"&amp;J447&amp;" INNER JOIN "&amp;K447&amp;" "&amp;L447,"SELECT '"&amp;UPPER(B447)&amp;"' AS TABELA, '"&amp;UPPER(D447)&amp;"' AS TIPOLOGIA_TESTE,'"&amp;E447&amp;"' AS TABELA_LT,'"&amp;F447&amp;"' AS TABELA_SIMUL,'"&amp;C447&amp;"'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"&amp;J447&amp;" INNER JOIN "&amp;K447&amp;" "&amp;L447))</f>
        <v>SELECT 'ENTITY' AS TABELA, 'COERÊNCIA' AS TIPOLOGIA_TESTE,'CD_LOAN_TAPES_BCE.LT003_ENTITY' AS TABELA_LT,'BU_LOANTAPE_WORK.LT003_ENTITY'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add_fld01 AS CAMPO_IT FROM CD_LOAN_TAPES_BCE.LT003_ENTITY WHERE ref_date='${ref_date}' AND nome_perimetro='Individual Local' AND segmento='ESTR' AND ambito='PM' AND entidade='00100')X INNER JOIN (SELECT entty_id AS CHAVE_SIMUL, add_fld01 AS CAMPO_SIMUL FROM BU_LOANTAPE_WORK.LT003_ENTITY WHERE ref_date='${ref_date}' AND nome_perimetro='Individual Local' AND segmento='ESTR' AND ambito='PM' AND entidade='00100')Y ON X.CHAVE_IT=Y.CHAVE_SIMUL</v>
      </c>
      <c r="N447" s="33" t="str">
        <f t="shared" si="15"/>
        <v>UNION ALL SELECT 'ENTITY' AS TABELA, 'COERÊNCIA' AS TIPOLOGIA_TESTE,'CD_LOAN_TAPES_BCE.LT003_ENTITY' AS TABELA_LT,'BU_LOANTAPE_WORK.LT003_ENTITY'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add_fld01 AS CAMPO_IT FROM CD_LOAN_TAPES_BCE.LT003_ENTITY WHERE ref_date='${ref_date}' AND nome_perimetro='Individual Local' AND segmento='ESTR' AND ambito='PM' AND entidade='00100')X INNER JOIN (SELECT entty_id AS CHAVE_SIMUL, add_fld01 AS CAMPO_SIMUL FROM BU_LOANTAPE_WORK.LT003_ENTITY WHERE ref_date='${ref_date}' AND nome_perimetro='Individual Local' AND segmento='ESTR' AND ambito='PM' AND entidade='00100')Y ON X.CHAVE_IT=Y.CHAVE_SIMUL</v>
      </c>
      <c r="O447" s="35" t="s">
        <v>35</v>
      </c>
    </row>
    <row r="448" spans="1:15">
      <c r="A448" s="57" t="str">
        <f t="shared" si="14"/>
        <v>Entityadd_fld02</v>
      </c>
      <c r="B448" s="32" t="s">
        <v>60</v>
      </c>
      <c r="C448" s="32" t="s">
        <v>348</v>
      </c>
      <c r="D448" s="32" t="s">
        <v>5</v>
      </c>
      <c r="E448" s="32" t="str">
        <f>+UPPER('0. Instruções'!$D$35&amp;"."&amp;VLOOKUP(B448,'0. Instruções'!$C$27:$D$32,2,FALSE))</f>
        <v>CD_LOAN_TAPES_BCE.LT003_ENTITY</v>
      </c>
      <c r="F448" s="32" t="str">
        <f>+UPPER('0. Instruções'!$D$36&amp;"."&amp;VLOOKUP(B448,'0. Instruções'!$C$27:$E$32,3,FALSE))</f>
        <v>BU_LOANTAPE_WORK.LT003_ENTITY</v>
      </c>
      <c r="H448" s="32"/>
      <c r="I448" s="32"/>
      <c r="J448" s="32" t="str">
        <f>IF(VLOOKUP(B448,'0. Instruções'!$C$27:$G$32,5,FALSE)=0,
"(SELECT "&amp;VLOOKUP(B448,'0. Instruções'!$C$27:$G$32,4,FALSE)&amp;" AS CHAVE_IT, "&amp;C448&amp;" AS CAMPO_IT FROM "&amp;E448&amp;" WHERE "&amp;'0. Instruções'!$D$43&amp;")X",
"(SELECT "&amp;VLOOKUP(B448,'0. Instruções'!$C$27:$G$32,4,FALSE)&amp;" AS CHAVE_IT1, "&amp;VLOOKUP(B448,'0. Instruções'!$C$27:$G$32,5,FALSE)&amp;" AS CHAVE_IT2, "&amp;C448&amp;" AS CAMPO_IT FROM "&amp;E448&amp;" WHERE "&amp;'0. Instruções'!$D$43&amp;")X")</f>
        <v>(SELECT entty_id AS CHAVE_IT, add_fld02 AS CAMPO_IT FROM CD_LOAN_TAPES_BCE.LT003_ENTITY WHERE ref_date='${ref_date}' AND nome_perimetro='Individual Local' AND segmento='ESTR' AND ambito='PM' AND entidade='00100')X</v>
      </c>
      <c r="K448" s="32" t="str">
        <f>IF(VLOOKUP(B448,'0. Instruções'!$C$27:$G$32,5,FALSE)=0,
"(SELECT "&amp;VLOOKUP(B448,'0. Instruções'!$C$27:$G$32,4,FALSE)&amp;" AS CHAVE_SIMUL, "&amp;C448&amp;" AS CAMPO_SIMUL FROM "&amp;F448&amp;" WHERE "&amp;'0. Instruções'!$D$42&amp;")Y",
"(SELECT "&amp;VLOOKUP(B448,'0. Instruções'!$C$27:$G$32,4,FALSE)&amp;" AS CHAVE_SIMUL1, "&amp;VLOOKUP(B448,'0. Instruções'!$C$27:$G$32,5,FALSE)&amp;" AS CHAVE_SIMUL2, "&amp;C448&amp;" AS CAMPO_SIMUL FROM "&amp;F448&amp;" WHERE "&amp;'0. Instruções'!$D$42&amp;")Y")</f>
        <v>(SELECT entty_id AS CHAVE_SIMUL, add_fld02 AS CAMPO_SIMUL FROM BU_LOANTAPE_WORK.LT003_ENTITY WHERE ref_date='${ref_date}' AND nome_perimetro='Individual Local' AND segmento='ESTR' AND ambito='PM' AND entidade='00100')Y</v>
      </c>
      <c r="L448" s="32" t="str">
        <f>IF(VLOOKUP(B448,'0. Instruções'!$C$27:$G$32,5,FALSE)=0,
"ON X.CHAVE_IT=Y.CHAVE_SIMUL",
"ON X.CHAVE_IT1=Y.CHAVE_SIMUL1 AND X.CHAVE_IT2=Y.CHAVE_SIMUL2")</f>
        <v>ON X.CHAVE_IT=Y.CHAVE_SIMUL</v>
      </c>
      <c r="M448" s="32" t="str">
        <f>+IF(D448="Coerência",+IF(LEFT(H448,5)="FLOAT","SELECT '"&amp;UPPER(B448)&amp;"' AS TABELA, '"&amp;UPPER(D448)&amp;"' AS TIPOLOGIA_TESTE,'"&amp;E448&amp;"' AS TABELA_LT,'"&amp;F448&amp;"' AS TABELA_SIMUL,'"&amp;C448&amp;"'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"&amp;J448&amp;" INNER JOIN "&amp;K448&amp;" "&amp;L448,"SELECT '"&amp;UPPER(B448)&amp;"' AS TABELA, '"&amp;UPPER(D448)&amp;"' AS TIPOLOGIA_TESTE,'"&amp;E448&amp;"' AS TABELA_LT,'"&amp;F448&amp;"' AS TABELA_SIMUL,'"&amp;C448&amp;"'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"&amp;J448&amp;" INNER JOIN "&amp;K448&amp;" "&amp;L448))</f>
        <v>SELECT 'ENTITY' AS TABELA, 'COERÊNCIA' AS TIPOLOGIA_TESTE,'CD_LOAN_TAPES_BCE.LT003_ENTITY' AS TABELA_LT,'BU_LOANTAPE_WORK.LT003_ENTITY'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add_fld02 AS CAMPO_IT FROM CD_LOAN_TAPES_BCE.LT003_ENTITY WHERE ref_date='${ref_date}' AND nome_perimetro='Individual Local' AND segmento='ESTR' AND ambito='PM' AND entidade='00100')X INNER JOIN (SELECT entty_id AS CHAVE_SIMUL, add_fld02 AS CAMPO_SIMUL FROM BU_LOANTAPE_WORK.LT003_ENTITY WHERE ref_date='${ref_date}' AND nome_perimetro='Individual Local' AND segmento='ESTR' AND ambito='PM' AND entidade='00100')Y ON X.CHAVE_IT=Y.CHAVE_SIMUL</v>
      </c>
      <c r="N448" s="33" t="str">
        <f t="shared" si="15"/>
        <v>UNION ALL SELECT 'ENTITY' AS TABELA, 'COERÊNCIA' AS TIPOLOGIA_TESTE,'CD_LOAN_TAPES_BCE.LT003_ENTITY' AS TABELA_LT,'BU_LOANTAPE_WORK.LT003_ENTITY'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add_fld02 AS CAMPO_IT FROM CD_LOAN_TAPES_BCE.LT003_ENTITY WHERE ref_date='${ref_date}' AND nome_perimetro='Individual Local' AND segmento='ESTR' AND ambito='PM' AND entidade='00100')X INNER JOIN (SELECT entty_id AS CHAVE_SIMUL, add_fld02 AS CAMPO_SIMUL FROM BU_LOANTAPE_WORK.LT003_ENTITY WHERE ref_date='${ref_date}' AND nome_perimetro='Individual Local' AND segmento='ESTR' AND ambito='PM' AND entidade='00100')Y ON X.CHAVE_IT=Y.CHAVE_SIMUL</v>
      </c>
      <c r="O448" s="35" t="s">
        <v>35</v>
      </c>
    </row>
    <row r="449" spans="1:15">
      <c r="A449" s="57" t="str">
        <f t="shared" si="14"/>
        <v>Entityadd_fld03</v>
      </c>
      <c r="B449" s="32" t="s">
        <v>60</v>
      </c>
      <c r="C449" s="32" t="s">
        <v>349</v>
      </c>
      <c r="D449" s="32" t="s">
        <v>5</v>
      </c>
      <c r="E449" s="32" t="str">
        <f>+UPPER('0. Instruções'!$D$35&amp;"."&amp;VLOOKUP(B449,'0. Instruções'!$C$27:$D$32,2,FALSE))</f>
        <v>CD_LOAN_TAPES_BCE.LT003_ENTITY</v>
      </c>
      <c r="F449" s="32" t="str">
        <f>+UPPER('0. Instruções'!$D$36&amp;"."&amp;VLOOKUP(B449,'0. Instruções'!$C$27:$E$32,3,FALSE))</f>
        <v>BU_LOANTAPE_WORK.LT003_ENTITY</v>
      </c>
      <c r="H449" s="32"/>
      <c r="I449" s="32"/>
      <c r="J449" s="32" t="str">
        <f>IF(VLOOKUP(B449,'0. Instruções'!$C$27:$G$32,5,FALSE)=0,
"(SELECT "&amp;VLOOKUP(B449,'0. Instruções'!$C$27:$G$32,4,FALSE)&amp;" AS CHAVE_IT, "&amp;C449&amp;" AS CAMPO_IT FROM "&amp;E449&amp;" WHERE "&amp;'0. Instruções'!$D$43&amp;")X",
"(SELECT "&amp;VLOOKUP(B449,'0. Instruções'!$C$27:$G$32,4,FALSE)&amp;" AS CHAVE_IT1, "&amp;VLOOKUP(B449,'0. Instruções'!$C$27:$G$32,5,FALSE)&amp;" AS CHAVE_IT2, "&amp;C449&amp;" AS CAMPO_IT FROM "&amp;E449&amp;" WHERE "&amp;'0. Instruções'!$D$43&amp;")X")</f>
        <v>(SELECT entty_id AS CHAVE_IT, add_fld03 AS CAMPO_IT FROM CD_LOAN_TAPES_BCE.LT003_ENTITY WHERE ref_date='${ref_date}' AND nome_perimetro='Individual Local' AND segmento='ESTR' AND ambito='PM' AND entidade='00100')X</v>
      </c>
      <c r="K449" s="32" t="str">
        <f>IF(VLOOKUP(B449,'0. Instruções'!$C$27:$G$32,5,FALSE)=0,
"(SELECT "&amp;VLOOKUP(B449,'0. Instruções'!$C$27:$G$32,4,FALSE)&amp;" AS CHAVE_SIMUL, "&amp;C449&amp;" AS CAMPO_SIMUL FROM "&amp;F449&amp;" WHERE "&amp;'0. Instruções'!$D$42&amp;")Y",
"(SELECT "&amp;VLOOKUP(B449,'0. Instruções'!$C$27:$G$32,4,FALSE)&amp;" AS CHAVE_SIMUL1, "&amp;VLOOKUP(B449,'0. Instruções'!$C$27:$G$32,5,FALSE)&amp;" AS CHAVE_SIMUL2, "&amp;C449&amp;" AS CAMPO_SIMUL FROM "&amp;F449&amp;" WHERE "&amp;'0. Instruções'!$D$42&amp;")Y")</f>
        <v>(SELECT entty_id AS CHAVE_SIMUL, add_fld03 AS CAMPO_SIMUL FROM BU_LOANTAPE_WORK.LT003_ENTITY WHERE ref_date='${ref_date}' AND nome_perimetro='Individual Local' AND segmento='ESTR' AND ambito='PM' AND entidade='00100')Y</v>
      </c>
      <c r="L449" s="32" t="str">
        <f>IF(VLOOKUP(B449,'0. Instruções'!$C$27:$G$32,5,FALSE)=0,
"ON X.CHAVE_IT=Y.CHAVE_SIMUL",
"ON X.CHAVE_IT1=Y.CHAVE_SIMUL1 AND X.CHAVE_IT2=Y.CHAVE_SIMUL2")</f>
        <v>ON X.CHAVE_IT=Y.CHAVE_SIMUL</v>
      </c>
      <c r="M449" s="32" t="str">
        <f>+IF(D449="Coerência",+IF(LEFT(H449,5)="FLOAT","SELECT '"&amp;UPPER(B449)&amp;"' AS TABELA, '"&amp;UPPER(D449)&amp;"' AS TIPOLOGIA_TESTE,'"&amp;E449&amp;"' AS TABELA_LT,'"&amp;F449&amp;"' AS TABELA_SIMUL,'"&amp;C449&amp;"'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"&amp;J449&amp;" INNER JOIN "&amp;K449&amp;" "&amp;L449,"SELECT '"&amp;UPPER(B449)&amp;"' AS TABELA, '"&amp;UPPER(D449)&amp;"' AS TIPOLOGIA_TESTE,'"&amp;E449&amp;"' AS TABELA_LT,'"&amp;F449&amp;"' AS TABELA_SIMUL,'"&amp;C449&amp;"'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"&amp;J449&amp;" INNER JOIN "&amp;K449&amp;" "&amp;L449))</f>
        <v>SELECT 'ENTITY' AS TABELA, 'COERÊNCIA' AS TIPOLOGIA_TESTE,'CD_LOAN_TAPES_BCE.LT003_ENTITY' AS TABELA_LT,'BU_LOANTAPE_WORK.LT003_ENTITY'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add_fld03 AS CAMPO_IT FROM CD_LOAN_TAPES_BCE.LT003_ENTITY WHERE ref_date='${ref_date}' AND nome_perimetro='Individual Local' AND segmento='ESTR' AND ambito='PM' AND entidade='00100')X INNER JOIN (SELECT entty_id AS CHAVE_SIMUL, add_fld03 AS CAMPO_SIMUL FROM BU_LOANTAPE_WORK.LT003_ENTITY WHERE ref_date='${ref_date}' AND nome_perimetro='Individual Local' AND segmento='ESTR' AND ambito='PM' AND entidade='00100')Y ON X.CHAVE_IT=Y.CHAVE_SIMUL</v>
      </c>
      <c r="N449" s="33" t="str">
        <f t="shared" si="15"/>
        <v>UNION ALL SELECT 'ENTITY' AS TABELA, 'COERÊNCIA' AS TIPOLOGIA_TESTE,'CD_LOAN_TAPES_BCE.LT003_ENTITY' AS TABELA_LT,'BU_LOANTAPE_WORK.LT003_ENTITY'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add_fld03 AS CAMPO_IT FROM CD_LOAN_TAPES_BCE.LT003_ENTITY WHERE ref_date='${ref_date}' AND nome_perimetro='Individual Local' AND segmento='ESTR' AND ambito='PM' AND entidade='00100')X INNER JOIN (SELECT entty_id AS CHAVE_SIMUL, add_fld03 AS CAMPO_SIMUL FROM BU_LOANTAPE_WORK.LT003_ENTITY WHERE ref_date='${ref_date}' AND nome_perimetro='Individual Local' AND segmento='ESTR' AND ambito='PM' AND entidade='00100')Y ON X.CHAVE_IT=Y.CHAVE_SIMUL</v>
      </c>
      <c r="O449" s="35" t="s">
        <v>35</v>
      </c>
    </row>
    <row r="450" spans="1:15">
      <c r="A450" s="57" t="str">
        <f t="shared" si="14"/>
        <v>Entityadd_fld04</v>
      </c>
      <c r="B450" s="32" t="s">
        <v>60</v>
      </c>
      <c r="C450" s="32" t="s">
        <v>350</v>
      </c>
      <c r="D450" s="32" t="s">
        <v>5</v>
      </c>
      <c r="E450" s="32" t="str">
        <f>+UPPER('0. Instruções'!$D$35&amp;"."&amp;VLOOKUP(B450,'0. Instruções'!$C$27:$D$32,2,FALSE))</f>
        <v>CD_LOAN_TAPES_BCE.LT003_ENTITY</v>
      </c>
      <c r="F450" s="32" t="str">
        <f>+UPPER('0. Instruções'!$D$36&amp;"."&amp;VLOOKUP(B450,'0. Instruções'!$C$27:$E$32,3,FALSE))</f>
        <v>BU_LOANTAPE_WORK.LT003_ENTITY</v>
      </c>
      <c r="H450" s="32"/>
      <c r="I450" s="32"/>
      <c r="J450" s="32" t="str">
        <f>IF(VLOOKUP(B450,'0. Instruções'!$C$27:$G$32,5,FALSE)=0,
"(SELECT "&amp;VLOOKUP(B450,'0. Instruções'!$C$27:$G$32,4,FALSE)&amp;" AS CHAVE_IT, "&amp;C450&amp;" AS CAMPO_IT FROM "&amp;E450&amp;" WHERE "&amp;'0. Instruções'!$D$43&amp;")X",
"(SELECT "&amp;VLOOKUP(B450,'0. Instruções'!$C$27:$G$32,4,FALSE)&amp;" AS CHAVE_IT1, "&amp;VLOOKUP(B450,'0. Instruções'!$C$27:$G$32,5,FALSE)&amp;" AS CHAVE_IT2, "&amp;C450&amp;" AS CAMPO_IT FROM "&amp;E450&amp;" WHERE "&amp;'0. Instruções'!$D$43&amp;")X")</f>
        <v>(SELECT entty_id AS CHAVE_IT, add_fld04 AS CAMPO_IT FROM CD_LOAN_TAPES_BCE.LT003_ENTITY WHERE ref_date='${ref_date}' AND nome_perimetro='Individual Local' AND segmento='ESTR' AND ambito='PM' AND entidade='00100')X</v>
      </c>
      <c r="K450" s="32" t="str">
        <f>IF(VLOOKUP(B450,'0. Instruções'!$C$27:$G$32,5,FALSE)=0,
"(SELECT "&amp;VLOOKUP(B450,'0. Instruções'!$C$27:$G$32,4,FALSE)&amp;" AS CHAVE_SIMUL, "&amp;C450&amp;" AS CAMPO_SIMUL FROM "&amp;F450&amp;" WHERE "&amp;'0. Instruções'!$D$42&amp;")Y",
"(SELECT "&amp;VLOOKUP(B450,'0. Instruções'!$C$27:$G$32,4,FALSE)&amp;" AS CHAVE_SIMUL1, "&amp;VLOOKUP(B450,'0. Instruções'!$C$27:$G$32,5,FALSE)&amp;" AS CHAVE_SIMUL2, "&amp;C450&amp;" AS CAMPO_SIMUL FROM "&amp;F450&amp;" WHERE "&amp;'0. Instruções'!$D$42&amp;")Y")</f>
        <v>(SELECT entty_id AS CHAVE_SIMUL, add_fld04 AS CAMPO_SIMUL FROM BU_LOANTAPE_WORK.LT003_ENTITY WHERE ref_date='${ref_date}' AND nome_perimetro='Individual Local' AND segmento='ESTR' AND ambito='PM' AND entidade='00100')Y</v>
      </c>
      <c r="L450" s="32" t="str">
        <f>IF(VLOOKUP(B450,'0. Instruções'!$C$27:$G$32,5,FALSE)=0,
"ON X.CHAVE_IT=Y.CHAVE_SIMUL",
"ON X.CHAVE_IT1=Y.CHAVE_SIMUL1 AND X.CHAVE_IT2=Y.CHAVE_SIMUL2")</f>
        <v>ON X.CHAVE_IT=Y.CHAVE_SIMUL</v>
      </c>
      <c r="M450" s="32" t="str">
        <f>+IF(D450="Coerência",+IF(LEFT(H450,5)="FLOAT","SELECT '"&amp;UPPER(B450)&amp;"' AS TABELA, '"&amp;UPPER(D450)&amp;"' AS TIPOLOGIA_TESTE,'"&amp;E450&amp;"' AS TABELA_LT,'"&amp;F450&amp;"' AS TABELA_SIMUL,'"&amp;C450&amp;"'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"&amp;J450&amp;" INNER JOIN "&amp;K450&amp;" "&amp;L450,"SELECT '"&amp;UPPER(B450)&amp;"' AS TABELA, '"&amp;UPPER(D450)&amp;"' AS TIPOLOGIA_TESTE,'"&amp;E450&amp;"' AS TABELA_LT,'"&amp;F450&amp;"' AS TABELA_SIMUL,'"&amp;C450&amp;"'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"&amp;J450&amp;" INNER JOIN "&amp;K450&amp;" "&amp;L450))</f>
        <v>SELECT 'ENTITY' AS TABELA, 'COERÊNCIA' AS TIPOLOGIA_TESTE,'CD_LOAN_TAPES_BCE.LT003_ENTITY' AS TABELA_LT,'BU_LOANTAPE_WORK.LT003_ENTITY'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add_fld04 AS CAMPO_IT FROM CD_LOAN_TAPES_BCE.LT003_ENTITY WHERE ref_date='${ref_date}' AND nome_perimetro='Individual Local' AND segmento='ESTR' AND ambito='PM' AND entidade='00100')X INNER JOIN (SELECT entty_id AS CHAVE_SIMUL, add_fld04 AS CAMPO_SIMUL FROM BU_LOANTAPE_WORK.LT003_ENTITY WHERE ref_date='${ref_date}' AND nome_perimetro='Individual Local' AND segmento='ESTR' AND ambito='PM' AND entidade='00100')Y ON X.CHAVE_IT=Y.CHAVE_SIMUL</v>
      </c>
      <c r="N450" s="33" t="str">
        <f t="shared" si="15"/>
        <v>UNION ALL SELECT 'ENTITY' AS TABELA, 'COERÊNCIA' AS TIPOLOGIA_TESTE,'CD_LOAN_TAPES_BCE.LT003_ENTITY' AS TABELA_LT,'BU_LOANTAPE_WORK.LT003_ENTITY'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add_fld04 AS CAMPO_IT FROM CD_LOAN_TAPES_BCE.LT003_ENTITY WHERE ref_date='${ref_date}' AND nome_perimetro='Individual Local' AND segmento='ESTR' AND ambito='PM' AND entidade='00100')X INNER JOIN (SELECT entty_id AS CHAVE_SIMUL, add_fld04 AS CAMPO_SIMUL FROM BU_LOANTAPE_WORK.LT003_ENTITY WHERE ref_date='${ref_date}' AND nome_perimetro='Individual Local' AND segmento='ESTR' AND ambito='PM' AND entidade='00100')Y ON X.CHAVE_IT=Y.CHAVE_SIMUL</v>
      </c>
      <c r="O450" s="35" t="s">
        <v>35</v>
      </c>
    </row>
    <row r="451" spans="1:15">
      <c r="A451" s="57" t="str">
        <f t="shared" si="14"/>
        <v>Entityadd_fld05</v>
      </c>
      <c r="B451" s="32" t="s">
        <v>60</v>
      </c>
      <c r="C451" s="32" t="s">
        <v>351</v>
      </c>
      <c r="D451" s="32" t="s">
        <v>5</v>
      </c>
      <c r="E451" s="32" t="str">
        <f>+UPPER('0. Instruções'!$D$35&amp;"."&amp;VLOOKUP(B451,'0. Instruções'!$C$27:$D$32,2,FALSE))</f>
        <v>CD_LOAN_TAPES_BCE.LT003_ENTITY</v>
      </c>
      <c r="F451" s="32" t="str">
        <f>+UPPER('0. Instruções'!$D$36&amp;"."&amp;VLOOKUP(B451,'0. Instruções'!$C$27:$E$32,3,FALSE))</f>
        <v>BU_LOANTAPE_WORK.LT003_ENTITY</v>
      </c>
      <c r="H451" s="32"/>
      <c r="I451" s="32"/>
      <c r="J451" s="32" t="str">
        <f>IF(VLOOKUP(B451,'0. Instruções'!$C$27:$G$32,5,FALSE)=0,
"(SELECT "&amp;VLOOKUP(B451,'0. Instruções'!$C$27:$G$32,4,FALSE)&amp;" AS CHAVE_IT, "&amp;C451&amp;" AS CAMPO_IT FROM "&amp;E451&amp;" WHERE "&amp;'0. Instruções'!$D$43&amp;")X",
"(SELECT "&amp;VLOOKUP(B451,'0. Instruções'!$C$27:$G$32,4,FALSE)&amp;" AS CHAVE_IT1, "&amp;VLOOKUP(B451,'0. Instruções'!$C$27:$G$32,5,FALSE)&amp;" AS CHAVE_IT2, "&amp;C451&amp;" AS CAMPO_IT FROM "&amp;E451&amp;" WHERE "&amp;'0. Instruções'!$D$43&amp;")X")</f>
        <v>(SELECT entty_id AS CHAVE_IT, add_fld05 AS CAMPO_IT FROM CD_LOAN_TAPES_BCE.LT003_ENTITY WHERE ref_date='${ref_date}' AND nome_perimetro='Individual Local' AND segmento='ESTR' AND ambito='PM' AND entidade='00100')X</v>
      </c>
      <c r="K451" s="32" t="str">
        <f>IF(VLOOKUP(B451,'0. Instruções'!$C$27:$G$32,5,FALSE)=0,
"(SELECT "&amp;VLOOKUP(B451,'0. Instruções'!$C$27:$G$32,4,FALSE)&amp;" AS CHAVE_SIMUL, "&amp;C451&amp;" AS CAMPO_SIMUL FROM "&amp;F451&amp;" WHERE "&amp;'0. Instruções'!$D$42&amp;")Y",
"(SELECT "&amp;VLOOKUP(B451,'0. Instruções'!$C$27:$G$32,4,FALSE)&amp;" AS CHAVE_SIMUL1, "&amp;VLOOKUP(B451,'0. Instruções'!$C$27:$G$32,5,FALSE)&amp;" AS CHAVE_SIMUL2, "&amp;C451&amp;" AS CAMPO_SIMUL FROM "&amp;F451&amp;" WHERE "&amp;'0. Instruções'!$D$42&amp;")Y")</f>
        <v>(SELECT entty_id AS CHAVE_SIMUL, add_fld05 AS CAMPO_SIMUL FROM BU_LOANTAPE_WORK.LT003_ENTITY WHERE ref_date='${ref_date}' AND nome_perimetro='Individual Local' AND segmento='ESTR' AND ambito='PM' AND entidade='00100')Y</v>
      </c>
      <c r="L451" s="32" t="str">
        <f>IF(VLOOKUP(B451,'0. Instruções'!$C$27:$G$32,5,FALSE)=0,
"ON X.CHAVE_IT=Y.CHAVE_SIMUL",
"ON X.CHAVE_IT1=Y.CHAVE_SIMUL1 AND X.CHAVE_IT2=Y.CHAVE_SIMUL2")</f>
        <v>ON X.CHAVE_IT=Y.CHAVE_SIMUL</v>
      </c>
      <c r="M451" s="32" t="str">
        <f>+IF(D451="Coerência",+IF(LEFT(H451,5)="FLOAT","SELECT '"&amp;UPPER(B451)&amp;"' AS TABELA, '"&amp;UPPER(D451)&amp;"' AS TIPOLOGIA_TESTE,'"&amp;E451&amp;"' AS TABELA_LT,'"&amp;F451&amp;"' AS TABELA_SIMUL,'"&amp;C451&amp;"'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"&amp;J451&amp;" INNER JOIN "&amp;K451&amp;" "&amp;L451,"SELECT '"&amp;UPPER(B451)&amp;"' AS TABELA, '"&amp;UPPER(D451)&amp;"' AS TIPOLOGIA_TESTE,'"&amp;E451&amp;"' AS TABELA_LT,'"&amp;F451&amp;"' AS TABELA_SIMUL,'"&amp;C451&amp;"'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"&amp;J451&amp;" INNER JOIN "&amp;K451&amp;" "&amp;L451))</f>
        <v>SELECT 'ENTITY' AS TABELA, 'COERÊNCIA' AS TIPOLOGIA_TESTE,'CD_LOAN_TAPES_BCE.LT003_ENTITY' AS TABELA_LT,'BU_LOANTAPE_WORK.LT003_ENTITY'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add_fld05 AS CAMPO_IT FROM CD_LOAN_TAPES_BCE.LT003_ENTITY WHERE ref_date='${ref_date}' AND nome_perimetro='Individual Local' AND segmento='ESTR' AND ambito='PM' AND entidade='00100')X INNER JOIN (SELECT entty_id AS CHAVE_SIMUL, add_fld05 AS CAMPO_SIMUL FROM BU_LOANTAPE_WORK.LT003_ENTITY WHERE ref_date='${ref_date}' AND nome_perimetro='Individual Local' AND segmento='ESTR' AND ambito='PM' AND entidade='00100')Y ON X.CHAVE_IT=Y.CHAVE_SIMUL</v>
      </c>
      <c r="N451" s="33" t="str">
        <f t="shared" si="15"/>
        <v>UNION ALL SELECT 'ENTITY' AS TABELA, 'COERÊNCIA' AS TIPOLOGIA_TESTE,'CD_LOAN_TAPES_BCE.LT003_ENTITY' AS TABELA_LT,'BU_LOANTAPE_WORK.LT003_ENTITY'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add_fld05 AS CAMPO_IT FROM CD_LOAN_TAPES_BCE.LT003_ENTITY WHERE ref_date='${ref_date}' AND nome_perimetro='Individual Local' AND segmento='ESTR' AND ambito='PM' AND entidade='00100')X INNER JOIN (SELECT entty_id AS CHAVE_SIMUL, add_fld05 AS CAMPO_SIMUL FROM BU_LOANTAPE_WORK.LT003_ENTITY WHERE ref_date='${ref_date}' AND nome_perimetro='Individual Local' AND segmento='ESTR' AND ambito='PM' AND entidade='00100')Y ON X.CHAVE_IT=Y.CHAVE_SIMUL</v>
      </c>
      <c r="O451" s="35" t="s">
        <v>35</v>
      </c>
    </row>
    <row r="452" spans="1:15">
      <c r="A452" s="57" t="str">
        <f t="shared" si="14"/>
        <v>Entityadd_fld06</v>
      </c>
      <c r="B452" s="32" t="s">
        <v>60</v>
      </c>
      <c r="C452" s="32" t="s">
        <v>352</v>
      </c>
      <c r="D452" s="32" t="s">
        <v>5</v>
      </c>
      <c r="E452" s="32" t="str">
        <f>+UPPER('0. Instruções'!$D$35&amp;"."&amp;VLOOKUP(B452,'0. Instruções'!$C$27:$D$32,2,FALSE))</f>
        <v>CD_LOAN_TAPES_BCE.LT003_ENTITY</v>
      </c>
      <c r="F452" s="32" t="str">
        <f>+UPPER('0. Instruções'!$D$36&amp;"."&amp;VLOOKUP(B452,'0. Instruções'!$C$27:$E$32,3,FALSE))</f>
        <v>BU_LOANTAPE_WORK.LT003_ENTITY</v>
      </c>
      <c r="H452" s="32"/>
      <c r="I452" s="32"/>
      <c r="J452" s="32" t="str">
        <f>IF(VLOOKUP(B452,'0. Instruções'!$C$27:$G$32,5,FALSE)=0,
"(SELECT "&amp;VLOOKUP(B452,'0. Instruções'!$C$27:$G$32,4,FALSE)&amp;" AS CHAVE_IT, "&amp;C452&amp;" AS CAMPO_IT FROM "&amp;E452&amp;" WHERE "&amp;'0. Instruções'!$D$43&amp;")X",
"(SELECT "&amp;VLOOKUP(B452,'0. Instruções'!$C$27:$G$32,4,FALSE)&amp;" AS CHAVE_IT1, "&amp;VLOOKUP(B452,'0. Instruções'!$C$27:$G$32,5,FALSE)&amp;" AS CHAVE_IT2, "&amp;C452&amp;" AS CAMPO_IT FROM "&amp;E452&amp;" WHERE "&amp;'0. Instruções'!$D$43&amp;")X")</f>
        <v>(SELECT entty_id AS CHAVE_IT, add_fld06 AS CAMPO_IT FROM CD_LOAN_TAPES_BCE.LT003_ENTITY WHERE ref_date='${ref_date}' AND nome_perimetro='Individual Local' AND segmento='ESTR' AND ambito='PM' AND entidade='00100')X</v>
      </c>
      <c r="K452" s="32" t="str">
        <f>IF(VLOOKUP(B452,'0. Instruções'!$C$27:$G$32,5,FALSE)=0,
"(SELECT "&amp;VLOOKUP(B452,'0. Instruções'!$C$27:$G$32,4,FALSE)&amp;" AS CHAVE_SIMUL, "&amp;C452&amp;" AS CAMPO_SIMUL FROM "&amp;F452&amp;" WHERE "&amp;'0. Instruções'!$D$42&amp;")Y",
"(SELECT "&amp;VLOOKUP(B452,'0. Instruções'!$C$27:$G$32,4,FALSE)&amp;" AS CHAVE_SIMUL1, "&amp;VLOOKUP(B452,'0. Instruções'!$C$27:$G$32,5,FALSE)&amp;" AS CHAVE_SIMUL2, "&amp;C452&amp;" AS CAMPO_SIMUL FROM "&amp;F452&amp;" WHERE "&amp;'0. Instruções'!$D$42&amp;")Y")</f>
        <v>(SELECT entty_id AS CHAVE_SIMUL, add_fld06 AS CAMPO_SIMUL FROM BU_LOANTAPE_WORK.LT003_ENTITY WHERE ref_date='${ref_date}' AND nome_perimetro='Individual Local' AND segmento='ESTR' AND ambito='PM' AND entidade='00100')Y</v>
      </c>
      <c r="L452" s="32" t="str">
        <f>IF(VLOOKUP(B452,'0. Instruções'!$C$27:$G$32,5,FALSE)=0,
"ON X.CHAVE_IT=Y.CHAVE_SIMUL",
"ON X.CHAVE_IT1=Y.CHAVE_SIMUL1 AND X.CHAVE_IT2=Y.CHAVE_SIMUL2")</f>
        <v>ON X.CHAVE_IT=Y.CHAVE_SIMUL</v>
      </c>
      <c r="M452" s="32" t="str">
        <f>+IF(D452="Coerência",+IF(LEFT(H452,5)="FLOAT","SELECT '"&amp;UPPER(B452)&amp;"' AS TABELA, '"&amp;UPPER(D452)&amp;"' AS TIPOLOGIA_TESTE,'"&amp;E452&amp;"' AS TABELA_LT,'"&amp;F452&amp;"' AS TABELA_SIMUL,'"&amp;C452&amp;"'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"&amp;J452&amp;" INNER JOIN "&amp;K452&amp;" "&amp;L452,"SELECT '"&amp;UPPER(B452)&amp;"' AS TABELA, '"&amp;UPPER(D452)&amp;"' AS TIPOLOGIA_TESTE,'"&amp;E452&amp;"' AS TABELA_LT,'"&amp;F452&amp;"' AS TABELA_SIMUL,'"&amp;C452&amp;"'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"&amp;J452&amp;" INNER JOIN "&amp;K452&amp;" "&amp;L452))</f>
        <v>SELECT 'ENTITY' AS TABELA, 'COERÊNCIA' AS TIPOLOGIA_TESTE,'CD_LOAN_TAPES_BCE.LT003_ENTITY' AS TABELA_LT,'BU_LOANTAPE_WORK.LT003_ENTITY'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add_fld06 AS CAMPO_IT FROM CD_LOAN_TAPES_BCE.LT003_ENTITY WHERE ref_date='${ref_date}' AND nome_perimetro='Individual Local' AND segmento='ESTR' AND ambito='PM' AND entidade='00100')X INNER JOIN (SELECT entty_id AS CHAVE_SIMUL, add_fld06 AS CAMPO_SIMUL FROM BU_LOANTAPE_WORK.LT003_ENTITY WHERE ref_date='${ref_date}' AND nome_perimetro='Individual Local' AND segmento='ESTR' AND ambito='PM' AND entidade='00100')Y ON X.CHAVE_IT=Y.CHAVE_SIMUL</v>
      </c>
      <c r="N452" s="33" t="str">
        <f t="shared" si="15"/>
        <v>UNION ALL SELECT 'ENTITY' AS TABELA, 'COERÊNCIA' AS TIPOLOGIA_TESTE,'CD_LOAN_TAPES_BCE.LT003_ENTITY' AS TABELA_LT,'BU_LOANTAPE_WORK.LT003_ENTITY'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add_fld06 AS CAMPO_IT FROM CD_LOAN_TAPES_BCE.LT003_ENTITY WHERE ref_date='${ref_date}' AND nome_perimetro='Individual Local' AND segmento='ESTR' AND ambito='PM' AND entidade='00100')X INNER JOIN (SELECT entty_id AS CHAVE_SIMUL, add_fld06 AS CAMPO_SIMUL FROM BU_LOANTAPE_WORK.LT003_ENTITY WHERE ref_date='${ref_date}' AND nome_perimetro='Individual Local' AND segmento='ESTR' AND ambito='PM' AND entidade='00100')Y ON X.CHAVE_IT=Y.CHAVE_SIMUL</v>
      </c>
      <c r="O452" s="35" t="s">
        <v>35</v>
      </c>
    </row>
    <row r="453" spans="1:15">
      <c r="A453" s="57" t="str">
        <f t="shared" si="14"/>
        <v>Entityadd_fld07</v>
      </c>
      <c r="B453" s="32" t="s">
        <v>60</v>
      </c>
      <c r="C453" s="32" t="s">
        <v>353</v>
      </c>
      <c r="D453" s="32" t="s">
        <v>5</v>
      </c>
      <c r="E453" s="32" t="str">
        <f>+UPPER('0. Instruções'!$D$35&amp;"."&amp;VLOOKUP(B453,'0. Instruções'!$C$27:$D$32,2,FALSE))</f>
        <v>CD_LOAN_TAPES_BCE.LT003_ENTITY</v>
      </c>
      <c r="F453" s="32" t="str">
        <f>+UPPER('0. Instruções'!$D$36&amp;"."&amp;VLOOKUP(B453,'0. Instruções'!$C$27:$E$32,3,FALSE))</f>
        <v>BU_LOANTAPE_WORK.LT003_ENTITY</v>
      </c>
      <c r="H453" s="32"/>
      <c r="I453" s="32"/>
      <c r="J453" s="32" t="str">
        <f>IF(VLOOKUP(B453,'0. Instruções'!$C$27:$G$32,5,FALSE)=0,
"(SELECT "&amp;VLOOKUP(B453,'0. Instruções'!$C$27:$G$32,4,FALSE)&amp;" AS CHAVE_IT, "&amp;C453&amp;" AS CAMPO_IT FROM "&amp;E453&amp;" WHERE "&amp;'0. Instruções'!$D$43&amp;")X",
"(SELECT "&amp;VLOOKUP(B453,'0. Instruções'!$C$27:$G$32,4,FALSE)&amp;" AS CHAVE_IT1, "&amp;VLOOKUP(B453,'0. Instruções'!$C$27:$G$32,5,FALSE)&amp;" AS CHAVE_IT2, "&amp;C453&amp;" AS CAMPO_IT FROM "&amp;E453&amp;" WHERE "&amp;'0. Instruções'!$D$43&amp;")X")</f>
        <v>(SELECT entty_id AS CHAVE_IT, add_fld07 AS CAMPO_IT FROM CD_LOAN_TAPES_BCE.LT003_ENTITY WHERE ref_date='${ref_date}' AND nome_perimetro='Individual Local' AND segmento='ESTR' AND ambito='PM' AND entidade='00100')X</v>
      </c>
      <c r="K453" s="32" t="str">
        <f>IF(VLOOKUP(B453,'0. Instruções'!$C$27:$G$32,5,FALSE)=0,
"(SELECT "&amp;VLOOKUP(B453,'0. Instruções'!$C$27:$G$32,4,FALSE)&amp;" AS CHAVE_SIMUL, "&amp;C453&amp;" AS CAMPO_SIMUL FROM "&amp;F453&amp;" WHERE "&amp;'0. Instruções'!$D$42&amp;")Y",
"(SELECT "&amp;VLOOKUP(B453,'0. Instruções'!$C$27:$G$32,4,FALSE)&amp;" AS CHAVE_SIMUL1, "&amp;VLOOKUP(B453,'0. Instruções'!$C$27:$G$32,5,FALSE)&amp;" AS CHAVE_SIMUL2, "&amp;C453&amp;" AS CAMPO_SIMUL FROM "&amp;F453&amp;" WHERE "&amp;'0. Instruções'!$D$42&amp;")Y")</f>
        <v>(SELECT entty_id AS CHAVE_SIMUL, add_fld07 AS CAMPO_SIMUL FROM BU_LOANTAPE_WORK.LT003_ENTITY WHERE ref_date='${ref_date}' AND nome_perimetro='Individual Local' AND segmento='ESTR' AND ambito='PM' AND entidade='00100')Y</v>
      </c>
      <c r="L453" s="32" t="str">
        <f>IF(VLOOKUP(B453,'0. Instruções'!$C$27:$G$32,5,FALSE)=0,
"ON X.CHAVE_IT=Y.CHAVE_SIMUL",
"ON X.CHAVE_IT1=Y.CHAVE_SIMUL1 AND X.CHAVE_IT2=Y.CHAVE_SIMUL2")</f>
        <v>ON X.CHAVE_IT=Y.CHAVE_SIMUL</v>
      </c>
      <c r="M453" s="32" t="str">
        <f>+IF(D453="Coerência",+IF(LEFT(H453,5)="FLOAT","SELECT '"&amp;UPPER(B453)&amp;"' AS TABELA, '"&amp;UPPER(D453)&amp;"' AS TIPOLOGIA_TESTE,'"&amp;E453&amp;"' AS TABELA_LT,'"&amp;F453&amp;"' AS TABELA_SIMUL,'"&amp;C453&amp;"'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"&amp;J453&amp;" INNER JOIN "&amp;K453&amp;" "&amp;L453,"SELECT '"&amp;UPPER(B453)&amp;"' AS TABELA, '"&amp;UPPER(D453)&amp;"' AS TIPOLOGIA_TESTE,'"&amp;E453&amp;"' AS TABELA_LT,'"&amp;F453&amp;"' AS TABELA_SIMUL,'"&amp;C453&amp;"'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"&amp;J453&amp;" INNER JOIN "&amp;K453&amp;" "&amp;L453))</f>
        <v>SELECT 'ENTITY' AS TABELA, 'COERÊNCIA' AS TIPOLOGIA_TESTE,'CD_LOAN_TAPES_BCE.LT003_ENTITY' AS TABELA_LT,'BU_LOANTAPE_WORK.LT003_ENTITY'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add_fld07 AS CAMPO_IT FROM CD_LOAN_TAPES_BCE.LT003_ENTITY WHERE ref_date='${ref_date}' AND nome_perimetro='Individual Local' AND segmento='ESTR' AND ambito='PM' AND entidade='00100')X INNER JOIN (SELECT entty_id AS CHAVE_SIMUL, add_fld07 AS CAMPO_SIMUL FROM BU_LOANTAPE_WORK.LT003_ENTITY WHERE ref_date='${ref_date}' AND nome_perimetro='Individual Local' AND segmento='ESTR' AND ambito='PM' AND entidade='00100')Y ON X.CHAVE_IT=Y.CHAVE_SIMUL</v>
      </c>
      <c r="N453" s="33" t="str">
        <f t="shared" si="15"/>
        <v>UNION ALL SELECT 'ENTITY' AS TABELA, 'COERÊNCIA' AS TIPOLOGIA_TESTE,'CD_LOAN_TAPES_BCE.LT003_ENTITY' AS TABELA_LT,'BU_LOANTAPE_WORK.LT003_ENTITY'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add_fld07 AS CAMPO_IT FROM CD_LOAN_TAPES_BCE.LT003_ENTITY WHERE ref_date='${ref_date}' AND nome_perimetro='Individual Local' AND segmento='ESTR' AND ambito='PM' AND entidade='00100')X INNER JOIN (SELECT entty_id AS CHAVE_SIMUL, add_fld07 AS CAMPO_SIMUL FROM BU_LOANTAPE_WORK.LT003_ENTITY WHERE ref_date='${ref_date}' AND nome_perimetro='Individual Local' AND segmento='ESTR' AND ambito='PM' AND entidade='00100')Y ON X.CHAVE_IT=Y.CHAVE_SIMUL</v>
      </c>
      <c r="O453" s="35" t="s">
        <v>35</v>
      </c>
    </row>
    <row r="454" spans="1:15">
      <c r="A454" s="57" t="str">
        <f t="shared" si="14"/>
        <v>Entityadd_fld08</v>
      </c>
      <c r="B454" s="32" t="s">
        <v>60</v>
      </c>
      <c r="C454" s="32" t="s">
        <v>354</v>
      </c>
      <c r="D454" s="32" t="s">
        <v>5</v>
      </c>
      <c r="E454" s="32" t="str">
        <f>+UPPER('0. Instruções'!$D$35&amp;"."&amp;VLOOKUP(B454,'0. Instruções'!$C$27:$D$32,2,FALSE))</f>
        <v>CD_LOAN_TAPES_BCE.LT003_ENTITY</v>
      </c>
      <c r="F454" s="32" t="str">
        <f>+UPPER('0. Instruções'!$D$36&amp;"."&amp;VLOOKUP(B454,'0. Instruções'!$C$27:$E$32,3,FALSE))</f>
        <v>BU_LOANTAPE_WORK.LT003_ENTITY</v>
      </c>
      <c r="H454" s="32"/>
      <c r="I454" s="32"/>
      <c r="J454" s="32" t="str">
        <f>IF(VLOOKUP(B454,'0. Instruções'!$C$27:$G$32,5,FALSE)=0,
"(SELECT "&amp;VLOOKUP(B454,'0. Instruções'!$C$27:$G$32,4,FALSE)&amp;" AS CHAVE_IT, "&amp;C454&amp;" AS CAMPO_IT FROM "&amp;E454&amp;" WHERE "&amp;'0. Instruções'!$D$43&amp;")X",
"(SELECT "&amp;VLOOKUP(B454,'0. Instruções'!$C$27:$G$32,4,FALSE)&amp;" AS CHAVE_IT1, "&amp;VLOOKUP(B454,'0. Instruções'!$C$27:$G$32,5,FALSE)&amp;" AS CHAVE_IT2, "&amp;C454&amp;" AS CAMPO_IT FROM "&amp;E454&amp;" WHERE "&amp;'0. Instruções'!$D$43&amp;")X")</f>
        <v>(SELECT entty_id AS CHAVE_IT, add_fld08 AS CAMPO_IT FROM CD_LOAN_TAPES_BCE.LT003_ENTITY WHERE ref_date='${ref_date}' AND nome_perimetro='Individual Local' AND segmento='ESTR' AND ambito='PM' AND entidade='00100')X</v>
      </c>
      <c r="K454" s="32" t="str">
        <f>IF(VLOOKUP(B454,'0. Instruções'!$C$27:$G$32,5,FALSE)=0,
"(SELECT "&amp;VLOOKUP(B454,'0. Instruções'!$C$27:$G$32,4,FALSE)&amp;" AS CHAVE_SIMUL, "&amp;C454&amp;" AS CAMPO_SIMUL FROM "&amp;F454&amp;" WHERE "&amp;'0. Instruções'!$D$42&amp;")Y",
"(SELECT "&amp;VLOOKUP(B454,'0. Instruções'!$C$27:$G$32,4,FALSE)&amp;" AS CHAVE_SIMUL1, "&amp;VLOOKUP(B454,'0. Instruções'!$C$27:$G$32,5,FALSE)&amp;" AS CHAVE_SIMUL2, "&amp;C454&amp;" AS CAMPO_SIMUL FROM "&amp;F454&amp;" WHERE "&amp;'0. Instruções'!$D$42&amp;")Y")</f>
        <v>(SELECT entty_id AS CHAVE_SIMUL, add_fld08 AS CAMPO_SIMUL FROM BU_LOANTAPE_WORK.LT003_ENTITY WHERE ref_date='${ref_date}' AND nome_perimetro='Individual Local' AND segmento='ESTR' AND ambito='PM' AND entidade='00100')Y</v>
      </c>
      <c r="L454" s="32" t="str">
        <f>IF(VLOOKUP(B454,'0. Instruções'!$C$27:$G$32,5,FALSE)=0,
"ON X.CHAVE_IT=Y.CHAVE_SIMUL",
"ON X.CHAVE_IT1=Y.CHAVE_SIMUL1 AND X.CHAVE_IT2=Y.CHAVE_SIMUL2")</f>
        <v>ON X.CHAVE_IT=Y.CHAVE_SIMUL</v>
      </c>
      <c r="M454" s="32" t="str">
        <f>+IF(D454="Coerência",+IF(LEFT(H454,5)="FLOAT","SELECT '"&amp;UPPER(B454)&amp;"' AS TABELA, '"&amp;UPPER(D454)&amp;"' AS TIPOLOGIA_TESTE,'"&amp;E454&amp;"' AS TABELA_LT,'"&amp;F454&amp;"' AS TABELA_SIMUL,'"&amp;C454&amp;"'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"&amp;J454&amp;" INNER JOIN "&amp;K454&amp;" "&amp;L454,"SELECT '"&amp;UPPER(B454)&amp;"' AS TABELA, '"&amp;UPPER(D454)&amp;"' AS TIPOLOGIA_TESTE,'"&amp;E454&amp;"' AS TABELA_LT,'"&amp;F454&amp;"' AS TABELA_SIMUL,'"&amp;C454&amp;"'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"&amp;J454&amp;" INNER JOIN "&amp;K454&amp;" "&amp;L454))</f>
        <v>SELECT 'ENTITY' AS TABELA, 'COERÊNCIA' AS TIPOLOGIA_TESTE,'CD_LOAN_TAPES_BCE.LT003_ENTITY' AS TABELA_LT,'BU_LOANTAPE_WORK.LT003_ENTITY'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add_fld08 AS CAMPO_IT FROM CD_LOAN_TAPES_BCE.LT003_ENTITY WHERE ref_date='${ref_date}' AND nome_perimetro='Individual Local' AND segmento='ESTR' AND ambito='PM' AND entidade='00100')X INNER JOIN (SELECT entty_id AS CHAVE_SIMUL, add_fld08 AS CAMPO_SIMUL FROM BU_LOANTAPE_WORK.LT003_ENTITY WHERE ref_date='${ref_date}' AND nome_perimetro='Individual Local' AND segmento='ESTR' AND ambito='PM' AND entidade='00100')Y ON X.CHAVE_IT=Y.CHAVE_SIMUL</v>
      </c>
      <c r="N454" s="33" t="str">
        <f t="shared" si="15"/>
        <v>UNION ALL SELECT 'ENTITY' AS TABELA, 'COERÊNCIA' AS TIPOLOGIA_TESTE,'CD_LOAN_TAPES_BCE.LT003_ENTITY' AS TABELA_LT,'BU_LOANTAPE_WORK.LT003_ENTITY'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add_fld08 AS CAMPO_IT FROM CD_LOAN_TAPES_BCE.LT003_ENTITY WHERE ref_date='${ref_date}' AND nome_perimetro='Individual Local' AND segmento='ESTR' AND ambito='PM' AND entidade='00100')X INNER JOIN (SELECT entty_id AS CHAVE_SIMUL, add_fld08 AS CAMPO_SIMUL FROM BU_LOANTAPE_WORK.LT003_ENTITY WHERE ref_date='${ref_date}' AND nome_perimetro='Individual Local' AND segmento='ESTR' AND ambito='PM' AND entidade='00100')Y ON X.CHAVE_IT=Y.CHAVE_SIMUL</v>
      </c>
      <c r="O454" s="35" t="s">
        <v>35</v>
      </c>
    </row>
    <row r="455" spans="1:15">
      <c r="A455" s="57" t="str">
        <f t="shared" si="14"/>
        <v>Entityadd_fld09</v>
      </c>
      <c r="B455" s="32" t="s">
        <v>60</v>
      </c>
      <c r="C455" s="32" t="s">
        <v>355</v>
      </c>
      <c r="D455" s="32" t="s">
        <v>5</v>
      </c>
      <c r="E455" s="32" t="str">
        <f>+UPPER('0. Instruções'!$D$35&amp;"."&amp;VLOOKUP(B455,'0. Instruções'!$C$27:$D$32,2,FALSE))</f>
        <v>CD_LOAN_TAPES_BCE.LT003_ENTITY</v>
      </c>
      <c r="F455" s="32" t="str">
        <f>+UPPER('0. Instruções'!$D$36&amp;"."&amp;VLOOKUP(B455,'0. Instruções'!$C$27:$E$32,3,FALSE))</f>
        <v>BU_LOANTAPE_WORK.LT003_ENTITY</v>
      </c>
      <c r="H455" s="32"/>
      <c r="I455" s="32"/>
      <c r="J455" s="32" t="str">
        <f>IF(VLOOKUP(B455,'0. Instruções'!$C$27:$G$32,5,FALSE)=0,
"(SELECT "&amp;VLOOKUP(B455,'0. Instruções'!$C$27:$G$32,4,FALSE)&amp;" AS CHAVE_IT, "&amp;C455&amp;" AS CAMPO_IT FROM "&amp;E455&amp;" WHERE "&amp;'0. Instruções'!$D$43&amp;")X",
"(SELECT "&amp;VLOOKUP(B455,'0. Instruções'!$C$27:$G$32,4,FALSE)&amp;" AS CHAVE_IT1, "&amp;VLOOKUP(B455,'0. Instruções'!$C$27:$G$32,5,FALSE)&amp;" AS CHAVE_IT2, "&amp;C455&amp;" AS CAMPO_IT FROM "&amp;E455&amp;" WHERE "&amp;'0. Instruções'!$D$43&amp;")X")</f>
        <v>(SELECT entty_id AS CHAVE_IT, add_fld09 AS CAMPO_IT FROM CD_LOAN_TAPES_BCE.LT003_ENTITY WHERE ref_date='${ref_date}' AND nome_perimetro='Individual Local' AND segmento='ESTR' AND ambito='PM' AND entidade='00100')X</v>
      </c>
      <c r="K455" s="32" t="str">
        <f>IF(VLOOKUP(B455,'0. Instruções'!$C$27:$G$32,5,FALSE)=0,
"(SELECT "&amp;VLOOKUP(B455,'0. Instruções'!$C$27:$G$32,4,FALSE)&amp;" AS CHAVE_SIMUL, "&amp;C455&amp;" AS CAMPO_SIMUL FROM "&amp;F455&amp;" WHERE "&amp;'0. Instruções'!$D$42&amp;")Y",
"(SELECT "&amp;VLOOKUP(B455,'0. Instruções'!$C$27:$G$32,4,FALSE)&amp;" AS CHAVE_SIMUL1, "&amp;VLOOKUP(B455,'0. Instruções'!$C$27:$G$32,5,FALSE)&amp;" AS CHAVE_SIMUL2, "&amp;C455&amp;" AS CAMPO_SIMUL FROM "&amp;F455&amp;" WHERE "&amp;'0. Instruções'!$D$42&amp;")Y")</f>
        <v>(SELECT entty_id AS CHAVE_SIMUL, add_fld09 AS CAMPO_SIMUL FROM BU_LOANTAPE_WORK.LT003_ENTITY WHERE ref_date='${ref_date}' AND nome_perimetro='Individual Local' AND segmento='ESTR' AND ambito='PM' AND entidade='00100')Y</v>
      </c>
      <c r="L455" s="32" t="str">
        <f>IF(VLOOKUP(B455,'0. Instruções'!$C$27:$G$32,5,FALSE)=0,
"ON X.CHAVE_IT=Y.CHAVE_SIMUL",
"ON X.CHAVE_IT1=Y.CHAVE_SIMUL1 AND X.CHAVE_IT2=Y.CHAVE_SIMUL2")</f>
        <v>ON X.CHAVE_IT=Y.CHAVE_SIMUL</v>
      </c>
      <c r="M455" s="32" t="str">
        <f>+IF(D455="Coerência",+IF(LEFT(H455,5)="FLOAT","SELECT '"&amp;UPPER(B455)&amp;"' AS TABELA, '"&amp;UPPER(D455)&amp;"' AS TIPOLOGIA_TESTE,'"&amp;E455&amp;"' AS TABELA_LT,'"&amp;F455&amp;"' AS TABELA_SIMUL,'"&amp;C455&amp;"'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"&amp;J455&amp;" INNER JOIN "&amp;K455&amp;" "&amp;L455,"SELECT '"&amp;UPPER(B455)&amp;"' AS TABELA, '"&amp;UPPER(D455)&amp;"' AS TIPOLOGIA_TESTE,'"&amp;E455&amp;"' AS TABELA_LT,'"&amp;F455&amp;"' AS TABELA_SIMUL,'"&amp;C455&amp;"'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"&amp;J455&amp;" INNER JOIN "&amp;K455&amp;" "&amp;L455))</f>
        <v>SELECT 'ENTITY' AS TABELA, 'COERÊNCIA' AS TIPOLOGIA_TESTE,'CD_LOAN_TAPES_BCE.LT003_ENTITY' AS TABELA_LT,'BU_LOANTAPE_WORK.LT003_ENTITY'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add_fld09 AS CAMPO_IT FROM CD_LOAN_TAPES_BCE.LT003_ENTITY WHERE ref_date='${ref_date}' AND nome_perimetro='Individual Local' AND segmento='ESTR' AND ambito='PM' AND entidade='00100')X INNER JOIN (SELECT entty_id AS CHAVE_SIMUL, add_fld09 AS CAMPO_SIMUL FROM BU_LOANTAPE_WORK.LT003_ENTITY WHERE ref_date='${ref_date}' AND nome_perimetro='Individual Local' AND segmento='ESTR' AND ambito='PM' AND entidade='00100')Y ON X.CHAVE_IT=Y.CHAVE_SIMUL</v>
      </c>
      <c r="N455" s="33" t="str">
        <f t="shared" si="15"/>
        <v>UNION ALL SELECT 'ENTITY' AS TABELA, 'COERÊNCIA' AS TIPOLOGIA_TESTE,'CD_LOAN_TAPES_BCE.LT003_ENTITY' AS TABELA_LT,'BU_LOANTAPE_WORK.LT003_ENTITY'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add_fld09 AS CAMPO_IT FROM CD_LOAN_TAPES_BCE.LT003_ENTITY WHERE ref_date='${ref_date}' AND nome_perimetro='Individual Local' AND segmento='ESTR' AND ambito='PM' AND entidade='00100')X INNER JOIN (SELECT entty_id AS CHAVE_SIMUL, add_fld09 AS CAMPO_SIMUL FROM BU_LOANTAPE_WORK.LT003_ENTITY WHERE ref_date='${ref_date}' AND nome_perimetro='Individual Local' AND segmento='ESTR' AND ambito='PM' AND entidade='00100')Y ON X.CHAVE_IT=Y.CHAVE_SIMUL</v>
      </c>
      <c r="O455" s="35" t="s">
        <v>35</v>
      </c>
    </row>
    <row r="456" spans="1:15">
      <c r="A456" s="57" t="str">
        <f t="shared" si="14"/>
        <v>Entityadd_fld10</v>
      </c>
      <c r="B456" s="32" t="s">
        <v>60</v>
      </c>
      <c r="C456" s="32" t="s">
        <v>356</v>
      </c>
      <c r="D456" s="32" t="s">
        <v>5</v>
      </c>
      <c r="E456" s="32" t="str">
        <f>+UPPER('0. Instruções'!$D$35&amp;"."&amp;VLOOKUP(B456,'0. Instruções'!$C$27:$D$32,2,FALSE))</f>
        <v>CD_LOAN_TAPES_BCE.LT003_ENTITY</v>
      </c>
      <c r="F456" s="32" t="str">
        <f>+UPPER('0. Instruções'!$D$36&amp;"."&amp;VLOOKUP(B456,'0. Instruções'!$C$27:$E$32,3,FALSE))</f>
        <v>BU_LOANTAPE_WORK.LT003_ENTITY</v>
      </c>
      <c r="H456" s="32"/>
      <c r="I456" s="32"/>
      <c r="J456" s="32" t="str">
        <f>IF(VLOOKUP(B456,'0. Instruções'!$C$27:$G$32,5,FALSE)=0,
"(SELECT "&amp;VLOOKUP(B456,'0. Instruções'!$C$27:$G$32,4,FALSE)&amp;" AS CHAVE_IT, "&amp;C456&amp;" AS CAMPO_IT FROM "&amp;E456&amp;" WHERE "&amp;'0. Instruções'!$D$43&amp;")X",
"(SELECT "&amp;VLOOKUP(B456,'0. Instruções'!$C$27:$G$32,4,FALSE)&amp;" AS CHAVE_IT1, "&amp;VLOOKUP(B456,'0. Instruções'!$C$27:$G$32,5,FALSE)&amp;" AS CHAVE_IT2, "&amp;C456&amp;" AS CAMPO_IT FROM "&amp;E456&amp;" WHERE "&amp;'0. Instruções'!$D$43&amp;")X")</f>
        <v>(SELECT entty_id AS CHAVE_IT, add_fld10 AS CAMPO_IT FROM CD_LOAN_TAPES_BCE.LT003_ENTITY WHERE ref_date='${ref_date}' AND nome_perimetro='Individual Local' AND segmento='ESTR' AND ambito='PM' AND entidade='00100')X</v>
      </c>
      <c r="K456" s="32" t="str">
        <f>IF(VLOOKUP(B456,'0. Instruções'!$C$27:$G$32,5,FALSE)=0,
"(SELECT "&amp;VLOOKUP(B456,'0. Instruções'!$C$27:$G$32,4,FALSE)&amp;" AS CHAVE_SIMUL, "&amp;C456&amp;" AS CAMPO_SIMUL FROM "&amp;F456&amp;" WHERE "&amp;'0. Instruções'!$D$42&amp;")Y",
"(SELECT "&amp;VLOOKUP(B456,'0. Instruções'!$C$27:$G$32,4,FALSE)&amp;" AS CHAVE_SIMUL1, "&amp;VLOOKUP(B456,'0. Instruções'!$C$27:$G$32,5,FALSE)&amp;" AS CHAVE_SIMUL2, "&amp;C456&amp;" AS CAMPO_SIMUL FROM "&amp;F456&amp;" WHERE "&amp;'0. Instruções'!$D$42&amp;")Y")</f>
        <v>(SELECT entty_id AS CHAVE_SIMUL, add_fld10 AS CAMPO_SIMUL FROM BU_LOANTAPE_WORK.LT003_ENTITY WHERE ref_date='${ref_date}' AND nome_perimetro='Individual Local' AND segmento='ESTR' AND ambito='PM' AND entidade='00100')Y</v>
      </c>
      <c r="L456" s="32" t="str">
        <f>IF(VLOOKUP(B456,'0. Instruções'!$C$27:$G$32,5,FALSE)=0,
"ON X.CHAVE_IT=Y.CHAVE_SIMUL",
"ON X.CHAVE_IT1=Y.CHAVE_SIMUL1 AND X.CHAVE_IT2=Y.CHAVE_SIMUL2")</f>
        <v>ON X.CHAVE_IT=Y.CHAVE_SIMUL</v>
      </c>
      <c r="M456" s="32" t="str">
        <f>+IF(D456="Coerência",+IF(LEFT(H456,5)="FLOAT","SELECT '"&amp;UPPER(B456)&amp;"' AS TABELA, '"&amp;UPPER(D456)&amp;"' AS TIPOLOGIA_TESTE,'"&amp;E456&amp;"' AS TABELA_LT,'"&amp;F456&amp;"' AS TABELA_SIMUL,'"&amp;C456&amp;"'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"&amp;J456&amp;" INNER JOIN "&amp;K456&amp;" "&amp;L456,"SELECT '"&amp;UPPER(B456)&amp;"' AS TABELA, '"&amp;UPPER(D456)&amp;"' AS TIPOLOGIA_TESTE,'"&amp;E456&amp;"' AS TABELA_LT,'"&amp;F456&amp;"' AS TABELA_SIMUL,'"&amp;C456&amp;"'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"&amp;J456&amp;" INNER JOIN "&amp;K456&amp;" "&amp;L456))</f>
        <v>SELECT 'ENTITY' AS TABELA, 'COERÊNCIA' AS TIPOLOGIA_TESTE,'CD_LOAN_TAPES_BCE.LT003_ENTITY' AS TABELA_LT,'BU_LOANTAPE_WORK.LT003_ENTITY'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add_fld10 AS CAMPO_IT FROM CD_LOAN_TAPES_BCE.LT003_ENTITY WHERE ref_date='${ref_date}' AND nome_perimetro='Individual Local' AND segmento='ESTR' AND ambito='PM' AND entidade='00100')X INNER JOIN (SELECT entty_id AS CHAVE_SIMUL, add_fld10 AS CAMPO_SIMUL FROM BU_LOANTAPE_WORK.LT003_ENTITY WHERE ref_date='${ref_date}' AND nome_perimetro='Individual Local' AND segmento='ESTR' AND ambito='PM' AND entidade='00100')Y ON X.CHAVE_IT=Y.CHAVE_SIMUL</v>
      </c>
      <c r="N456" s="33" t="str">
        <f t="shared" si="15"/>
        <v>UNION ALL SELECT 'ENTITY' AS TABELA, 'COERÊNCIA' AS TIPOLOGIA_TESTE,'CD_LOAN_TAPES_BCE.LT003_ENTITY' AS TABELA_LT,'BU_LOANTAPE_WORK.LT003_ENTITY'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add_fld10 AS CAMPO_IT FROM CD_LOAN_TAPES_BCE.LT003_ENTITY WHERE ref_date='${ref_date}' AND nome_perimetro='Individual Local' AND segmento='ESTR' AND ambito='PM' AND entidade='00100')X INNER JOIN (SELECT entty_id AS CHAVE_SIMUL, add_fld10 AS CAMPO_SIMUL FROM BU_LOANTAPE_WORK.LT003_ENTITY WHERE ref_date='${ref_date}' AND nome_perimetro='Individual Local' AND segmento='ESTR' AND ambito='PM' AND entidade='00100')Y ON X.CHAVE_IT=Y.CHAVE_SIMUL</v>
      </c>
      <c r="O456" s="35" t="s">
        <v>35</v>
      </c>
    </row>
    <row r="457" spans="1:15">
      <c r="A457" s="57" t="str">
        <f t="shared" ref="A457:A520" si="16">+B457&amp;C457</f>
        <v>Entityflg_nn_accrl</v>
      </c>
      <c r="B457" s="32" t="s">
        <v>60</v>
      </c>
      <c r="C457" s="32" t="s">
        <v>577</v>
      </c>
      <c r="D457" s="32" t="s">
        <v>5</v>
      </c>
      <c r="E457" s="32" t="str">
        <f>+UPPER('0. Instruções'!$D$35&amp;"."&amp;VLOOKUP(B457,'0. Instruções'!$C$27:$D$32,2,FALSE))</f>
        <v>CD_LOAN_TAPES_BCE.LT003_ENTITY</v>
      </c>
      <c r="F457" s="32" t="str">
        <f>+UPPER('0. Instruções'!$D$36&amp;"."&amp;VLOOKUP(B457,'0. Instruções'!$C$27:$E$32,3,FALSE))</f>
        <v>BU_LOANTAPE_WORK.LT003_ENTITY</v>
      </c>
      <c r="H457" s="32"/>
      <c r="I457" s="32"/>
      <c r="J457" s="32" t="str">
        <f>IF(VLOOKUP(B457,'0. Instruções'!$C$27:$G$32,5,FALSE)=0,
"(SELECT "&amp;VLOOKUP(B457,'0. Instruções'!$C$27:$G$32,4,FALSE)&amp;" AS CHAVE_IT, "&amp;C457&amp;" AS CAMPO_IT FROM "&amp;E457&amp;" WHERE "&amp;'0. Instruções'!$D$43&amp;")X",
"(SELECT "&amp;VLOOKUP(B457,'0. Instruções'!$C$27:$G$32,4,FALSE)&amp;" AS CHAVE_IT1, "&amp;VLOOKUP(B457,'0. Instruções'!$C$27:$G$32,5,FALSE)&amp;" AS CHAVE_IT2, "&amp;C457&amp;" AS CAMPO_IT FROM "&amp;E457&amp;" WHERE "&amp;'0. Instruções'!$D$43&amp;")X")</f>
        <v>(SELECT entty_id AS CHAVE_IT, flg_nn_accrl AS CAMPO_IT FROM CD_LOAN_TAPES_BCE.LT003_ENTITY WHERE ref_date='${ref_date}' AND nome_perimetro='Individual Local' AND segmento='ESTR' AND ambito='PM' AND entidade='00100')X</v>
      </c>
      <c r="K457" s="32" t="str">
        <f>IF(VLOOKUP(B457,'0. Instruções'!$C$27:$G$32,5,FALSE)=0,
"(SELECT "&amp;VLOOKUP(B457,'0. Instruções'!$C$27:$G$32,4,FALSE)&amp;" AS CHAVE_SIMUL, "&amp;C457&amp;" AS CAMPO_SIMUL FROM "&amp;F457&amp;" WHERE "&amp;'0. Instruções'!$D$42&amp;")Y",
"(SELECT "&amp;VLOOKUP(B457,'0. Instruções'!$C$27:$G$32,4,FALSE)&amp;" AS CHAVE_SIMUL1, "&amp;VLOOKUP(B457,'0. Instruções'!$C$27:$G$32,5,FALSE)&amp;" AS CHAVE_SIMUL2, "&amp;C457&amp;" AS CAMPO_SIMUL FROM "&amp;F457&amp;" WHERE "&amp;'0. Instruções'!$D$42&amp;")Y")</f>
        <v>(SELECT entty_id AS CHAVE_SIMUL, flg_nn_accrl AS CAMPO_SIMUL FROM BU_LOANTAPE_WORK.LT003_ENTITY WHERE ref_date='${ref_date}' AND nome_perimetro='Individual Local' AND segmento='ESTR' AND ambito='PM' AND entidade='00100')Y</v>
      </c>
      <c r="L457" s="32" t="str">
        <f>IF(VLOOKUP(B457,'0. Instruções'!$C$27:$G$32,5,FALSE)=0,
"ON X.CHAVE_IT=Y.CHAVE_SIMUL",
"ON X.CHAVE_IT1=Y.CHAVE_SIMUL1 AND X.CHAVE_IT2=Y.CHAVE_SIMUL2")</f>
        <v>ON X.CHAVE_IT=Y.CHAVE_SIMUL</v>
      </c>
      <c r="M457" s="32" t="str">
        <f>+IF(D457="Coerência",+IF(LEFT(H457,5)="FLOAT","SELECT '"&amp;UPPER(B457)&amp;"' AS TABELA, '"&amp;UPPER(D457)&amp;"' AS TIPOLOGIA_TESTE,'"&amp;E457&amp;"' AS TABELA_LT,'"&amp;F457&amp;"' AS TABELA_SIMUL,'"&amp;C457&amp;"'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"&amp;J457&amp;" INNER JOIN "&amp;K457&amp;" "&amp;L457,"SELECT '"&amp;UPPER(B457)&amp;"' AS TABELA, '"&amp;UPPER(D457)&amp;"' AS TIPOLOGIA_TESTE,'"&amp;E457&amp;"' AS TABELA_LT,'"&amp;F457&amp;"' AS TABELA_SIMUL,'"&amp;C457&amp;"'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"&amp;J457&amp;" INNER JOIN "&amp;K457&amp;" "&amp;L457))</f>
        <v>SELECT 'ENTITY' AS TABELA, 'COERÊNCIA' AS TIPOLOGIA_TESTE,'CD_LOAN_TAPES_BCE.LT003_ENTITY' AS TABELA_LT,'BU_LOANTAPE_WORK.LT003_ENTITY' AS TABELA_SIMUL,'flg_nn_accrl'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flg_nn_accrl AS CAMPO_IT FROM CD_LOAN_TAPES_BCE.LT003_ENTITY WHERE ref_date='${ref_date}' AND nome_perimetro='Individual Local' AND segmento='ESTR' AND ambito='PM' AND entidade='00100')X INNER JOIN (SELECT entty_id AS CHAVE_SIMUL, flg_nn_accrl AS CAMPO_SIMUL FROM BU_LOANTAPE_WORK.LT003_ENTITY WHERE ref_date='${ref_date}' AND nome_perimetro='Individual Local' AND segmento='ESTR' AND ambito='PM' AND entidade='00100')Y ON X.CHAVE_IT=Y.CHAVE_SIMUL</v>
      </c>
      <c r="N457" s="33" t="str">
        <f t="shared" si="15"/>
        <v>UNION ALL SELECT 'ENTITY' AS TABELA, 'COERÊNCIA' AS TIPOLOGIA_TESTE,'CD_LOAN_TAPES_BCE.LT003_ENTITY' AS TABELA_LT,'BU_LOANTAPE_WORK.LT003_ENTITY' AS TABELA_SIMUL,'flg_nn_accrl'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flg_nn_accrl AS CAMPO_IT FROM CD_LOAN_TAPES_BCE.LT003_ENTITY WHERE ref_date='${ref_date}' AND nome_perimetro='Individual Local' AND segmento='ESTR' AND ambito='PM' AND entidade='00100')X INNER JOIN (SELECT entty_id AS CHAVE_SIMUL, flg_nn_accrl AS CAMPO_SIMUL FROM BU_LOANTAPE_WORK.LT003_ENTITY WHERE ref_date='${ref_date}' AND nome_perimetro='Individual Local' AND segmento='ESTR' AND ambito='PM' AND entidade='00100')Y ON X.CHAVE_IT=Y.CHAVE_SIMUL</v>
      </c>
      <c r="O457" s="35" t="s">
        <v>35</v>
      </c>
    </row>
    <row r="458" spans="1:15">
      <c r="A458" s="57" t="str">
        <f t="shared" si="16"/>
        <v>Entitytax_id</v>
      </c>
      <c r="B458" s="32" t="s">
        <v>60</v>
      </c>
      <c r="C458" s="32" t="s">
        <v>578</v>
      </c>
      <c r="D458" s="32" t="s">
        <v>5</v>
      </c>
      <c r="E458" s="32" t="str">
        <f>+UPPER('0. Instruções'!$D$35&amp;"."&amp;VLOOKUP(B458,'0. Instruções'!$C$27:$D$32,2,FALSE))</f>
        <v>CD_LOAN_TAPES_BCE.LT003_ENTITY</v>
      </c>
      <c r="F458" s="32" t="str">
        <f>+UPPER('0. Instruções'!$D$36&amp;"."&amp;VLOOKUP(B458,'0. Instruções'!$C$27:$E$32,3,FALSE))</f>
        <v>BU_LOANTAPE_WORK.LT003_ENTITY</v>
      </c>
      <c r="H458" s="32"/>
      <c r="I458" s="32"/>
      <c r="J458" s="32" t="str">
        <f>IF(VLOOKUP(B458,'0. Instruções'!$C$27:$G$32,5,FALSE)=0,
"(SELECT "&amp;VLOOKUP(B458,'0. Instruções'!$C$27:$G$32,4,FALSE)&amp;" AS CHAVE_IT, "&amp;C458&amp;" AS CAMPO_IT FROM "&amp;E458&amp;" WHERE "&amp;'0. Instruções'!$D$43&amp;")X",
"(SELECT "&amp;VLOOKUP(B458,'0. Instruções'!$C$27:$G$32,4,FALSE)&amp;" AS CHAVE_IT1, "&amp;VLOOKUP(B458,'0. Instruções'!$C$27:$G$32,5,FALSE)&amp;" AS CHAVE_IT2, "&amp;C458&amp;" AS CAMPO_IT FROM "&amp;E458&amp;" WHERE "&amp;'0. Instruções'!$D$43&amp;")X")</f>
        <v>(SELECT entty_id AS CHAVE_IT, tax_id AS CAMPO_IT FROM CD_LOAN_TAPES_BCE.LT003_ENTITY WHERE ref_date='${ref_date}' AND nome_perimetro='Individual Local' AND segmento='ESTR' AND ambito='PM' AND entidade='00100')X</v>
      </c>
      <c r="K458" s="32" t="str">
        <f>IF(VLOOKUP(B458,'0. Instruções'!$C$27:$G$32,5,FALSE)=0,
"(SELECT "&amp;VLOOKUP(B458,'0. Instruções'!$C$27:$G$32,4,FALSE)&amp;" AS CHAVE_SIMUL, "&amp;C458&amp;" AS CAMPO_SIMUL FROM "&amp;F458&amp;" WHERE "&amp;'0. Instruções'!$D$42&amp;")Y",
"(SELECT "&amp;VLOOKUP(B458,'0. Instruções'!$C$27:$G$32,4,FALSE)&amp;" AS CHAVE_SIMUL1, "&amp;VLOOKUP(B458,'0. Instruções'!$C$27:$G$32,5,FALSE)&amp;" AS CHAVE_SIMUL2, "&amp;C458&amp;" AS CAMPO_SIMUL FROM "&amp;F458&amp;" WHERE "&amp;'0. Instruções'!$D$42&amp;")Y")</f>
        <v>(SELECT entty_id AS CHAVE_SIMUL, tax_id AS CAMPO_SIMUL FROM BU_LOANTAPE_WORK.LT003_ENTITY WHERE ref_date='${ref_date}' AND nome_perimetro='Individual Local' AND segmento='ESTR' AND ambito='PM' AND entidade='00100')Y</v>
      </c>
      <c r="L458" s="32" t="str">
        <f>IF(VLOOKUP(B458,'0. Instruções'!$C$27:$G$32,5,FALSE)=0,
"ON X.CHAVE_IT=Y.CHAVE_SIMUL",
"ON X.CHAVE_IT1=Y.CHAVE_SIMUL1 AND X.CHAVE_IT2=Y.CHAVE_SIMUL2")</f>
        <v>ON X.CHAVE_IT=Y.CHAVE_SIMUL</v>
      </c>
      <c r="M458" s="32" t="str">
        <f>+IF(D458="Coerência",+IF(LEFT(H458,5)="FLOAT","SELECT '"&amp;UPPER(B458)&amp;"' AS TABELA, '"&amp;UPPER(D458)&amp;"' AS TIPOLOGIA_TESTE,'"&amp;E458&amp;"' AS TABELA_LT,'"&amp;F458&amp;"' AS TABELA_SIMUL,'"&amp;C458&amp;"'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"&amp;J458&amp;" INNER JOIN "&amp;K458&amp;" "&amp;L458,"SELECT '"&amp;UPPER(B458)&amp;"' AS TABELA, '"&amp;UPPER(D458)&amp;"' AS TIPOLOGIA_TESTE,'"&amp;E458&amp;"' AS TABELA_LT,'"&amp;F458&amp;"' AS TABELA_SIMUL,'"&amp;C458&amp;"'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"&amp;J458&amp;" INNER JOIN "&amp;K458&amp;" "&amp;L458))</f>
        <v>SELECT 'ENTITY' AS TABELA, 'COERÊNCIA' AS TIPOLOGIA_TESTE,'CD_LOAN_TAPES_BCE.LT003_ENTITY' AS TABELA_LT,'BU_LOANTAPE_WORK.LT003_ENTITY'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tax_id AS CAMPO_IT FROM CD_LOAN_TAPES_BCE.LT003_ENTITY WHERE ref_date='${ref_date}' AND nome_perimetro='Individual Local' AND segmento='ESTR' AND ambito='PM' AND entidade='00100')X INNER JOIN (SELECT entty_id AS CHAVE_SIMUL, tax_id AS CAMPO_SIMUL FROM BU_LOANTAPE_WORK.LT003_ENTITY WHERE ref_date='${ref_date}' AND nome_perimetro='Individual Local' AND segmento='ESTR' AND ambito='PM' AND entidade='00100')Y ON X.CHAVE_IT=Y.CHAVE_SIMUL</v>
      </c>
      <c r="N458" s="33" t="str">
        <f t="shared" si="15"/>
        <v>UNION ALL SELECT 'ENTITY' AS TABELA, 'COERÊNCIA' AS TIPOLOGIA_TESTE,'CD_LOAN_TAPES_BCE.LT003_ENTITY' AS TABELA_LT,'BU_LOANTAPE_WORK.LT003_ENTITY'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tax_id AS CAMPO_IT FROM CD_LOAN_TAPES_BCE.LT003_ENTITY WHERE ref_date='${ref_date}' AND nome_perimetro='Individual Local' AND segmento='ESTR' AND ambito='PM' AND entidade='00100')X INNER JOIN (SELECT entty_id AS CHAVE_SIMUL, tax_id AS CAMPO_SIMUL FROM BU_LOANTAPE_WORK.LT003_ENTITY WHERE ref_date='${ref_date}' AND nome_perimetro='Individual Local' AND segmento='ESTR' AND ambito='PM' AND entidade='00100')Y ON X.CHAVE_IT=Y.CHAVE_SIMUL</v>
      </c>
      <c r="O458" s="35" t="s">
        <v>35</v>
      </c>
    </row>
    <row r="459" spans="1:15">
      <c r="A459" s="57" t="str">
        <f t="shared" si="16"/>
        <v>Entitycod_soc</v>
      </c>
      <c r="B459" s="32" t="s">
        <v>60</v>
      </c>
      <c r="C459" s="32" t="s">
        <v>149</v>
      </c>
      <c r="D459" s="32" t="s">
        <v>5</v>
      </c>
      <c r="E459" s="32" t="str">
        <f>+UPPER('0. Instruções'!$D$35&amp;"."&amp;VLOOKUP(B459,'0. Instruções'!$C$27:$D$32,2,FALSE))</f>
        <v>CD_LOAN_TAPES_BCE.LT003_ENTITY</v>
      </c>
      <c r="F459" s="32" t="str">
        <f>+UPPER('0. Instruções'!$D$36&amp;"."&amp;VLOOKUP(B459,'0. Instruções'!$C$27:$E$32,3,FALSE))</f>
        <v>BU_LOANTAPE_WORK.LT003_ENTITY</v>
      </c>
      <c r="H459" s="32"/>
      <c r="I459" s="32"/>
      <c r="J459" s="32" t="str">
        <f>IF(VLOOKUP(B459,'0. Instruções'!$C$27:$G$32,5,FALSE)=0,
"(SELECT "&amp;VLOOKUP(B459,'0. Instruções'!$C$27:$G$32,4,FALSE)&amp;" AS CHAVE_IT, "&amp;C459&amp;" AS CAMPO_IT FROM "&amp;E459&amp;" WHERE "&amp;'0. Instruções'!$D$43&amp;")X",
"(SELECT "&amp;VLOOKUP(B459,'0. Instruções'!$C$27:$G$32,4,FALSE)&amp;" AS CHAVE_IT1, "&amp;VLOOKUP(B459,'0. Instruções'!$C$27:$G$32,5,FALSE)&amp;" AS CHAVE_IT2, "&amp;C459&amp;" AS CAMPO_IT FROM "&amp;E459&amp;" WHERE "&amp;'0. Instruções'!$D$43&amp;")X")</f>
        <v>(SELECT entty_id AS CHAVE_IT, cod_soc AS CAMPO_IT FROM CD_LOAN_TAPES_BCE.LT003_ENTITY WHERE ref_date='${ref_date}' AND nome_perimetro='Individual Local' AND segmento='ESTR' AND ambito='PM' AND entidade='00100')X</v>
      </c>
      <c r="K459" s="32" t="str">
        <f>IF(VLOOKUP(B459,'0. Instruções'!$C$27:$G$32,5,FALSE)=0,
"(SELECT "&amp;VLOOKUP(B459,'0. Instruções'!$C$27:$G$32,4,FALSE)&amp;" AS CHAVE_SIMUL, "&amp;C459&amp;" AS CAMPO_SIMUL FROM "&amp;F459&amp;" WHERE "&amp;'0. Instruções'!$D$42&amp;")Y",
"(SELECT "&amp;VLOOKUP(B459,'0. Instruções'!$C$27:$G$32,4,FALSE)&amp;" AS CHAVE_SIMUL1, "&amp;VLOOKUP(B459,'0. Instruções'!$C$27:$G$32,5,FALSE)&amp;" AS CHAVE_SIMUL2, "&amp;C459&amp;" AS CAMPO_SIMUL FROM "&amp;F459&amp;" WHERE "&amp;'0. Instruções'!$D$42&amp;")Y")</f>
        <v>(SELECT entty_id AS CHAVE_SIMUL, cod_soc AS CAMPO_SIMUL FROM BU_LOANTAPE_WORK.LT003_ENTITY WHERE ref_date='${ref_date}' AND nome_perimetro='Individual Local' AND segmento='ESTR' AND ambito='PM' AND entidade='00100')Y</v>
      </c>
      <c r="L459" s="32" t="str">
        <f>IF(VLOOKUP(B459,'0. Instruções'!$C$27:$G$32,5,FALSE)=0,
"ON X.CHAVE_IT=Y.CHAVE_SIMUL",
"ON X.CHAVE_IT1=Y.CHAVE_SIMUL1 AND X.CHAVE_IT2=Y.CHAVE_SIMUL2")</f>
        <v>ON X.CHAVE_IT=Y.CHAVE_SIMUL</v>
      </c>
      <c r="M459" s="32" t="str">
        <f>+IF(D459="Coerência",+IF(LEFT(H459,5)="FLOAT","SELECT '"&amp;UPPER(B459)&amp;"' AS TABELA, '"&amp;UPPER(D459)&amp;"' AS TIPOLOGIA_TESTE,'"&amp;E459&amp;"' AS TABELA_LT,'"&amp;F459&amp;"' AS TABELA_SIMUL,'"&amp;C459&amp;"'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"&amp;J459&amp;" INNER JOIN "&amp;K459&amp;" "&amp;L459,"SELECT '"&amp;UPPER(B459)&amp;"' AS TABELA, '"&amp;UPPER(D459)&amp;"' AS TIPOLOGIA_TESTE,'"&amp;E459&amp;"' AS TABELA_LT,'"&amp;F459&amp;"' AS TABELA_SIMUL,'"&amp;C459&amp;"'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"&amp;J459&amp;" INNER JOIN "&amp;K459&amp;" "&amp;L459))</f>
        <v>SELECT 'ENTITY' AS TABELA, 'COERÊNCIA' AS TIPOLOGIA_TESTE,'CD_LOAN_TAPES_BCE.LT003_ENTITY' AS TABELA_LT,'BU_LOANTAPE_WORK.LT003_ENTITY'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cod_soc AS CAMPO_IT FROM CD_LOAN_TAPES_BCE.LT003_ENTITY WHERE ref_date='${ref_date}' AND nome_perimetro='Individual Local' AND segmento='ESTR' AND ambito='PM' AND entidade='00100')X INNER JOIN (SELECT entty_id AS CHAVE_SIMUL, cod_soc AS CAMPO_SIMUL FROM BU_LOANTAPE_WORK.LT003_ENTITY WHERE ref_date='${ref_date}' AND nome_perimetro='Individual Local' AND segmento='ESTR' AND ambito='PM' AND entidade='00100')Y ON X.CHAVE_IT=Y.CHAVE_SIMUL</v>
      </c>
      <c r="N459" s="33" t="str">
        <f t="shared" si="15"/>
        <v>UNION ALL SELECT 'ENTITY' AS TABELA, 'COERÊNCIA' AS TIPOLOGIA_TESTE,'CD_LOAN_TAPES_BCE.LT003_ENTITY' AS TABELA_LT,'BU_LOANTAPE_WORK.LT003_ENTITY'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cod_soc AS CAMPO_IT FROM CD_LOAN_TAPES_BCE.LT003_ENTITY WHERE ref_date='${ref_date}' AND nome_perimetro='Individual Local' AND segmento='ESTR' AND ambito='PM' AND entidade='00100')X INNER JOIN (SELECT entty_id AS CHAVE_SIMUL, cod_soc AS CAMPO_SIMUL FROM BU_LOANTAPE_WORK.LT003_ENTITY WHERE ref_date='${ref_date}' AND nome_perimetro='Individual Local' AND segmento='ESTR' AND ambito='PM' AND entidade='00100')Y ON X.CHAVE_IT=Y.CHAVE_SIMUL</v>
      </c>
      <c r="O459" s="35" t="s">
        <v>35</v>
      </c>
    </row>
    <row r="460" spans="1:15">
      <c r="A460" s="57" t="str">
        <f t="shared" si="16"/>
        <v>Entityannl_trnvr_le_bdr</v>
      </c>
      <c r="B460" s="32" t="s">
        <v>60</v>
      </c>
      <c r="C460" s="32" t="s">
        <v>579</v>
      </c>
      <c r="D460" s="32" t="s">
        <v>5</v>
      </c>
      <c r="E460" s="32" t="str">
        <f>+UPPER('0. Instruções'!$D$35&amp;"."&amp;VLOOKUP(B460,'0. Instruções'!$C$27:$D$32,2,FALSE))</f>
        <v>CD_LOAN_TAPES_BCE.LT003_ENTITY</v>
      </c>
      <c r="F460" s="32" t="str">
        <f>+UPPER('0. Instruções'!$D$36&amp;"."&amp;VLOOKUP(B460,'0. Instruções'!$C$27:$E$32,3,FALSE))</f>
        <v>BU_LOANTAPE_WORK.LT003_ENTITY</v>
      </c>
      <c r="H460" s="32"/>
      <c r="I460" s="32"/>
      <c r="J460" s="32" t="str">
        <f>IF(VLOOKUP(B460,'0. Instruções'!$C$27:$G$32,5,FALSE)=0,
"(SELECT "&amp;VLOOKUP(B460,'0. Instruções'!$C$27:$G$32,4,FALSE)&amp;" AS CHAVE_IT, "&amp;C460&amp;" AS CAMPO_IT FROM "&amp;E460&amp;" WHERE "&amp;'0. Instruções'!$D$43&amp;")X",
"(SELECT "&amp;VLOOKUP(B460,'0. Instruções'!$C$27:$G$32,4,FALSE)&amp;" AS CHAVE_IT1, "&amp;VLOOKUP(B460,'0. Instruções'!$C$27:$G$32,5,FALSE)&amp;" AS CHAVE_IT2, "&amp;C460&amp;" AS CAMPO_IT FROM "&amp;E460&amp;" WHERE "&amp;'0. Instruções'!$D$43&amp;")X")</f>
        <v>(SELECT entty_id AS CHAVE_IT, annl_trnvr_le_bdr AS CAMPO_IT FROM CD_LOAN_TAPES_BCE.LT003_ENTITY WHERE ref_date='${ref_date}' AND nome_perimetro='Individual Local' AND segmento='ESTR' AND ambito='PM' AND entidade='00100')X</v>
      </c>
      <c r="K460" s="32" t="str">
        <f>IF(VLOOKUP(B460,'0. Instruções'!$C$27:$G$32,5,FALSE)=0,
"(SELECT "&amp;VLOOKUP(B460,'0. Instruções'!$C$27:$G$32,4,FALSE)&amp;" AS CHAVE_SIMUL, "&amp;C460&amp;" AS CAMPO_SIMUL FROM "&amp;F460&amp;" WHERE "&amp;'0. Instruções'!$D$42&amp;")Y",
"(SELECT "&amp;VLOOKUP(B460,'0. Instruções'!$C$27:$G$32,4,FALSE)&amp;" AS CHAVE_SIMUL1, "&amp;VLOOKUP(B460,'0. Instruções'!$C$27:$G$32,5,FALSE)&amp;" AS CHAVE_SIMUL2, "&amp;C460&amp;" AS CAMPO_SIMUL FROM "&amp;F460&amp;" WHERE "&amp;'0. Instruções'!$D$42&amp;")Y")</f>
        <v>(SELECT entty_id AS CHAVE_SIMUL, annl_trnvr_le_bdr AS CAMPO_SIMUL FROM BU_LOANTAPE_WORK.LT003_ENTITY WHERE ref_date='${ref_date}' AND nome_perimetro='Individual Local' AND segmento='ESTR' AND ambito='PM' AND entidade='00100')Y</v>
      </c>
      <c r="L460" s="32" t="str">
        <f>IF(VLOOKUP(B460,'0. Instruções'!$C$27:$G$32,5,FALSE)=0,
"ON X.CHAVE_IT=Y.CHAVE_SIMUL",
"ON X.CHAVE_IT1=Y.CHAVE_SIMUL1 AND X.CHAVE_IT2=Y.CHAVE_SIMUL2")</f>
        <v>ON X.CHAVE_IT=Y.CHAVE_SIMUL</v>
      </c>
      <c r="M460" s="32" t="str">
        <f>+IF(D460="Coerência",+IF(LEFT(H460,5)="FLOAT","SELECT '"&amp;UPPER(B460)&amp;"' AS TABELA, '"&amp;UPPER(D460)&amp;"' AS TIPOLOGIA_TESTE,'"&amp;E460&amp;"' AS TABELA_LT,'"&amp;F460&amp;"' AS TABELA_SIMUL,'"&amp;C460&amp;"'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"&amp;J460&amp;" INNER JOIN "&amp;K460&amp;" "&amp;L460,"SELECT '"&amp;UPPER(B460)&amp;"' AS TABELA, '"&amp;UPPER(D460)&amp;"' AS TIPOLOGIA_TESTE,'"&amp;E460&amp;"' AS TABELA_LT,'"&amp;F460&amp;"' AS TABELA_SIMUL,'"&amp;C460&amp;"'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"&amp;J460&amp;" INNER JOIN "&amp;K460&amp;" "&amp;L460))</f>
        <v>SELECT 'ENTITY' AS TABELA, 'COERÊNCIA' AS TIPOLOGIA_TESTE,'CD_LOAN_TAPES_BCE.LT003_ENTITY' AS TABELA_LT,'BU_LOANTAPE_WORK.LT003_ENTITY' AS TABELA_SIMUL,'annl_trnvr_le_bdr'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annl_trnvr_le_bdr AS CAMPO_IT FROM CD_LOAN_TAPES_BCE.LT003_ENTITY WHERE ref_date='${ref_date}' AND nome_perimetro='Individual Local' AND segmento='ESTR' AND ambito='PM' AND entidade='00100')X INNER JOIN (SELECT entty_id AS CHAVE_SIMUL, annl_trnvr_le_bdr AS CAMPO_SIMUL FROM BU_LOANTAPE_WORK.LT003_ENTITY WHERE ref_date='${ref_date}' AND nome_perimetro='Individual Local' AND segmento='ESTR' AND ambito='PM' AND entidade='00100')Y ON X.CHAVE_IT=Y.CHAVE_SIMUL</v>
      </c>
      <c r="N460" s="33" t="str">
        <f t="shared" si="15"/>
        <v>UNION ALL SELECT 'ENTITY' AS TABELA, 'COERÊNCIA' AS TIPOLOGIA_TESTE,'CD_LOAN_TAPES_BCE.LT003_ENTITY' AS TABELA_LT,'BU_LOANTAPE_WORK.LT003_ENTITY' AS TABELA_SIMUL,'annl_trnvr_le_bdr'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annl_trnvr_le_bdr AS CAMPO_IT FROM CD_LOAN_TAPES_BCE.LT003_ENTITY WHERE ref_date='${ref_date}' AND nome_perimetro='Individual Local' AND segmento='ESTR' AND ambito='PM' AND entidade='00100')X INNER JOIN (SELECT entty_id AS CHAVE_SIMUL, annl_trnvr_le_bdr AS CAMPO_SIMUL FROM BU_LOANTAPE_WORK.LT003_ENTITY WHERE ref_date='${ref_date}' AND nome_perimetro='Individual Local' AND segmento='ESTR' AND ambito='PM' AND entidade='00100')Y ON X.CHAVE_IT=Y.CHAVE_SIMUL</v>
      </c>
      <c r="O460" s="35" t="s">
        <v>35</v>
      </c>
    </row>
    <row r="461" spans="1:15">
      <c r="A461" s="57" t="str">
        <f t="shared" si="16"/>
        <v>Entityannl_trnvr_prvs_bdr</v>
      </c>
      <c r="B461" s="32" t="s">
        <v>60</v>
      </c>
      <c r="C461" s="32" t="s">
        <v>580</v>
      </c>
      <c r="D461" s="32" t="s">
        <v>5</v>
      </c>
      <c r="E461" s="32" t="str">
        <f>+UPPER('0. Instruções'!$D$35&amp;"."&amp;VLOOKUP(B461,'0. Instruções'!$C$27:$D$32,2,FALSE))</f>
        <v>CD_LOAN_TAPES_BCE.LT003_ENTITY</v>
      </c>
      <c r="F461" s="32" t="str">
        <f>+UPPER('0. Instruções'!$D$36&amp;"."&amp;VLOOKUP(B461,'0. Instruções'!$C$27:$E$32,3,FALSE))</f>
        <v>BU_LOANTAPE_WORK.LT003_ENTITY</v>
      </c>
      <c r="H461" s="32"/>
      <c r="I461" s="32"/>
      <c r="J461" s="32" t="str">
        <f>IF(VLOOKUP(B461,'0. Instruções'!$C$27:$G$32,5,FALSE)=0,
"(SELECT "&amp;VLOOKUP(B461,'0. Instruções'!$C$27:$G$32,4,FALSE)&amp;" AS CHAVE_IT, "&amp;C461&amp;" AS CAMPO_IT FROM "&amp;E461&amp;" WHERE "&amp;'0. Instruções'!$D$43&amp;")X",
"(SELECT "&amp;VLOOKUP(B461,'0. Instruções'!$C$27:$G$32,4,FALSE)&amp;" AS CHAVE_IT1, "&amp;VLOOKUP(B461,'0. Instruções'!$C$27:$G$32,5,FALSE)&amp;" AS CHAVE_IT2, "&amp;C461&amp;" AS CAMPO_IT FROM "&amp;E461&amp;" WHERE "&amp;'0. Instruções'!$D$43&amp;")X")</f>
        <v>(SELECT entty_id AS CHAVE_IT, annl_trnvr_prvs_bdr AS CAMPO_IT FROM CD_LOAN_TAPES_BCE.LT003_ENTITY WHERE ref_date='${ref_date}' AND nome_perimetro='Individual Local' AND segmento='ESTR' AND ambito='PM' AND entidade='00100')X</v>
      </c>
      <c r="K461" s="32" t="str">
        <f>IF(VLOOKUP(B461,'0. Instruções'!$C$27:$G$32,5,FALSE)=0,
"(SELECT "&amp;VLOOKUP(B461,'0. Instruções'!$C$27:$G$32,4,FALSE)&amp;" AS CHAVE_SIMUL, "&amp;C461&amp;" AS CAMPO_SIMUL FROM "&amp;F461&amp;" WHERE "&amp;'0. Instruções'!$D$42&amp;")Y",
"(SELECT "&amp;VLOOKUP(B461,'0. Instruções'!$C$27:$G$32,4,FALSE)&amp;" AS CHAVE_SIMUL1, "&amp;VLOOKUP(B461,'0. Instruções'!$C$27:$G$32,5,FALSE)&amp;" AS CHAVE_SIMUL2, "&amp;C461&amp;" AS CAMPO_SIMUL FROM "&amp;F461&amp;" WHERE "&amp;'0. Instruções'!$D$42&amp;")Y")</f>
        <v>(SELECT entty_id AS CHAVE_SIMUL, annl_trnvr_prvs_bdr AS CAMPO_SIMUL FROM BU_LOANTAPE_WORK.LT003_ENTITY WHERE ref_date='${ref_date}' AND nome_perimetro='Individual Local' AND segmento='ESTR' AND ambito='PM' AND entidade='00100')Y</v>
      </c>
      <c r="L461" s="32" t="str">
        <f>IF(VLOOKUP(B461,'0. Instruções'!$C$27:$G$32,5,FALSE)=0,
"ON X.CHAVE_IT=Y.CHAVE_SIMUL",
"ON X.CHAVE_IT1=Y.CHAVE_SIMUL1 AND X.CHAVE_IT2=Y.CHAVE_SIMUL2")</f>
        <v>ON X.CHAVE_IT=Y.CHAVE_SIMUL</v>
      </c>
      <c r="M461" s="32" t="str">
        <f>+IF(D461="Coerência",+IF(LEFT(H461,5)="FLOAT","SELECT '"&amp;UPPER(B461)&amp;"' AS TABELA, '"&amp;UPPER(D461)&amp;"' AS TIPOLOGIA_TESTE,'"&amp;E461&amp;"' AS TABELA_LT,'"&amp;F461&amp;"' AS TABELA_SIMUL,'"&amp;C461&amp;"'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"&amp;J461&amp;" INNER JOIN "&amp;K461&amp;" "&amp;L461,"SELECT '"&amp;UPPER(B461)&amp;"' AS TABELA, '"&amp;UPPER(D461)&amp;"' AS TIPOLOGIA_TESTE,'"&amp;E461&amp;"' AS TABELA_LT,'"&amp;F461&amp;"' AS TABELA_SIMUL,'"&amp;C461&amp;"'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"&amp;J461&amp;" INNER JOIN "&amp;K461&amp;" "&amp;L461))</f>
        <v>SELECT 'ENTITY' AS TABELA, 'COERÊNCIA' AS TIPOLOGIA_TESTE,'CD_LOAN_TAPES_BCE.LT003_ENTITY' AS TABELA_LT,'BU_LOANTAPE_WORK.LT003_ENTITY' AS TABELA_SIMUL,'annl_trnvr_prvs_bdr'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annl_trnvr_prvs_bdr AS CAMPO_IT FROM CD_LOAN_TAPES_BCE.LT003_ENTITY WHERE ref_date='${ref_date}' AND nome_perimetro='Individual Local' AND segmento='ESTR' AND ambito='PM' AND entidade='00100')X INNER JOIN (SELECT entty_id AS CHAVE_SIMUL, annl_trnvr_prvs_bdr AS CAMPO_SIMUL FROM BU_LOANTAPE_WORK.LT003_ENTITY WHERE ref_date='${ref_date}' AND nome_perimetro='Individual Local' AND segmento='ESTR' AND ambito='PM' AND entidade='00100')Y ON X.CHAVE_IT=Y.CHAVE_SIMUL</v>
      </c>
      <c r="N461" s="33" t="str">
        <f t="shared" si="15"/>
        <v>UNION ALL SELECT 'ENTITY' AS TABELA, 'COERÊNCIA' AS TIPOLOGIA_TESTE,'CD_LOAN_TAPES_BCE.LT003_ENTITY' AS TABELA_LT,'BU_LOANTAPE_WORK.LT003_ENTITY' AS TABELA_SIMUL,'annl_trnvr_prvs_bdr'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annl_trnvr_prvs_bdr AS CAMPO_IT FROM CD_LOAN_TAPES_BCE.LT003_ENTITY WHERE ref_date='${ref_date}' AND nome_perimetro='Individual Local' AND segmento='ESTR' AND ambito='PM' AND entidade='00100')X INNER JOIN (SELECT entty_id AS CHAVE_SIMUL, annl_trnvr_prvs_bdr AS CAMPO_SIMUL FROM BU_LOANTAPE_WORK.LT003_ENTITY WHERE ref_date='${ref_date}' AND nome_perimetro='Individual Local' AND segmento='ESTR' AND ambito='PM' AND entidade='00100')Y ON X.CHAVE_IT=Y.CHAVE_SIMUL</v>
      </c>
      <c r="O461" s="35" t="s">
        <v>35</v>
      </c>
    </row>
    <row r="462" spans="1:15">
      <c r="A462" s="57" t="str">
        <f t="shared" si="16"/>
        <v>Entityosi_id</v>
      </c>
      <c r="B462" s="32" t="s">
        <v>60</v>
      </c>
      <c r="C462" s="32" t="s">
        <v>581</v>
      </c>
      <c r="D462" s="32" t="s">
        <v>5</v>
      </c>
      <c r="E462" s="32" t="str">
        <f>+UPPER('0. Instruções'!$D$35&amp;"."&amp;VLOOKUP(B462,'0. Instruções'!$C$27:$D$32,2,FALSE))</f>
        <v>CD_LOAN_TAPES_BCE.LT003_ENTITY</v>
      </c>
      <c r="F462" s="32" t="str">
        <f>+UPPER('0. Instruções'!$D$36&amp;"."&amp;VLOOKUP(B462,'0. Instruções'!$C$27:$E$32,3,FALSE))</f>
        <v>BU_LOANTAPE_WORK.LT003_ENTITY</v>
      </c>
      <c r="H462" s="32"/>
      <c r="I462" s="32"/>
      <c r="J462" s="32" t="str">
        <f>IF(VLOOKUP(B462,'0. Instruções'!$C$27:$G$32,5,FALSE)=0,
"(SELECT "&amp;VLOOKUP(B462,'0. Instruções'!$C$27:$G$32,4,FALSE)&amp;" AS CHAVE_IT, "&amp;C462&amp;" AS CAMPO_IT FROM "&amp;E462&amp;" WHERE "&amp;'0. Instruções'!$D$43&amp;")X",
"(SELECT "&amp;VLOOKUP(B462,'0. Instruções'!$C$27:$G$32,4,FALSE)&amp;" AS CHAVE_IT1, "&amp;VLOOKUP(B462,'0. Instruções'!$C$27:$G$32,5,FALSE)&amp;" AS CHAVE_IT2, "&amp;C462&amp;" AS CAMPO_IT FROM "&amp;E462&amp;" WHERE "&amp;'0. Instruções'!$D$43&amp;")X")</f>
        <v>(SELECT entty_id AS CHAVE_IT, osi_id AS CAMPO_IT FROM CD_LOAN_TAPES_BCE.LT003_ENTITY WHERE ref_date='${ref_date}' AND nome_perimetro='Individual Local' AND segmento='ESTR' AND ambito='PM' AND entidade='00100')X</v>
      </c>
      <c r="K462" s="32" t="str">
        <f>IF(VLOOKUP(B462,'0. Instruções'!$C$27:$G$32,5,FALSE)=0,
"(SELECT "&amp;VLOOKUP(B462,'0. Instruções'!$C$27:$G$32,4,FALSE)&amp;" AS CHAVE_SIMUL, "&amp;C462&amp;" AS CAMPO_SIMUL FROM "&amp;F462&amp;" WHERE "&amp;'0. Instruções'!$D$42&amp;")Y",
"(SELECT "&amp;VLOOKUP(B462,'0. Instruções'!$C$27:$G$32,4,FALSE)&amp;" AS CHAVE_SIMUL1, "&amp;VLOOKUP(B462,'0. Instruções'!$C$27:$G$32,5,FALSE)&amp;" AS CHAVE_SIMUL2, "&amp;C462&amp;" AS CAMPO_SIMUL FROM "&amp;F462&amp;" WHERE "&amp;'0. Instruções'!$D$42&amp;")Y")</f>
        <v>(SELECT entty_id AS CHAVE_SIMUL, osi_id AS CAMPO_SIMUL FROM BU_LOANTAPE_WORK.LT003_ENTITY WHERE ref_date='${ref_date}' AND nome_perimetro='Individual Local' AND segmento='ESTR' AND ambito='PM' AND entidade='00100')Y</v>
      </c>
      <c r="L462" s="32" t="str">
        <f>IF(VLOOKUP(B462,'0. Instruções'!$C$27:$G$32,5,FALSE)=0,
"ON X.CHAVE_IT=Y.CHAVE_SIMUL",
"ON X.CHAVE_IT1=Y.CHAVE_SIMUL1 AND X.CHAVE_IT2=Y.CHAVE_SIMUL2")</f>
        <v>ON X.CHAVE_IT=Y.CHAVE_SIMUL</v>
      </c>
      <c r="M462" s="32" t="str">
        <f>+IF(D462="Coerência",+IF(LEFT(H462,5)="FLOAT","SELECT '"&amp;UPPER(B462)&amp;"' AS TABELA, '"&amp;UPPER(D462)&amp;"' AS TIPOLOGIA_TESTE,'"&amp;E462&amp;"' AS TABELA_LT,'"&amp;F462&amp;"' AS TABELA_SIMUL,'"&amp;C462&amp;"'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"&amp;J462&amp;" INNER JOIN "&amp;K462&amp;" "&amp;L462,"SELECT '"&amp;UPPER(B462)&amp;"' AS TABELA, '"&amp;UPPER(D462)&amp;"' AS TIPOLOGIA_TESTE,'"&amp;E462&amp;"' AS TABELA_LT,'"&amp;F462&amp;"' AS TABELA_SIMUL,'"&amp;C462&amp;"'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"&amp;J462&amp;" INNER JOIN "&amp;K462&amp;" "&amp;L462))</f>
        <v>SELECT 'ENTITY' AS TABELA, 'COERÊNCIA' AS TIPOLOGIA_TESTE,'CD_LOAN_TAPES_BCE.LT003_ENTITY' AS TABELA_LT,'BU_LOANTAPE_WORK.LT003_ENTITY' AS TABELA_SIMUL,'osi_id'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osi_id AS CAMPO_IT FROM CD_LOAN_TAPES_BCE.LT003_ENTITY WHERE ref_date='${ref_date}' AND nome_perimetro='Individual Local' AND segmento='ESTR' AND ambito='PM' AND entidade='00100')X INNER JOIN (SELECT entty_id AS CHAVE_SIMUL, osi_id AS CAMPO_SIMUL FROM BU_LOANTAPE_WORK.LT003_ENTITY WHERE ref_date='${ref_date}' AND nome_perimetro='Individual Local' AND segmento='ESTR' AND ambito='PM' AND entidade='00100')Y ON X.CHAVE_IT=Y.CHAVE_SIMUL</v>
      </c>
      <c r="N462" s="33" t="str">
        <f t="shared" si="15"/>
        <v>UNION ALL SELECT 'ENTITY' AS TABELA, 'COERÊNCIA' AS TIPOLOGIA_TESTE,'CD_LOAN_TAPES_BCE.LT003_ENTITY' AS TABELA_LT,'BU_LOANTAPE_WORK.LT003_ENTITY' AS TABELA_SIMUL,'osi_id'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osi_id AS CAMPO_IT FROM CD_LOAN_TAPES_BCE.LT003_ENTITY WHERE ref_date='${ref_date}' AND nome_perimetro='Individual Local' AND segmento='ESTR' AND ambito='PM' AND entidade='00100')X INNER JOIN (SELECT entty_id AS CHAVE_SIMUL, osi_id AS CAMPO_SIMUL FROM BU_LOANTAPE_WORK.LT003_ENTITY WHERE ref_date='${ref_date}' AND nome_perimetro='Individual Local' AND segmento='ESTR' AND ambito='PM' AND entidade='00100')Y ON X.CHAVE_IT=Y.CHAVE_SIMUL</v>
      </c>
      <c r="O462" s="35" t="s">
        <v>35</v>
      </c>
    </row>
    <row r="463" spans="1:15">
      <c r="A463" s="57" t="str">
        <f t="shared" si="16"/>
        <v>Entitypd_crr_rd_t1</v>
      </c>
      <c r="B463" s="32" t="s">
        <v>60</v>
      </c>
      <c r="C463" s="32" t="s">
        <v>333</v>
      </c>
      <c r="D463" s="32" t="s">
        <v>5</v>
      </c>
      <c r="E463" s="32" t="str">
        <f>+UPPER('0. Instruções'!$D$35&amp;"."&amp;VLOOKUP(B463,'0. Instruções'!$C$27:$D$32,2,FALSE))</f>
        <v>CD_LOAN_TAPES_BCE.LT003_ENTITY</v>
      </c>
      <c r="F463" s="32" t="str">
        <f>+UPPER('0. Instruções'!$D$36&amp;"."&amp;VLOOKUP(B463,'0. Instruções'!$C$27:$E$32,3,FALSE))</f>
        <v>BU_LOANTAPE_WORK.LT003_ENTITY</v>
      </c>
      <c r="H463" s="32"/>
      <c r="I463" s="32"/>
      <c r="J463" s="32" t="str">
        <f>IF(VLOOKUP(B463,'0. Instruções'!$C$27:$G$32,5,FALSE)=0,
"(SELECT "&amp;VLOOKUP(B463,'0. Instruções'!$C$27:$G$32,4,FALSE)&amp;" AS CHAVE_IT, "&amp;C463&amp;" AS CAMPO_IT FROM "&amp;E463&amp;" WHERE "&amp;'0. Instruções'!$D$43&amp;")X",
"(SELECT "&amp;VLOOKUP(B463,'0. Instruções'!$C$27:$G$32,4,FALSE)&amp;" AS CHAVE_IT1, "&amp;VLOOKUP(B463,'0. Instruções'!$C$27:$G$32,5,FALSE)&amp;" AS CHAVE_IT2, "&amp;C463&amp;" AS CAMPO_IT FROM "&amp;E463&amp;" WHERE "&amp;'0. Instruções'!$D$43&amp;")X")</f>
        <v>(SELECT entty_id AS CHAVE_IT, pd_crr_rd_t1 AS CAMPO_IT FROM CD_LOAN_TAPES_BCE.LT003_ENTITY WHERE ref_date='${ref_date}' AND nome_perimetro='Individual Local' AND segmento='ESTR' AND ambito='PM' AND entidade='00100')X</v>
      </c>
      <c r="K463" s="32" t="str">
        <f>IF(VLOOKUP(B463,'0. Instruções'!$C$27:$G$32,5,FALSE)=0,
"(SELECT "&amp;VLOOKUP(B463,'0. Instruções'!$C$27:$G$32,4,FALSE)&amp;" AS CHAVE_SIMUL, "&amp;C463&amp;" AS CAMPO_SIMUL FROM "&amp;F463&amp;" WHERE "&amp;'0. Instruções'!$D$42&amp;")Y",
"(SELECT "&amp;VLOOKUP(B463,'0. Instruções'!$C$27:$G$32,4,FALSE)&amp;" AS CHAVE_SIMUL1, "&amp;VLOOKUP(B463,'0. Instruções'!$C$27:$G$32,5,FALSE)&amp;" AS CHAVE_SIMUL2, "&amp;C463&amp;" AS CAMPO_SIMUL FROM "&amp;F463&amp;" WHERE "&amp;'0. Instruções'!$D$42&amp;")Y")</f>
        <v>(SELECT entty_id AS CHAVE_SIMUL, pd_crr_rd_t1 AS CAMPO_SIMUL FROM BU_LOANTAPE_WORK.LT003_ENTITY WHERE ref_date='${ref_date}' AND nome_perimetro='Individual Local' AND segmento='ESTR' AND ambito='PM' AND entidade='00100')Y</v>
      </c>
      <c r="L463" s="32" t="str">
        <f>IF(VLOOKUP(B463,'0. Instruções'!$C$27:$G$32,5,FALSE)=0,
"ON X.CHAVE_IT=Y.CHAVE_SIMUL",
"ON X.CHAVE_IT1=Y.CHAVE_SIMUL1 AND X.CHAVE_IT2=Y.CHAVE_SIMUL2")</f>
        <v>ON X.CHAVE_IT=Y.CHAVE_SIMUL</v>
      </c>
      <c r="M463" s="32" t="str">
        <f>+IF(D463="Coerência",+IF(LEFT(H463,5)="FLOAT","SELECT '"&amp;UPPER(B463)&amp;"' AS TABELA, '"&amp;UPPER(D463)&amp;"' AS TIPOLOGIA_TESTE,'"&amp;E463&amp;"' AS TABELA_LT,'"&amp;F463&amp;"' AS TABELA_SIMUL,'"&amp;C463&amp;"'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"&amp;J463&amp;" INNER JOIN "&amp;K463&amp;" "&amp;L463,"SELECT '"&amp;UPPER(B463)&amp;"' AS TABELA, '"&amp;UPPER(D463)&amp;"' AS TIPOLOGIA_TESTE,'"&amp;E463&amp;"' AS TABELA_LT,'"&amp;F463&amp;"' AS TABELA_SIMUL,'"&amp;C463&amp;"'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"&amp;J463&amp;" INNER JOIN "&amp;K463&amp;" "&amp;L463))</f>
        <v>SELECT 'ENTITY' AS TABELA, 'COERÊNCIA' AS TIPOLOGIA_TESTE,'CD_LOAN_TAPES_BCE.LT003_ENTITY' AS TABELA_LT,'BU_LOANTAPE_WORK.LT003_ENTITY'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pd_crr_rd_t1 AS CAMPO_IT FROM CD_LOAN_TAPES_BCE.LT003_ENTITY WHERE ref_date='${ref_date}' AND nome_perimetro='Individual Local' AND segmento='ESTR' AND ambito='PM' AND entidade='00100')X INNER JOIN (SELECT entty_id AS CHAVE_SIMUL, pd_crr_rd_t1 AS CAMPO_SIMUL FROM BU_LOANTAPE_WORK.LT003_ENTITY WHERE ref_date='${ref_date}' AND nome_perimetro='Individual Local' AND segmento='ESTR' AND ambito='PM' AND entidade='00100')Y ON X.CHAVE_IT=Y.CHAVE_SIMUL</v>
      </c>
      <c r="N463" s="33" t="str">
        <f t="shared" si="15"/>
        <v>UNION ALL SELECT 'ENTITY' AS TABELA, 'COERÊNCIA' AS TIPOLOGIA_TESTE,'CD_LOAN_TAPES_BCE.LT003_ENTITY' AS TABELA_LT,'BU_LOANTAPE_WORK.LT003_ENTITY' AS TABELA_SIMUL,'pd_crr_rd_t1'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pd_crr_rd_t1 AS CAMPO_IT FROM CD_LOAN_TAPES_BCE.LT003_ENTITY WHERE ref_date='${ref_date}' AND nome_perimetro='Individual Local' AND segmento='ESTR' AND ambito='PM' AND entidade='00100')X INNER JOIN (SELECT entty_id AS CHAVE_SIMUL, pd_crr_rd_t1 AS CAMPO_SIMUL FROM BU_LOANTAPE_WORK.LT003_ENTITY WHERE ref_date='${ref_date}' AND nome_perimetro='Individual Local' AND segmento='ESTR' AND ambito='PM' AND entidade='00100')Y ON X.CHAVE_IT=Y.CHAVE_SIMUL</v>
      </c>
      <c r="O463" s="35" t="s">
        <v>35</v>
      </c>
    </row>
    <row r="464" spans="1:15">
      <c r="A464" s="57" t="str">
        <f t="shared" si="16"/>
        <v>Entityec_grp_id</v>
      </c>
      <c r="B464" s="32" t="s">
        <v>60</v>
      </c>
      <c r="C464" s="32" t="s">
        <v>176</v>
      </c>
      <c r="D464" s="32" t="s">
        <v>5</v>
      </c>
      <c r="E464" s="32" t="str">
        <f>+UPPER('0. Instruções'!$D$35&amp;"."&amp;VLOOKUP(B464,'0. Instruções'!$C$27:$D$32,2,FALSE))</f>
        <v>CD_LOAN_TAPES_BCE.LT003_ENTITY</v>
      </c>
      <c r="F464" s="32" t="str">
        <f>+UPPER('0. Instruções'!$D$36&amp;"."&amp;VLOOKUP(B464,'0. Instruções'!$C$27:$E$32,3,FALSE))</f>
        <v>BU_LOANTAPE_WORK.LT003_ENTITY</v>
      </c>
      <c r="H464" s="32"/>
      <c r="I464" s="32"/>
      <c r="J464" s="32" t="str">
        <f>IF(VLOOKUP(B464,'0. Instruções'!$C$27:$G$32,5,FALSE)=0,
"(SELECT "&amp;VLOOKUP(B464,'0. Instruções'!$C$27:$G$32,4,FALSE)&amp;" AS CHAVE_IT, "&amp;C464&amp;" AS CAMPO_IT FROM "&amp;E464&amp;" WHERE "&amp;'0. Instruções'!$D$43&amp;")X",
"(SELECT "&amp;VLOOKUP(B464,'0. Instruções'!$C$27:$G$32,4,FALSE)&amp;" AS CHAVE_IT1, "&amp;VLOOKUP(B464,'0. Instruções'!$C$27:$G$32,5,FALSE)&amp;" AS CHAVE_IT2, "&amp;C464&amp;" AS CAMPO_IT FROM "&amp;E464&amp;" WHERE "&amp;'0. Instruções'!$D$43&amp;")X")</f>
        <v>(SELECT entty_id AS CHAVE_IT, ec_grp_id AS CAMPO_IT FROM CD_LOAN_TAPES_BCE.LT003_ENTITY WHERE ref_date='${ref_date}' AND nome_perimetro='Individual Local' AND segmento='ESTR' AND ambito='PM' AND entidade='00100')X</v>
      </c>
      <c r="K464" s="32" t="str">
        <f>IF(VLOOKUP(B464,'0. Instruções'!$C$27:$G$32,5,FALSE)=0,
"(SELECT "&amp;VLOOKUP(B464,'0. Instruções'!$C$27:$G$32,4,FALSE)&amp;" AS CHAVE_SIMUL, "&amp;C464&amp;" AS CAMPO_SIMUL FROM "&amp;F464&amp;" WHERE "&amp;'0. Instruções'!$D$42&amp;")Y",
"(SELECT "&amp;VLOOKUP(B464,'0. Instruções'!$C$27:$G$32,4,FALSE)&amp;" AS CHAVE_SIMUL1, "&amp;VLOOKUP(B464,'0. Instruções'!$C$27:$G$32,5,FALSE)&amp;" AS CHAVE_SIMUL2, "&amp;C464&amp;" AS CAMPO_SIMUL FROM "&amp;F464&amp;" WHERE "&amp;'0. Instruções'!$D$42&amp;")Y")</f>
        <v>(SELECT entty_id AS CHAVE_SIMUL, ec_grp_id AS CAMPO_SIMUL FROM BU_LOANTAPE_WORK.LT003_ENTITY WHERE ref_date='${ref_date}' AND nome_perimetro='Individual Local' AND segmento='ESTR' AND ambito='PM' AND entidade='00100')Y</v>
      </c>
      <c r="L464" s="32" t="str">
        <f>IF(VLOOKUP(B464,'0. Instruções'!$C$27:$G$32,5,FALSE)=0,
"ON X.CHAVE_IT=Y.CHAVE_SIMUL",
"ON X.CHAVE_IT1=Y.CHAVE_SIMUL1 AND X.CHAVE_IT2=Y.CHAVE_SIMUL2")</f>
        <v>ON X.CHAVE_IT=Y.CHAVE_SIMUL</v>
      </c>
      <c r="M464" s="32" t="str">
        <f>+IF(D464="Coerência",+IF(LEFT(H464,5)="FLOAT","SELECT '"&amp;UPPER(B464)&amp;"' AS TABELA, '"&amp;UPPER(D464)&amp;"' AS TIPOLOGIA_TESTE,'"&amp;E464&amp;"' AS TABELA_LT,'"&amp;F464&amp;"' AS TABELA_SIMUL,'"&amp;C464&amp;"'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"&amp;J464&amp;" INNER JOIN "&amp;K464&amp;" "&amp;L464,"SELECT '"&amp;UPPER(B464)&amp;"' AS TABELA, '"&amp;UPPER(D464)&amp;"' AS TIPOLOGIA_TESTE,'"&amp;E464&amp;"' AS TABELA_LT,'"&amp;F464&amp;"' AS TABELA_SIMUL,'"&amp;C464&amp;"'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"&amp;J464&amp;" INNER JOIN "&amp;K464&amp;" "&amp;L464))</f>
        <v>SELECT 'ENTITY' AS TABELA, 'COERÊNCIA' AS TIPOLOGIA_TESTE,'CD_LOAN_TAPES_BCE.LT003_ENTITY' AS TABELA_LT,'BU_LOANTAPE_WORK.LT003_ENTITY' AS TABELA_SIMUL,'ec_grp_id'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ec_grp_id AS CAMPO_IT FROM CD_LOAN_TAPES_BCE.LT003_ENTITY WHERE ref_date='${ref_date}' AND nome_perimetro='Individual Local' AND segmento='ESTR' AND ambito='PM' AND entidade='00100')X INNER JOIN (SELECT entty_id AS CHAVE_SIMUL, ec_grp_id AS CAMPO_SIMUL FROM BU_LOANTAPE_WORK.LT003_ENTITY WHERE ref_date='${ref_date}' AND nome_perimetro='Individual Local' AND segmento='ESTR' AND ambito='PM' AND entidade='00100')Y ON X.CHAVE_IT=Y.CHAVE_SIMUL</v>
      </c>
      <c r="N464" s="33" t="str">
        <f t="shared" si="15"/>
        <v>UNION ALL SELECT 'ENTITY' AS TABELA, 'COERÊNCIA' AS TIPOLOGIA_TESTE,'CD_LOAN_TAPES_BCE.LT003_ENTITY' AS TABELA_LT,'BU_LOANTAPE_WORK.LT003_ENTITY' AS TABELA_SIMUL,'ec_grp_id'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ec_grp_id AS CAMPO_IT FROM CD_LOAN_TAPES_BCE.LT003_ENTITY WHERE ref_date='${ref_date}' AND nome_perimetro='Individual Local' AND segmento='ESTR' AND ambito='PM' AND entidade='00100')X INNER JOIN (SELECT entty_id AS CHAVE_SIMUL, ec_grp_id AS CAMPO_SIMUL FROM BU_LOANTAPE_WORK.LT003_ENTITY WHERE ref_date='${ref_date}' AND nome_perimetro='Individual Local' AND segmento='ESTR' AND ambito='PM' AND entidade='00100')Y ON X.CHAVE_IT=Y.CHAVE_SIMUL</v>
      </c>
      <c r="O464" s="35" t="s">
        <v>35</v>
      </c>
    </row>
    <row r="465" spans="1:15">
      <c r="A465" s="57" t="str">
        <f t="shared" si="16"/>
        <v>Entityec_grp_nm</v>
      </c>
      <c r="B465" s="32" t="s">
        <v>60</v>
      </c>
      <c r="C465" s="32" t="s">
        <v>177</v>
      </c>
      <c r="D465" s="32" t="s">
        <v>5</v>
      </c>
      <c r="E465" s="32" t="str">
        <f>+UPPER('0. Instruções'!$D$35&amp;"."&amp;VLOOKUP(B465,'0. Instruções'!$C$27:$D$32,2,FALSE))</f>
        <v>CD_LOAN_TAPES_BCE.LT003_ENTITY</v>
      </c>
      <c r="F465" s="32" t="str">
        <f>+UPPER('0. Instruções'!$D$36&amp;"."&amp;VLOOKUP(B465,'0. Instruções'!$C$27:$E$32,3,FALSE))</f>
        <v>BU_LOANTAPE_WORK.LT003_ENTITY</v>
      </c>
      <c r="H465" s="32"/>
      <c r="I465" s="32"/>
      <c r="J465" s="32" t="str">
        <f>IF(VLOOKUP(B465,'0. Instruções'!$C$27:$G$32,5,FALSE)=0,
"(SELECT "&amp;VLOOKUP(B465,'0. Instruções'!$C$27:$G$32,4,FALSE)&amp;" AS CHAVE_IT, "&amp;C465&amp;" AS CAMPO_IT FROM "&amp;E465&amp;" WHERE "&amp;'0. Instruções'!$D$43&amp;")X",
"(SELECT "&amp;VLOOKUP(B465,'0. Instruções'!$C$27:$G$32,4,FALSE)&amp;" AS CHAVE_IT1, "&amp;VLOOKUP(B465,'0. Instruções'!$C$27:$G$32,5,FALSE)&amp;" AS CHAVE_IT2, "&amp;C465&amp;" AS CAMPO_IT FROM "&amp;E465&amp;" WHERE "&amp;'0. Instruções'!$D$43&amp;")X")</f>
        <v>(SELECT entty_id AS CHAVE_IT, ec_grp_nm AS CAMPO_IT FROM CD_LOAN_TAPES_BCE.LT003_ENTITY WHERE ref_date='${ref_date}' AND nome_perimetro='Individual Local' AND segmento='ESTR' AND ambito='PM' AND entidade='00100')X</v>
      </c>
      <c r="K465" s="32" t="str">
        <f>IF(VLOOKUP(B465,'0. Instruções'!$C$27:$G$32,5,FALSE)=0,
"(SELECT "&amp;VLOOKUP(B465,'0. Instruções'!$C$27:$G$32,4,FALSE)&amp;" AS CHAVE_SIMUL, "&amp;C465&amp;" AS CAMPO_SIMUL FROM "&amp;F465&amp;" WHERE "&amp;'0. Instruções'!$D$42&amp;")Y",
"(SELECT "&amp;VLOOKUP(B465,'0. Instruções'!$C$27:$G$32,4,FALSE)&amp;" AS CHAVE_SIMUL1, "&amp;VLOOKUP(B465,'0. Instruções'!$C$27:$G$32,5,FALSE)&amp;" AS CHAVE_SIMUL2, "&amp;C465&amp;" AS CAMPO_SIMUL FROM "&amp;F465&amp;" WHERE "&amp;'0. Instruções'!$D$42&amp;")Y")</f>
        <v>(SELECT entty_id AS CHAVE_SIMUL, ec_grp_nm AS CAMPO_SIMUL FROM BU_LOANTAPE_WORK.LT003_ENTITY WHERE ref_date='${ref_date}' AND nome_perimetro='Individual Local' AND segmento='ESTR' AND ambito='PM' AND entidade='00100')Y</v>
      </c>
      <c r="L465" s="32" t="str">
        <f>IF(VLOOKUP(B465,'0. Instruções'!$C$27:$G$32,5,FALSE)=0,
"ON X.CHAVE_IT=Y.CHAVE_SIMUL",
"ON X.CHAVE_IT1=Y.CHAVE_SIMUL1 AND X.CHAVE_IT2=Y.CHAVE_SIMUL2")</f>
        <v>ON X.CHAVE_IT=Y.CHAVE_SIMUL</v>
      </c>
      <c r="M465" s="32" t="str">
        <f>+IF(D465="Coerência",+IF(LEFT(H465,5)="FLOAT","SELECT '"&amp;UPPER(B465)&amp;"' AS TABELA, '"&amp;UPPER(D465)&amp;"' AS TIPOLOGIA_TESTE,'"&amp;E465&amp;"' AS TABELA_LT,'"&amp;F465&amp;"' AS TABELA_SIMUL,'"&amp;C465&amp;"'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"&amp;J465&amp;" INNER JOIN "&amp;K465&amp;" "&amp;L465,"SELECT '"&amp;UPPER(B465)&amp;"' AS TABELA, '"&amp;UPPER(D465)&amp;"' AS TIPOLOGIA_TESTE,'"&amp;E465&amp;"' AS TABELA_LT,'"&amp;F465&amp;"' AS TABELA_SIMUL,'"&amp;C465&amp;"'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"&amp;J465&amp;" INNER JOIN "&amp;K465&amp;" "&amp;L465))</f>
        <v>SELECT 'ENTITY' AS TABELA, 'COERÊNCIA' AS TIPOLOGIA_TESTE,'CD_LOAN_TAPES_BCE.LT003_ENTITY' AS TABELA_LT,'BU_LOANTAPE_WORK.LT003_ENTITY' AS TABELA_SIMUL,'ec_grp_nm'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ec_grp_nm AS CAMPO_IT FROM CD_LOAN_TAPES_BCE.LT003_ENTITY WHERE ref_date='${ref_date}' AND nome_perimetro='Individual Local' AND segmento='ESTR' AND ambito='PM' AND entidade='00100')X INNER JOIN (SELECT entty_id AS CHAVE_SIMUL, ec_grp_nm AS CAMPO_SIMUL FROM BU_LOANTAPE_WORK.LT003_ENTITY WHERE ref_date='${ref_date}' AND nome_perimetro='Individual Local' AND segmento='ESTR' AND ambito='PM' AND entidade='00100')Y ON X.CHAVE_IT=Y.CHAVE_SIMUL</v>
      </c>
      <c r="N465" s="33" t="str">
        <f t="shared" si="15"/>
        <v>UNION ALL SELECT 'ENTITY' AS TABELA, 'COERÊNCIA' AS TIPOLOGIA_TESTE,'CD_LOAN_TAPES_BCE.LT003_ENTITY' AS TABELA_LT,'BU_LOANTAPE_WORK.LT003_ENTITY' AS TABELA_SIMUL,'ec_grp_nm'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ec_grp_nm AS CAMPO_IT FROM CD_LOAN_TAPES_BCE.LT003_ENTITY WHERE ref_date='${ref_date}' AND nome_perimetro='Individual Local' AND segmento='ESTR' AND ambito='PM' AND entidade='00100')X INNER JOIN (SELECT entty_id AS CHAVE_SIMUL, ec_grp_nm AS CAMPO_SIMUL FROM BU_LOANTAPE_WORK.LT003_ENTITY WHERE ref_date='${ref_date}' AND nome_perimetro='Individual Local' AND segmento='ESTR' AND ambito='PM' AND entidade='00100')Y ON X.CHAVE_IT=Y.CHAVE_SIMUL</v>
      </c>
      <c r="O465" s="35" t="s">
        <v>35</v>
      </c>
    </row>
    <row r="466" spans="1:15">
      <c r="A466" s="57" t="str">
        <f t="shared" si="16"/>
        <v>Entityprsn_typ</v>
      </c>
      <c r="B466" s="32" t="s">
        <v>60</v>
      </c>
      <c r="C466" s="32" t="s">
        <v>582</v>
      </c>
      <c r="D466" s="32" t="s">
        <v>5</v>
      </c>
      <c r="E466" s="32" t="str">
        <f>+UPPER('0. Instruções'!$D$35&amp;"."&amp;VLOOKUP(B466,'0. Instruções'!$C$27:$D$32,2,FALSE))</f>
        <v>CD_LOAN_TAPES_BCE.LT003_ENTITY</v>
      </c>
      <c r="F466" s="32" t="str">
        <f>+UPPER('0. Instruções'!$D$36&amp;"."&amp;VLOOKUP(B466,'0. Instruções'!$C$27:$E$32,3,FALSE))</f>
        <v>BU_LOANTAPE_WORK.LT003_ENTITY</v>
      </c>
      <c r="H466" s="32"/>
      <c r="I466" s="32"/>
      <c r="J466" s="32" t="str">
        <f>IF(VLOOKUP(B466,'0. Instruções'!$C$27:$G$32,5,FALSE)=0,
"(SELECT "&amp;VLOOKUP(B466,'0. Instruções'!$C$27:$G$32,4,FALSE)&amp;" AS CHAVE_IT, "&amp;C466&amp;" AS CAMPO_IT FROM "&amp;E466&amp;" WHERE "&amp;'0. Instruções'!$D$43&amp;")X",
"(SELECT "&amp;VLOOKUP(B466,'0. Instruções'!$C$27:$G$32,4,FALSE)&amp;" AS CHAVE_IT1, "&amp;VLOOKUP(B466,'0. Instruções'!$C$27:$G$32,5,FALSE)&amp;" AS CHAVE_IT2, "&amp;C466&amp;" AS CAMPO_IT FROM "&amp;E466&amp;" WHERE "&amp;'0. Instruções'!$D$43&amp;")X")</f>
        <v>(SELECT entty_id AS CHAVE_IT, prsn_typ AS CAMPO_IT FROM CD_LOAN_TAPES_BCE.LT003_ENTITY WHERE ref_date='${ref_date}' AND nome_perimetro='Individual Local' AND segmento='ESTR' AND ambito='PM' AND entidade='00100')X</v>
      </c>
      <c r="K466" s="32" t="str">
        <f>IF(VLOOKUP(B466,'0. Instruções'!$C$27:$G$32,5,FALSE)=0,
"(SELECT "&amp;VLOOKUP(B466,'0. Instruções'!$C$27:$G$32,4,FALSE)&amp;" AS CHAVE_SIMUL, "&amp;C466&amp;" AS CAMPO_SIMUL FROM "&amp;F466&amp;" WHERE "&amp;'0. Instruções'!$D$42&amp;")Y",
"(SELECT "&amp;VLOOKUP(B466,'0. Instruções'!$C$27:$G$32,4,FALSE)&amp;" AS CHAVE_SIMUL1, "&amp;VLOOKUP(B466,'0. Instruções'!$C$27:$G$32,5,FALSE)&amp;" AS CHAVE_SIMUL2, "&amp;C466&amp;" AS CAMPO_SIMUL FROM "&amp;F466&amp;" WHERE "&amp;'0. Instruções'!$D$42&amp;")Y")</f>
        <v>(SELECT entty_id AS CHAVE_SIMUL, prsn_typ AS CAMPO_SIMUL FROM BU_LOANTAPE_WORK.LT003_ENTITY WHERE ref_date='${ref_date}' AND nome_perimetro='Individual Local' AND segmento='ESTR' AND ambito='PM' AND entidade='00100')Y</v>
      </c>
      <c r="L466" s="32" t="str">
        <f>IF(VLOOKUP(B466,'0. Instruções'!$C$27:$G$32,5,FALSE)=0,
"ON X.CHAVE_IT=Y.CHAVE_SIMUL",
"ON X.CHAVE_IT1=Y.CHAVE_SIMUL1 AND X.CHAVE_IT2=Y.CHAVE_SIMUL2")</f>
        <v>ON X.CHAVE_IT=Y.CHAVE_SIMUL</v>
      </c>
      <c r="M466" s="32" t="str">
        <f>+IF(D466="Coerência",+IF(LEFT(H466,5)="FLOAT","SELECT '"&amp;UPPER(B466)&amp;"' AS TABELA, '"&amp;UPPER(D466)&amp;"' AS TIPOLOGIA_TESTE,'"&amp;E466&amp;"' AS TABELA_LT,'"&amp;F466&amp;"' AS TABELA_SIMUL,'"&amp;C466&amp;"'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"&amp;J466&amp;" INNER JOIN "&amp;K466&amp;" "&amp;L466,"SELECT '"&amp;UPPER(B466)&amp;"' AS TABELA, '"&amp;UPPER(D466)&amp;"' AS TIPOLOGIA_TESTE,'"&amp;E466&amp;"' AS TABELA_LT,'"&amp;F466&amp;"' AS TABELA_SIMUL,'"&amp;C466&amp;"'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"&amp;J466&amp;" INNER JOIN "&amp;K466&amp;" "&amp;L466))</f>
        <v>SELECT 'ENTITY' AS TABELA, 'COERÊNCIA' AS TIPOLOGIA_TESTE,'CD_LOAN_TAPES_BCE.LT003_ENTITY' AS TABELA_LT,'BU_LOANTAPE_WORK.LT003_ENTITY' AS TABELA_SIMUL,'prsn_typ'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prsn_typ AS CAMPO_IT FROM CD_LOAN_TAPES_BCE.LT003_ENTITY WHERE ref_date='${ref_date}' AND nome_perimetro='Individual Local' AND segmento='ESTR' AND ambito='PM' AND entidade='00100')X INNER JOIN (SELECT entty_id AS CHAVE_SIMUL, prsn_typ AS CAMPO_SIMUL FROM BU_LOANTAPE_WORK.LT003_ENTITY WHERE ref_date='${ref_date}' AND nome_perimetro='Individual Local' AND segmento='ESTR' AND ambito='PM' AND entidade='00100')Y ON X.CHAVE_IT=Y.CHAVE_SIMUL</v>
      </c>
      <c r="N466" s="33" t="str">
        <f t="shared" si="15"/>
        <v>UNION ALL SELECT 'ENTITY' AS TABELA, 'COERÊNCIA' AS TIPOLOGIA_TESTE,'CD_LOAN_TAPES_BCE.LT003_ENTITY' AS TABELA_LT,'BU_LOANTAPE_WORK.LT003_ENTITY' AS TABELA_SIMUL,'prsn_typ'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prsn_typ AS CAMPO_IT FROM CD_LOAN_TAPES_BCE.LT003_ENTITY WHERE ref_date='${ref_date}' AND nome_perimetro='Individual Local' AND segmento='ESTR' AND ambito='PM' AND entidade='00100')X INNER JOIN (SELECT entty_id AS CHAVE_SIMUL, prsn_typ AS CAMPO_SIMUL FROM BU_LOANTAPE_WORK.LT003_ENTITY WHERE ref_date='${ref_date}' AND nome_perimetro='Individual Local' AND segmento='ESTR' AND ambito='PM' AND entidade='00100')Y ON X.CHAVE_IT=Y.CHAVE_SIMUL</v>
      </c>
      <c r="O466" s="35" t="s">
        <v>35</v>
      </c>
    </row>
    <row r="467" spans="1:15">
      <c r="A467" s="57" t="str">
        <f t="shared" si="16"/>
        <v>Entityfr_csh_flw</v>
      </c>
      <c r="B467" s="32" t="s">
        <v>60</v>
      </c>
      <c r="C467" s="32" t="s">
        <v>583</v>
      </c>
      <c r="D467" s="32" t="s">
        <v>5</v>
      </c>
      <c r="E467" s="32" t="str">
        <f>+UPPER('0. Instruções'!$D$35&amp;"."&amp;VLOOKUP(B467,'0. Instruções'!$C$27:$D$32,2,FALSE))</f>
        <v>CD_LOAN_TAPES_BCE.LT003_ENTITY</v>
      </c>
      <c r="F467" s="32" t="str">
        <f>+UPPER('0. Instruções'!$D$36&amp;"."&amp;VLOOKUP(B467,'0. Instruções'!$C$27:$E$32,3,FALSE))</f>
        <v>BU_LOANTAPE_WORK.LT003_ENTITY</v>
      </c>
      <c r="H467" s="32"/>
      <c r="I467" s="32"/>
      <c r="J467" s="32" t="str">
        <f>IF(VLOOKUP(B467,'0. Instruções'!$C$27:$G$32,5,FALSE)=0,
"(SELECT "&amp;VLOOKUP(B467,'0. Instruções'!$C$27:$G$32,4,FALSE)&amp;" AS CHAVE_IT, "&amp;C467&amp;" AS CAMPO_IT FROM "&amp;E467&amp;" WHERE "&amp;'0. Instruções'!$D$43&amp;")X",
"(SELECT "&amp;VLOOKUP(B467,'0. Instruções'!$C$27:$G$32,4,FALSE)&amp;" AS CHAVE_IT1, "&amp;VLOOKUP(B467,'0. Instruções'!$C$27:$G$32,5,FALSE)&amp;" AS CHAVE_IT2, "&amp;C467&amp;" AS CAMPO_IT FROM "&amp;E467&amp;" WHERE "&amp;'0. Instruções'!$D$43&amp;")X")</f>
        <v>(SELECT entty_id AS CHAVE_IT, fr_csh_flw AS CAMPO_IT FROM CD_LOAN_TAPES_BCE.LT003_ENTITY WHERE ref_date='${ref_date}' AND nome_perimetro='Individual Local' AND segmento='ESTR' AND ambito='PM' AND entidade='00100')X</v>
      </c>
      <c r="K467" s="32" t="str">
        <f>IF(VLOOKUP(B467,'0. Instruções'!$C$27:$G$32,5,FALSE)=0,
"(SELECT "&amp;VLOOKUP(B467,'0. Instruções'!$C$27:$G$32,4,FALSE)&amp;" AS CHAVE_SIMUL, "&amp;C467&amp;" AS CAMPO_SIMUL FROM "&amp;F467&amp;" WHERE "&amp;'0. Instruções'!$D$42&amp;")Y",
"(SELECT "&amp;VLOOKUP(B467,'0. Instruções'!$C$27:$G$32,4,FALSE)&amp;" AS CHAVE_SIMUL1, "&amp;VLOOKUP(B467,'0. Instruções'!$C$27:$G$32,5,FALSE)&amp;" AS CHAVE_SIMUL2, "&amp;C467&amp;" AS CAMPO_SIMUL FROM "&amp;F467&amp;" WHERE "&amp;'0. Instruções'!$D$42&amp;")Y")</f>
        <v>(SELECT entty_id AS CHAVE_SIMUL, fr_csh_flw AS CAMPO_SIMUL FROM BU_LOANTAPE_WORK.LT003_ENTITY WHERE ref_date='${ref_date}' AND nome_perimetro='Individual Local' AND segmento='ESTR' AND ambito='PM' AND entidade='00100')Y</v>
      </c>
      <c r="L467" s="32" t="str">
        <f>IF(VLOOKUP(B467,'0. Instruções'!$C$27:$G$32,5,FALSE)=0,
"ON X.CHAVE_IT=Y.CHAVE_SIMUL",
"ON X.CHAVE_IT1=Y.CHAVE_SIMUL1 AND X.CHAVE_IT2=Y.CHAVE_SIMUL2")</f>
        <v>ON X.CHAVE_IT=Y.CHAVE_SIMUL</v>
      </c>
      <c r="M467" s="32" t="str">
        <f>+IF(D467="Coerência",+IF(LEFT(H467,5)="FLOAT","SELECT '"&amp;UPPER(B467)&amp;"' AS TABELA, '"&amp;UPPER(D467)&amp;"' AS TIPOLOGIA_TESTE,'"&amp;E467&amp;"' AS TABELA_LT,'"&amp;F467&amp;"' AS TABELA_SIMUL,'"&amp;C467&amp;"'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"&amp;J467&amp;" INNER JOIN "&amp;K467&amp;" "&amp;L467,"SELECT '"&amp;UPPER(B467)&amp;"' AS TABELA, '"&amp;UPPER(D467)&amp;"' AS TIPOLOGIA_TESTE,'"&amp;E467&amp;"' AS TABELA_LT,'"&amp;F467&amp;"' AS TABELA_SIMUL,'"&amp;C467&amp;"'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"&amp;J467&amp;" INNER JOIN "&amp;K467&amp;" "&amp;L467))</f>
        <v>SELECT 'ENTITY' AS TABELA, 'COERÊNCIA' AS TIPOLOGIA_TESTE,'CD_LOAN_TAPES_BCE.LT003_ENTITY' AS TABELA_LT,'BU_LOANTAPE_WORK.LT003_ENTITY' AS TABELA_SIMUL,'fr_csh_flw'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 AS CAMPO_IT FROM CD_LOAN_TAPES_BCE.LT003_ENTITY WHERE ref_date='${ref_date}' AND nome_perimetro='Individual Local' AND segmento='ESTR' AND ambito='PM' AND entidade='00100')X INNER JOIN (SELECT entty_id AS CHAVE_SIMUL, fr_csh_flw AS CAMPO_SIMUL FROM BU_LOANTAPE_WORK.LT003_ENTITY WHERE ref_date='${ref_date}' AND nome_perimetro='Individual Local' AND segmento='ESTR' AND ambito='PM' AND entidade='00100')Y ON X.CHAVE_IT=Y.CHAVE_SIMUL</v>
      </c>
      <c r="N467" s="33" t="str">
        <f t="shared" si="15"/>
        <v>UNION ALL SELECT 'ENTITY' AS TABELA, 'COERÊNCIA' AS TIPOLOGIA_TESTE,'CD_LOAN_TAPES_BCE.LT003_ENTITY' AS TABELA_LT,'BU_LOANTAPE_WORK.LT003_ENTITY' AS TABELA_SIMUL,'fr_csh_flw'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 AS CAMPO_IT FROM CD_LOAN_TAPES_BCE.LT003_ENTITY WHERE ref_date='${ref_date}' AND nome_perimetro='Individual Local' AND segmento='ESTR' AND ambito='PM' AND entidade='00100')X INNER JOIN (SELECT entty_id AS CHAVE_SIMUL, fr_csh_flw AS CAMPO_SIMUL FROM BU_LOANTAPE_WORK.LT003_ENTITY WHERE ref_date='${ref_date}' AND nome_perimetro='Individual Local' AND segmento='ESTR' AND ambito='PM' AND entidade='00100')Y ON X.CHAVE_IT=Y.CHAVE_SIMUL</v>
      </c>
      <c r="O467" s="35" t="s">
        <v>35</v>
      </c>
    </row>
    <row r="468" spans="1:15">
      <c r="A468" s="57" t="str">
        <f t="shared" si="16"/>
        <v>Entityfr_csh_flw_t1</v>
      </c>
      <c r="B468" s="32" t="s">
        <v>60</v>
      </c>
      <c r="C468" s="32" t="s">
        <v>584</v>
      </c>
      <c r="D468" s="32" t="s">
        <v>5</v>
      </c>
      <c r="E468" s="32" t="str">
        <f>+UPPER('0. Instruções'!$D$35&amp;"."&amp;VLOOKUP(B468,'0. Instruções'!$C$27:$D$32,2,FALSE))</f>
        <v>CD_LOAN_TAPES_BCE.LT003_ENTITY</v>
      </c>
      <c r="F468" s="32" t="str">
        <f>+UPPER('0. Instruções'!$D$36&amp;"."&amp;VLOOKUP(B468,'0. Instruções'!$C$27:$E$32,3,FALSE))</f>
        <v>BU_LOANTAPE_WORK.LT003_ENTITY</v>
      </c>
      <c r="H468" s="32"/>
      <c r="I468" s="32"/>
      <c r="J468" s="32" t="str">
        <f>IF(VLOOKUP(B468,'0. Instruções'!$C$27:$G$32,5,FALSE)=0,
"(SELECT "&amp;VLOOKUP(B468,'0. Instruções'!$C$27:$G$32,4,FALSE)&amp;" AS CHAVE_IT, "&amp;C468&amp;" AS CAMPO_IT FROM "&amp;E468&amp;" WHERE "&amp;'0. Instruções'!$D$43&amp;")X",
"(SELECT "&amp;VLOOKUP(B468,'0. Instruções'!$C$27:$G$32,4,FALSE)&amp;" AS CHAVE_IT1, "&amp;VLOOKUP(B468,'0. Instruções'!$C$27:$G$32,5,FALSE)&amp;" AS CHAVE_IT2, "&amp;C468&amp;" AS CAMPO_IT FROM "&amp;E468&amp;" WHERE "&amp;'0. Instruções'!$D$43&amp;")X")</f>
        <v>(SELECT entty_id AS CHAVE_IT, fr_csh_flw_t1 AS CAMPO_IT FROM CD_LOAN_TAPES_BCE.LT003_ENTITY WHERE ref_date='${ref_date}' AND nome_perimetro='Individual Local' AND segmento='ESTR' AND ambito='PM' AND entidade='00100')X</v>
      </c>
      <c r="K468" s="32" t="str">
        <f>IF(VLOOKUP(B468,'0. Instruções'!$C$27:$G$32,5,FALSE)=0,
"(SELECT "&amp;VLOOKUP(B468,'0. Instruções'!$C$27:$G$32,4,FALSE)&amp;" AS CHAVE_SIMUL, "&amp;C468&amp;" AS CAMPO_SIMUL FROM "&amp;F468&amp;" WHERE "&amp;'0. Instruções'!$D$42&amp;")Y",
"(SELECT "&amp;VLOOKUP(B468,'0. Instruções'!$C$27:$G$32,4,FALSE)&amp;" AS CHAVE_SIMUL1, "&amp;VLOOKUP(B468,'0. Instruções'!$C$27:$G$32,5,FALSE)&amp;" AS CHAVE_SIMUL2, "&amp;C468&amp;" AS CAMPO_SIMUL FROM "&amp;F468&amp;" WHERE "&amp;'0. Instruções'!$D$42&amp;")Y")</f>
        <v>(SELECT entty_id AS CHAVE_SIMUL, fr_csh_flw_t1 AS CAMPO_SIMUL FROM BU_LOANTAPE_WORK.LT003_ENTITY WHERE ref_date='${ref_date}' AND nome_perimetro='Individual Local' AND segmento='ESTR' AND ambito='PM' AND entidade='00100')Y</v>
      </c>
      <c r="L468" s="32" t="str">
        <f>IF(VLOOKUP(B468,'0. Instruções'!$C$27:$G$32,5,FALSE)=0,
"ON X.CHAVE_IT=Y.CHAVE_SIMUL",
"ON X.CHAVE_IT1=Y.CHAVE_SIMUL1 AND X.CHAVE_IT2=Y.CHAVE_SIMUL2")</f>
        <v>ON X.CHAVE_IT=Y.CHAVE_SIMUL</v>
      </c>
      <c r="M468" s="32" t="str">
        <f>+IF(D468="Coerência",+IF(LEFT(H468,5)="FLOAT","SELECT '"&amp;UPPER(B468)&amp;"' AS TABELA, '"&amp;UPPER(D468)&amp;"' AS TIPOLOGIA_TESTE,'"&amp;E468&amp;"' AS TABELA_LT,'"&amp;F468&amp;"' AS TABELA_SIMUL,'"&amp;C468&amp;"'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"&amp;J468&amp;" INNER JOIN "&amp;K468&amp;" "&amp;L468,"SELECT '"&amp;UPPER(B468)&amp;"' AS TABELA, '"&amp;UPPER(D468)&amp;"' AS TIPOLOGIA_TESTE,'"&amp;E468&amp;"' AS TABELA_LT,'"&amp;F468&amp;"' AS TABELA_SIMUL,'"&amp;C468&amp;"'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"&amp;J468&amp;" INNER JOIN "&amp;K468&amp;" "&amp;L468))</f>
        <v>SELECT 'ENTITY' AS TABELA, 'COERÊNCIA' AS TIPOLOGIA_TESTE,'CD_LOAN_TAPES_BCE.LT003_ENTITY' AS TABELA_LT,'BU_LOANTAPE_WORK.LT003_ENTITY' AS TABELA_SIMUL,'fr_csh_flw_t1'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fr_csh_flw_t1 AS CAMPO_IT FROM CD_LOAN_TAPES_BCE.LT003_ENTITY WHERE ref_date='${ref_date}' AND nome_perimetro='Individual Local' AND segmento='ESTR' AND ambito='PM' AND entidade='00100')X INNER JOIN (SELECT entty_id AS CHAVE_SIMUL, fr_csh_flw_t1 AS CAMPO_SIMUL FROM BU_LOANTAPE_WORK.LT003_ENTITY WHERE ref_date='${ref_date}' AND nome_perimetro='Individual Local' AND segmento='ESTR' AND ambito='PM' AND entidade='00100')Y ON X.CHAVE_IT=Y.CHAVE_SIMUL</v>
      </c>
      <c r="N468" s="33" t="str">
        <f t="shared" si="15"/>
        <v>UNION ALL SELECT 'ENTITY' AS TABELA, 'COERÊNCIA' AS TIPOLOGIA_TESTE,'CD_LOAN_TAPES_BCE.LT003_ENTITY' AS TABELA_LT,'BU_LOANTAPE_WORK.LT003_ENTITY' AS TABELA_SIMUL,'fr_csh_flw_t1'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fr_csh_flw_t1 AS CAMPO_IT FROM CD_LOAN_TAPES_BCE.LT003_ENTITY WHERE ref_date='${ref_date}' AND nome_perimetro='Individual Local' AND segmento='ESTR' AND ambito='PM' AND entidade='00100')X INNER JOIN (SELECT entty_id AS CHAVE_SIMUL, fr_csh_flw_t1 AS CAMPO_SIMUL FROM BU_LOANTAPE_WORK.LT003_ENTITY WHERE ref_date='${ref_date}' AND nome_perimetro='Individual Local' AND segmento='ESTR' AND ambito='PM' AND entidade='00100')Y ON X.CHAVE_IT=Y.CHAVE_SIMUL</v>
      </c>
      <c r="O468" s="35" t="s">
        <v>35</v>
      </c>
    </row>
    <row r="469" spans="1:15">
      <c r="A469" s="57" t="str">
        <f t="shared" si="16"/>
        <v>Entityfr_csh_flw_t2</v>
      </c>
      <c r="B469" s="32" t="s">
        <v>60</v>
      </c>
      <c r="C469" s="32" t="s">
        <v>585</v>
      </c>
      <c r="D469" s="32" t="s">
        <v>5</v>
      </c>
      <c r="E469" s="32" t="str">
        <f>+UPPER('0. Instruções'!$D$35&amp;"."&amp;VLOOKUP(B469,'0. Instruções'!$C$27:$D$32,2,FALSE))</f>
        <v>CD_LOAN_TAPES_BCE.LT003_ENTITY</v>
      </c>
      <c r="F469" s="32" t="str">
        <f>+UPPER('0. Instruções'!$D$36&amp;"."&amp;VLOOKUP(B469,'0. Instruções'!$C$27:$E$32,3,FALSE))</f>
        <v>BU_LOANTAPE_WORK.LT003_ENTITY</v>
      </c>
      <c r="H469" s="32"/>
      <c r="I469" s="32"/>
      <c r="J469" s="32" t="str">
        <f>IF(VLOOKUP(B469,'0. Instruções'!$C$27:$G$32,5,FALSE)=0,
"(SELECT "&amp;VLOOKUP(B469,'0. Instruções'!$C$27:$G$32,4,FALSE)&amp;" AS CHAVE_IT, "&amp;C469&amp;" AS CAMPO_IT FROM "&amp;E469&amp;" WHERE "&amp;'0. Instruções'!$D$43&amp;")X",
"(SELECT "&amp;VLOOKUP(B469,'0. Instruções'!$C$27:$G$32,4,FALSE)&amp;" AS CHAVE_IT1, "&amp;VLOOKUP(B469,'0. Instruções'!$C$27:$G$32,5,FALSE)&amp;" AS CHAVE_IT2, "&amp;C469&amp;" AS CAMPO_IT FROM "&amp;E469&amp;" WHERE "&amp;'0. Instruções'!$D$43&amp;")X")</f>
        <v>(SELECT entty_id AS CHAVE_IT, fr_csh_flw_t2 AS CAMPO_IT FROM CD_LOAN_TAPES_BCE.LT003_ENTITY WHERE ref_date='${ref_date}' AND nome_perimetro='Individual Local' AND segmento='ESTR' AND ambito='PM' AND entidade='00100')X</v>
      </c>
      <c r="K469" s="32" t="str">
        <f>IF(VLOOKUP(B469,'0. Instruções'!$C$27:$G$32,5,FALSE)=0,
"(SELECT "&amp;VLOOKUP(B469,'0. Instruções'!$C$27:$G$32,4,FALSE)&amp;" AS CHAVE_SIMUL, "&amp;C469&amp;" AS CAMPO_SIMUL FROM "&amp;F469&amp;" WHERE "&amp;'0. Instruções'!$D$42&amp;")Y",
"(SELECT "&amp;VLOOKUP(B469,'0. Instruções'!$C$27:$G$32,4,FALSE)&amp;" AS CHAVE_SIMUL1, "&amp;VLOOKUP(B469,'0. Instruções'!$C$27:$G$32,5,FALSE)&amp;" AS CHAVE_SIMUL2, "&amp;C469&amp;" AS CAMPO_SIMUL FROM "&amp;F469&amp;" WHERE "&amp;'0. Instruções'!$D$42&amp;")Y")</f>
        <v>(SELECT entty_id AS CHAVE_SIMUL, fr_csh_flw_t2 AS CAMPO_SIMUL FROM BU_LOANTAPE_WORK.LT003_ENTITY WHERE ref_date='${ref_date}' AND nome_perimetro='Individual Local' AND segmento='ESTR' AND ambito='PM' AND entidade='00100')Y</v>
      </c>
      <c r="L469" s="32" t="str">
        <f>IF(VLOOKUP(B469,'0. Instruções'!$C$27:$G$32,5,FALSE)=0,
"ON X.CHAVE_IT=Y.CHAVE_SIMUL",
"ON X.CHAVE_IT1=Y.CHAVE_SIMUL1 AND X.CHAVE_IT2=Y.CHAVE_SIMUL2")</f>
        <v>ON X.CHAVE_IT=Y.CHAVE_SIMUL</v>
      </c>
      <c r="M469" s="32" t="str">
        <f>+IF(D469="Coerência",+IF(LEFT(H469,5)="FLOAT","SELECT '"&amp;UPPER(B469)&amp;"' AS TABELA, '"&amp;UPPER(D469)&amp;"' AS TIPOLOGIA_TESTE,'"&amp;E469&amp;"' AS TABELA_LT,'"&amp;F469&amp;"' AS TABELA_SIMUL,'"&amp;C469&amp;"'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"&amp;J469&amp;" INNER JOIN "&amp;K469&amp;" "&amp;L469,"SELECT '"&amp;UPPER(B469)&amp;"' AS TABELA, '"&amp;UPPER(D469)&amp;"' AS TIPOLOGIA_TESTE,'"&amp;E469&amp;"' AS TABELA_LT,'"&amp;F469&amp;"' AS TABELA_SIMUL,'"&amp;C469&amp;"'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"&amp;J469&amp;" INNER JOIN "&amp;K469&amp;" "&amp;L469))</f>
        <v>SELECT 'ENTITY' AS TABELA, 'COERÊNCIA' AS TIPOLOGIA_TESTE,'CD_LOAN_TAPES_BCE.LT003_ENTITY' AS TABELA_LT,'BU_LOANTAPE_WORK.LT003_ENTITY' AS TABELA_SIMUL,'fr_csh_flw_t2'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fr_csh_flw_t2 AS CAMPO_IT FROM CD_LOAN_TAPES_BCE.LT003_ENTITY WHERE ref_date='${ref_date}' AND nome_perimetro='Individual Local' AND segmento='ESTR' AND ambito='PM' AND entidade='00100')X INNER JOIN (SELECT entty_id AS CHAVE_SIMUL, fr_csh_flw_t2 AS CAMPO_SIMUL FROM BU_LOANTAPE_WORK.LT003_ENTITY WHERE ref_date='${ref_date}' AND nome_perimetro='Individual Local' AND segmento='ESTR' AND ambito='PM' AND entidade='00100')Y ON X.CHAVE_IT=Y.CHAVE_SIMUL</v>
      </c>
      <c r="N469" s="33" t="str">
        <f t="shared" si="15"/>
        <v>UNION ALL SELECT 'ENTITY' AS TABELA, 'COERÊNCIA' AS TIPOLOGIA_TESTE,'CD_LOAN_TAPES_BCE.LT003_ENTITY' AS TABELA_LT,'BU_LOANTAPE_WORK.LT003_ENTITY' AS TABELA_SIMUL,'fr_csh_flw_t2'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fr_csh_flw_t2 AS CAMPO_IT FROM CD_LOAN_TAPES_BCE.LT003_ENTITY WHERE ref_date='${ref_date}' AND nome_perimetro='Individual Local' AND segmento='ESTR' AND ambito='PM' AND entidade='00100')X INNER JOIN (SELECT entty_id AS CHAVE_SIMUL, fr_csh_flw_t2 AS CAMPO_SIMUL FROM BU_LOANTAPE_WORK.LT003_ENTITY WHERE ref_date='${ref_date}' AND nome_perimetro='Individual Local' AND segmento='ESTR' AND ambito='PM' AND entidade='00100')Y ON X.CHAVE_IT=Y.CHAVE_SIMUL</v>
      </c>
      <c r="O469" s="35" t="s">
        <v>35</v>
      </c>
    </row>
    <row r="470" spans="1:15">
      <c r="A470" s="57" t="str">
        <f t="shared" si="16"/>
        <v>Entityfr_csh_flw_t3</v>
      </c>
      <c r="B470" s="32" t="s">
        <v>60</v>
      </c>
      <c r="C470" s="32" t="s">
        <v>586</v>
      </c>
      <c r="D470" s="32" t="s">
        <v>5</v>
      </c>
      <c r="E470" s="32" t="str">
        <f>+UPPER('0. Instruções'!$D$35&amp;"."&amp;VLOOKUP(B470,'0. Instruções'!$C$27:$D$32,2,FALSE))</f>
        <v>CD_LOAN_TAPES_BCE.LT003_ENTITY</v>
      </c>
      <c r="F470" s="32" t="str">
        <f>+UPPER('0. Instruções'!$D$36&amp;"."&amp;VLOOKUP(B470,'0. Instruções'!$C$27:$E$32,3,FALSE))</f>
        <v>BU_LOANTAPE_WORK.LT003_ENTITY</v>
      </c>
      <c r="H470" s="32"/>
      <c r="I470" s="32"/>
      <c r="J470" s="32" t="str">
        <f>IF(VLOOKUP(B470,'0. Instruções'!$C$27:$G$32,5,FALSE)=0,
"(SELECT "&amp;VLOOKUP(B470,'0. Instruções'!$C$27:$G$32,4,FALSE)&amp;" AS CHAVE_IT, "&amp;C470&amp;" AS CAMPO_IT FROM "&amp;E470&amp;" WHERE "&amp;'0. Instruções'!$D$43&amp;")X",
"(SELECT "&amp;VLOOKUP(B470,'0. Instruções'!$C$27:$G$32,4,FALSE)&amp;" AS CHAVE_IT1, "&amp;VLOOKUP(B470,'0. Instruções'!$C$27:$G$32,5,FALSE)&amp;" AS CHAVE_IT2, "&amp;C470&amp;" AS CAMPO_IT FROM "&amp;E470&amp;" WHERE "&amp;'0. Instruções'!$D$43&amp;")X")</f>
        <v>(SELECT entty_id AS CHAVE_IT, fr_csh_flw_t3 AS CAMPO_IT FROM CD_LOAN_TAPES_BCE.LT003_ENTITY WHERE ref_date='${ref_date}' AND nome_perimetro='Individual Local' AND segmento='ESTR' AND ambito='PM' AND entidade='00100')X</v>
      </c>
      <c r="K470" s="32" t="str">
        <f>IF(VLOOKUP(B470,'0. Instruções'!$C$27:$G$32,5,FALSE)=0,
"(SELECT "&amp;VLOOKUP(B470,'0. Instruções'!$C$27:$G$32,4,FALSE)&amp;" AS CHAVE_SIMUL, "&amp;C470&amp;" AS CAMPO_SIMUL FROM "&amp;F470&amp;" WHERE "&amp;'0. Instruções'!$D$42&amp;")Y",
"(SELECT "&amp;VLOOKUP(B470,'0. Instruções'!$C$27:$G$32,4,FALSE)&amp;" AS CHAVE_SIMUL1, "&amp;VLOOKUP(B470,'0. Instruções'!$C$27:$G$32,5,FALSE)&amp;" AS CHAVE_SIMUL2, "&amp;C470&amp;" AS CAMPO_SIMUL FROM "&amp;F470&amp;" WHERE "&amp;'0. Instruções'!$D$42&amp;")Y")</f>
        <v>(SELECT entty_id AS CHAVE_SIMUL, fr_csh_flw_t3 AS CAMPO_SIMUL FROM BU_LOANTAPE_WORK.LT003_ENTITY WHERE ref_date='${ref_date}' AND nome_perimetro='Individual Local' AND segmento='ESTR' AND ambito='PM' AND entidade='00100')Y</v>
      </c>
      <c r="L470" s="32" t="str">
        <f>IF(VLOOKUP(B470,'0. Instruções'!$C$27:$G$32,5,FALSE)=0,
"ON X.CHAVE_IT=Y.CHAVE_SIMUL",
"ON X.CHAVE_IT1=Y.CHAVE_SIMUL1 AND X.CHAVE_IT2=Y.CHAVE_SIMUL2")</f>
        <v>ON X.CHAVE_IT=Y.CHAVE_SIMUL</v>
      </c>
      <c r="M470" s="32" t="str">
        <f>+IF(D470="Coerência",+IF(LEFT(H470,5)="FLOAT","SELECT '"&amp;UPPER(B470)&amp;"' AS TABELA, '"&amp;UPPER(D470)&amp;"' AS TIPOLOGIA_TESTE,'"&amp;E470&amp;"' AS TABELA_LT,'"&amp;F470&amp;"' AS TABELA_SIMUL,'"&amp;C470&amp;"'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"&amp;J470&amp;" INNER JOIN "&amp;K470&amp;" "&amp;L470,"SELECT '"&amp;UPPER(B470)&amp;"' AS TABELA, '"&amp;UPPER(D470)&amp;"' AS TIPOLOGIA_TESTE,'"&amp;E470&amp;"' AS TABELA_LT,'"&amp;F470&amp;"' AS TABELA_SIMUL,'"&amp;C470&amp;"'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"&amp;J470&amp;" INNER JOIN "&amp;K470&amp;" "&amp;L470))</f>
        <v>SELECT 'ENTITY' AS TABELA, 'COERÊNCIA' AS TIPOLOGIA_TESTE,'CD_LOAN_TAPES_BCE.LT003_ENTITY' AS TABELA_LT,'BU_LOANTAPE_WORK.LT003_ENTITY' AS TABELA_SIMUL,'fr_csh_flw_t3'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fr_csh_flw_t3 AS CAMPO_IT FROM CD_LOAN_TAPES_BCE.LT003_ENTITY WHERE ref_date='${ref_date}' AND nome_perimetro='Individual Local' AND segmento='ESTR' AND ambito='PM' AND entidade='00100')X INNER JOIN (SELECT entty_id AS CHAVE_SIMUL, fr_csh_flw_t3 AS CAMPO_SIMUL FROM BU_LOANTAPE_WORK.LT003_ENTITY WHERE ref_date='${ref_date}' AND nome_perimetro='Individual Local' AND segmento='ESTR' AND ambito='PM' AND entidade='00100')Y ON X.CHAVE_IT=Y.CHAVE_SIMUL</v>
      </c>
      <c r="N470" s="33" t="str">
        <f t="shared" si="15"/>
        <v>UNION ALL SELECT 'ENTITY' AS TABELA, 'COERÊNCIA' AS TIPOLOGIA_TESTE,'CD_LOAN_TAPES_BCE.LT003_ENTITY' AS TABELA_LT,'BU_LOANTAPE_WORK.LT003_ENTITY' AS TABELA_SIMUL,'fr_csh_flw_t3'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fr_csh_flw_t3 AS CAMPO_IT FROM CD_LOAN_TAPES_BCE.LT003_ENTITY WHERE ref_date='${ref_date}' AND nome_perimetro='Individual Local' AND segmento='ESTR' AND ambito='PM' AND entidade='00100')X INNER JOIN (SELECT entty_id AS CHAVE_SIMUL, fr_csh_flw_t3 AS CAMPO_SIMUL FROM BU_LOANTAPE_WORK.LT003_ENTITY WHERE ref_date='${ref_date}' AND nome_perimetro='Individual Local' AND segmento='ESTR' AND ambito='PM' AND entidade='00100')Y ON X.CHAVE_IT=Y.CHAVE_SIMUL</v>
      </c>
      <c r="O470" s="35" t="s">
        <v>35</v>
      </c>
    </row>
    <row r="471" spans="1:15">
      <c r="A471" s="57" t="str">
        <f t="shared" si="16"/>
        <v>Entitynace_esg</v>
      </c>
      <c r="B471" s="32" t="s">
        <v>60</v>
      </c>
      <c r="C471" s="32" t="s">
        <v>86</v>
      </c>
      <c r="D471" s="32" t="s">
        <v>5</v>
      </c>
      <c r="E471" s="32" t="str">
        <f>+UPPER('0. Instruções'!$D$35&amp;"."&amp;VLOOKUP(B471,'0. Instruções'!$C$27:$D$32,2,FALSE))</f>
        <v>CD_LOAN_TAPES_BCE.LT003_ENTITY</v>
      </c>
      <c r="F471" s="32" t="str">
        <f>+UPPER('0. Instruções'!$D$36&amp;"."&amp;VLOOKUP(B471,'0. Instruções'!$C$27:$E$32,3,FALSE))</f>
        <v>BU_LOANTAPE_WORK.LT003_ENTITY</v>
      </c>
      <c r="H471" s="32"/>
      <c r="I471" s="32"/>
      <c r="J471" s="32" t="str">
        <f>IF(VLOOKUP(B471,'0. Instruções'!$C$27:$G$32,5,FALSE)=0,
"(SELECT "&amp;VLOOKUP(B471,'0. Instruções'!$C$27:$G$32,4,FALSE)&amp;" AS CHAVE_IT, "&amp;C471&amp;" AS CAMPO_IT FROM "&amp;E471&amp;" WHERE "&amp;'0. Instruções'!$D$43&amp;")X",
"(SELECT "&amp;VLOOKUP(B471,'0. Instruções'!$C$27:$G$32,4,FALSE)&amp;" AS CHAVE_IT1, "&amp;VLOOKUP(B471,'0. Instruções'!$C$27:$G$32,5,FALSE)&amp;" AS CHAVE_IT2, "&amp;C471&amp;" AS CAMPO_IT FROM "&amp;E471&amp;" WHERE "&amp;'0. Instruções'!$D$43&amp;")X")</f>
        <v>(SELECT entty_id AS CHAVE_IT, nace_esg AS CAMPO_IT FROM CD_LOAN_TAPES_BCE.LT003_ENTITY WHERE ref_date='${ref_date}' AND nome_perimetro='Individual Local' AND segmento='ESTR' AND ambito='PM' AND entidade='00100')X</v>
      </c>
      <c r="K471" s="32" t="str">
        <f>IF(VLOOKUP(B471,'0. Instruções'!$C$27:$G$32,5,FALSE)=0,
"(SELECT "&amp;VLOOKUP(B471,'0. Instruções'!$C$27:$G$32,4,FALSE)&amp;" AS CHAVE_SIMUL, "&amp;C471&amp;" AS CAMPO_SIMUL FROM "&amp;F471&amp;" WHERE "&amp;'0. Instruções'!$D$42&amp;")Y",
"(SELECT "&amp;VLOOKUP(B471,'0. Instruções'!$C$27:$G$32,4,FALSE)&amp;" AS CHAVE_SIMUL1, "&amp;VLOOKUP(B471,'0. Instruções'!$C$27:$G$32,5,FALSE)&amp;" AS CHAVE_SIMUL2, "&amp;C471&amp;" AS CAMPO_SIMUL FROM "&amp;F471&amp;" WHERE "&amp;'0. Instruções'!$D$42&amp;")Y")</f>
        <v>(SELECT entty_id AS CHAVE_SIMUL, nace_esg AS CAMPO_SIMUL FROM BU_LOANTAPE_WORK.LT003_ENTITY WHERE ref_date='${ref_date}' AND nome_perimetro='Individual Local' AND segmento='ESTR' AND ambito='PM' AND entidade='00100')Y</v>
      </c>
      <c r="L471" s="32" t="str">
        <f>IF(VLOOKUP(B471,'0. Instruções'!$C$27:$G$32,5,FALSE)=0,
"ON X.CHAVE_IT=Y.CHAVE_SIMUL",
"ON X.CHAVE_IT1=Y.CHAVE_SIMUL1 AND X.CHAVE_IT2=Y.CHAVE_SIMUL2")</f>
        <v>ON X.CHAVE_IT=Y.CHAVE_SIMUL</v>
      </c>
      <c r="M471" s="32" t="str">
        <f>+IF(D471="Coerência",+IF(LEFT(H471,5)="FLOAT","SELECT '"&amp;UPPER(B471)&amp;"' AS TABELA, '"&amp;UPPER(D471)&amp;"' AS TIPOLOGIA_TESTE,'"&amp;E471&amp;"' AS TABELA_LT,'"&amp;F471&amp;"' AS TABELA_SIMUL,'"&amp;C471&amp;"'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"&amp;J471&amp;" INNER JOIN "&amp;K471&amp;" "&amp;L471,"SELECT '"&amp;UPPER(B471)&amp;"' AS TABELA, '"&amp;UPPER(D471)&amp;"' AS TIPOLOGIA_TESTE,'"&amp;E471&amp;"' AS TABELA_LT,'"&amp;F471&amp;"' AS TABELA_SIMUL,'"&amp;C471&amp;"'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"&amp;J471&amp;" INNER JOIN "&amp;K471&amp;" "&amp;L471))</f>
        <v>SELECT 'ENTITY' AS TABELA, 'COERÊNCIA' AS TIPOLOGIA_TESTE,'CD_LOAN_TAPES_BCE.LT003_ENTITY' AS TABELA_LT,'BU_LOANTAPE_WORK.LT003_ENTITY' AS TABELA_SIMUL,'nace_esg'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nace_esg AS CAMPO_IT FROM CD_LOAN_TAPES_BCE.LT003_ENTITY WHERE ref_date='${ref_date}' AND nome_perimetro='Individual Local' AND segmento='ESTR' AND ambito='PM' AND entidade='00100')X INNER JOIN (SELECT entty_id AS CHAVE_SIMUL, nace_esg AS CAMPO_SIMUL FROM BU_LOANTAPE_WORK.LT003_ENTITY WHERE ref_date='${ref_date}' AND nome_perimetro='Individual Local' AND segmento='ESTR' AND ambito='PM' AND entidade='00100')Y ON X.CHAVE_IT=Y.CHAVE_SIMUL</v>
      </c>
      <c r="N471" s="33" t="str">
        <f t="shared" si="15"/>
        <v>UNION ALL SELECT 'ENTITY' AS TABELA, 'COERÊNCIA' AS TIPOLOGIA_TESTE,'CD_LOAN_TAPES_BCE.LT003_ENTITY' AS TABELA_LT,'BU_LOANTAPE_WORK.LT003_ENTITY' AS TABELA_SIMUL,'nace_esg'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nace_esg AS CAMPO_IT FROM CD_LOAN_TAPES_BCE.LT003_ENTITY WHERE ref_date='${ref_date}' AND nome_perimetro='Individual Local' AND segmento='ESTR' AND ambito='PM' AND entidade='00100')X INNER JOIN (SELECT entty_id AS CHAVE_SIMUL, nace_esg AS CAMPO_SIMUL FROM BU_LOANTAPE_WORK.LT003_ENTITY WHERE ref_date='${ref_date}' AND nome_perimetro='Individual Local' AND segmento='ESTR' AND ambito='PM' AND entidade='00100')Y ON X.CHAVE_IT=Y.CHAVE_SIMUL</v>
      </c>
      <c r="O471" s="35" t="s">
        <v>35</v>
      </c>
    </row>
    <row r="472" spans="1:15">
      <c r="A472" s="57" t="str">
        <f t="shared" si="16"/>
        <v>Entitytxnmy_elgbl_capex_ccm</v>
      </c>
      <c r="B472" s="32" t="s">
        <v>60</v>
      </c>
      <c r="C472" s="32" t="s">
        <v>87</v>
      </c>
      <c r="D472" s="32" t="s">
        <v>5</v>
      </c>
      <c r="E472" s="32" t="str">
        <f>+UPPER('0. Instruções'!$D$35&amp;"."&amp;VLOOKUP(B472,'0. Instruções'!$C$27:$D$32,2,FALSE))</f>
        <v>CD_LOAN_TAPES_BCE.LT003_ENTITY</v>
      </c>
      <c r="F472" s="32" t="str">
        <f>+UPPER('0. Instruções'!$D$36&amp;"."&amp;VLOOKUP(B472,'0. Instruções'!$C$27:$E$32,3,FALSE))</f>
        <v>BU_LOANTAPE_WORK.LT003_ENTITY</v>
      </c>
      <c r="H472" s="32"/>
      <c r="I472" s="32"/>
      <c r="J472" s="32" t="str">
        <f>IF(VLOOKUP(B472,'0. Instruções'!$C$27:$G$32,5,FALSE)=0,
"(SELECT "&amp;VLOOKUP(B472,'0. Instruções'!$C$27:$G$32,4,FALSE)&amp;" AS CHAVE_IT, "&amp;C472&amp;" AS CAMPO_IT FROM "&amp;E472&amp;" WHERE "&amp;'0. Instruções'!$D$43&amp;")X",
"(SELECT "&amp;VLOOKUP(B472,'0. Instruções'!$C$27:$G$32,4,FALSE)&amp;" AS CHAVE_IT1, "&amp;VLOOKUP(B472,'0. Instruções'!$C$27:$G$32,5,FALSE)&amp;" AS CHAVE_IT2, "&amp;C472&amp;" AS CAMPO_IT FROM "&amp;E472&amp;" WHERE "&amp;'0. Instruções'!$D$43&amp;")X")</f>
        <v>(SELECT entty_id AS CHAVE_IT, txnmy_elgbl_capex_ccm AS CAMPO_IT FROM CD_LOAN_TAPES_BCE.LT003_ENTITY WHERE ref_date='${ref_date}' AND nome_perimetro='Individual Local' AND segmento='ESTR' AND ambito='PM' AND entidade='00100')X</v>
      </c>
      <c r="K472" s="32" t="str">
        <f>IF(VLOOKUP(B472,'0. Instruções'!$C$27:$G$32,5,FALSE)=0,
"(SELECT "&amp;VLOOKUP(B472,'0. Instruções'!$C$27:$G$32,4,FALSE)&amp;" AS CHAVE_SIMUL, "&amp;C472&amp;" AS CAMPO_SIMUL FROM "&amp;F472&amp;" WHERE "&amp;'0. Instruções'!$D$42&amp;")Y",
"(SELECT "&amp;VLOOKUP(B472,'0. Instruções'!$C$27:$G$32,4,FALSE)&amp;" AS CHAVE_SIMUL1, "&amp;VLOOKUP(B472,'0. Instruções'!$C$27:$G$32,5,FALSE)&amp;" AS CHAVE_SIMUL2, "&amp;C472&amp;" AS CAMPO_SIMUL FROM "&amp;F472&amp;" WHERE "&amp;'0. Instruções'!$D$42&amp;")Y")</f>
        <v>(SELECT entty_id AS CHAVE_SIMUL, txnmy_elgbl_capex_ccm AS CAMPO_SIMUL FROM BU_LOANTAPE_WORK.LT003_ENTITY WHERE ref_date='${ref_date}' AND nome_perimetro='Individual Local' AND segmento='ESTR' AND ambito='PM' AND entidade='00100')Y</v>
      </c>
      <c r="L472" s="32" t="str">
        <f>IF(VLOOKUP(B472,'0. Instruções'!$C$27:$G$32,5,FALSE)=0,
"ON X.CHAVE_IT=Y.CHAVE_SIMUL",
"ON X.CHAVE_IT1=Y.CHAVE_SIMUL1 AND X.CHAVE_IT2=Y.CHAVE_SIMUL2")</f>
        <v>ON X.CHAVE_IT=Y.CHAVE_SIMUL</v>
      </c>
      <c r="M472" s="32" t="str">
        <f>+IF(D472="Coerência",+IF(LEFT(H472,5)="FLOAT","SELECT '"&amp;UPPER(B472)&amp;"' AS TABELA, '"&amp;UPPER(D472)&amp;"' AS TIPOLOGIA_TESTE,'"&amp;E472&amp;"' AS TABELA_LT,'"&amp;F472&amp;"' AS TABELA_SIMUL,'"&amp;C472&amp;"'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"&amp;J472&amp;" INNER JOIN "&amp;K472&amp;" "&amp;L472,"SELECT '"&amp;UPPER(B472)&amp;"' AS TABELA, '"&amp;UPPER(D472)&amp;"' AS TIPOLOGIA_TESTE,'"&amp;E472&amp;"' AS TABELA_LT,'"&amp;F472&amp;"' AS TABELA_SIMUL,'"&amp;C472&amp;"'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"&amp;J472&amp;" INNER JOIN "&amp;K472&amp;" "&amp;L472))</f>
        <v>SELECT 'ENTITY' AS TABELA, 'COERÊNCIA' AS TIPOLOGIA_TESTE,'CD_LOAN_TAPES_BCE.LT003_ENTITY' AS TABELA_LT,'BU_LOANTAPE_WORK.LT003_ENTITY' AS TABELA_SIMUL,'txnmy_elgbl_capex_ccm'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txnmy_elgbl_capex_ccm AS CAMPO_IT FROM CD_LOAN_TAPES_BCE.LT003_ENTITY WHERE ref_date='${ref_date}' AND nome_perimetro='Individual Local' AND segmento='ESTR' AND ambito='PM' AND entidade='00100')X INNER JOIN (SELECT entty_id AS CHAVE_SIMUL, txnmy_elgbl_capex_ccm AS CAMPO_SIMUL FROM BU_LOANTAPE_WORK.LT003_ENTITY WHERE ref_date='${ref_date}' AND nome_perimetro='Individual Local' AND segmento='ESTR' AND ambito='PM' AND entidade='00100')Y ON X.CHAVE_IT=Y.CHAVE_SIMUL</v>
      </c>
      <c r="N472" s="33" t="str">
        <f t="shared" si="15"/>
        <v>UNION ALL SELECT 'ENTITY' AS TABELA, 'COERÊNCIA' AS TIPOLOGIA_TESTE,'CD_LOAN_TAPES_BCE.LT003_ENTITY' AS TABELA_LT,'BU_LOANTAPE_WORK.LT003_ENTITY' AS TABELA_SIMUL,'txnmy_elgbl_capex_ccm'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txnmy_elgbl_capex_ccm AS CAMPO_IT FROM CD_LOAN_TAPES_BCE.LT003_ENTITY WHERE ref_date='${ref_date}' AND nome_perimetro='Individual Local' AND segmento='ESTR' AND ambito='PM' AND entidade='00100')X INNER JOIN (SELECT entty_id AS CHAVE_SIMUL, txnmy_elgbl_capex_ccm AS CAMPO_SIMUL FROM BU_LOANTAPE_WORK.LT003_ENTITY WHERE ref_date='${ref_date}' AND nome_perimetro='Individual Local' AND segmento='ESTR' AND ambito='PM' AND entidade='00100')Y ON X.CHAVE_IT=Y.CHAVE_SIMUL</v>
      </c>
      <c r="O472" s="35" t="s">
        <v>35</v>
      </c>
    </row>
    <row r="473" spans="1:15">
      <c r="A473" s="57" t="str">
        <f t="shared" si="16"/>
        <v>Entitytxnmy_elgbl_trnvr_ccm</v>
      </c>
      <c r="B473" s="32" t="s">
        <v>60</v>
      </c>
      <c r="C473" s="32" t="s">
        <v>88</v>
      </c>
      <c r="D473" s="32" t="s">
        <v>5</v>
      </c>
      <c r="E473" s="32" t="str">
        <f>+UPPER('0. Instruções'!$D$35&amp;"."&amp;VLOOKUP(B473,'0. Instruções'!$C$27:$D$32,2,FALSE))</f>
        <v>CD_LOAN_TAPES_BCE.LT003_ENTITY</v>
      </c>
      <c r="F473" s="32" t="str">
        <f>+UPPER('0. Instruções'!$D$36&amp;"."&amp;VLOOKUP(B473,'0. Instruções'!$C$27:$E$32,3,FALSE))</f>
        <v>BU_LOANTAPE_WORK.LT003_ENTITY</v>
      </c>
      <c r="H473" s="32"/>
      <c r="I473" s="32"/>
      <c r="J473" s="32" t="str">
        <f>IF(VLOOKUP(B473,'0. Instruções'!$C$27:$G$32,5,FALSE)=0,
"(SELECT "&amp;VLOOKUP(B473,'0. Instruções'!$C$27:$G$32,4,FALSE)&amp;" AS CHAVE_IT, "&amp;C473&amp;" AS CAMPO_IT FROM "&amp;E473&amp;" WHERE "&amp;'0. Instruções'!$D$43&amp;")X",
"(SELECT "&amp;VLOOKUP(B473,'0. Instruções'!$C$27:$G$32,4,FALSE)&amp;" AS CHAVE_IT1, "&amp;VLOOKUP(B473,'0. Instruções'!$C$27:$G$32,5,FALSE)&amp;" AS CHAVE_IT2, "&amp;C473&amp;" AS CAMPO_IT FROM "&amp;E473&amp;" WHERE "&amp;'0. Instruções'!$D$43&amp;")X")</f>
        <v>(SELECT entty_id AS CHAVE_IT, txnmy_elgbl_trnvr_ccm AS CAMPO_IT FROM CD_LOAN_TAPES_BCE.LT003_ENTITY WHERE ref_date='${ref_date}' AND nome_perimetro='Individual Local' AND segmento='ESTR' AND ambito='PM' AND entidade='00100')X</v>
      </c>
      <c r="K473" s="32" t="str">
        <f>IF(VLOOKUP(B473,'0. Instruções'!$C$27:$G$32,5,FALSE)=0,
"(SELECT "&amp;VLOOKUP(B473,'0. Instruções'!$C$27:$G$32,4,FALSE)&amp;" AS CHAVE_SIMUL, "&amp;C473&amp;" AS CAMPO_SIMUL FROM "&amp;F473&amp;" WHERE "&amp;'0. Instruções'!$D$42&amp;")Y",
"(SELECT "&amp;VLOOKUP(B473,'0. Instruções'!$C$27:$G$32,4,FALSE)&amp;" AS CHAVE_SIMUL1, "&amp;VLOOKUP(B473,'0. Instruções'!$C$27:$G$32,5,FALSE)&amp;" AS CHAVE_SIMUL2, "&amp;C473&amp;" AS CAMPO_SIMUL FROM "&amp;F473&amp;" WHERE "&amp;'0. Instruções'!$D$42&amp;")Y")</f>
        <v>(SELECT entty_id AS CHAVE_SIMUL, txnmy_elgbl_trnvr_ccm AS CAMPO_SIMUL FROM BU_LOANTAPE_WORK.LT003_ENTITY WHERE ref_date='${ref_date}' AND nome_perimetro='Individual Local' AND segmento='ESTR' AND ambito='PM' AND entidade='00100')Y</v>
      </c>
      <c r="L473" s="32" t="str">
        <f>IF(VLOOKUP(B473,'0. Instruções'!$C$27:$G$32,5,FALSE)=0,
"ON X.CHAVE_IT=Y.CHAVE_SIMUL",
"ON X.CHAVE_IT1=Y.CHAVE_SIMUL1 AND X.CHAVE_IT2=Y.CHAVE_SIMUL2")</f>
        <v>ON X.CHAVE_IT=Y.CHAVE_SIMUL</v>
      </c>
      <c r="M473" s="32" t="str">
        <f>+IF(D473="Coerência",+IF(LEFT(H473,5)="FLOAT","SELECT '"&amp;UPPER(B473)&amp;"' AS TABELA, '"&amp;UPPER(D473)&amp;"' AS TIPOLOGIA_TESTE,'"&amp;E473&amp;"' AS TABELA_LT,'"&amp;F473&amp;"' AS TABELA_SIMUL,'"&amp;C473&amp;"'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"&amp;J473&amp;" INNER JOIN "&amp;K473&amp;" "&amp;L473,"SELECT '"&amp;UPPER(B473)&amp;"' AS TABELA, '"&amp;UPPER(D473)&amp;"' AS TIPOLOGIA_TESTE,'"&amp;E473&amp;"' AS TABELA_LT,'"&amp;F473&amp;"' AS TABELA_SIMUL,'"&amp;C473&amp;"'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"&amp;J473&amp;" INNER JOIN "&amp;K473&amp;" "&amp;L473))</f>
        <v>SELECT 'ENTITY' AS TABELA, 'COERÊNCIA' AS TIPOLOGIA_TESTE,'CD_LOAN_TAPES_BCE.LT003_ENTITY' AS TABELA_LT,'BU_LOANTAPE_WORK.LT003_ENTITY' AS TABELA_SIMUL,'txnmy_elgbl_trnvr_ccm'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txnmy_elgbl_trnvr_ccm AS CAMPO_IT FROM CD_LOAN_TAPES_BCE.LT003_ENTITY WHERE ref_date='${ref_date}' AND nome_perimetro='Individual Local' AND segmento='ESTR' AND ambito='PM' AND entidade='00100')X INNER JOIN (SELECT entty_id AS CHAVE_SIMUL, txnmy_elgbl_trnvr_ccm AS CAMPO_SIMUL FROM BU_LOANTAPE_WORK.LT003_ENTITY WHERE ref_date='${ref_date}' AND nome_perimetro='Individual Local' AND segmento='ESTR' AND ambito='PM' AND entidade='00100')Y ON X.CHAVE_IT=Y.CHAVE_SIMUL</v>
      </c>
      <c r="N473" s="33" t="str">
        <f t="shared" si="15"/>
        <v>UNION ALL SELECT 'ENTITY' AS TABELA, 'COERÊNCIA' AS TIPOLOGIA_TESTE,'CD_LOAN_TAPES_BCE.LT003_ENTITY' AS TABELA_LT,'BU_LOANTAPE_WORK.LT003_ENTITY' AS TABELA_SIMUL,'txnmy_elgbl_trnvr_ccm'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txnmy_elgbl_trnvr_ccm AS CAMPO_IT FROM CD_LOAN_TAPES_BCE.LT003_ENTITY WHERE ref_date='${ref_date}' AND nome_perimetro='Individual Local' AND segmento='ESTR' AND ambito='PM' AND entidade='00100')X INNER JOIN (SELECT entty_id AS CHAVE_SIMUL, txnmy_elgbl_trnvr_ccm AS CAMPO_SIMUL FROM BU_LOANTAPE_WORK.LT003_ENTITY WHERE ref_date='${ref_date}' AND nome_perimetro='Individual Local' AND segmento='ESTR' AND ambito='PM' AND entidade='00100')Y ON X.CHAVE_IT=Y.CHAVE_SIMUL</v>
      </c>
      <c r="O473" s="35" t="s">
        <v>35</v>
      </c>
    </row>
    <row r="474" spans="1:15">
      <c r="A474" s="57" t="str">
        <f t="shared" si="16"/>
        <v>Entitytxnmy_elgbl_capex_cca</v>
      </c>
      <c r="B474" s="32" t="s">
        <v>60</v>
      </c>
      <c r="C474" s="32" t="s">
        <v>89</v>
      </c>
      <c r="D474" s="32" t="s">
        <v>5</v>
      </c>
      <c r="E474" s="32" t="str">
        <f>+UPPER('0. Instruções'!$D$35&amp;"."&amp;VLOOKUP(B474,'0. Instruções'!$C$27:$D$32,2,FALSE))</f>
        <v>CD_LOAN_TAPES_BCE.LT003_ENTITY</v>
      </c>
      <c r="F474" s="32" t="str">
        <f>+UPPER('0. Instruções'!$D$36&amp;"."&amp;VLOOKUP(B474,'0. Instruções'!$C$27:$E$32,3,FALSE))</f>
        <v>BU_LOANTAPE_WORK.LT003_ENTITY</v>
      </c>
      <c r="H474" s="32"/>
      <c r="I474" s="32"/>
      <c r="J474" s="32" t="str">
        <f>IF(VLOOKUP(B474,'0. Instruções'!$C$27:$G$32,5,FALSE)=0,
"(SELECT "&amp;VLOOKUP(B474,'0. Instruções'!$C$27:$G$32,4,FALSE)&amp;" AS CHAVE_IT, "&amp;C474&amp;" AS CAMPO_IT FROM "&amp;E474&amp;" WHERE "&amp;'0. Instruções'!$D$43&amp;")X",
"(SELECT "&amp;VLOOKUP(B474,'0. Instruções'!$C$27:$G$32,4,FALSE)&amp;" AS CHAVE_IT1, "&amp;VLOOKUP(B474,'0. Instruções'!$C$27:$G$32,5,FALSE)&amp;" AS CHAVE_IT2, "&amp;C474&amp;" AS CAMPO_IT FROM "&amp;E474&amp;" WHERE "&amp;'0. Instruções'!$D$43&amp;")X")</f>
        <v>(SELECT entty_id AS CHAVE_IT, txnmy_elgbl_capex_cca AS CAMPO_IT FROM CD_LOAN_TAPES_BCE.LT003_ENTITY WHERE ref_date='${ref_date}' AND nome_perimetro='Individual Local' AND segmento='ESTR' AND ambito='PM' AND entidade='00100')X</v>
      </c>
      <c r="K474" s="32" t="str">
        <f>IF(VLOOKUP(B474,'0. Instruções'!$C$27:$G$32,5,FALSE)=0,
"(SELECT "&amp;VLOOKUP(B474,'0. Instruções'!$C$27:$G$32,4,FALSE)&amp;" AS CHAVE_SIMUL, "&amp;C474&amp;" AS CAMPO_SIMUL FROM "&amp;F474&amp;" WHERE "&amp;'0. Instruções'!$D$42&amp;")Y",
"(SELECT "&amp;VLOOKUP(B474,'0. Instruções'!$C$27:$G$32,4,FALSE)&amp;" AS CHAVE_SIMUL1, "&amp;VLOOKUP(B474,'0. Instruções'!$C$27:$G$32,5,FALSE)&amp;" AS CHAVE_SIMUL2, "&amp;C474&amp;" AS CAMPO_SIMUL FROM "&amp;F474&amp;" WHERE "&amp;'0. Instruções'!$D$42&amp;")Y")</f>
        <v>(SELECT entty_id AS CHAVE_SIMUL, txnmy_elgbl_capex_cca AS CAMPO_SIMUL FROM BU_LOANTAPE_WORK.LT003_ENTITY WHERE ref_date='${ref_date}' AND nome_perimetro='Individual Local' AND segmento='ESTR' AND ambito='PM' AND entidade='00100')Y</v>
      </c>
      <c r="L474" s="32" t="str">
        <f>IF(VLOOKUP(B474,'0. Instruções'!$C$27:$G$32,5,FALSE)=0,
"ON X.CHAVE_IT=Y.CHAVE_SIMUL",
"ON X.CHAVE_IT1=Y.CHAVE_SIMUL1 AND X.CHAVE_IT2=Y.CHAVE_SIMUL2")</f>
        <v>ON X.CHAVE_IT=Y.CHAVE_SIMUL</v>
      </c>
      <c r="M474" s="32" t="str">
        <f>+IF(D474="Coerência",+IF(LEFT(H474,5)="FLOAT","SELECT '"&amp;UPPER(B474)&amp;"' AS TABELA, '"&amp;UPPER(D474)&amp;"' AS TIPOLOGIA_TESTE,'"&amp;E474&amp;"' AS TABELA_LT,'"&amp;F474&amp;"' AS TABELA_SIMUL,'"&amp;C474&amp;"'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"&amp;J474&amp;" INNER JOIN "&amp;K474&amp;" "&amp;L474,"SELECT '"&amp;UPPER(B474)&amp;"' AS TABELA, '"&amp;UPPER(D474)&amp;"' AS TIPOLOGIA_TESTE,'"&amp;E474&amp;"' AS TABELA_LT,'"&amp;F474&amp;"' AS TABELA_SIMUL,'"&amp;C474&amp;"'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"&amp;J474&amp;" INNER JOIN "&amp;K474&amp;" "&amp;L474))</f>
        <v>SELECT 'ENTITY' AS TABELA, 'COERÊNCIA' AS TIPOLOGIA_TESTE,'CD_LOAN_TAPES_BCE.LT003_ENTITY' AS TABELA_LT,'BU_LOANTAPE_WORK.LT003_ENTITY' AS TABELA_SIMUL,'txnmy_elgbl_capex_cca'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txnmy_elgbl_capex_cca AS CAMPO_IT FROM CD_LOAN_TAPES_BCE.LT003_ENTITY WHERE ref_date='${ref_date}' AND nome_perimetro='Individual Local' AND segmento='ESTR' AND ambito='PM' AND entidade='00100')X INNER JOIN (SELECT entty_id AS CHAVE_SIMUL, txnmy_elgbl_capex_cca AS CAMPO_SIMUL FROM BU_LOANTAPE_WORK.LT003_ENTITY WHERE ref_date='${ref_date}' AND nome_perimetro='Individual Local' AND segmento='ESTR' AND ambito='PM' AND entidade='00100')Y ON X.CHAVE_IT=Y.CHAVE_SIMUL</v>
      </c>
      <c r="N474" s="33" t="str">
        <f t="shared" si="15"/>
        <v>UNION ALL SELECT 'ENTITY' AS TABELA, 'COERÊNCIA' AS TIPOLOGIA_TESTE,'CD_LOAN_TAPES_BCE.LT003_ENTITY' AS TABELA_LT,'BU_LOANTAPE_WORK.LT003_ENTITY' AS TABELA_SIMUL,'txnmy_elgbl_capex_cca'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txnmy_elgbl_capex_cca AS CAMPO_IT FROM CD_LOAN_TAPES_BCE.LT003_ENTITY WHERE ref_date='${ref_date}' AND nome_perimetro='Individual Local' AND segmento='ESTR' AND ambito='PM' AND entidade='00100')X INNER JOIN (SELECT entty_id AS CHAVE_SIMUL, txnmy_elgbl_capex_cca AS CAMPO_SIMUL FROM BU_LOANTAPE_WORK.LT003_ENTITY WHERE ref_date='${ref_date}' AND nome_perimetro='Individual Local' AND segmento='ESTR' AND ambito='PM' AND entidade='00100')Y ON X.CHAVE_IT=Y.CHAVE_SIMUL</v>
      </c>
      <c r="O474" s="35" t="s">
        <v>35</v>
      </c>
    </row>
    <row r="475" spans="1:15">
      <c r="A475" s="57" t="str">
        <f t="shared" si="16"/>
        <v>Entitytxnmy_elgbl_trnvr_cca</v>
      </c>
      <c r="B475" s="32" t="s">
        <v>60</v>
      </c>
      <c r="C475" s="32" t="s">
        <v>90</v>
      </c>
      <c r="D475" s="32" t="s">
        <v>5</v>
      </c>
      <c r="E475" s="32" t="str">
        <f>+UPPER('0. Instruções'!$D$35&amp;"."&amp;VLOOKUP(B475,'0. Instruções'!$C$27:$D$32,2,FALSE))</f>
        <v>CD_LOAN_TAPES_BCE.LT003_ENTITY</v>
      </c>
      <c r="F475" s="32" t="str">
        <f>+UPPER('0. Instruções'!$D$36&amp;"."&amp;VLOOKUP(B475,'0. Instruções'!$C$27:$E$32,3,FALSE))</f>
        <v>BU_LOANTAPE_WORK.LT003_ENTITY</v>
      </c>
      <c r="H475" s="32"/>
      <c r="I475" s="32"/>
      <c r="J475" s="32" t="str">
        <f>IF(VLOOKUP(B475,'0. Instruções'!$C$27:$G$32,5,FALSE)=0,
"(SELECT "&amp;VLOOKUP(B475,'0. Instruções'!$C$27:$G$32,4,FALSE)&amp;" AS CHAVE_IT, "&amp;C475&amp;" AS CAMPO_IT FROM "&amp;E475&amp;" WHERE "&amp;'0. Instruções'!$D$43&amp;")X",
"(SELECT "&amp;VLOOKUP(B475,'0. Instruções'!$C$27:$G$32,4,FALSE)&amp;" AS CHAVE_IT1, "&amp;VLOOKUP(B475,'0. Instruções'!$C$27:$G$32,5,FALSE)&amp;" AS CHAVE_IT2, "&amp;C475&amp;" AS CAMPO_IT FROM "&amp;E475&amp;" WHERE "&amp;'0. Instruções'!$D$43&amp;")X")</f>
        <v>(SELECT entty_id AS CHAVE_IT, txnmy_elgbl_trnvr_cca AS CAMPO_IT FROM CD_LOAN_TAPES_BCE.LT003_ENTITY WHERE ref_date='${ref_date}' AND nome_perimetro='Individual Local' AND segmento='ESTR' AND ambito='PM' AND entidade='00100')X</v>
      </c>
      <c r="K475" s="32" t="str">
        <f>IF(VLOOKUP(B475,'0. Instruções'!$C$27:$G$32,5,FALSE)=0,
"(SELECT "&amp;VLOOKUP(B475,'0. Instruções'!$C$27:$G$32,4,FALSE)&amp;" AS CHAVE_SIMUL, "&amp;C475&amp;" AS CAMPO_SIMUL FROM "&amp;F475&amp;" WHERE "&amp;'0. Instruções'!$D$42&amp;")Y",
"(SELECT "&amp;VLOOKUP(B475,'0. Instruções'!$C$27:$G$32,4,FALSE)&amp;" AS CHAVE_SIMUL1, "&amp;VLOOKUP(B475,'0. Instruções'!$C$27:$G$32,5,FALSE)&amp;" AS CHAVE_SIMUL2, "&amp;C475&amp;" AS CAMPO_SIMUL FROM "&amp;F475&amp;" WHERE "&amp;'0. Instruções'!$D$42&amp;")Y")</f>
        <v>(SELECT entty_id AS CHAVE_SIMUL, txnmy_elgbl_trnvr_cca AS CAMPO_SIMUL FROM BU_LOANTAPE_WORK.LT003_ENTITY WHERE ref_date='${ref_date}' AND nome_perimetro='Individual Local' AND segmento='ESTR' AND ambito='PM' AND entidade='00100')Y</v>
      </c>
      <c r="L475" s="32" t="str">
        <f>IF(VLOOKUP(B475,'0. Instruções'!$C$27:$G$32,5,FALSE)=0,
"ON X.CHAVE_IT=Y.CHAVE_SIMUL",
"ON X.CHAVE_IT1=Y.CHAVE_SIMUL1 AND X.CHAVE_IT2=Y.CHAVE_SIMUL2")</f>
        <v>ON X.CHAVE_IT=Y.CHAVE_SIMUL</v>
      </c>
      <c r="M475" s="32" t="str">
        <f>+IF(D475="Coerência",+IF(LEFT(H475,5)="FLOAT","SELECT '"&amp;UPPER(B475)&amp;"' AS TABELA, '"&amp;UPPER(D475)&amp;"' AS TIPOLOGIA_TESTE,'"&amp;E475&amp;"' AS TABELA_LT,'"&amp;F475&amp;"' AS TABELA_SIMUL,'"&amp;C475&amp;"'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"&amp;J475&amp;" INNER JOIN "&amp;K475&amp;" "&amp;L475,"SELECT '"&amp;UPPER(B475)&amp;"' AS TABELA, '"&amp;UPPER(D475)&amp;"' AS TIPOLOGIA_TESTE,'"&amp;E475&amp;"' AS TABELA_LT,'"&amp;F475&amp;"' AS TABELA_SIMUL,'"&amp;C475&amp;"'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"&amp;J475&amp;" INNER JOIN "&amp;K475&amp;" "&amp;L475))</f>
        <v>SELECT 'ENTITY' AS TABELA, 'COERÊNCIA' AS TIPOLOGIA_TESTE,'CD_LOAN_TAPES_BCE.LT003_ENTITY' AS TABELA_LT,'BU_LOANTAPE_WORK.LT003_ENTITY' AS TABELA_SIMUL,'txnmy_elgbl_trnvr_cca'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txnmy_elgbl_trnvr_cca AS CAMPO_IT FROM CD_LOAN_TAPES_BCE.LT003_ENTITY WHERE ref_date='${ref_date}' AND nome_perimetro='Individual Local' AND segmento='ESTR' AND ambito='PM' AND entidade='00100')X INNER JOIN (SELECT entty_id AS CHAVE_SIMUL, txnmy_elgbl_trnvr_cca AS CAMPO_SIMUL FROM BU_LOANTAPE_WORK.LT003_ENTITY WHERE ref_date='${ref_date}' AND nome_perimetro='Individual Local' AND segmento='ESTR' AND ambito='PM' AND entidade='00100')Y ON X.CHAVE_IT=Y.CHAVE_SIMUL</v>
      </c>
      <c r="N475" s="33" t="str">
        <f t="shared" si="15"/>
        <v>UNION ALL SELECT 'ENTITY' AS TABELA, 'COERÊNCIA' AS TIPOLOGIA_TESTE,'CD_LOAN_TAPES_BCE.LT003_ENTITY' AS TABELA_LT,'BU_LOANTAPE_WORK.LT003_ENTITY' AS TABELA_SIMUL,'txnmy_elgbl_trnvr_cca'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txnmy_elgbl_trnvr_cca AS CAMPO_IT FROM CD_LOAN_TAPES_BCE.LT003_ENTITY WHERE ref_date='${ref_date}' AND nome_perimetro='Individual Local' AND segmento='ESTR' AND ambito='PM' AND entidade='00100')X INNER JOIN (SELECT entty_id AS CHAVE_SIMUL, txnmy_elgbl_trnvr_cca AS CAMPO_SIMUL FROM BU_LOANTAPE_WORK.LT003_ENTITY WHERE ref_date='${ref_date}' AND nome_perimetro='Individual Local' AND segmento='ESTR' AND ambito='PM' AND entidade='00100')Y ON X.CHAVE_IT=Y.CHAVE_SIMUL</v>
      </c>
      <c r="O475" s="35" t="s">
        <v>35</v>
      </c>
    </row>
    <row r="476" spans="1:15">
      <c r="A476" s="57" t="str">
        <f t="shared" si="16"/>
        <v>Entityenblng_capex_ccm</v>
      </c>
      <c r="B476" s="32" t="s">
        <v>60</v>
      </c>
      <c r="C476" s="32" t="s">
        <v>91</v>
      </c>
      <c r="D476" s="32" t="s">
        <v>5</v>
      </c>
      <c r="E476" s="32" t="str">
        <f>+UPPER('0. Instruções'!$D$35&amp;"."&amp;VLOOKUP(B476,'0. Instruções'!$C$27:$D$32,2,FALSE))</f>
        <v>CD_LOAN_TAPES_BCE.LT003_ENTITY</v>
      </c>
      <c r="F476" s="32" t="str">
        <f>+UPPER('0. Instruções'!$D$36&amp;"."&amp;VLOOKUP(B476,'0. Instruções'!$C$27:$E$32,3,FALSE))</f>
        <v>BU_LOANTAPE_WORK.LT003_ENTITY</v>
      </c>
      <c r="H476" s="32"/>
      <c r="I476" s="32"/>
      <c r="J476" s="32" t="str">
        <f>IF(VLOOKUP(B476,'0. Instruções'!$C$27:$G$32,5,FALSE)=0,
"(SELECT "&amp;VLOOKUP(B476,'0. Instruções'!$C$27:$G$32,4,FALSE)&amp;" AS CHAVE_IT, "&amp;C476&amp;" AS CAMPO_IT FROM "&amp;E476&amp;" WHERE "&amp;'0. Instruções'!$D$43&amp;")X",
"(SELECT "&amp;VLOOKUP(B476,'0. Instruções'!$C$27:$G$32,4,FALSE)&amp;" AS CHAVE_IT1, "&amp;VLOOKUP(B476,'0. Instruções'!$C$27:$G$32,5,FALSE)&amp;" AS CHAVE_IT2, "&amp;C476&amp;" AS CAMPO_IT FROM "&amp;E476&amp;" WHERE "&amp;'0. Instruções'!$D$43&amp;")X")</f>
        <v>(SELECT entty_id AS CHAVE_IT, enblng_capex_ccm AS CAMPO_IT FROM CD_LOAN_TAPES_BCE.LT003_ENTITY WHERE ref_date='${ref_date}' AND nome_perimetro='Individual Local' AND segmento='ESTR' AND ambito='PM' AND entidade='00100')X</v>
      </c>
      <c r="K476" s="32" t="str">
        <f>IF(VLOOKUP(B476,'0. Instruções'!$C$27:$G$32,5,FALSE)=0,
"(SELECT "&amp;VLOOKUP(B476,'0. Instruções'!$C$27:$G$32,4,FALSE)&amp;" AS CHAVE_SIMUL, "&amp;C476&amp;" AS CAMPO_SIMUL FROM "&amp;F476&amp;" WHERE "&amp;'0. Instruções'!$D$42&amp;")Y",
"(SELECT "&amp;VLOOKUP(B476,'0. Instruções'!$C$27:$G$32,4,FALSE)&amp;" AS CHAVE_SIMUL1, "&amp;VLOOKUP(B476,'0. Instruções'!$C$27:$G$32,5,FALSE)&amp;" AS CHAVE_SIMUL2, "&amp;C476&amp;" AS CAMPO_SIMUL FROM "&amp;F476&amp;" WHERE "&amp;'0. Instruções'!$D$42&amp;")Y")</f>
        <v>(SELECT entty_id AS CHAVE_SIMUL, enblng_capex_ccm AS CAMPO_SIMUL FROM BU_LOANTAPE_WORK.LT003_ENTITY WHERE ref_date='${ref_date}' AND nome_perimetro='Individual Local' AND segmento='ESTR' AND ambito='PM' AND entidade='00100')Y</v>
      </c>
      <c r="L476" s="32" t="str">
        <f>IF(VLOOKUP(B476,'0. Instruções'!$C$27:$G$32,5,FALSE)=0,
"ON X.CHAVE_IT=Y.CHAVE_SIMUL",
"ON X.CHAVE_IT1=Y.CHAVE_SIMUL1 AND X.CHAVE_IT2=Y.CHAVE_SIMUL2")</f>
        <v>ON X.CHAVE_IT=Y.CHAVE_SIMUL</v>
      </c>
      <c r="M476" s="32" t="str">
        <f>+IF(D476="Coerência",+IF(LEFT(H476,5)="FLOAT","SELECT '"&amp;UPPER(B476)&amp;"' AS TABELA, '"&amp;UPPER(D476)&amp;"' AS TIPOLOGIA_TESTE,'"&amp;E476&amp;"' AS TABELA_LT,'"&amp;F476&amp;"' AS TABELA_SIMUL,'"&amp;C476&amp;"'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"&amp;J476&amp;" INNER JOIN "&amp;K476&amp;" "&amp;L476,"SELECT '"&amp;UPPER(B476)&amp;"' AS TABELA, '"&amp;UPPER(D476)&amp;"' AS TIPOLOGIA_TESTE,'"&amp;E476&amp;"' AS TABELA_LT,'"&amp;F476&amp;"' AS TABELA_SIMUL,'"&amp;C476&amp;"'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"&amp;J476&amp;" INNER JOIN "&amp;K476&amp;" "&amp;L476))</f>
        <v>SELECT 'ENTITY' AS TABELA, 'COERÊNCIA' AS TIPOLOGIA_TESTE,'CD_LOAN_TAPES_BCE.LT003_ENTITY' AS TABELA_LT,'BU_LOANTAPE_WORK.LT003_ENTITY' AS TABELA_SIMUL,'enblng_capex_ccm'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enblng_capex_ccm AS CAMPO_IT FROM CD_LOAN_TAPES_BCE.LT003_ENTITY WHERE ref_date='${ref_date}' AND nome_perimetro='Individual Local' AND segmento='ESTR' AND ambito='PM' AND entidade='00100')X INNER JOIN (SELECT entty_id AS CHAVE_SIMUL, enblng_capex_ccm AS CAMPO_SIMUL FROM BU_LOANTAPE_WORK.LT003_ENTITY WHERE ref_date='${ref_date}' AND nome_perimetro='Individual Local' AND segmento='ESTR' AND ambito='PM' AND entidade='00100')Y ON X.CHAVE_IT=Y.CHAVE_SIMUL</v>
      </c>
      <c r="N476" s="33" t="str">
        <f t="shared" si="15"/>
        <v>UNION ALL SELECT 'ENTITY' AS TABELA, 'COERÊNCIA' AS TIPOLOGIA_TESTE,'CD_LOAN_TAPES_BCE.LT003_ENTITY' AS TABELA_LT,'BU_LOANTAPE_WORK.LT003_ENTITY' AS TABELA_SIMUL,'enblng_capex_ccm'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enblng_capex_ccm AS CAMPO_IT FROM CD_LOAN_TAPES_BCE.LT003_ENTITY WHERE ref_date='${ref_date}' AND nome_perimetro='Individual Local' AND segmento='ESTR' AND ambito='PM' AND entidade='00100')X INNER JOIN (SELECT entty_id AS CHAVE_SIMUL, enblng_capex_ccm AS CAMPO_SIMUL FROM BU_LOANTAPE_WORK.LT003_ENTITY WHERE ref_date='${ref_date}' AND nome_perimetro='Individual Local' AND segmento='ESTR' AND ambito='PM' AND entidade='00100')Y ON X.CHAVE_IT=Y.CHAVE_SIMUL</v>
      </c>
      <c r="O476" s="35" t="s">
        <v>35</v>
      </c>
    </row>
    <row r="477" spans="1:15">
      <c r="A477" s="57" t="str">
        <f t="shared" si="16"/>
        <v>Entityenblng_capex_cca</v>
      </c>
      <c r="B477" s="32" t="s">
        <v>60</v>
      </c>
      <c r="C477" s="32" t="s">
        <v>92</v>
      </c>
      <c r="D477" s="32" t="s">
        <v>5</v>
      </c>
      <c r="E477" s="32" t="str">
        <f>+UPPER('0. Instruções'!$D$35&amp;"."&amp;VLOOKUP(B477,'0. Instruções'!$C$27:$D$32,2,FALSE))</f>
        <v>CD_LOAN_TAPES_BCE.LT003_ENTITY</v>
      </c>
      <c r="F477" s="32" t="str">
        <f>+UPPER('0. Instruções'!$D$36&amp;"."&amp;VLOOKUP(B477,'0. Instruções'!$C$27:$E$32,3,FALSE))</f>
        <v>BU_LOANTAPE_WORK.LT003_ENTITY</v>
      </c>
      <c r="H477" s="32"/>
      <c r="I477" s="32"/>
      <c r="J477" s="32" t="str">
        <f>IF(VLOOKUP(B477,'0. Instruções'!$C$27:$G$32,5,FALSE)=0,
"(SELECT "&amp;VLOOKUP(B477,'0. Instruções'!$C$27:$G$32,4,FALSE)&amp;" AS CHAVE_IT, "&amp;C477&amp;" AS CAMPO_IT FROM "&amp;E477&amp;" WHERE "&amp;'0. Instruções'!$D$43&amp;")X",
"(SELECT "&amp;VLOOKUP(B477,'0. Instruções'!$C$27:$G$32,4,FALSE)&amp;" AS CHAVE_IT1, "&amp;VLOOKUP(B477,'0. Instruções'!$C$27:$G$32,5,FALSE)&amp;" AS CHAVE_IT2, "&amp;C477&amp;" AS CAMPO_IT FROM "&amp;E477&amp;" WHERE "&amp;'0. Instruções'!$D$43&amp;")X")</f>
        <v>(SELECT entty_id AS CHAVE_IT, enblng_capex_cca AS CAMPO_IT FROM CD_LOAN_TAPES_BCE.LT003_ENTITY WHERE ref_date='${ref_date}' AND nome_perimetro='Individual Local' AND segmento='ESTR' AND ambito='PM' AND entidade='00100')X</v>
      </c>
      <c r="K477" s="32" t="str">
        <f>IF(VLOOKUP(B477,'0. Instruções'!$C$27:$G$32,5,FALSE)=0,
"(SELECT "&amp;VLOOKUP(B477,'0. Instruções'!$C$27:$G$32,4,FALSE)&amp;" AS CHAVE_SIMUL, "&amp;C477&amp;" AS CAMPO_SIMUL FROM "&amp;F477&amp;" WHERE "&amp;'0. Instruções'!$D$42&amp;")Y",
"(SELECT "&amp;VLOOKUP(B477,'0. Instruções'!$C$27:$G$32,4,FALSE)&amp;" AS CHAVE_SIMUL1, "&amp;VLOOKUP(B477,'0. Instruções'!$C$27:$G$32,5,FALSE)&amp;" AS CHAVE_SIMUL2, "&amp;C477&amp;" AS CAMPO_SIMUL FROM "&amp;F477&amp;" WHERE "&amp;'0. Instruções'!$D$42&amp;")Y")</f>
        <v>(SELECT entty_id AS CHAVE_SIMUL, enblng_capex_cca AS CAMPO_SIMUL FROM BU_LOANTAPE_WORK.LT003_ENTITY WHERE ref_date='${ref_date}' AND nome_perimetro='Individual Local' AND segmento='ESTR' AND ambito='PM' AND entidade='00100')Y</v>
      </c>
      <c r="L477" s="32" t="str">
        <f>IF(VLOOKUP(B477,'0. Instruções'!$C$27:$G$32,5,FALSE)=0,
"ON X.CHAVE_IT=Y.CHAVE_SIMUL",
"ON X.CHAVE_IT1=Y.CHAVE_SIMUL1 AND X.CHAVE_IT2=Y.CHAVE_SIMUL2")</f>
        <v>ON X.CHAVE_IT=Y.CHAVE_SIMUL</v>
      </c>
      <c r="M477" s="32" t="str">
        <f>+IF(D477="Coerência",+IF(LEFT(H477,5)="FLOAT","SELECT '"&amp;UPPER(B477)&amp;"' AS TABELA, '"&amp;UPPER(D477)&amp;"' AS TIPOLOGIA_TESTE,'"&amp;E477&amp;"' AS TABELA_LT,'"&amp;F477&amp;"' AS TABELA_SIMUL,'"&amp;C477&amp;"'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"&amp;J477&amp;" INNER JOIN "&amp;K477&amp;" "&amp;L477,"SELECT '"&amp;UPPER(B477)&amp;"' AS TABELA, '"&amp;UPPER(D477)&amp;"' AS TIPOLOGIA_TESTE,'"&amp;E477&amp;"' AS TABELA_LT,'"&amp;F477&amp;"' AS TABELA_SIMUL,'"&amp;C477&amp;"'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"&amp;J477&amp;" INNER JOIN "&amp;K477&amp;" "&amp;L477))</f>
        <v>SELECT 'ENTITY' AS TABELA, 'COERÊNCIA' AS TIPOLOGIA_TESTE,'CD_LOAN_TAPES_BCE.LT003_ENTITY' AS TABELA_LT,'BU_LOANTAPE_WORK.LT003_ENTITY' AS TABELA_SIMUL,'enblng_capex_cca'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enblng_capex_cca AS CAMPO_IT FROM CD_LOAN_TAPES_BCE.LT003_ENTITY WHERE ref_date='${ref_date}' AND nome_perimetro='Individual Local' AND segmento='ESTR' AND ambito='PM' AND entidade='00100')X INNER JOIN (SELECT entty_id AS CHAVE_SIMUL, enblng_capex_cca AS CAMPO_SIMUL FROM BU_LOANTAPE_WORK.LT003_ENTITY WHERE ref_date='${ref_date}' AND nome_perimetro='Individual Local' AND segmento='ESTR' AND ambito='PM' AND entidade='00100')Y ON X.CHAVE_IT=Y.CHAVE_SIMUL</v>
      </c>
      <c r="N477" s="33" t="str">
        <f t="shared" si="15"/>
        <v>UNION ALL SELECT 'ENTITY' AS TABELA, 'COERÊNCIA' AS TIPOLOGIA_TESTE,'CD_LOAN_TAPES_BCE.LT003_ENTITY' AS TABELA_LT,'BU_LOANTAPE_WORK.LT003_ENTITY' AS TABELA_SIMUL,'enblng_capex_cca'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enblng_capex_cca AS CAMPO_IT FROM CD_LOAN_TAPES_BCE.LT003_ENTITY WHERE ref_date='${ref_date}' AND nome_perimetro='Individual Local' AND segmento='ESTR' AND ambito='PM' AND entidade='00100')X INNER JOIN (SELECT entty_id AS CHAVE_SIMUL, enblng_capex_cca AS CAMPO_SIMUL FROM BU_LOANTAPE_WORK.LT003_ENTITY WHERE ref_date='${ref_date}' AND nome_perimetro='Individual Local' AND segmento='ESTR' AND ambito='PM' AND entidade='00100')Y ON X.CHAVE_IT=Y.CHAVE_SIMUL</v>
      </c>
      <c r="O477" s="35" t="s">
        <v>35</v>
      </c>
    </row>
    <row r="478" spans="1:15">
      <c r="A478" s="57" t="str">
        <f t="shared" si="16"/>
        <v>Entitytrnstnl_capex</v>
      </c>
      <c r="B478" s="32" t="s">
        <v>60</v>
      </c>
      <c r="C478" s="32" t="s">
        <v>93</v>
      </c>
      <c r="D478" s="32" t="s">
        <v>5</v>
      </c>
      <c r="E478" s="32" t="str">
        <f>+UPPER('0. Instruções'!$D$35&amp;"."&amp;VLOOKUP(B478,'0. Instruções'!$C$27:$D$32,2,FALSE))</f>
        <v>CD_LOAN_TAPES_BCE.LT003_ENTITY</v>
      </c>
      <c r="F478" s="32" t="str">
        <f>+UPPER('0. Instruções'!$D$36&amp;"."&amp;VLOOKUP(B478,'0. Instruções'!$C$27:$E$32,3,FALSE))</f>
        <v>BU_LOANTAPE_WORK.LT003_ENTITY</v>
      </c>
      <c r="H478" s="32"/>
      <c r="I478" s="32"/>
      <c r="J478" s="32" t="str">
        <f>IF(VLOOKUP(B478,'0. Instruções'!$C$27:$G$32,5,FALSE)=0,
"(SELECT "&amp;VLOOKUP(B478,'0. Instruções'!$C$27:$G$32,4,FALSE)&amp;" AS CHAVE_IT, "&amp;C478&amp;" AS CAMPO_IT FROM "&amp;E478&amp;" WHERE "&amp;'0. Instruções'!$D$43&amp;")X",
"(SELECT "&amp;VLOOKUP(B478,'0. Instruções'!$C$27:$G$32,4,FALSE)&amp;" AS CHAVE_IT1, "&amp;VLOOKUP(B478,'0. Instruções'!$C$27:$G$32,5,FALSE)&amp;" AS CHAVE_IT2, "&amp;C478&amp;" AS CAMPO_IT FROM "&amp;E478&amp;" WHERE "&amp;'0. Instruções'!$D$43&amp;")X")</f>
        <v>(SELECT entty_id AS CHAVE_IT, trnstnl_capex AS CAMPO_IT FROM CD_LOAN_TAPES_BCE.LT003_ENTITY WHERE ref_date='${ref_date}' AND nome_perimetro='Individual Local' AND segmento='ESTR' AND ambito='PM' AND entidade='00100')X</v>
      </c>
      <c r="K478" s="32" t="str">
        <f>IF(VLOOKUP(B478,'0. Instruções'!$C$27:$G$32,5,FALSE)=0,
"(SELECT "&amp;VLOOKUP(B478,'0. Instruções'!$C$27:$G$32,4,FALSE)&amp;" AS CHAVE_SIMUL, "&amp;C478&amp;" AS CAMPO_SIMUL FROM "&amp;F478&amp;" WHERE "&amp;'0. Instruções'!$D$42&amp;")Y",
"(SELECT "&amp;VLOOKUP(B478,'0. Instruções'!$C$27:$G$32,4,FALSE)&amp;" AS CHAVE_SIMUL1, "&amp;VLOOKUP(B478,'0. Instruções'!$C$27:$G$32,5,FALSE)&amp;" AS CHAVE_SIMUL2, "&amp;C478&amp;" AS CAMPO_SIMUL FROM "&amp;F478&amp;" WHERE "&amp;'0. Instruções'!$D$42&amp;")Y")</f>
        <v>(SELECT entty_id AS CHAVE_SIMUL, trnstnl_capex AS CAMPO_SIMUL FROM BU_LOANTAPE_WORK.LT003_ENTITY WHERE ref_date='${ref_date}' AND nome_perimetro='Individual Local' AND segmento='ESTR' AND ambito='PM' AND entidade='00100')Y</v>
      </c>
      <c r="L478" s="32" t="str">
        <f>IF(VLOOKUP(B478,'0. Instruções'!$C$27:$G$32,5,FALSE)=0,
"ON X.CHAVE_IT=Y.CHAVE_SIMUL",
"ON X.CHAVE_IT1=Y.CHAVE_SIMUL1 AND X.CHAVE_IT2=Y.CHAVE_SIMUL2")</f>
        <v>ON X.CHAVE_IT=Y.CHAVE_SIMUL</v>
      </c>
      <c r="M478" s="32" t="str">
        <f>+IF(D478="Coerência",+IF(LEFT(H478,5)="FLOAT","SELECT '"&amp;UPPER(B478)&amp;"' AS TABELA, '"&amp;UPPER(D478)&amp;"' AS TIPOLOGIA_TESTE,'"&amp;E478&amp;"' AS TABELA_LT,'"&amp;F478&amp;"' AS TABELA_SIMUL,'"&amp;C478&amp;"'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"&amp;J478&amp;" INNER JOIN "&amp;K478&amp;" "&amp;L478,"SELECT '"&amp;UPPER(B478)&amp;"' AS TABELA, '"&amp;UPPER(D478)&amp;"' AS TIPOLOGIA_TESTE,'"&amp;E478&amp;"' AS TABELA_LT,'"&amp;F478&amp;"' AS TABELA_SIMUL,'"&amp;C478&amp;"'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"&amp;J478&amp;" INNER JOIN "&amp;K478&amp;" "&amp;L478))</f>
        <v>SELECT 'ENTITY' AS TABELA, 'COERÊNCIA' AS TIPOLOGIA_TESTE,'CD_LOAN_TAPES_BCE.LT003_ENTITY' AS TABELA_LT,'BU_LOANTAPE_WORK.LT003_ENTITY' AS TABELA_SIMUL,'trnstnl_capex'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trnstnl_capex AS CAMPO_IT FROM CD_LOAN_TAPES_BCE.LT003_ENTITY WHERE ref_date='${ref_date}' AND nome_perimetro='Individual Local' AND segmento='ESTR' AND ambito='PM' AND entidade='00100')X INNER JOIN (SELECT entty_id AS CHAVE_SIMUL, trnstnl_capex AS CAMPO_SIMUL FROM BU_LOANTAPE_WORK.LT003_ENTITY WHERE ref_date='${ref_date}' AND nome_perimetro='Individual Local' AND segmento='ESTR' AND ambito='PM' AND entidade='00100')Y ON X.CHAVE_IT=Y.CHAVE_SIMUL</v>
      </c>
      <c r="N478" s="33" t="str">
        <f t="shared" si="15"/>
        <v>UNION ALL SELECT 'ENTITY' AS TABELA, 'COERÊNCIA' AS TIPOLOGIA_TESTE,'CD_LOAN_TAPES_BCE.LT003_ENTITY' AS TABELA_LT,'BU_LOANTAPE_WORK.LT003_ENTITY' AS TABELA_SIMUL,'trnstnl_capex'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trnstnl_capex AS CAMPO_IT FROM CD_LOAN_TAPES_BCE.LT003_ENTITY WHERE ref_date='${ref_date}' AND nome_perimetro='Individual Local' AND segmento='ESTR' AND ambito='PM' AND entidade='00100')X INNER JOIN (SELECT entty_id AS CHAVE_SIMUL, trnstnl_capex AS CAMPO_SIMUL FROM BU_LOANTAPE_WORK.LT003_ENTITY WHERE ref_date='${ref_date}' AND nome_perimetro='Individual Local' AND segmento='ESTR' AND ambito='PM' AND entidade='00100')Y ON X.CHAVE_IT=Y.CHAVE_SIMUL</v>
      </c>
      <c r="O478" s="35" t="s">
        <v>35</v>
      </c>
    </row>
    <row r="479" spans="1:15">
      <c r="A479" s="57" t="str">
        <f t="shared" si="16"/>
        <v>Entitypure_capex_ccm</v>
      </c>
      <c r="B479" s="32" t="s">
        <v>60</v>
      </c>
      <c r="C479" s="32" t="s">
        <v>94</v>
      </c>
      <c r="D479" s="32" t="s">
        <v>5</v>
      </c>
      <c r="E479" s="32" t="str">
        <f>+UPPER('0. Instruções'!$D$35&amp;"."&amp;VLOOKUP(B479,'0. Instruções'!$C$27:$D$32,2,FALSE))</f>
        <v>CD_LOAN_TAPES_BCE.LT003_ENTITY</v>
      </c>
      <c r="F479" s="32" t="str">
        <f>+UPPER('0. Instruções'!$D$36&amp;"."&amp;VLOOKUP(B479,'0. Instruções'!$C$27:$E$32,3,FALSE))</f>
        <v>BU_LOANTAPE_WORK.LT003_ENTITY</v>
      </c>
      <c r="H479" s="32"/>
      <c r="I479" s="32"/>
      <c r="J479" s="32" t="str">
        <f>IF(VLOOKUP(B479,'0. Instruções'!$C$27:$G$32,5,FALSE)=0,
"(SELECT "&amp;VLOOKUP(B479,'0. Instruções'!$C$27:$G$32,4,FALSE)&amp;" AS CHAVE_IT, "&amp;C479&amp;" AS CAMPO_IT FROM "&amp;E479&amp;" WHERE "&amp;'0. Instruções'!$D$43&amp;")X",
"(SELECT "&amp;VLOOKUP(B479,'0. Instruções'!$C$27:$G$32,4,FALSE)&amp;" AS CHAVE_IT1, "&amp;VLOOKUP(B479,'0. Instruções'!$C$27:$G$32,5,FALSE)&amp;" AS CHAVE_IT2, "&amp;C479&amp;" AS CAMPO_IT FROM "&amp;E479&amp;" WHERE "&amp;'0. Instruções'!$D$43&amp;")X")</f>
        <v>(SELECT entty_id AS CHAVE_IT, pure_capex_ccm AS CAMPO_IT FROM CD_LOAN_TAPES_BCE.LT003_ENTITY WHERE ref_date='${ref_date}' AND nome_perimetro='Individual Local' AND segmento='ESTR' AND ambito='PM' AND entidade='00100')X</v>
      </c>
      <c r="K479" s="32" t="str">
        <f>IF(VLOOKUP(B479,'0. Instruções'!$C$27:$G$32,5,FALSE)=0,
"(SELECT "&amp;VLOOKUP(B479,'0. Instruções'!$C$27:$G$32,4,FALSE)&amp;" AS CHAVE_SIMUL, "&amp;C479&amp;" AS CAMPO_SIMUL FROM "&amp;F479&amp;" WHERE "&amp;'0. Instruções'!$D$42&amp;")Y",
"(SELECT "&amp;VLOOKUP(B479,'0. Instruções'!$C$27:$G$32,4,FALSE)&amp;" AS CHAVE_SIMUL1, "&amp;VLOOKUP(B479,'0. Instruções'!$C$27:$G$32,5,FALSE)&amp;" AS CHAVE_SIMUL2, "&amp;C479&amp;" AS CAMPO_SIMUL FROM "&amp;F479&amp;" WHERE "&amp;'0. Instruções'!$D$42&amp;")Y")</f>
        <v>(SELECT entty_id AS CHAVE_SIMUL, pure_capex_ccm AS CAMPO_SIMUL FROM BU_LOANTAPE_WORK.LT003_ENTITY WHERE ref_date='${ref_date}' AND nome_perimetro='Individual Local' AND segmento='ESTR' AND ambito='PM' AND entidade='00100')Y</v>
      </c>
      <c r="L479" s="32" t="str">
        <f>IF(VLOOKUP(B479,'0. Instruções'!$C$27:$G$32,5,FALSE)=0,
"ON X.CHAVE_IT=Y.CHAVE_SIMUL",
"ON X.CHAVE_IT1=Y.CHAVE_SIMUL1 AND X.CHAVE_IT2=Y.CHAVE_SIMUL2")</f>
        <v>ON X.CHAVE_IT=Y.CHAVE_SIMUL</v>
      </c>
      <c r="M479" s="32" t="str">
        <f>+IF(D479="Coerência",+IF(LEFT(H479,5)="FLOAT","SELECT '"&amp;UPPER(B479)&amp;"' AS TABELA, '"&amp;UPPER(D479)&amp;"' AS TIPOLOGIA_TESTE,'"&amp;E479&amp;"' AS TABELA_LT,'"&amp;F479&amp;"' AS TABELA_SIMUL,'"&amp;C479&amp;"'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"&amp;J479&amp;" INNER JOIN "&amp;K479&amp;" "&amp;L479,"SELECT '"&amp;UPPER(B479)&amp;"' AS TABELA, '"&amp;UPPER(D479)&amp;"' AS TIPOLOGIA_TESTE,'"&amp;E479&amp;"' AS TABELA_LT,'"&amp;F479&amp;"' AS TABELA_SIMUL,'"&amp;C479&amp;"'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"&amp;J479&amp;" INNER JOIN "&amp;K479&amp;" "&amp;L479))</f>
        <v>SELECT 'ENTITY' AS TABELA, 'COERÊNCIA' AS TIPOLOGIA_TESTE,'CD_LOAN_TAPES_BCE.LT003_ENTITY' AS TABELA_LT,'BU_LOANTAPE_WORK.LT003_ENTITY' AS TABELA_SIMUL,'pure_capex_ccm'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pure_capex_ccm AS CAMPO_IT FROM CD_LOAN_TAPES_BCE.LT003_ENTITY WHERE ref_date='${ref_date}' AND nome_perimetro='Individual Local' AND segmento='ESTR' AND ambito='PM' AND entidade='00100')X INNER JOIN (SELECT entty_id AS CHAVE_SIMUL, pure_capex_ccm AS CAMPO_SIMUL FROM BU_LOANTAPE_WORK.LT003_ENTITY WHERE ref_date='${ref_date}' AND nome_perimetro='Individual Local' AND segmento='ESTR' AND ambito='PM' AND entidade='00100')Y ON X.CHAVE_IT=Y.CHAVE_SIMUL</v>
      </c>
      <c r="N479" s="33" t="str">
        <f t="shared" si="15"/>
        <v>UNION ALL SELECT 'ENTITY' AS TABELA, 'COERÊNCIA' AS TIPOLOGIA_TESTE,'CD_LOAN_TAPES_BCE.LT003_ENTITY' AS TABELA_LT,'BU_LOANTAPE_WORK.LT003_ENTITY' AS TABELA_SIMUL,'pure_capex_ccm'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pure_capex_ccm AS CAMPO_IT FROM CD_LOAN_TAPES_BCE.LT003_ENTITY WHERE ref_date='${ref_date}' AND nome_perimetro='Individual Local' AND segmento='ESTR' AND ambito='PM' AND entidade='00100')X INNER JOIN (SELECT entty_id AS CHAVE_SIMUL, pure_capex_ccm AS CAMPO_SIMUL FROM BU_LOANTAPE_WORK.LT003_ENTITY WHERE ref_date='${ref_date}' AND nome_perimetro='Individual Local' AND segmento='ESTR' AND ambito='PM' AND entidade='00100')Y ON X.CHAVE_IT=Y.CHAVE_SIMUL</v>
      </c>
      <c r="O479" s="35" t="s">
        <v>35</v>
      </c>
    </row>
    <row r="480" spans="1:15">
      <c r="A480" s="57" t="str">
        <f t="shared" si="16"/>
        <v>Entitypure_capex_cca</v>
      </c>
      <c r="B480" s="32" t="s">
        <v>60</v>
      </c>
      <c r="C480" s="32" t="s">
        <v>95</v>
      </c>
      <c r="D480" s="32" t="s">
        <v>5</v>
      </c>
      <c r="E480" s="32" t="str">
        <f>+UPPER('0. Instruções'!$D$35&amp;"."&amp;VLOOKUP(B480,'0. Instruções'!$C$27:$D$32,2,FALSE))</f>
        <v>CD_LOAN_TAPES_BCE.LT003_ENTITY</v>
      </c>
      <c r="F480" s="32" t="str">
        <f>+UPPER('0. Instruções'!$D$36&amp;"."&amp;VLOOKUP(B480,'0. Instruções'!$C$27:$E$32,3,FALSE))</f>
        <v>BU_LOANTAPE_WORK.LT003_ENTITY</v>
      </c>
      <c r="H480" s="32"/>
      <c r="I480" s="32"/>
      <c r="J480" s="32" t="str">
        <f>IF(VLOOKUP(B480,'0. Instruções'!$C$27:$G$32,5,FALSE)=0,
"(SELECT "&amp;VLOOKUP(B480,'0. Instruções'!$C$27:$G$32,4,FALSE)&amp;" AS CHAVE_IT, "&amp;C480&amp;" AS CAMPO_IT FROM "&amp;E480&amp;" WHERE "&amp;'0. Instruções'!$D$43&amp;")X",
"(SELECT "&amp;VLOOKUP(B480,'0. Instruções'!$C$27:$G$32,4,FALSE)&amp;" AS CHAVE_IT1, "&amp;VLOOKUP(B480,'0. Instruções'!$C$27:$G$32,5,FALSE)&amp;" AS CHAVE_IT2, "&amp;C480&amp;" AS CAMPO_IT FROM "&amp;E480&amp;" WHERE "&amp;'0. Instruções'!$D$43&amp;")X")</f>
        <v>(SELECT entty_id AS CHAVE_IT, pure_capex_cca AS CAMPO_IT FROM CD_LOAN_TAPES_BCE.LT003_ENTITY WHERE ref_date='${ref_date}' AND nome_perimetro='Individual Local' AND segmento='ESTR' AND ambito='PM' AND entidade='00100')X</v>
      </c>
      <c r="K480" s="32" t="str">
        <f>IF(VLOOKUP(B480,'0. Instruções'!$C$27:$G$32,5,FALSE)=0,
"(SELECT "&amp;VLOOKUP(B480,'0. Instruções'!$C$27:$G$32,4,FALSE)&amp;" AS CHAVE_SIMUL, "&amp;C480&amp;" AS CAMPO_SIMUL FROM "&amp;F480&amp;" WHERE "&amp;'0. Instruções'!$D$42&amp;")Y",
"(SELECT "&amp;VLOOKUP(B480,'0. Instruções'!$C$27:$G$32,4,FALSE)&amp;" AS CHAVE_SIMUL1, "&amp;VLOOKUP(B480,'0. Instruções'!$C$27:$G$32,5,FALSE)&amp;" AS CHAVE_SIMUL2, "&amp;C480&amp;" AS CAMPO_SIMUL FROM "&amp;F480&amp;" WHERE "&amp;'0. Instruções'!$D$42&amp;")Y")</f>
        <v>(SELECT entty_id AS CHAVE_SIMUL, pure_capex_cca AS CAMPO_SIMUL FROM BU_LOANTAPE_WORK.LT003_ENTITY WHERE ref_date='${ref_date}' AND nome_perimetro='Individual Local' AND segmento='ESTR' AND ambito='PM' AND entidade='00100')Y</v>
      </c>
      <c r="L480" s="32" t="str">
        <f>IF(VLOOKUP(B480,'0. Instruções'!$C$27:$G$32,5,FALSE)=0,
"ON X.CHAVE_IT=Y.CHAVE_SIMUL",
"ON X.CHAVE_IT1=Y.CHAVE_SIMUL1 AND X.CHAVE_IT2=Y.CHAVE_SIMUL2")</f>
        <v>ON X.CHAVE_IT=Y.CHAVE_SIMUL</v>
      </c>
      <c r="M480" s="32" t="str">
        <f>+IF(D480="Coerência",+IF(LEFT(H480,5)="FLOAT","SELECT '"&amp;UPPER(B480)&amp;"' AS TABELA, '"&amp;UPPER(D480)&amp;"' AS TIPOLOGIA_TESTE,'"&amp;E480&amp;"' AS TABELA_LT,'"&amp;F480&amp;"' AS TABELA_SIMUL,'"&amp;C480&amp;"'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"&amp;J480&amp;" INNER JOIN "&amp;K480&amp;" "&amp;L480,"SELECT '"&amp;UPPER(B480)&amp;"' AS TABELA, '"&amp;UPPER(D480)&amp;"' AS TIPOLOGIA_TESTE,'"&amp;E480&amp;"' AS TABELA_LT,'"&amp;F480&amp;"' AS TABELA_SIMUL,'"&amp;C480&amp;"'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"&amp;J480&amp;" INNER JOIN "&amp;K480&amp;" "&amp;L480))</f>
        <v>SELECT 'ENTITY' AS TABELA, 'COERÊNCIA' AS TIPOLOGIA_TESTE,'CD_LOAN_TAPES_BCE.LT003_ENTITY' AS TABELA_LT,'BU_LOANTAPE_WORK.LT003_ENTITY' AS TABELA_SIMUL,'pure_capex_cca'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pure_capex_cca AS CAMPO_IT FROM CD_LOAN_TAPES_BCE.LT003_ENTITY WHERE ref_date='${ref_date}' AND nome_perimetro='Individual Local' AND segmento='ESTR' AND ambito='PM' AND entidade='00100')X INNER JOIN (SELECT entty_id AS CHAVE_SIMUL, pure_capex_cca AS CAMPO_SIMUL FROM BU_LOANTAPE_WORK.LT003_ENTITY WHERE ref_date='${ref_date}' AND nome_perimetro='Individual Local' AND segmento='ESTR' AND ambito='PM' AND entidade='00100')Y ON X.CHAVE_IT=Y.CHAVE_SIMUL</v>
      </c>
      <c r="N480" s="33" t="str">
        <f t="shared" si="15"/>
        <v>UNION ALL SELECT 'ENTITY' AS TABELA, 'COERÊNCIA' AS TIPOLOGIA_TESTE,'CD_LOAN_TAPES_BCE.LT003_ENTITY' AS TABELA_LT,'BU_LOANTAPE_WORK.LT003_ENTITY' AS TABELA_SIMUL,'pure_capex_cca'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pure_capex_cca AS CAMPO_IT FROM CD_LOAN_TAPES_BCE.LT003_ENTITY WHERE ref_date='${ref_date}' AND nome_perimetro='Individual Local' AND segmento='ESTR' AND ambito='PM' AND entidade='00100')X INNER JOIN (SELECT entty_id AS CHAVE_SIMUL, pure_capex_cca AS CAMPO_SIMUL FROM BU_LOANTAPE_WORK.LT003_ENTITY WHERE ref_date='${ref_date}' AND nome_perimetro='Individual Local' AND segmento='ESTR' AND ambito='PM' AND entidade='00100')Y ON X.CHAVE_IT=Y.CHAVE_SIMUL</v>
      </c>
      <c r="O480" s="35" t="s">
        <v>35</v>
      </c>
    </row>
    <row r="481" spans="1:15">
      <c r="A481" s="57" t="str">
        <f t="shared" si="16"/>
        <v>Entityenblng_trnvr_ccm</v>
      </c>
      <c r="B481" s="32" t="s">
        <v>60</v>
      </c>
      <c r="C481" s="32" t="s">
        <v>96</v>
      </c>
      <c r="D481" s="32" t="s">
        <v>5</v>
      </c>
      <c r="E481" s="32" t="str">
        <f>+UPPER('0. Instruções'!$D$35&amp;"."&amp;VLOOKUP(B481,'0. Instruções'!$C$27:$D$32,2,FALSE))</f>
        <v>CD_LOAN_TAPES_BCE.LT003_ENTITY</v>
      </c>
      <c r="F481" s="32" t="str">
        <f>+UPPER('0. Instruções'!$D$36&amp;"."&amp;VLOOKUP(B481,'0. Instruções'!$C$27:$E$32,3,FALSE))</f>
        <v>BU_LOANTAPE_WORK.LT003_ENTITY</v>
      </c>
      <c r="H481" s="32"/>
      <c r="I481" s="32"/>
      <c r="J481" s="32" t="str">
        <f>IF(VLOOKUP(B481,'0. Instruções'!$C$27:$G$32,5,FALSE)=0,
"(SELECT "&amp;VLOOKUP(B481,'0. Instruções'!$C$27:$G$32,4,FALSE)&amp;" AS CHAVE_IT, "&amp;C481&amp;" AS CAMPO_IT FROM "&amp;E481&amp;" WHERE "&amp;'0. Instruções'!$D$43&amp;")X",
"(SELECT "&amp;VLOOKUP(B481,'0. Instruções'!$C$27:$G$32,4,FALSE)&amp;" AS CHAVE_IT1, "&amp;VLOOKUP(B481,'0. Instruções'!$C$27:$G$32,5,FALSE)&amp;" AS CHAVE_IT2, "&amp;C481&amp;" AS CAMPO_IT FROM "&amp;E481&amp;" WHERE "&amp;'0. Instruções'!$D$43&amp;")X")</f>
        <v>(SELECT entty_id AS CHAVE_IT, enblng_trnvr_ccm AS CAMPO_IT FROM CD_LOAN_TAPES_BCE.LT003_ENTITY WHERE ref_date='${ref_date}' AND nome_perimetro='Individual Local' AND segmento='ESTR' AND ambito='PM' AND entidade='00100')X</v>
      </c>
      <c r="K481" s="32" t="str">
        <f>IF(VLOOKUP(B481,'0. Instruções'!$C$27:$G$32,5,FALSE)=0,
"(SELECT "&amp;VLOOKUP(B481,'0. Instruções'!$C$27:$G$32,4,FALSE)&amp;" AS CHAVE_SIMUL, "&amp;C481&amp;" AS CAMPO_SIMUL FROM "&amp;F481&amp;" WHERE "&amp;'0. Instruções'!$D$42&amp;")Y",
"(SELECT "&amp;VLOOKUP(B481,'0. Instruções'!$C$27:$G$32,4,FALSE)&amp;" AS CHAVE_SIMUL1, "&amp;VLOOKUP(B481,'0. Instruções'!$C$27:$G$32,5,FALSE)&amp;" AS CHAVE_SIMUL2, "&amp;C481&amp;" AS CAMPO_SIMUL FROM "&amp;F481&amp;" WHERE "&amp;'0. Instruções'!$D$42&amp;")Y")</f>
        <v>(SELECT entty_id AS CHAVE_SIMUL, enblng_trnvr_ccm AS CAMPO_SIMUL FROM BU_LOANTAPE_WORK.LT003_ENTITY WHERE ref_date='${ref_date}' AND nome_perimetro='Individual Local' AND segmento='ESTR' AND ambito='PM' AND entidade='00100')Y</v>
      </c>
      <c r="L481" s="32" t="str">
        <f>IF(VLOOKUP(B481,'0. Instruções'!$C$27:$G$32,5,FALSE)=0,
"ON X.CHAVE_IT=Y.CHAVE_SIMUL",
"ON X.CHAVE_IT1=Y.CHAVE_SIMUL1 AND X.CHAVE_IT2=Y.CHAVE_SIMUL2")</f>
        <v>ON X.CHAVE_IT=Y.CHAVE_SIMUL</v>
      </c>
      <c r="M481" s="32" t="str">
        <f>+IF(D481="Coerência",+IF(LEFT(H481,5)="FLOAT","SELECT '"&amp;UPPER(B481)&amp;"' AS TABELA, '"&amp;UPPER(D481)&amp;"' AS TIPOLOGIA_TESTE,'"&amp;E481&amp;"' AS TABELA_LT,'"&amp;F481&amp;"' AS TABELA_SIMUL,'"&amp;C481&amp;"'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"&amp;J481&amp;" INNER JOIN "&amp;K481&amp;" "&amp;L481,"SELECT '"&amp;UPPER(B481)&amp;"' AS TABELA, '"&amp;UPPER(D481)&amp;"' AS TIPOLOGIA_TESTE,'"&amp;E481&amp;"' AS TABELA_LT,'"&amp;F481&amp;"' AS TABELA_SIMUL,'"&amp;C481&amp;"'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"&amp;J481&amp;" INNER JOIN "&amp;K481&amp;" "&amp;L481))</f>
        <v>SELECT 'ENTITY' AS TABELA, 'COERÊNCIA' AS TIPOLOGIA_TESTE,'CD_LOAN_TAPES_BCE.LT003_ENTITY' AS TABELA_LT,'BU_LOANTAPE_WORK.LT003_ENTITY' AS TABELA_SIMUL,'enblng_trnvr_ccm'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enblng_trnvr_ccm AS CAMPO_IT FROM CD_LOAN_TAPES_BCE.LT003_ENTITY WHERE ref_date='${ref_date}' AND nome_perimetro='Individual Local' AND segmento='ESTR' AND ambito='PM' AND entidade='00100')X INNER JOIN (SELECT entty_id AS CHAVE_SIMUL, enblng_trnvr_ccm AS CAMPO_SIMUL FROM BU_LOANTAPE_WORK.LT003_ENTITY WHERE ref_date='${ref_date}' AND nome_perimetro='Individual Local' AND segmento='ESTR' AND ambito='PM' AND entidade='00100')Y ON X.CHAVE_IT=Y.CHAVE_SIMUL</v>
      </c>
      <c r="N481" s="33" t="str">
        <f t="shared" si="15"/>
        <v>UNION ALL SELECT 'ENTITY' AS TABELA, 'COERÊNCIA' AS TIPOLOGIA_TESTE,'CD_LOAN_TAPES_BCE.LT003_ENTITY' AS TABELA_LT,'BU_LOANTAPE_WORK.LT003_ENTITY' AS TABELA_SIMUL,'enblng_trnvr_ccm'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enblng_trnvr_ccm AS CAMPO_IT FROM CD_LOAN_TAPES_BCE.LT003_ENTITY WHERE ref_date='${ref_date}' AND nome_perimetro='Individual Local' AND segmento='ESTR' AND ambito='PM' AND entidade='00100')X INNER JOIN (SELECT entty_id AS CHAVE_SIMUL, enblng_trnvr_ccm AS CAMPO_SIMUL FROM BU_LOANTAPE_WORK.LT003_ENTITY WHERE ref_date='${ref_date}' AND nome_perimetro='Individual Local' AND segmento='ESTR' AND ambito='PM' AND entidade='00100')Y ON X.CHAVE_IT=Y.CHAVE_SIMUL</v>
      </c>
      <c r="O481" s="35" t="s">
        <v>35</v>
      </c>
    </row>
    <row r="482" spans="1:15">
      <c r="A482" s="57" t="str">
        <f t="shared" si="16"/>
        <v>Entityenblng_trnvr_cca</v>
      </c>
      <c r="B482" s="32" t="s">
        <v>60</v>
      </c>
      <c r="C482" s="32" t="s">
        <v>97</v>
      </c>
      <c r="D482" s="32" t="s">
        <v>5</v>
      </c>
      <c r="E482" s="32" t="str">
        <f>+UPPER('0. Instruções'!$D$35&amp;"."&amp;VLOOKUP(B482,'0. Instruções'!$C$27:$D$32,2,FALSE))</f>
        <v>CD_LOAN_TAPES_BCE.LT003_ENTITY</v>
      </c>
      <c r="F482" s="32" t="str">
        <f>+UPPER('0. Instruções'!$D$36&amp;"."&amp;VLOOKUP(B482,'0. Instruções'!$C$27:$E$32,3,FALSE))</f>
        <v>BU_LOANTAPE_WORK.LT003_ENTITY</v>
      </c>
      <c r="H482" s="32"/>
      <c r="I482" s="32"/>
      <c r="J482" s="32" t="str">
        <f>IF(VLOOKUP(B482,'0. Instruções'!$C$27:$G$32,5,FALSE)=0,
"(SELECT "&amp;VLOOKUP(B482,'0. Instruções'!$C$27:$G$32,4,FALSE)&amp;" AS CHAVE_IT, "&amp;C482&amp;" AS CAMPO_IT FROM "&amp;E482&amp;" WHERE "&amp;'0. Instruções'!$D$43&amp;")X",
"(SELECT "&amp;VLOOKUP(B482,'0. Instruções'!$C$27:$G$32,4,FALSE)&amp;" AS CHAVE_IT1, "&amp;VLOOKUP(B482,'0. Instruções'!$C$27:$G$32,5,FALSE)&amp;" AS CHAVE_IT2, "&amp;C482&amp;" AS CAMPO_IT FROM "&amp;E482&amp;" WHERE "&amp;'0. Instruções'!$D$43&amp;")X")</f>
        <v>(SELECT entty_id AS CHAVE_IT, enblng_trnvr_cca AS CAMPO_IT FROM CD_LOAN_TAPES_BCE.LT003_ENTITY WHERE ref_date='${ref_date}' AND nome_perimetro='Individual Local' AND segmento='ESTR' AND ambito='PM' AND entidade='00100')X</v>
      </c>
      <c r="K482" s="32" t="str">
        <f>IF(VLOOKUP(B482,'0. Instruções'!$C$27:$G$32,5,FALSE)=0,
"(SELECT "&amp;VLOOKUP(B482,'0. Instruções'!$C$27:$G$32,4,FALSE)&amp;" AS CHAVE_SIMUL, "&amp;C482&amp;" AS CAMPO_SIMUL FROM "&amp;F482&amp;" WHERE "&amp;'0. Instruções'!$D$42&amp;")Y",
"(SELECT "&amp;VLOOKUP(B482,'0. Instruções'!$C$27:$G$32,4,FALSE)&amp;" AS CHAVE_SIMUL1, "&amp;VLOOKUP(B482,'0. Instruções'!$C$27:$G$32,5,FALSE)&amp;" AS CHAVE_SIMUL2, "&amp;C482&amp;" AS CAMPO_SIMUL FROM "&amp;F482&amp;" WHERE "&amp;'0. Instruções'!$D$42&amp;")Y")</f>
        <v>(SELECT entty_id AS CHAVE_SIMUL, enblng_trnvr_cca AS CAMPO_SIMUL FROM BU_LOANTAPE_WORK.LT003_ENTITY WHERE ref_date='${ref_date}' AND nome_perimetro='Individual Local' AND segmento='ESTR' AND ambito='PM' AND entidade='00100')Y</v>
      </c>
      <c r="L482" s="32" t="str">
        <f>IF(VLOOKUP(B482,'0. Instruções'!$C$27:$G$32,5,FALSE)=0,
"ON X.CHAVE_IT=Y.CHAVE_SIMUL",
"ON X.CHAVE_IT1=Y.CHAVE_SIMUL1 AND X.CHAVE_IT2=Y.CHAVE_SIMUL2")</f>
        <v>ON X.CHAVE_IT=Y.CHAVE_SIMUL</v>
      </c>
      <c r="M482" s="32" t="str">
        <f>+IF(D482="Coerência",+IF(LEFT(H482,5)="FLOAT","SELECT '"&amp;UPPER(B482)&amp;"' AS TABELA, '"&amp;UPPER(D482)&amp;"' AS TIPOLOGIA_TESTE,'"&amp;E482&amp;"' AS TABELA_LT,'"&amp;F482&amp;"' AS TABELA_SIMUL,'"&amp;C482&amp;"'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"&amp;J482&amp;" INNER JOIN "&amp;K482&amp;" "&amp;L482,"SELECT '"&amp;UPPER(B482)&amp;"' AS TABELA, '"&amp;UPPER(D482)&amp;"' AS TIPOLOGIA_TESTE,'"&amp;E482&amp;"' AS TABELA_LT,'"&amp;F482&amp;"' AS TABELA_SIMUL,'"&amp;C482&amp;"'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"&amp;J482&amp;" INNER JOIN "&amp;K482&amp;" "&amp;L482))</f>
        <v>SELECT 'ENTITY' AS TABELA, 'COERÊNCIA' AS TIPOLOGIA_TESTE,'CD_LOAN_TAPES_BCE.LT003_ENTITY' AS TABELA_LT,'BU_LOANTAPE_WORK.LT003_ENTITY' AS TABELA_SIMUL,'enblng_trnvr_cca'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enblng_trnvr_cca AS CAMPO_IT FROM CD_LOAN_TAPES_BCE.LT003_ENTITY WHERE ref_date='${ref_date}' AND nome_perimetro='Individual Local' AND segmento='ESTR' AND ambito='PM' AND entidade='00100')X INNER JOIN (SELECT entty_id AS CHAVE_SIMUL, enblng_trnvr_cca AS CAMPO_SIMUL FROM BU_LOANTAPE_WORK.LT003_ENTITY WHERE ref_date='${ref_date}' AND nome_perimetro='Individual Local' AND segmento='ESTR' AND ambito='PM' AND entidade='00100')Y ON X.CHAVE_IT=Y.CHAVE_SIMUL</v>
      </c>
      <c r="N482" s="33" t="str">
        <f t="shared" si="15"/>
        <v>UNION ALL SELECT 'ENTITY' AS TABELA, 'COERÊNCIA' AS TIPOLOGIA_TESTE,'CD_LOAN_TAPES_BCE.LT003_ENTITY' AS TABELA_LT,'BU_LOANTAPE_WORK.LT003_ENTITY' AS TABELA_SIMUL,'enblng_trnvr_cca'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enblng_trnvr_cca AS CAMPO_IT FROM CD_LOAN_TAPES_BCE.LT003_ENTITY WHERE ref_date='${ref_date}' AND nome_perimetro='Individual Local' AND segmento='ESTR' AND ambito='PM' AND entidade='00100')X INNER JOIN (SELECT entty_id AS CHAVE_SIMUL, enblng_trnvr_cca AS CAMPO_SIMUL FROM BU_LOANTAPE_WORK.LT003_ENTITY WHERE ref_date='${ref_date}' AND nome_perimetro='Individual Local' AND segmento='ESTR' AND ambito='PM' AND entidade='00100')Y ON X.CHAVE_IT=Y.CHAVE_SIMUL</v>
      </c>
      <c r="O482" s="35" t="s">
        <v>35</v>
      </c>
    </row>
    <row r="483" spans="1:15">
      <c r="A483" s="57" t="str">
        <f t="shared" si="16"/>
        <v>Entitytrnstnl_trnvr</v>
      </c>
      <c r="B483" s="32" t="s">
        <v>60</v>
      </c>
      <c r="C483" s="32" t="s">
        <v>98</v>
      </c>
      <c r="D483" s="32" t="s">
        <v>5</v>
      </c>
      <c r="E483" s="32" t="str">
        <f>+UPPER('0. Instruções'!$D$35&amp;"."&amp;VLOOKUP(B483,'0. Instruções'!$C$27:$D$32,2,FALSE))</f>
        <v>CD_LOAN_TAPES_BCE.LT003_ENTITY</v>
      </c>
      <c r="F483" s="32" t="str">
        <f>+UPPER('0. Instruções'!$D$36&amp;"."&amp;VLOOKUP(B483,'0. Instruções'!$C$27:$E$32,3,FALSE))</f>
        <v>BU_LOANTAPE_WORK.LT003_ENTITY</v>
      </c>
      <c r="H483" s="32"/>
      <c r="I483" s="32"/>
      <c r="J483" s="32" t="str">
        <f>IF(VLOOKUP(B483,'0. Instruções'!$C$27:$G$32,5,FALSE)=0,
"(SELECT "&amp;VLOOKUP(B483,'0. Instruções'!$C$27:$G$32,4,FALSE)&amp;" AS CHAVE_IT, "&amp;C483&amp;" AS CAMPO_IT FROM "&amp;E483&amp;" WHERE "&amp;'0. Instruções'!$D$43&amp;")X",
"(SELECT "&amp;VLOOKUP(B483,'0. Instruções'!$C$27:$G$32,4,FALSE)&amp;" AS CHAVE_IT1, "&amp;VLOOKUP(B483,'0. Instruções'!$C$27:$G$32,5,FALSE)&amp;" AS CHAVE_IT2, "&amp;C483&amp;" AS CAMPO_IT FROM "&amp;E483&amp;" WHERE "&amp;'0. Instruções'!$D$43&amp;")X")</f>
        <v>(SELECT entty_id AS CHAVE_IT, trnstnl_trnvr AS CAMPO_IT FROM CD_LOAN_TAPES_BCE.LT003_ENTITY WHERE ref_date='${ref_date}' AND nome_perimetro='Individual Local' AND segmento='ESTR' AND ambito='PM' AND entidade='00100')X</v>
      </c>
      <c r="K483" s="32" t="str">
        <f>IF(VLOOKUP(B483,'0. Instruções'!$C$27:$G$32,5,FALSE)=0,
"(SELECT "&amp;VLOOKUP(B483,'0. Instruções'!$C$27:$G$32,4,FALSE)&amp;" AS CHAVE_SIMUL, "&amp;C483&amp;" AS CAMPO_SIMUL FROM "&amp;F483&amp;" WHERE "&amp;'0. Instruções'!$D$42&amp;")Y",
"(SELECT "&amp;VLOOKUP(B483,'0. Instruções'!$C$27:$G$32,4,FALSE)&amp;" AS CHAVE_SIMUL1, "&amp;VLOOKUP(B483,'0. Instruções'!$C$27:$G$32,5,FALSE)&amp;" AS CHAVE_SIMUL2, "&amp;C483&amp;" AS CAMPO_SIMUL FROM "&amp;F483&amp;" WHERE "&amp;'0. Instruções'!$D$42&amp;")Y")</f>
        <v>(SELECT entty_id AS CHAVE_SIMUL, trnstnl_trnvr AS CAMPO_SIMUL FROM BU_LOANTAPE_WORK.LT003_ENTITY WHERE ref_date='${ref_date}' AND nome_perimetro='Individual Local' AND segmento='ESTR' AND ambito='PM' AND entidade='00100')Y</v>
      </c>
      <c r="L483" s="32" t="str">
        <f>IF(VLOOKUP(B483,'0. Instruções'!$C$27:$G$32,5,FALSE)=0,
"ON X.CHAVE_IT=Y.CHAVE_SIMUL",
"ON X.CHAVE_IT1=Y.CHAVE_SIMUL1 AND X.CHAVE_IT2=Y.CHAVE_SIMUL2")</f>
        <v>ON X.CHAVE_IT=Y.CHAVE_SIMUL</v>
      </c>
      <c r="M483" s="32" t="str">
        <f>+IF(D483="Coerência",+IF(LEFT(H483,5)="FLOAT","SELECT '"&amp;UPPER(B483)&amp;"' AS TABELA, '"&amp;UPPER(D483)&amp;"' AS TIPOLOGIA_TESTE,'"&amp;E483&amp;"' AS TABELA_LT,'"&amp;F483&amp;"' AS TABELA_SIMUL,'"&amp;C483&amp;"'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"&amp;J483&amp;" INNER JOIN "&amp;K483&amp;" "&amp;L483,"SELECT '"&amp;UPPER(B483)&amp;"' AS TABELA, '"&amp;UPPER(D483)&amp;"' AS TIPOLOGIA_TESTE,'"&amp;E483&amp;"' AS TABELA_LT,'"&amp;F483&amp;"' AS TABELA_SIMUL,'"&amp;C483&amp;"'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"&amp;J483&amp;" INNER JOIN "&amp;K483&amp;" "&amp;L483))</f>
        <v>SELECT 'ENTITY' AS TABELA, 'COERÊNCIA' AS TIPOLOGIA_TESTE,'CD_LOAN_TAPES_BCE.LT003_ENTITY' AS TABELA_LT,'BU_LOANTAPE_WORK.LT003_ENTITY' AS TABELA_SIMUL,'trnstnl_trnvr'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trnstnl_trnvr AS CAMPO_IT FROM CD_LOAN_TAPES_BCE.LT003_ENTITY WHERE ref_date='${ref_date}' AND nome_perimetro='Individual Local' AND segmento='ESTR' AND ambito='PM' AND entidade='00100')X INNER JOIN (SELECT entty_id AS CHAVE_SIMUL, trnstnl_trnvr AS CAMPO_SIMUL FROM BU_LOANTAPE_WORK.LT003_ENTITY WHERE ref_date='${ref_date}' AND nome_perimetro='Individual Local' AND segmento='ESTR' AND ambito='PM' AND entidade='00100')Y ON X.CHAVE_IT=Y.CHAVE_SIMUL</v>
      </c>
      <c r="N483" s="33" t="str">
        <f t="shared" si="15"/>
        <v>UNION ALL SELECT 'ENTITY' AS TABELA, 'COERÊNCIA' AS TIPOLOGIA_TESTE,'CD_LOAN_TAPES_BCE.LT003_ENTITY' AS TABELA_LT,'BU_LOANTAPE_WORK.LT003_ENTITY' AS TABELA_SIMUL,'trnstnl_trnvr'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trnstnl_trnvr AS CAMPO_IT FROM CD_LOAN_TAPES_BCE.LT003_ENTITY WHERE ref_date='${ref_date}' AND nome_perimetro='Individual Local' AND segmento='ESTR' AND ambito='PM' AND entidade='00100')X INNER JOIN (SELECT entty_id AS CHAVE_SIMUL, trnstnl_trnvr AS CAMPO_SIMUL FROM BU_LOANTAPE_WORK.LT003_ENTITY WHERE ref_date='${ref_date}' AND nome_perimetro='Individual Local' AND segmento='ESTR' AND ambito='PM' AND entidade='00100')Y ON X.CHAVE_IT=Y.CHAVE_SIMUL</v>
      </c>
      <c r="O483" s="35" t="s">
        <v>35</v>
      </c>
    </row>
    <row r="484" spans="1:15">
      <c r="A484" s="57" t="str">
        <f t="shared" si="16"/>
        <v>Entitypure_trnvr_ccm</v>
      </c>
      <c r="B484" s="32" t="s">
        <v>60</v>
      </c>
      <c r="C484" s="32" t="s">
        <v>99</v>
      </c>
      <c r="D484" s="32" t="s">
        <v>5</v>
      </c>
      <c r="E484" s="32" t="str">
        <f>+UPPER('0. Instruções'!$D$35&amp;"."&amp;VLOOKUP(B484,'0. Instruções'!$C$27:$D$32,2,FALSE))</f>
        <v>CD_LOAN_TAPES_BCE.LT003_ENTITY</v>
      </c>
      <c r="F484" s="32" t="str">
        <f>+UPPER('0. Instruções'!$D$36&amp;"."&amp;VLOOKUP(B484,'0. Instruções'!$C$27:$E$32,3,FALSE))</f>
        <v>BU_LOANTAPE_WORK.LT003_ENTITY</v>
      </c>
      <c r="H484" s="32"/>
      <c r="I484" s="32"/>
      <c r="J484" s="32" t="str">
        <f>IF(VLOOKUP(B484,'0. Instruções'!$C$27:$G$32,5,FALSE)=0,
"(SELECT "&amp;VLOOKUP(B484,'0. Instruções'!$C$27:$G$32,4,FALSE)&amp;" AS CHAVE_IT, "&amp;C484&amp;" AS CAMPO_IT FROM "&amp;E484&amp;" WHERE "&amp;'0. Instruções'!$D$43&amp;")X",
"(SELECT "&amp;VLOOKUP(B484,'0. Instruções'!$C$27:$G$32,4,FALSE)&amp;" AS CHAVE_IT1, "&amp;VLOOKUP(B484,'0. Instruções'!$C$27:$G$32,5,FALSE)&amp;" AS CHAVE_IT2, "&amp;C484&amp;" AS CAMPO_IT FROM "&amp;E484&amp;" WHERE "&amp;'0. Instruções'!$D$43&amp;")X")</f>
        <v>(SELECT entty_id AS CHAVE_IT, pure_trnvr_ccm AS CAMPO_IT FROM CD_LOAN_TAPES_BCE.LT003_ENTITY WHERE ref_date='${ref_date}' AND nome_perimetro='Individual Local' AND segmento='ESTR' AND ambito='PM' AND entidade='00100')X</v>
      </c>
      <c r="K484" s="32" t="str">
        <f>IF(VLOOKUP(B484,'0. Instruções'!$C$27:$G$32,5,FALSE)=0,
"(SELECT "&amp;VLOOKUP(B484,'0. Instruções'!$C$27:$G$32,4,FALSE)&amp;" AS CHAVE_SIMUL, "&amp;C484&amp;" AS CAMPO_SIMUL FROM "&amp;F484&amp;" WHERE "&amp;'0. Instruções'!$D$42&amp;")Y",
"(SELECT "&amp;VLOOKUP(B484,'0. Instruções'!$C$27:$G$32,4,FALSE)&amp;" AS CHAVE_SIMUL1, "&amp;VLOOKUP(B484,'0. Instruções'!$C$27:$G$32,5,FALSE)&amp;" AS CHAVE_SIMUL2, "&amp;C484&amp;" AS CAMPO_SIMUL FROM "&amp;F484&amp;" WHERE "&amp;'0. Instruções'!$D$42&amp;")Y")</f>
        <v>(SELECT entty_id AS CHAVE_SIMUL, pure_trnvr_ccm AS CAMPO_SIMUL FROM BU_LOANTAPE_WORK.LT003_ENTITY WHERE ref_date='${ref_date}' AND nome_perimetro='Individual Local' AND segmento='ESTR' AND ambito='PM' AND entidade='00100')Y</v>
      </c>
      <c r="L484" s="32" t="str">
        <f>IF(VLOOKUP(B484,'0. Instruções'!$C$27:$G$32,5,FALSE)=0,
"ON X.CHAVE_IT=Y.CHAVE_SIMUL",
"ON X.CHAVE_IT1=Y.CHAVE_SIMUL1 AND X.CHAVE_IT2=Y.CHAVE_SIMUL2")</f>
        <v>ON X.CHAVE_IT=Y.CHAVE_SIMUL</v>
      </c>
      <c r="M484" s="32" t="str">
        <f>+IF(D484="Coerência",+IF(LEFT(H484,5)="FLOAT","SELECT '"&amp;UPPER(B484)&amp;"' AS TABELA, '"&amp;UPPER(D484)&amp;"' AS TIPOLOGIA_TESTE,'"&amp;E484&amp;"' AS TABELA_LT,'"&amp;F484&amp;"' AS TABELA_SIMUL,'"&amp;C484&amp;"'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"&amp;J484&amp;" INNER JOIN "&amp;K484&amp;" "&amp;L484,"SELECT '"&amp;UPPER(B484)&amp;"' AS TABELA, '"&amp;UPPER(D484)&amp;"' AS TIPOLOGIA_TESTE,'"&amp;E484&amp;"' AS TABELA_LT,'"&amp;F484&amp;"' AS TABELA_SIMUL,'"&amp;C484&amp;"'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"&amp;J484&amp;" INNER JOIN "&amp;K484&amp;" "&amp;L484))</f>
        <v>SELECT 'ENTITY' AS TABELA, 'COERÊNCIA' AS TIPOLOGIA_TESTE,'CD_LOAN_TAPES_BCE.LT003_ENTITY' AS TABELA_LT,'BU_LOANTAPE_WORK.LT003_ENTITY' AS TABELA_SIMUL,'pure_trnvr_ccm'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pure_trnvr_ccm AS CAMPO_IT FROM CD_LOAN_TAPES_BCE.LT003_ENTITY WHERE ref_date='${ref_date}' AND nome_perimetro='Individual Local' AND segmento='ESTR' AND ambito='PM' AND entidade='00100')X INNER JOIN (SELECT entty_id AS CHAVE_SIMUL, pure_trnvr_ccm AS CAMPO_SIMUL FROM BU_LOANTAPE_WORK.LT003_ENTITY WHERE ref_date='${ref_date}' AND nome_perimetro='Individual Local' AND segmento='ESTR' AND ambito='PM' AND entidade='00100')Y ON X.CHAVE_IT=Y.CHAVE_SIMUL</v>
      </c>
      <c r="N484" s="33" t="str">
        <f t="shared" si="15"/>
        <v>UNION ALL SELECT 'ENTITY' AS TABELA, 'COERÊNCIA' AS TIPOLOGIA_TESTE,'CD_LOAN_TAPES_BCE.LT003_ENTITY' AS TABELA_LT,'BU_LOANTAPE_WORK.LT003_ENTITY' AS TABELA_SIMUL,'pure_trnvr_ccm'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pure_trnvr_ccm AS CAMPO_IT FROM CD_LOAN_TAPES_BCE.LT003_ENTITY WHERE ref_date='${ref_date}' AND nome_perimetro='Individual Local' AND segmento='ESTR' AND ambito='PM' AND entidade='00100')X INNER JOIN (SELECT entty_id AS CHAVE_SIMUL, pure_trnvr_ccm AS CAMPO_SIMUL FROM BU_LOANTAPE_WORK.LT003_ENTITY WHERE ref_date='${ref_date}' AND nome_perimetro='Individual Local' AND segmento='ESTR' AND ambito='PM' AND entidade='00100')Y ON X.CHAVE_IT=Y.CHAVE_SIMUL</v>
      </c>
      <c r="O484" s="35" t="s">
        <v>35</v>
      </c>
    </row>
    <row r="485" spans="1:15">
      <c r="A485" s="57" t="str">
        <f t="shared" si="16"/>
        <v>Entitypure_trnvr_cca</v>
      </c>
      <c r="B485" s="32" t="s">
        <v>60</v>
      </c>
      <c r="C485" s="32" t="s">
        <v>100</v>
      </c>
      <c r="D485" s="32" t="s">
        <v>5</v>
      </c>
      <c r="E485" s="32" t="str">
        <f>+UPPER('0. Instruções'!$D$35&amp;"."&amp;VLOOKUP(B485,'0. Instruções'!$C$27:$D$32,2,FALSE))</f>
        <v>CD_LOAN_TAPES_BCE.LT003_ENTITY</v>
      </c>
      <c r="F485" s="32" t="str">
        <f>+UPPER('0. Instruções'!$D$36&amp;"."&amp;VLOOKUP(B485,'0. Instruções'!$C$27:$E$32,3,FALSE))</f>
        <v>BU_LOANTAPE_WORK.LT003_ENTITY</v>
      </c>
      <c r="H485" s="32"/>
      <c r="I485" s="32"/>
      <c r="J485" s="32" t="str">
        <f>IF(VLOOKUP(B485,'0. Instruções'!$C$27:$G$32,5,FALSE)=0,
"(SELECT "&amp;VLOOKUP(B485,'0. Instruções'!$C$27:$G$32,4,FALSE)&amp;" AS CHAVE_IT, "&amp;C485&amp;" AS CAMPO_IT FROM "&amp;E485&amp;" WHERE "&amp;'0. Instruções'!$D$43&amp;")X",
"(SELECT "&amp;VLOOKUP(B485,'0. Instruções'!$C$27:$G$32,4,FALSE)&amp;" AS CHAVE_IT1, "&amp;VLOOKUP(B485,'0. Instruções'!$C$27:$G$32,5,FALSE)&amp;" AS CHAVE_IT2, "&amp;C485&amp;" AS CAMPO_IT FROM "&amp;E485&amp;" WHERE "&amp;'0. Instruções'!$D$43&amp;")X")</f>
        <v>(SELECT entty_id AS CHAVE_IT, pure_trnvr_cca AS CAMPO_IT FROM CD_LOAN_TAPES_BCE.LT003_ENTITY WHERE ref_date='${ref_date}' AND nome_perimetro='Individual Local' AND segmento='ESTR' AND ambito='PM' AND entidade='00100')X</v>
      </c>
      <c r="K485" s="32" t="str">
        <f>IF(VLOOKUP(B485,'0. Instruções'!$C$27:$G$32,5,FALSE)=0,
"(SELECT "&amp;VLOOKUP(B485,'0. Instruções'!$C$27:$G$32,4,FALSE)&amp;" AS CHAVE_SIMUL, "&amp;C485&amp;" AS CAMPO_SIMUL FROM "&amp;F485&amp;" WHERE "&amp;'0. Instruções'!$D$42&amp;")Y",
"(SELECT "&amp;VLOOKUP(B485,'0. Instruções'!$C$27:$G$32,4,FALSE)&amp;" AS CHAVE_SIMUL1, "&amp;VLOOKUP(B485,'0. Instruções'!$C$27:$G$32,5,FALSE)&amp;" AS CHAVE_SIMUL2, "&amp;C485&amp;" AS CAMPO_SIMUL FROM "&amp;F485&amp;" WHERE "&amp;'0. Instruções'!$D$42&amp;")Y")</f>
        <v>(SELECT entty_id AS CHAVE_SIMUL, pure_trnvr_cca AS CAMPO_SIMUL FROM BU_LOANTAPE_WORK.LT003_ENTITY WHERE ref_date='${ref_date}' AND nome_perimetro='Individual Local' AND segmento='ESTR' AND ambito='PM' AND entidade='00100')Y</v>
      </c>
      <c r="L485" s="32" t="str">
        <f>IF(VLOOKUP(B485,'0. Instruções'!$C$27:$G$32,5,FALSE)=0,
"ON X.CHAVE_IT=Y.CHAVE_SIMUL",
"ON X.CHAVE_IT1=Y.CHAVE_SIMUL1 AND X.CHAVE_IT2=Y.CHAVE_SIMUL2")</f>
        <v>ON X.CHAVE_IT=Y.CHAVE_SIMUL</v>
      </c>
      <c r="M485" s="32" t="str">
        <f>+IF(D485="Coerência",+IF(LEFT(H485,5)="FLOAT","SELECT '"&amp;UPPER(B485)&amp;"' AS TABELA, '"&amp;UPPER(D485)&amp;"' AS TIPOLOGIA_TESTE,'"&amp;E485&amp;"' AS TABELA_LT,'"&amp;F485&amp;"' AS TABELA_SIMUL,'"&amp;C485&amp;"'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"&amp;J485&amp;" INNER JOIN "&amp;K485&amp;" "&amp;L485,"SELECT '"&amp;UPPER(B485)&amp;"' AS TABELA, '"&amp;UPPER(D485)&amp;"' AS TIPOLOGIA_TESTE,'"&amp;E485&amp;"' AS TABELA_LT,'"&amp;F485&amp;"' AS TABELA_SIMUL,'"&amp;C485&amp;"'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"&amp;J485&amp;" INNER JOIN "&amp;K485&amp;" "&amp;L485))</f>
        <v>SELECT 'ENTITY' AS TABELA, 'COERÊNCIA' AS TIPOLOGIA_TESTE,'CD_LOAN_TAPES_BCE.LT003_ENTITY' AS TABELA_LT,'BU_LOANTAPE_WORK.LT003_ENTITY' AS TABELA_SIMUL,'pure_trnvr_cca'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pure_trnvr_cca AS CAMPO_IT FROM CD_LOAN_TAPES_BCE.LT003_ENTITY WHERE ref_date='${ref_date}' AND nome_perimetro='Individual Local' AND segmento='ESTR' AND ambito='PM' AND entidade='00100')X INNER JOIN (SELECT entty_id AS CHAVE_SIMUL, pure_trnvr_cca AS CAMPO_SIMUL FROM BU_LOANTAPE_WORK.LT003_ENTITY WHERE ref_date='${ref_date}' AND nome_perimetro='Individual Local' AND segmento='ESTR' AND ambito='PM' AND entidade='00100')Y ON X.CHAVE_IT=Y.CHAVE_SIMUL</v>
      </c>
      <c r="N485" s="33" t="str">
        <f t="shared" ref="N485:N548" si="17">+"UNION ALL "&amp;M485</f>
        <v>UNION ALL SELECT 'ENTITY' AS TABELA, 'COERÊNCIA' AS TIPOLOGIA_TESTE,'CD_LOAN_TAPES_BCE.LT003_ENTITY' AS TABELA_LT,'BU_LOANTAPE_WORK.LT003_ENTITY' AS TABELA_SIMUL,'pure_trnvr_cca'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pure_trnvr_cca AS CAMPO_IT FROM CD_LOAN_TAPES_BCE.LT003_ENTITY WHERE ref_date='${ref_date}' AND nome_perimetro='Individual Local' AND segmento='ESTR' AND ambito='PM' AND entidade='00100')X INNER JOIN (SELECT entty_id AS CHAVE_SIMUL, pure_trnvr_cca AS CAMPO_SIMUL FROM BU_LOANTAPE_WORK.LT003_ENTITY WHERE ref_date='${ref_date}' AND nome_perimetro='Individual Local' AND segmento='ESTR' AND ambito='PM' AND entidade='00100')Y ON X.CHAVE_IT=Y.CHAVE_SIMUL</v>
      </c>
      <c r="O485" s="35" t="s">
        <v>35</v>
      </c>
    </row>
    <row r="486" spans="1:15">
      <c r="A486" s="57" t="str">
        <f t="shared" si="16"/>
        <v>Entityflg_csrd_applcblty</v>
      </c>
      <c r="B486" s="32" t="s">
        <v>60</v>
      </c>
      <c r="C486" s="32" t="s">
        <v>587</v>
      </c>
      <c r="D486" s="32" t="s">
        <v>5</v>
      </c>
      <c r="E486" s="32" t="str">
        <f>+UPPER('0. Instruções'!$D$35&amp;"."&amp;VLOOKUP(B486,'0. Instruções'!$C$27:$D$32,2,FALSE))</f>
        <v>CD_LOAN_TAPES_BCE.LT003_ENTITY</v>
      </c>
      <c r="F486" s="32" t="str">
        <f>+UPPER('0. Instruções'!$D$36&amp;"."&amp;VLOOKUP(B486,'0. Instruções'!$C$27:$E$32,3,FALSE))</f>
        <v>BU_LOANTAPE_WORK.LT003_ENTITY</v>
      </c>
      <c r="H486" s="32"/>
      <c r="I486" s="32"/>
      <c r="J486" s="32" t="str">
        <f>IF(VLOOKUP(B486,'0. Instruções'!$C$27:$G$32,5,FALSE)=0,
"(SELECT "&amp;VLOOKUP(B486,'0. Instruções'!$C$27:$G$32,4,FALSE)&amp;" AS CHAVE_IT, "&amp;C486&amp;" AS CAMPO_IT FROM "&amp;E486&amp;" WHERE "&amp;'0. Instruções'!$D$43&amp;")X",
"(SELECT "&amp;VLOOKUP(B486,'0. Instruções'!$C$27:$G$32,4,FALSE)&amp;" AS CHAVE_IT1, "&amp;VLOOKUP(B486,'0. Instruções'!$C$27:$G$32,5,FALSE)&amp;" AS CHAVE_IT2, "&amp;C486&amp;" AS CAMPO_IT FROM "&amp;E486&amp;" WHERE "&amp;'0. Instruções'!$D$43&amp;")X")</f>
        <v>(SELECT entty_id AS CHAVE_IT, flg_csrd_applcblty AS CAMPO_IT FROM CD_LOAN_TAPES_BCE.LT003_ENTITY WHERE ref_date='${ref_date}' AND nome_perimetro='Individual Local' AND segmento='ESTR' AND ambito='PM' AND entidade='00100')X</v>
      </c>
      <c r="K486" s="32" t="str">
        <f>IF(VLOOKUP(B486,'0. Instruções'!$C$27:$G$32,5,FALSE)=0,
"(SELECT "&amp;VLOOKUP(B486,'0. Instruções'!$C$27:$G$32,4,FALSE)&amp;" AS CHAVE_SIMUL, "&amp;C486&amp;" AS CAMPO_SIMUL FROM "&amp;F486&amp;" WHERE "&amp;'0. Instruções'!$D$42&amp;")Y",
"(SELECT "&amp;VLOOKUP(B486,'0. Instruções'!$C$27:$G$32,4,FALSE)&amp;" AS CHAVE_SIMUL1, "&amp;VLOOKUP(B486,'0. Instruções'!$C$27:$G$32,5,FALSE)&amp;" AS CHAVE_SIMUL2, "&amp;C486&amp;" AS CAMPO_SIMUL FROM "&amp;F486&amp;" WHERE "&amp;'0. Instruções'!$D$42&amp;")Y")</f>
        <v>(SELECT entty_id AS CHAVE_SIMUL, flg_csrd_applcblty AS CAMPO_SIMUL FROM BU_LOANTAPE_WORK.LT003_ENTITY WHERE ref_date='${ref_date}' AND nome_perimetro='Individual Local' AND segmento='ESTR' AND ambito='PM' AND entidade='00100')Y</v>
      </c>
      <c r="L486" s="32" t="str">
        <f>IF(VLOOKUP(B486,'0. Instruções'!$C$27:$G$32,5,FALSE)=0,
"ON X.CHAVE_IT=Y.CHAVE_SIMUL",
"ON X.CHAVE_IT1=Y.CHAVE_SIMUL1 AND X.CHAVE_IT2=Y.CHAVE_SIMUL2")</f>
        <v>ON X.CHAVE_IT=Y.CHAVE_SIMUL</v>
      </c>
      <c r="M486" s="32" t="str">
        <f>+IF(D486="Coerência",+IF(LEFT(H486,5)="FLOAT","SELECT '"&amp;UPPER(B486)&amp;"' AS TABELA, '"&amp;UPPER(D486)&amp;"' AS TIPOLOGIA_TESTE,'"&amp;E486&amp;"' AS TABELA_LT,'"&amp;F486&amp;"' AS TABELA_SIMUL,'"&amp;C486&amp;"'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"&amp;J486&amp;" INNER JOIN "&amp;K486&amp;" "&amp;L486,"SELECT '"&amp;UPPER(B486)&amp;"' AS TABELA, '"&amp;UPPER(D486)&amp;"' AS TIPOLOGIA_TESTE,'"&amp;E486&amp;"' AS TABELA_LT,'"&amp;F486&amp;"' AS TABELA_SIMUL,'"&amp;C486&amp;"'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"&amp;J486&amp;" INNER JOIN "&amp;K486&amp;" "&amp;L486))</f>
        <v>SELECT 'ENTITY' AS TABELA, 'COERÊNCIA' AS TIPOLOGIA_TESTE,'CD_LOAN_TAPES_BCE.LT003_ENTITY' AS TABELA_LT,'BU_LOANTAPE_WORK.LT003_ENTITY' AS TABELA_SIMUL,'flg_csrd_applcblty'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flg_csrd_applcblty AS CAMPO_IT FROM CD_LOAN_TAPES_BCE.LT003_ENTITY WHERE ref_date='${ref_date}' AND nome_perimetro='Individual Local' AND segmento='ESTR' AND ambito='PM' AND entidade='00100')X INNER JOIN (SELECT entty_id AS CHAVE_SIMUL, flg_csrd_applcblty AS CAMPO_SIMUL FROM BU_LOANTAPE_WORK.LT003_ENTITY WHERE ref_date='${ref_date}' AND nome_perimetro='Individual Local' AND segmento='ESTR' AND ambito='PM' AND entidade='00100')Y ON X.CHAVE_IT=Y.CHAVE_SIMUL</v>
      </c>
      <c r="N486" s="33" t="str">
        <f t="shared" si="17"/>
        <v>UNION ALL SELECT 'ENTITY' AS TABELA, 'COERÊNCIA' AS TIPOLOGIA_TESTE,'CD_LOAN_TAPES_BCE.LT003_ENTITY' AS TABELA_LT,'BU_LOANTAPE_WORK.LT003_ENTITY' AS TABELA_SIMUL,'flg_csrd_applcblty'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flg_csrd_applcblty AS CAMPO_IT FROM CD_LOAN_TAPES_BCE.LT003_ENTITY WHERE ref_date='${ref_date}' AND nome_perimetro='Individual Local' AND segmento='ESTR' AND ambito='PM' AND entidade='00100')X INNER JOIN (SELECT entty_id AS CHAVE_SIMUL, flg_csrd_applcblty AS CAMPO_SIMUL FROM BU_LOANTAPE_WORK.LT003_ENTITY WHERE ref_date='${ref_date}' AND nome_perimetro='Individual Local' AND segmento='ESTR' AND ambito='PM' AND entidade='00100')Y ON X.CHAVE_IT=Y.CHAVE_SIMUL</v>
      </c>
      <c r="O486" s="35" t="s">
        <v>35</v>
      </c>
    </row>
    <row r="487" spans="1:15">
      <c r="A487" s="57" t="str">
        <f t="shared" si="16"/>
        <v>Entitycntrprty_emssns_scp1</v>
      </c>
      <c r="B487" s="32" t="s">
        <v>60</v>
      </c>
      <c r="C487" s="32" t="s">
        <v>101</v>
      </c>
      <c r="D487" s="32" t="s">
        <v>5</v>
      </c>
      <c r="E487" s="32" t="str">
        <f>+UPPER('0. Instruções'!$D$35&amp;"."&amp;VLOOKUP(B487,'0. Instruções'!$C$27:$D$32,2,FALSE))</f>
        <v>CD_LOAN_TAPES_BCE.LT003_ENTITY</v>
      </c>
      <c r="F487" s="32" t="str">
        <f>+UPPER('0. Instruções'!$D$36&amp;"."&amp;VLOOKUP(B487,'0. Instruções'!$C$27:$E$32,3,FALSE))</f>
        <v>BU_LOANTAPE_WORK.LT003_ENTITY</v>
      </c>
      <c r="H487" s="32"/>
      <c r="I487" s="32"/>
      <c r="J487" s="32" t="str">
        <f>IF(VLOOKUP(B487,'0. Instruções'!$C$27:$G$32,5,FALSE)=0,
"(SELECT "&amp;VLOOKUP(B487,'0. Instruções'!$C$27:$G$32,4,FALSE)&amp;" AS CHAVE_IT, "&amp;C487&amp;" AS CAMPO_IT FROM "&amp;E487&amp;" WHERE "&amp;'0. Instruções'!$D$43&amp;")X",
"(SELECT "&amp;VLOOKUP(B487,'0. Instruções'!$C$27:$G$32,4,FALSE)&amp;" AS CHAVE_IT1, "&amp;VLOOKUP(B487,'0. Instruções'!$C$27:$G$32,5,FALSE)&amp;" AS CHAVE_IT2, "&amp;C487&amp;" AS CAMPO_IT FROM "&amp;E487&amp;" WHERE "&amp;'0. Instruções'!$D$43&amp;")X")</f>
        <v>(SELECT entty_id AS CHAVE_IT, cntrprty_emssns_scp1 AS CAMPO_IT FROM CD_LOAN_TAPES_BCE.LT003_ENTITY WHERE ref_date='${ref_date}' AND nome_perimetro='Individual Local' AND segmento='ESTR' AND ambito='PM' AND entidade='00100')X</v>
      </c>
      <c r="K487" s="32" t="str">
        <f>IF(VLOOKUP(B487,'0. Instruções'!$C$27:$G$32,5,FALSE)=0,
"(SELECT "&amp;VLOOKUP(B487,'0. Instruções'!$C$27:$G$32,4,FALSE)&amp;" AS CHAVE_SIMUL, "&amp;C487&amp;" AS CAMPO_SIMUL FROM "&amp;F487&amp;" WHERE "&amp;'0. Instruções'!$D$42&amp;")Y",
"(SELECT "&amp;VLOOKUP(B487,'0. Instruções'!$C$27:$G$32,4,FALSE)&amp;" AS CHAVE_SIMUL1, "&amp;VLOOKUP(B487,'0. Instruções'!$C$27:$G$32,5,FALSE)&amp;" AS CHAVE_SIMUL2, "&amp;C487&amp;" AS CAMPO_SIMUL FROM "&amp;F487&amp;" WHERE "&amp;'0. Instruções'!$D$42&amp;")Y")</f>
        <v>(SELECT entty_id AS CHAVE_SIMUL, cntrprty_emssns_scp1 AS CAMPO_SIMUL FROM BU_LOANTAPE_WORK.LT003_ENTITY WHERE ref_date='${ref_date}' AND nome_perimetro='Individual Local' AND segmento='ESTR' AND ambito='PM' AND entidade='00100')Y</v>
      </c>
      <c r="L487" s="32" t="str">
        <f>IF(VLOOKUP(B487,'0. Instruções'!$C$27:$G$32,5,FALSE)=0,
"ON X.CHAVE_IT=Y.CHAVE_SIMUL",
"ON X.CHAVE_IT1=Y.CHAVE_SIMUL1 AND X.CHAVE_IT2=Y.CHAVE_SIMUL2")</f>
        <v>ON X.CHAVE_IT=Y.CHAVE_SIMUL</v>
      </c>
      <c r="M487" s="32" t="str">
        <f>+IF(D487="Coerência",+IF(LEFT(H487,5)="FLOAT","SELECT '"&amp;UPPER(B487)&amp;"' AS TABELA, '"&amp;UPPER(D487)&amp;"' AS TIPOLOGIA_TESTE,'"&amp;E487&amp;"' AS TABELA_LT,'"&amp;F487&amp;"' AS TABELA_SIMUL,'"&amp;C487&amp;"'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"&amp;J487&amp;" INNER JOIN "&amp;K487&amp;" "&amp;L487,"SELECT '"&amp;UPPER(B487)&amp;"' AS TABELA, '"&amp;UPPER(D487)&amp;"' AS TIPOLOGIA_TESTE,'"&amp;E487&amp;"' AS TABELA_LT,'"&amp;F487&amp;"' AS TABELA_SIMUL,'"&amp;C487&amp;"'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"&amp;J487&amp;" INNER JOIN "&amp;K487&amp;" "&amp;L487))</f>
        <v>SELECT 'ENTITY' AS TABELA, 'COERÊNCIA' AS TIPOLOGIA_TESTE,'CD_LOAN_TAPES_BCE.LT003_ENTITY' AS TABELA_LT,'BU_LOANTAPE_WORK.LT003_ENTITY' AS TABELA_SIMUL,'cntrprty_emssns_scp1'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cntrprty_emssns_scp1 AS CAMPO_IT FROM CD_LOAN_TAPES_BCE.LT003_ENTITY WHERE ref_date='${ref_date}' AND nome_perimetro='Individual Local' AND segmento='ESTR' AND ambito='PM' AND entidade='00100')X INNER JOIN (SELECT entty_id AS CHAVE_SIMUL, cntrprty_emssns_scp1 AS CAMPO_SIMUL FROM BU_LOANTAPE_WORK.LT003_ENTITY WHERE ref_date='${ref_date}' AND nome_perimetro='Individual Local' AND segmento='ESTR' AND ambito='PM' AND entidade='00100')Y ON X.CHAVE_IT=Y.CHAVE_SIMUL</v>
      </c>
      <c r="N487" s="33" t="str">
        <f t="shared" si="17"/>
        <v>UNION ALL SELECT 'ENTITY' AS TABELA, 'COERÊNCIA' AS TIPOLOGIA_TESTE,'CD_LOAN_TAPES_BCE.LT003_ENTITY' AS TABELA_LT,'BU_LOANTAPE_WORK.LT003_ENTITY' AS TABELA_SIMUL,'cntrprty_emssns_scp1'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cntrprty_emssns_scp1 AS CAMPO_IT FROM CD_LOAN_TAPES_BCE.LT003_ENTITY WHERE ref_date='${ref_date}' AND nome_perimetro='Individual Local' AND segmento='ESTR' AND ambito='PM' AND entidade='00100')X INNER JOIN (SELECT entty_id AS CHAVE_SIMUL, cntrprty_emssns_scp1 AS CAMPO_SIMUL FROM BU_LOANTAPE_WORK.LT003_ENTITY WHERE ref_date='${ref_date}' AND nome_perimetro='Individual Local' AND segmento='ESTR' AND ambito='PM' AND entidade='00100')Y ON X.CHAVE_IT=Y.CHAVE_SIMUL</v>
      </c>
      <c r="O487" s="35" t="s">
        <v>35</v>
      </c>
    </row>
    <row r="488" spans="1:15">
      <c r="A488" s="57" t="str">
        <f t="shared" si="16"/>
        <v>Entitycntrprty_emssns_scp2</v>
      </c>
      <c r="B488" s="32" t="s">
        <v>60</v>
      </c>
      <c r="C488" s="32" t="s">
        <v>102</v>
      </c>
      <c r="D488" s="32" t="s">
        <v>5</v>
      </c>
      <c r="E488" s="32" t="str">
        <f>+UPPER('0. Instruções'!$D$35&amp;"."&amp;VLOOKUP(B488,'0. Instruções'!$C$27:$D$32,2,FALSE))</f>
        <v>CD_LOAN_TAPES_BCE.LT003_ENTITY</v>
      </c>
      <c r="F488" s="32" t="str">
        <f>+UPPER('0. Instruções'!$D$36&amp;"."&amp;VLOOKUP(B488,'0. Instruções'!$C$27:$E$32,3,FALSE))</f>
        <v>BU_LOANTAPE_WORK.LT003_ENTITY</v>
      </c>
      <c r="H488" s="32"/>
      <c r="I488" s="32"/>
      <c r="J488" s="32" t="str">
        <f>IF(VLOOKUP(B488,'0. Instruções'!$C$27:$G$32,5,FALSE)=0,
"(SELECT "&amp;VLOOKUP(B488,'0. Instruções'!$C$27:$G$32,4,FALSE)&amp;" AS CHAVE_IT, "&amp;C488&amp;" AS CAMPO_IT FROM "&amp;E488&amp;" WHERE "&amp;'0. Instruções'!$D$43&amp;")X",
"(SELECT "&amp;VLOOKUP(B488,'0. Instruções'!$C$27:$G$32,4,FALSE)&amp;" AS CHAVE_IT1, "&amp;VLOOKUP(B488,'0. Instruções'!$C$27:$G$32,5,FALSE)&amp;" AS CHAVE_IT2, "&amp;C488&amp;" AS CAMPO_IT FROM "&amp;E488&amp;" WHERE "&amp;'0. Instruções'!$D$43&amp;")X")</f>
        <v>(SELECT entty_id AS CHAVE_IT, cntrprty_emssns_scp2 AS CAMPO_IT FROM CD_LOAN_TAPES_BCE.LT003_ENTITY WHERE ref_date='${ref_date}' AND nome_perimetro='Individual Local' AND segmento='ESTR' AND ambito='PM' AND entidade='00100')X</v>
      </c>
      <c r="K488" s="32" t="str">
        <f>IF(VLOOKUP(B488,'0. Instruções'!$C$27:$G$32,5,FALSE)=0,
"(SELECT "&amp;VLOOKUP(B488,'0. Instruções'!$C$27:$G$32,4,FALSE)&amp;" AS CHAVE_SIMUL, "&amp;C488&amp;" AS CAMPO_SIMUL FROM "&amp;F488&amp;" WHERE "&amp;'0. Instruções'!$D$42&amp;")Y",
"(SELECT "&amp;VLOOKUP(B488,'0. Instruções'!$C$27:$G$32,4,FALSE)&amp;" AS CHAVE_SIMUL1, "&amp;VLOOKUP(B488,'0. Instruções'!$C$27:$G$32,5,FALSE)&amp;" AS CHAVE_SIMUL2, "&amp;C488&amp;" AS CAMPO_SIMUL FROM "&amp;F488&amp;" WHERE "&amp;'0. Instruções'!$D$42&amp;")Y")</f>
        <v>(SELECT entty_id AS CHAVE_SIMUL, cntrprty_emssns_scp2 AS CAMPO_SIMUL FROM BU_LOANTAPE_WORK.LT003_ENTITY WHERE ref_date='${ref_date}' AND nome_perimetro='Individual Local' AND segmento='ESTR' AND ambito='PM' AND entidade='00100')Y</v>
      </c>
      <c r="L488" s="32" t="str">
        <f>IF(VLOOKUP(B488,'0. Instruções'!$C$27:$G$32,5,FALSE)=0,
"ON X.CHAVE_IT=Y.CHAVE_SIMUL",
"ON X.CHAVE_IT1=Y.CHAVE_SIMUL1 AND X.CHAVE_IT2=Y.CHAVE_SIMUL2")</f>
        <v>ON X.CHAVE_IT=Y.CHAVE_SIMUL</v>
      </c>
      <c r="M488" s="32" t="str">
        <f>+IF(D488="Coerência",+IF(LEFT(H488,5)="FLOAT","SELECT '"&amp;UPPER(B488)&amp;"' AS TABELA, '"&amp;UPPER(D488)&amp;"' AS TIPOLOGIA_TESTE,'"&amp;E488&amp;"' AS TABELA_LT,'"&amp;F488&amp;"' AS TABELA_SIMUL,'"&amp;C488&amp;"'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"&amp;J488&amp;" INNER JOIN "&amp;K488&amp;" "&amp;L488,"SELECT '"&amp;UPPER(B488)&amp;"' AS TABELA, '"&amp;UPPER(D488)&amp;"' AS TIPOLOGIA_TESTE,'"&amp;E488&amp;"' AS TABELA_LT,'"&amp;F488&amp;"' AS TABELA_SIMUL,'"&amp;C488&amp;"'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"&amp;J488&amp;" INNER JOIN "&amp;K488&amp;" "&amp;L488))</f>
        <v>SELECT 'ENTITY' AS TABELA, 'COERÊNCIA' AS TIPOLOGIA_TESTE,'CD_LOAN_TAPES_BCE.LT003_ENTITY' AS TABELA_LT,'BU_LOANTAPE_WORK.LT003_ENTITY' AS TABELA_SIMUL,'cntrprty_emssns_scp2'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cntrprty_emssns_scp2 AS CAMPO_IT FROM CD_LOAN_TAPES_BCE.LT003_ENTITY WHERE ref_date='${ref_date}' AND nome_perimetro='Individual Local' AND segmento='ESTR' AND ambito='PM' AND entidade='00100')X INNER JOIN (SELECT entty_id AS CHAVE_SIMUL, cntrprty_emssns_scp2 AS CAMPO_SIMUL FROM BU_LOANTAPE_WORK.LT003_ENTITY WHERE ref_date='${ref_date}' AND nome_perimetro='Individual Local' AND segmento='ESTR' AND ambito='PM' AND entidade='00100')Y ON X.CHAVE_IT=Y.CHAVE_SIMUL</v>
      </c>
      <c r="N488" s="33" t="str">
        <f t="shared" si="17"/>
        <v>UNION ALL SELECT 'ENTITY' AS TABELA, 'COERÊNCIA' AS TIPOLOGIA_TESTE,'CD_LOAN_TAPES_BCE.LT003_ENTITY' AS TABELA_LT,'BU_LOANTAPE_WORK.LT003_ENTITY' AS TABELA_SIMUL,'cntrprty_emssns_scp2'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cntrprty_emssns_scp2 AS CAMPO_IT FROM CD_LOAN_TAPES_BCE.LT003_ENTITY WHERE ref_date='${ref_date}' AND nome_perimetro='Individual Local' AND segmento='ESTR' AND ambito='PM' AND entidade='00100')X INNER JOIN (SELECT entty_id AS CHAVE_SIMUL, cntrprty_emssns_scp2 AS CAMPO_SIMUL FROM BU_LOANTAPE_WORK.LT003_ENTITY WHERE ref_date='${ref_date}' AND nome_perimetro='Individual Local' AND segmento='ESTR' AND ambito='PM' AND entidade='00100')Y ON X.CHAVE_IT=Y.CHAVE_SIMUL</v>
      </c>
      <c r="O488" s="35" t="s">
        <v>35</v>
      </c>
    </row>
    <row r="489" spans="1:15">
      <c r="A489" s="57" t="str">
        <f t="shared" si="16"/>
        <v>Entitycntrprty_emssns_scp3</v>
      </c>
      <c r="B489" s="32" t="s">
        <v>60</v>
      </c>
      <c r="C489" s="32" t="s">
        <v>103</v>
      </c>
      <c r="D489" s="32" t="s">
        <v>5</v>
      </c>
      <c r="E489" s="32" t="str">
        <f>+UPPER('0. Instruções'!$D$35&amp;"."&amp;VLOOKUP(B489,'0. Instruções'!$C$27:$D$32,2,FALSE))</f>
        <v>CD_LOAN_TAPES_BCE.LT003_ENTITY</v>
      </c>
      <c r="F489" s="32" t="str">
        <f>+UPPER('0. Instruções'!$D$36&amp;"."&amp;VLOOKUP(B489,'0. Instruções'!$C$27:$E$32,3,FALSE))</f>
        <v>BU_LOANTAPE_WORK.LT003_ENTITY</v>
      </c>
      <c r="H489" s="32"/>
      <c r="I489" s="32"/>
      <c r="J489" s="32" t="str">
        <f>IF(VLOOKUP(B489,'0. Instruções'!$C$27:$G$32,5,FALSE)=0,
"(SELECT "&amp;VLOOKUP(B489,'0. Instruções'!$C$27:$G$32,4,FALSE)&amp;" AS CHAVE_IT, "&amp;C489&amp;" AS CAMPO_IT FROM "&amp;E489&amp;" WHERE "&amp;'0. Instruções'!$D$43&amp;")X",
"(SELECT "&amp;VLOOKUP(B489,'0. Instruções'!$C$27:$G$32,4,FALSE)&amp;" AS CHAVE_IT1, "&amp;VLOOKUP(B489,'0. Instruções'!$C$27:$G$32,5,FALSE)&amp;" AS CHAVE_IT2, "&amp;C489&amp;" AS CAMPO_IT FROM "&amp;E489&amp;" WHERE "&amp;'0. Instruções'!$D$43&amp;")X")</f>
        <v>(SELECT entty_id AS CHAVE_IT, cntrprty_emssns_scp3 AS CAMPO_IT FROM CD_LOAN_TAPES_BCE.LT003_ENTITY WHERE ref_date='${ref_date}' AND nome_perimetro='Individual Local' AND segmento='ESTR' AND ambito='PM' AND entidade='00100')X</v>
      </c>
      <c r="K489" s="32" t="str">
        <f>IF(VLOOKUP(B489,'0. Instruções'!$C$27:$G$32,5,FALSE)=0,
"(SELECT "&amp;VLOOKUP(B489,'0. Instruções'!$C$27:$G$32,4,FALSE)&amp;" AS CHAVE_SIMUL, "&amp;C489&amp;" AS CAMPO_SIMUL FROM "&amp;F489&amp;" WHERE "&amp;'0. Instruções'!$D$42&amp;")Y",
"(SELECT "&amp;VLOOKUP(B489,'0. Instruções'!$C$27:$G$32,4,FALSE)&amp;" AS CHAVE_SIMUL1, "&amp;VLOOKUP(B489,'0. Instruções'!$C$27:$G$32,5,FALSE)&amp;" AS CHAVE_SIMUL2, "&amp;C489&amp;" AS CAMPO_SIMUL FROM "&amp;F489&amp;" WHERE "&amp;'0. Instruções'!$D$42&amp;")Y")</f>
        <v>(SELECT entty_id AS CHAVE_SIMUL, cntrprty_emssns_scp3 AS CAMPO_SIMUL FROM BU_LOANTAPE_WORK.LT003_ENTITY WHERE ref_date='${ref_date}' AND nome_perimetro='Individual Local' AND segmento='ESTR' AND ambito='PM' AND entidade='00100')Y</v>
      </c>
      <c r="L489" s="32" t="str">
        <f>IF(VLOOKUP(B489,'0. Instruções'!$C$27:$G$32,5,FALSE)=0,
"ON X.CHAVE_IT=Y.CHAVE_SIMUL",
"ON X.CHAVE_IT1=Y.CHAVE_SIMUL1 AND X.CHAVE_IT2=Y.CHAVE_SIMUL2")</f>
        <v>ON X.CHAVE_IT=Y.CHAVE_SIMUL</v>
      </c>
      <c r="M489" s="32" t="str">
        <f>+IF(D489="Coerência",+IF(LEFT(H489,5)="FLOAT","SELECT '"&amp;UPPER(B489)&amp;"' AS TABELA, '"&amp;UPPER(D489)&amp;"' AS TIPOLOGIA_TESTE,'"&amp;E489&amp;"' AS TABELA_LT,'"&amp;F489&amp;"' AS TABELA_SIMUL,'"&amp;C489&amp;"'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"&amp;J489&amp;" INNER JOIN "&amp;K489&amp;" "&amp;L489,"SELECT '"&amp;UPPER(B489)&amp;"' AS TABELA, '"&amp;UPPER(D489)&amp;"' AS TIPOLOGIA_TESTE,'"&amp;E489&amp;"' AS TABELA_LT,'"&amp;F489&amp;"' AS TABELA_SIMUL,'"&amp;C489&amp;"'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"&amp;J489&amp;" INNER JOIN "&amp;K489&amp;" "&amp;L489))</f>
        <v>SELECT 'ENTITY' AS TABELA, 'COERÊNCIA' AS TIPOLOGIA_TESTE,'CD_LOAN_TAPES_BCE.LT003_ENTITY' AS TABELA_LT,'BU_LOANTAPE_WORK.LT003_ENTITY' AS TABELA_SIMUL,'cntrprty_emssns_scp3'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cntrprty_emssns_scp3 AS CAMPO_IT FROM CD_LOAN_TAPES_BCE.LT003_ENTITY WHERE ref_date='${ref_date}' AND nome_perimetro='Individual Local' AND segmento='ESTR' AND ambito='PM' AND entidade='00100')X INNER JOIN (SELECT entty_id AS CHAVE_SIMUL, cntrprty_emssns_scp3 AS CAMPO_SIMUL FROM BU_LOANTAPE_WORK.LT003_ENTITY WHERE ref_date='${ref_date}' AND nome_perimetro='Individual Local' AND segmento='ESTR' AND ambito='PM' AND entidade='00100')Y ON X.CHAVE_IT=Y.CHAVE_SIMUL</v>
      </c>
      <c r="N489" s="33" t="str">
        <f t="shared" si="17"/>
        <v>UNION ALL SELECT 'ENTITY' AS TABELA, 'COERÊNCIA' AS TIPOLOGIA_TESTE,'CD_LOAN_TAPES_BCE.LT003_ENTITY' AS TABELA_LT,'BU_LOANTAPE_WORK.LT003_ENTITY' AS TABELA_SIMUL,'cntrprty_emssns_scp3'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cntrprty_emssns_scp3 AS CAMPO_IT FROM CD_LOAN_TAPES_BCE.LT003_ENTITY WHERE ref_date='${ref_date}' AND nome_perimetro='Individual Local' AND segmento='ESTR' AND ambito='PM' AND entidade='00100')X INNER JOIN (SELECT entty_id AS CHAVE_SIMUL, cntrprty_emssns_scp3 AS CAMPO_SIMUL FROM BU_LOANTAPE_WORK.LT003_ENTITY WHERE ref_date='${ref_date}' AND nome_perimetro='Individual Local' AND segmento='ESTR' AND ambito='PM' AND entidade='00100')Y ON X.CHAVE_IT=Y.CHAVE_SIMUL</v>
      </c>
      <c r="O489" s="35" t="s">
        <v>35</v>
      </c>
    </row>
    <row r="490" spans="1:15">
      <c r="A490" s="57" t="str">
        <f t="shared" si="16"/>
        <v>Entityflg_excldd_eu_prs_algnd_bnchmrk</v>
      </c>
      <c r="B490" s="32" t="s">
        <v>60</v>
      </c>
      <c r="C490" s="32" t="s">
        <v>104</v>
      </c>
      <c r="D490" s="32" t="s">
        <v>5</v>
      </c>
      <c r="E490" s="32" t="str">
        <f>+UPPER('0. Instruções'!$D$35&amp;"."&amp;VLOOKUP(B490,'0. Instruções'!$C$27:$D$32,2,FALSE))</f>
        <v>CD_LOAN_TAPES_BCE.LT003_ENTITY</v>
      </c>
      <c r="F490" s="32" t="str">
        <f>+UPPER('0. Instruções'!$D$36&amp;"."&amp;VLOOKUP(B490,'0. Instruções'!$C$27:$E$32,3,FALSE))</f>
        <v>BU_LOANTAPE_WORK.LT003_ENTITY</v>
      </c>
      <c r="H490" s="32"/>
      <c r="I490" s="32"/>
      <c r="J490" s="32" t="str">
        <f>IF(VLOOKUP(B490,'0. Instruções'!$C$27:$G$32,5,FALSE)=0,
"(SELECT "&amp;VLOOKUP(B490,'0. Instruções'!$C$27:$G$32,4,FALSE)&amp;" AS CHAVE_IT, "&amp;C490&amp;" AS CAMPO_IT FROM "&amp;E490&amp;" WHERE "&amp;'0. Instruções'!$D$43&amp;")X",
"(SELECT "&amp;VLOOKUP(B490,'0. Instruções'!$C$27:$G$32,4,FALSE)&amp;" AS CHAVE_IT1, "&amp;VLOOKUP(B490,'0. Instruções'!$C$27:$G$32,5,FALSE)&amp;" AS CHAVE_IT2, "&amp;C490&amp;" AS CAMPO_IT FROM "&amp;E490&amp;" WHERE "&amp;'0. Instruções'!$D$43&amp;")X")</f>
        <v>(SELECT entty_id AS CHAVE_IT, flg_excldd_eu_prs_algnd_bnchmrk AS CAMPO_IT FROM CD_LOAN_TAPES_BCE.LT003_ENTITY WHERE ref_date='${ref_date}' AND nome_perimetro='Individual Local' AND segmento='ESTR' AND ambito='PM' AND entidade='00100')X</v>
      </c>
      <c r="K490" s="32" t="str">
        <f>IF(VLOOKUP(B490,'0. Instruções'!$C$27:$G$32,5,FALSE)=0,
"(SELECT "&amp;VLOOKUP(B490,'0. Instruções'!$C$27:$G$32,4,FALSE)&amp;" AS CHAVE_SIMUL, "&amp;C490&amp;" AS CAMPO_SIMUL FROM "&amp;F490&amp;" WHERE "&amp;'0. Instruções'!$D$42&amp;")Y",
"(SELECT "&amp;VLOOKUP(B490,'0. Instruções'!$C$27:$G$32,4,FALSE)&amp;" AS CHAVE_SIMUL1, "&amp;VLOOKUP(B490,'0. Instruções'!$C$27:$G$32,5,FALSE)&amp;" AS CHAVE_SIMUL2, "&amp;C490&amp;" AS CAMPO_SIMUL FROM "&amp;F490&amp;" WHERE "&amp;'0. Instruções'!$D$42&amp;")Y")</f>
        <v>(SELECT entty_id AS CHAVE_SIMUL, flg_excldd_eu_prs_algnd_bnchmrk AS CAMPO_SIMUL FROM BU_LOANTAPE_WORK.LT003_ENTITY WHERE ref_date='${ref_date}' AND nome_perimetro='Individual Local' AND segmento='ESTR' AND ambito='PM' AND entidade='00100')Y</v>
      </c>
      <c r="L490" s="32" t="str">
        <f>IF(VLOOKUP(B490,'0. Instruções'!$C$27:$G$32,5,FALSE)=0,
"ON X.CHAVE_IT=Y.CHAVE_SIMUL",
"ON X.CHAVE_IT1=Y.CHAVE_SIMUL1 AND X.CHAVE_IT2=Y.CHAVE_SIMUL2")</f>
        <v>ON X.CHAVE_IT=Y.CHAVE_SIMUL</v>
      </c>
      <c r="M490" s="32" t="str">
        <f>+IF(D490="Coerência",+IF(LEFT(H490,5)="FLOAT","SELECT '"&amp;UPPER(B490)&amp;"' AS TABELA, '"&amp;UPPER(D490)&amp;"' AS TIPOLOGIA_TESTE,'"&amp;E490&amp;"' AS TABELA_LT,'"&amp;F490&amp;"' AS TABELA_SIMUL,'"&amp;C490&amp;"'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"&amp;J490&amp;" INNER JOIN "&amp;K490&amp;" "&amp;L490,"SELECT '"&amp;UPPER(B490)&amp;"' AS TABELA, '"&amp;UPPER(D490)&amp;"' AS TIPOLOGIA_TESTE,'"&amp;E490&amp;"' AS TABELA_LT,'"&amp;F490&amp;"' AS TABELA_SIMUL,'"&amp;C490&amp;"'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"&amp;J490&amp;" INNER JOIN "&amp;K490&amp;" "&amp;L490))</f>
        <v>SELECT 'ENTITY' AS TABELA, 'COERÊNCIA' AS TIPOLOGIA_TESTE,'CD_LOAN_TAPES_BCE.LT003_ENTITY' AS TABELA_LT,'BU_LOANTAPE_WORK.LT003_ENTITY' AS TABELA_SIMUL,'flg_excldd_eu_prs_algnd_bnchmrk'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flg_excldd_eu_prs_algnd_bnchmrk AS CAMPO_IT FROM CD_LOAN_TAPES_BCE.LT003_ENTITY WHERE ref_date='${ref_date}' AND nome_perimetro='Individual Local' AND segmento='ESTR' AND ambito='PM' AND entidade='00100')X INNER JOIN (SELECT entty_id AS CHAVE_SIMUL, flg_excldd_eu_prs_algnd_bnchmrk AS CAMPO_SIMUL FROM BU_LOANTAPE_WORK.LT003_ENTITY WHERE ref_date='${ref_date}' AND nome_perimetro='Individual Local' AND segmento='ESTR' AND ambito='PM' AND entidade='00100')Y ON X.CHAVE_IT=Y.CHAVE_SIMUL</v>
      </c>
      <c r="N490" s="33" t="str">
        <f t="shared" si="17"/>
        <v>UNION ALL SELECT 'ENTITY' AS TABELA, 'COERÊNCIA' AS TIPOLOGIA_TESTE,'CD_LOAN_TAPES_BCE.LT003_ENTITY' AS TABELA_LT,'BU_LOANTAPE_WORK.LT003_ENTITY' AS TABELA_SIMUL,'flg_excldd_eu_prs_algnd_bnchmrk'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flg_excldd_eu_prs_algnd_bnchmrk AS CAMPO_IT FROM CD_LOAN_TAPES_BCE.LT003_ENTITY WHERE ref_date='${ref_date}' AND nome_perimetro='Individual Local' AND segmento='ESTR' AND ambito='PM' AND entidade='00100')X INNER JOIN (SELECT entty_id AS CHAVE_SIMUL, flg_excldd_eu_prs_algnd_bnchmrk AS CAMPO_SIMUL FROM BU_LOANTAPE_WORK.LT003_ENTITY WHERE ref_date='${ref_date}' AND nome_perimetro='Individual Local' AND segmento='ESTR' AND ambito='PM' AND entidade='00100')Y ON X.CHAVE_IT=Y.CHAVE_SIMUL</v>
      </c>
      <c r="O490" s="35" t="s">
        <v>35</v>
      </c>
    </row>
    <row r="491" spans="1:15">
      <c r="A491" s="57" t="str">
        <f t="shared" si="16"/>
        <v>Entityflg_act_physcl_rsk</v>
      </c>
      <c r="B491" s="32" t="s">
        <v>60</v>
      </c>
      <c r="C491" s="32" t="s">
        <v>105</v>
      </c>
      <c r="D491" s="32" t="s">
        <v>5</v>
      </c>
      <c r="E491" s="32" t="str">
        <f>+UPPER('0. Instruções'!$D$35&amp;"."&amp;VLOOKUP(B491,'0. Instruções'!$C$27:$D$32,2,FALSE))</f>
        <v>CD_LOAN_TAPES_BCE.LT003_ENTITY</v>
      </c>
      <c r="F491" s="32" t="str">
        <f>+UPPER('0. Instruções'!$D$36&amp;"."&amp;VLOOKUP(B491,'0. Instruções'!$C$27:$E$32,3,FALSE))</f>
        <v>BU_LOANTAPE_WORK.LT003_ENTITY</v>
      </c>
      <c r="H491" s="32"/>
      <c r="I491" s="32"/>
      <c r="J491" s="32" t="str">
        <f>IF(VLOOKUP(B491,'0. Instruções'!$C$27:$G$32,5,FALSE)=0,
"(SELECT "&amp;VLOOKUP(B491,'0. Instruções'!$C$27:$G$32,4,FALSE)&amp;" AS CHAVE_IT, "&amp;C491&amp;" AS CAMPO_IT FROM "&amp;E491&amp;" WHERE "&amp;'0. Instruções'!$D$43&amp;")X",
"(SELECT "&amp;VLOOKUP(B491,'0. Instruções'!$C$27:$G$32,4,FALSE)&amp;" AS CHAVE_IT1, "&amp;VLOOKUP(B491,'0. Instruções'!$C$27:$G$32,5,FALSE)&amp;" AS CHAVE_IT2, "&amp;C491&amp;" AS CAMPO_IT FROM "&amp;E491&amp;" WHERE "&amp;'0. Instruções'!$D$43&amp;")X")</f>
        <v>(SELECT entty_id AS CHAVE_IT, flg_act_physcl_rsk AS CAMPO_IT FROM CD_LOAN_TAPES_BCE.LT003_ENTITY WHERE ref_date='${ref_date}' AND nome_perimetro='Individual Local' AND segmento='ESTR' AND ambito='PM' AND entidade='00100')X</v>
      </c>
      <c r="K491" s="32" t="str">
        <f>IF(VLOOKUP(B491,'0. Instruções'!$C$27:$G$32,5,FALSE)=0,
"(SELECT "&amp;VLOOKUP(B491,'0. Instruções'!$C$27:$G$32,4,FALSE)&amp;" AS CHAVE_SIMUL, "&amp;C491&amp;" AS CAMPO_SIMUL FROM "&amp;F491&amp;" WHERE "&amp;'0. Instruções'!$D$42&amp;")Y",
"(SELECT "&amp;VLOOKUP(B491,'0. Instruções'!$C$27:$G$32,4,FALSE)&amp;" AS CHAVE_SIMUL1, "&amp;VLOOKUP(B491,'0. Instruções'!$C$27:$G$32,5,FALSE)&amp;" AS CHAVE_SIMUL2, "&amp;C491&amp;" AS CAMPO_SIMUL FROM "&amp;F491&amp;" WHERE "&amp;'0. Instruções'!$D$42&amp;")Y")</f>
        <v>(SELECT entty_id AS CHAVE_SIMUL, flg_act_physcl_rsk AS CAMPO_SIMUL FROM BU_LOANTAPE_WORK.LT003_ENTITY WHERE ref_date='${ref_date}' AND nome_perimetro='Individual Local' AND segmento='ESTR' AND ambito='PM' AND entidade='00100')Y</v>
      </c>
      <c r="L491" s="32" t="str">
        <f>IF(VLOOKUP(B491,'0. Instruções'!$C$27:$G$32,5,FALSE)=0,
"ON X.CHAVE_IT=Y.CHAVE_SIMUL",
"ON X.CHAVE_IT1=Y.CHAVE_SIMUL1 AND X.CHAVE_IT2=Y.CHAVE_SIMUL2")</f>
        <v>ON X.CHAVE_IT=Y.CHAVE_SIMUL</v>
      </c>
      <c r="M491" s="32" t="str">
        <f>+IF(D491="Coerência",+IF(LEFT(H491,5)="FLOAT","SELECT '"&amp;UPPER(B491)&amp;"' AS TABELA, '"&amp;UPPER(D491)&amp;"' AS TIPOLOGIA_TESTE,'"&amp;E491&amp;"' AS TABELA_LT,'"&amp;F491&amp;"' AS TABELA_SIMUL,'"&amp;C491&amp;"'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"&amp;J491&amp;" INNER JOIN "&amp;K491&amp;" "&amp;L491,"SELECT '"&amp;UPPER(B491)&amp;"' AS TABELA, '"&amp;UPPER(D491)&amp;"' AS TIPOLOGIA_TESTE,'"&amp;E491&amp;"' AS TABELA_LT,'"&amp;F491&amp;"' AS TABELA_SIMUL,'"&amp;C491&amp;"'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"&amp;J491&amp;" INNER JOIN "&amp;K491&amp;" "&amp;L491))</f>
        <v>SELECT 'ENTITY' AS TABELA, 'COERÊNCIA' AS TIPOLOGIA_TESTE,'CD_LOAN_TAPES_BCE.LT003_ENTITY' AS TABELA_LT,'BU_LOANTAPE_WORK.LT003_ENTITY'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flg_act_physcl_rsk AS CAMPO_IT FROM CD_LOAN_TAPES_BCE.LT003_ENTITY WHERE ref_date='${ref_date}' AND nome_perimetro='Individual Local' AND segmento='ESTR' AND ambito='PM' AND entidade='00100')X INNER JOIN (SELECT entty_id AS CHAVE_SIMUL, flg_act_physcl_rsk AS CAMPO_SIMUL FROM BU_LOANTAPE_WORK.LT003_ENTITY WHERE ref_date='${ref_date}' AND nome_perimetro='Individual Local' AND segmento='ESTR' AND ambito='PM' AND entidade='00100')Y ON X.CHAVE_IT=Y.CHAVE_SIMUL</v>
      </c>
      <c r="N491" s="33" t="str">
        <f t="shared" si="17"/>
        <v>UNION ALL SELECT 'ENTITY' AS TABELA, 'COERÊNCIA' AS TIPOLOGIA_TESTE,'CD_LOAN_TAPES_BCE.LT003_ENTITY' AS TABELA_LT,'BU_LOANTAPE_WORK.LT003_ENTITY'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flg_act_physcl_rsk AS CAMPO_IT FROM CD_LOAN_TAPES_BCE.LT003_ENTITY WHERE ref_date='${ref_date}' AND nome_perimetro='Individual Local' AND segmento='ESTR' AND ambito='PM' AND entidade='00100')X INNER JOIN (SELECT entty_id AS CHAVE_SIMUL, flg_act_physcl_rsk AS CAMPO_SIMUL FROM BU_LOANTAPE_WORK.LT003_ENTITY WHERE ref_date='${ref_date}' AND nome_perimetro='Individual Local' AND segmento='ESTR' AND ambito='PM' AND entidade='00100')Y ON X.CHAVE_IT=Y.CHAVE_SIMUL</v>
      </c>
      <c r="O491" s="35" t="s">
        <v>35</v>
      </c>
    </row>
    <row r="492" spans="1:15">
      <c r="A492" s="57" t="str">
        <f t="shared" si="16"/>
        <v>Entityflg_chrnc_physcl_rsk</v>
      </c>
      <c r="B492" s="32" t="s">
        <v>60</v>
      </c>
      <c r="C492" s="32" t="s">
        <v>106</v>
      </c>
      <c r="D492" s="32" t="s">
        <v>5</v>
      </c>
      <c r="E492" s="32" t="str">
        <f>+UPPER('0. Instruções'!$D$35&amp;"."&amp;VLOOKUP(B492,'0. Instruções'!$C$27:$D$32,2,FALSE))</f>
        <v>CD_LOAN_TAPES_BCE.LT003_ENTITY</v>
      </c>
      <c r="F492" s="32" t="str">
        <f>+UPPER('0. Instruções'!$D$36&amp;"."&amp;VLOOKUP(B492,'0. Instruções'!$C$27:$E$32,3,FALSE))</f>
        <v>BU_LOANTAPE_WORK.LT003_ENTITY</v>
      </c>
      <c r="H492" s="32"/>
      <c r="I492" s="32"/>
      <c r="J492" s="32" t="str">
        <f>IF(VLOOKUP(B492,'0. Instruções'!$C$27:$G$32,5,FALSE)=0,
"(SELECT "&amp;VLOOKUP(B492,'0. Instruções'!$C$27:$G$32,4,FALSE)&amp;" AS CHAVE_IT, "&amp;C492&amp;" AS CAMPO_IT FROM "&amp;E492&amp;" WHERE "&amp;'0. Instruções'!$D$43&amp;")X",
"(SELECT "&amp;VLOOKUP(B492,'0. Instruções'!$C$27:$G$32,4,FALSE)&amp;" AS CHAVE_IT1, "&amp;VLOOKUP(B492,'0. Instruções'!$C$27:$G$32,5,FALSE)&amp;" AS CHAVE_IT2, "&amp;C492&amp;" AS CAMPO_IT FROM "&amp;E492&amp;" WHERE "&amp;'0. Instruções'!$D$43&amp;")X")</f>
        <v>(SELECT entty_id AS CHAVE_IT, flg_chrnc_physcl_rsk AS CAMPO_IT FROM CD_LOAN_TAPES_BCE.LT003_ENTITY WHERE ref_date='${ref_date}' AND nome_perimetro='Individual Local' AND segmento='ESTR' AND ambito='PM' AND entidade='00100')X</v>
      </c>
      <c r="K492" s="32" t="str">
        <f>IF(VLOOKUP(B492,'0. Instruções'!$C$27:$G$32,5,FALSE)=0,
"(SELECT "&amp;VLOOKUP(B492,'0. Instruções'!$C$27:$G$32,4,FALSE)&amp;" AS CHAVE_SIMUL, "&amp;C492&amp;" AS CAMPO_SIMUL FROM "&amp;F492&amp;" WHERE "&amp;'0. Instruções'!$D$42&amp;")Y",
"(SELECT "&amp;VLOOKUP(B492,'0. Instruções'!$C$27:$G$32,4,FALSE)&amp;" AS CHAVE_SIMUL1, "&amp;VLOOKUP(B492,'0. Instruções'!$C$27:$G$32,5,FALSE)&amp;" AS CHAVE_SIMUL2, "&amp;C492&amp;" AS CAMPO_SIMUL FROM "&amp;F492&amp;" WHERE "&amp;'0. Instruções'!$D$42&amp;")Y")</f>
        <v>(SELECT entty_id AS CHAVE_SIMUL, flg_chrnc_physcl_rsk AS CAMPO_SIMUL FROM BU_LOANTAPE_WORK.LT003_ENTITY WHERE ref_date='${ref_date}' AND nome_perimetro='Individual Local' AND segmento='ESTR' AND ambito='PM' AND entidade='00100')Y</v>
      </c>
      <c r="L492" s="32" t="str">
        <f>IF(VLOOKUP(B492,'0. Instruções'!$C$27:$G$32,5,FALSE)=0,
"ON X.CHAVE_IT=Y.CHAVE_SIMUL",
"ON X.CHAVE_IT1=Y.CHAVE_SIMUL1 AND X.CHAVE_IT2=Y.CHAVE_SIMUL2")</f>
        <v>ON X.CHAVE_IT=Y.CHAVE_SIMUL</v>
      </c>
      <c r="M492" s="32" t="str">
        <f>+IF(D492="Coerência",+IF(LEFT(H492,5)="FLOAT","SELECT '"&amp;UPPER(B492)&amp;"' AS TABELA, '"&amp;UPPER(D492)&amp;"' AS TIPOLOGIA_TESTE,'"&amp;E492&amp;"' AS TABELA_LT,'"&amp;F492&amp;"' AS TABELA_SIMUL,'"&amp;C492&amp;"'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"&amp;J492&amp;" INNER JOIN "&amp;K492&amp;" "&amp;L492,"SELECT '"&amp;UPPER(B492)&amp;"' AS TABELA, '"&amp;UPPER(D492)&amp;"' AS TIPOLOGIA_TESTE,'"&amp;E492&amp;"' AS TABELA_LT,'"&amp;F492&amp;"' AS TABELA_SIMUL,'"&amp;C492&amp;"'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"&amp;J492&amp;" INNER JOIN "&amp;K492&amp;" "&amp;L492))</f>
        <v>SELECT 'ENTITY' AS TABELA, 'COERÊNCIA' AS TIPOLOGIA_TESTE,'CD_LOAN_TAPES_BCE.LT003_ENTITY' AS TABELA_LT,'BU_LOANTAPE_WORK.LT003_ENTITY'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flg_chrnc_physcl_rsk AS CAMPO_IT FROM CD_LOAN_TAPES_BCE.LT003_ENTITY WHERE ref_date='${ref_date}' AND nome_perimetro='Individual Local' AND segmento='ESTR' AND ambito='PM' AND entidade='00100')X INNER JOIN (SELECT entty_id AS CHAVE_SIMUL, flg_chrnc_physcl_rsk AS CAMPO_SIMUL FROM BU_LOANTAPE_WORK.LT003_ENTITY WHERE ref_date='${ref_date}' AND nome_perimetro='Individual Local' AND segmento='ESTR' AND ambito='PM' AND entidade='00100')Y ON X.CHAVE_IT=Y.CHAVE_SIMUL</v>
      </c>
      <c r="N492" s="33" t="str">
        <f t="shared" si="17"/>
        <v>UNION ALL SELECT 'ENTITY' AS TABELA, 'COERÊNCIA' AS TIPOLOGIA_TESTE,'CD_LOAN_TAPES_BCE.LT003_ENTITY' AS TABELA_LT,'BU_LOANTAPE_WORK.LT003_ENTITY'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flg_chrnc_physcl_rsk AS CAMPO_IT FROM CD_LOAN_TAPES_BCE.LT003_ENTITY WHERE ref_date='${ref_date}' AND nome_perimetro='Individual Local' AND segmento='ESTR' AND ambito='PM' AND entidade='00100')X INNER JOIN (SELECT entty_id AS CHAVE_SIMUL, flg_chrnc_physcl_rsk AS CAMPO_SIMUL FROM BU_LOANTAPE_WORK.LT003_ENTITY WHERE ref_date='${ref_date}' AND nome_perimetro='Individual Local' AND segmento='ESTR' AND ambito='PM' AND entidade='00100')Y ON X.CHAVE_IT=Y.CHAVE_SIMUL</v>
      </c>
      <c r="O492" s="35" t="s">
        <v>35</v>
      </c>
    </row>
    <row r="493" spans="1:15">
      <c r="A493" s="57" t="str">
        <f t="shared" si="16"/>
        <v>Entitypst_cd</v>
      </c>
      <c r="B493" s="32" t="s">
        <v>60</v>
      </c>
      <c r="C493" s="32" t="s">
        <v>107</v>
      </c>
      <c r="D493" s="32" t="s">
        <v>5</v>
      </c>
      <c r="E493" s="32" t="str">
        <f>+UPPER('0. Instruções'!$D$35&amp;"."&amp;VLOOKUP(B493,'0. Instruções'!$C$27:$D$32,2,FALSE))</f>
        <v>CD_LOAN_TAPES_BCE.LT003_ENTITY</v>
      </c>
      <c r="F493" s="32" t="str">
        <f>+UPPER('0. Instruções'!$D$36&amp;"."&amp;VLOOKUP(B493,'0. Instruções'!$C$27:$E$32,3,FALSE))</f>
        <v>BU_LOANTAPE_WORK.LT003_ENTITY</v>
      </c>
      <c r="H493" s="32"/>
      <c r="I493" s="32"/>
      <c r="J493" s="32" t="str">
        <f>IF(VLOOKUP(B493,'0. Instruções'!$C$27:$G$32,5,FALSE)=0,
"(SELECT "&amp;VLOOKUP(B493,'0. Instruções'!$C$27:$G$32,4,FALSE)&amp;" AS CHAVE_IT, "&amp;C493&amp;" AS CAMPO_IT FROM "&amp;E493&amp;" WHERE "&amp;'0. Instruções'!$D$43&amp;")X",
"(SELECT "&amp;VLOOKUP(B493,'0. Instruções'!$C$27:$G$32,4,FALSE)&amp;" AS CHAVE_IT1, "&amp;VLOOKUP(B493,'0. Instruções'!$C$27:$G$32,5,FALSE)&amp;" AS CHAVE_IT2, "&amp;C493&amp;" AS CAMPO_IT FROM "&amp;E493&amp;" WHERE "&amp;'0. Instruções'!$D$43&amp;")X")</f>
        <v>(SELECT entty_id AS CHAVE_IT, pst_cd AS CAMPO_IT FROM CD_LOAN_TAPES_BCE.LT003_ENTITY WHERE ref_date='${ref_date}' AND nome_perimetro='Individual Local' AND segmento='ESTR' AND ambito='PM' AND entidade='00100')X</v>
      </c>
      <c r="K493" s="32" t="str">
        <f>IF(VLOOKUP(B493,'0. Instruções'!$C$27:$G$32,5,FALSE)=0,
"(SELECT "&amp;VLOOKUP(B493,'0. Instruções'!$C$27:$G$32,4,FALSE)&amp;" AS CHAVE_SIMUL, "&amp;C493&amp;" AS CAMPO_SIMUL FROM "&amp;F493&amp;" WHERE "&amp;'0. Instruções'!$D$42&amp;")Y",
"(SELECT "&amp;VLOOKUP(B493,'0. Instruções'!$C$27:$G$32,4,FALSE)&amp;" AS CHAVE_SIMUL1, "&amp;VLOOKUP(B493,'0. Instruções'!$C$27:$G$32,5,FALSE)&amp;" AS CHAVE_SIMUL2, "&amp;C493&amp;" AS CAMPO_SIMUL FROM "&amp;F493&amp;" WHERE "&amp;'0. Instruções'!$D$42&amp;")Y")</f>
        <v>(SELECT entty_id AS CHAVE_SIMUL, pst_cd AS CAMPO_SIMUL FROM BU_LOANTAPE_WORK.LT003_ENTITY WHERE ref_date='${ref_date}' AND nome_perimetro='Individual Local' AND segmento='ESTR' AND ambito='PM' AND entidade='00100')Y</v>
      </c>
      <c r="L493" s="32" t="str">
        <f>IF(VLOOKUP(B493,'0. Instruções'!$C$27:$G$32,5,FALSE)=0,
"ON X.CHAVE_IT=Y.CHAVE_SIMUL",
"ON X.CHAVE_IT1=Y.CHAVE_SIMUL1 AND X.CHAVE_IT2=Y.CHAVE_SIMUL2")</f>
        <v>ON X.CHAVE_IT=Y.CHAVE_SIMUL</v>
      </c>
      <c r="M493" s="32" t="str">
        <f>+IF(D493="Coerência",+IF(LEFT(H493,5)="FLOAT","SELECT '"&amp;UPPER(B493)&amp;"' AS TABELA, '"&amp;UPPER(D493)&amp;"' AS TIPOLOGIA_TESTE,'"&amp;E493&amp;"' AS TABELA_LT,'"&amp;F493&amp;"' AS TABELA_SIMUL,'"&amp;C493&amp;"'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"&amp;J493&amp;" INNER JOIN "&amp;K493&amp;" "&amp;L493,"SELECT '"&amp;UPPER(B493)&amp;"' AS TABELA, '"&amp;UPPER(D493)&amp;"' AS TIPOLOGIA_TESTE,'"&amp;E493&amp;"' AS TABELA_LT,'"&amp;F493&amp;"' AS TABELA_SIMUL,'"&amp;C493&amp;"'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"&amp;J493&amp;" INNER JOIN "&amp;K493&amp;" "&amp;L493))</f>
        <v>SELECT 'ENTITY' AS TABELA, 'COERÊNCIA' AS TIPOLOGIA_TESTE,'CD_LOAN_TAPES_BCE.LT003_ENTITY' AS TABELA_LT,'BU_LOANTAPE_WORK.LT003_ENTITY' AS TABELA_SIMUL,'pst_cd'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pst_cd AS CAMPO_IT FROM CD_LOAN_TAPES_BCE.LT003_ENTITY WHERE ref_date='${ref_date}' AND nome_perimetro='Individual Local' AND segmento='ESTR' AND ambito='PM' AND entidade='00100')X INNER JOIN (SELECT entty_id AS CHAVE_SIMUL, pst_cd AS CAMPO_SIMUL FROM BU_LOANTAPE_WORK.LT003_ENTITY WHERE ref_date='${ref_date}' AND nome_perimetro='Individual Local' AND segmento='ESTR' AND ambito='PM' AND entidade='00100')Y ON X.CHAVE_IT=Y.CHAVE_SIMUL</v>
      </c>
      <c r="N493" s="33" t="str">
        <f t="shared" si="17"/>
        <v>UNION ALL SELECT 'ENTITY' AS TABELA, 'COERÊNCIA' AS TIPOLOGIA_TESTE,'CD_LOAN_TAPES_BCE.LT003_ENTITY' AS TABELA_LT,'BU_LOANTAPE_WORK.LT003_ENTITY' AS TABELA_SIMUL,'pst_cd'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pst_cd AS CAMPO_IT FROM CD_LOAN_TAPES_BCE.LT003_ENTITY WHERE ref_date='${ref_date}' AND nome_perimetro='Individual Local' AND segmento='ESTR' AND ambito='PM' AND entidade='00100')X INNER JOIN (SELECT entty_id AS CHAVE_SIMUL, pst_cd AS CAMPO_SIMUL FROM BU_LOANTAPE_WORK.LT003_ENTITY WHERE ref_date='${ref_date}' AND nome_perimetro='Individual Local' AND segmento='ESTR' AND ambito='PM' AND entidade='00100')Y ON X.CHAVE_IT=Y.CHAVE_SIMUL</v>
      </c>
      <c r="O493" s="35" t="s">
        <v>35</v>
      </c>
    </row>
    <row r="494" spans="1:15">
      <c r="A494" s="57" t="str">
        <f t="shared" si="16"/>
        <v>Entityesg_sbsctr</v>
      </c>
      <c r="B494" s="32" t="s">
        <v>60</v>
      </c>
      <c r="C494" s="32" t="s">
        <v>172</v>
      </c>
      <c r="D494" s="32" t="s">
        <v>5</v>
      </c>
      <c r="E494" s="32" t="str">
        <f>+UPPER('0. Instruções'!$D$35&amp;"."&amp;VLOOKUP(B494,'0. Instruções'!$C$27:$D$32,2,FALSE))</f>
        <v>CD_LOAN_TAPES_BCE.LT003_ENTITY</v>
      </c>
      <c r="F494" s="32" t="str">
        <f>+UPPER('0. Instruções'!$D$36&amp;"."&amp;VLOOKUP(B494,'0. Instruções'!$C$27:$E$32,3,FALSE))</f>
        <v>BU_LOANTAPE_WORK.LT003_ENTITY</v>
      </c>
      <c r="H494" s="32"/>
      <c r="I494" s="32"/>
      <c r="J494" s="32" t="str">
        <f>IF(VLOOKUP(B494,'0. Instruções'!$C$27:$G$32,5,FALSE)=0,
"(SELECT "&amp;VLOOKUP(B494,'0. Instruções'!$C$27:$G$32,4,FALSE)&amp;" AS CHAVE_IT, "&amp;C494&amp;" AS CAMPO_IT FROM "&amp;E494&amp;" WHERE "&amp;'0. Instruções'!$D$43&amp;")X",
"(SELECT "&amp;VLOOKUP(B494,'0. Instruções'!$C$27:$G$32,4,FALSE)&amp;" AS CHAVE_IT1, "&amp;VLOOKUP(B494,'0. Instruções'!$C$27:$G$32,5,FALSE)&amp;" AS CHAVE_IT2, "&amp;C494&amp;" AS CAMPO_IT FROM "&amp;E494&amp;" WHERE "&amp;'0. Instruções'!$D$43&amp;")X")</f>
        <v>(SELECT entty_id AS CHAVE_IT, esg_sbsctr AS CAMPO_IT FROM CD_LOAN_TAPES_BCE.LT003_ENTITY WHERE ref_date='${ref_date}' AND nome_perimetro='Individual Local' AND segmento='ESTR' AND ambito='PM' AND entidade='00100')X</v>
      </c>
      <c r="K494" s="32" t="str">
        <f>IF(VLOOKUP(B494,'0. Instruções'!$C$27:$G$32,5,FALSE)=0,
"(SELECT "&amp;VLOOKUP(B494,'0. Instruções'!$C$27:$G$32,4,FALSE)&amp;" AS CHAVE_SIMUL, "&amp;C494&amp;" AS CAMPO_SIMUL FROM "&amp;F494&amp;" WHERE "&amp;'0. Instruções'!$D$42&amp;")Y",
"(SELECT "&amp;VLOOKUP(B494,'0. Instruções'!$C$27:$G$32,4,FALSE)&amp;" AS CHAVE_SIMUL1, "&amp;VLOOKUP(B494,'0. Instruções'!$C$27:$G$32,5,FALSE)&amp;" AS CHAVE_SIMUL2, "&amp;C494&amp;" AS CAMPO_SIMUL FROM "&amp;F494&amp;" WHERE "&amp;'0. Instruções'!$D$42&amp;")Y")</f>
        <v>(SELECT entty_id AS CHAVE_SIMUL, esg_sbsctr AS CAMPO_SIMUL FROM BU_LOANTAPE_WORK.LT003_ENTITY WHERE ref_date='${ref_date}' AND nome_perimetro='Individual Local' AND segmento='ESTR' AND ambito='PM' AND entidade='00100')Y</v>
      </c>
      <c r="L494" s="32" t="str">
        <f>IF(VLOOKUP(B494,'0. Instruções'!$C$27:$G$32,5,FALSE)=0,
"ON X.CHAVE_IT=Y.CHAVE_SIMUL",
"ON X.CHAVE_IT1=Y.CHAVE_SIMUL1 AND X.CHAVE_IT2=Y.CHAVE_SIMUL2")</f>
        <v>ON X.CHAVE_IT=Y.CHAVE_SIMUL</v>
      </c>
      <c r="M494" s="32" t="str">
        <f>+IF(D494="Coerência",+IF(LEFT(H494,5)="FLOAT","SELECT '"&amp;UPPER(B494)&amp;"' AS TABELA, '"&amp;UPPER(D494)&amp;"' AS TIPOLOGIA_TESTE,'"&amp;E494&amp;"' AS TABELA_LT,'"&amp;F494&amp;"' AS TABELA_SIMUL,'"&amp;C494&amp;"'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"&amp;J494&amp;" INNER JOIN "&amp;K494&amp;" "&amp;L494,"SELECT '"&amp;UPPER(B494)&amp;"' AS TABELA, '"&amp;UPPER(D494)&amp;"' AS TIPOLOGIA_TESTE,'"&amp;E494&amp;"' AS TABELA_LT,'"&amp;F494&amp;"' AS TABELA_SIMUL,'"&amp;C494&amp;"'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"&amp;J494&amp;" INNER JOIN "&amp;K494&amp;" "&amp;L494))</f>
        <v>SELECT 'ENTITY' AS TABELA, 'COERÊNCIA' AS TIPOLOGIA_TESTE,'CD_LOAN_TAPES_BCE.LT003_ENTITY' AS TABELA_LT,'BU_LOANTAPE_WORK.LT003_ENTITY' AS TABELA_SIMUL,'esg_sbsctr'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esg_sbsctr AS CAMPO_IT FROM CD_LOAN_TAPES_BCE.LT003_ENTITY WHERE ref_date='${ref_date}' AND nome_perimetro='Individual Local' AND segmento='ESTR' AND ambito='PM' AND entidade='00100')X INNER JOIN (SELECT entty_id AS CHAVE_SIMUL, esg_sbsctr AS CAMPO_SIMUL FROM BU_LOANTAPE_WORK.LT003_ENTITY WHERE ref_date='${ref_date}' AND nome_perimetro='Individual Local' AND segmento='ESTR' AND ambito='PM' AND entidade='00100')Y ON X.CHAVE_IT=Y.CHAVE_SIMUL</v>
      </c>
      <c r="N494" s="33" t="str">
        <f t="shared" si="17"/>
        <v>UNION ALL SELECT 'ENTITY' AS TABELA, 'COERÊNCIA' AS TIPOLOGIA_TESTE,'CD_LOAN_TAPES_BCE.LT003_ENTITY' AS TABELA_LT,'BU_LOANTAPE_WORK.LT003_ENTITY' AS TABELA_SIMUL,'esg_sbsctr'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esg_sbsctr AS CAMPO_IT FROM CD_LOAN_TAPES_BCE.LT003_ENTITY WHERE ref_date='${ref_date}' AND nome_perimetro='Individual Local' AND segmento='ESTR' AND ambito='PM' AND entidade='00100')X INNER JOIN (SELECT entty_id AS CHAVE_SIMUL, esg_sbsctr AS CAMPO_SIMUL FROM BU_LOANTAPE_WORK.LT003_ENTITY WHERE ref_date='${ref_date}' AND nome_perimetro='Individual Local' AND segmento='ESTR' AND ambito='PM' AND entidade='00100')Y ON X.CHAVE_IT=Y.CHAVE_SIMUL</v>
      </c>
      <c r="O494" s="35" t="s">
        <v>35</v>
      </c>
    </row>
    <row r="495" spans="1:15">
      <c r="A495" s="57" t="str">
        <f t="shared" si="16"/>
        <v>Entityttl_lblty</v>
      </c>
      <c r="B495" s="32" t="s">
        <v>60</v>
      </c>
      <c r="C495" s="32" t="s">
        <v>108</v>
      </c>
      <c r="D495" s="32" t="s">
        <v>5</v>
      </c>
      <c r="E495" s="32" t="str">
        <f>+UPPER('0. Instruções'!$D$35&amp;"."&amp;VLOOKUP(B495,'0. Instruções'!$C$27:$D$32,2,FALSE))</f>
        <v>CD_LOAN_TAPES_BCE.LT003_ENTITY</v>
      </c>
      <c r="F495" s="32" t="str">
        <f>+UPPER('0. Instruções'!$D$36&amp;"."&amp;VLOOKUP(B495,'0. Instruções'!$C$27:$E$32,3,FALSE))</f>
        <v>BU_LOANTAPE_WORK.LT003_ENTITY</v>
      </c>
      <c r="H495" s="32"/>
      <c r="I495" s="32"/>
      <c r="J495" s="32" t="str">
        <f>IF(VLOOKUP(B495,'0. Instruções'!$C$27:$G$32,5,FALSE)=0,
"(SELECT "&amp;VLOOKUP(B495,'0. Instruções'!$C$27:$G$32,4,FALSE)&amp;" AS CHAVE_IT, "&amp;C495&amp;" AS CAMPO_IT FROM "&amp;E495&amp;" WHERE "&amp;'0. Instruções'!$D$43&amp;")X",
"(SELECT "&amp;VLOOKUP(B495,'0. Instruções'!$C$27:$G$32,4,FALSE)&amp;" AS CHAVE_IT1, "&amp;VLOOKUP(B495,'0. Instruções'!$C$27:$G$32,5,FALSE)&amp;" AS CHAVE_IT2, "&amp;C495&amp;" AS CAMPO_IT FROM "&amp;E495&amp;" WHERE "&amp;'0. Instruções'!$D$43&amp;")X")</f>
        <v>(SELECT entty_id AS CHAVE_IT, ttl_lblty AS CAMPO_IT FROM CD_LOAN_TAPES_BCE.LT003_ENTITY WHERE ref_date='${ref_date}' AND nome_perimetro='Individual Local' AND segmento='ESTR' AND ambito='PM' AND entidade='00100')X</v>
      </c>
      <c r="K495" s="32" t="str">
        <f>IF(VLOOKUP(B495,'0. Instruções'!$C$27:$G$32,5,FALSE)=0,
"(SELECT "&amp;VLOOKUP(B495,'0. Instruções'!$C$27:$G$32,4,FALSE)&amp;" AS CHAVE_SIMUL, "&amp;C495&amp;" AS CAMPO_SIMUL FROM "&amp;F495&amp;" WHERE "&amp;'0. Instruções'!$D$42&amp;")Y",
"(SELECT "&amp;VLOOKUP(B495,'0. Instruções'!$C$27:$G$32,4,FALSE)&amp;" AS CHAVE_SIMUL1, "&amp;VLOOKUP(B495,'0. Instruções'!$C$27:$G$32,5,FALSE)&amp;" AS CHAVE_SIMUL2, "&amp;C495&amp;" AS CAMPO_SIMUL FROM "&amp;F495&amp;" WHERE "&amp;'0. Instruções'!$D$42&amp;")Y")</f>
        <v>(SELECT entty_id AS CHAVE_SIMUL, ttl_lblty AS CAMPO_SIMUL FROM BU_LOANTAPE_WORK.LT003_ENTITY WHERE ref_date='${ref_date}' AND nome_perimetro='Individual Local' AND segmento='ESTR' AND ambito='PM' AND entidade='00100')Y</v>
      </c>
      <c r="L495" s="32" t="str">
        <f>IF(VLOOKUP(B495,'0. Instruções'!$C$27:$G$32,5,FALSE)=0,
"ON X.CHAVE_IT=Y.CHAVE_SIMUL",
"ON X.CHAVE_IT1=Y.CHAVE_SIMUL1 AND X.CHAVE_IT2=Y.CHAVE_SIMUL2")</f>
        <v>ON X.CHAVE_IT=Y.CHAVE_SIMUL</v>
      </c>
      <c r="M495" s="32" t="str">
        <f>+IF(D495="Coerência",+IF(LEFT(H495,5)="FLOAT","SELECT '"&amp;UPPER(B495)&amp;"' AS TABELA, '"&amp;UPPER(D495)&amp;"' AS TIPOLOGIA_TESTE,'"&amp;E495&amp;"' AS TABELA_LT,'"&amp;F495&amp;"' AS TABELA_SIMUL,'"&amp;C495&amp;"'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"&amp;J495&amp;" INNER JOIN "&amp;K495&amp;" "&amp;L495,"SELECT '"&amp;UPPER(B495)&amp;"' AS TABELA, '"&amp;UPPER(D495)&amp;"' AS TIPOLOGIA_TESTE,'"&amp;E495&amp;"' AS TABELA_LT,'"&amp;F495&amp;"' AS TABELA_SIMUL,'"&amp;C495&amp;"'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"&amp;J495&amp;" INNER JOIN "&amp;K495&amp;" "&amp;L495))</f>
        <v>SELECT 'ENTITY' AS TABELA, 'COERÊNCIA' AS TIPOLOGIA_TESTE,'CD_LOAN_TAPES_BCE.LT003_ENTITY' AS TABELA_LT,'BU_LOANTAPE_WORK.LT003_ENTITY' AS TABELA_SIMUL,'ttl_lblty'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ttl_lblty AS CAMPO_IT FROM CD_LOAN_TAPES_BCE.LT003_ENTITY WHERE ref_date='${ref_date}' AND nome_perimetro='Individual Local' AND segmento='ESTR' AND ambito='PM' AND entidade='00100')X INNER JOIN (SELECT entty_id AS CHAVE_SIMUL, ttl_lblty AS CAMPO_SIMUL FROM BU_LOANTAPE_WORK.LT003_ENTITY WHERE ref_date='${ref_date}' AND nome_perimetro='Individual Local' AND segmento='ESTR' AND ambito='PM' AND entidade='00100')Y ON X.CHAVE_IT=Y.CHAVE_SIMUL</v>
      </c>
      <c r="N495" s="33" t="str">
        <f t="shared" si="17"/>
        <v>UNION ALL SELECT 'ENTITY' AS TABELA, 'COERÊNCIA' AS TIPOLOGIA_TESTE,'CD_LOAN_TAPES_BCE.LT003_ENTITY' AS TABELA_LT,'BU_LOANTAPE_WORK.LT003_ENTITY' AS TABELA_SIMUL,'ttl_lblty'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ttl_lblty AS CAMPO_IT FROM CD_LOAN_TAPES_BCE.LT003_ENTITY WHERE ref_date='${ref_date}' AND nome_perimetro='Individual Local' AND segmento='ESTR' AND ambito='PM' AND entidade='00100')X INNER JOIN (SELECT entty_id AS CHAVE_SIMUL, ttl_lblty AS CAMPO_SIMUL FROM BU_LOANTAPE_WORK.LT003_ENTITY WHERE ref_date='${ref_date}' AND nome_perimetro='Individual Local' AND segmento='ESTR' AND ambito='PM' AND entidade='00100')Y ON X.CHAVE_IT=Y.CHAVE_SIMUL</v>
      </c>
      <c r="O495" s="35" t="s">
        <v>35</v>
      </c>
    </row>
    <row r="496" spans="1:15">
      <c r="A496" s="57" t="str">
        <f t="shared" si="16"/>
        <v>Entityisin</v>
      </c>
      <c r="B496" s="32" t="s">
        <v>60</v>
      </c>
      <c r="C496" s="32" t="s">
        <v>109</v>
      </c>
      <c r="D496" s="32" t="s">
        <v>5</v>
      </c>
      <c r="E496" s="32" t="str">
        <f>+UPPER('0. Instruções'!$D$35&amp;"."&amp;VLOOKUP(B496,'0. Instruções'!$C$27:$D$32,2,FALSE))</f>
        <v>CD_LOAN_TAPES_BCE.LT003_ENTITY</v>
      </c>
      <c r="F496" s="32" t="str">
        <f>+UPPER('0. Instruções'!$D$36&amp;"."&amp;VLOOKUP(B496,'0. Instruções'!$C$27:$E$32,3,FALSE))</f>
        <v>BU_LOANTAPE_WORK.LT003_ENTITY</v>
      </c>
      <c r="H496" s="32"/>
      <c r="I496" s="32"/>
      <c r="J496" s="32" t="str">
        <f>IF(VLOOKUP(B496,'0. Instruções'!$C$27:$G$32,5,FALSE)=0,
"(SELECT "&amp;VLOOKUP(B496,'0. Instruções'!$C$27:$G$32,4,FALSE)&amp;" AS CHAVE_IT, "&amp;C496&amp;" AS CAMPO_IT FROM "&amp;E496&amp;" WHERE "&amp;'0. Instruções'!$D$43&amp;")X",
"(SELECT "&amp;VLOOKUP(B496,'0. Instruções'!$C$27:$G$32,4,FALSE)&amp;" AS CHAVE_IT1, "&amp;VLOOKUP(B496,'0. Instruções'!$C$27:$G$32,5,FALSE)&amp;" AS CHAVE_IT2, "&amp;C496&amp;" AS CAMPO_IT FROM "&amp;E496&amp;" WHERE "&amp;'0. Instruções'!$D$43&amp;")X")</f>
        <v>(SELECT entty_id AS CHAVE_IT, isin AS CAMPO_IT FROM CD_LOAN_TAPES_BCE.LT003_ENTITY WHERE ref_date='${ref_date}' AND nome_perimetro='Individual Local' AND segmento='ESTR' AND ambito='PM' AND entidade='00100')X</v>
      </c>
      <c r="K496" s="32" t="str">
        <f>IF(VLOOKUP(B496,'0. Instruções'!$C$27:$G$32,5,FALSE)=0,
"(SELECT "&amp;VLOOKUP(B496,'0. Instruções'!$C$27:$G$32,4,FALSE)&amp;" AS CHAVE_SIMUL, "&amp;C496&amp;" AS CAMPO_SIMUL FROM "&amp;F496&amp;" WHERE "&amp;'0. Instruções'!$D$42&amp;")Y",
"(SELECT "&amp;VLOOKUP(B496,'0. Instruções'!$C$27:$G$32,4,FALSE)&amp;" AS CHAVE_SIMUL1, "&amp;VLOOKUP(B496,'0. Instruções'!$C$27:$G$32,5,FALSE)&amp;" AS CHAVE_SIMUL2, "&amp;C496&amp;" AS CAMPO_SIMUL FROM "&amp;F496&amp;" WHERE "&amp;'0. Instruções'!$D$42&amp;")Y")</f>
        <v>(SELECT entty_id AS CHAVE_SIMUL, isin AS CAMPO_SIMUL FROM BU_LOANTAPE_WORK.LT003_ENTITY WHERE ref_date='${ref_date}' AND nome_perimetro='Individual Local' AND segmento='ESTR' AND ambito='PM' AND entidade='00100')Y</v>
      </c>
      <c r="L496" s="32" t="str">
        <f>IF(VLOOKUP(B496,'0. Instruções'!$C$27:$G$32,5,FALSE)=0,
"ON X.CHAVE_IT=Y.CHAVE_SIMUL",
"ON X.CHAVE_IT1=Y.CHAVE_SIMUL1 AND X.CHAVE_IT2=Y.CHAVE_SIMUL2")</f>
        <v>ON X.CHAVE_IT=Y.CHAVE_SIMUL</v>
      </c>
      <c r="M496" s="32" t="str">
        <f>+IF(D496="Coerência",+IF(LEFT(H496,5)="FLOAT","SELECT '"&amp;UPPER(B496)&amp;"' AS TABELA, '"&amp;UPPER(D496)&amp;"' AS TIPOLOGIA_TESTE,'"&amp;E496&amp;"' AS TABELA_LT,'"&amp;F496&amp;"' AS TABELA_SIMUL,'"&amp;C496&amp;"'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"&amp;J496&amp;" INNER JOIN "&amp;K496&amp;" "&amp;L496,"SELECT '"&amp;UPPER(B496)&amp;"' AS TABELA, '"&amp;UPPER(D496)&amp;"' AS TIPOLOGIA_TESTE,'"&amp;E496&amp;"' AS TABELA_LT,'"&amp;F496&amp;"' AS TABELA_SIMUL,'"&amp;C496&amp;"'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"&amp;J496&amp;" INNER JOIN "&amp;K496&amp;" "&amp;L496))</f>
        <v>SELECT 'ENTITY' AS TABELA, 'COERÊNCIA' AS TIPOLOGIA_TESTE,'CD_LOAN_TAPES_BCE.LT003_ENTITY' AS TABELA_LT,'BU_LOANTAPE_WORK.LT003_ENTITY'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isin AS CAMPO_IT FROM CD_LOAN_TAPES_BCE.LT003_ENTITY WHERE ref_date='${ref_date}' AND nome_perimetro='Individual Local' AND segmento='ESTR' AND ambito='PM' AND entidade='00100')X INNER JOIN (SELECT entty_id AS CHAVE_SIMUL, isin AS CAMPO_SIMUL FROM BU_LOANTAPE_WORK.LT003_ENTITY WHERE ref_date='${ref_date}' AND nome_perimetro='Individual Local' AND segmento='ESTR' AND ambito='PM' AND entidade='00100')Y ON X.CHAVE_IT=Y.CHAVE_SIMUL</v>
      </c>
      <c r="N496" s="33" t="str">
        <f t="shared" si="17"/>
        <v>UNION ALL SELECT 'ENTITY' AS TABELA, 'COERÊNCIA' AS TIPOLOGIA_TESTE,'CD_LOAN_TAPES_BCE.LT003_ENTITY' AS TABELA_LT,'BU_LOANTAPE_WORK.LT003_ENTITY' AS TABELA_SIMUL,'isin'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isin AS CAMPO_IT FROM CD_LOAN_TAPES_BCE.LT003_ENTITY WHERE ref_date='${ref_date}' AND nome_perimetro='Individual Local' AND segmento='ESTR' AND ambito='PM' AND entidade='00100')X INNER JOIN (SELECT entty_id AS CHAVE_SIMUL, isin AS CAMPO_SIMUL FROM BU_LOANTAPE_WORK.LT003_ENTITY WHERE ref_date='${ref_date}' AND nome_perimetro='Individual Local' AND segmento='ESTR' AND ambito='PM' AND entidade='00100')Y ON X.CHAVE_IT=Y.CHAVE_SIMUL</v>
      </c>
      <c r="O496" s="35" t="s">
        <v>35</v>
      </c>
    </row>
    <row r="497" spans="1:15">
      <c r="A497" s="57" t="str">
        <f t="shared" si="16"/>
        <v>Entitygrp_annl_trnvr_le</v>
      </c>
      <c r="B497" s="32" t="s">
        <v>60</v>
      </c>
      <c r="C497" s="32" t="s">
        <v>110</v>
      </c>
      <c r="D497" s="32" t="s">
        <v>5</v>
      </c>
      <c r="E497" s="32" t="str">
        <f>+UPPER('0. Instruções'!$D$35&amp;"."&amp;VLOOKUP(B497,'0. Instruções'!$C$27:$D$32,2,FALSE))</f>
        <v>CD_LOAN_TAPES_BCE.LT003_ENTITY</v>
      </c>
      <c r="F497" s="32" t="str">
        <f>+UPPER('0. Instruções'!$D$36&amp;"."&amp;VLOOKUP(B497,'0. Instruções'!$C$27:$E$32,3,FALSE))</f>
        <v>BU_LOANTAPE_WORK.LT003_ENTITY</v>
      </c>
      <c r="H497" s="32"/>
      <c r="I497" s="32"/>
      <c r="J497" s="32" t="str">
        <f>IF(VLOOKUP(B497,'0. Instruções'!$C$27:$G$32,5,FALSE)=0,
"(SELECT "&amp;VLOOKUP(B497,'0. Instruções'!$C$27:$G$32,4,FALSE)&amp;" AS CHAVE_IT, "&amp;C497&amp;" AS CAMPO_IT FROM "&amp;E497&amp;" WHERE "&amp;'0. Instruções'!$D$43&amp;")X",
"(SELECT "&amp;VLOOKUP(B497,'0. Instruções'!$C$27:$G$32,4,FALSE)&amp;" AS CHAVE_IT1, "&amp;VLOOKUP(B497,'0. Instruções'!$C$27:$G$32,5,FALSE)&amp;" AS CHAVE_IT2, "&amp;C497&amp;" AS CAMPO_IT FROM "&amp;E497&amp;" WHERE "&amp;'0. Instruções'!$D$43&amp;")X")</f>
        <v>(SELECT entty_id AS CHAVE_IT, grp_annl_trnvr_le AS CAMPO_IT FROM CD_LOAN_TAPES_BCE.LT003_ENTITY WHERE ref_date='${ref_date}' AND nome_perimetro='Individual Local' AND segmento='ESTR' AND ambito='PM' AND entidade='00100')X</v>
      </c>
      <c r="K497" s="32" t="str">
        <f>IF(VLOOKUP(B497,'0. Instruções'!$C$27:$G$32,5,FALSE)=0,
"(SELECT "&amp;VLOOKUP(B497,'0. Instruções'!$C$27:$G$32,4,FALSE)&amp;" AS CHAVE_SIMUL, "&amp;C497&amp;" AS CAMPO_SIMUL FROM "&amp;F497&amp;" WHERE "&amp;'0. Instruções'!$D$42&amp;")Y",
"(SELECT "&amp;VLOOKUP(B497,'0. Instruções'!$C$27:$G$32,4,FALSE)&amp;" AS CHAVE_SIMUL1, "&amp;VLOOKUP(B497,'0. Instruções'!$C$27:$G$32,5,FALSE)&amp;" AS CHAVE_SIMUL2, "&amp;C497&amp;" AS CAMPO_SIMUL FROM "&amp;F497&amp;" WHERE "&amp;'0. Instruções'!$D$42&amp;")Y")</f>
        <v>(SELECT entty_id AS CHAVE_SIMUL, grp_annl_trnvr_le AS CAMPO_SIMUL FROM BU_LOANTAPE_WORK.LT003_ENTITY WHERE ref_date='${ref_date}' AND nome_perimetro='Individual Local' AND segmento='ESTR' AND ambito='PM' AND entidade='00100')Y</v>
      </c>
      <c r="L497" s="32" t="str">
        <f>IF(VLOOKUP(B497,'0. Instruções'!$C$27:$G$32,5,FALSE)=0,
"ON X.CHAVE_IT=Y.CHAVE_SIMUL",
"ON X.CHAVE_IT1=Y.CHAVE_SIMUL1 AND X.CHAVE_IT2=Y.CHAVE_SIMUL2")</f>
        <v>ON X.CHAVE_IT=Y.CHAVE_SIMUL</v>
      </c>
      <c r="M497" s="32" t="str">
        <f>+IF(D497="Coerência",+IF(LEFT(H497,5)="FLOAT","SELECT '"&amp;UPPER(B497)&amp;"' AS TABELA, '"&amp;UPPER(D497)&amp;"' AS TIPOLOGIA_TESTE,'"&amp;E497&amp;"' AS TABELA_LT,'"&amp;F497&amp;"' AS TABELA_SIMUL,'"&amp;C497&amp;"'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"&amp;J497&amp;" INNER JOIN "&amp;K497&amp;" "&amp;L497,"SELECT '"&amp;UPPER(B497)&amp;"' AS TABELA, '"&amp;UPPER(D497)&amp;"' AS TIPOLOGIA_TESTE,'"&amp;E497&amp;"' AS TABELA_LT,'"&amp;F497&amp;"' AS TABELA_SIMUL,'"&amp;C497&amp;"'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"&amp;J497&amp;" INNER JOIN "&amp;K497&amp;" "&amp;L497))</f>
        <v>SELECT 'ENTITY' AS TABELA, 'COERÊNCIA' AS TIPOLOGIA_TESTE,'CD_LOAN_TAPES_BCE.LT003_ENTITY' AS TABELA_LT,'BU_LOANTAPE_WORK.LT003_ENTITY' AS TABELA_SIMUL,'grp_annl_trnvr_le'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grp_annl_trnvr_le AS CAMPO_IT FROM CD_LOAN_TAPES_BCE.LT003_ENTITY WHERE ref_date='${ref_date}' AND nome_perimetro='Individual Local' AND segmento='ESTR' AND ambito='PM' AND entidade='00100')X INNER JOIN (SELECT entty_id AS CHAVE_SIMUL, grp_annl_trnvr_le AS CAMPO_SIMUL FROM BU_LOANTAPE_WORK.LT003_ENTITY WHERE ref_date='${ref_date}' AND nome_perimetro='Individual Local' AND segmento='ESTR' AND ambito='PM' AND entidade='00100')Y ON X.CHAVE_IT=Y.CHAVE_SIMUL</v>
      </c>
      <c r="N497" s="33" t="str">
        <f t="shared" si="17"/>
        <v>UNION ALL SELECT 'ENTITY' AS TABELA, 'COERÊNCIA' AS TIPOLOGIA_TESTE,'CD_LOAN_TAPES_BCE.LT003_ENTITY' AS TABELA_LT,'BU_LOANTAPE_WORK.LT003_ENTITY' AS TABELA_SIMUL,'grp_annl_trnvr_le'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grp_annl_trnvr_le AS CAMPO_IT FROM CD_LOAN_TAPES_BCE.LT003_ENTITY WHERE ref_date='${ref_date}' AND nome_perimetro='Individual Local' AND segmento='ESTR' AND ambito='PM' AND entidade='00100')X INNER JOIN (SELECT entty_id AS CHAVE_SIMUL, grp_annl_trnvr_le AS CAMPO_SIMUL FROM BU_LOANTAPE_WORK.LT003_ENTITY WHERE ref_date='${ref_date}' AND nome_perimetro='Individual Local' AND segmento='ESTR' AND ambito='PM' AND entidade='00100')Y ON X.CHAVE_IT=Y.CHAVE_SIMUL</v>
      </c>
      <c r="O497" s="35" t="s">
        <v>35</v>
      </c>
    </row>
    <row r="498" spans="1:15">
      <c r="A498" s="57" t="str">
        <f t="shared" si="16"/>
        <v>Entitygrp_ttl_lblty</v>
      </c>
      <c r="B498" s="32" t="s">
        <v>60</v>
      </c>
      <c r="C498" s="32" t="s">
        <v>111</v>
      </c>
      <c r="D498" s="32" t="s">
        <v>5</v>
      </c>
      <c r="E498" s="32" t="str">
        <f>+UPPER('0. Instruções'!$D$35&amp;"."&amp;VLOOKUP(B498,'0. Instruções'!$C$27:$D$32,2,FALSE))</f>
        <v>CD_LOAN_TAPES_BCE.LT003_ENTITY</v>
      </c>
      <c r="F498" s="32" t="str">
        <f>+UPPER('0. Instruções'!$D$36&amp;"."&amp;VLOOKUP(B498,'0. Instruções'!$C$27:$E$32,3,FALSE))</f>
        <v>BU_LOANTAPE_WORK.LT003_ENTITY</v>
      </c>
      <c r="H498" s="32"/>
      <c r="I498" s="32"/>
      <c r="J498" s="32" t="str">
        <f>IF(VLOOKUP(B498,'0. Instruções'!$C$27:$G$32,5,FALSE)=0,
"(SELECT "&amp;VLOOKUP(B498,'0. Instruções'!$C$27:$G$32,4,FALSE)&amp;" AS CHAVE_IT, "&amp;C498&amp;" AS CAMPO_IT FROM "&amp;E498&amp;" WHERE "&amp;'0. Instruções'!$D$43&amp;")X",
"(SELECT "&amp;VLOOKUP(B498,'0. Instruções'!$C$27:$G$32,4,FALSE)&amp;" AS CHAVE_IT1, "&amp;VLOOKUP(B498,'0. Instruções'!$C$27:$G$32,5,FALSE)&amp;" AS CHAVE_IT2, "&amp;C498&amp;" AS CAMPO_IT FROM "&amp;E498&amp;" WHERE "&amp;'0. Instruções'!$D$43&amp;")X")</f>
        <v>(SELECT entty_id AS CHAVE_IT, grp_ttl_lblty AS CAMPO_IT FROM CD_LOAN_TAPES_BCE.LT003_ENTITY WHERE ref_date='${ref_date}' AND nome_perimetro='Individual Local' AND segmento='ESTR' AND ambito='PM' AND entidade='00100')X</v>
      </c>
      <c r="K498" s="32" t="str">
        <f>IF(VLOOKUP(B498,'0. Instruções'!$C$27:$G$32,5,FALSE)=0,
"(SELECT "&amp;VLOOKUP(B498,'0. Instruções'!$C$27:$G$32,4,FALSE)&amp;" AS CHAVE_SIMUL, "&amp;C498&amp;" AS CAMPO_SIMUL FROM "&amp;F498&amp;" WHERE "&amp;'0. Instruções'!$D$42&amp;")Y",
"(SELECT "&amp;VLOOKUP(B498,'0. Instruções'!$C$27:$G$32,4,FALSE)&amp;" AS CHAVE_SIMUL1, "&amp;VLOOKUP(B498,'0. Instruções'!$C$27:$G$32,5,FALSE)&amp;" AS CHAVE_SIMUL2, "&amp;C498&amp;" AS CAMPO_SIMUL FROM "&amp;F498&amp;" WHERE "&amp;'0. Instruções'!$D$42&amp;")Y")</f>
        <v>(SELECT entty_id AS CHAVE_SIMUL, grp_ttl_lblty AS CAMPO_SIMUL FROM BU_LOANTAPE_WORK.LT003_ENTITY WHERE ref_date='${ref_date}' AND nome_perimetro='Individual Local' AND segmento='ESTR' AND ambito='PM' AND entidade='00100')Y</v>
      </c>
      <c r="L498" s="32" t="str">
        <f>IF(VLOOKUP(B498,'0. Instruções'!$C$27:$G$32,5,FALSE)=0,
"ON X.CHAVE_IT=Y.CHAVE_SIMUL",
"ON X.CHAVE_IT1=Y.CHAVE_SIMUL1 AND X.CHAVE_IT2=Y.CHAVE_SIMUL2")</f>
        <v>ON X.CHAVE_IT=Y.CHAVE_SIMUL</v>
      </c>
      <c r="M498" s="32" t="str">
        <f>+IF(D498="Coerência",+IF(LEFT(H498,5)="FLOAT","SELECT '"&amp;UPPER(B498)&amp;"' AS TABELA, '"&amp;UPPER(D498)&amp;"' AS TIPOLOGIA_TESTE,'"&amp;E498&amp;"' AS TABELA_LT,'"&amp;F498&amp;"' AS TABELA_SIMUL,'"&amp;C498&amp;"'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"&amp;J498&amp;" INNER JOIN "&amp;K498&amp;" "&amp;L498,"SELECT '"&amp;UPPER(B498)&amp;"' AS TABELA, '"&amp;UPPER(D498)&amp;"' AS TIPOLOGIA_TESTE,'"&amp;E498&amp;"' AS TABELA_LT,'"&amp;F498&amp;"' AS TABELA_SIMUL,'"&amp;C498&amp;"'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"&amp;J498&amp;" INNER JOIN "&amp;K498&amp;" "&amp;L498))</f>
        <v>SELECT 'ENTITY' AS TABELA, 'COERÊNCIA' AS TIPOLOGIA_TESTE,'CD_LOAN_TAPES_BCE.LT003_ENTITY' AS TABELA_LT,'BU_LOANTAPE_WORK.LT003_ENTITY' AS TABELA_SIMUL,'grp_ttl_lblty'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grp_ttl_lblty AS CAMPO_IT FROM CD_LOAN_TAPES_BCE.LT003_ENTITY WHERE ref_date='${ref_date}' AND nome_perimetro='Individual Local' AND segmento='ESTR' AND ambito='PM' AND entidade='00100')X INNER JOIN (SELECT entty_id AS CHAVE_SIMUL, grp_ttl_lblty AS CAMPO_SIMUL FROM BU_LOANTAPE_WORK.LT003_ENTITY WHERE ref_date='${ref_date}' AND nome_perimetro='Individual Local' AND segmento='ESTR' AND ambito='PM' AND entidade='00100')Y ON X.CHAVE_IT=Y.CHAVE_SIMUL</v>
      </c>
      <c r="N498" s="33" t="str">
        <f t="shared" si="17"/>
        <v>UNION ALL SELECT 'ENTITY' AS TABELA, 'COERÊNCIA' AS TIPOLOGIA_TESTE,'CD_LOAN_TAPES_BCE.LT003_ENTITY' AS TABELA_LT,'BU_LOANTAPE_WORK.LT003_ENTITY' AS TABELA_SIMUL,'grp_ttl_lblty'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grp_ttl_lblty AS CAMPO_IT FROM CD_LOAN_TAPES_BCE.LT003_ENTITY WHERE ref_date='${ref_date}' AND nome_perimetro='Individual Local' AND segmento='ESTR' AND ambito='PM' AND entidade='00100')X INNER JOIN (SELECT entty_id AS CHAVE_SIMUL, grp_ttl_lblty AS CAMPO_SIMUL FROM BU_LOANTAPE_WORK.LT003_ENTITY WHERE ref_date='${ref_date}' AND nome_perimetro='Individual Local' AND segmento='ESTR' AND ambito='PM' AND entidade='00100')Y ON X.CHAVE_IT=Y.CHAVE_SIMUL</v>
      </c>
      <c r="O498" s="35" t="s">
        <v>35</v>
      </c>
    </row>
    <row r="499" spans="1:15">
      <c r="A499" s="57" t="str">
        <f t="shared" si="16"/>
        <v>Entityflg_grp_csrd_applcblty</v>
      </c>
      <c r="B499" s="32" t="s">
        <v>60</v>
      </c>
      <c r="C499" s="32" t="s">
        <v>588</v>
      </c>
      <c r="D499" s="32" t="s">
        <v>5</v>
      </c>
      <c r="E499" s="32" t="str">
        <f>+UPPER('0. Instruções'!$D$35&amp;"."&amp;VLOOKUP(B499,'0. Instruções'!$C$27:$D$32,2,FALSE))</f>
        <v>CD_LOAN_TAPES_BCE.LT003_ENTITY</v>
      </c>
      <c r="F499" s="32" t="str">
        <f>+UPPER('0. Instruções'!$D$36&amp;"."&amp;VLOOKUP(B499,'0. Instruções'!$C$27:$E$32,3,FALSE))</f>
        <v>BU_LOANTAPE_WORK.LT003_ENTITY</v>
      </c>
      <c r="H499" s="32"/>
      <c r="I499" s="32"/>
      <c r="J499" s="32" t="str">
        <f>IF(VLOOKUP(B499,'0. Instruções'!$C$27:$G$32,5,FALSE)=0,
"(SELECT "&amp;VLOOKUP(B499,'0. Instruções'!$C$27:$G$32,4,FALSE)&amp;" AS CHAVE_IT, "&amp;C499&amp;" AS CAMPO_IT FROM "&amp;E499&amp;" WHERE "&amp;'0. Instruções'!$D$43&amp;")X",
"(SELECT "&amp;VLOOKUP(B499,'0. Instruções'!$C$27:$G$32,4,FALSE)&amp;" AS CHAVE_IT1, "&amp;VLOOKUP(B499,'0. Instruções'!$C$27:$G$32,5,FALSE)&amp;" AS CHAVE_IT2, "&amp;C499&amp;" AS CAMPO_IT FROM "&amp;E499&amp;" WHERE "&amp;'0. Instruções'!$D$43&amp;")X")</f>
        <v>(SELECT entty_id AS CHAVE_IT, flg_grp_csrd_applcblty AS CAMPO_IT FROM CD_LOAN_TAPES_BCE.LT003_ENTITY WHERE ref_date='${ref_date}' AND nome_perimetro='Individual Local' AND segmento='ESTR' AND ambito='PM' AND entidade='00100')X</v>
      </c>
      <c r="K499" s="32" t="str">
        <f>IF(VLOOKUP(B499,'0. Instruções'!$C$27:$G$32,5,FALSE)=0,
"(SELECT "&amp;VLOOKUP(B499,'0. Instruções'!$C$27:$G$32,4,FALSE)&amp;" AS CHAVE_SIMUL, "&amp;C499&amp;" AS CAMPO_SIMUL FROM "&amp;F499&amp;" WHERE "&amp;'0. Instruções'!$D$42&amp;")Y",
"(SELECT "&amp;VLOOKUP(B499,'0. Instruções'!$C$27:$G$32,4,FALSE)&amp;" AS CHAVE_SIMUL1, "&amp;VLOOKUP(B499,'0. Instruções'!$C$27:$G$32,5,FALSE)&amp;" AS CHAVE_SIMUL2, "&amp;C499&amp;" AS CAMPO_SIMUL FROM "&amp;F499&amp;" WHERE "&amp;'0. Instruções'!$D$42&amp;")Y")</f>
        <v>(SELECT entty_id AS CHAVE_SIMUL, flg_grp_csrd_applcblty AS CAMPO_SIMUL FROM BU_LOANTAPE_WORK.LT003_ENTITY WHERE ref_date='${ref_date}' AND nome_perimetro='Individual Local' AND segmento='ESTR' AND ambito='PM' AND entidade='00100')Y</v>
      </c>
      <c r="L499" s="32" t="str">
        <f>IF(VLOOKUP(B499,'0. Instruções'!$C$27:$G$32,5,FALSE)=0,
"ON X.CHAVE_IT=Y.CHAVE_SIMUL",
"ON X.CHAVE_IT1=Y.CHAVE_SIMUL1 AND X.CHAVE_IT2=Y.CHAVE_SIMUL2")</f>
        <v>ON X.CHAVE_IT=Y.CHAVE_SIMUL</v>
      </c>
      <c r="M499" s="32" t="str">
        <f>+IF(D499="Coerência",+IF(LEFT(H499,5)="FLOAT","SELECT '"&amp;UPPER(B499)&amp;"' AS TABELA, '"&amp;UPPER(D499)&amp;"' AS TIPOLOGIA_TESTE,'"&amp;E499&amp;"' AS TABELA_LT,'"&amp;F499&amp;"' AS TABELA_SIMUL,'"&amp;C499&amp;"'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"&amp;J499&amp;" INNER JOIN "&amp;K499&amp;" "&amp;L499,"SELECT '"&amp;UPPER(B499)&amp;"' AS TABELA, '"&amp;UPPER(D499)&amp;"' AS TIPOLOGIA_TESTE,'"&amp;E499&amp;"' AS TABELA_LT,'"&amp;F499&amp;"' AS TABELA_SIMUL,'"&amp;C499&amp;"'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"&amp;J499&amp;" INNER JOIN "&amp;K499&amp;" "&amp;L499))</f>
        <v>SELECT 'ENTITY' AS TABELA, 'COERÊNCIA' AS TIPOLOGIA_TESTE,'CD_LOAN_TAPES_BCE.LT003_ENTITY' AS TABELA_LT,'BU_LOANTAPE_WORK.LT003_ENTITY' AS TABELA_SIMUL,'flg_grp_csrd_applcblty'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flg_grp_csrd_applcblty AS CAMPO_IT FROM CD_LOAN_TAPES_BCE.LT003_ENTITY WHERE ref_date='${ref_date}' AND nome_perimetro='Individual Local' AND segmento='ESTR' AND ambito='PM' AND entidade='00100')X INNER JOIN (SELECT entty_id AS CHAVE_SIMUL, flg_grp_csrd_applcblty AS CAMPO_SIMUL FROM BU_LOANTAPE_WORK.LT003_ENTITY WHERE ref_date='${ref_date}' AND nome_perimetro='Individual Local' AND segmento='ESTR' AND ambito='PM' AND entidade='00100')Y ON X.CHAVE_IT=Y.CHAVE_SIMUL</v>
      </c>
      <c r="N499" s="33" t="str">
        <f t="shared" si="17"/>
        <v>UNION ALL SELECT 'ENTITY' AS TABELA, 'COERÊNCIA' AS TIPOLOGIA_TESTE,'CD_LOAN_TAPES_BCE.LT003_ENTITY' AS TABELA_LT,'BU_LOANTAPE_WORK.LT003_ENTITY' AS TABELA_SIMUL,'flg_grp_csrd_applcblty'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flg_grp_csrd_applcblty AS CAMPO_IT FROM CD_LOAN_TAPES_BCE.LT003_ENTITY WHERE ref_date='${ref_date}' AND nome_perimetro='Individual Local' AND segmento='ESTR' AND ambito='PM' AND entidade='00100')X INNER JOIN (SELECT entty_id AS CHAVE_SIMUL, flg_grp_csrd_applcblty AS CAMPO_SIMUL FROM BU_LOANTAPE_WORK.LT003_ENTITY WHERE ref_date='${ref_date}' AND nome_perimetro='Individual Local' AND segmento='ESTR' AND ambito='PM' AND entidade='00100')Y ON X.CHAVE_IT=Y.CHAVE_SIMUL</v>
      </c>
      <c r="O499" s="35" t="s">
        <v>35</v>
      </c>
    </row>
    <row r="500" spans="1:15">
      <c r="A500" s="57" t="str">
        <f t="shared" si="16"/>
        <v>Entitygrp_emssns_scp1</v>
      </c>
      <c r="B500" s="32" t="s">
        <v>60</v>
      </c>
      <c r="C500" s="32" t="s">
        <v>112</v>
      </c>
      <c r="D500" s="32" t="s">
        <v>5</v>
      </c>
      <c r="E500" s="32" t="str">
        <f>+UPPER('0. Instruções'!$D$35&amp;"."&amp;VLOOKUP(B500,'0. Instruções'!$C$27:$D$32,2,FALSE))</f>
        <v>CD_LOAN_TAPES_BCE.LT003_ENTITY</v>
      </c>
      <c r="F500" s="32" t="str">
        <f>+UPPER('0. Instruções'!$D$36&amp;"."&amp;VLOOKUP(B500,'0. Instruções'!$C$27:$E$32,3,FALSE))</f>
        <v>BU_LOANTAPE_WORK.LT003_ENTITY</v>
      </c>
      <c r="H500" s="32"/>
      <c r="I500" s="32"/>
      <c r="J500" s="32" t="str">
        <f>IF(VLOOKUP(B500,'0. Instruções'!$C$27:$G$32,5,FALSE)=0,
"(SELECT "&amp;VLOOKUP(B500,'0. Instruções'!$C$27:$G$32,4,FALSE)&amp;" AS CHAVE_IT, "&amp;C500&amp;" AS CAMPO_IT FROM "&amp;E500&amp;" WHERE "&amp;'0. Instruções'!$D$43&amp;")X",
"(SELECT "&amp;VLOOKUP(B500,'0. Instruções'!$C$27:$G$32,4,FALSE)&amp;" AS CHAVE_IT1, "&amp;VLOOKUP(B500,'0. Instruções'!$C$27:$G$32,5,FALSE)&amp;" AS CHAVE_IT2, "&amp;C500&amp;" AS CAMPO_IT FROM "&amp;E500&amp;" WHERE "&amp;'0. Instruções'!$D$43&amp;")X")</f>
        <v>(SELECT entty_id AS CHAVE_IT, grp_emssns_scp1 AS CAMPO_IT FROM CD_LOAN_TAPES_BCE.LT003_ENTITY WHERE ref_date='${ref_date}' AND nome_perimetro='Individual Local' AND segmento='ESTR' AND ambito='PM' AND entidade='00100')X</v>
      </c>
      <c r="K500" s="32" t="str">
        <f>IF(VLOOKUP(B500,'0. Instruções'!$C$27:$G$32,5,FALSE)=0,
"(SELECT "&amp;VLOOKUP(B500,'0. Instruções'!$C$27:$G$32,4,FALSE)&amp;" AS CHAVE_SIMUL, "&amp;C500&amp;" AS CAMPO_SIMUL FROM "&amp;F500&amp;" WHERE "&amp;'0. Instruções'!$D$42&amp;")Y",
"(SELECT "&amp;VLOOKUP(B500,'0. Instruções'!$C$27:$G$32,4,FALSE)&amp;" AS CHAVE_SIMUL1, "&amp;VLOOKUP(B500,'0. Instruções'!$C$27:$G$32,5,FALSE)&amp;" AS CHAVE_SIMUL2, "&amp;C500&amp;" AS CAMPO_SIMUL FROM "&amp;F500&amp;" WHERE "&amp;'0. Instruções'!$D$42&amp;")Y")</f>
        <v>(SELECT entty_id AS CHAVE_SIMUL, grp_emssns_scp1 AS CAMPO_SIMUL FROM BU_LOANTAPE_WORK.LT003_ENTITY WHERE ref_date='${ref_date}' AND nome_perimetro='Individual Local' AND segmento='ESTR' AND ambito='PM' AND entidade='00100')Y</v>
      </c>
      <c r="L500" s="32" t="str">
        <f>IF(VLOOKUP(B500,'0. Instruções'!$C$27:$G$32,5,FALSE)=0,
"ON X.CHAVE_IT=Y.CHAVE_SIMUL",
"ON X.CHAVE_IT1=Y.CHAVE_SIMUL1 AND X.CHAVE_IT2=Y.CHAVE_SIMUL2")</f>
        <v>ON X.CHAVE_IT=Y.CHAVE_SIMUL</v>
      </c>
      <c r="M500" s="32" t="str">
        <f>+IF(D500="Coerência",+IF(LEFT(H500,5)="FLOAT","SELECT '"&amp;UPPER(B500)&amp;"' AS TABELA, '"&amp;UPPER(D500)&amp;"' AS TIPOLOGIA_TESTE,'"&amp;E500&amp;"' AS TABELA_LT,'"&amp;F500&amp;"' AS TABELA_SIMUL,'"&amp;C500&amp;"'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"&amp;J500&amp;" INNER JOIN "&amp;K500&amp;" "&amp;L500,"SELECT '"&amp;UPPER(B500)&amp;"' AS TABELA, '"&amp;UPPER(D500)&amp;"' AS TIPOLOGIA_TESTE,'"&amp;E500&amp;"' AS TABELA_LT,'"&amp;F500&amp;"' AS TABELA_SIMUL,'"&amp;C500&amp;"'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"&amp;J500&amp;" INNER JOIN "&amp;K500&amp;" "&amp;L500))</f>
        <v>SELECT 'ENTITY' AS TABELA, 'COERÊNCIA' AS TIPOLOGIA_TESTE,'CD_LOAN_TAPES_BCE.LT003_ENTITY' AS TABELA_LT,'BU_LOANTAPE_WORK.LT003_ENTITY' AS TABELA_SIMUL,'grp_emssns_scp1'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grp_emssns_scp1 AS CAMPO_IT FROM CD_LOAN_TAPES_BCE.LT003_ENTITY WHERE ref_date='${ref_date}' AND nome_perimetro='Individual Local' AND segmento='ESTR' AND ambito='PM' AND entidade='00100')X INNER JOIN (SELECT entty_id AS CHAVE_SIMUL, grp_emssns_scp1 AS CAMPO_SIMUL FROM BU_LOANTAPE_WORK.LT003_ENTITY WHERE ref_date='${ref_date}' AND nome_perimetro='Individual Local' AND segmento='ESTR' AND ambito='PM' AND entidade='00100')Y ON X.CHAVE_IT=Y.CHAVE_SIMUL</v>
      </c>
      <c r="N500" s="33" t="str">
        <f t="shared" si="17"/>
        <v>UNION ALL SELECT 'ENTITY' AS TABELA, 'COERÊNCIA' AS TIPOLOGIA_TESTE,'CD_LOAN_TAPES_BCE.LT003_ENTITY' AS TABELA_LT,'BU_LOANTAPE_WORK.LT003_ENTITY' AS TABELA_SIMUL,'grp_emssns_scp1'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grp_emssns_scp1 AS CAMPO_IT FROM CD_LOAN_TAPES_BCE.LT003_ENTITY WHERE ref_date='${ref_date}' AND nome_perimetro='Individual Local' AND segmento='ESTR' AND ambito='PM' AND entidade='00100')X INNER JOIN (SELECT entty_id AS CHAVE_SIMUL, grp_emssns_scp1 AS CAMPO_SIMUL FROM BU_LOANTAPE_WORK.LT003_ENTITY WHERE ref_date='${ref_date}' AND nome_perimetro='Individual Local' AND segmento='ESTR' AND ambito='PM' AND entidade='00100')Y ON X.CHAVE_IT=Y.CHAVE_SIMUL</v>
      </c>
      <c r="O500" s="35" t="s">
        <v>35</v>
      </c>
    </row>
    <row r="501" spans="1:15">
      <c r="A501" s="57" t="str">
        <f t="shared" si="16"/>
        <v>Entitygrp_emssns_scp2</v>
      </c>
      <c r="B501" s="32" t="s">
        <v>60</v>
      </c>
      <c r="C501" s="32" t="s">
        <v>113</v>
      </c>
      <c r="D501" s="32" t="s">
        <v>5</v>
      </c>
      <c r="E501" s="32" t="str">
        <f>+UPPER('0. Instruções'!$D$35&amp;"."&amp;VLOOKUP(B501,'0. Instruções'!$C$27:$D$32,2,FALSE))</f>
        <v>CD_LOAN_TAPES_BCE.LT003_ENTITY</v>
      </c>
      <c r="F501" s="32" t="str">
        <f>+UPPER('0. Instruções'!$D$36&amp;"."&amp;VLOOKUP(B501,'0. Instruções'!$C$27:$E$32,3,FALSE))</f>
        <v>BU_LOANTAPE_WORK.LT003_ENTITY</v>
      </c>
      <c r="H501" s="32"/>
      <c r="I501" s="32"/>
      <c r="J501" s="32" t="str">
        <f>IF(VLOOKUP(B501,'0. Instruções'!$C$27:$G$32,5,FALSE)=0,
"(SELECT "&amp;VLOOKUP(B501,'0. Instruções'!$C$27:$G$32,4,FALSE)&amp;" AS CHAVE_IT, "&amp;C501&amp;" AS CAMPO_IT FROM "&amp;E501&amp;" WHERE "&amp;'0. Instruções'!$D$43&amp;")X",
"(SELECT "&amp;VLOOKUP(B501,'0. Instruções'!$C$27:$G$32,4,FALSE)&amp;" AS CHAVE_IT1, "&amp;VLOOKUP(B501,'0. Instruções'!$C$27:$G$32,5,FALSE)&amp;" AS CHAVE_IT2, "&amp;C501&amp;" AS CAMPO_IT FROM "&amp;E501&amp;" WHERE "&amp;'0. Instruções'!$D$43&amp;")X")</f>
        <v>(SELECT entty_id AS CHAVE_IT, grp_emssns_scp2 AS CAMPO_IT FROM CD_LOAN_TAPES_BCE.LT003_ENTITY WHERE ref_date='${ref_date}' AND nome_perimetro='Individual Local' AND segmento='ESTR' AND ambito='PM' AND entidade='00100')X</v>
      </c>
      <c r="K501" s="32" t="str">
        <f>IF(VLOOKUP(B501,'0. Instruções'!$C$27:$G$32,5,FALSE)=0,
"(SELECT "&amp;VLOOKUP(B501,'0. Instruções'!$C$27:$G$32,4,FALSE)&amp;" AS CHAVE_SIMUL, "&amp;C501&amp;" AS CAMPO_SIMUL FROM "&amp;F501&amp;" WHERE "&amp;'0. Instruções'!$D$42&amp;")Y",
"(SELECT "&amp;VLOOKUP(B501,'0. Instruções'!$C$27:$G$32,4,FALSE)&amp;" AS CHAVE_SIMUL1, "&amp;VLOOKUP(B501,'0. Instruções'!$C$27:$G$32,5,FALSE)&amp;" AS CHAVE_SIMUL2, "&amp;C501&amp;" AS CAMPO_SIMUL FROM "&amp;F501&amp;" WHERE "&amp;'0. Instruções'!$D$42&amp;")Y")</f>
        <v>(SELECT entty_id AS CHAVE_SIMUL, grp_emssns_scp2 AS CAMPO_SIMUL FROM BU_LOANTAPE_WORK.LT003_ENTITY WHERE ref_date='${ref_date}' AND nome_perimetro='Individual Local' AND segmento='ESTR' AND ambito='PM' AND entidade='00100')Y</v>
      </c>
      <c r="L501" s="32" t="str">
        <f>IF(VLOOKUP(B501,'0. Instruções'!$C$27:$G$32,5,FALSE)=0,
"ON X.CHAVE_IT=Y.CHAVE_SIMUL",
"ON X.CHAVE_IT1=Y.CHAVE_SIMUL1 AND X.CHAVE_IT2=Y.CHAVE_SIMUL2")</f>
        <v>ON X.CHAVE_IT=Y.CHAVE_SIMUL</v>
      </c>
      <c r="M501" s="32" t="str">
        <f>+IF(D501="Coerência",+IF(LEFT(H501,5)="FLOAT","SELECT '"&amp;UPPER(B501)&amp;"' AS TABELA, '"&amp;UPPER(D501)&amp;"' AS TIPOLOGIA_TESTE,'"&amp;E501&amp;"' AS TABELA_LT,'"&amp;F501&amp;"' AS TABELA_SIMUL,'"&amp;C501&amp;"'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"&amp;J501&amp;" INNER JOIN "&amp;K501&amp;" "&amp;L501,"SELECT '"&amp;UPPER(B501)&amp;"' AS TABELA, '"&amp;UPPER(D501)&amp;"' AS TIPOLOGIA_TESTE,'"&amp;E501&amp;"' AS TABELA_LT,'"&amp;F501&amp;"' AS TABELA_SIMUL,'"&amp;C501&amp;"'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"&amp;J501&amp;" INNER JOIN "&amp;K501&amp;" "&amp;L501))</f>
        <v>SELECT 'ENTITY' AS TABELA, 'COERÊNCIA' AS TIPOLOGIA_TESTE,'CD_LOAN_TAPES_BCE.LT003_ENTITY' AS TABELA_LT,'BU_LOANTAPE_WORK.LT003_ENTITY' AS TABELA_SIMUL,'grp_emssns_scp2'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grp_emssns_scp2 AS CAMPO_IT FROM CD_LOAN_TAPES_BCE.LT003_ENTITY WHERE ref_date='${ref_date}' AND nome_perimetro='Individual Local' AND segmento='ESTR' AND ambito='PM' AND entidade='00100')X INNER JOIN (SELECT entty_id AS CHAVE_SIMUL, grp_emssns_scp2 AS CAMPO_SIMUL FROM BU_LOANTAPE_WORK.LT003_ENTITY WHERE ref_date='${ref_date}' AND nome_perimetro='Individual Local' AND segmento='ESTR' AND ambito='PM' AND entidade='00100')Y ON X.CHAVE_IT=Y.CHAVE_SIMUL</v>
      </c>
      <c r="N501" s="33" t="str">
        <f t="shared" si="17"/>
        <v>UNION ALL SELECT 'ENTITY' AS TABELA, 'COERÊNCIA' AS TIPOLOGIA_TESTE,'CD_LOAN_TAPES_BCE.LT003_ENTITY' AS TABELA_LT,'BU_LOANTAPE_WORK.LT003_ENTITY' AS TABELA_SIMUL,'grp_emssns_scp2'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grp_emssns_scp2 AS CAMPO_IT FROM CD_LOAN_TAPES_BCE.LT003_ENTITY WHERE ref_date='${ref_date}' AND nome_perimetro='Individual Local' AND segmento='ESTR' AND ambito='PM' AND entidade='00100')X INNER JOIN (SELECT entty_id AS CHAVE_SIMUL, grp_emssns_scp2 AS CAMPO_SIMUL FROM BU_LOANTAPE_WORK.LT003_ENTITY WHERE ref_date='${ref_date}' AND nome_perimetro='Individual Local' AND segmento='ESTR' AND ambito='PM' AND entidade='00100')Y ON X.CHAVE_IT=Y.CHAVE_SIMUL</v>
      </c>
      <c r="O501" s="35" t="s">
        <v>35</v>
      </c>
    </row>
    <row r="502" spans="1:15">
      <c r="A502" s="57" t="str">
        <f t="shared" si="16"/>
        <v>Entitygrp_emssns_scp3</v>
      </c>
      <c r="B502" s="32" t="s">
        <v>60</v>
      </c>
      <c r="C502" s="32" t="s">
        <v>114</v>
      </c>
      <c r="D502" s="32" t="s">
        <v>5</v>
      </c>
      <c r="E502" s="32" t="str">
        <f>+UPPER('0. Instruções'!$D$35&amp;"."&amp;VLOOKUP(B502,'0. Instruções'!$C$27:$D$32,2,FALSE))</f>
        <v>CD_LOAN_TAPES_BCE.LT003_ENTITY</v>
      </c>
      <c r="F502" s="32" t="str">
        <f>+UPPER('0. Instruções'!$D$36&amp;"."&amp;VLOOKUP(B502,'0. Instruções'!$C$27:$E$32,3,FALSE))</f>
        <v>BU_LOANTAPE_WORK.LT003_ENTITY</v>
      </c>
      <c r="H502" s="32"/>
      <c r="I502" s="32"/>
      <c r="J502" s="32" t="str">
        <f>IF(VLOOKUP(B502,'0. Instruções'!$C$27:$G$32,5,FALSE)=0,
"(SELECT "&amp;VLOOKUP(B502,'0. Instruções'!$C$27:$G$32,4,FALSE)&amp;" AS CHAVE_IT, "&amp;C502&amp;" AS CAMPO_IT FROM "&amp;E502&amp;" WHERE "&amp;'0. Instruções'!$D$43&amp;")X",
"(SELECT "&amp;VLOOKUP(B502,'0. Instruções'!$C$27:$G$32,4,FALSE)&amp;" AS CHAVE_IT1, "&amp;VLOOKUP(B502,'0. Instruções'!$C$27:$G$32,5,FALSE)&amp;" AS CHAVE_IT2, "&amp;C502&amp;" AS CAMPO_IT FROM "&amp;E502&amp;" WHERE "&amp;'0. Instruções'!$D$43&amp;")X")</f>
        <v>(SELECT entty_id AS CHAVE_IT, grp_emssns_scp3 AS CAMPO_IT FROM CD_LOAN_TAPES_BCE.LT003_ENTITY WHERE ref_date='${ref_date}' AND nome_perimetro='Individual Local' AND segmento='ESTR' AND ambito='PM' AND entidade='00100')X</v>
      </c>
      <c r="K502" s="32" t="str">
        <f>IF(VLOOKUP(B502,'0. Instruções'!$C$27:$G$32,5,FALSE)=0,
"(SELECT "&amp;VLOOKUP(B502,'0. Instruções'!$C$27:$G$32,4,FALSE)&amp;" AS CHAVE_SIMUL, "&amp;C502&amp;" AS CAMPO_SIMUL FROM "&amp;F502&amp;" WHERE "&amp;'0. Instruções'!$D$42&amp;")Y",
"(SELECT "&amp;VLOOKUP(B502,'0. Instruções'!$C$27:$G$32,4,FALSE)&amp;" AS CHAVE_SIMUL1, "&amp;VLOOKUP(B502,'0. Instruções'!$C$27:$G$32,5,FALSE)&amp;" AS CHAVE_SIMUL2, "&amp;C502&amp;" AS CAMPO_SIMUL FROM "&amp;F502&amp;" WHERE "&amp;'0. Instruções'!$D$42&amp;")Y")</f>
        <v>(SELECT entty_id AS CHAVE_SIMUL, grp_emssns_scp3 AS CAMPO_SIMUL FROM BU_LOANTAPE_WORK.LT003_ENTITY WHERE ref_date='${ref_date}' AND nome_perimetro='Individual Local' AND segmento='ESTR' AND ambito='PM' AND entidade='00100')Y</v>
      </c>
      <c r="L502" s="32" t="str">
        <f>IF(VLOOKUP(B502,'0. Instruções'!$C$27:$G$32,5,FALSE)=0,
"ON X.CHAVE_IT=Y.CHAVE_SIMUL",
"ON X.CHAVE_IT1=Y.CHAVE_SIMUL1 AND X.CHAVE_IT2=Y.CHAVE_SIMUL2")</f>
        <v>ON X.CHAVE_IT=Y.CHAVE_SIMUL</v>
      </c>
      <c r="M502" s="32" t="str">
        <f>+IF(D502="Coerência",+IF(LEFT(H502,5)="FLOAT","SELECT '"&amp;UPPER(B502)&amp;"' AS TABELA, '"&amp;UPPER(D502)&amp;"' AS TIPOLOGIA_TESTE,'"&amp;E502&amp;"' AS TABELA_LT,'"&amp;F502&amp;"' AS TABELA_SIMUL,'"&amp;C502&amp;"'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"&amp;J502&amp;" INNER JOIN "&amp;K502&amp;" "&amp;L502,"SELECT '"&amp;UPPER(B502)&amp;"' AS TABELA, '"&amp;UPPER(D502)&amp;"' AS TIPOLOGIA_TESTE,'"&amp;E502&amp;"' AS TABELA_LT,'"&amp;F502&amp;"' AS TABELA_SIMUL,'"&amp;C502&amp;"'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"&amp;J502&amp;" INNER JOIN "&amp;K502&amp;" "&amp;L502))</f>
        <v>SELECT 'ENTITY' AS TABELA, 'COERÊNCIA' AS TIPOLOGIA_TESTE,'CD_LOAN_TAPES_BCE.LT003_ENTITY' AS TABELA_LT,'BU_LOANTAPE_WORK.LT003_ENTITY' AS TABELA_SIMUL,'grp_emssns_scp3'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grp_emssns_scp3 AS CAMPO_IT FROM CD_LOAN_TAPES_BCE.LT003_ENTITY WHERE ref_date='${ref_date}' AND nome_perimetro='Individual Local' AND segmento='ESTR' AND ambito='PM' AND entidade='00100')X INNER JOIN (SELECT entty_id AS CHAVE_SIMUL, grp_emssns_scp3 AS CAMPO_SIMUL FROM BU_LOANTAPE_WORK.LT003_ENTITY WHERE ref_date='${ref_date}' AND nome_perimetro='Individual Local' AND segmento='ESTR' AND ambito='PM' AND entidade='00100')Y ON X.CHAVE_IT=Y.CHAVE_SIMUL</v>
      </c>
      <c r="N502" s="33" t="str">
        <f t="shared" si="17"/>
        <v>UNION ALL SELECT 'ENTITY' AS TABELA, 'COERÊNCIA' AS TIPOLOGIA_TESTE,'CD_LOAN_TAPES_BCE.LT003_ENTITY' AS TABELA_LT,'BU_LOANTAPE_WORK.LT003_ENTITY' AS TABELA_SIMUL,'grp_emssns_scp3'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grp_emssns_scp3 AS CAMPO_IT FROM CD_LOAN_TAPES_BCE.LT003_ENTITY WHERE ref_date='${ref_date}' AND nome_perimetro='Individual Local' AND segmento='ESTR' AND ambito='PM' AND entidade='00100')X INNER JOIN (SELECT entty_id AS CHAVE_SIMUL, grp_emssns_scp3 AS CAMPO_SIMUL FROM BU_LOANTAPE_WORK.LT003_ENTITY WHERE ref_date='${ref_date}' AND nome_perimetro='Individual Local' AND segmento='ESTR' AND ambito='PM' AND entidade='00100')Y ON X.CHAVE_IT=Y.CHAVE_SIMUL</v>
      </c>
      <c r="O502" s="35" t="s">
        <v>35</v>
      </c>
    </row>
    <row r="503" spans="1:15">
      <c r="A503" s="57" t="str">
        <f t="shared" si="16"/>
        <v>Entitypd_ifrs9_12m_lftm_rd</v>
      </c>
      <c r="B503" s="32" t="s">
        <v>60</v>
      </c>
      <c r="C503" s="32" t="s">
        <v>589</v>
      </c>
      <c r="D503" s="32" t="s">
        <v>5</v>
      </c>
      <c r="E503" s="32" t="str">
        <f>+UPPER('0. Instruções'!$D$35&amp;"."&amp;VLOOKUP(B503,'0. Instruções'!$C$27:$D$32,2,FALSE))</f>
        <v>CD_LOAN_TAPES_BCE.LT003_ENTITY</v>
      </c>
      <c r="F503" s="32" t="str">
        <f>+UPPER('0. Instruções'!$D$36&amp;"."&amp;VLOOKUP(B503,'0. Instruções'!$C$27:$E$32,3,FALSE))</f>
        <v>BU_LOANTAPE_WORK.LT003_ENTITY</v>
      </c>
      <c r="H503" s="32"/>
      <c r="I503" s="32"/>
      <c r="J503" s="32" t="str">
        <f>IF(VLOOKUP(B503,'0. Instruções'!$C$27:$G$32,5,FALSE)=0,
"(SELECT "&amp;VLOOKUP(B503,'0. Instruções'!$C$27:$G$32,4,FALSE)&amp;" AS CHAVE_IT, "&amp;C503&amp;" AS CAMPO_IT FROM "&amp;E503&amp;" WHERE "&amp;'0. Instruções'!$D$43&amp;")X",
"(SELECT "&amp;VLOOKUP(B503,'0. Instruções'!$C$27:$G$32,4,FALSE)&amp;" AS CHAVE_IT1, "&amp;VLOOKUP(B503,'0. Instruções'!$C$27:$G$32,5,FALSE)&amp;" AS CHAVE_IT2, "&amp;C503&amp;" AS CAMPO_IT FROM "&amp;E503&amp;" WHERE "&amp;'0. Instruções'!$D$43&amp;")X")</f>
        <v>(SELECT entty_id AS CHAVE_IT, pd_ifrs9_12m_lftm_rd AS CAMPO_IT FROM CD_LOAN_TAPES_BCE.LT003_ENTITY WHERE ref_date='${ref_date}' AND nome_perimetro='Individual Local' AND segmento='ESTR' AND ambito='PM' AND entidade='00100')X</v>
      </c>
      <c r="K503" s="32" t="str">
        <f>IF(VLOOKUP(B503,'0. Instruções'!$C$27:$G$32,5,FALSE)=0,
"(SELECT "&amp;VLOOKUP(B503,'0. Instruções'!$C$27:$G$32,4,FALSE)&amp;" AS CHAVE_SIMUL, "&amp;C503&amp;" AS CAMPO_SIMUL FROM "&amp;F503&amp;" WHERE "&amp;'0. Instruções'!$D$42&amp;")Y",
"(SELECT "&amp;VLOOKUP(B503,'0. Instruções'!$C$27:$G$32,4,FALSE)&amp;" AS CHAVE_SIMUL1, "&amp;VLOOKUP(B503,'0. Instruções'!$C$27:$G$32,5,FALSE)&amp;" AS CHAVE_SIMUL2, "&amp;C503&amp;" AS CAMPO_SIMUL FROM "&amp;F503&amp;" WHERE "&amp;'0. Instruções'!$D$42&amp;")Y")</f>
        <v>(SELECT entty_id AS CHAVE_SIMUL, pd_ifrs9_12m_lftm_rd AS CAMPO_SIMUL FROM BU_LOANTAPE_WORK.LT003_ENTITY WHERE ref_date='${ref_date}' AND nome_perimetro='Individual Local' AND segmento='ESTR' AND ambito='PM' AND entidade='00100')Y</v>
      </c>
      <c r="L503" s="32" t="str">
        <f>IF(VLOOKUP(B503,'0. Instruções'!$C$27:$G$32,5,FALSE)=0,
"ON X.CHAVE_IT=Y.CHAVE_SIMUL",
"ON X.CHAVE_IT1=Y.CHAVE_SIMUL1 AND X.CHAVE_IT2=Y.CHAVE_SIMUL2")</f>
        <v>ON X.CHAVE_IT=Y.CHAVE_SIMUL</v>
      </c>
      <c r="M503" s="32" t="str">
        <f>+IF(D503="Coerência",+IF(LEFT(H503,5)="FLOAT","SELECT '"&amp;UPPER(B503)&amp;"' AS TABELA, '"&amp;UPPER(D503)&amp;"' AS TIPOLOGIA_TESTE,'"&amp;E503&amp;"' AS TABELA_LT,'"&amp;F503&amp;"' AS TABELA_SIMUL,'"&amp;C503&amp;"'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"&amp;J503&amp;" INNER JOIN "&amp;K503&amp;" "&amp;L503,"SELECT '"&amp;UPPER(B503)&amp;"' AS TABELA, '"&amp;UPPER(D503)&amp;"' AS TIPOLOGIA_TESTE,'"&amp;E503&amp;"' AS TABELA_LT,'"&amp;F503&amp;"' AS TABELA_SIMUL,'"&amp;C503&amp;"'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"&amp;J503&amp;" INNER JOIN "&amp;K503&amp;" "&amp;L503))</f>
        <v>SELECT 'ENTITY' AS TABELA, 'COERÊNCIA' AS TIPOLOGIA_TESTE,'CD_LOAN_TAPES_BCE.LT003_ENTITY' AS TABELA_LT,'BU_LOANTAPE_WORK.LT003_ENTITY' AS TABELA_SIMUL,'pd_ifrs9_12m_lftm_rd'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pd_ifrs9_12m_lftm_rd AS CAMPO_IT FROM CD_LOAN_TAPES_BCE.LT003_ENTITY WHERE ref_date='${ref_date}' AND nome_perimetro='Individual Local' AND segmento='ESTR' AND ambito='PM' AND entidade='00100')X INNER JOIN (SELECT entty_id AS CHAVE_SIMUL, pd_ifrs9_12m_lftm_rd AS CAMPO_SIMUL FROM BU_LOANTAPE_WORK.LT003_ENTITY WHERE ref_date='${ref_date}' AND nome_perimetro='Individual Local' AND segmento='ESTR' AND ambito='PM' AND entidade='00100')Y ON X.CHAVE_IT=Y.CHAVE_SIMUL</v>
      </c>
      <c r="N503" s="33" t="str">
        <f t="shared" si="17"/>
        <v>UNION ALL SELECT 'ENTITY' AS TABELA, 'COERÊNCIA' AS TIPOLOGIA_TESTE,'CD_LOAN_TAPES_BCE.LT003_ENTITY' AS TABELA_LT,'BU_LOANTAPE_WORK.LT003_ENTITY' AS TABELA_SIMUL,'pd_ifrs9_12m_lftm_rd'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pd_ifrs9_12m_lftm_rd AS CAMPO_IT FROM CD_LOAN_TAPES_BCE.LT003_ENTITY WHERE ref_date='${ref_date}' AND nome_perimetro='Individual Local' AND segmento='ESTR' AND ambito='PM' AND entidade='00100')X INNER JOIN (SELECT entty_id AS CHAVE_SIMUL, pd_ifrs9_12m_lftm_rd AS CAMPO_SIMUL FROM BU_LOANTAPE_WORK.LT003_ENTITY WHERE ref_date='${ref_date}' AND nome_perimetro='Individual Local' AND segmento='ESTR' AND ambito='PM' AND entidade='00100')Y ON X.CHAVE_IT=Y.CHAVE_SIMUL</v>
      </c>
      <c r="O503" s="35" t="s">
        <v>35</v>
      </c>
    </row>
    <row r="504" spans="1:15">
      <c r="A504" s="57" t="str">
        <f t="shared" si="16"/>
        <v>Entityprobability_default_others</v>
      </c>
      <c r="B504" s="32" t="s">
        <v>60</v>
      </c>
      <c r="C504" s="32" t="s">
        <v>590</v>
      </c>
      <c r="D504" s="32" t="s">
        <v>5</v>
      </c>
      <c r="E504" s="32" t="str">
        <f>+UPPER('0. Instruções'!$D$35&amp;"."&amp;VLOOKUP(B504,'0. Instruções'!$C$27:$D$32,2,FALSE))</f>
        <v>CD_LOAN_TAPES_BCE.LT003_ENTITY</v>
      </c>
      <c r="F504" s="32" t="str">
        <f>+UPPER('0. Instruções'!$D$36&amp;"."&amp;VLOOKUP(B504,'0. Instruções'!$C$27:$E$32,3,FALSE))</f>
        <v>BU_LOANTAPE_WORK.LT003_ENTITY</v>
      </c>
      <c r="H504" s="32"/>
      <c r="I504" s="32"/>
      <c r="J504" s="32" t="str">
        <f>IF(VLOOKUP(B504,'0. Instruções'!$C$27:$G$32,5,FALSE)=0,
"(SELECT "&amp;VLOOKUP(B504,'0. Instruções'!$C$27:$G$32,4,FALSE)&amp;" AS CHAVE_IT, "&amp;C504&amp;" AS CAMPO_IT FROM "&amp;E504&amp;" WHERE "&amp;'0. Instruções'!$D$43&amp;")X",
"(SELECT "&amp;VLOOKUP(B504,'0. Instruções'!$C$27:$G$32,4,FALSE)&amp;" AS CHAVE_IT1, "&amp;VLOOKUP(B504,'0. Instruções'!$C$27:$G$32,5,FALSE)&amp;" AS CHAVE_IT2, "&amp;C504&amp;" AS CAMPO_IT FROM "&amp;E504&amp;" WHERE "&amp;'0. Instruções'!$D$43&amp;")X")</f>
        <v>(SELECT entty_id AS CHAVE_IT, probability_default_others AS CAMPO_IT FROM CD_LOAN_TAPES_BCE.LT003_ENTITY WHERE ref_date='${ref_date}' AND nome_perimetro='Individual Local' AND segmento='ESTR' AND ambito='PM' AND entidade='00100')X</v>
      </c>
      <c r="K504" s="32" t="str">
        <f>IF(VLOOKUP(B504,'0. Instruções'!$C$27:$G$32,5,FALSE)=0,
"(SELECT "&amp;VLOOKUP(B504,'0. Instruções'!$C$27:$G$32,4,FALSE)&amp;" AS CHAVE_SIMUL, "&amp;C504&amp;" AS CAMPO_SIMUL FROM "&amp;F504&amp;" WHERE "&amp;'0. Instruções'!$D$42&amp;")Y",
"(SELECT "&amp;VLOOKUP(B504,'0. Instruções'!$C$27:$G$32,4,FALSE)&amp;" AS CHAVE_SIMUL1, "&amp;VLOOKUP(B504,'0. Instruções'!$C$27:$G$32,5,FALSE)&amp;" AS CHAVE_SIMUL2, "&amp;C504&amp;" AS CAMPO_SIMUL FROM "&amp;F504&amp;" WHERE "&amp;'0. Instruções'!$D$42&amp;")Y")</f>
        <v>(SELECT entty_id AS CHAVE_SIMUL, probability_default_others AS CAMPO_SIMUL FROM BU_LOANTAPE_WORK.LT003_ENTITY WHERE ref_date='${ref_date}' AND nome_perimetro='Individual Local' AND segmento='ESTR' AND ambito='PM' AND entidade='00100')Y</v>
      </c>
      <c r="L504" s="32" t="str">
        <f>IF(VLOOKUP(B504,'0. Instruções'!$C$27:$G$32,5,FALSE)=0,
"ON X.CHAVE_IT=Y.CHAVE_SIMUL",
"ON X.CHAVE_IT1=Y.CHAVE_SIMUL1 AND X.CHAVE_IT2=Y.CHAVE_SIMUL2")</f>
        <v>ON X.CHAVE_IT=Y.CHAVE_SIMUL</v>
      </c>
      <c r="M504" s="32" t="str">
        <f>+IF(D504="Coerência",+IF(LEFT(H504,5)="FLOAT","SELECT '"&amp;UPPER(B504)&amp;"' AS TABELA, '"&amp;UPPER(D504)&amp;"' AS TIPOLOGIA_TESTE,'"&amp;E504&amp;"' AS TABELA_LT,'"&amp;F504&amp;"' AS TABELA_SIMUL,'"&amp;C504&amp;"'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"&amp;J504&amp;" INNER JOIN "&amp;K504&amp;" "&amp;L504,"SELECT '"&amp;UPPER(B504)&amp;"' AS TABELA, '"&amp;UPPER(D504)&amp;"' AS TIPOLOGIA_TESTE,'"&amp;E504&amp;"' AS TABELA_LT,'"&amp;F504&amp;"' AS TABELA_SIMUL,'"&amp;C504&amp;"'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"&amp;J504&amp;" INNER JOIN "&amp;K504&amp;" "&amp;L504))</f>
        <v>SELECT 'ENTITY' AS TABELA, 'COERÊNCIA' AS TIPOLOGIA_TESTE,'CD_LOAN_TAPES_BCE.LT003_ENTITY' AS TABELA_LT,'BU_LOANTAPE_WORK.LT003_ENTITY' AS TABELA_SIMUL,'probability_default_others'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probability_default_others AS CAMPO_IT FROM CD_LOAN_TAPES_BCE.LT003_ENTITY WHERE ref_date='${ref_date}' AND nome_perimetro='Individual Local' AND segmento='ESTR' AND ambito='PM' AND entidade='00100')X INNER JOIN (SELECT entty_id AS CHAVE_SIMUL, probability_default_others AS CAMPO_SIMUL FROM BU_LOANTAPE_WORK.LT003_ENTITY WHERE ref_date='${ref_date}' AND nome_perimetro='Individual Local' AND segmento='ESTR' AND ambito='PM' AND entidade='00100')Y ON X.CHAVE_IT=Y.CHAVE_SIMUL</v>
      </c>
      <c r="N504" s="33" t="str">
        <f t="shared" si="17"/>
        <v>UNION ALL SELECT 'ENTITY' AS TABELA, 'COERÊNCIA' AS TIPOLOGIA_TESTE,'CD_LOAN_TAPES_BCE.LT003_ENTITY' AS TABELA_LT,'BU_LOANTAPE_WORK.LT003_ENTITY' AS TABELA_SIMUL,'probability_default_others'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probability_default_others AS CAMPO_IT FROM CD_LOAN_TAPES_BCE.LT003_ENTITY WHERE ref_date='${ref_date}' AND nome_perimetro='Individual Local' AND segmento='ESTR' AND ambito='PM' AND entidade='00100')X INNER JOIN (SELECT entty_id AS CHAVE_SIMUL, probability_default_others AS CAMPO_SIMUL FROM BU_LOANTAPE_WORK.LT003_ENTITY WHERE ref_date='${ref_date}' AND nome_perimetro='Individual Local' AND segmento='ESTR' AND ambito='PM' AND entidade='00100')Y ON X.CHAVE_IT=Y.CHAVE_SIMUL</v>
      </c>
      <c r="O504" s="35" t="s">
        <v>35</v>
      </c>
    </row>
    <row r="505" spans="1:15">
      <c r="A505" s="57" t="str">
        <f t="shared" si="16"/>
        <v>Entitycounterparty_role</v>
      </c>
      <c r="B505" s="32" t="s">
        <v>60</v>
      </c>
      <c r="C505" s="32" t="s">
        <v>591</v>
      </c>
      <c r="D505" s="32" t="s">
        <v>5</v>
      </c>
      <c r="E505" s="32" t="str">
        <f>+UPPER('0. Instruções'!$D$35&amp;"."&amp;VLOOKUP(B505,'0. Instruções'!$C$27:$D$32,2,FALSE))</f>
        <v>CD_LOAN_TAPES_BCE.LT003_ENTITY</v>
      </c>
      <c r="F505" s="32" t="str">
        <f>+UPPER('0. Instruções'!$D$36&amp;"."&amp;VLOOKUP(B505,'0. Instruções'!$C$27:$E$32,3,FALSE))</f>
        <v>BU_LOANTAPE_WORK.LT003_ENTITY</v>
      </c>
      <c r="H505" s="32"/>
      <c r="I505" s="32"/>
      <c r="J505" s="32" t="str">
        <f>IF(VLOOKUP(B505,'0. Instruções'!$C$27:$G$32,5,FALSE)=0,
"(SELECT "&amp;VLOOKUP(B505,'0. Instruções'!$C$27:$G$32,4,FALSE)&amp;" AS CHAVE_IT, "&amp;C505&amp;" AS CAMPO_IT FROM "&amp;E505&amp;" WHERE "&amp;'0. Instruções'!$D$43&amp;")X",
"(SELECT "&amp;VLOOKUP(B505,'0. Instruções'!$C$27:$G$32,4,FALSE)&amp;" AS CHAVE_IT1, "&amp;VLOOKUP(B505,'0. Instruções'!$C$27:$G$32,5,FALSE)&amp;" AS CHAVE_IT2, "&amp;C505&amp;" AS CAMPO_IT FROM "&amp;E505&amp;" WHERE "&amp;'0. Instruções'!$D$43&amp;")X")</f>
        <v>(SELECT entty_id AS CHAVE_IT, counterparty_role AS CAMPO_IT FROM CD_LOAN_TAPES_BCE.LT003_ENTITY WHERE ref_date='${ref_date}' AND nome_perimetro='Individual Local' AND segmento='ESTR' AND ambito='PM' AND entidade='00100')X</v>
      </c>
      <c r="K505" s="32" t="str">
        <f>IF(VLOOKUP(B505,'0. Instruções'!$C$27:$G$32,5,FALSE)=0,
"(SELECT "&amp;VLOOKUP(B505,'0. Instruções'!$C$27:$G$32,4,FALSE)&amp;" AS CHAVE_SIMUL, "&amp;C505&amp;" AS CAMPO_SIMUL FROM "&amp;F505&amp;" WHERE "&amp;'0. Instruções'!$D$42&amp;")Y",
"(SELECT "&amp;VLOOKUP(B505,'0. Instruções'!$C$27:$G$32,4,FALSE)&amp;" AS CHAVE_SIMUL1, "&amp;VLOOKUP(B505,'0. Instruções'!$C$27:$G$32,5,FALSE)&amp;" AS CHAVE_SIMUL2, "&amp;C505&amp;" AS CAMPO_SIMUL FROM "&amp;F505&amp;" WHERE "&amp;'0. Instruções'!$D$42&amp;")Y")</f>
        <v>(SELECT entty_id AS CHAVE_SIMUL, counterparty_role AS CAMPO_SIMUL FROM BU_LOANTAPE_WORK.LT003_ENTITY WHERE ref_date='${ref_date}' AND nome_perimetro='Individual Local' AND segmento='ESTR' AND ambito='PM' AND entidade='00100')Y</v>
      </c>
      <c r="L505" s="32" t="str">
        <f>IF(VLOOKUP(B505,'0. Instruções'!$C$27:$G$32,5,FALSE)=0,
"ON X.CHAVE_IT=Y.CHAVE_SIMUL",
"ON X.CHAVE_IT1=Y.CHAVE_SIMUL1 AND X.CHAVE_IT2=Y.CHAVE_SIMUL2")</f>
        <v>ON X.CHAVE_IT=Y.CHAVE_SIMUL</v>
      </c>
      <c r="M505" s="32" t="str">
        <f>+IF(D505="Coerência",+IF(LEFT(H505,5)="FLOAT","SELECT '"&amp;UPPER(B505)&amp;"' AS TABELA, '"&amp;UPPER(D505)&amp;"' AS TIPOLOGIA_TESTE,'"&amp;E505&amp;"' AS TABELA_LT,'"&amp;F505&amp;"' AS TABELA_SIMUL,'"&amp;C505&amp;"'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"&amp;J505&amp;" INNER JOIN "&amp;K505&amp;" "&amp;L505,"SELECT '"&amp;UPPER(B505)&amp;"' AS TABELA, '"&amp;UPPER(D505)&amp;"' AS TIPOLOGIA_TESTE,'"&amp;E505&amp;"' AS TABELA_LT,'"&amp;F505&amp;"' AS TABELA_SIMUL,'"&amp;C505&amp;"'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"&amp;J505&amp;" INNER JOIN "&amp;K505&amp;" "&amp;L505))</f>
        <v>SELECT 'ENTITY' AS TABELA, 'COERÊNCIA' AS TIPOLOGIA_TESTE,'CD_LOAN_TAPES_BCE.LT003_ENTITY' AS TABELA_LT,'BU_LOANTAPE_WORK.LT003_ENTITY'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counterparty_role AS CAMPO_IT FROM CD_LOAN_TAPES_BCE.LT003_ENTITY WHERE ref_date='${ref_date}' AND nome_perimetro='Individual Local' AND segmento='ESTR' AND ambito='PM' AND entidade='00100')X INNER JOIN (SELECT entty_id AS CHAVE_SIMUL, counterparty_role AS CAMPO_SIMUL FROM BU_LOANTAPE_WORK.LT003_ENTITY WHERE ref_date='${ref_date}' AND nome_perimetro='Individual Local' AND segmento='ESTR' AND ambito='PM' AND entidade='00100')Y ON X.CHAVE_IT=Y.CHAVE_SIMUL</v>
      </c>
      <c r="N505" s="33" t="str">
        <f t="shared" si="17"/>
        <v>UNION ALL SELECT 'ENTITY' AS TABELA, 'COERÊNCIA' AS TIPOLOGIA_TESTE,'CD_LOAN_TAPES_BCE.LT003_ENTITY' AS TABELA_LT,'BU_LOANTAPE_WORK.LT003_ENTITY'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counterparty_role AS CAMPO_IT FROM CD_LOAN_TAPES_BCE.LT003_ENTITY WHERE ref_date='${ref_date}' AND nome_perimetro='Individual Local' AND segmento='ESTR' AND ambito='PM' AND entidade='00100')X INNER JOIN (SELECT entty_id AS CHAVE_SIMUL, counterparty_role AS CAMPO_SIMUL FROM BU_LOANTAPE_WORK.LT003_ENTITY WHERE ref_date='${ref_date}' AND nome_perimetro='Individual Local' AND segmento='ESTR' AND ambito='PM' AND entidade='00100')Y ON X.CHAVE_IT=Y.CHAVE_SIMUL</v>
      </c>
      <c r="O505" s="35" t="s">
        <v>35</v>
      </c>
    </row>
    <row r="506" spans="1:15">
      <c r="A506" s="57" t="str">
        <f t="shared" si="16"/>
        <v>Entityhead_office_undertaking_id</v>
      </c>
      <c r="B506" s="32" t="s">
        <v>60</v>
      </c>
      <c r="C506" s="32" t="s">
        <v>592</v>
      </c>
      <c r="D506" s="32" t="s">
        <v>5</v>
      </c>
      <c r="E506" s="32" t="str">
        <f>+UPPER('0. Instruções'!$D$35&amp;"."&amp;VLOOKUP(B506,'0. Instruções'!$C$27:$D$32,2,FALSE))</f>
        <v>CD_LOAN_TAPES_BCE.LT003_ENTITY</v>
      </c>
      <c r="F506" s="32" t="str">
        <f>+UPPER('0. Instruções'!$D$36&amp;"."&amp;VLOOKUP(B506,'0. Instruções'!$C$27:$E$32,3,FALSE))</f>
        <v>BU_LOANTAPE_WORK.LT003_ENTITY</v>
      </c>
      <c r="H506" s="32"/>
      <c r="I506" s="32"/>
      <c r="J506" s="32" t="str">
        <f>IF(VLOOKUP(B506,'0. Instruções'!$C$27:$G$32,5,FALSE)=0,
"(SELECT "&amp;VLOOKUP(B506,'0. Instruções'!$C$27:$G$32,4,FALSE)&amp;" AS CHAVE_IT, "&amp;C506&amp;" AS CAMPO_IT FROM "&amp;E506&amp;" WHERE "&amp;'0. Instruções'!$D$43&amp;")X",
"(SELECT "&amp;VLOOKUP(B506,'0. Instruções'!$C$27:$G$32,4,FALSE)&amp;" AS CHAVE_IT1, "&amp;VLOOKUP(B506,'0. Instruções'!$C$27:$G$32,5,FALSE)&amp;" AS CHAVE_IT2, "&amp;C506&amp;" AS CAMPO_IT FROM "&amp;E506&amp;" WHERE "&amp;'0. Instruções'!$D$43&amp;")X")</f>
        <v>(SELECT entty_id AS CHAVE_IT, head_office_undertaking_id AS CAMPO_IT FROM CD_LOAN_TAPES_BCE.LT003_ENTITY WHERE ref_date='${ref_date}' AND nome_perimetro='Individual Local' AND segmento='ESTR' AND ambito='PM' AND entidade='00100')X</v>
      </c>
      <c r="K506" s="32" t="str">
        <f>IF(VLOOKUP(B506,'0. Instruções'!$C$27:$G$32,5,FALSE)=0,
"(SELECT "&amp;VLOOKUP(B506,'0. Instruções'!$C$27:$G$32,4,FALSE)&amp;" AS CHAVE_SIMUL, "&amp;C506&amp;" AS CAMPO_SIMUL FROM "&amp;F506&amp;" WHERE "&amp;'0. Instruções'!$D$42&amp;")Y",
"(SELECT "&amp;VLOOKUP(B506,'0. Instruções'!$C$27:$G$32,4,FALSE)&amp;" AS CHAVE_SIMUL1, "&amp;VLOOKUP(B506,'0. Instruções'!$C$27:$G$32,5,FALSE)&amp;" AS CHAVE_SIMUL2, "&amp;C506&amp;" AS CAMPO_SIMUL FROM "&amp;F506&amp;" WHERE "&amp;'0. Instruções'!$D$42&amp;")Y")</f>
        <v>(SELECT entty_id AS CHAVE_SIMUL, head_office_undertaking_id AS CAMPO_SIMUL FROM BU_LOANTAPE_WORK.LT003_ENTITY WHERE ref_date='${ref_date}' AND nome_perimetro='Individual Local' AND segmento='ESTR' AND ambito='PM' AND entidade='00100')Y</v>
      </c>
      <c r="L506" s="32" t="str">
        <f>IF(VLOOKUP(B506,'0. Instruções'!$C$27:$G$32,5,FALSE)=0,
"ON X.CHAVE_IT=Y.CHAVE_SIMUL",
"ON X.CHAVE_IT1=Y.CHAVE_SIMUL1 AND X.CHAVE_IT2=Y.CHAVE_SIMUL2")</f>
        <v>ON X.CHAVE_IT=Y.CHAVE_SIMUL</v>
      </c>
      <c r="M506" s="32" t="str">
        <f>+IF(D506="Coerência",+IF(LEFT(H506,5)="FLOAT","SELECT '"&amp;UPPER(B506)&amp;"' AS TABELA, '"&amp;UPPER(D506)&amp;"' AS TIPOLOGIA_TESTE,'"&amp;E506&amp;"' AS TABELA_LT,'"&amp;F506&amp;"' AS TABELA_SIMUL,'"&amp;C506&amp;"'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"&amp;J506&amp;" INNER JOIN "&amp;K506&amp;" "&amp;L506,"SELECT '"&amp;UPPER(B506)&amp;"' AS TABELA, '"&amp;UPPER(D506)&amp;"' AS TIPOLOGIA_TESTE,'"&amp;E506&amp;"' AS TABELA_LT,'"&amp;F506&amp;"' AS TABELA_SIMUL,'"&amp;C506&amp;"'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"&amp;J506&amp;" INNER JOIN "&amp;K506&amp;" "&amp;L506))</f>
        <v>SELECT 'ENTITY' AS TABELA, 'COERÊNCIA' AS TIPOLOGIA_TESTE,'CD_LOAN_TAPES_BCE.LT003_ENTITY' AS TABELA_LT,'BU_LOANTAPE_WORK.LT003_ENTITY' AS TABELA_SIMUL,'head_office_undertaking_id'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head_office_undertaking_id AS CAMPO_IT FROM CD_LOAN_TAPES_BCE.LT003_ENTITY WHERE ref_date='${ref_date}' AND nome_perimetro='Individual Local' AND segmento='ESTR' AND ambito='PM' AND entidade='00100')X INNER JOIN (SELECT entty_id AS CHAVE_SIMUL, head_office_undertaking_id AS CAMPO_SIMUL FROM BU_LOANTAPE_WORK.LT003_ENTITY WHERE ref_date='${ref_date}' AND nome_perimetro='Individual Local' AND segmento='ESTR' AND ambito='PM' AND entidade='00100')Y ON X.CHAVE_IT=Y.CHAVE_SIMUL</v>
      </c>
      <c r="N506" s="33" t="str">
        <f t="shared" si="17"/>
        <v>UNION ALL SELECT 'ENTITY' AS TABELA, 'COERÊNCIA' AS TIPOLOGIA_TESTE,'CD_LOAN_TAPES_BCE.LT003_ENTITY' AS TABELA_LT,'BU_LOANTAPE_WORK.LT003_ENTITY' AS TABELA_SIMUL,'head_office_undertaking_id'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head_office_undertaking_id AS CAMPO_IT FROM CD_LOAN_TAPES_BCE.LT003_ENTITY WHERE ref_date='${ref_date}' AND nome_perimetro='Individual Local' AND segmento='ESTR' AND ambito='PM' AND entidade='00100')X INNER JOIN (SELECT entty_id AS CHAVE_SIMUL, head_office_undertaking_id AS CAMPO_SIMUL FROM BU_LOANTAPE_WORK.LT003_ENTITY WHERE ref_date='${ref_date}' AND nome_perimetro='Individual Local' AND segmento='ESTR' AND ambito='PM' AND entidade='00100')Y ON X.CHAVE_IT=Y.CHAVE_SIMUL</v>
      </c>
      <c r="O506" s="35" t="s">
        <v>35</v>
      </c>
    </row>
    <row r="507" spans="1:15">
      <c r="A507" s="57" t="str">
        <f t="shared" si="16"/>
        <v>Entityimmediate_parent_undertaking_id</v>
      </c>
      <c r="B507" s="32" t="s">
        <v>60</v>
      </c>
      <c r="C507" s="32" t="s">
        <v>593</v>
      </c>
      <c r="D507" s="32" t="s">
        <v>5</v>
      </c>
      <c r="E507" s="32" t="str">
        <f>+UPPER('0. Instruções'!$D$35&amp;"."&amp;VLOOKUP(B507,'0. Instruções'!$C$27:$D$32,2,FALSE))</f>
        <v>CD_LOAN_TAPES_BCE.LT003_ENTITY</v>
      </c>
      <c r="F507" s="32" t="str">
        <f>+UPPER('0. Instruções'!$D$36&amp;"."&amp;VLOOKUP(B507,'0. Instruções'!$C$27:$E$32,3,FALSE))</f>
        <v>BU_LOANTAPE_WORK.LT003_ENTITY</v>
      </c>
      <c r="H507" s="32"/>
      <c r="I507" s="32"/>
      <c r="J507" s="32" t="str">
        <f>IF(VLOOKUP(B507,'0. Instruções'!$C$27:$G$32,5,FALSE)=0,
"(SELECT "&amp;VLOOKUP(B507,'0. Instruções'!$C$27:$G$32,4,FALSE)&amp;" AS CHAVE_IT, "&amp;C507&amp;" AS CAMPO_IT FROM "&amp;E507&amp;" WHERE "&amp;'0. Instruções'!$D$43&amp;")X",
"(SELECT "&amp;VLOOKUP(B507,'0. Instruções'!$C$27:$G$32,4,FALSE)&amp;" AS CHAVE_IT1, "&amp;VLOOKUP(B507,'0. Instruções'!$C$27:$G$32,5,FALSE)&amp;" AS CHAVE_IT2, "&amp;C507&amp;" AS CAMPO_IT FROM "&amp;E507&amp;" WHERE "&amp;'0. Instruções'!$D$43&amp;")X")</f>
        <v>(SELECT entty_id AS CHAVE_IT, immediate_parent_undertaking_id AS CAMPO_IT FROM CD_LOAN_TAPES_BCE.LT003_ENTITY WHERE ref_date='${ref_date}' AND nome_perimetro='Individual Local' AND segmento='ESTR' AND ambito='PM' AND entidade='00100')X</v>
      </c>
      <c r="K507" s="32" t="str">
        <f>IF(VLOOKUP(B507,'0. Instruções'!$C$27:$G$32,5,FALSE)=0,
"(SELECT "&amp;VLOOKUP(B507,'0. Instruções'!$C$27:$G$32,4,FALSE)&amp;" AS CHAVE_SIMUL, "&amp;C507&amp;" AS CAMPO_SIMUL FROM "&amp;F507&amp;" WHERE "&amp;'0. Instruções'!$D$42&amp;")Y",
"(SELECT "&amp;VLOOKUP(B507,'0. Instruções'!$C$27:$G$32,4,FALSE)&amp;" AS CHAVE_SIMUL1, "&amp;VLOOKUP(B507,'0. Instruções'!$C$27:$G$32,5,FALSE)&amp;" AS CHAVE_SIMUL2, "&amp;C507&amp;" AS CAMPO_SIMUL FROM "&amp;F507&amp;" WHERE "&amp;'0. Instruções'!$D$42&amp;")Y")</f>
        <v>(SELECT entty_id AS CHAVE_SIMUL, immediate_parent_undertaking_id AS CAMPO_SIMUL FROM BU_LOANTAPE_WORK.LT003_ENTITY WHERE ref_date='${ref_date}' AND nome_perimetro='Individual Local' AND segmento='ESTR' AND ambito='PM' AND entidade='00100')Y</v>
      </c>
      <c r="L507" s="32" t="str">
        <f>IF(VLOOKUP(B507,'0. Instruções'!$C$27:$G$32,5,FALSE)=0,
"ON X.CHAVE_IT=Y.CHAVE_SIMUL",
"ON X.CHAVE_IT1=Y.CHAVE_SIMUL1 AND X.CHAVE_IT2=Y.CHAVE_SIMUL2")</f>
        <v>ON X.CHAVE_IT=Y.CHAVE_SIMUL</v>
      </c>
      <c r="M507" s="32" t="str">
        <f>+IF(D507="Coerência",+IF(LEFT(H507,5)="FLOAT","SELECT '"&amp;UPPER(B507)&amp;"' AS TABELA, '"&amp;UPPER(D507)&amp;"' AS TIPOLOGIA_TESTE,'"&amp;E507&amp;"' AS TABELA_LT,'"&amp;F507&amp;"' AS TABELA_SIMUL,'"&amp;C507&amp;"'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"&amp;J507&amp;" INNER JOIN "&amp;K507&amp;" "&amp;L507,"SELECT '"&amp;UPPER(B507)&amp;"' AS TABELA, '"&amp;UPPER(D507)&amp;"' AS TIPOLOGIA_TESTE,'"&amp;E507&amp;"' AS TABELA_LT,'"&amp;F507&amp;"' AS TABELA_SIMUL,'"&amp;C507&amp;"'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"&amp;J507&amp;" INNER JOIN "&amp;K507&amp;" "&amp;L507))</f>
        <v>SELECT 'ENTITY' AS TABELA, 'COERÊNCIA' AS TIPOLOGIA_TESTE,'CD_LOAN_TAPES_BCE.LT003_ENTITY' AS TABELA_LT,'BU_LOANTAPE_WORK.LT003_ENTITY' AS TABELA_SIMUL,'immediate_parent_undertaking_id'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immediate_parent_undertaking_id AS CAMPO_IT FROM CD_LOAN_TAPES_BCE.LT003_ENTITY WHERE ref_date='${ref_date}' AND nome_perimetro='Individual Local' AND segmento='ESTR' AND ambito='PM' AND entidade='00100')X INNER JOIN (SELECT entty_id AS CHAVE_SIMUL, immediate_parent_undertaking_id AS CAMPO_SIMUL FROM BU_LOANTAPE_WORK.LT003_ENTITY WHERE ref_date='${ref_date}' AND nome_perimetro='Individual Local' AND segmento='ESTR' AND ambito='PM' AND entidade='00100')Y ON X.CHAVE_IT=Y.CHAVE_SIMUL</v>
      </c>
      <c r="N507" s="33" t="str">
        <f t="shared" si="17"/>
        <v>UNION ALL SELECT 'ENTITY' AS TABELA, 'COERÊNCIA' AS TIPOLOGIA_TESTE,'CD_LOAN_TAPES_BCE.LT003_ENTITY' AS TABELA_LT,'BU_LOANTAPE_WORK.LT003_ENTITY' AS TABELA_SIMUL,'immediate_parent_undertaking_id'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immediate_parent_undertaking_id AS CAMPO_IT FROM CD_LOAN_TAPES_BCE.LT003_ENTITY WHERE ref_date='${ref_date}' AND nome_perimetro='Individual Local' AND segmento='ESTR' AND ambito='PM' AND entidade='00100')X INNER JOIN (SELECT entty_id AS CHAVE_SIMUL, immediate_parent_undertaking_id AS CAMPO_SIMUL FROM BU_LOANTAPE_WORK.LT003_ENTITY WHERE ref_date='${ref_date}' AND nome_perimetro='Individual Local' AND segmento='ESTR' AND ambito='PM' AND entidade='00100')Y ON X.CHAVE_IT=Y.CHAVE_SIMUL</v>
      </c>
      <c r="O507" s="35" t="s">
        <v>35</v>
      </c>
    </row>
    <row r="508" spans="1:15">
      <c r="A508" s="57" t="str">
        <f t="shared" si="16"/>
        <v>Entityultimate_parent_undertaking_id</v>
      </c>
      <c r="B508" s="32" t="s">
        <v>60</v>
      </c>
      <c r="C508" s="32" t="s">
        <v>594</v>
      </c>
      <c r="D508" s="32" t="s">
        <v>5</v>
      </c>
      <c r="E508" s="32" t="str">
        <f>+UPPER('0. Instruções'!$D$35&amp;"."&amp;VLOOKUP(B508,'0. Instruções'!$C$27:$D$32,2,FALSE))</f>
        <v>CD_LOAN_TAPES_BCE.LT003_ENTITY</v>
      </c>
      <c r="F508" s="32" t="str">
        <f>+UPPER('0. Instruções'!$D$36&amp;"."&amp;VLOOKUP(B508,'0. Instruções'!$C$27:$E$32,3,FALSE))</f>
        <v>BU_LOANTAPE_WORK.LT003_ENTITY</v>
      </c>
      <c r="H508" s="32"/>
      <c r="I508" s="32"/>
      <c r="J508" s="32" t="str">
        <f>IF(VLOOKUP(B508,'0. Instruções'!$C$27:$G$32,5,FALSE)=0,
"(SELECT "&amp;VLOOKUP(B508,'0. Instruções'!$C$27:$G$32,4,FALSE)&amp;" AS CHAVE_IT, "&amp;C508&amp;" AS CAMPO_IT FROM "&amp;E508&amp;" WHERE "&amp;'0. Instruções'!$D$43&amp;")X",
"(SELECT "&amp;VLOOKUP(B508,'0. Instruções'!$C$27:$G$32,4,FALSE)&amp;" AS CHAVE_IT1, "&amp;VLOOKUP(B508,'0. Instruções'!$C$27:$G$32,5,FALSE)&amp;" AS CHAVE_IT2, "&amp;C508&amp;" AS CAMPO_IT FROM "&amp;E508&amp;" WHERE "&amp;'0. Instruções'!$D$43&amp;")X")</f>
        <v>(SELECT entty_id AS CHAVE_IT, ultimate_parent_undertaking_id AS CAMPO_IT FROM CD_LOAN_TAPES_BCE.LT003_ENTITY WHERE ref_date='${ref_date}' AND nome_perimetro='Individual Local' AND segmento='ESTR' AND ambito='PM' AND entidade='00100')X</v>
      </c>
      <c r="K508" s="32" t="str">
        <f>IF(VLOOKUP(B508,'0. Instruções'!$C$27:$G$32,5,FALSE)=0,
"(SELECT "&amp;VLOOKUP(B508,'0. Instruções'!$C$27:$G$32,4,FALSE)&amp;" AS CHAVE_SIMUL, "&amp;C508&amp;" AS CAMPO_SIMUL FROM "&amp;F508&amp;" WHERE "&amp;'0. Instruções'!$D$42&amp;")Y",
"(SELECT "&amp;VLOOKUP(B508,'0. Instruções'!$C$27:$G$32,4,FALSE)&amp;" AS CHAVE_SIMUL1, "&amp;VLOOKUP(B508,'0. Instruções'!$C$27:$G$32,5,FALSE)&amp;" AS CHAVE_SIMUL2, "&amp;C508&amp;" AS CAMPO_SIMUL FROM "&amp;F508&amp;" WHERE "&amp;'0. Instruções'!$D$42&amp;")Y")</f>
        <v>(SELECT entty_id AS CHAVE_SIMUL, ultimate_parent_undertaking_id AS CAMPO_SIMUL FROM BU_LOANTAPE_WORK.LT003_ENTITY WHERE ref_date='${ref_date}' AND nome_perimetro='Individual Local' AND segmento='ESTR' AND ambito='PM' AND entidade='00100')Y</v>
      </c>
      <c r="L508" s="32" t="str">
        <f>IF(VLOOKUP(B508,'0. Instruções'!$C$27:$G$32,5,FALSE)=0,
"ON X.CHAVE_IT=Y.CHAVE_SIMUL",
"ON X.CHAVE_IT1=Y.CHAVE_SIMUL1 AND X.CHAVE_IT2=Y.CHAVE_SIMUL2")</f>
        <v>ON X.CHAVE_IT=Y.CHAVE_SIMUL</v>
      </c>
      <c r="M508" s="32" t="str">
        <f>+IF(D508="Coerência",+IF(LEFT(H508,5)="FLOAT","SELECT '"&amp;UPPER(B508)&amp;"' AS TABELA, '"&amp;UPPER(D508)&amp;"' AS TIPOLOGIA_TESTE,'"&amp;E508&amp;"' AS TABELA_LT,'"&amp;F508&amp;"' AS TABELA_SIMUL,'"&amp;C508&amp;"'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"&amp;J508&amp;" INNER JOIN "&amp;K508&amp;" "&amp;L508,"SELECT '"&amp;UPPER(B508)&amp;"' AS TABELA, '"&amp;UPPER(D508)&amp;"' AS TIPOLOGIA_TESTE,'"&amp;E508&amp;"' AS TABELA_LT,'"&amp;F508&amp;"' AS TABELA_SIMUL,'"&amp;C508&amp;"'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"&amp;J508&amp;" INNER JOIN "&amp;K508&amp;" "&amp;L508))</f>
        <v>SELECT 'ENTITY' AS TABELA, 'COERÊNCIA' AS TIPOLOGIA_TESTE,'CD_LOAN_TAPES_BCE.LT003_ENTITY' AS TABELA_LT,'BU_LOANTAPE_WORK.LT003_ENTITY' AS TABELA_SIMUL,'ultimate_parent_undertaking_id'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ultimate_parent_undertaking_id AS CAMPO_IT FROM CD_LOAN_TAPES_BCE.LT003_ENTITY WHERE ref_date='${ref_date}' AND nome_perimetro='Individual Local' AND segmento='ESTR' AND ambito='PM' AND entidade='00100')X INNER JOIN (SELECT entty_id AS CHAVE_SIMUL, ultimate_parent_undertaking_id AS CAMPO_SIMUL FROM BU_LOANTAPE_WORK.LT003_ENTITY WHERE ref_date='${ref_date}' AND nome_perimetro='Individual Local' AND segmento='ESTR' AND ambito='PM' AND entidade='00100')Y ON X.CHAVE_IT=Y.CHAVE_SIMUL</v>
      </c>
      <c r="N508" s="33" t="str">
        <f t="shared" si="17"/>
        <v>UNION ALL SELECT 'ENTITY' AS TABELA, 'COERÊNCIA' AS TIPOLOGIA_TESTE,'CD_LOAN_TAPES_BCE.LT003_ENTITY' AS TABELA_LT,'BU_LOANTAPE_WORK.LT003_ENTITY' AS TABELA_SIMUL,'ultimate_parent_undertaking_id'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ultimate_parent_undertaking_id AS CAMPO_IT FROM CD_LOAN_TAPES_BCE.LT003_ENTITY WHERE ref_date='${ref_date}' AND nome_perimetro='Individual Local' AND segmento='ESTR' AND ambito='PM' AND entidade='00100')X INNER JOIN (SELECT entty_id AS CHAVE_SIMUL, ultimate_parent_undertaking_id AS CAMPO_SIMUL FROM BU_LOANTAPE_WORK.LT003_ENTITY WHERE ref_date='${ref_date}' AND nome_perimetro='Individual Local' AND segmento='ESTR' AND ambito='PM' AND entidade='00100')Y ON X.CHAVE_IT=Y.CHAVE_SIMUL</v>
      </c>
      <c r="O508" s="35" t="s">
        <v>35</v>
      </c>
    </row>
    <row r="509" spans="1:15">
      <c r="A509" s="57" t="str">
        <f t="shared" si="16"/>
        <v>Entityaddress_street</v>
      </c>
      <c r="B509" s="32" t="s">
        <v>60</v>
      </c>
      <c r="C509" s="32" t="s">
        <v>595</v>
      </c>
      <c r="D509" s="32" t="s">
        <v>5</v>
      </c>
      <c r="E509" s="32" t="str">
        <f>+UPPER('0. Instruções'!$D$35&amp;"."&amp;VLOOKUP(B509,'0. Instruções'!$C$27:$D$32,2,FALSE))</f>
        <v>CD_LOAN_TAPES_BCE.LT003_ENTITY</v>
      </c>
      <c r="F509" s="32" t="str">
        <f>+UPPER('0. Instruções'!$D$36&amp;"."&amp;VLOOKUP(B509,'0. Instruções'!$C$27:$E$32,3,FALSE))</f>
        <v>BU_LOANTAPE_WORK.LT003_ENTITY</v>
      </c>
      <c r="H509" s="32"/>
      <c r="I509" s="32"/>
      <c r="J509" s="32" t="str">
        <f>IF(VLOOKUP(B509,'0. Instruções'!$C$27:$G$32,5,FALSE)=0,
"(SELECT "&amp;VLOOKUP(B509,'0. Instruções'!$C$27:$G$32,4,FALSE)&amp;" AS CHAVE_IT, "&amp;C509&amp;" AS CAMPO_IT FROM "&amp;E509&amp;" WHERE "&amp;'0. Instruções'!$D$43&amp;")X",
"(SELECT "&amp;VLOOKUP(B509,'0. Instruções'!$C$27:$G$32,4,FALSE)&amp;" AS CHAVE_IT1, "&amp;VLOOKUP(B509,'0. Instruções'!$C$27:$G$32,5,FALSE)&amp;" AS CHAVE_IT2, "&amp;C509&amp;" AS CAMPO_IT FROM "&amp;E509&amp;" WHERE "&amp;'0. Instruções'!$D$43&amp;")X")</f>
        <v>(SELECT entty_id AS CHAVE_IT, address_street AS CAMPO_IT FROM CD_LOAN_TAPES_BCE.LT003_ENTITY WHERE ref_date='${ref_date}' AND nome_perimetro='Individual Local' AND segmento='ESTR' AND ambito='PM' AND entidade='00100')X</v>
      </c>
      <c r="K509" s="32" t="str">
        <f>IF(VLOOKUP(B509,'0. Instruções'!$C$27:$G$32,5,FALSE)=0,
"(SELECT "&amp;VLOOKUP(B509,'0. Instruções'!$C$27:$G$32,4,FALSE)&amp;" AS CHAVE_SIMUL, "&amp;C509&amp;" AS CAMPO_SIMUL FROM "&amp;F509&amp;" WHERE "&amp;'0. Instruções'!$D$42&amp;")Y",
"(SELECT "&amp;VLOOKUP(B509,'0. Instruções'!$C$27:$G$32,4,FALSE)&amp;" AS CHAVE_SIMUL1, "&amp;VLOOKUP(B509,'0. Instruções'!$C$27:$G$32,5,FALSE)&amp;" AS CHAVE_SIMUL2, "&amp;C509&amp;" AS CAMPO_SIMUL FROM "&amp;F509&amp;" WHERE "&amp;'0. Instruções'!$D$42&amp;")Y")</f>
        <v>(SELECT entty_id AS CHAVE_SIMUL, address_street AS CAMPO_SIMUL FROM BU_LOANTAPE_WORK.LT003_ENTITY WHERE ref_date='${ref_date}' AND nome_perimetro='Individual Local' AND segmento='ESTR' AND ambito='PM' AND entidade='00100')Y</v>
      </c>
      <c r="L509" s="32" t="str">
        <f>IF(VLOOKUP(B509,'0. Instruções'!$C$27:$G$32,5,FALSE)=0,
"ON X.CHAVE_IT=Y.CHAVE_SIMUL",
"ON X.CHAVE_IT1=Y.CHAVE_SIMUL1 AND X.CHAVE_IT2=Y.CHAVE_SIMUL2")</f>
        <v>ON X.CHAVE_IT=Y.CHAVE_SIMUL</v>
      </c>
      <c r="M509" s="32" t="str">
        <f>+IF(D509="Coerência",+IF(LEFT(H509,5)="FLOAT","SELECT '"&amp;UPPER(B509)&amp;"' AS TABELA, '"&amp;UPPER(D509)&amp;"' AS TIPOLOGIA_TESTE,'"&amp;E509&amp;"' AS TABELA_LT,'"&amp;F509&amp;"' AS TABELA_SIMUL,'"&amp;C509&amp;"'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"&amp;J509&amp;" INNER JOIN "&amp;K509&amp;" "&amp;L509,"SELECT '"&amp;UPPER(B509)&amp;"' AS TABELA, '"&amp;UPPER(D509)&amp;"' AS TIPOLOGIA_TESTE,'"&amp;E509&amp;"' AS TABELA_LT,'"&amp;F509&amp;"' AS TABELA_SIMUL,'"&amp;C509&amp;"'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"&amp;J509&amp;" INNER JOIN "&amp;K509&amp;" "&amp;L509))</f>
        <v>SELECT 'ENTITY' AS TABELA, 'COERÊNCIA' AS TIPOLOGIA_TESTE,'CD_LOAN_TAPES_BCE.LT003_ENTITY' AS TABELA_LT,'BU_LOANTAPE_WORK.LT003_ENTITY' AS TABELA_SIMUL,'address_street'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address_street AS CAMPO_IT FROM CD_LOAN_TAPES_BCE.LT003_ENTITY WHERE ref_date='${ref_date}' AND nome_perimetro='Individual Local' AND segmento='ESTR' AND ambito='PM' AND entidade='00100')X INNER JOIN (SELECT entty_id AS CHAVE_SIMUL, address_street AS CAMPO_SIMUL FROM BU_LOANTAPE_WORK.LT003_ENTITY WHERE ref_date='${ref_date}' AND nome_perimetro='Individual Local' AND segmento='ESTR' AND ambito='PM' AND entidade='00100')Y ON X.CHAVE_IT=Y.CHAVE_SIMUL</v>
      </c>
      <c r="N509" s="33" t="str">
        <f t="shared" si="17"/>
        <v>UNION ALL SELECT 'ENTITY' AS TABELA, 'COERÊNCIA' AS TIPOLOGIA_TESTE,'CD_LOAN_TAPES_BCE.LT003_ENTITY' AS TABELA_LT,'BU_LOANTAPE_WORK.LT003_ENTITY' AS TABELA_SIMUL,'address_street'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address_street AS CAMPO_IT FROM CD_LOAN_TAPES_BCE.LT003_ENTITY WHERE ref_date='${ref_date}' AND nome_perimetro='Individual Local' AND segmento='ESTR' AND ambito='PM' AND entidade='00100')X INNER JOIN (SELECT entty_id AS CHAVE_SIMUL, address_street AS CAMPO_SIMUL FROM BU_LOANTAPE_WORK.LT003_ENTITY WHERE ref_date='${ref_date}' AND nome_perimetro='Individual Local' AND segmento='ESTR' AND ambito='PM' AND entidade='00100')Y ON X.CHAVE_IT=Y.CHAVE_SIMUL</v>
      </c>
      <c r="O509" s="35" t="s">
        <v>35</v>
      </c>
    </row>
    <row r="510" spans="1:15">
      <c r="A510" s="57" t="str">
        <f t="shared" si="16"/>
        <v>Entityaddress_city_town_village</v>
      </c>
      <c r="B510" s="32" t="s">
        <v>60</v>
      </c>
      <c r="C510" s="32" t="s">
        <v>596</v>
      </c>
      <c r="D510" s="32" t="s">
        <v>5</v>
      </c>
      <c r="E510" s="32" t="str">
        <f>+UPPER('0. Instruções'!$D$35&amp;"."&amp;VLOOKUP(B510,'0. Instruções'!$C$27:$D$32,2,FALSE))</f>
        <v>CD_LOAN_TAPES_BCE.LT003_ENTITY</v>
      </c>
      <c r="F510" s="32" t="str">
        <f>+UPPER('0. Instruções'!$D$36&amp;"."&amp;VLOOKUP(B510,'0. Instruções'!$C$27:$E$32,3,FALSE))</f>
        <v>BU_LOANTAPE_WORK.LT003_ENTITY</v>
      </c>
      <c r="H510" s="32"/>
      <c r="I510" s="32"/>
      <c r="J510" s="32" t="str">
        <f>IF(VLOOKUP(B510,'0. Instruções'!$C$27:$G$32,5,FALSE)=0,
"(SELECT "&amp;VLOOKUP(B510,'0. Instruções'!$C$27:$G$32,4,FALSE)&amp;" AS CHAVE_IT, "&amp;C510&amp;" AS CAMPO_IT FROM "&amp;E510&amp;" WHERE "&amp;'0. Instruções'!$D$43&amp;")X",
"(SELECT "&amp;VLOOKUP(B510,'0. Instruções'!$C$27:$G$32,4,FALSE)&amp;" AS CHAVE_IT1, "&amp;VLOOKUP(B510,'0. Instruções'!$C$27:$G$32,5,FALSE)&amp;" AS CHAVE_IT2, "&amp;C510&amp;" AS CAMPO_IT FROM "&amp;E510&amp;" WHERE "&amp;'0. Instruções'!$D$43&amp;")X")</f>
        <v>(SELECT entty_id AS CHAVE_IT, address_city_town_village AS CAMPO_IT FROM CD_LOAN_TAPES_BCE.LT003_ENTITY WHERE ref_date='${ref_date}' AND nome_perimetro='Individual Local' AND segmento='ESTR' AND ambito='PM' AND entidade='00100')X</v>
      </c>
      <c r="K510" s="32" t="str">
        <f>IF(VLOOKUP(B510,'0. Instruções'!$C$27:$G$32,5,FALSE)=0,
"(SELECT "&amp;VLOOKUP(B510,'0. Instruções'!$C$27:$G$32,4,FALSE)&amp;" AS CHAVE_SIMUL, "&amp;C510&amp;" AS CAMPO_SIMUL FROM "&amp;F510&amp;" WHERE "&amp;'0. Instruções'!$D$42&amp;")Y",
"(SELECT "&amp;VLOOKUP(B510,'0. Instruções'!$C$27:$G$32,4,FALSE)&amp;" AS CHAVE_SIMUL1, "&amp;VLOOKUP(B510,'0. Instruções'!$C$27:$G$32,5,FALSE)&amp;" AS CHAVE_SIMUL2, "&amp;C510&amp;" AS CAMPO_SIMUL FROM "&amp;F510&amp;" WHERE "&amp;'0. Instruções'!$D$42&amp;")Y")</f>
        <v>(SELECT entty_id AS CHAVE_SIMUL, address_city_town_village AS CAMPO_SIMUL FROM BU_LOANTAPE_WORK.LT003_ENTITY WHERE ref_date='${ref_date}' AND nome_perimetro='Individual Local' AND segmento='ESTR' AND ambito='PM' AND entidade='00100')Y</v>
      </c>
      <c r="L510" s="32" t="str">
        <f>IF(VLOOKUP(B510,'0. Instruções'!$C$27:$G$32,5,FALSE)=0,
"ON X.CHAVE_IT=Y.CHAVE_SIMUL",
"ON X.CHAVE_IT1=Y.CHAVE_SIMUL1 AND X.CHAVE_IT2=Y.CHAVE_SIMUL2")</f>
        <v>ON X.CHAVE_IT=Y.CHAVE_SIMUL</v>
      </c>
      <c r="M510" s="32" t="str">
        <f>+IF(D510="Coerência",+IF(LEFT(H510,5)="FLOAT","SELECT '"&amp;UPPER(B510)&amp;"' AS TABELA, '"&amp;UPPER(D510)&amp;"' AS TIPOLOGIA_TESTE,'"&amp;E510&amp;"' AS TABELA_LT,'"&amp;F510&amp;"' AS TABELA_SIMUL,'"&amp;C510&amp;"'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"&amp;J510&amp;" INNER JOIN "&amp;K510&amp;" "&amp;L510,"SELECT '"&amp;UPPER(B510)&amp;"' AS TABELA, '"&amp;UPPER(D510)&amp;"' AS TIPOLOGIA_TESTE,'"&amp;E510&amp;"' AS TABELA_LT,'"&amp;F510&amp;"' AS TABELA_SIMUL,'"&amp;C510&amp;"'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"&amp;J510&amp;" INNER JOIN "&amp;K510&amp;" "&amp;L510))</f>
        <v>SELECT 'ENTITY' AS TABELA, 'COERÊNCIA' AS TIPOLOGIA_TESTE,'CD_LOAN_TAPES_BCE.LT003_ENTITY' AS TABELA_LT,'BU_LOANTAPE_WORK.LT003_ENTITY' AS TABELA_SIMUL,'address_city_town_village'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address_city_town_village AS CAMPO_IT FROM CD_LOAN_TAPES_BCE.LT003_ENTITY WHERE ref_date='${ref_date}' AND nome_perimetro='Individual Local' AND segmento='ESTR' AND ambito='PM' AND entidade='00100')X INNER JOIN (SELECT entty_id AS CHAVE_SIMUL, address_city_town_village AS CAMPO_SIMUL FROM BU_LOANTAPE_WORK.LT003_ENTITY WHERE ref_date='${ref_date}' AND nome_perimetro='Individual Local' AND segmento='ESTR' AND ambito='PM' AND entidade='00100')Y ON X.CHAVE_IT=Y.CHAVE_SIMUL</v>
      </c>
      <c r="N510" s="33" t="str">
        <f t="shared" si="17"/>
        <v>UNION ALL SELECT 'ENTITY' AS TABELA, 'COERÊNCIA' AS TIPOLOGIA_TESTE,'CD_LOAN_TAPES_BCE.LT003_ENTITY' AS TABELA_LT,'BU_LOANTAPE_WORK.LT003_ENTITY' AS TABELA_SIMUL,'address_city_town_village'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address_city_town_village AS CAMPO_IT FROM CD_LOAN_TAPES_BCE.LT003_ENTITY WHERE ref_date='${ref_date}' AND nome_perimetro='Individual Local' AND segmento='ESTR' AND ambito='PM' AND entidade='00100')X INNER JOIN (SELECT entty_id AS CHAVE_SIMUL, address_city_town_village AS CAMPO_SIMUL FROM BU_LOANTAPE_WORK.LT003_ENTITY WHERE ref_date='${ref_date}' AND nome_perimetro='Individual Local' AND segmento='ESTR' AND ambito='PM' AND entidade='00100')Y ON X.CHAVE_IT=Y.CHAVE_SIMUL</v>
      </c>
      <c r="O510" s="35" t="s">
        <v>35</v>
      </c>
    </row>
    <row r="511" spans="1:15">
      <c r="A511" s="57" t="str">
        <f t="shared" si="16"/>
        <v>Entityaddress_county_adm_div</v>
      </c>
      <c r="B511" s="32" t="s">
        <v>60</v>
      </c>
      <c r="C511" s="32" t="s">
        <v>597</v>
      </c>
      <c r="D511" s="32" t="s">
        <v>5</v>
      </c>
      <c r="E511" s="32" t="str">
        <f>+UPPER('0. Instruções'!$D$35&amp;"."&amp;VLOOKUP(B511,'0. Instruções'!$C$27:$D$32,2,FALSE))</f>
        <v>CD_LOAN_TAPES_BCE.LT003_ENTITY</v>
      </c>
      <c r="F511" s="32" t="str">
        <f>+UPPER('0. Instruções'!$D$36&amp;"."&amp;VLOOKUP(B511,'0. Instruções'!$C$27:$E$32,3,FALSE))</f>
        <v>BU_LOANTAPE_WORK.LT003_ENTITY</v>
      </c>
      <c r="H511" s="32"/>
      <c r="I511" s="32"/>
      <c r="J511" s="32" t="str">
        <f>IF(VLOOKUP(B511,'0. Instruções'!$C$27:$G$32,5,FALSE)=0,
"(SELECT "&amp;VLOOKUP(B511,'0. Instruções'!$C$27:$G$32,4,FALSE)&amp;" AS CHAVE_IT, "&amp;C511&amp;" AS CAMPO_IT FROM "&amp;E511&amp;" WHERE "&amp;'0. Instruções'!$D$43&amp;")X",
"(SELECT "&amp;VLOOKUP(B511,'0. Instruções'!$C$27:$G$32,4,FALSE)&amp;" AS CHAVE_IT1, "&amp;VLOOKUP(B511,'0. Instruções'!$C$27:$G$32,5,FALSE)&amp;" AS CHAVE_IT2, "&amp;C511&amp;" AS CAMPO_IT FROM "&amp;E511&amp;" WHERE "&amp;'0. Instruções'!$D$43&amp;")X")</f>
        <v>(SELECT entty_id AS CHAVE_IT, address_county_adm_div AS CAMPO_IT FROM CD_LOAN_TAPES_BCE.LT003_ENTITY WHERE ref_date='${ref_date}' AND nome_perimetro='Individual Local' AND segmento='ESTR' AND ambito='PM' AND entidade='00100')X</v>
      </c>
      <c r="K511" s="32" t="str">
        <f>IF(VLOOKUP(B511,'0. Instruções'!$C$27:$G$32,5,FALSE)=0,
"(SELECT "&amp;VLOOKUP(B511,'0. Instruções'!$C$27:$G$32,4,FALSE)&amp;" AS CHAVE_SIMUL, "&amp;C511&amp;" AS CAMPO_SIMUL FROM "&amp;F511&amp;" WHERE "&amp;'0. Instruções'!$D$42&amp;")Y",
"(SELECT "&amp;VLOOKUP(B511,'0. Instruções'!$C$27:$G$32,4,FALSE)&amp;" AS CHAVE_SIMUL1, "&amp;VLOOKUP(B511,'0. Instruções'!$C$27:$G$32,5,FALSE)&amp;" AS CHAVE_SIMUL2, "&amp;C511&amp;" AS CAMPO_SIMUL FROM "&amp;F511&amp;" WHERE "&amp;'0. Instruções'!$D$42&amp;")Y")</f>
        <v>(SELECT entty_id AS CHAVE_SIMUL, address_county_adm_div AS CAMPO_SIMUL FROM BU_LOANTAPE_WORK.LT003_ENTITY WHERE ref_date='${ref_date}' AND nome_perimetro='Individual Local' AND segmento='ESTR' AND ambito='PM' AND entidade='00100')Y</v>
      </c>
      <c r="L511" s="32" t="str">
        <f>IF(VLOOKUP(B511,'0. Instruções'!$C$27:$G$32,5,FALSE)=0,
"ON X.CHAVE_IT=Y.CHAVE_SIMUL",
"ON X.CHAVE_IT1=Y.CHAVE_SIMUL1 AND X.CHAVE_IT2=Y.CHAVE_SIMUL2")</f>
        <v>ON X.CHAVE_IT=Y.CHAVE_SIMUL</v>
      </c>
      <c r="M511" s="32" t="str">
        <f>+IF(D511="Coerência",+IF(LEFT(H511,5)="FLOAT","SELECT '"&amp;UPPER(B511)&amp;"' AS TABELA, '"&amp;UPPER(D511)&amp;"' AS TIPOLOGIA_TESTE,'"&amp;E511&amp;"' AS TABELA_LT,'"&amp;F511&amp;"' AS TABELA_SIMUL,'"&amp;C511&amp;"'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"&amp;J511&amp;" INNER JOIN "&amp;K511&amp;" "&amp;L511,"SELECT '"&amp;UPPER(B511)&amp;"' AS TABELA, '"&amp;UPPER(D511)&amp;"' AS TIPOLOGIA_TESTE,'"&amp;E511&amp;"' AS TABELA_LT,'"&amp;F511&amp;"' AS TABELA_SIMUL,'"&amp;C511&amp;"'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"&amp;J511&amp;" INNER JOIN "&amp;K511&amp;" "&amp;L511))</f>
        <v>SELECT 'ENTITY' AS TABELA, 'COERÊNCIA' AS TIPOLOGIA_TESTE,'CD_LOAN_TAPES_BCE.LT003_ENTITY' AS TABELA_LT,'BU_LOANTAPE_WORK.LT003_ENTITY' AS TABELA_SIMUL,'address_county_adm_div'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address_county_adm_div AS CAMPO_IT FROM CD_LOAN_TAPES_BCE.LT003_ENTITY WHERE ref_date='${ref_date}' AND nome_perimetro='Individual Local' AND segmento='ESTR' AND ambito='PM' AND entidade='00100')X INNER JOIN (SELECT entty_id AS CHAVE_SIMUL, address_county_adm_div AS CAMPO_SIMUL FROM BU_LOANTAPE_WORK.LT003_ENTITY WHERE ref_date='${ref_date}' AND nome_perimetro='Individual Local' AND segmento='ESTR' AND ambito='PM' AND entidade='00100')Y ON X.CHAVE_IT=Y.CHAVE_SIMUL</v>
      </c>
      <c r="N511" s="33" t="str">
        <f t="shared" si="17"/>
        <v>UNION ALL SELECT 'ENTITY' AS TABELA, 'COERÊNCIA' AS TIPOLOGIA_TESTE,'CD_LOAN_TAPES_BCE.LT003_ENTITY' AS TABELA_LT,'BU_LOANTAPE_WORK.LT003_ENTITY' AS TABELA_SIMUL,'address_county_adm_div'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address_county_adm_div AS CAMPO_IT FROM CD_LOAN_TAPES_BCE.LT003_ENTITY WHERE ref_date='${ref_date}' AND nome_perimetro='Individual Local' AND segmento='ESTR' AND ambito='PM' AND entidade='00100')X INNER JOIN (SELECT entty_id AS CHAVE_SIMUL, address_county_adm_div AS CAMPO_SIMUL FROM BU_LOANTAPE_WORK.LT003_ENTITY WHERE ref_date='${ref_date}' AND nome_perimetro='Individual Local' AND segmento='ESTR' AND ambito='PM' AND entidade='00100')Y ON X.CHAVE_IT=Y.CHAVE_SIMUL</v>
      </c>
      <c r="O511" s="35" t="s">
        <v>35</v>
      </c>
    </row>
    <row r="512" spans="1:15">
      <c r="A512" s="57" t="str">
        <f t="shared" si="16"/>
        <v>Entitylegal_form</v>
      </c>
      <c r="B512" s="32" t="s">
        <v>60</v>
      </c>
      <c r="C512" s="32" t="s">
        <v>598</v>
      </c>
      <c r="D512" s="32" t="s">
        <v>5</v>
      </c>
      <c r="E512" s="32" t="str">
        <f>+UPPER('0. Instruções'!$D$35&amp;"."&amp;VLOOKUP(B512,'0. Instruções'!$C$27:$D$32,2,FALSE))</f>
        <v>CD_LOAN_TAPES_BCE.LT003_ENTITY</v>
      </c>
      <c r="F512" s="32" t="str">
        <f>+UPPER('0. Instruções'!$D$36&amp;"."&amp;VLOOKUP(B512,'0. Instruções'!$C$27:$E$32,3,FALSE))</f>
        <v>BU_LOANTAPE_WORK.LT003_ENTITY</v>
      </c>
      <c r="H512" s="32"/>
      <c r="I512" s="32"/>
      <c r="J512" s="32" t="str">
        <f>IF(VLOOKUP(B512,'0. Instruções'!$C$27:$G$32,5,FALSE)=0,
"(SELECT "&amp;VLOOKUP(B512,'0. Instruções'!$C$27:$G$32,4,FALSE)&amp;" AS CHAVE_IT, "&amp;C512&amp;" AS CAMPO_IT FROM "&amp;E512&amp;" WHERE "&amp;'0. Instruções'!$D$43&amp;")X",
"(SELECT "&amp;VLOOKUP(B512,'0. Instruções'!$C$27:$G$32,4,FALSE)&amp;" AS CHAVE_IT1, "&amp;VLOOKUP(B512,'0. Instruções'!$C$27:$G$32,5,FALSE)&amp;" AS CHAVE_IT2, "&amp;C512&amp;" AS CAMPO_IT FROM "&amp;E512&amp;" WHERE "&amp;'0. Instruções'!$D$43&amp;")X")</f>
        <v>(SELECT entty_id AS CHAVE_IT, legal_form AS CAMPO_IT FROM CD_LOAN_TAPES_BCE.LT003_ENTITY WHERE ref_date='${ref_date}' AND nome_perimetro='Individual Local' AND segmento='ESTR' AND ambito='PM' AND entidade='00100')X</v>
      </c>
      <c r="K512" s="32" t="str">
        <f>IF(VLOOKUP(B512,'0. Instruções'!$C$27:$G$32,5,FALSE)=0,
"(SELECT "&amp;VLOOKUP(B512,'0. Instruções'!$C$27:$G$32,4,FALSE)&amp;" AS CHAVE_SIMUL, "&amp;C512&amp;" AS CAMPO_SIMUL FROM "&amp;F512&amp;" WHERE "&amp;'0. Instruções'!$D$42&amp;")Y",
"(SELECT "&amp;VLOOKUP(B512,'0. Instruções'!$C$27:$G$32,4,FALSE)&amp;" AS CHAVE_SIMUL1, "&amp;VLOOKUP(B512,'0. Instruções'!$C$27:$G$32,5,FALSE)&amp;" AS CHAVE_SIMUL2, "&amp;C512&amp;" AS CAMPO_SIMUL FROM "&amp;F512&amp;" WHERE "&amp;'0. Instruções'!$D$42&amp;")Y")</f>
        <v>(SELECT entty_id AS CHAVE_SIMUL, legal_form AS CAMPO_SIMUL FROM BU_LOANTAPE_WORK.LT003_ENTITY WHERE ref_date='${ref_date}' AND nome_perimetro='Individual Local' AND segmento='ESTR' AND ambito='PM' AND entidade='00100')Y</v>
      </c>
      <c r="L512" s="32" t="str">
        <f>IF(VLOOKUP(B512,'0. Instruções'!$C$27:$G$32,5,FALSE)=0,
"ON X.CHAVE_IT=Y.CHAVE_SIMUL",
"ON X.CHAVE_IT1=Y.CHAVE_SIMUL1 AND X.CHAVE_IT2=Y.CHAVE_SIMUL2")</f>
        <v>ON X.CHAVE_IT=Y.CHAVE_SIMUL</v>
      </c>
      <c r="M512" s="32" t="str">
        <f>+IF(D512="Coerência",+IF(LEFT(H512,5)="FLOAT","SELECT '"&amp;UPPER(B512)&amp;"' AS TABELA, '"&amp;UPPER(D512)&amp;"' AS TIPOLOGIA_TESTE,'"&amp;E512&amp;"' AS TABELA_LT,'"&amp;F512&amp;"' AS TABELA_SIMUL,'"&amp;C512&amp;"'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"&amp;J512&amp;" INNER JOIN "&amp;K512&amp;" "&amp;L512,"SELECT '"&amp;UPPER(B512)&amp;"' AS TABELA, '"&amp;UPPER(D512)&amp;"' AS TIPOLOGIA_TESTE,'"&amp;E512&amp;"' AS TABELA_LT,'"&amp;F512&amp;"' AS TABELA_SIMUL,'"&amp;C512&amp;"'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"&amp;J512&amp;" INNER JOIN "&amp;K512&amp;" "&amp;L512))</f>
        <v>SELECT 'ENTITY' AS TABELA, 'COERÊNCIA' AS TIPOLOGIA_TESTE,'CD_LOAN_TAPES_BCE.LT003_ENTITY' AS TABELA_LT,'BU_LOANTAPE_WORK.LT003_ENTITY' AS TABELA_SIMUL,'legal_form'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legal_form AS CAMPO_IT FROM CD_LOAN_TAPES_BCE.LT003_ENTITY WHERE ref_date='${ref_date}' AND nome_perimetro='Individual Local' AND segmento='ESTR' AND ambito='PM' AND entidade='00100')X INNER JOIN (SELECT entty_id AS CHAVE_SIMUL, legal_form AS CAMPO_SIMUL FROM BU_LOANTAPE_WORK.LT003_ENTITY WHERE ref_date='${ref_date}' AND nome_perimetro='Individual Local' AND segmento='ESTR' AND ambito='PM' AND entidade='00100')Y ON X.CHAVE_IT=Y.CHAVE_SIMUL</v>
      </c>
      <c r="N512" s="33" t="str">
        <f t="shared" si="17"/>
        <v>UNION ALL SELECT 'ENTITY' AS TABELA, 'COERÊNCIA' AS TIPOLOGIA_TESTE,'CD_LOAN_TAPES_BCE.LT003_ENTITY' AS TABELA_LT,'BU_LOANTAPE_WORK.LT003_ENTITY' AS TABELA_SIMUL,'legal_form'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legal_form AS CAMPO_IT FROM CD_LOAN_TAPES_BCE.LT003_ENTITY WHERE ref_date='${ref_date}' AND nome_perimetro='Individual Local' AND segmento='ESTR' AND ambito='PM' AND entidade='00100')X INNER JOIN (SELECT entty_id AS CHAVE_SIMUL, legal_form AS CAMPO_SIMUL FROM BU_LOANTAPE_WORK.LT003_ENTITY WHERE ref_date='${ref_date}' AND nome_perimetro='Individual Local' AND segmento='ESTR' AND ambito='PM' AND entidade='00100')Y ON X.CHAVE_IT=Y.CHAVE_SIMUL</v>
      </c>
      <c r="O512" s="35" t="s">
        <v>35</v>
      </c>
    </row>
    <row r="513" spans="1:15">
      <c r="A513" s="57" t="str">
        <f t="shared" si="16"/>
        <v>Entityinstitutional_sector</v>
      </c>
      <c r="B513" s="32" t="s">
        <v>60</v>
      </c>
      <c r="C513" s="32" t="s">
        <v>599</v>
      </c>
      <c r="D513" s="32" t="s">
        <v>5</v>
      </c>
      <c r="E513" s="32" t="str">
        <f>+UPPER('0. Instruções'!$D$35&amp;"."&amp;VLOOKUP(B513,'0. Instruções'!$C$27:$D$32,2,FALSE))</f>
        <v>CD_LOAN_TAPES_BCE.LT003_ENTITY</v>
      </c>
      <c r="F513" s="32" t="str">
        <f>+UPPER('0. Instruções'!$D$36&amp;"."&amp;VLOOKUP(B513,'0. Instruções'!$C$27:$E$32,3,FALSE))</f>
        <v>BU_LOANTAPE_WORK.LT003_ENTITY</v>
      </c>
      <c r="H513" s="32"/>
      <c r="I513" s="32"/>
      <c r="J513" s="32" t="str">
        <f>IF(VLOOKUP(B513,'0. Instruções'!$C$27:$G$32,5,FALSE)=0,
"(SELECT "&amp;VLOOKUP(B513,'0. Instruções'!$C$27:$G$32,4,FALSE)&amp;" AS CHAVE_IT, "&amp;C513&amp;" AS CAMPO_IT FROM "&amp;E513&amp;" WHERE "&amp;'0. Instruções'!$D$43&amp;")X",
"(SELECT "&amp;VLOOKUP(B513,'0. Instruções'!$C$27:$G$32,4,FALSE)&amp;" AS CHAVE_IT1, "&amp;VLOOKUP(B513,'0. Instruções'!$C$27:$G$32,5,FALSE)&amp;" AS CHAVE_IT2, "&amp;C513&amp;" AS CAMPO_IT FROM "&amp;E513&amp;" WHERE "&amp;'0. Instruções'!$D$43&amp;")X")</f>
        <v>(SELECT entty_id AS CHAVE_IT, institutional_sector AS CAMPO_IT FROM CD_LOAN_TAPES_BCE.LT003_ENTITY WHERE ref_date='${ref_date}' AND nome_perimetro='Individual Local' AND segmento='ESTR' AND ambito='PM' AND entidade='00100')X</v>
      </c>
      <c r="K513" s="32" t="str">
        <f>IF(VLOOKUP(B513,'0. Instruções'!$C$27:$G$32,5,FALSE)=0,
"(SELECT "&amp;VLOOKUP(B513,'0. Instruções'!$C$27:$G$32,4,FALSE)&amp;" AS CHAVE_SIMUL, "&amp;C513&amp;" AS CAMPO_SIMUL FROM "&amp;F513&amp;" WHERE "&amp;'0. Instruções'!$D$42&amp;")Y",
"(SELECT "&amp;VLOOKUP(B513,'0. Instruções'!$C$27:$G$32,4,FALSE)&amp;" AS CHAVE_SIMUL1, "&amp;VLOOKUP(B513,'0. Instruções'!$C$27:$G$32,5,FALSE)&amp;" AS CHAVE_SIMUL2, "&amp;C513&amp;" AS CAMPO_SIMUL FROM "&amp;F513&amp;" WHERE "&amp;'0. Instruções'!$D$42&amp;")Y")</f>
        <v>(SELECT entty_id AS CHAVE_SIMUL, institutional_sector AS CAMPO_SIMUL FROM BU_LOANTAPE_WORK.LT003_ENTITY WHERE ref_date='${ref_date}' AND nome_perimetro='Individual Local' AND segmento='ESTR' AND ambito='PM' AND entidade='00100')Y</v>
      </c>
      <c r="L513" s="32" t="str">
        <f>IF(VLOOKUP(B513,'0. Instruções'!$C$27:$G$32,5,FALSE)=0,
"ON X.CHAVE_IT=Y.CHAVE_SIMUL",
"ON X.CHAVE_IT1=Y.CHAVE_SIMUL1 AND X.CHAVE_IT2=Y.CHAVE_SIMUL2")</f>
        <v>ON X.CHAVE_IT=Y.CHAVE_SIMUL</v>
      </c>
      <c r="M513" s="32" t="str">
        <f>+IF(D513="Coerência",+IF(LEFT(H513,5)="FLOAT","SELECT '"&amp;UPPER(B513)&amp;"' AS TABELA, '"&amp;UPPER(D513)&amp;"' AS TIPOLOGIA_TESTE,'"&amp;E513&amp;"' AS TABELA_LT,'"&amp;F513&amp;"' AS TABELA_SIMUL,'"&amp;C513&amp;"'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"&amp;J513&amp;" INNER JOIN "&amp;K513&amp;" "&amp;L513,"SELECT '"&amp;UPPER(B513)&amp;"' AS TABELA, '"&amp;UPPER(D513)&amp;"' AS TIPOLOGIA_TESTE,'"&amp;E513&amp;"' AS TABELA_LT,'"&amp;F513&amp;"' AS TABELA_SIMUL,'"&amp;C513&amp;"'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"&amp;J513&amp;" INNER JOIN "&amp;K513&amp;" "&amp;L513))</f>
        <v>SELECT 'ENTITY' AS TABELA, 'COERÊNCIA' AS TIPOLOGIA_TESTE,'CD_LOAN_TAPES_BCE.LT003_ENTITY' AS TABELA_LT,'BU_LOANTAPE_WORK.LT003_ENTITY' AS TABELA_SIMUL,'institutional_sector'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institutional_sector AS CAMPO_IT FROM CD_LOAN_TAPES_BCE.LT003_ENTITY WHERE ref_date='${ref_date}' AND nome_perimetro='Individual Local' AND segmento='ESTR' AND ambito='PM' AND entidade='00100')X INNER JOIN (SELECT entty_id AS CHAVE_SIMUL, institutional_sector AS CAMPO_SIMUL FROM BU_LOANTAPE_WORK.LT003_ENTITY WHERE ref_date='${ref_date}' AND nome_perimetro='Individual Local' AND segmento='ESTR' AND ambito='PM' AND entidade='00100')Y ON X.CHAVE_IT=Y.CHAVE_SIMUL</v>
      </c>
      <c r="N513" s="33" t="str">
        <f t="shared" si="17"/>
        <v>UNION ALL SELECT 'ENTITY' AS TABELA, 'COERÊNCIA' AS TIPOLOGIA_TESTE,'CD_LOAN_TAPES_BCE.LT003_ENTITY' AS TABELA_LT,'BU_LOANTAPE_WORK.LT003_ENTITY' AS TABELA_SIMUL,'institutional_sector'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institutional_sector AS CAMPO_IT FROM CD_LOAN_TAPES_BCE.LT003_ENTITY WHERE ref_date='${ref_date}' AND nome_perimetro='Individual Local' AND segmento='ESTR' AND ambito='PM' AND entidade='00100')X INNER JOIN (SELECT entty_id AS CHAVE_SIMUL, institutional_sector AS CAMPO_SIMUL FROM BU_LOANTAPE_WORK.LT003_ENTITY WHERE ref_date='${ref_date}' AND nome_perimetro='Individual Local' AND segmento='ESTR' AND ambito='PM' AND entidade='00100')Y ON X.CHAVE_IT=Y.CHAVE_SIMUL</v>
      </c>
      <c r="O513" s="35" t="s">
        <v>35</v>
      </c>
    </row>
    <row r="514" spans="1:15">
      <c r="A514" s="57" t="str">
        <f t="shared" si="16"/>
        <v>Entitydate_enterprise_size</v>
      </c>
      <c r="B514" s="32" t="s">
        <v>60</v>
      </c>
      <c r="C514" s="32" t="s">
        <v>600</v>
      </c>
      <c r="D514" s="32" t="s">
        <v>5</v>
      </c>
      <c r="E514" s="32" t="str">
        <f>+UPPER('0. Instruções'!$D$35&amp;"."&amp;VLOOKUP(B514,'0. Instruções'!$C$27:$D$32,2,FALSE))</f>
        <v>CD_LOAN_TAPES_BCE.LT003_ENTITY</v>
      </c>
      <c r="F514" s="32" t="str">
        <f>+UPPER('0. Instruções'!$D$36&amp;"."&amp;VLOOKUP(B514,'0. Instruções'!$C$27:$E$32,3,FALSE))</f>
        <v>BU_LOANTAPE_WORK.LT003_ENTITY</v>
      </c>
      <c r="H514" s="32"/>
      <c r="I514" s="32"/>
      <c r="J514" s="32" t="str">
        <f>IF(VLOOKUP(B514,'0. Instruções'!$C$27:$G$32,5,FALSE)=0,
"(SELECT "&amp;VLOOKUP(B514,'0. Instruções'!$C$27:$G$32,4,FALSE)&amp;" AS CHAVE_IT, "&amp;C514&amp;" AS CAMPO_IT FROM "&amp;E514&amp;" WHERE "&amp;'0. Instruções'!$D$43&amp;")X",
"(SELECT "&amp;VLOOKUP(B514,'0. Instruções'!$C$27:$G$32,4,FALSE)&amp;" AS CHAVE_IT1, "&amp;VLOOKUP(B514,'0. Instruções'!$C$27:$G$32,5,FALSE)&amp;" AS CHAVE_IT2, "&amp;C514&amp;" AS CAMPO_IT FROM "&amp;E514&amp;" WHERE "&amp;'0. Instruções'!$D$43&amp;")X")</f>
        <v>(SELECT entty_id AS CHAVE_IT, date_enterprise_size AS CAMPO_IT FROM CD_LOAN_TAPES_BCE.LT003_ENTITY WHERE ref_date='${ref_date}' AND nome_perimetro='Individual Local' AND segmento='ESTR' AND ambito='PM' AND entidade='00100')X</v>
      </c>
      <c r="K514" s="32" t="str">
        <f>IF(VLOOKUP(B514,'0. Instruções'!$C$27:$G$32,5,FALSE)=0,
"(SELECT "&amp;VLOOKUP(B514,'0. Instruções'!$C$27:$G$32,4,FALSE)&amp;" AS CHAVE_SIMUL, "&amp;C514&amp;" AS CAMPO_SIMUL FROM "&amp;F514&amp;" WHERE "&amp;'0. Instruções'!$D$42&amp;")Y",
"(SELECT "&amp;VLOOKUP(B514,'0. Instruções'!$C$27:$G$32,4,FALSE)&amp;" AS CHAVE_SIMUL1, "&amp;VLOOKUP(B514,'0. Instruções'!$C$27:$G$32,5,FALSE)&amp;" AS CHAVE_SIMUL2, "&amp;C514&amp;" AS CAMPO_SIMUL FROM "&amp;F514&amp;" WHERE "&amp;'0. Instruções'!$D$42&amp;")Y")</f>
        <v>(SELECT entty_id AS CHAVE_SIMUL, date_enterprise_size AS CAMPO_SIMUL FROM BU_LOANTAPE_WORK.LT003_ENTITY WHERE ref_date='${ref_date}' AND nome_perimetro='Individual Local' AND segmento='ESTR' AND ambito='PM' AND entidade='00100')Y</v>
      </c>
      <c r="L514" s="32" t="str">
        <f>IF(VLOOKUP(B514,'0. Instruções'!$C$27:$G$32,5,FALSE)=0,
"ON X.CHAVE_IT=Y.CHAVE_SIMUL",
"ON X.CHAVE_IT1=Y.CHAVE_SIMUL1 AND X.CHAVE_IT2=Y.CHAVE_SIMUL2")</f>
        <v>ON X.CHAVE_IT=Y.CHAVE_SIMUL</v>
      </c>
      <c r="M514" s="32" t="str">
        <f>+IF(D514="Coerência",+IF(LEFT(H514,5)="FLOAT","SELECT '"&amp;UPPER(B514)&amp;"' AS TABELA, '"&amp;UPPER(D514)&amp;"' AS TIPOLOGIA_TESTE,'"&amp;E514&amp;"' AS TABELA_LT,'"&amp;F514&amp;"' AS TABELA_SIMUL,'"&amp;C514&amp;"'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"&amp;J514&amp;" INNER JOIN "&amp;K514&amp;" "&amp;L514,"SELECT '"&amp;UPPER(B514)&amp;"' AS TABELA, '"&amp;UPPER(D514)&amp;"' AS TIPOLOGIA_TESTE,'"&amp;E514&amp;"' AS TABELA_LT,'"&amp;F514&amp;"' AS TABELA_SIMUL,'"&amp;C514&amp;"'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"&amp;J514&amp;" INNER JOIN "&amp;K514&amp;" "&amp;L514))</f>
        <v>SELECT 'ENTITY' AS TABELA, 'COERÊNCIA' AS TIPOLOGIA_TESTE,'CD_LOAN_TAPES_BCE.LT003_ENTITY' AS TABELA_LT,'BU_LOANTAPE_WORK.LT003_ENTITY' AS TABELA_SIMUL,'date_enterprise_size'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date_enterprise_size AS CAMPO_IT FROM CD_LOAN_TAPES_BCE.LT003_ENTITY WHERE ref_date='${ref_date}' AND nome_perimetro='Individual Local' AND segmento='ESTR' AND ambito='PM' AND entidade='00100')X INNER JOIN (SELECT entty_id AS CHAVE_SIMUL, date_enterprise_size AS CAMPO_SIMUL FROM BU_LOANTAPE_WORK.LT003_ENTITY WHERE ref_date='${ref_date}' AND nome_perimetro='Individual Local' AND segmento='ESTR' AND ambito='PM' AND entidade='00100')Y ON X.CHAVE_IT=Y.CHAVE_SIMUL</v>
      </c>
      <c r="N514" s="33" t="str">
        <f t="shared" si="17"/>
        <v>UNION ALL SELECT 'ENTITY' AS TABELA, 'COERÊNCIA' AS TIPOLOGIA_TESTE,'CD_LOAN_TAPES_BCE.LT003_ENTITY' AS TABELA_LT,'BU_LOANTAPE_WORK.LT003_ENTITY' AS TABELA_SIMUL,'date_enterprise_size'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date_enterprise_size AS CAMPO_IT FROM CD_LOAN_TAPES_BCE.LT003_ENTITY WHERE ref_date='${ref_date}' AND nome_perimetro='Individual Local' AND segmento='ESTR' AND ambito='PM' AND entidade='00100')X INNER JOIN (SELECT entty_id AS CHAVE_SIMUL, date_enterprise_size AS CAMPO_SIMUL FROM BU_LOANTAPE_WORK.LT003_ENTITY WHERE ref_date='${ref_date}' AND nome_perimetro='Individual Local' AND segmento='ESTR' AND ambito='PM' AND entidade='00100')Y ON X.CHAVE_IT=Y.CHAVE_SIMUL</v>
      </c>
      <c r="O514" s="35" t="s">
        <v>35</v>
      </c>
    </row>
    <row r="515" spans="1:15">
      <c r="A515" s="57" t="str">
        <f t="shared" si="16"/>
        <v>Entitynumber_employees</v>
      </c>
      <c r="B515" s="32" t="s">
        <v>60</v>
      </c>
      <c r="C515" s="32" t="s">
        <v>601</v>
      </c>
      <c r="D515" s="32" t="s">
        <v>5</v>
      </c>
      <c r="E515" s="32" t="str">
        <f>+UPPER('0. Instruções'!$D$35&amp;"."&amp;VLOOKUP(B515,'0. Instruções'!$C$27:$D$32,2,FALSE))</f>
        <v>CD_LOAN_TAPES_BCE.LT003_ENTITY</v>
      </c>
      <c r="F515" s="32" t="str">
        <f>+UPPER('0. Instruções'!$D$36&amp;"."&amp;VLOOKUP(B515,'0. Instruções'!$C$27:$E$32,3,FALSE))</f>
        <v>BU_LOANTAPE_WORK.LT003_ENTITY</v>
      </c>
      <c r="H515" s="32"/>
      <c r="I515" s="32"/>
      <c r="J515" s="32" t="str">
        <f>IF(VLOOKUP(B515,'0. Instruções'!$C$27:$G$32,5,FALSE)=0,
"(SELECT "&amp;VLOOKUP(B515,'0. Instruções'!$C$27:$G$32,4,FALSE)&amp;" AS CHAVE_IT, "&amp;C515&amp;" AS CAMPO_IT FROM "&amp;E515&amp;" WHERE "&amp;'0. Instruções'!$D$43&amp;")X",
"(SELECT "&amp;VLOOKUP(B515,'0. Instruções'!$C$27:$G$32,4,FALSE)&amp;" AS CHAVE_IT1, "&amp;VLOOKUP(B515,'0. Instruções'!$C$27:$G$32,5,FALSE)&amp;" AS CHAVE_IT2, "&amp;C515&amp;" AS CAMPO_IT FROM "&amp;E515&amp;" WHERE "&amp;'0. Instruções'!$D$43&amp;")X")</f>
        <v>(SELECT entty_id AS CHAVE_IT, number_employees AS CAMPO_IT FROM CD_LOAN_TAPES_BCE.LT003_ENTITY WHERE ref_date='${ref_date}' AND nome_perimetro='Individual Local' AND segmento='ESTR' AND ambito='PM' AND entidade='00100')X</v>
      </c>
      <c r="K515" s="32" t="str">
        <f>IF(VLOOKUP(B515,'0. Instruções'!$C$27:$G$32,5,FALSE)=0,
"(SELECT "&amp;VLOOKUP(B515,'0. Instruções'!$C$27:$G$32,4,FALSE)&amp;" AS CHAVE_SIMUL, "&amp;C515&amp;" AS CAMPO_SIMUL FROM "&amp;F515&amp;" WHERE "&amp;'0. Instruções'!$D$42&amp;")Y",
"(SELECT "&amp;VLOOKUP(B515,'0. Instruções'!$C$27:$G$32,4,FALSE)&amp;" AS CHAVE_SIMUL1, "&amp;VLOOKUP(B515,'0. Instruções'!$C$27:$G$32,5,FALSE)&amp;" AS CHAVE_SIMUL2, "&amp;C515&amp;" AS CAMPO_SIMUL FROM "&amp;F515&amp;" WHERE "&amp;'0. Instruções'!$D$42&amp;")Y")</f>
        <v>(SELECT entty_id AS CHAVE_SIMUL, number_employees AS CAMPO_SIMUL FROM BU_LOANTAPE_WORK.LT003_ENTITY WHERE ref_date='${ref_date}' AND nome_perimetro='Individual Local' AND segmento='ESTR' AND ambito='PM' AND entidade='00100')Y</v>
      </c>
      <c r="L515" s="32" t="str">
        <f>IF(VLOOKUP(B515,'0. Instruções'!$C$27:$G$32,5,FALSE)=0,
"ON X.CHAVE_IT=Y.CHAVE_SIMUL",
"ON X.CHAVE_IT1=Y.CHAVE_SIMUL1 AND X.CHAVE_IT2=Y.CHAVE_SIMUL2")</f>
        <v>ON X.CHAVE_IT=Y.CHAVE_SIMUL</v>
      </c>
      <c r="M515" s="32" t="str">
        <f>+IF(D515="Coerência",+IF(LEFT(H515,5)="FLOAT","SELECT '"&amp;UPPER(B515)&amp;"' AS TABELA, '"&amp;UPPER(D515)&amp;"' AS TIPOLOGIA_TESTE,'"&amp;E515&amp;"' AS TABELA_LT,'"&amp;F515&amp;"' AS TABELA_SIMUL,'"&amp;C515&amp;"'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"&amp;J515&amp;" INNER JOIN "&amp;K515&amp;" "&amp;L515,"SELECT '"&amp;UPPER(B515)&amp;"' AS TABELA, '"&amp;UPPER(D515)&amp;"' AS TIPOLOGIA_TESTE,'"&amp;E515&amp;"' AS TABELA_LT,'"&amp;F515&amp;"' AS TABELA_SIMUL,'"&amp;C515&amp;"'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"&amp;J515&amp;" INNER JOIN "&amp;K515&amp;" "&amp;L515))</f>
        <v>SELECT 'ENTITY' AS TABELA, 'COERÊNCIA' AS TIPOLOGIA_TESTE,'CD_LOAN_TAPES_BCE.LT003_ENTITY' AS TABELA_LT,'BU_LOANTAPE_WORK.LT003_ENTITY' AS TABELA_SIMUL,'number_employees'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number_employees AS CAMPO_IT FROM CD_LOAN_TAPES_BCE.LT003_ENTITY WHERE ref_date='${ref_date}' AND nome_perimetro='Individual Local' AND segmento='ESTR' AND ambito='PM' AND entidade='00100')X INNER JOIN (SELECT entty_id AS CHAVE_SIMUL, number_employees AS CAMPO_SIMUL FROM BU_LOANTAPE_WORK.LT003_ENTITY WHERE ref_date='${ref_date}' AND nome_perimetro='Individual Local' AND segmento='ESTR' AND ambito='PM' AND entidade='00100')Y ON X.CHAVE_IT=Y.CHAVE_SIMUL</v>
      </c>
      <c r="N515" s="33" t="str">
        <f t="shared" si="17"/>
        <v>UNION ALL SELECT 'ENTITY' AS TABELA, 'COERÊNCIA' AS TIPOLOGIA_TESTE,'CD_LOAN_TAPES_BCE.LT003_ENTITY' AS TABELA_LT,'BU_LOANTAPE_WORK.LT003_ENTITY' AS TABELA_SIMUL,'number_employees'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number_employees AS CAMPO_IT FROM CD_LOAN_TAPES_BCE.LT003_ENTITY WHERE ref_date='${ref_date}' AND nome_perimetro='Individual Local' AND segmento='ESTR' AND ambito='PM' AND entidade='00100')X INNER JOIN (SELECT entty_id AS CHAVE_SIMUL, number_employees AS CAMPO_SIMUL FROM BU_LOANTAPE_WORK.LT003_ENTITY WHERE ref_date='${ref_date}' AND nome_perimetro='Individual Local' AND segmento='ESTR' AND ambito='PM' AND entidade='00100')Y ON X.CHAVE_IT=Y.CHAVE_SIMUL</v>
      </c>
      <c r="O515" s="35" t="s">
        <v>35</v>
      </c>
    </row>
    <row r="516" spans="1:15">
      <c r="A516" s="57" t="str">
        <f t="shared" si="16"/>
        <v>Entitybalance_sheet_total</v>
      </c>
      <c r="B516" s="32" t="s">
        <v>60</v>
      </c>
      <c r="C516" s="32" t="s">
        <v>602</v>
      </c>
      <c r="D516" s="32" t="s">
        <v>5</v>
      </c>
      <c r="E516" s="32" t="str">
        <f>+UPPER('0. Instruções'!$D$35&amp;"."&amp;VLOOKUP(B516,'0. Instruções'!$C$27:$D$32,2,FALSE))</f>
        <v>CD_LOAN_TAPES_BCE.LT003_ENTITY</v>
      </c>
      <c r="F516" s="32" t="str">
        <f>+UPPER('0. Instruções'!$D$36&amp;"."&amp;VLOOKUP(B516,'0. Instruções'!$C$27:$E$32,3,FALSE))</f>
        <v>BU_LOANTAPE_WORK.LT003_ENTITY</v>
      </c>
      <c r="H516" s="32"/>
      <c r="I516" s="32"/>
      <c r="J516" s="32" t="str">
        <f>IF(VLOOKUP(B516,'0. Instruções'!$C$27:$G$32,5,FALSE)=0,
"(SELECT "&amp;VLOOKUP(B516,'0. Instruções'!$C$27:$G$32,4,FALSE)&amp;" AS CHAVE_IT, "&amp;C516&amp;" AS CAMPO_IT FROM "&amp;E516&amp;" WHERE "&amp;'0. Instruções'!$D$43&amp;")X",
"(SELECT "&amp;VLOOKUP(B516,'0. Instruções'!$C$27:$G$32,4,FALSE)&amp;" AS CHAVE_IT1, "&amp;VLOOKUP(B516,'0. Instruções'!$C$27:$G$32,5,FALSE)&amp;" AS CHAVE_IT2, "&amp;C516&amp;" AS CAMPO_IT FROM "&amp;E516&amp;" WHERE "&amp;'0. Instruções'!$D$43&amp;")X")</f>
        <v>(SELECT entty_id AS CHAVE_IT, balance_sheet_total AS CAMPO_IT FROM CD_LOAN_TAPES_BCE.LT003_ENTITY WHERE ref_date='${ref_date}' AND nome_perimetro='Individual Local' AND segmento='ESTR' AND ambito='PM' AND entidade='00100')X</v>
      </c>
      <c r="K516" s="32" t="str">
        <f>IF(VLOOKUP(B516,'0. Instruções'!$C$27:$G$32,5,FALSE)=0,
"(SELECT "&amp;VLOOKUP(B516,'0. Instruções'!$C$27:$G$32,4,FALSE)&amp;" AS CHAVE_SIMUL, "&amp;C516&amp;" AS CAMPO_SIMUL FROM "&amp;F516&amp;" WHERE "&amp;'0. Instruções'!$D$42&amp;")Y",
"(SELECT "&amp;VLOOKUP(B516,'0. Instruções'!$C$27:$G$32,4,FALSE)&amp;" AS CHAVE_SIMUL1, "&amp;VLOOKUP(B516,'0. Instruções'!$C$27:$G$32,5,FALSE)&amp;" AS CHAVE_SIMUL2, "&amp;C516&amp;" AS CAMPO_SIMUL FROM "&amp;F516&amp;" WHERE "&amp;'0. Instruções'!$D$42&amp;")Y")</f>
        <v>(SELECT entty_id AS CHAVE_SIMUL, balance_sheet_total AS CAMPO_SIMUL FROM BU_LOANTAPE_WORK.LT003_ENTITY WHERE ref_date='${ref_date}' AND nome_perimetro='Individual Local' AND segmento='ESTR' AND ambito='PM' AND entidade='00100')Y</v>
      </c>
      <c r="L516" s="32" t="str">
        <f>IF(VLOOKUP(B516,'0. Instruções'!$C$27:$G$32,5,FALSE)=0,
"ON X.CHAVE_IT=Y.CHAVE_SIMUL",
"ON X.CHAVE_IT1=Y.CHAVE_SIMUL1 AND X.CHAVE_IT2=Y.CHAVE_SIMUL2")</f>
        <v>ON X.CHAVE_IT=Y.CHAVE_SIMUL</v>
      </c>
      <c r="M516" s="32" t="str">
        <f>+IF(D516="Coerência",+IF(LEFT(H516,5)="FLOAT","SELECT '"&amp;UPPER(B516)&amp;"' AS TABELA, '"&amp;UPPER(D516)&amp;"' AS TIPOLOGIA_TESTE,'"&amp;E516&amp;"' AS TABELA_LT,'"&amp;F516&amp;"' AS TABELA_SIMUL,'"&amp;C516&amp;"'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"&amp;J516&amp;" INNER JOIN "&amp;K516&amp;" "&amp;L516,"SELECT '"&amp;UPPER(B516)&amp;"' AS TABELA, '"&amp;UPPER(D516)&amp;"' AS TIPOLOGIA_TESTE,'"&amp;E516&amp;"' AS TABELA_LT,'"&amp;F516&amp;"' AS TABELA_SIMUL,'"&amp;C516&amp;"'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"&amp;J516&amp;" INNER JOIN "&amp;K516&amp;" "&amp;L516))</f>
        <v>SELECT 'ENTITY' AS TABELA, 'COERÊNCIA' AS TIPOLOGIA_TESTE,'CD_LOAN_TAPES_BCE.LT003_ENTITY' AS TABELA_LT,'BU_LOANTAPE_WORK.LT003_ENTITY' AS TABELA_SIMUL,'balance_sheet_total'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balance_sheet_total AS CAMPO_IT FROM CD_LOAN_TAPES_BCE.LT003_ENTITY WHERE ref_date='${ref_date}' AND nome_perimetro='Individual Local' AND segmento='ESTR' AND ambito='PM' AND entidade='00100')X INNER JOIN (SELECT entty_id AS CHAVE_SIMUL, balance_sheet_total AS CAMPO_SIMUL FROM BU_LOANTAPE_WORK.LT003_ENTITY WHERE ref_date='${ref_date}' AND nome_perimetro='Individual Local' AND segmento='ESTR' AND ambito='PM' AND entidade='00100')Y ON X.CHAVE_IT=Y.CHAVE_SIMUL</v>
      </c>
      <c r="N516" s="33" t="str">
        <f t="shared" si="17"/>
        <v>UNION ALL SELECT 'ENTITY' AS TABELA, 'COERÊNCIA' AS TIPOLOGIA_TESTE,'CD_LOAN_TAPES_BCE.LT003_ENTITY' AS TABELA_LT,'BU_LOANTAPE_WORK.LT003_ENTITY' AS TABELA_SIMUL,'balance_sheet_total'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balance_sheet_total AS CAMPO_IT FROM CD_LOAN_TAPES_BCE.LT003_ENTITY WHERE ref_date='${ref_date}' AND nome_perimetro='Individual Local' AND segmento='ESTR' AND ambito='PM' AND entidade='00100')X INNER JOIN (SELECT entty_id AS CHAVE_SIMUL, balance_sheet_total AS CAMPO_SIMUL FROM BU_LOANTAPE_WORK.LT003_ENTITY WHERE ref_date='${ref_date}' AND nome_perimetro='Individual Local' AND segmento='ESTR' AND ambito='PM' AND entidade='00100')Y ON X.CHAVE_IT=Y.CHAVE_SIMUL</v>
      </c>
      <c r="O516" s="35" t="s">
        <v>35</v>
      </c>
    </row>
    <row r="517" spans="1:15">
      <c r="A517" s="57" t="str">
        <f t="shared" si="16"/>
        <v>Entitygrp_ecnmc_actvty</v>
      </c>
      <c r="B517" s="32" t="s">
        <v>60</v>
      </c>
      <c r="C517" s="32" t="s">
        <v>178</v>
      </c>
      <c r="D517" s="32" t="s">
        <v>5</v>
      </c>
      <c r="E517" s="32" t="str">
        <f>+UPPER('0. Instruções'!$D$35&amp;"."&amp;VLOOKUP(B517,'0. Instruções'!$C$27:$D$32,2,FALSE))</f>
        <v>CD_LOAN_TAPES_BCE.LT003_ENTITY</v>
      </c>
      <c r="F517" s="32" t="str">
        <f>+UPPER('0. Instruções'!$D$36&amp;"."&amp;VLOOKUP(B517,'0. Instruções'!$C$27:$E$32,3,FALSE))</f>
        <v>BU_LOANTAPE_WORK.LT003_ENTITY</v>
      </c>
      <c r="H517" s="32"/>
      <c r="I517" s="32"/>
      <c r="J517" s="32" t="str">
        <f>IF(VLOOKUP(B517,'0. Instruções'!$C$27:$G$32,5,FALSE)=0,
"(SELECT "&amp;VLOOKUP(B517,'0. Instruções'!$C$27:$G$32,4,FALSE)&amp;" AS CHAVE_IT, "&amp;C517&amp;" AS CAMPO_IT FROM "&amp;E517&amp;" WHERE "&amp;'0. Instruções'!$D$43&amp;")X",
"(SELECT "&amp;VLOOKUP(B517,'0. Instruções'!$C$27:$G$32,4,FALSE)&amp;" AS CHAVE_IT1, "&amp;VLOOKUP(B517,'0. Instruções'!$C$27:$G$32,5,FALSE)&amp;" AS CHAVE_IT2, "&amp;C517&amp;" AS CAMPO_IT FROM "&amp;E517&amp;" WHERE "&amp;'0. Instruções'!$D$43&amp;")X")</f>
        <v>(SELECT entty_id AS CHAVE_IT, grp_ecnmc_actvty AS CAMPO_IT FROM CD_LOAN_TAPES_BCE.LT003_ENTITY WHERE ref_date='${ref_date}' AND nome_perimetro='Individual Local' AND segmento='ESTR' AND ambito='PM' AND entidade='00100')X</v>
      </c>
      <c r="K517" s="32" t="str">
        <f>IF(VLOOKUP(B517,'0. Instruções'!$C$27:$G$32,5,FALSE)=0,
"(SELECT "&amp;VLOOKUP(B517,'0. Instruções'!$C$27:$G$32,4,FALSE)&amp;" AS CHAVE_SIMUL, "&amp;C517&amp;" AS CAMPO_SIMUL FROM "&amp;F517&amp;" WHERE "&amp;'0. Instruções'!$D$42&amp;")Y",
"(SELECT "&amp;VLOOKUP(B517,'0. Instruções'!$C$27:$G$32,4,FALSE)&amp;" AS CHAVE_SIMUL1, "&amp;VLOOKUP(B517,'0. Instruções'!$C$27:$G$32,5,FALSE)&amp;" AS CHAVE_SIMUL2, "&amp;C517&amp;" AS CAMPO_SIMUL FROM "&amp;F517&amp;" WHERE "&amp;'0. Instruções'!$D$42&amp;")Y")</f>
        <v>(SELECT entty_id AS CHAVE_SIMUL, grp_ecnmc_actvty AS CAMPO_SIMUL FROM BU_LOANTAPE_WORK.LT003_ENTITY WHERE ref_date='${ref_date}' AND nome_perimetro='Individual Local' AND segmento='ESTR' AND ambito='PM' AND entidade='00100')Y</v>
      </c>
      <c r="L517" s="32" t="str">
        <f>IF(VLOOKUP(B517,'0. Instruções'!$C$27:$G$32,5,FALSE)=0,
"ON X.CHAVE_IT=Y.CHAVE_SIMUL",
"ON X.CHAVE_IT1=Y.CHAVE_SIMUL1 AND X.CHAVE_IT2=Y.CHAVE_SIMUL2")</f>
        <v>ON X.CHAVE_IT=Y.CHAVE_SIMUL</v>
      </c>
      <c r="M517" s="32" t="str">
        <f>+IF(D517="Coerência",+IF(LEFT(H517,5)="FLOAT","SELECT '"&amp;UPPER(B517)&amp;"' AS TABELA, '"&amp;UPPER(D517)&amp;"' AS TIPOLOGIA_TESTE,'"&amp;E517&amp;"' AS TABELA_LT,'"&amp;F517&amp;"' AS TABELA_SIMUL,'"&amp;C517&amp;"'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"&amp;J517&amp;" INNER JOIN "&amp;K517&amp;" "&amp;L517,"SELECT '"&amp;UPPER(B517)&amp;"' AS TABELA, '"&amp;UPPER(D517)&amp;"' AS TIPOLOGIA_TESTE,'"&amp;E517&amp;"' AS TABELA_LT,'"&amp;F517&amp;"' AS TABELA_SIMUL,'"&amp;C517&amp;"'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"&amp;J517&amp;" INNER JOIN "&amp;K517&amp;" "&amp;L517))</f>
        <v>SELECT 'ENTITY' AS TABELA, 'COERÊNCIA' AS TIPOLOGIA_TESTE,'CD_LOAN_TAPES_BCE.LT003_ENTITY' AS TABELA_LT,'BU_LOANTAPE_WORK.LT003_ENTITY' AS TABELA_SIMUL,'grp_ecnmc_actvty'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grp_ecnmc_actvty AS CAMPO_IT FROM CD_LOAN_TAPES_BCE.LT003_ENTITY WHERE ref_date='${ref_date}' AND nome_perimetro='Individual Local' AND segmento='ESTR' AND ambito='PM' AND entidade='00100')X INNER JOIN (SELECT entty_id AS CHAVE_SIMUL, grp_ecnmc_actvty AS CAMPO_SIMUL FROM BU_LOANTAPE_WORK.LT003_ENTITY WHERE ref_date='${ref_date}' AND nome_perimetro='Individual Local' AND segmento='ESTR' AND ambito='PM' AND entidade='00100')Y ON X.CHAVE_IT=Y.CHAVE_SIMUL</v>
      </c>
      <c r="N517" s="33" t="str">
        <f t="shared" si="17"/>
        <v>UNION ALL SELECT 'ENTITY' AS TABELA, 'COERÊNCIA' AS TIPOLOGIA_TESTE,'CD_LOAN_TAPES_BCE.LT003_ENTITY' AS TABELA_LT,'BU_LOANTAPE_WORK.LT003_ENTITY' AS TABELA_SIMUL,'grp_ecnmc_actvty'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grp_ecnmc_actvty AS CAMPO_IT FROM CD_LOAN_TAPES_BCE.LT003_ENTITY WHERE ref_date='${ref_date}' AND nome_perimetro='Individual Local' AND segmento='ESTR' AND ambito='PM' AND entidade='00100')X INNER JOIN (SELECT entty_id AS CHAVE_SIMUL, grp_ecnmc_actvty AS CAMPO_SIMUL FROM BU_LOANTAPE_WORK.LT003_ENTITY WHERE ref_date='${ref_date}' AND nome_perimetro='Individual Local' AND segmento='ESTR' AND ambito='PM' AND entidade='00100')Y ON X.CHAVE_IT=Y.CHAVE_SIMUL</v>
      </c>
      <c r="O517" s="35" t="s">
        <v>35</v>
      </c>
    </row>
    <row r="518" spans="1:15">
      <c r="A518" s="57" t="str">
        <f t="shared" si="16"/>
        <v>Entitytxnmy_elgbl_capex_w</v>
      </c>
      <c r="B518" s="32" t="s">
        <v>60</v>
      </c>
      <c r="C518" s="32" t="s">
        <v>179</v>
      </c>
      <c r="D518" s="32" t="s">
        <v>5</v>
      </c>
      <c r="E518" s="32" t="str">
        <f>+UPPER('0. Instruções'!$D$35&amp;"."&amp;VLOOKUP(B518,'0. Instruções'!$C$27:$D$32,2,FALSE))</f>
        <v>CD_LOAN_TAPES_BCE.LT003_ENTITY</v>
      </c>
      <c r="F518" s="32" t="str">
        <f>+UPPER('0. Instruções'!$D$36&amp;"."&amp;VLOOKUP(B518,'0. Instruções'!$C$27:$E$32,3,FALSE))</f>
        <v>BU_LOANTAPE_WORK.LT003_ENTITY</v>
      </c>
      <c r="H518" s="32"/>
      <c r="I518" s="32"/>
      <c r="J518" s="32" t="str">
        <f>IF(VLOOKUP(B518,'0. Instruções'!$C$27:$G$32,5,FALSE)=0,
"(SELECT "&amp;VLOOKUP(B518,'0. Instruções'!$C$27:$G$32,4,FALSE)&amp;" AS CHAVE_IT, "&amp;C518&amp;" AS CAMPO_IT FROM "&amp;E518&amp;" WHERE "&amp;'0. Instruções'!$D$43&amp;")X",
"(SELECT "&amp;VLOOKUP(B518,'0. Instruções'!$C$27:$G$32,4,FALSE)&amp;" AS CHAVE_IT1, "&amp;VLOOKUP(B518,'0. Instruções'!$C$27:$G$32,5,FALSE)&amp;" AS CHAVE_IT2, "&amp;C518&amp;" AS CAMPO_IT FROM "&amp;E518&amp;" WHERE "&amp;'0. Instruções'!$D$43&amp;")X")</f>
        <v>(SELECT entty_id AS CHAVE_IT, txnmy_elgbl_capex_w AS CAMPO_IT FROM CD_LOAN_TAPES_BCE.LT003_ENTITY WHERE ref_date='${ref_date}' AND nome_perimetro='Individual Local' AND segmento='ESTR' AND ambito='PM' AND entidade='00100')X</v>
      </c>
      <c r="K518" s="32" t="str">
        <f>IF(VLOOKUP(B518,'0. Instruções'!$C$27:$G$32,5,FALSE)=0,
"(SELECT "&amp;VLOOKUP(B518,'0. Instruções'!$C$27:$G$32,4,FALSE)&amp;" AS CHAVE_SIMUL, "&amp;C518&amp;" AS CAMPO_SIMUL FROM "&amp;F518&amp;" WHERE "&amp;'0. Instruções'!$D$42&amp;")Y",
"(SELECT "&amp;VLOOKUP(B518,'0. Instruções'!$C$27:$G$32,4,FALSE)&amp;" AS CHAVE_SIMUL1, "&amp;VLOOKUP(B518,'0. Instruções'!$C$27:$G$32,5,FALSE)&amp;" AS CHAVE_SIMUL2, "&amp;C518&amp;" AS CAMPO_SIMUL FROM "&amp;F518&amp;" WHERE "&amp;'0. Instruções'!$D$42&amp;")Y")</f>
        <v>(SELECT entty_id AS CHAVE_SIMUL, txnmy_elgbl_capex_w AS CAMPO_SIMUL FROM BU_LOANTAPE_WORK.LT003_ENTITY WHERE ref_date='${ref_date}' AND nome_perimetro='Individual Local' AND segmento='ESTR' AND ambito='PM' AND entidade='00100')Y</v>
      </c>
      <c r="L518" s="32" t="str">
        <f>IF(VLOOKUP(B518,'0. Instruções'!$C$27:$G$32,5,FALSE)=0,
"ON X.CHAVE_IT=Y.CHAVE_SIMUL",
"ON X.CHAVE_IT1=Y.CHAVE_SIMUL1 AND X.CHAVE_IT2=Y.CHAVE_SIMUL2")</f>
        <v>ON X.CHAVE_IT=Y.CHAVE_SIMUL</v>
      </c>
      <c r="M518" s="32" t="str">
        <f>+IF(D518="Coerência",+IF(LEFT(H518,5)="FLOAT","SELECT '"&amp;UPPER(B518)&amp;"' AS TABELA, '"&amp;UPPER(D518)&amp;"' AS TIPOLOGIA_TESTE,'"&amp;E518&amp;"' AS TABELA_LT,'"&amp;F518&amp;"' AS TABELA_SIMUL,'"&amp;C518&amp;"'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"&amp;J518&amp;" INNER JOIN "&amp;K518&amp;" "&amp;L518,"SELECT '"&amp;UPPER(B518)&amp;"' AS TABELA, '"&amp;UPPER(D518)&amp;"' AS TIPOLOGIA_TESTE,'"&amp;E518&amp;"' AS TABELA_LT,'"&amp;F518&amp;"' AS TABELA_SIMUL,'"&amp;C518&amp;"'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"&amp;J518&amp;" INNER JOIN "&amp;K518&amp;" "&amp;L518))</f>
        <v>SELECT 'ENTITY' AS TABELA, 'COERÊNCIA' AS TIPOLOGIA_TESTE,'CD_LOAN_TAPES_BCE.LT003_ENTITY' AS TABELA_LT,'BU_LOANTAPE_WORK.LT003_ENTITY' AS TABELA_SIMUL,'txnmy_elgbl_capex_w'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txnmy_elgbl_capex_w AS CAMPO_IT FROM CD_LOAN_TAPES_BCE.LT003_ENTITY WHERE ref_date='${ref_date}' AND nome_perimetro='Individual Local' AND segmento='ESTR' AND ambito='PM' AND entidade='00100')X INNER JOIN (SELECT entty_id AS CHAVE_SIMUL, txnmy_elgbl_capex_w AS CAMPO_SIMUL FROM BU_LOANTAPE_WORK.LT003_ENTITY WHERE ref_date='${ref_date}' AND nome_perimetro='Individual Local' AND segmento='ESTR' AND ambito='PM' AND entidade='00100')Y ON X.CHAVE_IT=Y.CHAVE_SIMUL</v>
      </c>
      <c r="N518" s="33" t="str">
        <f t="shared" si="17"/>
        <v>UNION ALL SELECT 'ENTITY' AS TABELA, 'COERÊNCIA' AS TIPOLOGIA_TESTE,'CD_LOAN_TAPES_BCE.LT003_ENTITY' AS TABELA_LT,'BU_LOANTAPE_WORK.LT003_ENTITY' AS TABELA_SIMUL,'txnmy_elgbl_capex_w'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txnmy_elgbl_capex_w AS CAMPO_IT FROM CD_LOAN_TAPES_BCE.LT003_ENTITY WHERE ref_date='${ref_date}' AND nome_perimetro='Individual Local' AND segmento='ESTR' AND ambito='PM' AND entidade='00100')X INNER JOIN (SELECT entty_id AS CHAVE_SIMUL, txnmy_elgbl_capex_w AS CAMPO_SIMUL FROM BU_LOANTAPE_WORK.LT003_ENTITY WHERE ref_date='${ref_date}' AND nome_perimetro='Individual Local' AND segmento='ESTR' AND ambito='PM' AND entidade='00100')Y ON X.CHAVE_IT=Y.CHAVE_SIMUL</v>
      </c>
      <c r="O518" s="35" t="s">
        <v>35</v>
      </c>
    </row>
    <row r="519" spans="1:15">
      <c r="A519" s="57" t="str">
        <f t="shared" si="16"/>
        <v>Entitytxnmy_elgbl_trnvr_w</v>
      </c>
      <c r="B519" s="32" t="s">
        <v>60</v>
      </c>
      <c r="C519" s="32" t="s">
        <v>180</v>
      </c>
      <c r="D519" s="32" t="s">
        <v>5</v>
      </c>
      <c r="E519" s="32" t="str">
        <f>+UPPER('0. Instruções'!$D$35&amp;"."&amp;VLOOKUP(B519,'0. Instruções'!$C$27:$D$32,2,FALSE))</f>
        <v>CD_LOAN_TAPES_BCE.LT003_ENTITY</v>
      </c>
      <c r="F519" s="32" t="str">
        <f>+UPPER('0. Instruções'!$D$36&amp;"."&amp;VLOOKUP(B519,'0. Instruções'!$C$27:$E$32,3,FALSE))</f>
        <v>BU_LOANTAPE_WORK.LT003_ENTITY</v>
      </c>
      <c r="H519" s="32"/>
      <c r="I519" s="32"/>
      <c r="J519" s="32" t="str">
        <f>IF(VLOOKUP(B519,'0. Instruções'!$C$27:$G$32,5,FALSE)=0,
"(SELECT "&amp;VLOOKUP(B519,'0. Instruções'!$C$27:$G$32,4,FALSE)&amp;" AS CHAVE_IT, "&amp;C519&amp;" AS CAMPO_IT FROM "&amp;E519&amp;" WHERE "&amp;'0. Instruções'!$D$43&amp;")X",
"(SELECT "&amp;VLOOKUP(B519,'0. Instruções'!$C$27:$G$32,4,FALSE)&amp;" AS CHAVE_IT1, "&amp;VLOOKUP(B519,'0. Instruções'!$C$27:$G$32,5,FALSE)&amp;" AS CHAVE_IT2, "&amp;C519&amp;" AS CAMPO_IT FROM "&amp;E519&amp;" WHERE "&amp;'0. Instruções'!$D$43&amp;")X")</f>
        <v>(SELECT entty_id AS CHAVE_IT, txnmy_elgbl_trnvr_w AS CAMPO_IT FROM CD_LOAN_TAPES_BCE.LT003_ENTITY WHERE ref_date='${ref_date}' AND nome_perimetro='Individual Local' AND segmento='ESTR' AND ambito='PM' AND entidade='00100')X</v>
      </c>
      <c r="K519" s="32" t="str">
        <f>IF(VLOOKUP(B519,'0. Instruções'!$C$27:$G$32,5,FALSE)=0,
"(SELECT "&amp;VLOOKUP(B519,'0. Instruções'!$C$27:$G$32,4,FALSE)&amp;" AS CHAVE_SIMUL, "&amp;C519&amp;" AS CAMPO_SIMUL FROM "&amp;F519&amp;" WHERE "&amp;'0. Instruções'!$D$42&amp;")Y",
"(SELECT "&amp;VLOOKUP(B519,'0. Instruções'!$C$27:$G$32,4,FALSE)&amp;" AS CHAVE_SIMUL1, "&amp;VLOOKUP(B519,'0. Instruções'!$C$27:$G$32,5,FALSE)&amp;" AS CHAVE_SIMUL2, "&amp;C519&amp;" AS CAMPO_SIMUL FROM "&amp;F519&amp;" WHERE "&amp;'0. Instruções'!$D$42&amp;")Y")</f>
        <v>(SELECT entty_id AS CHAVE_SIMUL, txnmy_elgbl_trnvr_w AS CAMPO_SIMUL FROM BU_LOANTAPE_WORK.LT003_ENTITY WHERE ref_date='${ref_date}' AND nome_perimetro='Individual Local' AND segmento='ESTR' AND ambito='PM' AND entidade='00100')Y</v>
      </c>
      <c r="L519" s="32" t="str">
        <f>IF(VLOOKUP(B519,'0. Instruções'!$C$27:$G$32,5,FALSE)=0,
"ON X.CHAVE_IT=Y.CHAVE_SIMUL",
"ON X.CHAVE_IT1=Y.CHAVE_SIMUL1 AND X.CHAVE_IT2=Y.CHAVE_SIMUL2")</f>
        <v>ON X.CHAVE_IT=Y.CHAVE_SIMUL</v>
      </c>
      <c r="M519" s="32" t="str">
        <f>+IF(D519="Coerência",+IF(LEFT(H519,5)="FLOAT","SELECT '"&amp;UPPER(B519)&amp;"' AS TABELA, '"&amp;UPPER(D519)&amp;"' AS TIPOLOGIA_TESTE,'"&amp;E519&amp;"' AS TABELA_LT,'"&amp;F519&amp;"' AS TABELA_SIMUL,'"&amp;C519&amp;"'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"&amp;J519&amp;" INNER JOIN "&amp;K519&amp;" "&amp;L519,"SELECT '"&amp;UPPER(B519)&amp;"' AS TABELA, '"&amp;UPPER(D519)&amp;"' AS TIPOLOGIA_TESTE,'"&amp;E519&amp;"' AS TABELA_LT,'"&amp;F519&amp;"' AS TABELA_SIMUL,'"&amp;C519&amp;"'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"&amp;J519&amp;" INNER JOIN "&amp;K519&amp;" "&amp;L519))</f>
        <v>SELECT 'ENTITY' AS TABELA, 'COERÊNCIA' AS TIPOLOGIA_TESTE,'CD_LOAN_TAPES_BCE.LT003_ENTITY' AS TABELA_LT,'BU_LOANTAPE_WORK.LT003_ENTITY' AS TABELA_SIMUL,'txnmy_elgbl_trnvr_w'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txnmy_elgbl_trnvr_w AS CAMPO_IT FROM CD_LOAN_TAPES_BCE.LT003_ENTITY WHERE ref_date='${ref_date}' AND nome_perimetro='Individual Local' AND segmento='ESTR' AND ambito='PM' AND entidade='00100')X INNER JOIN (SELECT entty_id AS CHAVE_SIMUL, txnmy_elgbl_trnvr_w AS CAMPO_SIMUL FROM BU_LOANTAPE_WORK.LT003_ENTITY WHERE ref_date='${ref_date}' AND nome_perimetro='Individual Local' AND segmento='ESTR' AND ambito='PM' AND entidade='00100')Y ON X.CHAVE_IT=Y.CHAVE_SIMUL</v>
      </c>
      <c r="N519" s="33" t="str">
        <f t="shared" si="17"/>
        <v>UNION ALL SELECT 'ENTITY' AS TABELA, 'COERÊNCIA' AS TIPOLOGIA_TESTE,'CD_LOAN_TAPES_BCE.LT003_ENTITY' AS TABELA_LT,'BU_LOANTAPE_WORK.LT003_ENTITY' AS TABELA_SIMUL,'txnmy_elgbl_trnvr_w'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txnmy_elgbl_trnvr_w AS CAMPO_IT FROM CD_LOAN_TAPES_BCE.LT003_ENTITY WHERE ref_date='${ref_date}' AND nome_perimetro='Individual Local' AND segmento='ESTR' AND ambito='PM' AND entidade='00100')X INNER JOIN (SELECT entty_id AS CHAVE_SIMUL, txnmy_elgbl_trnvr_w AS CAMPO_SIMUL FROM BU_LOANTAPE_WORK.LT003_ENTITY WHERE ref_date='${ref_date}' AND nome_perimetro='Individual Local' AND segmento='ESTR' AND ambito='PM' AND entidade='00100')Y ON X.CHAVE_IT=Y.CHAVE_SIMUL</v>
      </c>
      <c r="O519" s="35" t="s">
        <v>35</v>
      </c>
    </row>
    <row r="520" spans="1:15">
      <c r="A520" s="57" t="str">
        <f t="shared" si="16"/>
        <v>Entitytxnmy_elgbl_capex_p</v>
      </c>
      <c r="B520" s="32" t="s">
        <v>60</v>
      </c>
      <c r="C520" s="32" t="s">
        <v>181</v>
      </c>
      <c r="D520" s="32" t="s">
        <v>5</v>
      </c>
      <c r="E520" s="32" t="str">
        <f>+UPPER('0. Instruções'!$D$35&amp;"."&amp;VLOOKUP(B520,'0. Instruções'!$C$27:$D$32,2,FALSE))</f>
        <v>CD_LOAN_TAPES_BCE.LT003_ENTITY</v>
      </c>
      <c r="F520" s="32" t="str">
        <f>+UPPER('0. Instruções'!$D$36&amp;"."&amp;VLOOKUP(B520,'0. Instruções'!$C$27:$E$32,3,FALSE))</f>
        <v>BU_LOANTAPE_WORK.LT003_ENTITY</v>
      </c>
      <c r="H520" s="32"/>
      <c r="I520" s="32"/>
      <c r="J520" s="32" t="str">
        <f>IF(VLOOKUP(B520,'0. Instruções'!$C$27:$G$32,5,FALSE)=0,
"(SELECT "&amp;VLOOKUP(B520,'0. Instruções'!$C$27:$G$32,4,FALSE)&amp;" AS CHAVE_IT, "&amp;C520&amp;" AS CAMPO_IT FROM "&amp;E520&amp;" WHERE "&amp;'0. Instruções'!$D$43&amp;")X",
"(SELECT "&amp;VLOOKUP(B520,'0. Instruções'!$C$27:$G$32,4,FALSE)&amp;" AS CHAVE_IT1, "&amp;VLOOKUP(B520,'0. Instruções'!$C$27:$G$32,5,FALSE)&amp;" AS CHAVE_IT2, "&amp;C520&amp;" AS CAMPO_IT FROM "&amp;E520&amp;" WHERE "&amp;'0. Instruções'!$D$43&amp;")X")</f>
        <v>(SELECT entty_id AS CHAVE_IT, txnmy_elgbl_capex_p AS CAMPO_IT FROM CD_LOAN_TAPES_BCE.LT003_ENTITY WHERE ref_date='${ref_date}' AND nome_perimetro='Individual Local' AND segmento='ESTR' AND ambito='PM' AND entidade='00100')X</v>
      </c>
      <c r="K520" s="32" t="str">
        <f>IF(VLOOKUP(B520,'0. Instruções'!$C$27:$G$32,5,FALSE)=0,
"(SELECT "&amp;VLOOKUP(B520,'0. Instruções'!$C$27:$G$32,4,FALSE)&amp;" AS CHAVE_SIMUL, "&amp;C520&amp;" AS CAMPO_SIMUL FROM "&amp;F520&amp;" WHERE "&amp;'0. Instruções'!$D$42&amp;")Y",
"(SELECT "&amp;VLOOKUP(B520,'0. Instruções'!$C$27:$G$32,4,FALSE)&amp;" AS CHAVE_SIMUL1, "&amp;VLOOKUP(B520,'0. Instruções'!$C$27:$G$32,5,FALSE)&amp;" AS CHAVE_SIMUL2, "&amp;C520&amp;" AS CAMPO_SIMUL FROM "&amp;F520&amp;" WHERE "&amp;'0. Instruções'!$D$42&amp;")Y")</f>
        <v>(SELECT entty_id AS CHAVE_SIMUL, txnmy_elgbl_capex_p AS CAMPO_SIMUL FROM BU_LOANTAPE_WORK.LT003_ENTITY WHERE ref_date='${ref_date}' AND nome_perimetro='Individual Local' AND segmento='ESTR' AND ambito='PM' AND entidade='00100')Y</v>
      </c>
      <c r="L520" s="32" t="str">
        <f>IF(VLOOKUP(B520,'0. Instruções'!$C$27:$G$32,5,FALSE)=0,
"ON X.CHAVE_IT=Y.CHAVE_SIMUL",
"ON X.CHAVE_IT1=Y.CHAVE_SIMUL1 AND X.CHAVE_IT2=Y.CHAVE_SIMUL2")</f>
        <v>ON X.CHAVE_IT=Y.CHAVE_SIMUL</v>
      </c>
      <c r="M520" s="32" t="str">
        <f>+IF(D520="Coerência",+IF(LEFT(H520,5)="FLOAT","SELECT '"&amp;UPPER(B520)&amp;"' AS TABELA, '"&amp;UPPER(D520)&amp;"' AS TIPOLOGIA_TESTE,'"&amp;E520&amp;"' AS TABELA_LT,'"&amp;F520&amp;"' AS TABELA_SIMUL,'"&amp;C520&amp;"'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"&amp;J520&amp;" INNER JOIN "&amp;K520&amp;" "&amp;L520,"SELECT '"&amp;UPPER(B520)&amp;"' AS TABELA, '"&amp;UPPER(D520)&amp;"' AS TIPOLOGIA_TESTE,'"&amp;E520&amp;"' AS TABELA_LT,'"&amp;F520&amp;"' AS TABELA_SIMUL,'"&amp;C520&amp;"'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"&amp;J520&amp;" INNER JOIN "&amp;K520&amp;" "&amp;L520))</f>
        <v>SELECT 'ENTITY' AS TABELA, 'COERÊNCIA' AS TIPOLOGIA_TESTE,'CD_LOAN_TAPES_BCE.LT003_ENTITY' AS TABELA_LT,'BU_LOANTAPE_WORK.LT003_ENTITY' AS TABELA_SIMUL,'txnmy_elgbl_capex_p'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txnmy_elgbl_capex_p AS CAMPO_IT FROM CD_LOAN_TAPES_BCE.LT003_ENTITY WHERE ref_date='${ref_date}' AND nome_perimetro='Individual Local' AND segmento='ESTR' AND ambito='PM' AND entidade='00100')X INNER JOIN (SELECT entty_id AS CHAVE_SIMUL, txnmy_elgbl_capex_p AS CAMPO_SIMUL FROM BU_LOANTAPE_WORK.LT003_ENTITY WHERE ref_date='${ref_date}' AND nome_perimetro='Individual Local' AND segmento='ESTR' AND ambito='PM' AND entidade='00100')Y ON X.CHAVE_IT=Y.CHAVE_SIMUL</v>
      </c>
      <c r="N520" s="33" t="str">
        <f t="shared" si="17"/>
        <v>UNION ALL SELECT 'ENTITY' AS TABELA, 'COERÊNCIA' AS TIPOLOGIA_TESTE,'CD_LOAN_TAPES_BCE.LT003_ENTITY' AS TABELA_LT,'BU_LOANTAPE_WORK.LT003_ENTITY' AS TABELA_SIMUL,'txnmy_elgbl_capex_p'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txnmy_elgbl_capex_p AS CAMPO_IT FROM CD_LOAN_TAPES_BCE.LT003_ENTITY WHERE ref_date='${ref_date}' AND nome_perimetro='Individual Local' AND segmento='ESTR' AND ambito='PM' AND entidade='00100')X INNER JOIN (SELECT entty_id AS CHAVE_SIMUL, txnmy_elgbl_capex_p AS CAMPO_SIMUL FROM BU_LOANTAPE_WORK.LT003_ENTITY WHERE ref_date='${ref_date}' AND nome_perimetro='Individual Local' AND segmento='ESTR' AND ambito='PM' AND entidade='00100')Y ON X.CHAVE_IT=Y.CHAVE_SIMUL</v>
      </c>
      <c r="O520" s="35" t="s">
        <v>35</v>
      </c>
    </row>
    <row r="521" spans="1:15">
      <c r="A521" s="57" t="str">
        <f t="shared" ref="A521:A584" si="18">+B521&amp;C521</f>
        <v>Entitytxnmy_elgbl_trnvr_p</v>
      </c>
      <c r="B521" s="32" t="s">
        <v>60</v>
      </c>
      <c r="C521" s="32" t="s">
        <v>182</v>
      </c>
      <c r="D521" s="32" t="s">
        <v>5</v>
      </c>
      <c r="E521" s="32" t="str">
        <f>+UPPER('0. Instruções'!$D$35&amp;"."&amp;VLOOKUP(B521,'0. Instruções'!$C$27:$D$32,2,FALSE))</f>
        <v>CD_LOAN_TAPES_BCE.LT003_ENTITY</v>
      </c>
      <c r="F521" s="32" t="str">
        <f>+UPPER('0. Instruções'!$D$36&amp;"."&amp;VLOOKUP(B521,'0. Instruções'!$C$27:$E$32,3,FALSE))</f>
        <v>BU_LOANTAPE_WORK.LT003_ENTITY</v>
      </c>
      <c r="H521" s="32"/>
      <c r="I521" s="32"/>
      <c r="J521" s="32" t="str">
        <f>IF(VLOOKUP(B521,'0. Instruções'!$C$27:$G$32,5,FALSE)=0,
"(SELECT "&amp;VLOOKUP(B521,'0. Instruções'!$C$27:$G$32,4,FALSE)&amp;" AS CHAVE_IT, "&amp;C521&amp;" AS CAMPO_IT FROM "&amp;E521&amp;" WHERE "&amp;'0. Instruções'!$D$43&amp;")X",
"(SELECT "&amp;VLOOKUP(B521,'0. Instruções'!$C$27:$G$32,4,FALSE)&amp;" AS CHAVE_IT1, "&amp;VLOOKUP(B521,'0. Instruções'!$C$27:$G$32,5,FALSE)&amp;" AS CHAVE_IT2, "&amp;C521&amp;" AS CAMPO_IT FROM "&amp;E521&amp;" WHERE "&amp;'0. Instruções'!$D$43&amp;")X")</f>
        <v>(SELECT entty_id AS CHAVE_IT, txnmy_elgbl_trnvr_p AS CAMPO_IT FROM CD_LOAN_TAPES_BCE.LT003_ENTITY WHERE ref_date='${ref_date}' AND nome_perimetro='Individual Local' AND segmento='ESTR' AND ambito='PM' AND entidade='00100')X</v>
      </c>
      <c r="K521" s="32" t="str">
        <f>IF(VLOOKUP(B521,'0. Instruções'!$C$27:$G$32,5,FALSE)=0,
"(SELECT "&amp;VLOOKUP(B521,'0. Instruções'!$C$27:$G$32,4,FALSE)&amp;" AS CHAVE_SIMUL, "&amp;C521&amp;" AS CAMPO_SIMUL FROM "&amp;F521&amp;" WHERE "&amp;'0. Instruções'!$D$42&amp;")Y",
"(SELECT "&amp;VLOOKUP(B521,'0. Instruções'!$C$27:$G$32,4,FALSE)&amp;" AS CHAVE_SIMUL1, "&amp;VLOOKUP(B521,'0. Instruções'!$C$27:$G$32,5,FALSE)&amp;" AS CHAVE_SIMUL2, "&amp;C521&amp;" AS CAMPO_SIMUL FROM "&amp;F521&amp;" WHERE "&amp;'0. Instruções'!$D$42&amp;")Y")</f>
        <v>(SELECT entty_id AS CHAVE_SIMUL, txnmy_elgbl_trnvr_p AS CAMPO_SIMUL FROM BU_LOANTAPE_WORK.LT003_ENTITY WHERE ref_date='${ref_date}' AND nome_perimetro='Individual Local' AND segmento='ESTR' AND ambito='PM' AND entidade='00100')Y</v>
      </c>
      <c r="L521" s="32" t="str">
        <f>IF(VLOOKUP(B521,'0. Instruções'!$C$27:$G$32,5,FALSE)=0,
"ON X.CHAVE_IT=Y.CHAVE_SIMUL",
"ON X.CHAVE_IT1=Y.CHAVE_SIMUL1 AND X.CHAVE_IT2=Y.CHAVE_SIMUL2")</f>
        <v>ON X.CHAVE_IT=Y.CHAVE_SIMUL</v>
      </c>
      <c r="M521" s="32" t="str">
        <f>+IF(D521="Coerência",+IF(LEFT(H521,5)="FLOAT","SELECT '"&amp;UPPER(B521)&amp;"' AS TABELA, '"&amp;UPPER(D521)&amp;"' AS TIPOLOGIA_TESTE,'"&amp;E521&amp;"' AS TABELA_LT,'"&amp;F521&amp;"' AS TABELA_SIMUL,'"&amp;C521&amp;"'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"&amp;J521&amp;" INNER JOIN "&amp;K521&amp;" "&amp;L521,"SELECT '"&amp;UPPER(B521)&amp;"' AS TABELA, '"&amp;UPPER(D521)&amp;"' AS TIPOLOGIA_TESTE,'"&amp;E521&amp;"' AS TABELA_LT,'"&amp;F521&amp;"' AS TABELA_SIMUL,'"&amp;C521&amp;"'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"&amp;J521&amp;" INNER JOIN "&amp;K521&amp;" "&amp;L521))</f>
        <v>SELECT 'ENTITY' AS TABELA, 'COERÊNCIA' AS TIPOLOGIA_TESTE,'CD_LOAN_TAPES_BCE.LT003_ENTITY' AS TABELA_LT,'BU_LOANTAPE_WORK.LT003_ENTITY' AS TABELA_SIMUL,'txnmy_elgbl_trnvr_p'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txnmy_elgbl_trnvr_p AS CAMPO_IT FROM CD_LOAN_TAPES_BCE.LT003_ENTITY WHERE ref_date='${ref_date}' AND nome_perimetro='Individual Local' AND segmento='ESTR' AND ambito='PM' AND entidade='00100')X INNER JOIN (SELECT entty_id AS CHAVE_SIMUL, txnmy_elgbl_trnvr_p AS CAMPO_SIMUL FROM BU_LOANTAPE_WORK.LT003_ENTITY WHERE ref_date='${ref_date}' AND nome_perimetro='Individual Local' AND segmento='ESTR' AND ambito='PM' AND entidade='00100')Y ON X.CHAVE_IT=Y.CHAVE_SIMUL</v>
      </c>
      <c r="N521" s="33" t="str">
        <f t="shared" si="17"/>
        <v>UNION ALL SELECT 'ENTITY' AS TABELA, 'COERÊNCIA' AS TIPOLOGIA_TESTE,'CD_LOAN_TAPES_BCE.LT003_ENTITY' AS TABELA_LT,'BU_LOANTAPE_WORK.LT003_ENTITY' AS TABELA_SIMUL,'txnmy_elgbl_trnvr_p'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txnmy_elgbl_trnvr_p AS CAMPO_IT FROM CD_LOAN_TAPES_BCE.LT003_ENTITY WHERE ref_date='${ref_date}' AND nome_perimetro='Individual Local' AND segmento='ESTR' AND ambito='PM' AND entidade='00100')X INNER JOIN (SELECT entty_id AS CHAVE_SIMUL, txnmy_elgbl_trnvr_p AS CAMPO_SIMUL FROM BU_LOANTAPE_WORK.LT003_ENTITY WHERE ref_date='${ref_date}' AND nome_perimetro='Individual Local' AND segmento='ESTR' AND ambito='PM' AND entidade='00100')Y ON X.CHAVE_IT=Y.CHAVE_SIMUL</v>
      </c>
      <c r="O521" s="35" t="s">
        <v>35</v>
      </c>
    </row>
    <row r="522" spans="1:15">
      <c r="A522" s="57" t="str">
        <f t="shared" si="18"/>
        <v>Entitytxnmy_elgbl_capex_b</v>
      </c>
      <c r="B522" s="32" t="s">
        <v>60</v>
      </c>
      <c r="C522" s="32" t="s">
        <v>183</v>
      </c>
      <c r="D522" s="32" t="s">
        <v>5</v>
      </c>
      <c r="E522" s="32" t="str">
        <f>+UPPER('0. Instruções'!$D$35&amp;"."&amp;VLOOKUP(B522,'0. Instruções'!$C$27:$D$32,2,FALSE))</f>
        <v>CD_LOAN_TAPES_BCE.LT003_ENTITY</v>
      </c>
      <c r="F522" s="32" t="str">
        <f>+UPPER('0. Instruções'!$D$36&amp;"."&amp;VLOOKUP(B522,'0. Instruções'!$C$27:$E$32,3,FALSE))</f>
        <v>BU_LOANTAPE_WORK.LT003_ENTITY</v>
      </c>
      <c r="H522" s="32"/>
      <c r="I522" s="32"/>
      <c r="J522" s="32" t="str">
        <f>IF(VLOOKUP(B522,'0. Instruções'!$C$27:$G$32,5,FALSE)=0,
"(SELECT "&amp;VLOOKUP(B522,'0. Instruções'!$C$27:$G$32,4,FALSE)&amp;" AS CHAVE_IT, "&amp;C522&amp;" AS CAMPO_IT FROM "&amp;E522&amp;" WHERE "&amp;'0. Instruções'!$D$43&amp;")X",
"(SELECT "&amp;VLOOKUP(B522,'0. Instruções'!$C$27:$G$32,4,FALSE)&amp;" AS CHAVE_IT1, "&amp;VLOOKUP(B522,'0. Instruções'!$C$27:$G$32,5,FALSE)&amp;" AS CHAVE_IT2, "&amp;C522&amp;" AS CAMPO_IT FROM "&amp;E522&amp;" WHERE "&amp;'0. Instruções'!$D$43&amp;")X")</f>
        <v>(SELECT entty_id AS CHAVE_IT, txnmy_elgbl_capex_b AS CAMPO_IT FROM CD_LOAN_TAPES_BCE.LT003_ENTITY WHERE ref_date='${ref_date}' AND nome_perimetro='Individual Local' AND segmento='ESTR' AND ambito='PM' AND entidade='00100')X</v>
      </c>
      <c r="K522" s="32" t="str">
        <f>IF(VLOOKUP(B522,'0. Instruções'!$C$27:$G$32,5,FALSE)=0,
"(SELECT "&amp;VLOOKUP(B522,'0. Instruções'!$C$27:$G$32,4,FALSE)&amp;" AS CHAVE_SIMUL, "&amp;C522&amp;" AS CAMPO_SIMUL FROM "&amp;F522&amp;" WHERE "&amp;'0. Instruções'!$D$42&amp;")Y",
"(SELECT "&amp;VLOOKUP(B522,'0. Instruções'!$C$27:$G$32,4,FALSE)&amp;" AS CHAVE_SIMUL1, "&amp;VLOOKUP(B522,'0. Instruções'!$C$27:$G$32,5,FALSE)&amp;" AS CHAVE_SIMUL2, "&amp;C522&amp;" AS CAMPO_SIMUL FROM "&amp;F522&amp;" WHERE "&amp;'0. Instruções'!$D$42&amp;")Y")</f>
        <v>(SELECT entty_id AS CHAVE_SIMUL, txnmy_elgbl_capex_b AS CAMPO_SIMUL FROM BU_LOANTAPE_WORK.LT003_ENTITY WHERE ref_date='${ref_date}' AND nome_perimetro='Individual Local' AND segmento='ESTR' AND ambito='PM' AND entidade='00100')Y</v>
      </c>
      <c r="L522" s="32" t="str">
        <f>IF(VLOOKUP(B522,'0. Instruções'!$C$27:$G$32,5,FALSE)=0,
"ON X.CHAVE_IT=Y.CHAVE_SIMUL",
"ON X.CHAVE_IT1=Y.CHAVE_SIMUL1 AND X.CHAVE_IT2=Y.CHAVE_SIMUL2")</f>
        <v>ON X.CHAVE_IT=Y.CHAVE_SIMUL</v>
      </c>
      <c r="M522" s="32" t="str">
        <f>+IF(D522="Coerência",+IF(LEFT(H522,5)="FLOAT","SELECT '"&amp;UPPER(B522)&amp;"' AS TABELA, '"&amp;UPPER(D522)&amp;"' AS TIPOLOGIA_TESTE,'"&amp;E522&amp;"' AS TABELA_LT,'"&amp;F522&amp;"' AS TABELA_SIMUL,'"&amp;C522&amp;"'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"&amp;J522&amp;" INNER JOIN "&amp;K522&amp;" "&amp;L522,"SELECT '"&amp;UPPER(B522)&amp;"' AS TABELA, '"&amp;UPPER(D522)&amp;"' AS TIPOLOGIA_TESTE,'"&amp;E522&amp;"' AS TABELA_LT,'"&amp;F522&amp;"' AS TABELA_SIMUL,'"&amp;C522&amp;"'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"&amp;J522&amp;" INNER JOIN "&amp;K522&amp;" "&amp;L522))</f>
        <v>SELECT 'ENTITY' AS TABELA, 'COERÊNCIA' AS TIPOLOGIA_TESTE,'CD_LOAN_TAPES_BCE.LT003_ENTITY' AS TABELA_LT,'BU_LOANTAPE_WORK.LT003_ENTITY' AS TABELA_SIMUL,'txnmy_elgbl_capex_b'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txnmy_elgbl_capex_b AS CAMPO_IT FROM CD_LOAN_TAPES_BCE.LT003_ENTITY WHERE ref_date='${ref_date}' AND nome_perimetro='Individual Local' AND segmento='ESTR' AND ambito='PM' AND entidade='00100')X INNER JOIN (SELECT entty_id AS CHAVE_SIMUL, txnmy_elgbl_capex_b AS CAMPO_SIMUL FROM BU_LOANTAPE_WORK.LT003_ENTITY WHERE ref_date='${ref_date}' AND nome_perimetro='Individual Local' AND segmento='ESTR' AND ambito='PM' AND entidade='00100')Y ON X.CHAVE_IT=Y.CHAVE_SIMUL</v>
      </c>
      <c r="N522" s="33" t="str">
        <f t="shared" si="17"/>
        <v>UNION ALL SELECT 'ENTITY' AS TABELA, 'COERÊNCIA' AS TIPOLOGIA_TESTE,'CD_LOAN_TAPES_BCE.LT003_ENTITY' AS TABELA_LT,'BU_LOANTAPE_WORK.LT003_ENTITY' AS TABELA_SIMUL,'txnmy_elgbl_capex_b'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txnmy_elgbl_capex_b AS CAMPO_IT FROM CD_LOAN_TAPES_BCE.LT003_ENTITY WHERE ref_date='${ref_date}' AND nome_perimetro='Individual Local' AND segmento='ESTR' AND ambito='PM' AND entidade='00100')X INNER JOIN (SELECT entty_id AS CHAVE_SIMUL, txnmy_elgbl_capex_b AS CAMPO_SIMUL FROM BU_LOANTAPE_WORK.LT003_ENTITY WHERE ref_date='${ref_date}' AND nome_perimetro='Individual Local' AND segmento='ESTR' AND ambito='PM' AND entidade='00100')Y ON X.CHAVE_IT=Y.CHAVE_SIMUL</v>
      </c>
      <c r="O522" s="35" t="s">
        <v>35</v>
      </c>
    </row>
    <row r="523" spans="1:15">
      <c r="A523" s="57" t="str">
        <f t="shared" si="18"/>
        <v>Entitytxnmy_elgbl_trnvr_b</v>
      </c>
      <c r="B523" s="32" t="s">
        <v>60</v>
      </c>
      <c r="C523" s="32" t="s">
        <v>184</v>
      </c>
      <c r="D523" s="32" t="s">
        <v>5</v>
      </c>
      <c r="E523" s="32" t="str">
        <f>+UPPER('0. Instruções'!$D$35&amp;"."&amp;VLOOKUP(B523,'0. Instruções'!$C$27:$D$32,2,FALSE))</f>
        <v>CD_LOAN_TAPES_BCE.LT003_ENTITY</v>
      </c>
      <c r="F523" s="32" t="str">
        <f>+UPPER('0. Instruções'!$D$36&amp;"."&amp;VLOOKUP(B523,'0. Instruções'!$C$27:$E$32,3,FALSE))</f>
        <v>BU_LOANTAPE_WORK.LT003_ENTITY</v>
      </c>
      <c r="H523" s="32"/>
      <c r="I523" s="32"/>
      <c r="J523" s="32" t="str">
        <f>IF(VLOOKUP(B523,'0. Instruções'!$C$27:$G$32,5,FALSE)=0,
"(SELECT "&amp;VLOOKUP(B523,'0. Instruções'!$C$27:$G$32,4,FALSE)&amp;" AS CHAVE_IT, "&amp;C523&amp;" AS CAMPO_IT FROM "&amp;E523&amp;" WHERE "&amp;'0. Instruções'!$D$43&amp;")X",
"(SELECT "&amp;VLOOKUP(B523,'0. Instruções'!$C$27:$G$32,4,FALSE)&amp;" AS CHAVE_IT1, "&amp;VLOOKUP(B523,'0. Instruções'!$C$27:$G$32,5,FALSE)&amp;" AS CHAVE_IT2, "&amp;C523&amp;" AS CAMPO_IT FROM "&amp;E523&amp;" WHERE "&amp;'0. Instruções'!$D$43&amp;")X")</f>
        <v>(SELECT entty_id AS CHAVE_IT, txnmy_elgbl_trnvr_b AS CAMPO_IT FROM CD_LOAN_TAPES_BCE.LT003_ENTITY WHERE ref_date='${ref_date}' AND nome_perimetro='Individual Local' AND segmento='ESTR' AND ambito='PM' AND entidade='00100')X</v>
      </c>
      <c r="K523" s="32" t="str">
        <f>IF(VLOOKUP(B523,'0. Instruções'!$C$27:$G$32,5,FALSE)=0,
"(SELECT "&amp;VLOOKUP(B523,'0. Instruções'!$C$27:$G$32,4,FALSE)&amp;" AS CHAVE_SIMUL, "&amp;C523&amp;" AS CAMPO_SIMUL FROM "&amp;F523&amp;" WHERE "&amp;'0. Instruções'!$D$42&amp;")Y",
"(SELECT "&amp;VLOOKUP(B523,'0. Instruções'!$C$27:$G$32,4,FALSE)&amp;" AS CHAVE_SIMUL1, "&amp;VLOOKUP(B523,'0. Instruções'!$C$27:$G$32,5,FALSE)&amp;" AS CHAVE_SIMUL2, "&amp;C523&amp;" AS CAMPO_SIMUL FROM "&amp;F523&amp;" WHERE "&amp;'0. Instruções'!$D$42&amp;")Y")</f>
        <v>(SELECT entty_id AS CHAVE_SIMUL, txnmy_elgbl_trnvr_b AS CAMPO_SIMUL FROM BU_LOANTAPE_WORK.LT003_ENTITY WHERE ref_date='${ref_date}' AND nome_perimetro='Individual Local' AND segmento='ESTR' AND ambito='PM' AND entidade='00100')Y</v>
      </c>
      <c r="L523" s="32" t="str">
        <f>IF(VLOOKUP(B523,'0. Instruções'!$C$27:$G$32,5,FALSE)=0,
"ON X.CHAVE_IT=Y.CHAVE_SIMUL",
"ON X.CHAVE_IT1=Y.CHAVE_SIMUL1 AND X.CHAVE_IT2=Y.CHAVE_SIMUL2")</f>
        <v>ON X.CHAVE_IT=Y.CHAVE_SIMUL</v>
      </c>
      <c r="M523" s="32" t="str">
        <f>+IF(D523="Coerência",+IF(LEFT(H523,5)="FLOAT","SELECT '"&amp;UPPER(B523)&amp;"' AS TABELA, '"&amp;UPPER(D523)&amp;"' AS TIPOLOGIA_TESTE,'"&amp;E523&amp;"' AS TABELA_LT,'"&amp;F523&amp;"' AS TABELA_SIMUL,'"&amp;C523&amp;"'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"&amp;J523&amp;" INNER JOIN "&amp;K523&amp;" "&amp;L523,"SELECT '"&amp;UPPER(B523)&amp;"' AS TABELA, '"&amp;UPPER(D523)&amp;"' AS TIPOLOGIA_TESTE,'"&amp;E523&amp;"' AS TABELA_LT,'"&amp;F523&amp;"' AS TABELA_SIMUL,'"&amp;C523&amp;"'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"&amp;J523&amp;" INNER JOIN "&amp;K523&amp;" "&amp;L523))</f>
        <v>SELECT 'ENTITY' AS TABELA, 'COERÊNCIA' AS TIPOLOGIA_TESTE,'CD_LOAN_TAPES_BCE.LT003_ENTITY' AS TABELA_LT,'BU_LOANTAPE_WORK.LT003_ENTITY' AS TABELA_SIMUL,'txnmy_elgbl_trnvr_b'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txnmy_elgbl_trnvr_b AS CAMPO_IT FROM CD_LOAN_TAPES_BCE.LT003_ENTITY WHERE ref_date='${ref_date}' AND nome_perimetro='Individual Local' AND segmento='ESTR' AND ambito='PM' AND entidade='00100')X INNER JOIN (SELECT entty_id AS CHAVE_SIMUL, txnmy_elgbl_trnvr_b AS CAMPO_SIMUL FROM BU_LOANTAPE_WORK.LT003_ENTITY WHERE ref_date='${ref_date}' AND nome_perimetro='Individual Local' AND segmento='ESTR' AND ambito='PM' AND entidade='00100')Y ON X.CHAVE_IT=Y.CHAVE_SIMUL</v>
      </c>
      <c r="N523" s="33" t="str">
        <f t="shared" si="17"/>
        <v>UNION ALL SELECT 'ENTITY' AS TABELA, 'COERÊNCIA' AS TIPOLOGIA_TESTE,'CD_LOAN_TAPES_BCE.LT003_ENTITY' AS TABELA_LT,'BU_LOANTAPE_WORK.LT003_ENTITY' AS TABELA_SIMUL,'txnmy_elgbl_trnvr_b'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txnmy_elgbl_trnvr_b AS CAMPO_IT FROM CD_LOAN_TAPES_BCE.LT003_ENTITY WHERE ref_date='${ref_date}' AND nome_perimetro='Individual Local' AND segmento='ESTR' AND ambito='PM' AND entidade='00100')X INNER JOIN (SELECT entty_id AS CHAVE_SIMUL, txnmy_elgbl_trnvr_b AS CAMPO_SIMUL FROM BU_LOANTAPE_WORK.LT003_ENTITY WHERE ref_date='${ref_date}' AND nome_perimetro='Individual Local' AND segmento='ESTR' AND ambito='PM' AND entidade='00100')Y ON X.CHAVE_IT=Y.CHAVE_SIMUL</v>
      </c>
      <c r="O523" s="35" t="s">
        <v>35</v>
      </c>
    </row>
    <row r="524" spans="1:15">
      <c r="A524" s="57" t="str">
        <f t="shared" si="18"/>
        <v>Entitytxnmy_elgbl_capex_ce</v>
      </c>
      <c r="B524" s="32" t="s">
        <v>60</v>
      </c>
      <c r="C524" s="32" t="s">
        <v>185</v>
      </c>
      <c r="D524" s="32" t="s">
        <v>5</v>
      </c>
      <c r="E524" s="32" t="str">
        <f>+UPPER('0. Instruções'!$D$35&amp;"."&amp;VLOOKUP(B524,'0. Instruções'!$C$27:$D$32,2,FALSE))</f>
        <v>CD_LOAN_TAPES_BCE.LT003_ENTITY</v>
      </c>
      <c r="F524" s="32" t="str">
        <f>+UPPER('0. Instruções'!$D$36&amp;"."&amp;VLOOKUP(B524,'0. Instruções'!$C$27:$E$32,3,FALSE))</f>
        <v>BU_LOANTAPE_WORK.LT003_ENTITY</v>
      </c>
      <c r="H524" s="32"/>
      <c r="I524" s="32"/>
      <c r="J524" s="32" t="str">
        <f>IF(VLOOKUP(B524,'0. Instruções'!$C$27:$G$32,5,FALSE)=0,
"(SELECT "&amp;VLOOKUP(B524,'0. Instruções'!$C$27:$G$32,4,FALSE)&amp;" AS CHAVE_IT, "&amp;C524&amp;" AS CAMPO_IT FROM "&amp;E524&amp;" WHERE "&amp;'0. Instruções'!$D$43&amp;")X",
"(SELECT "&amp;VLOOKUP(B524,'0. Instruções'!$C$27:$G$32,4,FALSE)&amp;" AS CHAVE_IT1, "&amp;VLOOKUP(B524,'0. Instruções'!$C$27:$G$32,5,FALSE)&amp;" AS CHAVE_IT2, "&amp;C524&amp;" AS CAMPO_IT FROM "&amp;E524&amp;" WHERE "&amp;'0. Instruções'!$D$43&amp;")X")</f>
        <v>(SELECT entty_id AS CHAVE_IT, txnmy_elgbl_capex_ce AS CAMPO_IT FROM CD_LOAN_TAPES_BCE.LT003_ENTITY WHERE ref_date='${ref_date}' AND nome_perimetro='Individual Local' AND segmento='ESTR' AND ambito='PM' AND entidade='00100')X</v>
      </c>
      <c r="K524" s="32" t="str">
        <f>IF(VLOOKUP(B524,'0. Instruções'!$C$27:$G$32,5,FALSE)=0,
"(SELECT "&amp;VLOOKUP(B524,'0. Instruções'!$C$27:$G$32,4,FALSE)&amp;" AS CHAVE_SIMUL, "&amp;C524&amp;" AS CAMPO_SIMUL FROM "&amp;F524&amp;" WHERE "&amp;'0. Instruções'!$D$42&amp;")Y",
"(SELECT "&amp;VLOOKUP(B524,'0. Instruções'!$C$27:$G$32,4,FALSE)&amp;" AS CHAVE_SIMUL1, "&amp;VLOOKUP(B524,'0. Instruções'!$C$27:$G$32,5,FALSE)&amp;" AS CHAVE_SIMUL2, "&amp;C524&amp;" AS CAMPO_SIMUL FROM "&amp;F524&amp;" WHERE "&amp;'0. Instruções'!$D$42&amp;")Y")</f>
        <v>(SELECT entty_id AS CHAVE_SIMUL, txnmy_elgbl_capex_ce AS CAMPO_SIMUL FROM BU_LOANTAPE_WORK.LT003_ENTITY WHERE ref_date='${ref_date}' AND nome_perimetro='Individual Local' AND segmento='ESTR' AND ambito='PM' AND entidade='00100')Y</v>
      </c>
      <c r="L524" s="32" t="str">
        <f>IF(VLOOKUP(B524,'0. Instruções'!$C$27:$G$32,5,FALSE)=0,
"ON X.CHAVE_IT=Y.CHAVE_SIMUL",
"ON X.CHAVE_IT1=Y.CHAVE_SIMUL1 AND X.CHAVE_IT2=Y.CHAVE_SIMUL2")</f>
        <v>ON X.CHAVE_IT=Y.CHAVE_SIMUL</v>
      </c>
      <c r="M524" s="32" t="str">
        <f>+IF(D524="Coerência",+IF(LEFT(H524,5)="FLOAT","SELECT '"&amp;UPPER(B524)&amp;"' AS TABELA, '"&amp;UPPER(D524)&amp;"' AS TIPOLOGIA_TESTE,'"&amp;E524&amp;"' AS TABELA_LT,'"&amp;F524&amp;"' AS TABELA_SIMUL,'"&amp;C524&amp;"'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"&amp;J524&amp;" INNER JOIN "&amp;K524&amp;" "&amp;L524,"SELECT '"&amp;UPPER(B524)&amp;"' AS TABELA, '"&amp;UPPER(D524)&amp;"' AS TIPOLOGIA_TESTE,'"&amp;E524&amp;"' AS TABELA_LT,'"&amp;F524&amp;"' AS TABELA_SIMUL,'"&amp;C524&amp;"'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"&amp;J524&amp;" INNER JOIN "&amp;K524&amp;" "&amp;L524))</f>
        <v>SELECT 'ENTITY' AS TABELA, 'COERÊNCIA' AS TIPOLOGIA_TESTE,'CD_LOAN_TAPES_BCE.LT003_ENTITY' AS TABELA_LT,'BU_LOANTAPE_WORK.LT003_ENTITY' AS TABELA_SIMUL,'txnmy_elgbl_capex_ce'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txnmy_elgbl_capex_ce AS CAMPO_IT FROM CD_LOAN_TAPES_BCE.LT003_ENTITY WHERE ref_date='${ref_date}' AND nome_perimetro='Individual Local' AND segmento='ESTR' AND ambito='PM' AND entidade='00100')X INNER JOIN (SELECT entty_id AS CHAVE_SIMUL, txnmy_elgbl_capex_ce AS CAMPO_SIMUL FROM BU_LOANTAPE_WORK.LT003_ENTITY WHERE ref_date='${ref_date}' AND nome_perimetro='Individual Local' AND segmento='ESTR' AND ambito='PM' AND entidade='00100')Y ON X.CHAVE_IT=Y.CHAVE_SIMUL</v>
      </c>
      <c r="N524" s="33" t="str">
        <f t="shared" si="17"/>
        <v>UNION ALL SELECT 'ENTITY' AS TABELA, 'COERÊNCIA' AS TIPOLOGIA_TESTE,'CD_LOAN_TAPES_BCE.LT003_ENTITY' AS TABELA_LT,'BU_LOANTAPE_WORK.LT003_ENTITY' AS TABELA_SIMUL,'txnmy_elgbl_capex_ce'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txnmy_elgbl_capex_ce AS CAMPO_IT FROM CD_LOAN_TAPES_BCE.LT003_ENTITY WHERE ref_date='${ref_date}' AND nome_perimetro='Individual Local' AND segmento='ESTR' AND ambito='PM' AND entidade='00100')X INNER JOIN (SELECT entty_id AS CHAVE_SIMUL, txnmy_elgbl_capex_ce AS CAMPO_SIMUL FROM BU_LOANTAPE_WORK.LT003_ENTITY WHERE ref_date='${ref_date}' AND nome_perimetro='Individual Local' AND segmento='ESTR' AND ambito='PM' AND entidade='00100')Y ON X.CHAVE_IT=Y.CHAVE_SIMUL</v>
      </c>
      <c r="O524" s="35" t="s">
        <v>35</v>
      </c>
    </row>
    <row r="525" spans="1:15">
      <c r="A525" s="57" t="str">
        <f t="shared" si="18"/>
        <v>Entitytxnmy_elgbl_trnvr_ce</v>
      </c>
      <c r="B525" s="32" t="s">
        <v>60</v>
      </c>
      <c r="C525" s="32" t="s">
        <v>186</v>
      </c>
      <c r="D525" s="32" t="s">
        <v>5</v>
      </c>
      <c r="E525" s="32" t="str">
        <f>+UPPER('0. Instruções'!$D$35&amp;"."&amp;VLOOKUP(B525,'0. Instruções'!$C$27:$D$32,2,FALSE))</f>
        <v>CD_LOAN_TAPES_BCE.LT003_ENTITY</v>
      </c>
      <c r="F525" s="32" t="str">
        <f>+UPPER('0. Instruções'!$D$36&amp;"."&amp;VLOOKUP(B525,'0. Instruções'!$C$27:$E$32,3,FALSE))</f>
        <v>BU_LOANTAPE_WORK.LT003_ENTITY</v>
      </c>
      <c r="H525" s="32"/>
      <c r="I525" s="32"/>
      <c r="J525" s="32" t="str">
        <f>IF(VLOOKUP(B525,'0. Instruções'!$C$27:$G$32,5,FALSE)=0,
"(SELECT "&amp;VLOOKUP(B525,'0. Instruções'!$C$27:$G$32,4,FALSE)&amp;" AS CHAVE_IT, "&amp;C525&amp;" AS CAMPO_IT FROM "&amp;E525&amp;" WHERE "&amp;'0. Instruções'!$D$43&amp;")X",
"(SELECT "&amp;VLOOKUP(B525,'0. Instruções'!$C$27:$G$32,4,FALSE)&amp;" AS CHAVE_IT1, "&amp;VLOOKUP(B525,'0. Instruções'!$C$27:$G$32,5,FALSE)&amp;" AS CHAVE_IT2, "&amp;C525&amp;" AS CAMPO_IT FROM "&amp;E525&amp;" WHERE "&amp;'0. Instruções'!$D$43&amp;")X")</f>
        <v>(SELECT entty_id AS CHAVE_IT, txnmy_elgbl_trnvr_ce AS CAMPO_IT FROM CD_LOAN_TAPES_BCE.LT003_ENTITY WHERE ref_date='${ref_date}' AND nome_perimetro='Individual Local' AND segmento='ESTR' AND ambito='PM' AND entidade='00100')X</v>
      </c>
      <c r="K525" s="32" t="str">
        <f>IF(VLOOKUP(B525,'0. Instruções'!$C$27:$G$32,5,FALSE)=0,
"(SELECT "&amp;VLOOKUP(B525,'0. Instruções'!$C$27:$G$32,4,FALSE)&amp;" AS CHAVE_SIMUL, "&amp;C525&amp;" AS CAMPO_SIMUL FROM "&amp;F525&amp;" WHERE "&amp;'0. Instruções'!$D$42&amp;")Y",
"(SELECT "&amp;VLOOKUP(B525,'0. Instruções'!$C$27:$G$32,4,FALSE)&amp;" AS CHAVE_SIMUL1, "&amp;VLOOKUP(B525,'0. Instruções'!$C$27:$G$32,5,FALSE)&amp;" AS CHAVE_SIMUL2, "&amp;C525&amp;" AS CAMPO_SIMUL FROM "&amp;F525&amp;" WHERE "&amp;'0. Instruções'!$D$42&amp;")Y")</f>
        <v>(SELECT entty_id AS CHAVE_SIMUL, txnmy_elgbl_trnvr_ce AS CAMPO_SIMUL FROM BU_LOANTAPE_WORK.LT003_ENTITY WHERE ref_date='${ref_date}' AND nome_perimetro='Individual Local' AND segmento='ESTR' AND ambito='PM' AND entidade='00100')Y</v>
      </c>
      <c r="L525" s="32" t="str">
        <f>IF(VLOOKUP(B525,'0. Instruções'!$C$27:$G$32,5,FALSE)=0,
"ON X.CHAVE_IT=Y.CHAVE_SIMUL",
"ON X.CHAVE_IT1=Y.CHAVE_SIMUL1 AND X.CHAVE_IT2=Y.CHAVE_SIMUL2")</f>
        <v>ON X.CHAVE_IT=Y.CHAVE_SIMUL</v>
      </c>
      <c r="M525" s="32" t="str">
        <f>+IF(D525="Coerência",+IF(LEFT(H525,5)="FLOAT","SELECT '"&amp;UPPER(B525)&amp;"' AS TABELA, '"&amp;UPPER(D525)&amp;"' AS TIPOLOGIA_TESTE,'"&amp;E525&amp;"' AS TABELA_LT,'"&amp;F525&amp;"' AS TABELA_SIMUL,'"&amp;C525&amp;"'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"&amp;J525&amp;" INNER JOIN "&amp;K525&amp;" "&amp;L525,"SELECT '"&amp;UPPER(B525)&amp;"' AS TABELA, '"&amp;UPPER(D525)&amp;"' AS TIPOLOGIA_TESTE,'"&amp;E525&amp;"' AS TABELA_LT,'"&amp;F525&amp;"' AS TABELA_SIMUL,'"&amp;C525&amp;"'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"&amp;J525&amp;" INNER JOIN "&amp;K525&amp;" "&amp;L525))</f>
        <v>SELECT 'ENTITY' AS TABELA, 'COERÊNCIA' AS TIPOLOGIA_TESTE,'CD_LOAN_TAPES_BCE.LT003_ENTITY' AS TABELA_LT,'BU_LOANTAPE_WORK.LT003_ENTITY' AS TABELA_SIMUL,'txnmy_elgbl_trnvr_ce'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txnmy_elgbl_trnvr_ce AS CAMPO_IT FROM CD_LOAN_TAPES_BCE.LT003_ENTITY WHERE ref_date='${ref_date}' AND nome_perimetro='Individual Local' AND segmento='ESTR' AND ambito='PM' AND entidade='00100')X INNER JOIN (SELECT entty_id AS CHAVE_SIMUL, txnmy_elgbl_trnvr_ce AS CAMPO_SIMUL FROM BU_LOANTAPE_WORK.LT003_ENTITY WHERE ref_date='${ref_date}' AND nome_perimetro='Individual Local' AND segmento='ESTR' AND ambito='PM' AND entidade='00100')Y ON X.CHAVE_IT=Y.CHAVE_SIMUL</v>
      </c>
      <c r="N525" s="33" t="str">
        <f t="shared" si="17"/>
        <v>UNION ALL SELECT 'ENTITY' AS TABELA, 'COERÊNCIA' AS TIPOLOGIA_TESTE,'CD_LOAN_TAPES_BCE.LT003_ENTITY' AS TABELA_LT,'BU_LOANTAPE_WORK.LT003_ENTITY' AS TABELA_SIMUL,'txnmy_elgbl_trnvr_ce'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txnmy_elgbl_trnvr_ce AS CAMPO_IT FROM CD_LOAN_TAPES_BCE.LT003_ENTITY WHERE ref_date='${ref_date}' AND nome_perimetro='Individual Local' AND segmento='ESTR' AND ambito='PM' AND entidade='00100')X INNER JOIN (SELECT entty_id AS CHAVE_SIMUL, txnmy_elgbl_trnvr_ce AS CAMPO_SIMUL FROM BU_LOANTAPE_WORK.LT003_ENTITY WHERE ref_date='${ref_date}' AND nome_perimetro='Individual Local' AND segmento='ESTR' AND ambito='PM' AND entidade='00100')Y ON X.CHAVE_IT=Y.CHAVE_SIMUL</v>
      </c>
      <c r="O525" s="35" t="s">
        <v>35</v>
      </c>
    </row>
    <row r="526" spans="1:15">
      <c r="A526" s="57" t="str">
        <f t="shared" si="18"/>
        <v>Entitypure_capex_p</v>
      </c>
      <c r="B526" s="32" t="s">
        <v>60</v>
      </c>
      <c r="C526" s="32" t="s">
        <v>187</v>
      </c>
      <c r="D526" s="32" t="s">
        <v>5</v>
      </c>
      <c r="E526" s="32" t="str">
        <f>+UPPER('0. Instruções'!$D$35&amp;"."&amp;VLOOKUP(B526,'0. Instruções'!$C$27:$D$32,2,FALSE))</f>
        <v>CD_LOAN_TAPES_BCE.LT003_ENTITY</v>
      </c>
      <c r="F526" s="32" t="str">
        <f>+UPPER('0. Instruções'!$D$36&amp;"."&amp;VLOOKUP(B526,'0. Instruções'!$C$27:$E$32,3,FALSE))</f>
        <v>BU_LOANTAPE_WORK.LT003_ENTITY</v>
      </c>
      <c r="H526" s="32"/>
      <c r="I526" s="32"/>
      <c r="J526" s="32" t="str">
        <f>IF(VLOOKUP(B526,'0. Instruções'!$C$27:$G$32,5,FALSE)=0,
"(SELECT "&amp;VLOOKUP(B526,'0. Instruções'!$C$27:$G$32,4,FALSE)&amp;" AS CHAVE_IT, "&amp;C526&amp;" AS CAMPO_IT FROM "&amp;E526&amp;" WHERE "&amp;'0. Instruções'!$D$43&amp;")X",
"(SELECT "&amp;VLOOKUP(B526,'0. Instruções'!$C$27:$G$32,4,FALSE)&amp;" AS CHAVE_IT1, "&amp;VLOOKUP(B526,'0. Instruções'!$C$27:$G$32,5,FALSE)&amp;" AS CHAVE_IT2, "&amp;C526&amp;" AS CAMPO_IT FROM "&amp;E526&amp;" WHERE "&amp;'0. Instruções'!$D$43&amp;")X")</f>
        <v>(SELECT entty_id AS CHAVE_IT, pure_capex_p AS CAMPO_IT FROM CD_LOAN_TAPES_BCE.LT003_ENTITY WHERE ref_date='${ref_date}' AND nome_perimetro='Individual Local' AND segmento='ESTR' AND ambito='PM' AND entidade='00100')X</v>
      </c>
      <c r="K526" s="32" t="str">
        <f>IF(VLOOKUP(B526,'0. Instruções'!$C$27:$G$32,5,FALSE)=0,
"(SELECT "&amp;VLOOKUP(B526,'0. Instruções'!$C$27:$G$32,4,FALSE)&amp;" AS CHAVE_SIMUL, "&amp;C526&amp;" AS CAMPO_SIMUL FROM "&amp;F526&amp;" WHERE "&amp;'0. Instruções'!$D$42&amp;")Y",
"(SELECT "&amp;VLOOKUP(B526,'0. Instruções'!$C$27:$G$32,4,FALSE)&amp;" AS CHAVE_SIMUL1, "&amp;VLOOKUP(B526,'0. Instruções'!$C$27:$G$32,5,FALSE)&amp;" AS CHAVE_SIMUL2, "&amp;C526&amp;" AS CAMPO_SIMUL FROM "&amp;F526&amp;" WHERE "&amp;'0. Instruções'!$D$42&amp;")Y")</f>
        <v>(SELECT entty_id AS CHAVE_SIMUL, pure_capex_p AS CAMPO_SIMUL FROM BU_LOANTAPE_WORK.LT003_ENTITY WHERE ref_date='${ref_date}' AND nome_perimetro='Individual Local' AND segmento='ESTR' AND ambito='PM' AND entidade='00100')Y</v>
      </c>
      <c r="L526" s="32" t="str">
        <f>IF(VLOOKUP(B526,'0. Instruções'!$C$27:$G$32,5,FALSE)=0,
"ON X.CHAVE_IT=Y.CHAVE_SIMUL",
"ON X.CHAVE_IT1=Y.CHAVE_SIMUL1 AND X.CHAVE_IT2=Y.CHAVE_SIMUL2")</f>
        <v>ON X.CHAVE_IT=Y.CHAVE_SIMUL</v>
      </c>
      <c r="M526" s="32" t="str">
        <f>+IF(D526="Coerência",+IF(LEFT(H526,5)="FLOAT","SELECT '"&amp;UPPER(B526)&amp;"' AS TABELA, '"&amp;UPPER(D526)&amp;"' AS TIPOLOGIA_TESTE,'"&amp;E526&amp;"' AS TABELA_LT,'"&amp;F526&amp;"' AS TABELA_SIMUL,'"&amp;C526&amp;"'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"&amp;J526&amp;" INNER JOIN "&amp;K526&amp;" "&amp;L526,"SELECT '"&amp;UPPER(B526)&amp;"' AS TABELA, '"&amp;UPPER(D526)&amp;"' AS TIPOLOGIA_TESTE,'"&amp;E526&amp;"' AS TABELA_LT,'"&amp;F526&amp;"' AS TABELA_SIMUL,'"&amp;C526&amp;"'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"&amp;J526&amp;" INNER JOIN "&amp;K526&amp;" "&amp;L526))</f>
        <v>SELECT 'ENTITY' AS TABELA, 'COERÊNCIA' AS TIPOLOGIA_TESTE,'CD_LOAN_TAPES_BCE.LT003_ENTITY' AS TABELA_LT,'BU_LOANTAPE_WORK.LT003_ENTITY' AS TABELA_SIMUL,'pure_capex_p'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pure_capex_p AS CAMPO_IT FROM CD_LOAN_TAPES_BCE.LT003_ENTITY WHERE ref_date='${ref_date}' AND nome_perimetro='Individual Local' AND segmento='ESTR' AND ambito='PM' AND entidade='00100')X INNER JOIN (SELECT entty_id AS CHAVE_SIMUL, pure_capex_p AS CAMPO_SIMUL FROM BU_LOANTAPE_WORK.LT003_ENTITY WHERE ref_date='${ref_date}' AND nome_perimetro='Individual Local' AND segmento='ESTR' AND ambito='PM' AND entidade='00100')Y ON X.CHAVE_IT=Y.CHAVE_SIMUL</v>
      </c>
      <c r="N526" s="33" t="str">
        <f t="shared" si="17"/>
        <v>UNION ALL SELECT 'ENTITY' AS TABELA, 'COERÊNCIA' AS TIPOLOGIA_TESTE,'CD_LOAN_TAPES_BCE.LT003_ENTITY' AS TABELA_LT,'BU_LOANTAPE_WORK.LT003_ENTITY' AS TABELA_SIMUL,'pure_capex_p'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pure_capex_p AS CAMPO_IT FROM CD_LOAN_TAPES_BCE.LT003_ENTITY WHERE ref_date='${ref_date}' AND nome_perimetro='Individual Local' AND segmento='ESTR' AND ambito='PM' AND entidade='00100')X INNER JOIN (SELECT entty_id AS CHAVE_SIMUL, pure_capex_p AS CAMPO_SIMUL FROM BU_LOANTAPE_WORK.LT003_ENTITY WHERE ref_date='${ref_date}' AND nome_perimetro='Individual Local' AND segmento='ESTR' AND ambito='PM' AND entidade='00100')Y ON X.CHAVE_IT=Y.CHAVE_SIMUL</v>
      </c>
      <c r="O526" s="35" t="s">
        <v>35</v>
      </c>
    </row>
    <row r="527" spans="1:15">
      <c r="A527" s="57" t="str">
        <f t="shared" si="18"/>
        <v>Entitypure_trnvr_p</v>
      </c>
      <c r="B527" s="32" t="s">
        <v>60</v>
      </c>
      <c r="C527" s="32" t="s">
        <v>188</v>
      </c>
      <c r="D527" s="32" t="s">
        <v>5</v>
      </c>
      <c r="E527" s="32" t="str">
        <f>+UPPER('0. Instruções'!$D$35&amp;"."&amp;VLOOKUP(B527,'0. Instruções'!$C$27:$D$32,2,FALSE))</f>
        <v>CD_LOAN_TAPES_BCE.LT003_ENTITY</v>
      </c>
      <c r="F527" s="32" t="str">
        <f>+UPPER('0. Instruções'!$D$36&amp;"."&amp;VLOOKUP(B527,'0. Instruções'!$C$27:$E$32,3,FALSE))</f>
        <v>BU_LOANTAPE_WORK.LT003_ENTITY</v>
      </c>
      <c r="H527" s="32"/>
      <c r="I527" s="32"/>
      <c r="J527" s="32" t="str">
        <f>IF(VLOOKUP(B527,'0. Instruções'!$C$27:$G$32,5,FALSE)=0,
"(SELECT "&amp;VLOOKUP(B527,'0. Instruções'!$C$27:$G$32,4,FALSE)&amp;" AS CHAVE_IT, "&amp;C527&amp;" AS CAMPO_IT FROM "&amp;E527&amp;" WHERE "&amp;'0. Instruções'!$D$43&amp;")X",
"(SELECT "&amp;VLOOKUP(B527,'0. Instruções'!$C$27:$G$32,4,FALSE)&amp;" AS CHAVE_IT1, "&amp;VLOOKUP(B527,'0. Instruções'!$C$27:$G$32,5,FALSE)&amp;" AS CHAVE_IT2, "&amp;C527&amp;" AS CAMPO_IT FROM "&amp;E527&amp;" WHERE "&amp;'0. Instruções'!$D$43&amp;")X")</f>
        <v>(SELECT entty_id AS CHAVE_IT, pure_trnvr_p AS CAMPO_IT FROM CD_LOAN_TAPES_BCE.LT003_ENTITY WHERE ref_date='${ref_date}' AND nome_perimetro='Individual Local' AND segmento='ESTR' AND ambito='PM' AND entidade='00100')X</v>
      </c>
      <c r="K527" s="32" t="str">
        <f>IF(VLOOKUP(B527,'0. Instruções'!$C$27:$G$32,5,FALSE)=0,
"(SELECT "&amp;VLOOKUP(B527,'0. Instruções'!$C$27:$G$32,4,FALSE)&amp;" AS CHAVE_SIMUL, "&amp;C527&amp;" AS CAMPO_SIMUL FROM "&amp;F527&amp;" WHERE "&amp;'0. Instruções'!$D$42&amp;")Y",
"(SELECT "&amp;VLOOKUP(B527,'0. Instruções'!$C$27:$G$32,4,FALSE)&amp;" AS CHAVE_SIMUL1, "&amp;VLOOKUP(B527,'0. Instruções'!$C$27:$G$32,5,FALSE)&amp;" AS CHAVE_SIMUL2, "&amp;C527&amp;" AS CAMPO_SIMUL FROM "&amp;F527&amp;" WHERE "&amp;'0. Instruções'!$D$42&amp;")Y")</f>
        <v>(SELECT entty_id AS CHAVE_SIMUL, pure_trnvr_p AS CAMPO_SIMUL FROM BU_LOANTAPE_WORK.LT003_ENTITY WHERE ref_date='${ref_date}' AND nome_perimetro='Individual Local' AND segmento='ESTR' AND ambito='PM' AND entidade='00100')Y</v>
      </c>
      <c r="L527" s="32" t="str">
        <f>IF(VLOOKUP(B527,'0. Instruções'!$C$27:$G$32,5,FALSE)=0,
"ON X.CHAVE_IT=Y.CHAVE_SIMUL",
"ON X.CHAVE_IT1=Y.CHAVE_SIMUL1 AND X.CHAVE_IT2=Y.CHAVE_SIMUL2")</f>
        <v>ON X.CHAVE_IT=Y.CHAVE_SIMUL</v>
      </c>
      <c r="M527" s="32" t="str">
        <f>+IF(D527="Coerência",+IF(LEFT(H527,5)="FLOAT","SELECT '"&amp;UPPER(B527)&amp;"' AS TABELA, '"&amp;UPPER(D527)&amp;"' AS TIPOLOGIA_TESTE,'"&amp;E527&amp;"' AS TABELA_LT,'"&amp;F527&amp;"' AS TABELA_SIMUL,'"&amp;C527&amp;"'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"&amp;J527&amp;" INNER JOIN "&amp;K527&amp;" "&amp;L527,"SELECT '"&amp;UPPER(B527)&amp;"' AS TABELA, '"&amp;UPPER(D527)&amp;"' AS TIPOLOGIA_TESTE,'"&amp;E527&amp;"' AS TABELA_LT,'"&amp;F527&amp;"' AS TABELA_SIMUL,'"&amp;C527&amp;"'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"&amp;J527&amp;" INNER JOIN "&amp;K527&amp;" "&amp;L527))</f>
        <v>SELECT 'ENTITY' AS TABELA, 'COERÊNCIA' AS TIPOLOGIA_TESTE,'CD_LOAN_TAPES_BCE.LT003_ENTITY' AS TABELA_LT,'BU_LOANTAPE_WORK.LT003_ENTITY' AS TABELA_SIMUL,'pure_trnvr_p'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pure_trnvr_p AS CAMPO_IT FROM CD_LOAN_TAPES_BCE.LT003_ENTITY WHERE ref_date='${ref_date}' AND nome_perimetro='Individual Local' AND segmento='ESTR' AND ambito='PM' AND entidade='00100')X INNER JOIN (SELECT entty_id AS CHAVE_SIMUL, pure_trnvr_p AS CAMPO_SIMUL FROM BU_LOANTAPE_WORK.LT003_ENTITY WHERE ref_date='${ref_date}' AND nome_perimetro='Individual Local' AND segmento='ESTR' AND ambito='PM' AND entidade='00100')Y ON X.CHAVE_IT=Y.CHAVE_SIMUL</v>
      </c>
      <c r="N527" s="33" t="str">
        <f t="shared" si="17"/>
        <v>UNION ALL SELECT 'ENTITY' AS TABELA, 'COERÊNCIA' AS TIPOLOGIA_TESTE,'CD_LOAN_TAPES_BCE.LT003_ENTITY' AS TABELA_LT,'BU_LOANTAPE_WORK.LT003_ENTITY' AS TABELA_SIMUL,'pure_trnvr_p'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pure_trnvr_p AS CAMPO_IT FROM CD_LOAN_TAPES_BCE.LT003_ENTITY WHERE ref_date='${ref_date}' AND nome_perimetro='Individual Local' AND segmento='ESTR' AND ambito='PM' AND entidade='00100')X INNER JOIN (SELECT entty_id AS CHAVE_SIMUL, pure_trnvr_p AS CAMPO_SIMUL FROM BU_LOANTAPE_WORK.LT003_ENTITY WHERE ref_date='${ref_date}' AND nome_perimetro='Individual Local' AND segmento='ESTR' AND ambito='PM' AND entidade='00100')Y ON X.CHAVE_IT=Y.CHAVE_SIMUL</v>
      </c>
      <c r="O527" s="35" t="s">
        <v>35</v>
      </c>
    </row>
    <row r="528" spans="1:15">
      <c r="A528" s="57" t="str">
        <f t="shared" si="18"/>
        <v>Entitypure_capex_b</v>
      </c>
      <c r="B528" s="32" t="s">
        <v>60</v>
      </c>
      <c r="C528" s="32" t="s">
        <v>189</v>
      </c>
      <c r="D528" s="32" t="s">
        <v>5</v>
      </c>
      <c r="E528" s="32" t="str">
        <f>+UPPER('0. Instruções'!$D$35&amp;"."&amp;VLOOKUP(B528,'0. Instruções'!$C$27:$D$32,2,FALSE))</f>
        <v>CD_LOAN_TAPES_BCE.LT003_ENTITY</v>
      </c>
      <c r="F528" s="32" t="str">
        <f>+UPPER('0. Instruções'!$D$36&amp;"."&amp;VLOOKUP(B528,'0. Instruções'!$C$27:$E$32,3,FALSE))</f>
        <v>BU_LOANTAPE_WORK.LT003_ENTITY</v>
      </c>
      <c r="H528" s="32"/>
      <c r="I528" s="32"/>
      <c r="J528" s="32" t="str">
        <f>IF(VLOOKUP(B528,'0. Instruções'!$C$27:$G$32,5,FALSE)=0,
"(SELECT "&amp;VLOOKUP(B528,'0. Instruções'!$C$27:$G$32,4,FALSE)&amp;" AS CHAVE_IT, "&amp;C528&amp;" AS CAMPO_IT FROM "&amp;E528&amp;" WHERE "&amp;'0. Instruções'!$D$43&amp;")X",
"(SELECT "&amp;VLOOKUP(B528,'0. Instruções'!$C$27:$G$32,4,FALSE)&amp;" AS CHAVE_IT1, "&amp;VLOOKUP(B528,'0. Instruções'!$C$27:$G$32,5,FALSE)&amp;" AS CHAVE_IT2, "&amp;C528&amp;" AS CAMPO_IT FROM "&amp;E528&amp;" WHERE "&amp;'0. Instruções'!$D$43&amp;")X")</f>
        <v>(SELECT entty_id AS CHAVE_IT, pure_capex_b AS CAMPO_IT FROM CD_LOAN_TAPES_BCE.LT003_ENTITY WHERE ref_date='${ref_date}' AND nome_perimetro='Individual Local' AND segmento='ESTR' AND ambito='PM' AND entidade='00100')X</v>
      </c>
      <c r="K528" s="32" t="str">
        <f>IF(VLOOKUP(B528,'0. Instruções'!$C$27:$G$32,5,FALSE)=0,
"(SELECT "&amp;VLOOKUP(B528,'0. Instruções'!$C$27:$G$32,4,FALSE)&amp;" AS CHAVE_SIMUL, "&amp;C528&amp;" AS CAMPO_SIMUL FROM "&amp;F528&amp;" WHERE "&amp;'0. Instruções'!$D$42&amp;")Y",
"(SELECT "&amp;VLOOKUP(B528,'0. Instruções'!$C$27:$G$32,4,FALSE)&amp;" AS CHAVE_SIMUL1, "&amp;VLOOKUP(B528,'0. Instruções'!$C$27:$G$32,5,FALSE)&amp;" AS CHAVE_SIMUL2, "&amp;C528&amp;" AS CAMPO_SIMUL FROM "&amp;F528&amp;" WHERE "&amp;'0. Instruções'!$D$42&amp;")Y")</f>
        <v>(SELECT entty_id AS CHAVE_SIMUL, pure_capex_b AS CAMPO_SIMUL FROM BU_LOANTAPE_WORK.LT003_ENTITY WHERE ref_date='${ref_date}' AND nome_perimetro='Individual Local' AND segmento='ESTR' AND ambito='PM' AND entidade='00100')Y</v>
      </c>
      <c r="L528" s="32" t="str">
        <f>IF(VLOOKUP(B528,'0. Instruções'!$C$27:$G$32,5,FALSE)=0,
"ON X.CHAVE_IT=Y.CHAVE_SIMUL",
"ON X.CHAVE_IT1=Y.CHAVE_SIMUL1 AND X.CHAVE_IT2=Y.CHAVE_SIMUL2")</f>
        <v>ON X.CHAVE_IT=Y.CHAVE_SIMUL</v>
      </c>
      <c r="M528" s="32" t="str">
        <f>+IF(D528="Coerência",+IF(LEFT(H528,5)="FLOAT","SELECT '"&amp;UPPER(B528)&amp;"' AS TABELA, '"&amp;UPPER(D528)&amp;"' AS TIPOLOGIA_TESTE,'"&amp;E528&amp;"' AS TABELA_LT,'"&amp;F528&amp;"' AS TABELA_SIMUL,'"&amp;C528&amp;"'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"&amp;J528&amp;" INNER JOIN "&amp;K528&amp;" "&amp;L528,"SELECT '"&amp;UPPER(B528)&amp;"' AS TABELA, '"&amp;UPPER(D528)&amp;"' AS TIPOLOGIA_TESTE,'"&amp;E528&amp;"' AS TABELA_LT,'"&amp;F528&amp;"' AS TABELA_SIMUL,'"&amp;C528&amp;"'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"&amp;J528&amp;" INNER JOIN "&amp;K528&amp;" "&amp;L528))</f>
        <v>SELECT 'ENTITY' AS TABELA, 'COERÊNCIA' AS TIPOLOGIA_TESTE,'CD_LOAN_TAPES_BCE.LT003_ENTITY' AS TABELA_LT,'BU_LOANTAPE_WORK.LT003_ENTITY' AS TABELA_SIMUL,'pure_capex_b'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pure_capex_b AS CAMPO_IT FROM CD_LOAN_TAPES_BCE.LT003_ENTITY WHERE ref_date='${ref_date}' AND nome_perimetro='Individual Local' AND segmento='ESTR' AND ambito='PM' AND entidade='00100')X INNER JOIN (SELECT entty_id AS CHAVE_SIMUL, pure_capex_b AS CAMPO_SIMUL FROM BU_LOANTAPE_WORK.LT003_ENTITY WHERE ref_date='${ref_date}' AND nome_perimetro='Individual Local' AND segmento='ESTR' AND ambito='PM' AND entidade='00100')Y ON X.CHAVE_IT=Y.CHAVE_SIMUL</v>
      </c>
      <c r="N528" s="33" t="str">
        <f t="shared" si="17"/>
        <v>UNION ALL SELECT 'ENTITY' AS TABELA, 'COERÊNCIA' AS TIPOLOGIA_TESTE,'CD_LOAN_TAPES_BCE.LT003_ENTITY' AS TABELA_LT,'BU_LOANTAPE_WORK.LT003_ENTITY' AS TABELA_SIMUL,'pure_capex_b'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pure_capex_b AS CAMPO_IT FROM CD_LOAN_TAPES_BCE.LT003_ENTITY WHERE ref_date='${ref_date}' AND nome_perimetro='Individual Local' AND segmento='ESTR' AND ambito='PM' AND entidade='00100')X INNER JOIN (SELECT entty_id AS CHAVE_SIMUL, pure_capex_b AS CAMPO_SIMUL FROM BU_LOANTAPE_WORK.LT003_ENTITY WHERE ref_date='${ref_date}' AND nome_perimetro='Individual Local' AND segmento='ESTR' AND ambito='PM' AND entidade='00100')Y ON X.CHAVE_IT=Y.CHAVE_SIMUL</v>
      </c>
      <c r="O528" s="35" t="s">
        <v>35</v>
      </c>
    </row>
    <row r="529" spans="1:15">
      <c r="A529" s="57" t="str">
        <f t="shared" si="18"/>
        <v>Entitypure_trnvr_b</v>
      </c>
      <c r="B529" s="32" t="s">
        <v>60</v>
      </c>
      <c r="C529" s="32" t="s">
        <v>190</v>
      </c>
      <c r="D529" s="32" t="s">
        <v>5</v>
      </c>
      <c r="E529" s="32" t="str">
        <f>+UPPER('0. Instruções'!$D$35&amp;"."&amp;VLOOKUP(B529,'0. Instruções'!$C$27:$D$32,2,FALSE))</f>
        <v>CD_LOAN_TAPES_BCE.LT003_ENTITY</v>
      </c>
      <c r="F529" s="32" t="str">
        <f>+UPPER('0. Instruções'!$D$36&amp;"."&amp;VLOOKUP(B529,'0. Instruções'!$C$27:$E$32,3,FALSE))</f>
        <v>BU_LOANTAPE_WORK.LT003_ENTITY</v>
      </c>
      <c r="H529" s="32"/>
      <c r="I529" s="32"/>
      <c r="J529" s="32" t="str">
        <f>IF(VLOOKUP(B529,'0. Instruções'!$C$27:$G$32,5,FALSE)=0,
"(SELECT "&amp;VLOOKUP(B529,'0. Instruções'!$C$27:$G$32,4,FALSE)&amp;" AS CHAVE_IT, "&amp;C529&amp;" AS CAMPO_IT FROM "&amp;E529&amp;" WHERE "&amp;'0. Instruções'!$D$43&amp;")X",
"(SELECT "&amp;VLOOKUP(B529,'0. Instruções'!$C$27:$G$32,4,FALSE)&amp;" AS CHAVE_IT1, "&amp;VLOOKUP(B529,'0. Instruções'!$C$27:$G$32,5,FALSE)&amp;" AS CHAVE_IT2, "&amp;C529&amp;" AS CAMPO_IT FROM "&amp;E529&amp;" WHERE "&amp;'0. Instruções'!$D$43&amp;")X")</f>
        <v>(SELECT entty_id AS CHAVE_IT, pure_trnvr_b AS CAMPO_IT FROM CD_LOAN_TAPES_BCE.LT003_ENTITY WHERE ref_date='${ref_date}' AND nome_perimetro='Individual Local' AND segmento='ESTR' AND ambito='PM' AND entidade='00100')X</v>
      </c>
      <c r="K529" s="32" t="str">
        <f>IF(VLOOKUP(B529,'0. Instruções'!$C$27:$G$32,5,FALSE)=0,
"(SELECT "&amp;VLOOKUP(B529,'0. Instruções'!$C$27:$G$32,4,FALSE)&amp;" AS CHAVE_SIMUL, "&amp;C529&amp;" AS CAMPO_SIMUL FROM "&amp;F529&amp;" WHERE "&amp;'0. Instruções'!$D$42&amp;")Y",
"(SELECT "&amp;VLOOKUP(B529,'0. Instruções'!$C$27:$G$32,4,FALSE)&amp;" AS CHAVE_SIMUL1, "&amp;VLOOKUP(B529,'0. Instruções'!$C$27:$G$32,5,FALSE)&amp;" AS CHAVE_SIMUL2, "&amp;C529&amp;" AS CAMPO_SIMUL FROM "&amp;F529&amp;" WHERE "&amp;'0. Instruções'!$D$42&amp;")Y")</f>
        <v>(SELECT entty_id AS CHAVE_SIMUL, pure_trnvr_b AS CAMPO_SIMUL FROM BU_LOANTAPE_WORK.LT003_ENTITY WHERE ref_date='${ref_date}' AND nome_perimetro='Individual Local' AND segmento='ESTR' AND ambito='PM' AND entidade='00100')Y</v>
      </c>
      <c r="L529" s="32" t="str">
        <f>IF(VLOOKUP(B529,'0. Instruções'!$C$27:$G$32,5,FALSE)=0,
"ON X.CHAVE_IT=Y.CHAVE_SIMUL",
"ON X.CHAVE_IT1=Y.CHAVE_SIMUL1 AND X.CHAVE_IT2=Y.CHAVE_SIMUL2")</f>
        <v>ON X.CHAVE_IT=Y.CHAVE_SIMUL</v>
      </c>
      <c r="M529" s="32" t="str">
        <f>+IF(D529="Coerência",+IF(LEFT(H529,5)="FLOAT","SELECT '"&amp;UPPER(B529)&amp;"' AS TABELA, '"&amp;UPPER(D529)&amp;"' AS TIPOLOGIA_TESTE,'"&amp;E529&amp;"' AS TABELA_LT,'"&amp;F529&amp;"' AS TABELA_SIMUL,'"&amp;C529&amp;"'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"&amp;J529&amp;" INNER JOIN "&amp;K529&amp;" "&amp;L529,"SELECT '"&amp;UPPER(B529)&amp;"' AS TABELA, '"&amp;UPPER(D529)&amp;"' AS TIPOLOGIA_TESTE,'"&amp;E529&amp;"' AS TABELA_LT,'"&amp;F529&amp;"' AS TABELA_SIMUL,'"&amp;C529&amp;"'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"&amp;J529&amp;" INNER JOIN "&amp;K529&amp;" "&amp;L529))</f>
        <v>SELECT 'ENTITY' AS TABELA, 'COERÊNCIA' AS TIPOLOGIA_TESTE,'CD_LOAN_TAPES_BCE.LT003_ENTITY' AS TABELA_LT,'BU_LOANTAPE_WORK.LT003_ENTITY' AS TABELA_SIMUL,'pure_trnvr_b'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pure_trnvr_b AS CAMPO_IT FROM CD_LOAN_TAPES_BCE.LT003_ENTITY WHERE ref_date='${ref_date}' AND nome_perimetro='Individual Local' AND segmento='ESTR' AND ambito='PM' AND entidade='00100')X INNER JOIN (SELECT entty_id AS CHAVE_SIMUL, pure_trnvr_b AS CAMPO_SIMUL FROM BU_LOANTAPE_WORK.LT003_ENTITY WHERE ref_date='${ref_date}' AND nome_perimetro='Individual Local' AND segmento='ESTR' AND ambito='PM' AND entidade='00100')Y ON X.CHAVE_IT=Y.CHAVE_SIMUL</v>
      </c>
      <c r="N529" s="33" t="str">
        <f t="shared" si="17"/>
        <v>UNION ALL SELECT 'ENTITY' AS TABELA, 'COERÊNCIA' AS TIPOLOGIA_TESTE,'CD_LOAN_TAPES_BCE.LT003_ENTITY' AS TABELA_LT,'BU_LOANTAPE_WORK.LT003_ENTITY' AS TABELA_SIMUL,'pure_trnvr_b'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pure_trnvr_b AS CAMPO_IT FROM CD_LOAN_TAPES_BCE.LT003_ENTITY WHERE ref_date='${ref_date}' AND nome_perimetro='Individual Local' AND segmento='ESTR' AND ambito='PM' AND entidade='00100')X INNER JOIN (SELECT entty_id AS CHAVE_SIMUL, pure_trnvr_b AS CAMPO_SIMUL FROM BU_LOANTAPE_WORK.LT003_ENTITY WHERE ref_date='${ref_date}' AND nome_perimetro='Individual Local' AND segmento='ESTR' AND ambito='PM' AND entidade='00100')Y ON X.CHAVE_IT=Y.CHAVE_SIMUL</v>
      </c>
      <c r="O529" s="35" t="s">
        <v>35</v>
      </c>
    </row>
    <row r="530" spans="1:15">
      <c r="A530" s="57" t="str">
        <f t="shared" si="18"/>
        <v>Entitypure_capex_w</v>
      </c>
      <c r="B530" s="32" t="s">
        <v>60</v>
      </c>
      <c r="C530" s="32" t="s">
        <v>191</v>
      </c>
      <c r="D530" s="32" t="s">
        <v>5</v>
      </c>
      <c r="E530" s="32" t="str">
        <f>+UPPER('0. Instruções'!$D$35&amp;"."&amp;VLOOKUP(B530,'0. Instruções'!$C$27:$D$32,2,FALSE))</f>
        <v>CD_LOAN_TAPES_BCE.LT003_ENTITY</v>
      </c>
      <c r="F530" s="32" t="str">
        <f>+UPPER('0. Instruções'!$D$36&amp;"."&amp;VLOOKUP(B530,'0. Instruções'!$C$27:$E$32,3,FALSE))</f>
        <v>BU_LOANTAPE_WORK.LT003_ENTITY</v>
      </c>
      <c r="H530" s="32"/>
      <c r="I530" s="32"/>
      <c r="J530" s="32" t="str">
        <f>IF(VLOOKUP(B530,'0. Instruções'!$C$27:$G$32,5,FALSE)=0,
"(SELECT "&amp;VLOOKUP(B530,'0. Instruções'!$C$27:$G$32,4,FALSE)&amp;" AS CHAVE_IT, "&amp;C530&amp;" AS CAMPO_IT FROM "&amp;E530&amp;" WHERE "&amp;'0. Instruções'!$D$43&amp;")X",
"(SELECT "&amp;VLOOKUP(B530,'0. Instruções'!$C$27:$G$32,4,FALSE)&amp;" AS CHAVE_IT1, "&amp;VLOOKUP(B530,'0. Instruções'!$C$27:$G$32,5,FALSE)&amp;" AS CHAVE_IT2, "&amp;C530&amp;" AS CAMPO_IT FROM "&amp;E530&amp;" WHERE "&amp;'0. Instruções'!$D$43&amp;")X")</f>
        <v>(SELECT entty_id AS CHAVE_IT, pure_capex_w AS CAMPO_IT FROM CD_LOAN_TAPES_BCE.LT003_ENTITY WHERE ref_date='${ref_date}' AND nome_perimetro='Individual Local' AND segmento='ESTR' AND ambito='PM' AND entidade='00100')X</v>
      </c>
      <c r="K530" s="32" t="str">
        <f>IF(VLOOKUP(B530,'0. Instruções'!$C$27:$G$32,5,FALSE)=0,
"(SELECT "&amp;VLOOKUP(B530,'0. Instruções'!$C$27:$G$32,4,FALSE)&amp;" AS CHAVE_SIMUL, "&amp;C530&amp;" AS CAMPO_SIMUL FROM "&amp;F530&amp;" WHERE "&amp;'0. Instruções'!$D$42&amp;")Y",
"(SELECT "&amp;VLOOKUP(B530,'0. Instruções'!$C$27:$G$32,4,FALSE)&amp;" AS CHAVE_SIMUL1, "&amp;VLOOKUP(B530,'0. Instruções'!$C$27:$G$32,5,FALSE)&amp;" AS CHAVE_SIMUL2, "&amp;C530&amp;" AS CAMPO_SIMUL FROM "&amp;F530&amp;" WHERE "&amp;'0. Instruções'!$D$42&amp;")Y")</f>
        <v>(SELECT entty_id AS CHAVE_SIMUL, pure_capex_w AS CAMPO_SIMUL FROM BU_LOANTAPE_WORK.LT003_ENTITY WHERE ref_date='${ref_date}' AND nome_perimetro='Individual Local' AND segmento='ESTR' AND ambito='PM' AND entidade='00100')Y</v>
      </c>
      <c r="L530" s="32" t="str">
        <f>IF(VLOOKUP(B530,'0. Instruções'!$C$27:$G$32,5,FALSE)=0,
"ON X.CHAVE_IT=Y.CHAVE_SIMUL",
"ON X.CHAVE_IT1=Y.CHAVE_SIMUL1 AND X.CHAVE_IT2=Y.CHAVE_SIMUL2")</f>
        <v>ON X.CHAVE_IT=Y.CHAVE_SIMUL</v>
      </c>
      <c r="M530" s="32" t="str">
        <f>+IF(D530="Coerência",+IF(LEFT(H530,5)="FLOAT","SELECT '"&amp;UPPER(B530)&amp;"' AS TABELA, '"&amp;UPPER(D530)&amp;"' AS TIPOLOGIA_TESTE,'"&amp;E530&amp;"' AS TABELA_LT,'"&amp;F530&amp;"' AS TABELA_SIMUL,'"&amp;C530&amp;"'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"&amp;J530&amp;" INNER JOIN "&amp;K530&amp;" "&amp;L530,"SELECT '"&amp;UPPER(B530)&amp;"' AS TABELA, '"&amp;UPPER(D530)&amp;"' AS TIPOLOGIA_TESTE,'"&amp;E530&amp;"' AS TABELA_LT,'"&amp;F530&amp;"' AS TABELA_SIMUL,'"&amp;C530&amp;"'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"&amp;J530&amp;" INNER JOIN "&amp;K530&amp;" "&amp;L530))</f>
        <v>SELECT 'ENTITY' AS TABELA, 'COERÊNCIA' AS TIPOLOGIA_TESTE,'CD_LOAN_TAPES_BCE.LT003_ENTITY' AS TABELA_LT,'BU_LOANTAPE_WORK.LT003_ENTITY' AS TABELA_SIMUL,'pure_capex_w'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pure_capex_w AS CAMPO_IT FROM CD_LOAN_TAPES_BCE.LT003_ENTITY WHERE ref_date='${ref_date}' AND nome_perimetro='Individual Local' AND segmento='ESTR' AND ambito='PM' AND entidade='00100')X INNER JOIN (SELECT entty_id AS CHAVE_SIMUL, pure_capex_w AS CAMPO_SIMUL FROM BU_LOANTAPE_WORK.LT003_ENTITY WHERE ref_date='${ref_date}' AND nome_perimetro='Individual Local' AND segmento='ESTR' AND ambito='PM' AND entidade='00100')Y ON X.CHAVE_IT=Y.CHAVE_SIMUL</v>
      </c>
      <c r="N530" s="33" t="str">
        <f t="shared" si="17"/>
        <v>UNION ALL SELECT 'ENTITY' AS TABELA, 'COERÊNCIA' AS TIPOLOGIA_TESTE,'CD_LOAN_TAPES_BCE.LT003_ENTITY' AS TABELA_LT,'BU_LOANTAPE_WORK.LT003_ENTITY' AS TABELA_SIMUL,'pure_capex_w'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pure_capex_w AS CAMPO_IT FROM CD_LOAN_TAPES_BCE.LT003_ENTITY WHERE ref_date='${ref_date}' AND nome_perimetro='Individual Local' AND segmento='ESTR' AND ambito='PM' AND entidade='00100')X INNER JOIN (SELECT entty_id AS CHAVE_SIMUL, pure_capex_w AS CAMPO_SIMUL FROM BU_LOANTAPE_WORK.LT003_ENTITY WHERE ref_date='${ref_date}' AND nome_perimetro='Individual Local' AND segmento='ESTR' AND ambito='PM' AND entidade='00100')Y ON X.CHAVE_IT=Y.CHAVE_SIMUL</v>
      </c>
      <c r="O530" s="35" t="s">
        <v>35</v>
      </c>
    </row>
    <row r="531" spans="1:15">
      <c r="A531" s="57" t="str">
        <f t="shared" si="18"/>
        <v>Entitypure_trnvr_w</v>
      </c>
      <c r="B531" s="32" t="s">
        <v>60</v>
      </c>
      <c r="C531" s="32" t="s">
        <v>192</v>
      </c>
      <c r="D531" s="32" t="s">
        <v>5</v>
      </c>
      <c r="E531" s="32" t="str">
        <f>+UPPER('0. Instruções'!$D$35&amp;"."&amp;VLOOKUP(B531,'0. Instruções'!$C$27:$D$32,2,FALSE))</f>
        <v>CD_LOAN_TAPES_BCE.LT003_ENTITY</v>
      </c>
      <c r="F531" s="32" t="str">
        <f>+UPPER('0. Instruções'!$D$36&amp;"."&amp;VLOOKUP(B531,'0. Instruções'!$C$27:$E$32,3,FALSE))</f>
        <v>BU_LOANTAPE_WORK.LT003_ENTITY</v>
      </c>
      <c r="H531" s="32"/>
      <c r="I531" s="32"/>
      <c r="J531" s="32" t="str">
        <f>IF(VLOOKUP(B531,'0. Instruções'!$C$27:$G$32,5,FALSE)=0,
"(SELECT "&amp;VLOOKUP(B531,'0. Instruções'!$C$27:$G$32,4,FALSE)&amp;" AS CHAVE_IT, "&amp;C531&amp;" AS CAMPO_IT FROM "&amp;E531&amp;" WHERE "&amp;'0. Instruções'!$D$43&amp;")X",
"(SELECT "&amp;VLOOKUP(B531,'0. Instruções'!$C$27:$G$32,4,FALSE)&amp;" AS CHAVE_IT1, "&amp;VLOOKUP(B531,'0. Instruções'!$C$27:$G$32,5,FALSE)&amp;" AS CHAVE_IT2, "&amp;C531&amp;" AS CAMPO_IT FROM "&amp;E531&amp;" WHERE "&amp;'0. Instruções'!$D$43&amp;")X")</f>
        <v>(SELECT entty_id AS CHAVE_IT, pure_trnvr_w AS CAMPO_IT FROM CD_LOAN_TAPES_BCE.LT003_ENTITY WHERE ref_date='${ref_date}' AND nome_perimetro='Individual Local' AND segmento='ESTR' AND ambito='PM' AND entidade='00100')X</v>
      </c>
      <c r="K531" s="32" t="str">
        <f>IF(VLOOKUP(B531,'0. Instruções'!$C$27:$G$32,5,FALSE)=0,
"(SELECT "&amp;VLOOKUP(B531,'0. Instruções'!$C$27:$G$32,4,FALSE)&amp;" AS CHAVE_SIMUL, "&amp;C531&amp;" AS CAMPO_SIMUL FROM "&amp;F531&amp;" WHERE "&amp;'0. Instruções'!$D$42&amp;")Y",
"(SELECT "&amp;VLOOKUP(B531,'0. Instruções'!$C$27:$G$32,4,FALSE)&amp;" AS CHAVE_SIMUL1, "&amp;VLOOKUP(B531,'0. Instruções'!$C$27:$G$32,5,FALSE)&amp;" AS CHAVE_SIMUL2, "&amp;C531&amp;" AS CAMPO_SIMUL FROM "&amp;F531&amp;" WHERE "&amp;'0. Instruções'!$D$42&amp;")Y")</f>
        <v>(SELECT entty_id AS CHAVE_SIMUL, pure_trnvr_w AS CAMPO_SIMUL FROM BU_LOANTAPE_WORK.LT003_ENTITY WHERE ref_date='${ref_date}' AND nome_perimetro='Individual Local' AND segmento='ESTR' AND ambito='PM' AND entidade='00100')Y</v>
      </c>
      <c r="L531" s="32" t="str">
        <f>IF(VLOOKUP(B531,'0. Instruções'!$C$27:$G$32,5,FALSE)=0,
"ON X.CHAVE_IT=Y.CHAVE_SIMUL",
"ON X.CHAVE_IT1=Y.CHAVE_SIMUL1 AND X.CHAVE_IT2=Y.CHAVE_SIMUL2")</f>
        <v>ON X.CHAVE_IT=Y.CHAVE_SIMUL</v>
      </c>
      <c r="M531" s="32" t="str">
        <f>+IF(D531="Coerência",+IF(LEFT(H531,5)="FLOAT","SELECT '"&amp;UPPER(B531)&amp;"' AS TABELA, '"&amp;UPPER(D531)&amp;"' AS TIPOLOGIA_TESTE,'"&amp;E531&amp;"' AS TABELA_LT,'"&amp;F531&amp;"' AS TABELA_SIMUL,'"&amp;C531&amp;"'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"&amp;J531&amp;" INNER JOIN "&amp;K531&amp;" "&amp;L531,"SELECT '"&amp;UPPER(B531)&amp;"' AS TABELA, '"&amp;UPPER(D531)&amp;"' AS TIPOLOGIA_TESTE,'"&amp;E531&amp;"' AS TABELA_LT,'"&amp;F531&amp;"' AS TABELA_SIMUL,'"&amp;C531&amp;"'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"&amp;J531&amp;" INNER JOIN "&amp;K531&amp;" "&amp;L531))</f>
        <v>SELECT 'ENTITY' AS TABELA, 'COERÊNCIA' AS TIPOLOGIA_TESTE,'CD_LOAN_TAPES_BCE.LT003_ENTITY' AS TABELA_LT,'BU_LOANTAPE_WORK.LT003_ENTITY' AS TABELA_SIMUL,'pure_trnvr_w'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pure_trnvr_w AS CAMPO_IT FROM CD_LOAN_TAPES_BCE.LT003_ENTITY WHERE ref_date='${ref_date}' AND nome_perimetro='Individual Local' AND segmento='ESTR' AND ambito='PM' AND entidade='00100')X INNER JOIN (SELECT entty_id AS CHAVE_SIMUL, pure_trnvr_w AS CAMPO_SIMUL FROM BU_LOANTAPE_WORK.LT003_ENTITY WHERE ref_date='${ref_date}' AND nome_perimetro='Individual Local' AND segmento='ESTR' AND ambito='PM' AND entidade='00100')Y ON X.CHAVE_IT=Y.CHAVE_SIMUL</v>
      </c>
      <c r="N531" s="33" t="str">
        <f t="shared" si="17"/>
        <v>UNION ALL SELECT 'ENTITY' AS TABELA, 'COERÊNCIA' AS TIPOLOGIA_TESTE,'CD_LOAN_TAPES_BCE.LT003_ENTITY' AS TABELA_LT,'BU_LOANTAPE_WORK.LT003_ENTITY' AS TABELA_SIMUL,'pure_trnvr_w'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pure_trnvr_w AS CAMPO_IT FROM CD_LOAN_TAPES_BCE.LT003_ENTITY WHERE ref_date='${ref_date}' AND nome_perimetro='Individual Local' AND segmento='ESTR' AND ambito='PM' AND entidade='00100')X INNER JOIN (SELECT entty_id AS CHAVE_SIMUL, pure_trnvr_w AS CAMPO_SIMUL FROM BU_LOANTAPE_WORK.LT003_ENTITY WHERE ref_date='${ref_date}' AND nome_perimetro='Individual Local' AND segmento='ESTR' AND ambito='PM' AND entidade='00100')Y ON X.CHAVE_IT=Y.CHAVE_SIMUL</v>
      </c>
      <c r="O531" s="35" t="s">
        <v>35</v>
      </c>
    </row>
    <row r="532" spans="1:15">
      <c r="A532" s="57" t="str">
        <f t="shared" si="18"/>
        <v>Entitypure_capex_ce</v>
      </c>
      <c r="B532" s="32" t="s">
        <v>60</v>
      </c>
      <c r="C532" s="32" t="s">
        <v>193</v>
      </c>
      <c r="D532" s="32" t="s">
        <v>5</v>
      </c>
      <c r="E532" s="32" t="str">
        <f>+UPPER('0. Instruções'!$D$35&amp;"."&amp;VLOOKUP(B532,'0. Instruções'!$C$27:$D$32,2,FALSE))</f>
        <v>CD_LOAN_TAPES_BCE.LT003_ENTITY</v>
      </c>
      <c r="F532" s="32" t="str">
        <f>+UPPER('0. Instruções'!$D$36&amp;"."&amp;VLOOKUP(B532,'0. Instruções'!$C$27:$E$32,3,FALSE))</f>
        <v>BU_LOANTAPE_WORK.LT003_ENTITY</v>
      </c>
      <c r="H532" s="32"/>
      <c r="I532" s="32"/>
      <c r="J532" s="32" t="str">
        <f>IF(VLOOKUP(B532,'0. Instruções'!$C$27:$G$32,5,FALSE)=0,
"(SELECT "&amp;VLOOKUP(B532,'0. Instruções'!$C$27:$G$32,4,FALSE)&amp;" AS CHAVE_IT, "&amp;C532&amp;" AS CAMPO_IT FROM "&amp;E532&amp;" WHERE "&amp;'0. Instruções'!$D$43&amp;")X",
"(SELECT "&amp;VLOOKUP(B532,'0. Instruções'!$C$27:$G$32,4,FALSE)&amp;" AS CHAVE_IT1, "&amp;VLOOKUP(B532,'0. Instruções'!$C$27:$G$32,5,FALSE)&amp;" AS CHAVE_IT2, "&amp;C532&amp;" AS CAMPO_IT FROM "&amp;E532&amp;" WHERE "&amp;'0. Instruções'!$D$43&amp;")X")</f>
        <v>(SELECT entty_id AS CHAVE_IT, pure_capex_ce AS CAMPO_IT FROM CD_LOAN_TAPES_BCE.LT003_ENTITY WHERE ref_date='${ref_date}' AND nome_perimetro='Individual Local' AND segmento='ESTR' AND ambito='PM' AND entidade='00100')X</v>
      </c>
      <c r="K532" s="32" t="str">
        <f>IF(VLOOKUP(B532,'0. Instruções'!$C$27:$G$32,5,FALSE)=0,
"(SELECT "&amp;VLOOKUP(B532,'0. Instruções'!$C$27:$G$32,4,FALSE)&amp;" AS CHAVE_SIMUL, "&amp;C532&amp;" AS CAMPO_SIMUL FROM "&amp;F532&amp;" WHERE "&amp;'0. Instruções'!$D$42&amp;")Y",
"(SELECT "&amp;VLOOKUP(B532,'0. Instruções'!$C$27:$G$32,4,FALSE)&amp;" AS CHAVE_SIMUL1, "&amp;VLOOKUP(B532,'0. Instruções'!$C$27:$G$32,5,FALSE)&amp;" AS CHAVE_SIMUL2, "&amp;C532&amp;" AS CAMPO_SIMUL FROM "&amp;F532&amp;" WHERE "&amp;'0. Instruções'!$D$42&amp;")Y")</f>
        <v>(SELECT entty_id AS CHAVE_SIMUL, pure_capex_ce AS CAMPO_SIMUL FROM BU_LOANTAPE_WORK.LT003_ENTITY WHERE ref_date='${ref_date}' AND nome_perimetro='Individual Local' AND segmento='ESTR' AND ambito='PM' AND entidade='00100')Y</v>
      </c>
      <c r="L532" s="32" t="str">
        <f>IF(VLOOKUP(B532,'0. Instruções'!$C$27:$G$32,5,FALSE)=0,
"ON X.CHAVE_IT=Y.CHAVE_SIMUL",
"ON X.CHAVE_IT1=Y.CHAVE_SIMUL1 AND X.CHAVE_IT2=Y.CHAVE_SIMUL2")</f>
        <v>ON X.CHAVE_IT=Y.CHAVE_SIMUL</v>
      </c>
      <c r="M532" s="32" t="str">
        <f>+IF(D532="Coerência",+IF(LEFT(H532,5)="FLOAT","SELECT '"&amp;UPPER(B532)&amp;"' AS TABELA, '"&amp;UPPER(D532)&amp;"' AS TIPOLOGIA_TESTE,'"&amp;E532&amp;"' AS TABELA_LT,'"&amp;F532&amp;"' AS TABELA_SIMUL,'"&amp;C532&amp;"'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"&amp;J532&amp;" INNER JOIN "&amp;K532&amp;" "&amp;L532,"SELECT '"&amp;UPPER(B532)&amp;"' AS TABELA, '"&amp;UPPER(D532)&amp;"' AS TIPOLOGIA_TESTE,'"&amp;E532&amp;"' AS TABELA_LT,'"&amp;F532&amp;"' AS TABELA_SIMUL,'"&amp;C532&amp;"'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"&amp;J532&amp;" INNER JOIN "&amp;K532&amp;" "&amp;L532))</f>
        <v>SELECT 'ENTITY' AS TABELA, 'COERÊNCIA' AS TIPOLOGIA_TESTE,'CD_LOAN_TAPES_BCE.LT003_ENTITY' AS TABELA_LT,'BU_LOANTAPE_WORK.LT003_ENTITY' AS TABELA_SIMUL,'pure_capex_ce'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pure_capex_ce AS CAMPO_IT FROM CD_LOAN_TAPES_BCE.LT003_ENTITY WHERE ref_date='${ref_date}' AND nome_perimetro='Individual Local' AND segmento='ESTR' AND ambito='PM' AND entidade='00100')X INNER JOIN (SELECT entty_id AS CHAVE_SIMUL, pure_capex_ce AS CAMPO_SIMUL FROM BU_LOANTAPE_WORK.LT003_ENTITY WHERE ref_date='${ref_date}' AND nome_perimetro='Individual Local' AND segmento='ESTR' AND ambito='PM' AND entidade='00100')Y ON X.CHAVE_IT=Y.CHAVE_SIMUL</v>
      </c>
      <c r="N532" s="33" t="str">
        <f t="shared" si="17"/>
        <v>UNION ALL SELECT 'ENTITY' AS TABELA, 'COERÊNCIA' AS TIPOLOGIA_TESTE,'CD_LOAN_TAPES_BCE.LT003_ENTITY' AS TABELA_LT,'BU_LOANTAPE_WORK.LT003_ENTITY' AS TABELA_SIMUL,'pure_capex_ce'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pure_capex_ce AS CAMPO_IT FROM CD_LOAN_TAPES_BCE.LT003_ENTITY WHERE ref_date='${ref_date}' AND nome_perimetro='Individual Local' AND segmento='ESTR' AND ambito='PM' AND entidade='00100')X INNER JOIN (SELECT entty_id AS CHAVE_SIMUL, pure_capex_ce AS CAMPO_SIMUL FROM BU_LOANTAPE_WORK.LT003_ENTITY WHERE ref_date='${ref_date}' AND nome_perimetro='Individual Local' AND segmento='ESTR' AND ambito='PM' AND entidade='00100')Y ON X.CHAVE_IT=Y.CHAVE_SIMUL</v>
      </c>
      <c r="O532" s="35" t="s">
        <v>35</v>
      </c>
    </row>
    <row r="533" spans="1:15">
      <c r="A533" s="57" t="str">
        <f t="shared" si="18"/>
        <v>Entitypure_trnvr_ce</v>
      </c>
      <c r="B533" s="32" t="s">
        <v>60</v>
      </c>
      <c r="C533" s="32" t="s">
        <v>194</v>
      </c>
      <c r="D533" s="32" t="s">
        <v>5</v>
      </c>
      <c r="E533" s="32" t="str">
        <f>+UPPER('0. Instruções'!$D$35&amp;"."&amp;VLOOKUP(B533,'0. Instruções'!$C$27:$D$32,2,FALSE))</f>
        <v>CD_LOAN_TAPES_BCE.LT003_ENTITY</v>
      </c>
      <c r="F533" s="32" t="str">
        <f>+UPPER('0. Instruções'!$D$36&amp;"."&amp;VLOOKUP(B533,'0. Instruções'!$C$27:$E$32,3,FALSE))</f>
        <v>BU_LOANTAPE_WORK.LT003_ENTITY</v>
      </c>
      <c r="H533" s="32"/>
      <c r="I533" s="32"/>
      <c r="J533" s="32" t="str">
        <f>IF(VLOOKUP(B533,'0. Instruções'!$C$27:$G$32,5,FALSE)=0,
"(SELECT "&amp;VLOOKUP(B533,'0. Instruções'!$C$27:$G$32,4,FALSE)&amp;" AS CHAVE_IT, "&amp;C533&amp;" AS CAMPO_IT FROM "&amp;E533&amp;" WHERE "&amp;'0. Instruções'!$D$43&amp;")X",
"(SELECT "&amp;VLOOKUP(B533,'0. Instruções'!$C$27:$G$32,4,FALSE)&amp;" AS CHAVE_IT1, "&amp;VLOOKUP(B533,'0. Instruções'!$C$27:$G$32,5,FALSE)&amp;" AS CHAVE_IT2, "&amp;C533&amp;" AS CAMPO_IT FROM "&amp;E533&amp;" WHERE "&amp;'0. Instruções'!$D$43&amp;")X")</f>
        <v>(SELECT entty_id AS CHAVE_IT, pure_trnvr_ce AS CAMPO_IT FROM CD_LOAN_TAPES_BCE.LT003_ENTITY WHERE ref_date='${ref_date}' AND nome_perimetro='Individual Local' AND segmento='ESTR' AND ambito='PM' AND entidade='00100')X</v>
      </c>
      <c r="K533" s="32" t="str">
        <f>IF(VLOOKUP(B533,'0. Instruções'!$C$27:$G$32,5,FALSE)=0,
"(SELECT "&amp;VLOOKUP(B533,'0. Instruções'!$C$27:$G$32,4,FALSE)&amp;" AS CHAVE_SIMUL, "&amp;C533&amp;" AS CAMPO_SIMUL FROM "&amp;F533&amp;" WHERE "&amp;'0. Instruções'!$D$42&amp;")Y",
"(SELECT "&amp;VLOOKUP(B533,'0. Instruções'!$C$27:$G$32,4,FALSE)&amp;" AS CHAVE_SIMUL1, "&amp;VLOOKUP(B533,'0. Instruções'!$C$27:$G$32,5,FALSE)&amp;" AS CHAVE_SIMUL2, "&amp;C533&amp;" AS CAMPO_SIMUL FROM "&amp;F533&amp;" WHERE "&amp;'0. Instruções'!$D$42&amp;")Y")</f>
        <v>(SELECT entty_id AS CHAVE_SIMUL, pure_trnvr_ce AS CAMPO_SIMUL FROM BU_LOANTAPE_WORK.LT003_ENTITY WHERE ref_date='${ref_date}' AND nome_perimetro='Individual Local' AND segmento='ESTR' AND ambito='PM' AND entidade='00100')Y</v>
      </c>
      <c r="L533" s="32" t="str">
        <f>IF(VLOOKUP(B533,'0. Instruções'!$C$27:$G$32,5,FALSE)=0,
"ON X.CHAVE_IT=Y.CHAVE_SIMUL",
"ON X.CHAVE_IT1=Y.CHAVE_SIMUL1 AND X.CHAVE_IT2=Y.CHAVE_SIMUL2")</f>
        <v>ON X.CHAVE_IT=Y.CHAVE_SIMUL</v>
      </c>
      <c r="M533" s="32" t="str">
        <f>+IF(D533="Coerência",+IF(LEFT(H533,5)="FLOAT","SELECT '"&amp;UPPER(B533)&amp;"' AS TABELA, '"&amp;UPPER(D533)&amp;"' AS TIPOLOGIA_TESTE,'"&amp;E533&amp;"' AS TABELA_LT,'"&amp;F533&amp;"' AS TABELA_SIMUL,'"&amp;C533&amp;"'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"&amp;J533&amp;" INNER JOIN "&amp;K533&amp;" "&amp;L533,"SELECT '"&amp;UPPER(B533)&amp;"' AS TABELA, '"&amp;UPPER(D533)&amp;"' AS TIPOLOGIA_TESTE,'"&amp;E533&amp;"' AS TABELA_LT,'"&amp;F533&amp;"' AS TABELA_SIMUL,'"&amp;C533&amp;"'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"&amp;J533&amp;" INNER JOIN "&amp;K533&amp;" "&amp;L533))</f>
        <v>SELECT 'ENTITY' AS TABELA, 'COERÊNCIA' AS TIPOLOGIA_TESTE,'CD_LOAN_TAPES_BCE.LT003_ENTITY' AS TABELA_LT,'BU_LOANTAPE_WORK.LT003_ENTITY' AS TABELA_SIMUL,'pure_trnvr_ce'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pure_trnvr_ce AS CAMPO_IT FROM CD_LOAN_TAPES_BCE.LT003_ENTITY WHERE ref_date='${ref_date}' AND nome_perimetro='Individual Local' AND segmento='ESTR' AND ambito='PM' AND entidade='00100')X INNER JOIN (SELECT entty_id AS CHAVE_SIMUL, pure_trnvr_ce AS CAMPO_SIMUL FROM BU_LOANTAPE_WORK.LT003_ENTITY WHERE ref_date='${ref_date}' AND nome_perimetro='Individual Local' AND segmento='ESTR' AND ambito='PM' AND entidade='00100')Y ON X.CHAVE_IT=Y.CHAVE_SIMUL</v>
      </c>
      <c r="N533" s="33" t="str">
        <f t="shared" si="17"/>
        <v>UNION ALL SELECT 'ENTITY' AS TABELA, 'COERÊNCIA' AS TIPOLOGIA_TESTE,'CD_LOAN_TAPES_BCE.LT003_ENTITY' AS TABELA_LT,'BU_LOANTAPE_WORK.LT003_ENTITY' AS TABELA_SIMUL,'pure_trnvr_ce'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pure_trnvr_ce AS CAMPO_IT FROM CD_LOAN_TAPES_BCE.LT003_ENTITY WHERE ref_date='${ref_date}' AND nome_perimetro='Individual Local' AND segmento='ESTR' AND ambito='PM' AND entidade='00100')X INNER JOIN (SELECT entty_id AS CHAVE_SIMUL, pure_trnvr_ce AS CAMPO_SIMUL FROM BU_LOANTAPE_WORK.LT003_ENTITY WHERE ref_date='${ref_date}' AND nome_perimetro='Individual Local' AND segmento='ESTR' AND ambito='PM' AND entidade='00100')Y ON X.CHAVE_IT=Y.CHAVE_SIMUL</v>
      </c>
      <c r="O533" s="35" t="s">
        <v>35</v>
      </c>
    </row>
    <row r="534" spans="1:15">
      <c r="A534" s="57" t="str">
        <f t="shared" si="18"/>
        <v>Entityenblng_capex_w</v>
      </c>
      <c r="B534" s="32" t="s">
        <v>60</v>
      </c>
      <c r="C534" s="32" t="s">
        <v>195</v>
      </c>
      <c r="D534" s="32" t="s">
        <v>5</v>
      </c>
      <c r="E534" s="32" t="str">
        <f>+UPPER('0. Instruções'!$D$35&amp;"."&amp;VLOOKUP(B534,'0. Instruções'!$C$27:$D$32,2,FALSE))</f>
        <v>CD_LOAN_TAPES_BCE.LT003_ENTITY</v>
      </c>
      <c r="F534" s="32" t="str">
        <f>+UPPER('0. Instruções'!$D$36&amp;"."&amp;VLOOKUP(B534,'0. Instruções'!$C$27:$E$32,3,FALSE))</f>
        <v>BU_LOANTAPE_WORK.LT003_ENTITY</v>
      </c>
      <c r="H534" s="32"/>
      <c r="I534" s="32"/>
      <c r="J534" s="32" t="str">
        <f>IF(VLOOKUP(B534,'0. Instruções'!$C$27:$G$32,5,FALSE)=0,
"(SELECT "&amp;VLOOKUP(B534,'0. Instruções'!$C$27:$G$32,4,FALSE)&amp;" AS CHAVE_IT, "&amp;C534&amp;" AS CAMPO_IT FROM "&amp;E534&amp;" WHERE "&amp;'0. Instruções'!$D$43&amp;")X",
"(SELECT "&amp;VLOOKUP(B534,'0. Instruções'!$C$27:$G$32,4,FALSE)&amp;" AS CHAVE_IT1, "&amp;VLOOKUP(B534,'0. Instruções'!$C$27:$G$32,5,FALSE)&amp;" AS CHAVE_IT2, "&amp;C534&amp;" AS CAMPO_IT FROM "&amp;E534&amp;" WHERE "&amp;'0. Instruções'!$D$43&amp;")X")</f>
        <v>(SELECT entty_id AS CHAVE_IT, enblng_capex_w AS CAMPO_IT FROM CD_LOAN_TAPES_BCE.LT003_ENTITY WHERE ref_date='${ref_date}' AND nome_perimetro='Individual Local' AND segmento='ESTR' AND ambito='PM' AND entidade='00100')X</v>
      </c>
      <c r="K534" s="32" t="str">
        <f>IF(VLOOKUP(B534,'0. Instruções'!$C$27:$G$32,5,FALSE)=0,
"(SELECT "&amp;VLOOKUP(B534,'0. Instruções'!$C$27:$G$32,4,FALSE)&amp;" AS CHAVE_SIMUL, "&amp;C534&amp;" AS CAMPO_SIMUL FROM "&amp;F534&amp;" WHERE "&amp;'0. Instruções'!$D$42&amp;")Y",
"(SELECT "&amp;VLOOKUP(B534,'0. Instruções'!$C$27:$G$32,4,FALSE)&amp;" AS CHAVE_SIMUL1, "&amp;VLOOKUP(B534,'0. Instruções'!$C$27:$G$32,5,FALSE)&amp;" AS CHAVE_SIMUL2, "&amp;C534&amp;" AS CAMPO_SIMUL FROM "&amp;F534&amp;" WHERE "&amp;'0. Instruções'!$D$42&amp;")Y")</f>
        <v>(SELECT entty_id AS CHAVE_SIMUL, enblng_capex_w AS CAMPO_SIMUL FROM BU_LOANTAPE_WORK.LT003_ENTITY WHERE ref_date='${ref_date}' AND nome_perimetro='Individual Local' AND segmento='ESTR' AND ambito='PM' AND entidade='00100')Y</v>
      </c>
      <c r="L534" s="32" t="str">
        <f>IF(VLOOKUP(B534,'0. Instruções'!$C$27:$G$32,5,FALSE)=0,
"ON X.CHAVE_IT=Y.CHAVE_SIMUL",
"ON X.CHAVE_IT1=Y.CHAVE_SIMUL1 AND X.CHAVE_IT2=Y.CHAVE_SIMUL2")</f>
        <v>ON X.CHAVE_IT=Y.CHAVE_SIMUL</v>
      </c>
      <c r="M534" s="32" t="str">
        <f>+IF(D534="Coerência",+IF(LEFT(H534,5)="FLOAT","SELECT '"&amp;UPPER(B534)&amp;"' AS TABELA, '"&amp;UPPER(D534)&amp;"' AS TIPOLOGIA_TESTE,'"&amp;E534&amp;"' AS TABELA_LT,'"&amp;F534&amp;"' AS TABELA_SIMUL,'"&amp;C534&amp;"'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"&amp;J534&amp;" INNER JOIN "&amp;K534&amp;" "&amp;L534,"SELECT '"&amp;UPPER(B534)&amp;"' AS TABELA, '"&amp;UPPER(D534)&amp;"' AS TIPOLOGIA_TESTE,'"&amp;E534&amp;"' AS TABELA_LT,'"&amp;F534&amp;"' AS TABELA_SIMUL,'"&amp;C534&amp;"'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"&amp;J534&amp;" INNER JOIN "&amp;K534&amp;" "&amp;L534))</f>
        <v>SELECT 'ENTITY' AS TABELA, 'COERÊNCIA' AS TIPOLOGIA_TESTE,'CD_LOAN_TAPES_BCE.LT003_ENTITY' AS TABELA_LT,'BU_LOANTAPE_WORK.LT003_ENTITY' AS TABELA_SIMUL,'enblng_capex_w'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enblng_capex_w AS CAMPO_IT FROM CD_LOAN_TAPES_BCE.LT003_ENTITY WHERE ref_date='${ref_date}' AND nome_perimetro='Individual Local' AND segmento='ESTR' AND ambito='PM' AND entidade='00100')X INNER JOIN (SELECT entty_id AS CHAVE_SIMUL, enblng_capex_w AS CAMPO_SIMUL FROM BU_LOANTAPE_WORK.LT003_ENTITY WHERE ref_date='${ref_date}' AND nome_perimetro='Individual Local' AND segmento='ESTR' AND ambito='PM' AND entidade='00100')Y ON X.CHAVE_IT=Y.CHAVE_SIMUL</v>
      </c>
      <c r="N534" s="33" t="str">
        <f t="shared" si="17"/>
        <v>UNION ALL SELECT 'ENTITY' AS TABELA, 'COERÊNCIA' AS TIPOLOGIA_TESTE,'CD_LOAN_TAPES_BCE.LT003_ENTITY' AS TABELA_LT,'BU_LOANTAPE_WORK.LT003_ENTITY' AS TABELA_SIMUL,'enblng_capex_w'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enblng_capex_w AS CAMPO_IT FROM CD_LOAN_TAPES_BCE.LT003_ENTITY WHERE ref_date='${ref_date}' AND nome_perimetro='Individual Local' AND segmento='ESTR' AND ambito='PM' AND entidade='00100')X INNER JOIN (SELECT entty_id AS CHAVE_SIMUL, enblng_capex_w AS CAMPO_SIMUL FROM BU_LOANTAPE_WORK.LT003_ENTITY WHERE ref_date='${ref_date}' AND nome_perimetro='Individual Local' AND segmento='ESTR' AND ambito='PM' AND entidade='00100')Y ON X.CHAVE_IT=Y.CHAVE_SIMUL</v>
      </c>
      <c r="O534" s="35" t="s">
        <v>35</v>
      </c>
    </row>
    <row r="535" spans="1:15">
      <c r="A535" s="57" t="str">
        <f t="shared" si="18"/>
        <v>Entityenblng_trnvr_w</v>
      </c>
      <c r="B535" s="32" t="s">
        <v>60</v>
      </c>
      <c r="C535" s="32" t="s">
        <v>196</v>
      </c>
      <c r="D535" s="32" t="s">
        <v>5</v>
      </c>
      <c r="E535" s="32" t="str">
        <f>+UPPER('0. Instruções'!$D$35&amp;"."&amp;VLOOKUP(B535,'0. Instruções'!$C$27:$D$32,2,FALSE))</f>
        <v>CD_LOAN_TAPES_BCE.LT003_ENTITY</v>
      </c>
      <c r="F535" s="32" t="str">
        <f>+UPPER('0. Instruções'!$D$36&amp;"."&amp;VLOOKUP(B535,'0. Instruções'!$C$27:$E$32,3,FALSE))</f>
        <v>BU_LOANTAPE_WORK.LT003_ENTITY</v>
      </c>
      <c r="H535" s="32"/>
      <c r="I535" s="32"/>
      <c r="J535" s="32" t="str">
        <f>IF(VLOOKUP(B535,'0. Instruções'!$C$27:$G$32,5,FALSE)=0,
"(SELECT "&amp;VLOOKUP(B535,'0. Instruções'!$C$27:$G$32,4,FALSE)&amp;" AS CHAVE_IT, "&amp;C535&amp;" AS CAMPO_IT FROM "&amp;E535&amp;" WHERE "&amp;'0. Instruções'!$D$43&amp;")X",
"(SELECT "&amp;VLOOKUP(B535,'0. Instruções'!$C$27:$G$32,4,FALSE)&amp;" AS CHAVE_IT1, "&amp;VLOOKUP(B535,'0. Instruções'!$C$27:$G$32,5,FALSE)&amp;" AS CHAVE_IT2, "&amp;C535&amp;" AS CAMPO_IT FROM "&amp;E535&amp;" WHERE "&amp;'0. Instruções'!$D$43&amp;")X")</f>
        <v>(SELECT entty_id AS CHAVE_IT, enblng_trnvr_w AS CAMPO_IT FROM CD_LOAN_TAPES_BCE.LT003_ENTITY WHERE ref_date='${ref_date}' AND nome_perimetro='Individual Local' AND segmento='ESTR' AND ambito='PM' AND entidade='00100')X</v>
      </c>
      <c r="K535" s="32" t="str">
        <f>IF(VLOOKUP(B535,'0. Instruções'!$C$27:$G$32,5,FALSE)=0,
"(SELECT "&amp;VLOOKUP(B535,'0. Instruções'!$C$27:$G$32,4,FALSE)&amp;" AS CHAVE_SIMUL, "&amp;C535&amp;" AS CAMPO_SIMUL FROM "&amp;F535&amp;" WHERE "&amp;'0. Instruções'!$D$42&amp;")Y",
"(SELECT "&amp;VLOOKUP(B535,'0. Instruções'!$C$27:$G$32,4,FALSE)&amp;" AS CHAVE_SIMUL1, "&amp;VLOOKUP(B535,'0. Instruções'!$C$27:$G$32,5,FALSE)&amp;" AS CHAVE_SIMUL2, "&amp;C535&amp;" AS CAMPO_SIMUL FROM "&amp;F535&amp;" WHERE "&amp;'0. Instruções'!$D$42&amp;")Y")</f>
        <v>(SELECT entty_id AS CHAVE_SIMUL, enblng_trnvr_w AS CAMPO_SIMUL FROM BU_LOANTAPE_WORK.LT003_ENTITY WHERE ref_date='${ref_date}' AND nome_perimetro='Individual Local' AND segmento='ESTR' AND ambito='PM' AND entidade='00100')Y</v>
      </c>
      <c r="L535" s="32" t="str">
        <f>IF(VLOOKUP(B535,'0. Instruções'!$C$27:$G$32,5,FALSE)=0,
"ON X.CHAVE_IT=Y.CHAVE_SIMUL",
"ON X.CHAVE_IT1=Y.CHAVE_SIMUL1 AND X.CHAVE_IT2=Y.CHAVE_SIMUL2")</f>
        <v>ON X.CHAVE_IT=Y.CHAVE_SIMUL</v>
      </c>
      <c r="M535" s="32" t="str">
        <f>+IF(D535="Coerência",+IF(LEFT(H535,5)="FLOAT","SELECT '"&amp;UPPER(B535)&amp;"' AS TABELA, '"&amp;UPPER(D535)&amp;"' AS TIPOLOGIA_TESTE,'"&amp;E535&amp;"' AS TABELA_LT,'"&amp;F535&amp;"' AS TABELA_SIMUL,'"&amp;C535&amp;"'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"&amp;J535&amp;" INNER JOIN "&amp;K535&amp;" "&amp;L535,"SELECT '"&amp;UPPER(B535)&amp;"' AS TABELA, '"&amp;UPPER(D535)&amp;"' AS TIPOLOGIA_TESTE,'"&amp;E535&amp;"' AS TABELA_LT,'"&amp;F535&amp;"' AS TABELA_SIMUL,'"&amp;C535&amp;"'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"&amp;J535&amp;" INNER JOIN "&amp;K535&amp;" "&amp;L535))</f>
        <v>SELECT 'ENTITY' AS TABELA, 'COERÊNCIA' AS TIPOLOGIA_TESTE,'CD_LOAN_TAPES_BCE.LT003_ENTITY' AS TABELA_LT,'BU_LOANTAPE_WORK.LT003_ENTITY' AS TABELA_SIMUL,'enblng_trnvr_w'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enblng_trnvr_w AS CAMPO_IT FROM CD_LOAN_TAPES_BCE.LT003_ENTITY WHERE ref_date='${ref_date}' AND nome_perimetro='Individual Local' AND segmento='ESTR' AND ambito='PM' AND entidade='00100')X INNER JOIN (SELECT entty_id AS CHAVE_SIMUL, enblng_trnvr_w AS CAMPO_SIMUL FROM BU_LOANTAPE_WORK.LT003_ENTITY WHERE ref_date='${ref_date}' AND nome_perimetro='Individual Local' AND segmento='ESTR' AND ambito='PM' AND entidade='00100')Y ON X.CHAVE_IT=Y.CHAVE_SIMUL</v>
      </c>
      <c r="N535" s="33" t="str">
        <f t="shared" si="17"/>
        <v>UNION ALL SELECT 'ENTITY' AS TABELA, 'COERÊNCIA' AS TIPOLOGIA_TESTE,'CD_LOAN_TAPES_BCE.LT003_ENTITY' AS TABELA_LT,'BU_LOANTAPE_WORK.LT003_ENTITY' AS TABELA_SIMUL,'enblng_trnvr_w'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enblng_trnvr_w AS CAMPO_IT FROM CD_LOAN_TAPES_BCE.LT003_ENTITY WHERE ref_date='${ref_date}' AND nome_perimetro='Individual Local' AND segmento='ESTR' AND ambito='PM' AND entidade='00100')X INNER JOIN (SELECT entty_id AS CHAVE_SIMUL, enblng_trnvr_w AS CAMPO_SIMUL FROM BU_LOANTAPE_WORK.LT003_ENTITY WHERE ref_date='${ref_date}' AND nome_perimetro='Individual Local' AND segmento='ESTR' AND ambito='PM' AND entidade='00100')Y ON X.CHAVE_IT=Y.CHAVE_SIMUL</v>
      </c>
      <c r="O535" s="35" t="s">
        <v>35</v>
      </c>
    </row>
    <row r="536" spans="1:15">
      <c r="A536" s="57" t="str">
        <f t="shared" si="18"/>
        <v>Entityenblng_capex_ce</v>
      </c>
      <c r="B536" s="32" t="s">
        <v>60</v>
      </c>
      <c r="C536" s="32" t="s">
        <v>197</v>
      </c>
      <c r="D536" s="32" t="s">
        <v>5</v>
      </c>
      <c r="E536" s="32" t="str">
        <f>+UPPER('0. Instruções'!$D$35&amp;"."&amp;VLOOKUP(B536,'0. Instruções'!$C$27:$D$32,2,FALSE))</f>
        <v>CD_LOAN_TAPES_BCE.LT003_ENTITY</v>
      </c>
      <c r="F536" s="32" t="str">
        <f>+UPPER('0. Instruções'!$D$36&amp;"."&amp;VLOOKUP(B536,'0. Instruções'!$C$27:$E$32,3,FALSE))</f>
        <v>BU_LOANTAPE_WORK.LT003_ENTITY</v>
      </c>
      <c r="H536" s="32"/>
      <c r="I536" s="32"/>
      <c r="J536" s="32" t="str">
        <f>IF(VLOOKUP(B536,'0. Instruções'!$C$27:$G$32,5,FALSE)=0,
"(SELECT "&amp;VLOOKUP(B536,'0. Instruções'!$C$27:$G$32,4,FALSE)&amp;" AS CHAVE_IT, "&amp;C536&amp;" AS CAMPO_IT FROM "&amp;E536&amp;" WHERE "&amp;'0. Instruções'!$D$43&amp;")X",
"(SELECT "&amp;VLOOKUP(B536,'0. Instruções'!$C$27:$G$32,4,FALSE)&amp;" AS CHAVE_IT1, "&amp;VLOOKUP(B536,'0. Instruções'!$C$27:$G$32,5,FALSE)&amp;" AS CHAVE_IT2, "&amp;C536&amp;" AS CAMPO_IT FROM "&amp;E536&amp;" WHERE "&amp;'0. Instruções'!$D$43&amp;")X")</f>
        <v>(SELECT entty_id AS CHAVE_IT, enblng_capex_ce AS CAMPO_IT FROM CD_LOAN_TAPES_BCE.LT003_ENTITY WHERE ref_date='${ref_date}' AND nome_perimetro='Individual Local' AND segmento='ESTR' AND ambito='PM' AND entidade='00100')X</v>
      </c>
      <c r="K536" s="32" t="str">
        <f>IF(VLOOKUP(B536,'0. Instruções'!$C$27:$G$32,5,FALSE)=0,
"(SELECT "&amp;VLOOKUP(B536,'0. Instruções'!$C$27:$G$32,4,FALSE)&amp;" AS CHAVE_SIMUL, "&amp;C536&amp;" AS CAMPO_SIMUL FROM "&amp;F536&amp;" WHERE "&amp;'0. Instruções'!$D$42&amp;")Y",
"(SELECT "&amp;VLOOKUP(B536,'0. Instruções'!$C$27:$G$32,4,FALSE)&amp;" AS CHAVE_SIMUL1, "&amp;VLOOKUP(B536,'0. Instruções'!$C$27:$G$32,5,FALSE)&amp;" AS CHAVE_SIMUL2, "&amp;C536&amp;" AS CAMPO_SIMUL FROM "&amp;F536&amp;" WHERE "&amp;'0. Instruções'!$D$42&amp;")Y")</f>
        <v>(SELECT entty_id AS CHAVE_SIMUL, enblng_capex_ce AS CAMPO_SIMUL FROM BU_LOANTAPE_WORK.LT003_ENTITY WHERE ref_date='${ref_date}' AND nome_perimetro='Individual Local' AND segmento='ESTR' AND ambito='PM' AND entidade='00100')Y</v>
      </c>
      <c r="L536" s="32" t="str">
        <f>IF(VLOOKUP(B536,'0. Instruções'!$C$27:$G$32,5,FALSE)=0,
"ON X.CHAVE_IT=Y.CHAVE_SIMUL",
"ON X.CHAVE_IT1=Y.CHAVE_SIMUL1 AND X.CHAVE_IT2=Y.CHAVE_SIMUL2")</f>
        <v>ON X.CHAVE_IT=Y.CHAVE_SIMUL</v>
      </c>
      <c r="M536" s="32" t="str">
        <f>+IF(D536="Coerência",+IF(LEFT(H536,5)="FLOAT","SELECT '"&amp;UPPER(B536)&amp;"' AS TABELA, '"&amp;UPPER(D536)&amp;"' AS TIPOLOGIA_TESTE,'"&amp;E536&amp;"' AS TABELA_LT,'"&amp;F536&amp;"' AS TABELA_SIMUL,'"&amp;C536&amp;"'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"&amp;J536&amp;" INNER JOIN "&amp;K536&amp;" "&amp;L536,"SELECT '"&amp;UPPER(B536)&amp;"' AS TABELA, '"&amp;UPPER(D536)&amp;"' AS TIPOLOGIA_TESTE,'"&amp;E536&amp;"' AS TABELA_LT,'"&amp;F536&amp;"' AS TABELA_SIMUL,'"&amp;C536&amp;"'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"&amp;J536&amp;" INNER JOIN "&amp;K536&amp;" "&amp;L536))</f>
        <v>SELECT 'ENTITY' AS TABELA, 'COERÊNCIA' AS TIPOLOGIA_TESTE,'CD_LOAN_TAPES_BCE.LT003_ENTITY' AS TABELA_LT,'BU_LOANTAPE_WORK.LT003_ENTITY' AS TABELA_SIMUL,'enblng_capex_ce'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enblng_capex_ce AS CAMPO_IT FROM CD_LOAN_TAPES_BCE.LT003_ENTITY WHERE ref_date='${ref_date}' AND nome_perimetro='Individual Local' AND segmento='ESTR' AND ambito='PM' AND entidade='00100')X INNER JOIN (SELECT entty_id AS CHAVE_SIMUL, enblng_capex_ce AS CAMPO_SIMUL FROM BU_LOANTAPE_WORK.LT003_ENTITY WHERE ref_date='${ref_date}' AND nome_perimetro='Individual Local' AND segmento='ESTR' AND ambito='PM' AND entidade='00100')Y ON X.CHAVE_IT=Y.CHAVE_SIMUL</v>
      </c>
      <c r="N536" s="33" t="str">
        <f t="shared" si="17"/>
        <v>UNION ALL SELECT 'ENTITY' AS TABELA, 'COERÊNCIA' AS TIPOLOGIA_TESTE,'CD_LOAN_TAPES_BCE.LT003_ENTITY' AS TABELA_LT,'BU_LOANTAPE_WORK.LT003_ENTITY' AS TABELA_SIMUL,'enblng_capex_ce'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enblng_capex_ce AS CAMPO_IT FROM CD_LOAN_TAPES_BCE.LT003_ENTITY WHERE ref_date='${ref_date}' AND nome_perimetro='Individual Local' AND segmento='ESTR' AND ambito='PM' AND entidade='00100')X INNER JOIN (SELECT entty_id AS CHAVE_SIMUL, enblng_capex_ce AS CAMPO_SIMUL FROM BU_LOANTAPE_WORK.LT003_ENTITY WHERE ref_date='${ref_date}' AND nome_perimetro='Individual Local' AND segmento='ESTR' AND ambito='PM' AND entidade='00100')Y ON X.CHAVE_IT=Y.CHAVE_SIMUL</v>
      </c>
      <c r="O536" s="35" t="s">
        <v>35</v>
      </c>
    </row>
    <row r="537" spans="1:15">
      <c r="A537" s="57" t="str">
        <f t="shared" si="18"/>
        <v>Entityenblng_trnvr_ce</v>
      </c>
      <c r="B537" s="32" t="s">
        <v>60</v>
      </c>
      <c r="C537" s="32" t="s">
        <v>198</v>
      </c>
      <c r="D537" s="32" t="s">
        <v>5</v>
      </c>
      <c r="E537" s="32" t="str">
        <f>+UPPER('0. Instruções'!$D$35&amp;"."&amp;VLOOKUP(B537,'0. Instruções'!$C$27:$D$32,2,FALSE))</f>
        <v>CD_LOAN_TAPES_BCE.LT003_ENTITY</v>
      </c>
      <c r="F537" s="32" t="str">
        <f>+UPPER('0. Instruções'!$D$36&amp;"."&amp;VLOOKUP(B537,'0. Instruções'!$C$27:$E$32,3,FALSE))</f>
        <v>BU_LOANTAPE_WORK.LT003_ENTITY</v>
      </c>
      <c r="H537" s="32"/>
      <c r="I537" s="32"/>
      <c r="J537" s="32" t="str">
        <f>IF(VLOOKUP(B537,'0. Instruções'!$C$27:$G$32,5,FALSE)=0,
"(SELECT "&amp;VLOOKUP(B537,'0. Instruções'!$C$27:$G$32,4,FALSE)&amp;" AS CHAVE_IT, "&amp;C537&amp;" AS CAMPO_IT FROM "&amp;E537&amp;" WHERE "&amp;'0. Instruções'!$D$43&amp;")X",
"(SELECT "&amp;VLOOKUP(B537,'0. Instruções'!$C$27:$G$32,4,FALSE)&amp;" AS CHAVE_IT1, "&amp;VLOOKUP(B537,'0. Instruções'!$C$27:$G$32,5,FALSE)&amp;" AS CHAVE_IT2, "&amp;C537&amp;" AS CAMPO_IT FROM "&amp;E537&amp;" WHERE "&amp;'0. Instruções'!$D$43&amp;")X")</f>
        <v>(SELECT entty_id AS CHAVE_IT, enblng_trnvr_ce AS CAMPO_IT FROM CD_LOAN_TAPES_BCE.LT003_ENTITY WHERE ref_date='${ref_date}' AND nome_perimetro='Individual Local' AND segmento='ESTR' AND ambito='PM' AND entidade='00100')X</v>
      </c>
      <c r="K537" s="32" t="str">
        <f>IF(VLOOKUP(B537,'0. Instruções'!$C$27:$G$32,5,FALSE)=0,
"(SELECT "&amp;VLOOKUP(B537,'0. Instruções'!$C$27:$G$32,4,FALSE)&amp;" AS CHAVE_SIMUL, "&amp;C537&amp;" AS CAMPO_SIMUL FROM "&amp;F537&amp;" WHERE "&amp;'0. Instruções'!$D$42&amp;")Y",
"(SELECT "&amp;VLOOKUP(B537,'0. Instruções'!$C$27:$G$32,4,FALSE)&amp;" AS CHAVE_SIMUL1, "&amp;VLOOKUP(B537,'0. Instruções'!$C$27:$G$32,5,FALSE)&amp;" AS CHAVE_SIMUL2, "&amp;C537&amp;" AS CAMPO_SIMUL FROM "&amp;F537&amp;" WHERE "&amp;'0. Instruções'!$D$42&amp;")Y")</f>
        <v>(SELECT entty_id AS CHAVE_SIMUL, enblng_trnvr_ce AS CAMPO_SIMUL FROM BU_LOANTAPE_WORK.LT003_ENTITY WHERE ref_date='${ref_date}' AND nome_perimetro='Individual Local' AND segmento='ESTR' AND ambito='PM' AND entidade='00100')Y</v>
      </c>
      <c r="L537" s="32" t="str">
        <f>IF(VLOOKUP(B537,'0. Instruções'!$C$27:$G$32,5,FALSE)=0,
"ON X.CHAVE_IT=Y.CHAVE_SIMUL",
"ON X.CHAVE_IT1=Y.CHAVE_SIMUL1 AND X.CHAVE_IT2=Y.CHAVE_SIMUL2")</f>
        <v>ON X.CHAVE_IT=Y.CHAVE_SIMUL</v>
      </c>
      <c r="M537" s="32" t="str">
        <f>+IF(D537="Coerência",+IF(LEFT(H537,5)="FLOAT","SELECT '"&amp;UPPER(B537)&amp;"' AS TABELA, '"&amp;UPPER(D537)&amp;"' AS TIPOLOGIA_TESTE,'"&amp;E537&amp;"' AS TABELA_LT,'"&amp;F537&amp;"' AS TABELA_SIMUL,'"&amp;C537&amp;"'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"&amp;J537&amp;" INNER JOIN "&amp;K537&amp;" "&amp;L537,"SELECT '"&amp;UPPER(B537)&amp;"' AS TABELA, '"&amp;UPPER(D537)&amp;"' AS TIPOLOGIA_TESTE,'"&amp;E537&amp;"' AS TABELA_LT,'"&amp;F537&amp;"' AS TABELA_SIMUL,'"&amp;C537&amp;"'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"&amp;J537&amp;" INNER JOIN "&amp;K537&amp;" "&amp;L537))</f>
        <v>SELECT 'ENTITY' AS TABELA, 'COERÊNCIA' AS TIPOLOGIA_TESTE,'CD_LOAN_TAPES_BCE.LT003_ENTITY' AS TABELA_LT,'BU_LOANTAPE_WORK.LT003_ENTITY' AS TABELA_SIMUL,'enblng_trnvr_ce'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enblng_trnvr_ce AS CAMPO_IT FROM CD_LOAN_TAPES_BCE.LT003_ENTITY WHERE ref_date='${ref_date}' AND nome_perimetro='Individual Local' AND segmento='ESTR' AND ambito='PM' AND entidade='00100')X INNER JOIN (SELECT entty_id AS CHAVE_SIMUL, enblng_trnvr_ce AS CAMPO_SIMUL FROM BU_LOANTAPE_WORK.LT003_ENTITY WHERE ref_date='${ref_date}' AND nome_perimetro='Individual Local' AND segmento='ESTR' AND ambito='PM' AND entidade='00100')Y ON X.CHAVE_IT=Y.CHAVE_SIMUL</v>
      </c>
      <c r="N537" s="33" t="str">
        <f t="shared" si="17"/>
        <v>UNION ALL SELECT 'ENTITY' AS TABELA, 'COERÊNCIA' AS TIPOLOGIA_TESTE,'CD_LOAN_TAPES_BCE.LT003_ENTITY' AS TABELA_LT,'BU_LOANTAPE_WORK.LT003_ENTITY' AS TABELA_SIMUL,'enblng_trnvr_ce'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enblng_trnvr_ce AS CAMPO_IT FROM CD_LOAN_TAPES_BCE.LT003_ENTITY WHERE ref_date='${ref_date}' AND nome_perimetro='Individual Local' AND segmento='ESTR' AND ambito='PM' AND entidade='00100')X INNER JOIN (SELECT entty_id AS CHAVE_SIMUL, enblng_trnvr_ce AS CAMPO_SIMUL FROM BU_LOANTAPE_WORK.LT003_ENTITY WHERE ref_date='${ref_date}' AND nome_perimetro='Individual Local' AND segmento='ESTR' AND ambito='PM' AND entidade='00100')Y ON X.CHAVE_IT=Y.CHAVE_SIMUL</v>
      </c>
      <c r="O537" s="35" t="s">
        <v>35</v>
      </c>
    </row>
    <row r="538" spans="1:15">
      <c r="A538" s="57" t="str">
        <f t="shared" si="18"/>
        <v>Entityflln_angl_extndd_dfntn</v>
      </c>
      <c r="B538" s="32" t="s">
        <v>60</v>
      </c>
      <c r="C538" s="32" t="s">
        <v>603</v>
      </c>
      <c r="D538" s="32" t="s">
        <v>5</v>
      </c>
      <c r="E538" s="32" t="str">
        <f>+UPPER('0. Instruções'!$D$35&amp;"."&amp;VLOOKUP(B538,'0. Instruções'!$C$27:$D$32,2,FALSE))</f>
        <v>CD_LOAN_TAPES_BCE.LT003_ENTITY</v>
      </c>
      <c r="F538" s="32" t="str">
        <f>+UPPER('0. Instruções'!$D$36&amp;"."&amp;VLOOKUP(B538,'0. Instruções'!$C$27:$E$32,3,FALSE))</f>
        <v>BU_LOANTAPE_WORK.LT003_ENTITY</v>
      </c>
      <c r="H538" s="32"/>
      <c r="I538" s="32"/>
      <c r="J538" s="32" t="str">
        <f>IF(VLOOKUP(B538,'0. Instruções'!$C$27:$G$32,5,FALSE)=0,
"(SELECT "&amp;VLOOKUP(B538,'0. Instruções'!$C$27:$G$32,4,FALSE)&amp;" AS CHAVE_IT, "&amp;C538&amp;" AS CAMPO_IT FROM "&amp;E538&amp;" WHERE "&amp;'0. Instruções'!$D$43&amp;")X",
"(SELECT "&amp;VLOOKUP(B538,'0. Instruções'!$C$27:$G$32,4,FALSE)&amp;" AS CHAVE_IT1, "&amp;VLOOKUP(B538,'0. Instruções'!$C$27:$G$32,5,FALSE)&amp;" AS CHAVE_IT2, "&amp;C538&amp;" AS CAMPO_IT FROM "&amp;E538&amp;" WHERE "&amp;'0. Instruções'!$D$43&amp;")X")</f>
        <v>(SELECT entty_id AS CHAVE_IT, flln_angl_extndd_dfntn AS CAMPO_IT FROM CD_LOAN_TAPES_BCE.LT003_ENTITY WHERE ref_date='${ref_date}' AND nome_perimetro='Individual Local' AND segmento='ESTR' AND ambito='PM' AND entidade='00100')X</v>
      </c>
      <c r="K538" s="32" t="str">
        <f>IF(VLOOKUP(B538,'0. Instruções'!$C$27:$G$32,5,FALSE)=0,
"(SELECT "&amp;VLOOKUP(B538,'0. Instruções'!$C$27:$G$32,4,FALSE)&amp;" AS CHAVE_SIMUL, "&amp;C538&amp;" AS CAMPO_SIMUL FROM "&amp;F538&amp;" WHERE "&amp;'0. Instruções'!$D$42&amp;")Y",
"(SELECT "&amp;VLOOKUP(B538,'0. Instruções'!$C$27:$G$32,4,FALSE)&amp;" AS CHAVE_SIMUL1, "&amp;VLOOKUP(B538,'0. Instruções'!$C$27:$G$32,5,FALSE)&amp;" AS CHAVE_SIMUL2, "&amp;C538&amp;" AS CAMPO_SIMUL FROM "&amp;F538&amp;" WHERE "&amp;'0. Instruções'!$D$42&amp;")Y")</f>
        <v>(SELECT entty_id AS CHAVE_SIMUL, flln_angl_extndd_dfntn AS CAMPO_SIMUL FROM BU_LOANTAPE_WORK.LT003_ENTITY WHERE ref_date='${ref_date}' AND nome_perimetro='Individual Local' AND segmento='ESTR' AND ambito='PM' AND entidade='00100')Y</v>
      </c>
      <c r="L538" s="32" t="str">
        <f>IF(VLOOKUP(B538,'0. Instruções'!$C$27:$G$32,5,FALSE)=0,
"ON X.CHAVE_IT=Y.CHAVE_SIMUL",
"ON X.CHAVE_IT1=Y.CHAVE_SIMUL1 AND X.CHAVE_IT2=Y.CHAVE_SIMUL2")</f>
        <v>ON X.CHAVE_IT=Y.CHAVE_SIMUL</v>
      </c>
      <c r="M538" s="32" t="str">
        <f>+IF(D538="Coerência",+IF(LEFT(H538,5)="FLOAT","SELECT '"&amp;UPPER(B538)&amp;"' AS TABELA, '"&amp;UPPER(D538)&amp;"' AS TIPOLOGIA_TESTE,'"&amp;E538&amp;"' AS TABELA_LT,'"&amp;F538&amp;"' AS TABELA_SIMUL,'"&amp;C538&amp;"'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"&amp;J538&amp;" INNER JOIN "&amp;K538&amp;" "&amp;L538,"SELECT '"&amp;UPPER(B538)&amp;"' AS TABELA, '"&amp;UPPER(D538)&amp;"' AS TIPOLOGIA_TESTE,'"&amp;E538&amp;"' AS TABELA_LT,'"&amp;F538&amp;"' AS TABELA_SIMUL,'"&amp;C538&amp;"'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"&amp;J538&amp;" INNER JOIN "&amp;K538&amp;" "&amp;L538))</f>
        <v>SELECT 'ENTITY' AS TABELA, 'COERÊNCIA' AS TIPOLOGIA_TESTE,'CD_LOAN_TAPES_BCE.LT003_ENTITY' AS TABELA_LT,'BU_LOANTAPE_WORK.LT003_ENTITY' AS TABELA_SIMUL,'flln_angl_extndd_dfntn'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flln_angl_extndd_dfntn AS CAMPO_IT FROM CD_LOAN_TAPES_BCE.LT003_ENTITY WHERE ref_date='${ref_date}' AND nome_perimetro='Individual Local' AND segmento='ESTR' AND ambito='PM' AND entidade='00100')X INNER JOIN (SELECT entty_id AS CHAVE_SIMUL, flln_angl_extndd_dfntn AS CAMPO_SIMUL FROM BU_LOANTAPE_WORK.LT003_ENTITY WHERE ref_date='${ref_date}' AND nome_perimetro='Individual Local' AND segmento='ESTR' AND ambito='PM' AND entidade='00100')Y ON X.CHAVE_IT=Y.CHAVE_SIMUL</v>
      </c>
      <c r="N538" s="33" t="str">
        <f t="shared" si="17"/>
        <v>UNION ALL SELECT 'ENTITY' AS TABELA, 'COERÊNCIA' AS TIPOLOGIA_TESTE,'CD_LOAN_TAPES_BCE.LT003_ENTITY' AS TABELA_LT,'BU_LOANTAPE_WORK.LT003_ENTITY' AS TABELA_SIMUL,'flln_angl_extndd_dfntn'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flln_angl_extndd_dfntn AS CAMPO_IT FROM CD_LOAN_TAPES_BCE.LT003_ENTITY WHERE ref_date='${ref_date}' AND nome_perimetro='Individual Local' AND segmento='ESTR' AND ambito='PM' AND entidade='00100')X INNER JOIN (SELECT entty_id AS CHAVE_SIMUL, flln_angl_extndd_dfntn AS CAMPO_SIMUL FROM BU_LOANTAPE_WORK.LT003_ENTITY WHERE ref_date='${ref_date}' AND nome_perimetro='Individual Local' AND segmento='ESTR' AND ambito='PM' AND entidade='00100')Y ON X.CHAVE_IT=Y.CHAVE_SIMUL</v>
      </c>
      <c r="O538" s="35" t="s">
        <v>35</v>
      </c>
    </row>
    <row r="539" spans="1:15">
      <c r="A539" s="57" t="str">
        <f t="shared" si="18"/>
        <v>Entityflln_angl_nrrw_dfntn</v>
      </c>
      <c r="B539" s="32" t="s">
        <v>60</v>
      </c>
      <c r="C539" s="32" t="s">
        <v>604</v>
      </c>
      <c r="D539" s="32" t="s">
        <v>5</v>
      </c>
      <c r="E539" s="32" t="str">
        <f>+UPPER('0. Instruções'!$D$35&amp;"."&amp;VLOOKUP(B539,'0. Instruções'!$C$27:$D$32,2,FALSE))</f>
        <v>CD_LOAN_TAPES_BCE.LT003_ENTITY</v>
      </c>
      <c r="F539" s="32" t="str">
        <f>+UPPER('0. Instruções'!$D$36&amp;"."&amp;VLOOKUP(B539,'0. Instruções'!$C$27:$E$32,3,FALSE))</f>
        <v>BU_LOANTAPE_WORK.LT003_ENTITY</v>
      </c>
      <c r="H539" s="32"/>
      <c r="I539" s="32"/>
      <c r="J539" s="32" t="str">
        <f>IF(VLOOKUP(B539,'0. Instruções'!$C$27:$G$32,5,FALSE)=0,
"(SELECT "&amp;VLOOKUP(B539,'0. Instruções'!$C$27:$G$32,4,FALSE)&amp;" AS CHAVE_IT, "&amp;C539&amp;" AS CAMPO_IT FROM "&amp;E539&amp;" WHERE "&amp;'0. Instruções'!$D$43&amp;")X",
"(SELECT "&amp;VLOOKUP(B539,'0. Instruções'!$C$27:$G$32,4,FALSE)&amp;" AS CHAVE_IT1, "&amp;VLOOKUP(B539,'0. Instruções'!$C$27:$G$32,5,FALSE)&amp;" AS CHAVE_IT2, "&amp;C539&amp;" AS CAMPO_IT FROM "&amp;E539&amp;" WHERE "&amp;'0. Instruções'!$D$43&amp;")X")</f>
        <v>(SELECT entty_id AS CHAVE_IT, flln_angl_nrrw_dfntn AS CAMPO_IT FROM CD_LOAN_TAPES_BCE.LT003_ENTITY WHERE ref_date='${ref_date}' AND nome_perimetro='Individual Local' AND segmento='ESTR' AND ambito='PM' AND entidade='00100')X</v>
      </c>
      <c r="K539" s="32" t="str">
        <f>IF(VLOOKUP(B539,'0. Instruções'!$C$27:$G$32,5,FALSE)=0,
"(SELECT "&amp;VLOOKUP(B539,'0. Instruções'!$C$27:$G$32,4,FALSE)&amp;" AS CHAVE_SIMUL, "&amp;C539&amp;" AS CAMPO_SIMUL FROM "&amp;F539&amp;" WHERE "&amp;'0. Instruções'!$D$42&amp;")Y",
"(SELECT "&amp;VLOOKUP(B539,'0. Instruções'!$C$27:$G$32,4,FALSE)&amp;" AS CHAVE_SIMUL1, "&amp;VLOOKUP(B539,'0. Instruções'!$C$27:$G$32,5,FALSE)&amp;" AS CHAVE_SIMUL2, "&amp;C539&amp;" AS CAMPO_SIMUL FROM "&amp;F539&amp;" WHERE "&amp;'0. Instruções'!$D$42&amp;")Y")</f>
        <v>(SELECT entty_id AS CHAVE_SIMUL, flln_angl_nrrw_dfntn AS CAMPO_SIMUL FROM BU_LOANTAPE_WORK.LT003_ENTITY WHERE ref_date='${ref_date}' AND nome_perimetro='Individual Local' AND segmento='ESTR' AND ambito='PM' AND entidade='00100')Y</v>
      </c>
      <c r="L539" s="32" t="str">
        <f>IF(VLOOKUP(B539,'0. Instruções'!$C$27:$G$32,5,FALSE)=0,
"ON X.CHAVE_IT=Y.CHAVE_SIMUL",
"ON X.CHAVE_IT1=Y.CHAVE_SIMUL1 AND X.CHAVE_IT2=Y.CHAVE_SIMUL2")</f>
        <v>ON X.CHAVE_IT=Y.CHAVE_SIMUL</v>
      </c>
      <c r="M539" s="32" t="str">
        <f>+IF(D539="Coerência",+IF(LEFT(H539,5)="FLOAT","SELECT '"&amp;UPPER(B539)&amp;"' AS TABELA, '"&amp;UPPER(D539)&amp;"' AS TIPOLOGIA_TESTE,'"&amp;E539&amp;"' AS TABELA_LT,'"&amp;F539&amp;"' AS TABELA_SIMUL,'"&amp;C539&amp;"'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"&amp;J539&amp;" INNER JOIN "&amp;K539&amp;" "&amp;L539,"SELECT '"&amp;UPPER(B539)&amp;"' AS TABELA, '"&amp;UPPER(D539)&amp;"' AS TIPOLOGIA_TESTE,'"&amp;E539&amp;"' AS TABELA_LT,'"&amp;F539&amp;"' AS TABELA_SIMUL,'"&amp;C539&amp;"'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"&amp;J539&amp;" INNER JOIN "&amp;K539&amp;" "&amp;L539))</f>
        <v>SELECT 'ENTITY' AS TABELA, 'COERÊNCIA' AS TIPOLOGIA_TESTE,'CD_LOAN_TAPES_BCE.LT003_ENTITY' AS TABELA_LT,'BU_LOANTAPE_WORK.LT003_ENTITY' AS TABELA_SIMUL,'flln_angl_nrrw_dfntn'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flln_angl_nrrw_dfntn AS CAMPO_IT FROM CD_LOAN_TAPES_BCE.LT003_ENTITY WHERE ref_date='${ref_date}' AND nome_perimetro='Individual Local' AND segmento='ESTR' AND ambito='PM' AND entidade='00100')X INNER JOIN (SELECT entty_id AS CHAVE_SIMUL, flln_angl_nrrw_dfntn AS CAMPO_SIMUL FROM BU_LOANTAPE_WORK.LT003_ENTITY WHERE ref_date='${ref_date}' AND nome_perimetro='Individual Local' AND segmento='ESTR' AND ambito='PM' AND entidade='00100')Y ON X.CHAVE_IT=Y.CHAVE_SIMUL</v>
      </c>
      <c r="N539" s="33" t="str">
        <f t="shared" si="17"/>
        <v>UNION ALL SELECT 'ENTITY' AS TABELA, 'COERÊNCIA' AS TIPOLOGIA_TESTE,'CD_LOAN_TAPES_BCE.LT003_ENTITY' AS TABELA_LT,'BU_LOANTAPE_WORK.LT003_ENTITY' AS TABELA_SIMUL,'flln_angl_nrrw_dfntn'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flln_angl_nrrw_dfntn AS CAMPO_IT FROM CD_LOAN_TAPES_BCE.LT003_ENTITY WHERE ref_date='${ref_date}' AND nome_perimetro='Individual Local' AND segmento='ESTR' AND ambito='PM' AND entidade='00100')X INNER JOIN (SELECT entty_id AS CHAVE_SIMUL, flln_angl_nrrw_dfntn AS CAMPO_SIMUL FROM BU_LOANTAPE_WORK.LT003_ENTITY WHERE ref_date='${ref_date}' AND nome_perimetro='Individual Local' AND segmento='ESTR' AND ambito='PM' AND entidade='00100')Y ON X.CHAVE_IT=Y.CHAVE_SIMUL</v>
      </c>
      <c r="O539" s="35" t="s">
        <v>35</v>
      </c>
    </row>
    <row r="540" spans="1:15">
      <c r="A540" s="57" t="str">
        <f t="shared" si="18"/>
        <v>Entitygrp_rorac</v>
      </c>
      <c r="B540" s="32" t="s">
        <v>60</v>
      </c>
      <c r="C540" s="32" t="s">
        <v>605</v>
      </c>
      <c r="D540" s="32" t="s">
        <v>5</v>
      </c>
      <c r="E540" s="32" t="str">
        <f>+UPPER('0. Instruções'!$D$35&amp;"."&amp;VLOOKUP(B540,'0. Instruções'!$C$27:$D$32,2,FALSE))</f>
        <v>CD_LOAN_TAPES_BCE.LT003_ENTITY</v>
      </c>
      <c r="F540" s="32" t="str">
        <f>+UPPER('0. Instruções'!$D$36&amp;"."&amp;VLOOKUP(B540,'0. Instruções'!$C$27:$E$32,3,FALSE))</f>
        <v>BU_LOANTAPE_WORK.LT003_ENTITY</v>
      </c>
      <c r="H540" s="32"/>
      <c r="I540" s="32"/>
      <c r="J540" s="32" t="str">
        <f>IF(VLOOKUP(B540,'0. Instruções'!$C$27:$G$32,5,FALSE)=0,
"(SELECT "&amp;VLOOKUP(B540,'0. Instruções'!$C$27:$G$32,4,FALSE)&amp;" AS CHAVE_IT, "&amp;C540&amp;" AS CAMPO_IT FROM "&amp;E540&amp;" WHERE "&amp;'0. Instruções'!$D$43&amp;")X",
"(SELECT "&amp;VLOOKUP(B540,'0. Instruções'!$C$27:$G$32,4,FALSE)&amp;" AS CHAVE_IT1, "&amp;VLOOKUP(B540,'0. Instruções'!$C$27:$G$32,5,FALSE)&amp;" AS CHAVE_IT2, "&amp;C540&amp;" AS CAMPO_IT FROM "&amp;E540&amp;" WHERE "&amp;'0. Instruções'!$D$43&amp;")X")</f>
        <v>(SELECT entty_id AS CHAVE_IT, grp_rorac AS CAMPO_IT FROM CD_LOAN_TAPES_BCE.LT003_ENTITY WHERE ref_date='${ref_date}' AND nome_perimetro='Individual Local' AND segmento='ESTR' AND ambito='PM' AND entidade='00100')X</v>
      </c>
      <c r="K540" s="32" t="str">
        <f>IF(VLOOKUP(B540,'0. Instruções'!$C$27:$G$32,5,FALSE)=0,
"(SELECT "&amp;VLOOKUP(B540,'0. Instruções'!$C$27:$G$32,4,FALSE)&amp;" AS CHAVE_SIMUL, "&amp;C540&amp;" AS CAMPO_SIMUL FROM "&amp;F540&amp;" WHERE "&amp;'0. Instruções'!$D$42&amp;")Y",
"(SELECT "&amp;VLOOKUP(B540,'0. Instruções'!$C$27:$G$32,4,FALSE)&amp;" AS CHAVE_SIMUL1, "&amp;VLOOKUP(B540,'0. Instruções'!$C$27:$G$32,5,FALSE)&amp;" AS CHAVE_SIMUL2, "&amp;C540&amp;" AS CAMPO_SIMUL FROM "&amp;F540&amp;" WHERE "&amp;'0. Instruções'!$D$42&amp;")Y")</f>
        <v>(SELECT entty_id AS CHAVE_SIMUL, grp_rorac AS CAMPO_SIMUL FROM BU_LOANTAPE_WORK.LT003_ENTITY WHERE ref_date='${ref_date}' AND nome_perimetro='Individual Local' AND segmento='ESTR' AND ambito='PM' AND entidade='00100')Y</v>
      </c>
      <c r="L540" s="32" t="str">
        <f>IF(VLOOKUP(B540,'0. Instruções'!$C$27:$G$32,5,FALSE)=0,
"ON X.CHAVE_IT=Y.CHAVE_SIMUL",
"ON X.CHAVE_IT1=Y.CHAVE_SIMUL1 AND X.CHAVE_IT2=Y.CHAVE_SIMUL2")</f>
        <v>ON X.CHAVE_IT=Y.CHAVE_SIMUL</v>
      </c>
      <c r="M540" s="32" t="str">
        <f>+IF(D540="Coerência",+IF(LEFT(H540,5)="FLOAT","SELECT '"&amp;UPPER(B540)&amp;"' AS TABELA, '"&amp;UPPER(D540)&amp;"' AS TIPOLOGIA_TESTE,'"&amp;E540&amp;"' AS TABELA_LT,'"&amp;F540&amp;"' AS TABELA_SIMUL,'"&amp;C540&amp;"'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"&amp;J540&amp;" INNER JOIN "&amp;K540&amp;" "&amp;L540,"SELECT '"&amp;UPPER(B540)&amp;"' AS TABELA, '"&amp;UPPER(D540)&amp;"' AS TIPOLOGIA_TESTE,'"&amp;E540&amp;"' AS TABELA_LT,'"&amp;F540&amp;"' AS TABELA_SIMUL,'"&amp;C540&amp;"'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"&amp;J540&amp;" INNER JOIN "&amp;K540&amp;" "&amp;L540))</f>
        <v>SELECT 'ENTITY' AS TABELA, 'COERÊNCIA' AS TIPOLOGIA_TESTE,'CD_LOAN_TAPES_BCE.LT003_ENTITY' AS TABELA_LT,'BU_LOANTAPE_WORK.LT003_ENTITY' AS TABELA_SIMUL,'grp_rorac'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grp_rorac AS CAMPO_IT FROM CD_LOAN_TAPES_BCE.LT003_ENTITY WHERE ref_date='${ref_date}' AND nome_perimetro='Individual Local' AND segmento='ESTR' AND ambito='PM' AND entidade='00100')X INNER JOIN (SELECT entty_id AS CHAVE_SIMUL, grp_rorac AS CAMPO_SIMUL FROM BU_LOANTAPE_WORK.LT003_ENTITY WHERE ref_date='${ref_date}' AND nome_perimetro='Individual Local' AND segmento='ESTR' AND ambito='PM' AND entidade='00100')Y ON X.CHAVE_IT=Y.CHAVE_SIMUL</v>
      </c>
      <c r="N540" s="33" t="str">
        <f t="shared" si="17"/>
        <v>UNION ALL SELECT 'ENTITY' AS TABELA, 'COERÊNCIA' AS TIPOLOGIA_TESTE,'CD_LOAN_TAPES_BCE.LT003_ENTITY' AS TABELA_LT,'BU_LOANTAPE_WORK.LT003_ENTITY' AS TABELA_SIMUL,'grp_rorac'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grp_rorac AS CAMPO_IT FROM CD_LOAN_TAPES_BCE.LT003_ENTITY WHERE ref_date='${ref_date}' AND nome_perimetro='Individual Local' AND segmento='ESTR' AND ambito='PM' AND entidade='00100')X INNER JOIN (SELECT entty_id AS CHAVE_SIMUL, grp_rorac AS CAMPO_SIMUL FROM BU_LOANTAPE_WORK.LT003_ENTITY WHERE ref_date='${ref_date}' AND nome_perimetro='Individual Local' AND segmento='ESTR' AND ambito='PM' AND entidade='00100')Y ON X.CHAVE_IT=Y.CHAVE_SIMUL</v>
      </c>
      <c r="O540" s="35" t="s">
        <v>35</v>
      </c>
    </row>
    <row r="541" spans="1:15">
      <c r="A541" s="57" t="str">
        <f t="shared" si="18"/>
        <v>Entitygrp_rorwa</v>
      </c>
      <c r="B541" s="32" t="s">
        <v>60</v>
      </c>
      <c r="C541" s="32" t="s">
        <v>606</v>
      </c>
      <c r="D541" s="32" t="s">
        <v>5</v>
      </c>
      <c r="E541" s="32" t="str">
        <f>+UPPER('0. Instruções'!$D$35&amp;"."&amp;VLOOKUP(B541,'0. Instruções'!$C$27:$D$32,2,FALSE))</f>
        <v>CD_LOAN_TAPES_BCE.LT003_ENTITY</v>
      </c>
      <c r="F541" s="32" t="str">
        <f>+UPPER('0. Instruções'!$D$36&amp;"."&amp;VLOOKUP(B541,'0. Instruções'!$C$27:$E$32,3,FALSE))</f>
        <v>BU_LOANTAPE_WORK.LT003_ENTITY</v>
      </c>
      <c r="H541" s="32"/>
      <c r="I541" s="32"/>
      <c r="J541" s="32" t="str">
        <f>IF(VLOOKUP(B541,'0. Instruções'!$C$27:$G$32,5,FALSE)=0,
"(SELECT "&amp;VLOOKUP(B541,'0. Instruções'!$C$27:$G$32,4,FALSE)&amp;" AS CHAVE_IT, "&amp;C541&amp;" AS CAMPO_IT FROM "&amp;E541&amp;" WHERE "&amp;'0. Instruções'!$D$43&amp;")X",
"(SELECT "&amp;VLOOKUP(B541,'0. Instruções'!$C$27:$G$32,4,FALSE)&amp;" AS CHAVE_IT1, "&amp;VLOOKUP(B541,'0. Instruções'!$C$27:$G$32,5,FALSE)&amp;" AS CHAVE_IT2, "&amp;C541&amp;" AS CAMPO_IT FROM "&amp;E541&amp;" WHERE "&amp;'0. Instruções'!$D$43&amp;")X")</f>
        <v>(SELECT entty_id AS CHAVE_IT, grp_rorwa AS CAMPO_IT FROM CD_LOAN_TAPES_BCE.LT003_ENTITY WHERE ref_date='${ref_date}' AND nome_perimetro='Individual Local' AND segmento='ESTR' AND ambito='PM' AND entidade='00100')X</v>
      </c>
      <c r="K541" s="32" t="str">
        <f>IF(VLOOKUP(B541,'0. Instruções'!$C$27:$G$32,5,FALSE)=0,
"(SELECT "&amp;VLOOKUP(B541,'0. Instruções'!$C$27:$G$32,4,FALSE)&amp;" AS CHAVE_SIMUL, "&amp;C541&amp;" AS CAMPO_SIMUL FROM "&amp;F541&amp;" WHERE "&amp;'0. Instruções'!$D$42&amp;")Y",
"(SELECT "&amp;VLOOKUP(B541,'0. Instruções'!$C$27:$G$32,4,FALSE)&amp;" AS CHAVE_SIMUL1, "&amp;VLOOKUP(B541,'0. Instruções'!$C$27:$G$32,5,FALSE)&amp;" AS CHAVE_SIMUL2, "&amp;C541&amp;" AS CAMPO_SIMUL FROM "&amp;F541&amp;" WHERE "&amp;'0. Instruções'!$D$42&amp;")Y")</f>
        <v>(SELECT entty_id AS CHAVE_SIMUL, grp_rorwa AS CAMPO_SIMUL FROM BU_LOANTAPE_WORK.LT003_ENTITY WHERE ref_date='${ref_date}' AND nome_perimetro='Individual Local' AND segmento='ESTR' AND ambito='PM' AND entidade='00100')Y</v>
      </c>
      <c r="L541" s="32" t="str">
        <f>IF(VLOOKUP(B541,'0. Instruções'!$C$27:$G$32,5,FALSE)=0,
"ON X.CHAVE_IT=Y.CHAVE_SIMUL",
"ON X.CHAVE_IT1=Y.CHAVE_SIMUL1 AND X.CHAVE_IT2=Y.CHAVE_SIMUL2")</f>
        <v>ON X.CHAVE_IT=Y.CHAVE_SIMUL</v>
      </c>
      <c r="M541" s="32" t="str">
        <f>+IF(D541="Coerência",+IF(LEFT(H541,5)="FLOAT","SELECT '"&amp;UPPER(B541)&amp;"' AS TABELA, '"&amp;UPPER(D541)&amp;"' AS TIPOLOGIA_TESTE,'"&amp;E541&amp;"' AS TABELA_LT,'"&amp;F541&amp;"' AS TABELA_SIMUL,'"&amp;C541&amp;"'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"&amp;J541&amp;" INNER JOIN "&amp;K541&amp;" "&amp;L541,"SELECT '"&amp;UPPER(B541)&amp;"' AS TABELA, '"&amp;UPPER(D541)&amp;"' AS TIPOLOGIA_TESTE,'"&amp;E541&amp;"' AS TABELA_LT,'"&amp;F541&amp;"' AS TABELA_SIMUL,'"&amp;C541&amp;"'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"&amp;J541&amp;" INNER JOIN "&amp;K541&amp;" "&amp;L541))</f>
        <v>SELECT 'ENTITY' AS TABELA, 'COERÊNCIA' AS TIPOLOGIA_TESTE,'CD_LOAN_TAPES_BCE.LT003_ENTITY' AS TABELA_LT,'BU_LOANTAPE_WORK.LT003_ENTITY' AS TABELA_SIMUL,'grp_rorwa'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grp_rorwa AS CAMPO_IT FROM CD_LOAN_TAPES_BCE.LT003_ENTITY WHERE ref_date='${ref_date}' AND nome_perimetro='Individual Local' AND segmento='ESTR' AND ambito='PM' AND entidade='00100')X INNER JOIN (SELECT entty_id AS CHAVE_SIMUL, grp_rorwa AS CAMPO_SIMUL FROM BU_LOANTAPE_WORK.LT003_ENTITY WHERE ref_date='${ref_date}' AND nome_perimetro='Individual Local' AND segmento='ESTR' AND ambito='PM' AND entidade='00100')Y ON X.CHAVE_IT=Y.CHAVE_SIMUL</v>
      </c>
      <c r="N541" s="33" t="str">
        <f t="shared" si="17"/>
        <v>UNION ALL SELECT 'ENTITY' AS TABELA, 'COERÊNCIA' AS TIPOLOGIA_TESTE,'CD_LOAN_TAPES_BCE.LT003_ENTITY' AS TABELA_LT,'BU_LOANTAPE_WORK.LT003_ENTITY' AS TABELA_SIMUL,'grp_rorwa'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grp_rorwa AS CAMPO_IT FROM CD_LOAN_TAPES_BCE.LT003_ENTITY WHERE ref_date='${ref_date}' AND nome_perimetro='Individual Local' AND segmento='ESTR' AND ambito='PM' AND entidade='00100')X INNER JOIN (SELECT entty_id AS CHAVE_SIMUL, grp_rorwa AS CAMPO_SIMUL FROM BU_LOANTAPE_WORK.LT003_ENTITY WHERE ref_date='${ref_date}' AND nome_perimetro='Individual Local' AND segmento='ESTR' AND ambito='PM' AND entidade='00100')Y ON X.CHAVE_IT=Y.CHAVE_SIMUL</v>
      </c>
      <c r="O541" s="35" t="s">
        <v>35</v>
      </c>
    </row>
    <row r="542" spans="1:15">
      <c r="A542" s="57" t="str">
        <f t="shared" si="18"/>
        <v>Entityrorac</v>
      </c>
      <c r="B542" s="32" t="s">
        <v>60</v>
      </c>
      <c r="C542" s="32" t="s">
        <v>495</v>
      </c>
      <c r="D542" s="32" t="s">
        <v>5</v>
      </c>
      <c r="E542" s="32" t="str">
        <f>+UPPER('0. Instruções'!$D$35&amp;"."&amp;VLOOKUP(B542,'0. Instruções'!$C$27:$D$32,2,FALSE))</f>
        <v>CD_LOAN_TAPES_BCE.LT003_ENTITY</v>
      </c>
      <c r="F542" s="32" t="str">
        <f>+UPPER('0. Instruções'!$D$36&amp;"."&amp;VLOOKUP(B542,'0. Instruções'!$C$27:$E$32,3,FALSE))</f>
        <v>BU_LOANTAPE_WORK.LT003_ENTITY</v>
      </c>
      <c r="H542" s="32"/>
      <c r="I542" s="32"/>
      <c r="J542" s="32" t="str">
        <f>IF(VLOOKUP(B542,'0. Instruções'!$C$27:$G$32,5,FALSE)=0,
"(SELECT "&amp;VLOOKUP(B542,'0. Instruções'!$C$27:$G$32,4,FALSE)&amp;" AS CHAVE_IT, "&amp;C542&amp;" AS CAMPO_IT FROM "&amp;E542&amp;" WHERE "&amp;'0. Instruções'!$D$43&amp;")X",
"(SELECT "&amp;VLOOKUP(B542,'0. Instruções'!$C$27:$G$32,4,FALSE)&amp;" AS CHAVE_IT1, "&amp;VLOOKUP(B542,'0. Instruções'!$C$27:$G$32,5,FALSE)&amp;" AS CHAVE_IT2, "&amp;C542&amp;" AS CAMPO_IT FROM "&amp;E542&amp;" WHERE "&amp;'0. Instruções'!$D$43&amp;")X")</f>
        <v>(SELECT entty_id AS CHAVE_IT, rorac AS CAMPO_IT FROM CD_LOAN_TAPES_BCE.LT003_ENTITY WHERE ref_date='${ref_date}' AND nome_perimetro='Individual Local' AND segmento='ESTR' AND ambito='PM' AND entidade='00100')X</v>
      </c>
      <c r="K542" s="32" t="str">
        <f>IF(VLOOKUP(B542,'0. Instruções'!$C$27:$G$32,5,FALSE)=0,
"(SELECT "&amp;VLOOKUP(B542,'0. Instruções'!$C$27:$G$32,4,FALSE)&amp;" AS CHAVE_SIMUL, "&amp;C542&amp;" AS CAMPO_SIMUL FROM "&amp;F542&amp;" WHERE "&amp;'0. Instruções'!$D$42&amp;")Y",
"(SELECT "&amp;VLOOKUP(B542,'0. Instruções'!$C$27:$G$32,4,FALSE)&amp;" AS CHAVE_SIMUL1, "&amp;VLOOKUP(B542,'0. Instruções'!$C$27:$G$32,5,FALSE)&amp;" AS CHAVE_SIMUL2, "&amp;C542&amp;" AS CAMPO_SIMUL FROM "&amp;F542&amp;" WHERE "&amp;'0. Instruções'!$D$42&amp;")Y")</f>
        <v>(SELECT entty_id AS CHAVE_SIMUL, rorac AS CAMPO_SIMUL FROM BU_LOANTAPE_WORK.LT003_ENTITY WHERE ref_date='${ref_date}' AND nome_perimetro='Individual Local' AND segmento='ESTR' AND ambito='PM' AND entidade='00100')Y</v>
      </c>
      <c r="L542" s="32" t="str">
        <f>IF(VLOOKUP(B542,'0. Instruções'!$C$27:$G$32,5,FALSE)=0,
"ON X.CHAVE_IT=Y.CHAVE_SIMUL",
"ON X.CHAVE_IT1=Y.CHAVE_SIMUL1 AND X.CHAVE_IT2=Y.CHAVE_SIMUL2")</f>
        <v>ON X.CHAVE_IT=Y.CHAVE_SIMUL</v>
      </c>
      <c r="M542" s="32" t="str">
        <f>+IF(D542="Coerência",+IF(LEFT(H542,5)="FLOAT","SELECT '"&amp;UPPER(B542)&amp;"' AS TABELA, '"&amp;UPPER(D542)&amp;"' AS TIPOLOGIA_TESTE,'"&amp;E542&amp;"' AS TABELA_LT,'"&amp;F542&amp;"' AS TABELA_SIMUL,'"&amp;C542&amp;"'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"&amp;J542&amp;" INNER JOIN "&amp;K542&amp;" "&amp;L542,"SELECT '"&amp;UPPER(B542)&amp;"' AS TABELA, '"&amp;UPPER(D542)&amp;"' AS TIPOLOGIA_TESTE,'"&amp;E542&amp;"' AS TABELA_LT,'"&amp;F542&amp;"' AS TABELA_SIMUL,'"&amp;C542&amp;"'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"&amp;J542&amp;" INNER JOIN "&amp;K542&amp;" "&amp;L542))</f>
        <v>SELECT 'ENTITY' AS TABELA, 'COERÊNCIA' AS TIPOLOGIA_TESTE,'CD_LOAN_TAPES_BCE.LT003_ENTITY' AS TABELA_LT,'BU_LOANTAPE_WORK.LT003_ENTITY'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rorac AS CAMPO_IT FROM CD_LOAN_TAPES_BCE.LT003_ENTITY WHERE ref_date='${ref_date}' AND nome_perimetro='Individual Local' AND segmento='ESTR' AND ambito='PM' AND entidade='00100')X INNER JOIN (SELECT entty_id AS CHAVE_SIMUL, rorac AS CAMPO_SIMUL FROM BU_LOANTAPE_WORK.LT003_ENTITY WHERE ref_date='${ref_date}' AND nome_perimetro='Individual Local' AND segmento='ESTR' AND ambito='PM' AND entidade='00100')Y ON X.CHAVE_IT=Y.CHAVE_SIMUL</v>
      </c>
      <c r="N542" s="33" t="str">
        <f t="shared" si="17"/>
        <v>UNION ALL SELECT 'ENTITY' AS TABELA, 'COERÊNCIA' AS TIPOLOGIA_TESTE,'CD_LOAN_TAPES_BCE.LT003_ENTITY' AS TABELA_LT,'BU_LOANTAPE_WORK.LT003_ENTITY' AS TABELA_SIMUL,'rorac'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rorac AS CAMPO_IT FROM CD_LOAN_TAPES_BCE.LT003_ENTITY WHERE ref_date='${ref_date}' AND nome_perimetro='Individual Local' AND segmento='ESTR' AND ambito='PM' AND entidade='00100')X INNER JOIN (SELECT entty_id AS CHAVE_SIMUL, rorac AS CAMPO_SIMUL FROM BU_LOANTAPE_WORK.LT003_ENTITY WHERE ref_date='${ref_date}' AND nome_perimetro='Individual Local' AND segmento='ESTR' AND ambito='PM' AND entidade='00100')Y ON X.CHAVE_IT=Y.CHAVE_SIMUL</v>
      </c>
      <c r="O542" s="35" t="s">
        <v>35</v>
      </c>
    </row>
    <row r="543" spans="1:15">
      <c r="A543" s="57" t="str">
        <f t="shared" si="18"/>
        <v>Entityrorwa</v>
      </c>
      <c r="B543" s="32" t="s">
        <v>60</v>
      </c>
      <c r="C543" s="32" t="s">
        <v>496</v>
      </c>
      <c r="D543" s="32" t="s">
        <v>5</v>
      </c>
      <c r="E543" s="32" t="str">
        <f>+UPPER('0. Instruções'!$D$35&amp;"."&amp;VLOOKUP(B543,'0. Instruções'!$C$27:$D$32,2,FALSE))</f>
        <v>CD_LOAN_TAPES_BCE.LT003_ENTITY</v>
      </c>
      <c r="F543" s="32" t="str">
        <f>+UPPER('0. Instruções'!$D$36&amp;"."&amp;VLOOKUP(B543,'0. Instruções'!$C$27:$E$32,3,FALSE))</f>
        <v>BU_LOANTAPE_WORK.LT003_ENTITY</v>
      </c>
      <c r="H543" s="32"/>
      <c r="I543" s="32"/>
      <c r="J543" s="32" t="str">
        <f>IF(VLOOKUP(B543,'0. Instruções'!$C$27:$G$32,5,FALSE)=0,
"(SELECT "&amp;VLOOKUP(B543,'0. Instruções'!$C$27:$G$32,4,FALSE)&amp;" AS CHAVE_IT, "&amp;C543&amp;" AS CAMPO_IT FROM "&amp;E543&amp;" WHERE "&amp;'0. Instruções'!$D$43&amp;")X",
"(SELECT "&amp;VLOOKUP(B543,'0. Instruções'!$C$27:$G$32,4,FALSE)&amp;" AS CHAVE_IT1, "&amp;VLOOKUP(B543,'0. Instruções'!$C$27:$G$32,5,FALSE)&amp;" AS CHAVE_IT2, "&amp;C543&amp;" AS CAMPO_IT FROM "&amp;E543&amp;" WHERE "&amp;'0. Instruções'!$D$43&amp;")X")</f>
        <v>(SELECT entty_id AS CHAVE_IT, rorwa AS CAMPO_IT FROM CD_LOAN_TAPES_BCE.LT003_ENTITY WHERE ref_date='${ref_date}' AND nome_perimetro='Individual Local' AND segmento='ESTR' AND ambito='PM' AND entidade='00100')X</v>
      </c>
      <c r="K543" s="32" t="str">
        <f>IF(VLOOKUP(B543,'0. Instruções'!$C$27:$G$32,5,FALSE)=0,
"(SELECT "&amp;VLOOKUP(B543,'0. Instruções'!$C$27:$G$32,4,FALSE)&amp;" AS CHAVE_SIMUL, "&amp;C543&amp;" AS CAMPO_SIMUL FROM "&amp;F543&amp;" WHERE "&amp;'0. Instruções'!$D$42&amp;")Y",
"(SELECT "&amp;VLOOKUP(B543,'0. Instruções'!$C$27:$G$32,4,FALSE)&amp;" AS CHAVE_SIMUL1, "&amp;VLOOKUP(B543,'0. Instruções'!$C$27:$G$32,5,FALSE)&amp;" AS CHAVE_SIMUL2, "&amp;C543&amp;" AS CAMPO_SIMUL FROM "&amp;F543&amp;" WHERE "&amp;'0. Instruções'!$D$42&amp;")Y")</f>
        <v>(SELECT entty_id AS CHAVE_SIMUL, rorwa AS CAMPO_SIMUL FROM BU_LOANTAPE_WORK.LT003_ENTITY WHERE ref_date='${ref_date}' AND nome_perimetro='Individual Local' AND segmento='ESTR' AND ambito='PM' AND entidade='00100')Y</v>
      </c>
      <c r="L543" s="32" t="str">
        <f>IF(VLOOKUP(B543,'0. Instruções'!$C$27:$G$32,5,FALSE)=0,
"ON X.CHAVE_IT=Y.CHAVE_SIMUL",
"ON X.CHAVE_IT1=Y.CHAVE_SIMUL1 AND X.CHAVE_IT2=Y.CHAVE_SIMUL2")</f>
        <v>ON X.CHAVE_IT=Y.CHAVE_SIMUL</v>
      </c>
      <c r="M543" s="32" t="str">
        <f>+IF(D543="Coerência",+IF(LEFT(H543,5)="FLOAT","SELECT '"&amp;UPPER(B543)&amp;"' AS TABELA, '"&amp;UPPER(D543)&amp;"' AS TIPOLOGIA_TESTE,'"&amp;E543&amp;"' AS TABELA_LT,'"&amp;F543&amp;"' AS TABELA_SIMUL,'"&amp;C543&amp;"'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"&amp;J543&amp;" INNER JOIN "&amp;K543&amp;" "&amp;L543,"SELECT '"&amp;UPPER(B543)&amp;"' AS TABELA, '"&amp;UPPER(D543)&amp;"' AS TIPOLOGIA_TESTE,'"&amp;E543&amp;"' AS TABELA_LT,'"&amp;F543&amp;"' AS TABELA_SIMUL,'"&amp;C543&amp;"'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"&amp;J543&amp;" INNER JOIN "&amp;K543&amp;" "&amp;L543))</f>
        <v>SELECT 'ENTITY' AS TABELA, 'COERÊNCIA' AS TIPOLOGIA_TESTE,'CD_LOAN_TAPES_BCE.LT003_ENTITY' AS TABELA_LT,'BU_LOANTAPE_WORK.LT003_ENTITY'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rorwa AS CAMPO_IT FROM CD_LOAN_TAPES_BCE.LT003_ENTITY WHERE ref_date='${ref_date}' AND nome_perimetro='Individual Local' AND segmento='ESTR' AND ambito='PM' AND entidade='00100')X INNER JOIN (SELECT entty_id AS CHAVE_SIMUL, rorwa AS CAMPO_SIMUL FROM BU_LOANTAPE_WORK.LT003_ENTITY WHERE ref_date='${ref_date}' AND nome_perimetro='Individual Local' AND segmento='ESTR' AND ambito='PM' AND entidade='00100')Y ON X.CHAVE_IT=Y.CHAVE_SIMUL</v>
      </c>
      <c r="N543" s="33" t="str">
        <f t="shared" si="17"/>
        <v>UNION ALL SELECT 'ENTITY' AS TABELA, 'COERÊNCIA' AS TIPOLOGIA_TESTE,'CD_LOAN_TAPES_BCE.LT003_ENTITY' AS TABELA_LT,'BU_LOANTAPE_WORK.LT003_ENTITY' AS TABELA_SIMUL,'rorwa'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rorwa AS CAMPO_IT FROM CD_LOAN_TAPES_BCE.LT003_ENTITY WHERE ref_date='${ref_date}' AND nome_perimetro='Individual Local' AND segmento='ESTR' AND ambito='PM' AND entidade='00100')X INNER JOIN (SELECT entty_id AS CHAVE_SIMUL, rorwa AS CAMPO_SIMUL FROM BU_LOANTAPE_WORK.LT003_ENTITY WHERE ref_date='${ref_date}' AND nome_perimetro='Individual Local' AND segmento='ESTR' AND ambito='PM' AND entidade='00100')Y ON X.CHAVE_IT=Y.CHAVE_SIMUL</v>
      </c>
      <c r="O543" s="35" t="s">
        <v>35</v>
      </c>
    </row>
    <row r="544" spans="1:15">
      <c r="A544" s="57" t="str">
        <f t="shared" si="18"/>
        <v>Entityscan</v>
      </c>
      <c r="B544" s="32" t="s">
        <v>60</v>
      </c>
      <c r="C544" s="32" t="s">
        <v>607</v>
      </c>
      <c r="D544" s="32" t="s">
        <v>5</v>
      </c>
      <c r="E544" s="32" t="str">
        <f>+UPPER('0. Instruções'!$D$35&amp;"."&amp;VLOOKUP(B544,'0. Instruções'!$C$27:$D$32,2,FALSE))</f>
        <v>CD_LOAN_TAPES_BCE.LT003_ENTITY</v>
      </c>
      <c r="F544" s="32" t="str">
        <f>+UPPER('0. Instruções'!$D$36&amp;"."&amp;VLOOKUP(B544,'0. Instruções'!$C$27:$E$32,3,FALSE))</f>
        <v>BU_LOANTAPE_WORK.LT003_ENTITY</v>
      </c>
      <c r="H544" s="32"/>
      <c r="I544" s="32"/>
      <c r="J544" s="32" t="str">
        <f>IF(VLOOKUP(B544,'0. Instruções'!$C$27:$G$32,5,FALSE)=0,
"(SELECT "&amp;VLOOKUP(B544,'0. Instruções'!$C$27:$G$32,4,FALSE)&amp;" AS CHAVE_IT, "&amp;C544&amp;" AS CAMPO_IT FROM "&amp;E544&amp;" WHERE "&amp;'0. Instruções'!$D$43&amp;")X",
"(SELECT "&amp;VLOOKUP(B544,'0. Instruções'!$C$27:$G$32,4,FALSE)&amp;" AS CHAVE_IT1, "&amp;VLOOKUP(B544,'0. Instruções'!$C$27:$G$32,5,FALSE)&amp;" AS CHAVE_IT2, "&amp;C544&amp;" AS CAMPO_IT FROM "&amp;E544&amp;" WHERE "&amp;'0. Instruções'!$D$43&amp;")X")</f>
        <v>(SELECT entty_id AS CHAVE_IT, scan AS CAMPO_IT FROM CD_LOAN_TAPES_BCE.LT003_ENTITY WHERE ref_date='${ref_date}' AND nome_perimetro='Individual Local' AND segmento='ESTR' AND ambito='PM' AND entidade='00100')X</v>
      </c>
      <c r="K544" s="32" t="str">
        <f>IF(VLOOKUP(B544,'0. Instruções'!$C$27:$G$32,5,FALSE)=0,
"(SELECT "&amp;VLOOKUP(B544,'0. Instruções'!$C$27:$G$32,4,FALSE)&amp;" AS CHAVE_SIMUL, "&amp;C544&amp;" AS CAMPO_SIMUL FROM "&amp;F544&amp;" WHERE "&amp;'0. Instruções'!$D$42&amp;")Y",
"(SELECT "&amp;VLOOKUP(B544,'0. Instruções'!$C$27:$G$32,4,FALSE)&amp;" AS CHAVE_SIMUL1, "&amp;VLOOKUP(B544,'0. Instruções'!$C$27:$G$32,5,FALSE)&amp;" AS CHAVE_SIMUL2, "&amp;C544&amp;" AS CAMPO_SIMUL FROM "&amp;F544&amp;" WHERE "&amp;'0. Instruções'!$D$42&amp;")Y")</f>
        <v>(SELECT entty_id AS CHAVE_SIMUL, scan AS CAMPO_SIMUL FROM BU_LOANTAPE_WORK.LT003_ENTITY WHERE ref_date='${ref_date}' AND nome_perimetro='Individual Local' AND segmento='ESTR' AND ambito='PM' AND entidade='00100')Y</v>
      </c>
      <c r="L544" s="32" t="str">
        <f>IF(VLOOKUP(B544,'0. Instruções'!$C$27:$G$32,5,FALSE)=0,
"ON X.CHAVE_IT=Y.CHAVE_SIMUL",
"ON X.CHAVE_IT1=Y.CHAVE_SIMUL1 AND X.CHAVE_IT2=Y.CHAVE_SIMUL2")</f>
        <v>ON X.CHAVE_IT=Y.CHAVE_SIMUL</v>
      </c>
      <c r="M544" s="32" t="str">
        <f>+IF(D544="Coerência",+IF(LEFT(H544,5)="FLOAT","SELECT '"&amp;UPPER(B544)&amp;"' AS TABELA, '"&amp;UPPER(D544)&amp;"' AS TIPOLOGIA_TESTE,'"&amp;E544&amp;"' AS TABELA_LT,'"&amp;F544&amp;"' AS TABELA_SIMUL,'"&amp;C544&amp;"'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"&amp;J544&amp;" INNER JOIN "&amp;K544&amp;" "&amp;L544,"SELECT '"&amp;UPPER(B544)&amp;"' AS TABELA, '"&amp;UPPER(D544)&amp;"' AS TIPOLOGIA_TESTE,'"&amp;E544&amp;"' AS TABELA_LT,'"&amp;F544&amp;"' AS TABELA_SIMUL,'"&amp;C544&amp;"'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"&amp;J544&amp;" INNER JOIN "&amp;K544&amp;" "&amp;L544))</f>
        <v>SELECT 'ENTITY' AS TABELA, 'COERÊNCIA' AS TIPOLOGIA_TESTE,'CD_LOAN_TAPES_BCE.LT003_ENTITY' AS TABELA_LT,'BU_LOANTAPE_WORK.LT003_ENTITY' AS TABELA_SIMUL,'scan'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scan AS CAMPO_IT FROM CD_LOAN_TAPES_BCE.LT003_ENTITY WHERE ref_date='${ref_date}' AND nome_perimetro='Individual Local' AND segmento='ESTR' AND ambito='PM' AND entidade='00100')X INNER JOIN (SELECT entty_id AS CHAVE_SIMUL, scan AS CAMPO_SIMUL FROM BU_LOANTAPE_WORK.LT003_ENTITY WHERE ref_date='${ref_date}' AND nome_perimetro='Individual Local' AND segmento='ESTR' AND ambito='PM' AND entidade='00100')Y ON X.CHAVE_IT=Y.CHAVE_SIMUL</v>
      </c>
      <c r="N544" s="33" t="str">
        <f t="shared" si="17"/>
        <v>UNION ALL SELECT 'ENTITY' AS TABELA, 'COERÊNCIA' AS TIPOLOGIA_TESTE,'CD_LOAN_TAPES_BCE.LT003_ENTITY' AS TABELA_LT,'BU_LOANTAPE_WORK.LT003_ENTITY' AS TABELA_SIMUL,'scan'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scan AS CAMPO_IT FROM CD_LOAN_TAPES_BCE.LT003_ENTITY WHERE ref_date='${ref_date}' AND nome_perimetro='Individual Local' AND segmento='ESTR' AND ambito='PM' AND entidade='00100')X INNER JOIN (SELECT entty_id AS CHAVE_SIMUL, scan AS CAMPO_SIMUL FROM BU_LOANTAPE_WORK.LT003_ENTITY WHERE ref_date='${ref_date}' AND nome_perimetro='Individual Local' AND segmento='ESTR' AND ambito='PM' AND entidade='00100')Y ON X.CHAVE_IT=Y.CHAVE_SIMUL</v>
      </c>
      <c r="O544" s="35" t="s">
        <v>35</v>
      </c>
    </row>
    <row r="545" spans="1:15">
      <c r="A545" s="57" t="str">
        <f t="shared" si="18"/>
        <v>Entityttl_prmssbl_dbt_blnc</v>
      </c>
      <c r="B545" s="32" t="s">
        <v>60</v>
      </c>
      <c r="C545" s="32" t="s">
        <v>608</v>
      </c>
      <c r="D545" s="32" t="s">
        <v>5</v>
      </c>
      <c r="E545" s="32" t="str">
        <f>+UPPER('0. Instruções'!$D$35&amp;"."&amp;VLOOKUP(B545,'0. Instruções'!$C$27:$D$32,2,FALSE))</f>
        <v>CD_LOAN_TAPES_BCE.LT003_ENTITY</v>
      </c>
      <c r="F545" s="32" t="str">
        <f>+UPPER('0. Instruções'!$D$36&amp;"."&amp;VLOOKUP(B545,'0. Instruções'!$C$27:$E$32,3,FALSE))</f>
        <v>BU_LOANTAPE_WORK.LT003_ENTITY</v>
      </c>
      <c r="H545" s="32"/>
      <c r="I545" s="32"/>
      <c r="J545" s="32" t="str">
        <f>IF(VLOOKUP(B545,'0. Instruções'!$C$27:$G$32,5,FALSE)=0,
"(SELECT "&amp;VLOOKUP(B545,'0. Instruções'!$C$27:$G$32,4,FALSE)&amp;" AS CHAVE_IT, "&amp;C545&amp;" AS CAMPO_IT FROM "&amp;E545&amp;" WHERE "&amp;'0. Instruções'!$D$43&amp;")X",
"(SELECT "&amp;VLOOKUP(B545,'0. Instruções'!$C$27:$G$32,4,FALSE)&amp;" AS CHAVE_IT1, "&amp;VLOOKUP(B545,'0. Instruções'!$C$27:$G$32,5,FALSE)&amp;" AS CHAVE_IT2, "&amp;C545&amp;" AS CAMPO_IT FROM "&amp;E545&amp;" WHERE "&amp;'0. Instruções'!$D$43&amp;")X")</f>
        <v>(SELECT entty_id AS CHAVE_IT, ttl_prmssbl_dbt_blnc AS CAMPO_IT FROM CD_LOAN_TAPES_BCE.LT003_ENTITY WHERE ref_date='${ref_date}' AND nome_perimetro='Individual Local' AND segmento='ESTR' AND ambito='PM' AND entidade='00100')X</v>
      </c>
      <c r="K545" s="32" t="str">
        <f>IF(VLOOKUP(B545,'0. Instruções'!$C$27:$G$32,5,FALSE)=0,
"(SELECT "&amp;VLOOKUP(B545,'0. Instruções'!$C$27:$G$32,4,FALSE)&amp;" AS CHAVE_SIMUL, "&amp;C545&amp;" AS CAMPO_SIMUL FROM "&amp;F545&amp;" WHERE "&amp;'0. Instruções'!$D$42&amp;")Y",
"(SELECT "&amp;VLOOKUP(B545,'0. Instruções'!$C$27:$G$32,4,FALSE)&amp;" AS CHAVE_SIMUL1, "&amp;VLOOKUP(B545,'0. Instruções'!$C$27:$G$32,5,FALSE)&amp;" AS CHAVE_SIMUL2, "&amp;C545&amp;" AS CAMPO_SIMUL FROM "&amp;F545&amp;" WHERE "&amp;'0. Instruções'!$D$42&amp;")Y")</f>
        <v>(SELECT entty_id AS CHAVE_SIMUL, ttl_prmssbl_dbt_blnc AS CAMPO_SIMUL FROM BU_LOANTAPE_WORK.LT003_ENTITY WHERE ref_date='${ref_date}' AND nome_perimetro='Individual Local' AND segmento='ESTR' AND ambito='PM' AND entidade='00100')Y</v>
      </c>
      <c r="L545" s="32" t="str">
        <f>IF(VLOOKUP(B545,'0. Instruções'!$C$27:$G$32,5,FALSE)=0,
"ON X.CHAVE_IT=Y.CHAVE_SIMUL",
"ON X.CHAVE_IT1=Y.CHAVE_SIMUL1 AND X.CHAVE_IT2=Y.CHAVE_SIMUL2")</f>
        <v>ON X.CHAVE_IT=Y.CHAVE_SIMUL</v>
      </c>
      <c r="M545" s="32" t="str">
        <f>+IF(D545="Coerência",+IF(LEFT(H545,5)="FLOAT","SELECT '"&amp;UPPER(B545)&amp;"' AS TABELA, '"&amp;UPPER(D545)&amp;"' AS TIPOLOGIA_TESTE,'"&amp;E545&amp;"' AS TABELA_LT,'"&amp;F545&amp;"' AS TABELA_SIMUL,'"&amp;C545&amp;"'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"&amp;J545&amp;" INNER JOIN "&amp;K545&amp;" "&amp;L545,"SELECT '"&amp;UPPER(B545)&amp;"' AS TABELA, '"&amp;UPPER(D545)&amp;"' AS TIPOLOGIA_TESTE,'"&amp;E545&amp;"' AS TABELA_LT,'"&amp;F545&amp;"' AS TABELA_SIMUL,'"&amp;C545&amp;"'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"&amp;J545&amp;" INNER JOIN "&amp;K545&amp;" "&amp;L545))</f>
        <v>SELECT 'ENTITY' AS TABELA, 'COERÊNCIA' AS TIPOLOGIA_TESTE,'CD_LOAN_TAPES_BCE.LT003_ENTITY' AS TABELA_LT,'BU_LOANTAPE_WORK.LT003_ENTITY' AS TABELA_SIMUL,'ttl_prmssbl_dbt_blnc'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ttl_prmssbl_dbt_blnc AS CAMPO_IT FROM CD_LOAN_TAPES_BCE.LT003_ENTITY WHERE ref_date='${ref_date}' AND nome_perimetro='Individual Local' AND segmento='ESTR' AND ambito='PM' AND entidade='00100')X INNER JOIN (SELECT entty_id AS CHAVE_SIMUL, ttl_prmssbl_dbt_blnc AS CAMPO_SIMUL FROM BU_LOANTAPE_WORK.LT003_ENTITY WHERE ref_date='${ref_date}' AND nome_perimetro='Individual Local' AND segmento='ESTR' AND ambito='PM' AND entidade='00100')Y ON X.CHAVE_IT=Y.CHAVE_SIMUL</v>
      </c>
      <c r="N545" s="33" t="str">
        <f t="shared" si="17"/>
        <v>UNION ALL SELECT 'ENTITY' AS TABELA, 'COERÊNCIA' AS TIPOLOGIA_TESTE,'CD_LOAN_TAPES_BCE.LT003_ENTITY' AS TABELA_LT,'BU_LOANTAPE_WORK.LT003_ENTITY' AS TABELA_SIMUL,'ttl_prmssbl_dbt_blnc'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ttl_prmssbl_dbt_blnc AS CAMPO_IT FROM CD_LOAN_TAPES_BCE.LT003_ENTITY WHERE ref_date='${ref_date}' AND nome_perimetro='Individual Local' AND segmento='ESTR' AND ambito='PM' AND entidade='00100')X INNER JOIN (SELECT entty_id AS CHAVE_SIMUL, ttl_prmssbl_dbt_blnc AS CAMPO_SIMUL FROM BU_LOANTAPE_WORK.LT003_ENTITY WHERE ref_date='${ref_date}' AND nome_perimetro='Individual Local' AND segmento='ESTR' AND ambito='PM' AND entidade='00100')Y ON X.CHAVE_IT=Y.CHAVE_SIMUL</v>
      </c>
      <c r="O545" s="35" t="s">
        <v>35</v>
      </c>
    </row>
    <row r="546" spans="1:15">
      <c r="A546" s="57" t="str">
        <f t="shared" si="18"/>
        <v>Entitycompany_exposure</v>
      </c>
      <c r="B546" s="32" t="s">
        <v>60</v>
      </c>
      <c r="C546" s="32" t="s">
        <v>609</v>
      </c>
      <c r="D546" s="32" t="s">
        <v>5</v>
      </c>
      <c r="E546" s="32" t="str">
        <f>+UPPER('0. Instruções'!$D$35&amp;"."&amp;VLOOKUP(B546,'0. Instruções'!$C$27:$D$32,2,FALSE))</f>
        <v>CD_LOAN_TAPES_BCE.LT003_ENTITY</v>
      </c>
      <c r="F546" s="32" t="str">
        <f>+UPPER('0. Instruções'!$D$36&amp;"."&amp;VLOOKUP(B546,'0. Instruções'!$C$27:$E$32,3,FALSE))</f>
        <v>BU_LOANTAPE_WORK.LT003_ENTITY</v>
      </c>
      <c r="H546" s="32"/>
      <c r="I546" s="32"/>
      <c r="J546" s="32" t="str">
        <f>IF(VLOOKUP(B546,'0. Instruções'!$C$27:$G$32,5,FALSE)=0,
"(SELECT "&amp;VLOOKUP(B546,'0. Instruções'!$C$27:$G$32,4,FALSE)&amp;" AS CHAVE_IT, "&amp;C546&amp;" AS CAMPO_IT FROM "&amp;E546&amp;" WHERE "&amp;'0. Instruções'!$D$43&amp;")X",
"(SELECT "&amp;VLOOKUP(B546,'0. Instruções'!$C$27:$G$32,4,FALSE)&amp;" AS CHAVE_IT1, "&amp;VLOOKUP(B546,'0. Instruções'!$C$27:$G$32,5,FALSE)&amp;" AS CHAVE_IT2, "&amp;C546&amp;" AS CAMPO_IT FROM "&amp;E546&amp;" WHERE "&amp;'0. Instruções'!$D$43&amp;")X")</f>
        <v>(SELECT entty_id AS CHAVE_IT, company_exposure AS CAMPO_IT FROM CD_LOAN_TAPES_BCE.LT003_ENTITY WHERE ref_date='${ref_date}' AND nome_perimetro='Individual Local' AND segmento='ESTR' AND ambito='PM' AND entidade='00100')X</v>
      </c>
      <c r="K546" s="32" t="str">
        <f>IF(VLOOKUP(B546,'0. Instruções'!$C$27:$G$32,5,FALSE)=0,
"(SELECT "&amp;VLOOKUP(B546,'0. Instruções'!$C$27:$G$32,4,FALSE)&amp;" AS CHAVE_SIMUL, "&amp;C546&amp;" AS CAMPO_SIMUL FROM "&amp;F546&amp;" WHERE "&amp;'0. Instruções'!$D$42&amp;")Y",
"(SELECT "&amp;VLOOKUP(B546,'0. Instruções'!$C$27:$G$32,4,FALSE)&amp;" AS CHAVE_SIMUL1, "&amp;VLOOKUP(B546,'0. Instruções'!$C$27:$G$32,5,FALSE)&amp;" AS CHAVE_SIMUL2, "&amp;C546&amp;" AS CAMPO_SIMUL FROM "&amp;F546&amp;" WHERE "&amp;'0. Instruções'!$D$42&amp;")Y")</f>
        <v>(SELECT entty_id AS CHAVE_SIMUL, company_exposure AS CAMPO_SIMUL FROM BU_LOANTAPE_WORK.LT003_ENTITY WHERE ref_date='${ref_date}' AND nome_perimetro='Individual Local' AND segmento='ESTR' AND ambito='PM' AND entidade='00100')Y</v>
      </c>
      <c r="L546" s="32" t="str">
        <f>IF(VLOOKUP(B546,'0. Instruções'!$C$27:$G$32,5,FALSE)=0,
"ON X.CHAVE_IT=Y.CHAVE_SIMUL",
"ON X.CHAVE_IT1=Y.CHAVE_SIMUL1 AND X.CHAVE_IT2=Y.CHAVE_SIMUL2")</f>
        <v>ON X.CHAVE_IT=Y.CHAVE_SIMUL</v>
      </c>
      <c r="M546" s="32" t="str">
        <f>+IF(D546="Coerência",+IF(LEFT(H546,5)="FLOAT","SELECT '"&amp;UPPER(B546)&amp;"' AS TABELA, '"&amp;UPPER(D546)&amp;"' AS TIPOLOGIA_TESTE,'"&amp;E546&amp;"' AS TABELA_LT,'"&amp;F546&amp;"' AS TABELA_SIMUL,'"&amp;C546&amp;"'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"&amp;J546&amp;" INNER JOIN "&amp;K546&amp;" "&amp;L546,"SELECT '"&amp;UPPER(B546)&amp;"' AS TABELA, '"&amp;UPPER(D546)&amp;"' AS TIPOLOGIA_TESTE,'"&amp;E546&amp;"' AS TABELA_LT,'"&amp;F546&amp;"' AS TABELA_SIMUL,'"&amp;C546&amp;"'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"&amp;J546&amp;" INNER JOIN "&amp;K546&amp;" "&amp;L546))</f>
        <v>SELECT 'ENTITY' AS TABELA, 'COERÊNCIA' AS TIPOLOGIA_TESTE,'CD_LOAN_TAPES_BCE.LT003_ENTITY' AS TABELA_LT,'BU_LOANTAPE_WORK.LT003_ENTITY' AS TABELA_SIMUL,'company_exposure'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company_exposure AS CAMPO_IT FROM CD_LOAN_TAPES_BCE.LT003_ENTITY WHERE ref_date='${ref_date}' AND nome_perimetro='Individual Local' AND segmento='ESTR' AND ambito='PM' AND entidade='00100')X INNER JOIN (SELECT entty_id AS CHAVE_SIMUL, company_exposure AS CAMPO_SIMUL FROM BU_LOANTAPE_WORK.LT003_ENTITY WHERE ref_date='${ref_date}' AND nome_perimetro='Individual Local' AND segmento='ESTR' AND ambito='PM' AND entidade='00100')Y ON X.CHAVE_IT=Y.CHAVE_SIMUL</v>
      </c>
      <c r="N546" s="33" t="str">
        <f t="shared" si="17"/>
        <v>UNION ALL SELECT 'ENTITY' AS TABELA, 'COERÊNCIA' AS TIPOLOGIA_TESTE,'CD_LOAN_TAPES_BCE.LT003_ENTITY' AS TABELA_LT,'BU_LOANTAPE_WORK.LT003_ENTITY' AS TABELA_SIMUL,'company_exposure'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company_exposure AS CAMPO_IT FROM CD_LOAN_TAPES_BCE.LT003_ENTITY WHERE ref_date='${ref_date}' AND nome_perimetro='Individual Local' AND segmento='ESTR' AND ambito='PM' AND entidade='00100')X INNER JOIN (SELECT entty_id AS CHAVE_SIMUL, company_exposure AS CAMPO_SIMUL FROM BU_LOANTAPE_WORK.LT003_ENTITY WHERE ref_date='${ref_date}' AND nome_perimetro='Individual Local' AND segmento='ESTR' AND ambito='PM' AND entidade='00100')Y ON X.CHAVE_IT=Y.CHAVE_SIMUL</v>
      </c>
      <c r="O546" s="35" t="s">
        <v>35</v>
      </c>
    </row>
    <row r="547" spans="1:15">
      <c r="A547" s="57" t="str">
        <f t="shared" si="18"/>
        <v>Entitycntrprty_typ</v>
      </c>
      <c r="B547" s="32" t="s">
        <v>60</v>
      </c>
      <c r="C547" s="32" t="s">
        <v>610</v>
      </c>
      <c r="D547" s="32" t="s">
        <v>5</v>
      </c>
      <c r="E547" s="32" t="str">
        <f>+UPPER('0. Instruções'!$D$35&amp;"."&amp;VLOOKUP(B547,'0. Instruções'!$C$27:$D$32,2,FALSE))</f>
        <v>CD_LOAN_TAPES_BCE.LT003_ENTITY</v>
      </c>
      <c r="F547" s="32" t="str">
        <f>+UPPER('0. Instruções'!$D$36&amp;"."&amp;VLOOKUP(B547,'0. Instruções'!$C$27:$E$32,3,FALSE))</f>
        <v>BU_LOANTAPE_WORK.LT003_ENTITY</v>
      </c>
      <c r="H547" s="32"/>
      <c r="I547" s="32"/>
      <c r="J547" s="32" t="str">
        <f>IF(VLOOKUP(B547,'0. Instruções'!$C$27:$G$32,5,FALSE)=0,
"(SELECT "&amp;VLOOKUP(B547,'0. Instruções'!$C$27:$G$32,4,FALSE)&amp;" AS CHAVE_IT, "&amp;C547&amp;" AS CAMPO_IT FROM "&amp;E547&amp;" WHERE "&amp;'0. Instruções'!$D$43&amp;")X",
"(SELECT "&amp;VLOOKUP(B547,'0. Instruções'!$C$27:$G$32,4,FALSE)&amp;" AS CHAVE_IT1, "&amp;VLOOKUP(B547,'0. Instruções'!$C$27:$G$32,5,FALSE)&amp;" AS CHAVE_IT2, "&amp;C547&amp;" AS CAMPO_IT FROM "&amp;E547&amp;" WHERE "&amp;'0. Instruções'!$D$43&amp;")X")</f>
        <v>(SELECT entty_id AS CHAVE_IT, cntrprty_typ AS CAMPO_IT FROM CD_LOAN_TAPES_BCE.LT003_ENTITY WHERE ref_date='${ref_date}' AND nome_perimetro='Individual Local' AND segmento='ESTR' AND ambito='PM' AND entidade='00100')X</v>
      </c>
      <c r="K547" s="32" t="str">
        <f>IF(VLOOKUP(B547,'0. Instruções'!$C$27:$G$32,5,FALSE)=0,
"(SELECT "&amp;VLOOKUP(B547,'0. Instruções'!$C$27:$G$32,4,FALSE)&amp;" AS CHAVE_SIMUL, "&amp;C547&amp;" AS CAMPO_SIMUL FROM "&amp;F547&amp;" WHERE "&amp;'0. Instruções'!$D$42&amp;")Y",
"(SELECT "&amp;VLOOKUP(B547,'0. Instruções'!$C$27:$G$32,4,FALSE)&amp;" AS CHAVE_SIMUL1, "&amp;VLOOKUP(B547,'0. Instruções'!$C$27:$G$32,5,FALSE)&amp;" AS CHAVE_SIMUL2, "&amp;C547&amp;" AS CAMPO_SIMUL FROM "&amp;F547&amp;" WHERE "&amp;'0. Instruções'!$D$42&amp;")Y")</f>
        <v>(SELECT entty_id AS CHAVE_SIMUL, cntrprty_typ AS CAMPO_SIMUL FROM BU_LOANTAPE_WORK.LT003_ENTITY WHERE ref_date='${ref_date}' AND nome_perimetro='Individual Local' AND segmento='ESTR' AND ambito='PM' AND entidade='00100')Y</v>
      </c>
      <c r="L547" s="32" t="str">
        <f>IF(VLOOKUP(B547,'0. Instruções'!$C$27:$G$32,5,FALSE)=0,
"ON X.CHAVE_IT=Y.CHAVE_SIMUL",
"ON X.CHAVE_IT1=Y.CHAVE_SIMUL1 AND X.CHAVE_IT2=Y.CHAVE_SIMUL2")</f>
        <v>ON X.CHAVE_IT=Y.CHAVE_SIMUL</v>
      </c>
      <c r="M547" s="32" t="str">
        <f>+IF(D547="Coerência",+IF(LEFT(H547,5)="FLOAT","SELECT '"&amp;UPPER(B547)&amp;"' AS TABELA, '"&amp;UPPER(D547)&amp;"' AS TIPOLOGIA_TESTE,'"&amp;E547&amp;"' AS TABELA_LT,'"&amp;F547&amp;"' AS TABELA_SIMUL,'"&amp;C547&amp;"'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"&amp;J547&amp;" INNER JOIN "&amp;K547&amp;" "&amp;L547,"SELECT '"&amp;UPPER(B547)&amp;"' AS TABELA, '"&amp;UPPER(D547)&amp;"' AS TIPOLOGIA_TESTE,'"&amp;E547&amp;"' AS TABELA_LT,'"&amp;F547&amp;"' AS TABELA_SIMUL,'"&amp;C547&amp;"'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"&amp;J547&amp;" INNER JOIN "&amp;K547&amp;" "&amp;L547))</f>
        <v>SELECT 'ENTITY' AS TABELA, 'COERÊNCIA' AS TIPOLOGIA_TESTE,'CD_LOAN_TAPES_BCE.LT003_ENTITY' AS TABELA_LT,'BU_LOANTAPE_WORK.LT003_ENTITY' AS TABELA_SIMUL,'cntrprty_typ'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cntrprty_typ AS CAMPO_IT FROM CD_LOAN_TAPES_BCE.LT003_ENTITY WHERE ref_date='${ref_date}' AND nome_perimetro='Individual Local' AND segmento='ESTR' AND ambito='PM' AND entidade='00100')X INNER JOIN (SELECT entty_id AS CHAVE_SIMUL, cntrprty_typ AS CAMPO_SIMUL FROM BU_LOANTAPE_WORK.LT003_ENTITY WHERE ref_date='${ref_date}' AND nome_perimetro='Individual Local' AND segmento='ESTR' AND ambito='PM' AND entidade='00100')Y ON X.CHAVE_IT=Y.CHAVE_SIMUL</v>
      </c>
      <c r="N547" s="33" t="str">
        <f t="shared" si="17"/>
        <v>UNION ALL SELECT 'ENTITY' AS TABELA, 'COERÊNCIA' AS TIPOLOGIA_TESTE,'CD_LOAN_TAPES_BCE.LT003_ENTITY' AS TABELA_LT,'BU_LOANTAPE_WORK.LT003_ENTITY' AS TABELA_SIMUL,'cntrprty_typ'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cntrprty_typ AS CAMPO_IT FROM CD_LOAN_TAPES_BCE.LT003_ENTITY WHERE ref_date='${ref_date}' AND nome_perimetro='Individual Local' AND segmento='ESTR' AND ambito='PM' AND entidade='00100')X INNER JOIN (SELECT entty_id AS CHAVE_SIMUL, cntrprty_typ AS CAMPO_SIMUL FROM BU_LOANTAPE_WORK.LT003_ENTITY WHERE ref_date='${ref_date}' AND nome_perimetro='Individual Local' AND segmento='ESTR' AND ambito='PM' AND entidade='00100')Y ON X.CHAVE_IT=Y.CHAVE_SIMUL</v>
      </c>
      <c r="O547" s="35" t="s">
        <v>35</v>
      </c>
    </row>
    <row r="548" spans="1:15">
      <c r="A548" s="57" t="str">
        <f t="shared" si="18"/>
        <v>Entitycntrprty_rsltn_grp</v>
      </c>
      <c r="B548" s="32" t="s">
        <v>60</v>
      </c>
      <c r="C548" s="32" t="s">
        <v>611</v>
      </c>
      <c r="D548" s="32" t="s">
        <v>5</v>
      </c>
      <c r="E548" s="32" t="str">
        <f>+UPPER('0. Instruções'!$D$35&amp;"."&amp;VLOOKUP(B548,'0. Instruções'!$C$27:$D$32,2,FALSE))</f>
        <v>CD_LOAN_TAPES_BCE.LT003_ENTITY</v>
      </c>
      <c r="F548" s="32" t="str">
        <f>+UPPER('0. Instruções'!$D$36&amp;"."&amp;VLOOKUP(B548,'0. Instruções'!$C$27:$E$32,3,FALSE))</f>
        <v>BU_LOANTAPE_WORK.LT003_ENTITY</v>
      </c>
      <c r="H548" s="32"/>
      <c r="I548" s="32"/>
      <c r="J548" s="32" t="str">
        <f>IF(VLOOKUP(B548,'0. Instruções'!$C$27:$G$32,5,FALSE)=0,
"(SELECT "&amp;VLOOKUP(B548,'0. Instruções'!$C$27:$G$32,4,FALSE)&amp;" AS CHAVE_IT, "&amp;C548&amp;" AS CAMPO_IT FROM "&amp;E548&amp;" WHERE "&amp;'0. Instruções'!$D$43&amp;")X",
"(SELECT "&amp;VLOOKUP(B548,'0. Instruções'!$C$27:$G$32,4,FALSE)&amp;" AS CHAVE_IT1, "&amp;VLOOKUP(B548,'0. Instruções'!$C$27:$G$32,5,FALSE)&amp;" AS CHAVE_IT2, "&amp;C548&amp;" AS CAMPO_IT FROM "&amp;E548&amp;" WHERE "&amp;'0. Instruções'!$D$43&amp;")X")</f>
        <v>(SELECT entty_id AS CHAVE_IT, cntrprty_rsltn_grp AS CAMPO_IT FROM CD_LOAN_TAPES_BCE.LT003_ENTITY WHERE ref_date='${ref_date}' AND nome_perimetro='Individual Local' AND segmento='ESTR' AND ambito='PM' AND entidade='00100')X</v>
      </c>
      <c r="K548" s="32" t="str">
        <f>IF(VLOOKUP(B548,'0. Instruções'!$C$27:$G$32,5,FALSE)=0,
"(SELECT "&amp;VLOOKUP(B548,'0. Instruções'!$C$27:$G$32,4,FALSE)&amp;" AS CHAVE_SIMUL, "&amp;C548&amp;" AS CAMPO_SIMUL FROM "&amp;F548&amp;" WHERE "&amp;'0. Instruções'!$D$42&amp;")Y",
"(SELECT "&amp;VLOOKUP(B548,'0. Instruções'!$C$27:$G$32,4,FALSE)&amp;" AS CHAVE_SIMUL1, "&amp;VLOOKUP(B548,'0. Instruções'!$C$27:$G$32,5,FALSE)&amp;" AS CHAVE_SIMUL2, "&amp;C548&amp;" AS CAMPO_SIMUL FROM "&amp;F548&amp;" WHERE "&amp;'0. Instruções'!$D$42&amp;")Y")</f>
        <v>(SELECT entty_id AS CHAVE_SIMUL, cntrprty_rsltn_grp AS CAMPO_SIMUL FROM BU_LOANTAPE_WORK.LT003_ENTITY WHERE ref_date='${ref_date}' AND nome_perimetro='Individual Local' AND segmento='ESTR' AND ambito='PM' AND entidade='00100')Y</v>
      </c>
      <c r="L548" s="32" t="str">
        <f>IF(VLOOKUP(B548,'0. Instruções'!$C$27:$G$32,5,FALSE)=0,
"ON X.CHAVE_IT=Y.CHAVE_SIMUL",
"ON X.CHAVE_IT1=Y.CHAVE_SIMUL1 AND X.CHAVE_IT2=Y.CHAVE_SIMUL2")</f>
        <v>ON X.CHAVE_IT=Y.CHAVE_SIMUL</v>
      </c>
      <c r="M548" s="32" t="str">
        <f>+IF(D548="Coerência",+IF(LEFT(H548,5)="FLOAT","SELECT '"&amp;UPPER(B548)&amp;"' AS TABELA, '"&amp;UPPER(D548)&amp;"' AS TIPOLOGIA_TESTE,'"&amp;E548&amp;"' AS TABELA_LT,'"&amp;F548&amp;"' AS TABELA_SIMUL,'"&amp;C548&amp;"'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"&amp;J548&amp;" INNER JOIN "&amp;K548&amp;" "&amp;L548,"SELECT '"&amp;UPPER(B548)&amp;"' AS TABELA, '"&amp;UPPER(D548)&amp;"' AS TIPOLOGIA_TESTE,'"&amp;E548&amp;"' AS TABELA_LT,'"&amp;F548&amp;"' AS TABELA_SIMUL,'"&amp;C548&amp;"'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"&amp;J548&amp;" INNER JOIN "&amp;K548&amp;" "&amp;L548))</f>
        <v>SELECT 'ENTITY' AS TABELA, 'COERÊNCIA' AS TIPOLOGIA_TESTE,'CD_LOAN_TAPES_BCE.LT003_ENTITY' AS TABELA_LT,'BU_LOANTAPE_WORK.LT003_ENTITY' AS TABELA_SIMUL,'cntrprty_rsltn_grp'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cntrprty_rsltn_grp AS CAMPO_IT FROM CD_LOAN_TAPES_BCE.LT003_ENTITY WHERE ref_date='${ref_date}' AND nome_perimetro='Individual Local' AND segmento='ESTR' AND ambito='PM' AND entidade='00100')X INNER JOIN (SELECT entty_id AS CHAVE_SIMUL, cntrprty_rsltn_grp AS CAMPO_SIMUL FROM BU_LOANTAPE_WORK.LT003_ENTITY WHERE ref_date='${ref_date}' AND nome_perimetro='Individual Local' AND segmento='ESTR' AND ambito='PM' AND entidade='00100')Y ON X.CHAVE_IT=Y.CHAVE_SIMUL</v>
      </c>
      <c r="N548" s="33" t="str">
        <f t="shared" si="17"/>
        <v>UNION ALL SELECT 'ENTITY' AS TABELA, 'COERÊNCIA' AS TIPOLOGIA_TESTE,'CD_LOAN_TAPES_BCE.LT003_ENTITY' AS TABELA_LT,'BU_LOANTAPE_WORK.LT003_ENTITY' AS TABELA_SIMUL,'cntrprty_rsltn_grp'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entty_id AS CHAVE_IT, cntrprty_rsltn_grp AS CAMPO_IT FROM CD_LOAN_TAPES_BCE.LT003_ENTITY WHERE ref_date='${ref_date}' AND nome_perimetro='Individual Local' AND segmento='ESTR' AND ambito='PM' AND entidade='00100')X INNER JOIN (SELECT entty_id AS CHAVE_SIMUL, cntrprty_rsltn_grp AS CAMPO_SIMUL FROM BU_LOANTAPE_WORK.LT003_ENTITY WHERE ref_date='${ref_date}' AND nome_perimetro='Individual Local' AND segmento='ESTR' AND ambito='PM' AND entidade='00100')Y ON X.CHAVE_IT=Y.CHAVE_SIMUL</v>
      </c>
      <c r="O548" s="35" t="s">
        <v>35</v>
      </c>
    </row>
    <row r="549" spans="1:15">
      <c r="A549" s="57" t="str">
        <f t="shared" si="18"/>
        <v>Protectiondt_mtrty_prtctn</v>
      </c>
      <c r="B549" s="32" t="s">
        <v>59</v>
      </c>
      <c r="C549" s="32" t="s">
        <v>612</v>
      </c>
      <c r="D549" s="32" t="s">
        <v>5</v>
      </c>
      <c r="E549" s="32" t="str">
        <f>+UPPER('0. Instruções'!$D$35&amp;"."&amp;VLOOKUP(B549,'0. Instruções'!$C$27:$D$32,2,FALSE))</f>
        <v>CD_LOAN_TAPES_BCE.LT004_PROTECTION</v>
      </c>
      <c r="F549" s="32" t="str">
        <f>+UPPER('0. Instruções'!$D$36&amp;"."&amp;VLOOKUP(B549,'0. Instruções'!$C$27:$E$32,3,FALSE))</f>
        <v>BU_LOANTAPE_WORK.LT004_PROTECTION</v>
      </c>
      <c r="H549" s="32"/>
      <c r="I549" s="32"/>
      <c r="J549" s="32" t="str">
        <f>IF(VLOOKUP(B549,'0. Instruções'!$C$27:$G$32,5,FALSE)=0,
"(SELECT "&amp;VLOOKUP(B549,'0. Instruções'!$C$27:$G$32,4,FALSE)&amp;" AS CHAVE_IT, "&amp;C549&amp;" AS CAMPO_IT FROM "&amp;E549&amp;" WHERE "&amp;'0. Instruções'!$D$43&amp;")X",
"(SELECT "&amp;VLOOKUP(B549,'0. Instruções'!$C$27:$G$32,4,FALSE)&amp;" AS CHAVE_IT1, "&amp;VLOOKUP(B549,'0. Instruções'!$C$27:$G$32,5,FALSE)&amp;" AS CHAVE_IT2, "&amp;C549&amp;" AS CAMPO_IT FROM "&amp;E549&amp;" WHERE "&amp;'0. Instruções'!$D$43&amp;")X")</f>
        <v>(SELECT prtctn_id AS CHAVE_IT, dt_mtrty_prtctn AS CAMPO_IT FROM CD_LOAN_TAPES_BCE.LT004_PROTECTION WHERE ref_date='${ref_date}' AND nome_perimetro='Individual Local' AND segmento='ESTR' AND ambito='PM' AND entidade='00100')X</v>
      </c>
      <c r="K549" s="32" t="str">
        <f>IF(VLOOKUP(B549,'0. Instruções'!$C$27:$G$32,5,FALSE)=0,
"(SELECT "&amp;VLOOKUP(B549,'0. Instruções'!$C$27:$G$32,4,FALSE)&amp;" AS CHAVE_SIMUL, "&amp;C549&amp;" AS CAMPO_SIMUL FROM "&amp;F549&amp;" WHERE "&amp;'0. Instruções'!$D$42&amp;")Y",
"(SELECT "&amp;VLOOKUP(B549,'0. Instruções'!$C$27:$G$32,4,FALSE)&amp;" AS CHAVE_SIMUL1, "&amp;VLOOKUP(B549,'0. Instruções'!$C$27:$G$32,5,FALSE)&amp;" AS CHAVE_SIMUL2, "&amp;C549&amp;" AS CAMPO_SIMUL FROM "&amp;F549&amp;" WHERE "&amp;'0. Instruções'!$D$42&amp;")Y")</f>
        <v>(SELECT prtctn_id AS CHAVE_SIMUL, dt_mtrty_prtctn AS CAMPO_SIMUL FROM BU_LOANTAPE_WORK.LT004_PROTECTION WHERE ref_date='${ref_date}' AND nome_perimetro='Individual Local' AND segmento='ESTR' AND ambito='PM' AND entidade='00100')Y</v>
      </c>
      <c r="L549" s="32" t="str">
        <f>IF(VLOOKUP(B549,'0. Instruções'!$C$27:$G$32,5,FALSE)=0,
"ON X.CHAVE_IT=Y.CHAVE_SIMUL",
"ON X.CHAVE_IT1=Y.CHAVE_SIMUL1 AND X.CHAVE_IT2=Y.CHAVE_SIMUL2")</f>
        <v>ON X.CHAVE_IT=Y.CHAVE_SIMUL</v>
      </c>
      <c r="M549" s="32" t="str">
        <f>+IF(D549="Coerência",+IF(LEFT(H549,5)="FLOAT","SELECT '"&amp;UPPER(B549)&amp;"' AS TABELA, '"&amp;UPPER(D549)&amp;"' AS TIPOLOGIA_TESTE,'"&amp;E549&amp;"' AS TABELA_LT,'"&amp;F549&amp;"' AS TABELA_SIMUL,'"&amp;C549&amp;"'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"&amp;J549&amp;" INNER JOIN "&amp;K549&amp;" "&amp;L549,"SELECT '"&amp;UPPER(B549)&amp;"' AS TABELA, '"&amp;UPPER(D549)&amp;"' AS TIPOLOGIA_TESTE,'"&amp;E549&amp;"' AS TABELA_LT,'"&amp;F549&amp;"' AS TABELA_SIMUL,'"&amp;C549&amp;"'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"&amp;J549&amp;" INNER JOIN "&amp;K549&amp;" "&amp;L549))</f>
        <v>SELECT 'PROTECTION' AS TABELA, 'COERÊNCIA' AS TIPOLOGIA_TESTE,'CD_LOAN_TAPES_BCE.LT004_PROTECTION' AS TABELA_LT,'BU_LOANTAPE_WORK.LT004_PROTECTION' AS TABELA_SIMUL,'dt_mtrty_prtctn'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dt_mtrty_prtctn AS CAMPO_IT FROM CD_LOAN_TAPES_BCE.LT004_PROTECTION WHERE ref_date='${ref_date}' AND nome_perimetro='Individual Local' AND segmento='ESTR' AND ambito='PM' AND entidade='00100')X INNER JOIN (SELECT prtctn_id AS CHAVE_SIMUL, dt_mtrty_prtctn AS CAMPO_SIMUL FROM BU_LOANTAPE_WORK.LT004_PROTECTION WHERE ref_date='${ref_date}' AND nome_perimetro='Individual Local' AND segmento='ESTR' AND ambito='PM' AND entidade='00100')Y ON X.CHAVE_IT=Y.CHAVE_SIMUL</v>
      </c>
      <c r="N549" s="33" t="str">
        <f t="shared" ref="N549:N611" si="19">+"UNION ALL "&amp;M549</f>
        <v>UNION ALL SELECT 'PROTECTION' AS TABELA, 'COERÊNCIA' AS TIPOLOGIA_TESTE,'CD_LOAN_TAPES_BCE.LT004_PROTECTION' AS TABELA_LT,'BU_LOANTAPE_WORK.LT004_PROTECTION' AS TABELA_SIMUL,'dt_mtrty_prtctn'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dt_mtrty_prtctn AS CAMPO_IT FROM CD_LOAN_TAPES_BCE.LT004_PROTECTION WHERE ref_date='${ref_date}' AND nome_perimetro='Individual Local' AND segmento='ESTR' AND ambito='PM' AND entidade='00100')X INNER JOIN (SELECT prtctn_id AS CHAVE_SIMUL, dt_mtrty_prtctn AS CAMPO_SIMUL FROM BU_LOANTAPE_WORK.LT004_PROTECTION WHERE ref_date='${ref_date}' AND nome_perimetro='Individual Local' AND segmento='ESTR' AND ambito='PM' AND entidade='00100')Y ON X.CHAVE_IT=Y.CHAVE_SIMUL</v>
      </c>
      <c r="O549" s="35" t="s">
        <v>35</v>
      </c>
    </row>
    <row r="550" spans="1:15">
      <c r="A550" s="57" t="str">
        <f t="shared" si="18"/>
        <v>Protectionntnl_id</v>
      </c>
      <c r="B550" s="32" t="s">
        <v>59</v>
      </c>
      <c r="C550" s="32" t="s">
        <v>613</v>
      </c>
      <c r="D550" s="32" t="s">
        <v>5</v>
      </c>
      <c r="E550" s="32" t="str">
        <f>+UPPER('0. Instruções'!$D$35&amp;"."&amp;VLOOKUP(B550,'0. Instruções'!$C$27:$D$32,2,FALSE))</f>
        <v>CD_LOAN_TAPES_BCE.LT004_PROTECTION</v>
      </c>
      <c r="F550" s="32" t="str">
        <f>+UPPER('0. Instruções'!$D$36&amp;"."&amp;VLOOKUP(B550,'0. Instruções'!$C$27:$E$32,3,FALSE))</f>
        <v>BU_LOANTAPE_WORK.LT004_PROTECTION</v>
      </c>
      <c r="H550" s="32"/>
      <c r="I550" s="32"/>
      <c r="J550" s="32" t="str">
        <f>IF(VLOOKUP(B550,'0. Instruções'!$C$27:$G$32,5,FALSE)=0,
"(SELECT "&amp;VLOOKUP(B550,'0. Instruções'!$C$27:$G$32,4,FALSE)&amp;" AS CHAVE_IT, "&amp;C550&amp;" AS CAMPO_IT FROM "&amp;E550&amp;" WHERE "&amp;'0. Instruções'!$D$43&amp;")X",
"(SELECT "&amp;VLOOKUP(B550,'0. Instruções'!$C$27:$G$32,4,FALSE)&amp;" AS CHAVE_IT1, "&amp;VLOOKUP(B550,'0. Instruções'!$C$27:$G$32,5,FALSE)&amp;" AS CHAVE_IT2, "&amp;C550&amp;" AS CAMPO_IT FROM "&amp;E550&amp;" WHERE "&amp;'0. Instruções'!$D$43&amp;")X")</f>
        <v>(SELECT prtctn_id AS CHAVE_IT, ntnl_id AS CAMPO_IT FROM CD_LOAN_TAPES_BCE.LT004_PROTECTION WHERE ref_date='${ref_date}' AND nome_perimetro='Individual Local' AND segmento='ESTR' AND ambito='PM' AND entidade='00100')X</v>
      </c>
      <c r="K550" s="32" t="str">
        <f>IF(VLOOKUP(B550,'0. Instruções'!$C$27:$G$32,5,FALSE)=0,
"(SELECT "&amp;VLOOKUP(B550,'0. Instruções'!$C$27:$G$32,4,FALSE)&amp;" AS CHAVE_SIMUL, "&amp;C550&amp;" AS CAMPO_SIMUL FROM "&amp;F550&amp;" WHERE "&amp;'0. Instruções'!$D$42&amp;")Y",
"(SELECT "&amp;VLOOKUP(B550,'0. Instruções'!$C$27:$G$32,4,FALSE)&amp;" AS CHAVE_SIMUL1, "&amp;VLOOKUP(B550,'0. Instruções'!$C$27:$G$32,5,FALSE)&amp;" AS CHAVE_SIMUL2, "&amp;C550&amp;" AS CAMPO_SIMUL FROM "&amp;F550&amp;" WHERE "&amp;'0. Instruções'!$D$42&amp;")Y")</f>
        <v>(SELECT prtctn_id AS CHAVE_SIMUL, ntnl_id AS CAMPO_SIMUL FROM BU_LOANTAPE_WORK.LT004_PROTECTION WHERE ref_date='${ref_date}' AND nome_perimetro='Individual Local' AND segmento='ESTR' AND ambito='PM' AND entidade='00100')Y</v>
      </c>
      <c r="L550" s="32" t="str">
        <f>IF(VLOOKUP(B550,'0. Instruções'!$C$27:$G$32,5,FALSE)=0,
"ON X.CHAVE_IT=Y.CHAVE_SIMUL",
"ON X.CHAVE_IT1=Y.CHAVE_SIMUL1 AND X.CHAVE_IT2=Y.CHAVE_SIMUL2")</f>
        <v>ON X.CHAVE_IT=Y.CHAVE_SIMUL</v>
      </c>
      <c r="M550" s="32" t="str">
        <f>+IF(D550="Coerência",+IF(LEFT(H550,5)="FLOAT","SELECT '"&amp;UPPER(B550)&amp;"' AS TABELA, '"&amp;UPPER(D550)&amp;"' AS TIPOLOGIA_TESTE,'"&amp;E550&amp;"' AS TABELA_LT,'"&amp;F550&amp;"' AS TABELA_SIMUL,'"&amp;C550&amp;"'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"&amp;J550&amp;" INNER JOIN "&amp;K550&amp;" "&amp;L550,"SELECT '"&amp;UPPER(B550)&amp;"' AS TABELA, '"&amp;UPPER(D550)&amp;"' AS TIPOLOGIA_TESTE,'"&amp;E550&amp;"' AS TABELA_LT,'"&amp;F550&amp;"' AS TABELA_SIMUL,'"&amp;C550&amp;"'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"&amp;J550&amp;" INNER JOIN "&amp;K550&amp;" "&amp;L550))</f>
        <v>SELECT 'PROTECTION' AS TABELA, 'COERÊNCIA' AS TIPOLOGIA_TESTE,'CD_LOAN_TAPES_BCE.LT004_PROTECTION' AS TABELA_LT,'BU_LOANTAPE_WORK.LT004_PROTECTION' AS TABELA_SIMUL,'ntnl_id'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ntnl_id AS CAMPO_IT FROM CD_LOAN_TAPES_BCE.LT004_PROTECTION WHERE ref_date='${ref_date}' AND nome_perimetro='Individual Local' AND segmento='ESTR' AND ambito='PM' AND entidade='00100')X INNER JOIN (SELECT prtctn_id AS CHAVE_SIMUL, ntnl_id AS CAMPO_SIMUL FROM BU_LOANTAPE_WORK.LT004_PROTECTION WHERE ref_date='${ref_date}' AND nome_perimetro='Individual Local' AND segmento='ESTR' AND ambito='PM' AND entidade='00100')Y ON X.CHAVE_IT=Y.CHAVE_SIMUL</v>
      </c>
      <c r="N550" s="33" t="str">
        <f t="shared" si="19"/>
        <v>UNION ALL SELECT 'PROTECTION' AS TABELA, 'COERÊNCIA' AS TIPOLOGIA_TESTE,'CD_LOAN_TAPES_BCE.LT004_PROTECTION' AS TABELA_LT,'BU_LOANTAPE_WORK.LT004_PROTECTION' AS TABELA_SIMUL,'ntnl_id'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ntnl_id AS CAMPO_IT FROM CD_LOAN_TAPES_BCE.LT004_PROTECTION WHERE ref_date='${ref_date}' AND nome_perimetro='Individual Local' AND segmento='ESTR' AND ambito='PM' AND entidade='00100')X INNER JOIN (SELECT prtctn_id AS CHAVE_SIMUL, ntnl_id AS CAMPO_SIMUL FROM BU_LOANTAPE_WORK.LT004_PROTECTION WHERE ref_date='${ref_date}' AND nome_perimetro='Individual Local' AND segmento='ESTR' AND ambito='PM' AND entidade='00100')Y ON X.CHAVE_IT=Y.CHAVE_SIMUL</v>
      </c>
      <c r="O550" s="35" t="s">
        <v>35</v>
      </c>
    </row>
    <row r="551" spans="1:15">
      <c r="A551" s="57" t="str">
        <f t="shared" si="18"/>
        <v>Protectionprtctn_prvdr_id</v>
      </c>
      <c r="B551" s="32" t="s">
        <v>59</v>
      </c>
      <c r="C551" s="32" t="s">
        <v>614</v>
      </c>
      <c r="D551" s="32" t="s">
        <v>5</v>
      </c>
      <c r="E551" s="32" t="str">
        <f>+UPPER('0. Instruções'!$D$35&amp;"."&amp;VLOOKUP(B551,'0. Instruções'!$C$27:$D$32,2,FALSE))</f>
        <v>CD_LOAN_TAPES_BCE.LT004_PROTECTION</v>
      </c>
      <c r="F551" s="32" t="str">
        <f>+UPPER('0. Instruções'!$D$36&amp;"."&amp;VLOOKUP(B551,'0. Instruções'!$C$27:$E$32,3,FALSE))</f>
        <v>BU_LOANTAPE_WORK.LT004_PROTECTION</v>
      </c>
      <c r="H551" s="32"/>
      <c r="I551" s="32"/>
      <c r="J551" s="32" t="str">
        <f>IF(VLOOKUP(B551,'0. Instruções'!$C$27:$G$32,5,FALSE)=0,
"(SELECT "&amp;VLOOKUP(B551,'0. Instruções'!$C$27:$G$32,4,FALSE)&amp;" AS CHAVE_IT, "&amp;C551&amp;" AS CAMPO_IT FROM "&amp;E551&amp;" WHERE "&amp;'0. Instruções'!$D$43&amp;")X",
"(SELECT "&amp;VLOOKUP(B551,'0. Instruções'!$C$27:$G$32,4,FALSE)&amp;" AS CHAVE_IT1, "&amp;VLOOKUP(B551,'0. Instruções'!$C$27:$G$32,5,FALSE)&amp;" AS CHAVE_IT2, "&amp;C551&amp;" AS CAMPO_IT FROM "&amp;E551&amp;" WHERE "&amp;'0. Instruções'!$D$43&amp;")X")</f>
        <v>(SELECT prtctn_id AS CHAVE_IT, prtctn_prvdr_id AS CAMPO_IT FROM CD_LOAN_TAPES_BCE.LT004_PROTECTION WHERE ref_date='${ref_date}' AND nome_perimetro='Individual Local' AND segmento='ESTR' AND ambito='PM' AND entidade='00100')X</v>
      </c>
      <c r="K551" s="32" t="str">
        <f>IF(VLOOKUP(B551,'0. Instruções'!$C$27:$G$32,5,FALSE)=0,
"(SELECT "&amp;VLOOKUP(B551,'0. Instruções'!$C$27:$G$32,4,FALSE)&amp;" AS CHAVE_SIMUL, "&amp;C551&amp;" AS CAMPO_SIMUL FROM "&amp;F551&amp;" WHERE "&amp;'0. Instruções'!$D$42&amp;")Y",
"(SELECT "&amp;VLOOKUP(B551,'0. Instruções'!$C$27:$G$32,4,FALSE)&amp;" AS CHAVE_SIMUL1, "&amp;VLOOKUP(B551,'0. Instruções'!$C$27:$G$32,5,FALSE)&amp;" AS CHAVE_SIMUL2, "&amp;C551&amp;" AS CAMPO_SIMUL FROM "&amp;F551&amp;" WHERE "&amp;'0. Instruções'!$D$42&amp;")Y")</f>
        <v>(SELECT prtctn_id AS CHAVE_SIMUL, prtctn_prvdr_id AS CAMPO_SIMUL FROM BU_LOANTAPE_WORK.LT004_PROTECTION WHERE ref_date='${ref_date}' AND nome_perimetro='Individual Local' AND segmento='ESTR' AND ambito='PM' AND entidade='00100')Y</v>
      </c>
      <c r="L551" s="32" t="str">
        <f>IF(VLOOKUP(B551,'0. Instruções'!$C$27:$G$32,5,FALSE)=0,
"ON X.CHAVE_IT=Y.CHAVE_SIMUL",
"ON X.CHAVE_IT1=Y.CHAVE_SIMUL1 AND X.CHAVE_IT2=Y.CHAVE_SIMUL2")</f>
        <v>ON X.CHAVE_IT=Y.CHAVE_SIMUL</v>
      </c>
      <c r="M551" s="32" t="str">
        <f>+IF(D551="Coerência",+IF(LEFT(H551,5)="FLOAT","SELECT '"&amp;UPPER(B551)&amp;"' AS TABELA, '"&amp;UPPER(D551)&amp;"' AS TIPOLOGIA_TESTE,'"&amp;E551&amp;"' AS TABELA_LT,'"&amp;F551&amp;"' AS TABELA_SIMUL,'"&amp;C551&amp;"'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"&amp;J551&amp;" INNER JOIN "&amp;K551&amp;" "&amp;L551,"SELECT '"&amp;UPPER(B551)&amp;"' AS TABELA, '"&amp;UPPER(D551)&amp;"' AS TIPOLOGIA_TESTE,'"&amp;E551&amp;"' AS TABELA_LT,'"&amp;F551&amp;"' AS TABELA_SIMUL,'"&amp;C551&amp;"'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"&amp;J551&amp;" INNER JOIN "&amp;K551&amp;" "&amp;L551))</f>
        <v>SELECT 'PROTECTION' AS TABELA, 'COERÊNCIA' AS TIPOLOGIA_TESTE,'CD_LOAN_TAPES_BCE.LT004_PROTECTION' AS TABELA_LT,'BU_LOANTAPE_WORK.LT004_PROTECTION' AS TABELA_SIMUL,'prtctn_prvdr_id'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prtctn_prvdr_id AS CAMPO_IT FROM CD_LOAN_TAPES_BCE.LT004_PROTECTION WHERE ref_date='${ref_date}' AND nome_perimetro='Individual Local' AND segmento='ESTR' AND ambito='PM' AND entidade='00100')X INNER JOIN (SELECT prtctn_id AS CHAVE_SIMUL, prtctn_prvdr_id AS CAMPO_SIMUL FROM BU_LOANTAPE_WORK.LT004_PROTECTION WHERE ref_date='${ref_date}' AND nome_perimetro='Individual Local' AND segmento='ESTR' AND ambito='PM' AND entidade='00100')Y ON X.CHAVE_IT=Y.CHAVE_SIMUL</v>
      </c>
      <c r="N551" s="33" t="str">
        <f t="shared" si="19"/>
        <v>UNION ALL SELECT 'PROTECTION' AS TABELA, 'COERÊNCIA' AS TIPOLOGIA_TESTE,'CD_LOAN_TAPES_BCE.LT004_PROTECTION' AS TABELA_LT,'BU_LOANTAPE_WORK.LT004_PROTECTION' AS TABELA_SIMUL,'prtctn_prvdr_id'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prtctn_prvdr_id AS CAMPO_IT FROM CD_LOAN_TAPES_BCE.LT004_PROTECTION WHERE ref_date='${ref_date}' AND nome_perimetro='Individual Local' AND segmento='ESTR' AND ambito='PM' AND entidade='00100')X INNER JOIN (SELECT prtctn_id AS CHAVE_SIMUL, prtctn_prvdr_id AS CAMPO_SIMUL FROM BU_LOANTAPE_WORK.LT004_PROTECTION WHERE ref_date='${ref_date}' AND nome_perimetro='Individual Local' AND segmento='ESTR' AND ambito='PM' AND entidade='00100')Y ON X.CHAVE_IT=Y.CHAVE_SIMUL</v>
      </c>
      <c r="O551" s="35" t="s">
        <v>35</v>
      </c>
    </row>
    <row r="552" spans="1:15">
      <c r="A552" s="57" t="str">
        <f t="shared" si="18"/>
        <v>Protectionrl_estt_addrss</v>
      </c>
      <c r="B552" s="32" t="s">
        <v>59</v>
      </c>
      <c r="C552" s="32" t="s">
        <v>615</v>
      </c>
      <c r="D552" s="32" t="s">
        <v>5</v>
      </c>
      <c r="E552" s="32" t="str">
        <f>+UPPER('0. Instruções'!$D$35&amp;"."&amp;VLOOKUP(B552,'0. Instruções'!$C$27:$D$32,2,FALSE))</f>
        <v>CD_LOAN_TAPES_BCE.LT004_PROTECTION</v>
      </c>
      <c r="F552" s="32" t="str">
        <f>+UPPER('0. Instruções'!$D$36&amp;"."&amp;VLOOKUP(B552,'0. Instruções'!$C$27:$E$32,3,FALSE))</f>
        <v>BU_LOANTAPE_WORK.LT004_PROTECTION</v>
      </c>
      <c r="H552" s="32"/>
      <c r="I552" s="32"/>
      <c r="J552" s="32" t="str">
        <f>IF(VLOOKUP(B552,'0. Instruções'!$C$27:$G$32,5,FALSE)=0,
"(SELECT "&amp;VLOOKUP(B552,'0. Instruções'!$C$27:$G$32,4,FALSE)&amp;" AS CHAVE_IT, "&amp;C552&amp;" AS CAMPO_IT FROM "&amp;E552&amp;" WHERE "&amp;'0. Instruções'!$D$43&amp;")X",
"(SELECT "&amp;VLOOKUP(B552,'0. Instruções'!$C$27:$G$32,4,FALSE)&amp;" AS CHAVE_IT1, "&amp;VLOOKUP(B552,'0. Instruções'!$C$27:$G$32,5,FALSE)&amp;" AS CHAVE_IT2, "&amp;C552&amp;" AS CAMPO_IT FROM "&amp;E552&amp;" WHERE "&amp;'0. Instruções'!$D$43&amp;")X")</f>
        <v>(SELECT prtctn_id AS CHAVE_IT, rl_estt_addrss AS CAMPO_IT FROM CD_LOAN_TAPES_BCE.LT004_PROTECTION WHERE ref_date='${ref_date}' AND nome_perimetro='Individual Local' AND segmento='ESTR' AND ambito='PM' AND entidade='00100')X</v>
      </c>
      <c r="K552" s="32" t="str">
        <f>IF(VLOOKUP(B552,'0. Instruções'!$C$27:$G$32,5,FALSE)=0,
"(SELECT "&amp;VLOOKUP(B552,'0. Instruções'!$C$27:$G$32,4,FALSE)&amp;" AS CHAVE_SIMUL, "&amp;C552&amp;" AS CAMPO_SIMUL FROM "&amp;F552&amp;" WHERE "&amp;'0. Instruções'!$D$42&amp;")Y",
"(SELECT "&amp;VLOOKUP(B552,'0. Instruções'!$C$27:$G$32,4,FALSE)&amp;" AS CHAVE_SIMUL1, "&amp;VLOOKUP(B552,'0. Instruções'!$C$27:$G$32,5,FALSE)&amp;" AS CHAVE_SIMUL2, "&amp;C552&amp;" AS CAMPO_SIMUL FROM "&amp;F552&amp;" WHERE "&amp;'0. Instruções'!$D$42&amp;")Y")</f>
        <v>(SELECT prtctn_id AS CHAVE_SIMUL, rl_estt_addrss AS CAMPO_SIMUL FROM BU_LOANTAPE_WORK.LT004_PROTECTION WHERE ref_date='${ref_date}' AND nome_perimetro='Individual Local' AND segmento='ESTR' AND ambito='PM' AND entidade='00100')Y</v>
      </c>
      <c r="L552" s="32" t="str">
        <f>IF(VLOOKUP(B552,'0. Instruções'!$C$27:$G$32,5,FALSE)=0,
"ON X.CHAVE_IT=Y.CHAVE_SIMUL",
"ON X.CHAVE_IT1=Y.CHAVE_SIMUL1 AND X.CHAVE_IT2=Y.CHAVE_SIMUL2")</f>
        <v>ON X.CHAVE_IT=Y.CHAVE_SIMUL</v>
      </c>
      <c r="M552" s="32" t="str">
        <f>+IF(D552="Coerência",+IF(LEFT(H552,5)="FLOAT","SELECT '"&amp;UPPER(B552)&amp;"' AS TABELA, '"&amp;UPPER(D552)&amp;"' AS TIPOLOGIA_TESTE,'"&amp;E552&amp;"' AS TABELA_LT,'"&amp;F552&amp;"' AS TABELA_SIMUL,'"&amp;C552&amp;"'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"&amp;J552&amp;" INNER JOIN "&amp;K552&amp;" "&amp;L552,"SELECT '"&amp;UPPER(B552)&amp;"' AS TABELA, '"&amp;UPPER(D552)&amp;"' AS TIPOLOGIA_TESTE,'"&amp;E552&amp;"' AS TABELA_LT,'"&amp;F552&amp;"' AS TABELA_SIMUL,'"&amp;C552&amp;"'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"&amp;J552&amp;" INNER JOIN "&amp;K552&amp;" "&amp;L552))</f>
        <v>SELECT 'PROTECTION' AS TABELA, 'COERÊNCIA' AS TIPOLOGIA_TESTE,'CD_LOAN_TAPES_BCE.LT004_PROTECTION' AS TABELA_LT,'BU_LOANTAPE_WORK.LT004_PROTECTION' AS TABELA_SIMUL,'rl_estt_addrss'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rl_estt_addrss AS CAMPO_IT FROM CD_LOAN_TAPES_BCE.LT004_PROTECTION WHERE ref_date='${ref_date}' AND nome_perimetro='Individual Local' AND segmento='ESTR' AND ambito='PM' AND entidade='00100')X INNER JOIN (SELECT prtctn_id AS CHAVE_SIMUL, rl_estt_addrss AS CAMPO_SIMUL FROM BU_LOANTAPE_WORK.LT004_PROTECTION WHERE ref_date='${ref_date}' AND nome_perimetro='Individual Local' AND segmento='ESTR' AND ambito='PM' AND entidade='00100')Y ON X.CHAVE_IT=Y.CHAVE_SIMUL</v>
      </c>
      <c r="N552" s="33" t="str">
        <f t="shared" si="19"/>
        <v>UNION ALL SELECT 'PROTECTION' AS TABELA, 'COERÊNCIA' AS TIPOLOGIA_TESTE,'CD_LOAN_TAPES_BCE.LT004_PROTECTION' AS TABELA_LT,'BU_LOANTAPE_WORK.LT004_PROTECTION' AS TABELA_SIMUL,'rl_estt_addrss'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rl_estt_addrss AS CAMPO_IT FROM CD_LOAN_TAPES_BCE.LT004_PROTECTION WHERE ref_date='${ref_date}' AND nome_perimetro='Individual Local' AND segmento='ESTR' AND ambito='PM' AND entidade='00100')X INNER JOIN (SELECT prtctn_id AS CHAVE_SIMUL, rl_estt_addrss AS CAMPO_SIMUL FROM BU_LOANTAPE_WORK.LT004_PROTECTION WHERE ref_date='${ref_date}' AND nome_perimetro='Individual Local' AND segmento='ESTR' AND ambito='PM' AND entidade='00100')Y ON X.CHAVE_IT=Y.CHAVE_SIMUL</v>
      </c>
      <c r="O552" s="35" t="s">
        <v>35</v>
      </c>
    </row>
    <row r="553" spans="1:15">
      <c r="A553" s="57" t="str">
        <f t="shared" si="18"/>
        <v>Protectionrl_estt_clltrl_lctn</v>
      </c>
      <c r="B553" s="32" t="s">
        <v>59</v>
      </c>
      <c r="C553" s="32" t="s">
        <v>163</v>
      </c>
      <c r="D553" s="32" t="s">
        <v>5</v>
      </c>
      <c r="E553" s="32" t="str">
        <f>+UPPER('0. Instruções'!$D$35&amp;"."&amp;VLOOKUP(B553,'0. Instruções'!$C$27:$D$32,2,FALSE))</f>
        <v>CD_LOAN_TAPES_BCE.LT004_PROTECTION</v>
      </c>
      <c r="F553" s="32" t="str">
        <f>+UPPER('0. Instruções'!$D$36&amp;"."&amp;VLOOKUP(B553,'0. Instruções'!$C$27:$E$32,3,FALSE))</f>
        <v>BU_LOANTAPE_WORK.LT004_PROTECTION</v>
      </c>
      <c r="H553" s="32"/>
      <c r="I553" s="32"/>
      <c r="J553" s="32" t="str">
        <f>IF(VLOOKUP(B553,'0. Instruções'!$C$27:$G$32,5,FALSE)=0,
"(SELECT "&amp;VLOOKUP(B553,'0. Instruções'!$C$27:$G$32,4,FALSE)&amp;" AS CHAVE_IT, "&amp;C553&amp;" AS CAMPO_IT FROM "&amp;E553&amp;" WHERE "&amp;'0. Instruções'!$D$43&amp;")X",
"(SELECT "&amp;VLOOKUP(B553,'0. Instruções'!$C$27:$G$32,4,FALSE)&amp;" AS CHAVE_IT1, "&amp;VLOOKUP(B553,'0. Instruções'!$C$27:$G$32,5,FALSE)&amp;" AS CHAVE_IT2, "&amp;C553&amp;" AS CAMPO_IT FROM "&amp;E553&amp;" WHERE "&amp;'0. Instruções'!$D$43&amp;")X")</f>
        <v>(SELECT prtctn_id AS CHAVE_IT, rl_estt_clltrl_lctn AS CAMPO_IT FROM CD_LOAN_TAPES_BCE.LT004_PROTECTION WHERE ref_date='${ref_date}' AND nome_perimetro='Individual Local' AND segmento='ESTR' AND ambito='PM' AND entidade='00100')X</v>
      </c>
      <c r="K553" s="32" t="str">
        <f>IF(VLOOKUP(B553,'0. Instruções'!$C$27:$G$32,5,FALSE)=0,
"(SELECT "&amp;VLOOKUP(B553,'0. Instruções'!$C$27:$G$32,4,FALSE)&amp;" AS CHAVE_SIMUL, "&amp;C553&amp;" AS CAMPO_SIMUL FROM "&amp;F553&amp;" WHERE "&amp;'0. Instruções'!$D$42&amp;")Y",
"(SELECT "&amp;VLOOKUP(B553,'0. Instruções'!$C$27:$G$32,4,FALSE)&amp;" AS CHAVE_SIMUL1, "&amp;VLOOKUP(B553,'0. Instruções'!$C$27:$G$32,5,FALSE)&amp;" AS CHAVE_SIMUL2, "&amp;C553&amp;" AS CAMPO_SIMUL FROM "&amp;F553&amp;" WHERE "&amp;'0. Instruções'!$D$42&amp;")Y")</f>
        <v>(SELECT prtctn_id AS CHAVE_SIMUL, rl_estt_clltrl_lctn AS CAMPO_SIMUL FROM BU_LOANTAPE_WORK.LT004_PROTECTION WHERE ref_date='${ref_date}' AND nome_perimetro='Individual Local' AND segmento='ESTR' AND ambito='PM' AND entidade='00100')Y</v>
      </c>
      <c r="L553" s="32" t="str">
        <f>IF(VLOOKUP(B553,'0. Instruções'!$C$27:$G$32,5,FALSE)=0,
"ON X.CHAVE_IT=Y.CHAVE_SIMUL",
"ON X.CHAVE_IT1=Y.CHAVE_SIMUL1 AND X.CHAVE_IT2=Y.CHAVE_SIMUL2")</f>
        <v>ON X.CHAVE_IT=Y.CHAVE_SIMUL</v>
      </c>
      <c r="M553" s="32" t="str">
        <f>+IF(D553="Coerência",+IF(LEFT(H553,5)="FLOAT","SELECT '"&amp;UPPER(B553)&amp;"' AS TABELA, '"&amp;UPPER(D553)&amp;"' AS TIPOLOGIA_TESTE,'"&amp;E553&amp;"' AS TABELA_LT,'"&amp;F553&amp;"' AS TABELA_SIMUL,'"&amp;C553&amp;"'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"&amp;J553&amp;" INNER JOIN "&amp;K553&amp;" "&amp;L553,"SELECT '"&amp;UPPER(B553)&amp;"' AS TABELA, '"&amp;UPPER(D553)&amp;"' AS TIPOLOGIA_TESTE,'"&amp;E553&amp;"' AS TABELA_LT,'"&amp;F553&amp;"' AS TABELA_SIMUL,'"&amp;C553&amp;"'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"&amp;J553&amp;" INNER JOIN "&amp;K553&amp;" "&amp;L553))</f>
        <v>SELECT 'PROTECTION' AS TABELA, 'COERÊNCIA' AS TIPOLOGIA_TESTE,'CD_LOAN_TAPES_BCE.LT004_PROTECTION' AS TABELA_LT,'BU_LOANTAPE_WORK.LT004_PROTECTION' AS TABELA_SIMUL,'rl_estt_clltrl_lctn'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 AS CAMPO_IT FROM CD_LOAN_TAPES_BCE.LT004_PROTECTION WHERE ref_date='${ref_date}' AND nome_perimetro='Individual Local' AND segmento='ESTR' AND ambito='PM' AND entidade='00100')X INNER JOIN (SELECT prtctn_id AS CHAVE_SIMUL, rl_estt_clltrl_lctn AS CAMPO_SIMUL FROM BU_LOANTAPE_WORK.LT004_PROTECTION WHERE ref_date='${ref_date}' AND nome_perimetro='Individual Local' AND segmento='ESTR' AND ambito='PM' AND entidade='00100')Y ON X.CHAVE_IT=Y.CHAVE_SIMUL</v>
      </c>
      <c r="N553" s="33" t="str">
        <f t="shared" si="19"/>
        <v>UNION ALL SELECT 'PROTECTION' AS TABELA, 'COERÊNCIA' AS TIPOLOGIA_TESTE,'CD_LOAN_TAPES_BCE.LT004_PROTECTION' AS TABELA_LT,'BU_LOANTAPE_WORK.LT004_PROTECTION' AS TABELA_SIMUL,'rl_estt_clltrl_lctn'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 AS CAMPO_IT FROM CD_LOAN_TAPES_BCE.LT004_PROTECTION WHERE ref_date='${ref_date}' AND nome_perimetro='Individual Local' AND segmento='ESTR' AND ambito='PM' AND entidade='00100')X INNER JOIN (SELECT prtctn_id AS CHAVE_SIMUL, rl_estt_clltrl_lctn AS CAMPO_SIMUL FROM BU_LOANTAPE_WORK.LT004_PROTECTION WHERE ref_date='${ref_date}' AND nome_perimetro='Individual Local' AND segmento='ESTR' AND ambito='PM' AND entidade='00100')Y ON X.CHAVE_IT=Y.CHAVE_SIMUL</v>
      </c>
      <c r="O553" s="35" t="s">
        <v>35</v>
      </c>
    </row>
    <row r="554" spans="1:15">
      <c r="A554" s="57" t="str">
        <f t="shared" si="18"/>
        <v>Protectionrl_estt_clltrl_lctn_int</v>
      </c>
      <c r="B554" s="32" t="s">
        <v>59</v>
      </c>
      <c r="C554" s="32" t="s">
        <v>616</v>
      </c>
      <c r="D554" s="32" t="s">
        <v>5</v>
      </c>
      <c r="E554" s="32" t="str">
        <f>+UPPER('0. Instruções'!$D$35&amp;"."&amp;VLOOKUP(B554,'0. Instruções'!$C$27:$D$32,2,FALSE))</f>
        <v>CD_LOAN_TAPES_BCE.LT004_PROTECTION</v>
      </c>
      <c r="F554" s="32" t="str">
        <f>+UPPER('0. Instruções'!$D$36&amp;"."&amp;VLOOKUP(B554,'0. Instruções'!$C$27:$E$32,3,FALSE))</f>
        <v>BU_LOANTAPE_WORK.LT004_PROTECTION</v>
      </c>
      <c r="H554" s="32"/>
      <c r="I554" s="32"/>
      <c r="J554" s="32" t="str">
        <f>IF(VLOOKUP(B554,'0. Instruções'!$C$27:$G$32,5,FALSE)=0,
"(SELECT "&amp;VLOOKUP(B554,'0. Instruções'!$C$27:$G$32,4,FALSE)&amp;" AS CHAVE_IT, "&amp;C554&amp;" AS CAMPO_IT FROM "&amp;E554&amp;" WHERE "&amp;'0. Instruções'!$D$43&amp;")X",
"(SELECT "&amp;VLOOKUP(B554,'0. Instruções'!$C$27:$G$32,4,FALSE)&amp;" AS CHAVE_IT1, "&amp;VLOOKUP(B554,'0. Instruções'!$C$27:$G$32,5,FALSE)&amp;" AS CHAVE_IT2, "&amp;C554&amp;" AS CAMPO_IT FROM "&amp;E554&amp;" WHERE "&amp;'0. Instruções'!$D$43&amp;")X")</f>
        <v>(SELECT prtctn_id AS CHAVE_IT, rl_estt_clltrl_lctn_int AS CAMPO_IT FROM CD_LOAN_TAPES_BCE.LT004_PROTECTION WHERE ref_date='${ref_date}' AND nome_perimetro='Individual Local' AND segmento='ESTR' AND ambito='PM' AND entidade='00100')X</v>
      </c>
      <c r="K554" s="32" t="str">
        <f>IF(VLOOKUP(B554,'0. Instruções'!$C$27:$G$32,5,FALSE)=0,
"(SELECT "&amp;VLOOKUP(B554,'0. Instruções'!$C$27:$G$32,4,FALSE)&amp;" AS CHAVE_SIMUL, "&amp;C554&amp;" AS CAMPO_SIMUL FROM "&amp;F554&amp;" WHERE "&amp;'0. Instruções'!$D$42&amp;")Y",
"(SELECT "&amp;VLOOKUP(B554,'0. Instruções'!$C$27:$G$32,4,FALSE)&amp;" AS CHAVE_SIMUL1, "&amp;VLOOKUP(B554,'0. Instruções'!$C$27:$G$32,5,FALSE)&amp;" AS CHAVE_SIMUL2, "&amp;C554&amp;" AS CAMPO_SIMUL FROM "&amp;F554&amp;" WHERE "&amp;'0. Instruções'!$D$42&amp;")Y")</f>
        <v>(SELECT prtctn_id AS CHAVE_SIMUL, rl_estt_clltrl_lctn_int AS CAMPO_SIMUL FROM BU_LOANTAPE_WORK.LT004_PROTECTION WHERE ref_date='${ref_date}' AND nome_perimetro='Individual Local' AND segmento='ESTR' AND ambito='PM' AND entidade='00100')Y</v>
      </c>
      <c r="L554" s="32" t="str">
        <f>IF(VLOOKUP(B554,'0. Instruções'!$C$27:$G$32,5,FALSE)=0,
"ON X.CHAVE_IT=Y.CHAVE_SIMUL",
"ON X.CHAVE_IT1=Y.CHAVE_SIMUL1 AND X.CHAVE_IT2=Y.CHAVE_SIMUL2")</f>
        <v>ON X.CHAVE_IT=Y.CHAVE_SIMUL</v>
      </c>
      <c r="M554" s="32" t="str">
        <f>+IF(D554="Coerência",+IF(LEFT(H554,5)="FLOAT","SELECT '"&amp;UPPER(B554)&amp;"' AS TABELA, '"&amp;UPPER(D554)&amp;"' AS TIPOLOGIA_TESTE,'"&amp;E554&amp;"' AS TABELA_LT,'"&amp;F554&amp;"' AS TABELA_SIMUL,'"&amp;C554&amp;"'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"&amp;J554&amp;" INNER JOIN "&amp;K554&amp;" "&amp;L554,"SELECT '"&amp;UPPER(B554)&amp;"' AS TABELA, '"&amp;UPPER(D554)&amp;"' AS TIPOLOGIA_TESTE,'"&amp;E554&amp;"' AS TABELA_LT,'"&amp;F554&amp;"' AS TABELA_SIMUL,'"&amp;C554&amp;"'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"&amp;J554&amp;" INNER JOIN "&amp;K554&amp;" "&amp;L554))</f>
        <v>SELECT 'PROTECTION' AS TABELA, 'COERÊNCIA' AS TIPOLOGIA_TESTE,'CD_LOAN_TAPES_BCE.LT004_PROTECTION' AS TABELA_LT,'BU_LOANTAPE_WORK.LT004_PROTECTION' AS TABELA_SIMUL,'rl_estt_clltrl_lctn_int'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rl_estt_clltrl_lctn_int AS CAMPO_IT FROM CD_LOAN_TAPES_BCE.LT004_PROTECTION WHERE ref_date='${ref_date}' AND nome_perimetro='Individual Local' AND segmento='ESTR' AND ambito='PM' AND entidade='00100')X INNER JOIN (SELECT prtctn_id AS CHAVE_SIMUL, rl_estt_clltrl_lctn_int AS CAMPO_SIMUL FROM BU_LOANTAPE_WORK.LT004_PROTECTION WHERE ref_date='${ref_date}' AND nome_perimetro='Individual Local' AND segmento='ESTR' AND ambito='PM' AND entidade='00100')Y ON X.CHAVE_IT=Y.CHAVE_SIMUL</v>
      </c>
      <c r="N554" s="33" t="str">
        <f t="shared" si="19"/>
        <v>UNION ALL SELECT 'PROTECTION' AS TABELA, 'COERÊNCIA' AS TIPOLOGIA_TESTE,'CD_LOAN_TAPES_BCE.LT004_PROTECTION' AS TABELA_LT,'BU_LOANTAPE_WORK.LT004_PROTECTION' AS TABELA_SIMUL,'rl_estt_clltrl_lctn_int'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rl_estt_clltrl_lctn_int AS CAMPO_IT FROM CD_LOAN_TAPES_BCE.LT004_PROTECTION WHERE ref_date='${ref_date}' AND nome_perimetro='Individual Local' AND segmento='ESTR' AND ambito='PM' AND entidade='00100')X INNER JOIN (SELECT prtctn_id AS CHAVE_SIMUL, rl_estt_clltrl_lctn_int AS CAMPO_SIMUL FROM BU_LOANTAPE_WORK.LT004_PROTECTION WHERE ref_date='${ref_date}' AND nome_perimetro='Individual Local' AND segmento='ESTR' AND ambito='PM' AND entidade='00100')Y ON X.CHAVE_IT=Y.CHAVE_SIMUL</v>
      </c>
      <c r="O554" s="35" t="s">
        <v>35</v>
      </c>
    </row>
    <row r="555" spans="1:15">
      <c r="A555" s="57" t="str">
        <f t="shared" si="18"/>
        <v>Protectionrl_estt_cty</v>
      </c>
      <c r="B555" s="32" t="s">
        <v>59</v>
      </c>
      <c r="C555" s="32" t="s">
        <v>617</v>
      </c>
      <c r="D555" s="32" t="s">
        <v>5</v>
      </c>
      <c r="E555" s="32" t="str">
        <f>+UPPER('0. Instruções'!$D$35&amp;"."&amp;VLOOKUP(B555,'0. Instruções'!$C$27:$D$32,2,FALSE))</f>
        <v>CD_LOAN_TAPES_BCE.LT004_PROTECTION</v>
      </c>
      <c r="F555" s="32" t="str">
        <f>+UPPER('0. Instruções'!$D$36&amp;"."&amp;VLOOKUP(B555,'0. Instruções'!$C$27:$E$32,3,FALSE))</f>
        <v>BU_LOANTAPE_WORK.LT004_PROTECTION</v>
      </c>
      <c r="H555" s="32"/>
      <c r="I555" s="32"/>
      <c r="J555" s="32" t="str">
        <f>IF(VLOOKUP(B555,'0. Instruções'!$C$27:$G$32,5,FALSE)=0,
"(SELECT "&amp;VLOOKUP(B555,'0. Instruções'!$C$27:$G$32,4,FALSE)&amp;" AS CHAVE_IT, "&amp;C555&amp;" AS CAMPO_IT FROM "&amp;E555&amp;" WHERE "&amp;'0. Instruções'!$D$43&amp;")X",
"(SELECT "&amp;VLOOKUP(B555,'0. Instruções'!$C$27:$G$32,4,FALSE)&amp;" AS CHAVE_IT1, "&amp;VLOOKUP(B555,'0. Instruções'!$C$27:$G$32,5,FALSE)&amp;" AS CHAVE_IT2, "&amp;C555&amp;" AS CAMPO_IT FROM "&amp;E555&amp;" WHERE "&amp;'0. Instruções'!$D$43&amp;")X")</f>
        <v>(SELECT prtctn_id AS CHAVE_IT, rl_estt_cty AS CAMPO_IT FROM CD_LOAN_TAPES_BCE.LT004_PROTECTION WHERE ref_date='${ref_date}' AND nome_perimetro='Individual Local' AND segmento='ESTR' AND ambito='PM' AND entidade='00100')X</v>
      </c>
      <c r="K555" s="32" t="str">
        <f>IF(VLOOKUP(B555,'0. Instruções'!$C$27:$G$32,5,FALSE)=0,
"(SELECT "&amp;VLOOKUP(B555,'0. Instruções'!$C$27:$G$32,4,FALSE)&amp;" AS CHAVE_SIMUL, "&amp;C555&amp;" AS CAMPO_SIMUL FROM "&amp;F555&amp;" WHERE "&amp;'0. Instruções'!$D$42&amp;")Y",
"(SELECT "&amp;VLOOKUP(B555,'0. Instruções'!$C$27:$G$32,4,FALSE)&amp;" AS CHAVE_SIMUL1, "&amp;VLOOKUP(B555,'0. Instruções'!$C$27:$G$32,5,FALSE)&amp;" AS CHAVE_SIMUL2, "&amp;C555&amp;" AS CAMPO_SIMUL FROM "&amp;F555&amp;" WHERE "&amp;'0. Instruções'!$D$42&amp;")Y")</f>
        <v>(SELECT prtctn_id AS CHAVE_SIMUL, rl_estt_cty AS CAMPO_SIMUL FROM BU_LOANTAPE_WORK.LT004_PROTECTION WHERE ref_date='${ref_date}' AND nome_perimetro='Individual Local' AND segmento='ESTR' AND ambito='PM' AND entidade='00100')Y</v>
      </c>
      <c r="L555" s="32" t="str">
        <f>IF(VLOOKUP(B555,'0. Instruções'!$C$27:$G$32,5,FALSE)=0,
"ON X.CHAVE_IT=Y.CHAVE_SIMUL",
"ON X.CHAVE_IT1=Y.CHAVE_SIMUL1 AND X.CHAVE_IT2=Y.CHAVE_SIMUL2")</f>
        <v>ON X.CHAVE_IT=Y.CHAVE_SIMUL</v>
      </c>
      <c r="M555" s="32" t="str">
        <f>+IF(D555="Coerência",+IF(LEFT(H555,5)="FLOAT","SELECT '"&amp;UPPER(B555)&amp;"' AS TABELA, '"&amp;UPPER(D555)&amp;"' AS TIPOLOGIA_TESTE,'"&amp;E555&amp;"' AS TABELA_LT,'"&amp;F555&amp;"' AS TABELA_SIMUL,'"&amp;C555&amp;"'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"&amp;J555&amp;" INNER JOIN "&amp;K555&amp;" "&amp;L555,"SELECT '"&amp;UPPER(B555)&amp;"' AS TABELA, '"&amp;UPPER(D555)&amp;"' AS TIPOLOGIA_TESTE,'"&amp;E555&amp;"' AS TABELA_LT,'"&amp;F555&amp;"' AS TABELA_SIMUL,'"&amp;C555&amp;"'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"&amp;J555&amp;" INNER JOIN "&amp;K555&amp;" "&amp;L555))</f>
        <v>SELECT 'PROTECTION' AS TABELA, 'COERÊNCIA' AS TIPOLOGIA_TESTE,'CD_LOAN_TAPES_BCE.LT004_PROTECTION' AS TABELA_LT,'BU_LOANTAPE_WORK.LT004_PROTECTION' AS TABELA_SIMUL,'rl_estt_cty'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rl_estt_cty AS CAMPO_IT FROM CD_LOAN_TAPES_BCE.LT004_PROTECTION WHERE ref_date='${ref_date}' AND nome_perimetro='Individual Local' AND segmento='ESTR' AND ambito='PM' AND entidade='00100')X INNER JOIN (SELECT prtctn_id AS CHAVE_SIMUL, rl_estt_cty AS CAMPO_SIMUL FROM BU_LOANTAPE_WORK.LT004_PROTECTION WHERE ref_date='${ref_date}' AND nome_perimetro='Individual Local' AND segmento='ESTR' AND ambito='PM' AND entidade='00100')Y ON X.CHAVE_IT=Y.CHAVE_SIMUL</v>
      </c>
      <c r="N555" s="33" t="str">
        <f t="shared" si="19"/>
        <v>UNION ALL SELECT 'PROTECTION' AS TABELA, 'COERÊNCIA' AS TIPOLOGIA_TESTE,'CD_LOAN_TAPES_BCE.LT004_PROTECTION' AS TABELA_LT,'BU_LOANTAPE_WORK.LT004_PROTECTION' AS TABELA_SIMUL,'rl_estt_cty'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rl_estt_cty AS CAMPO_IT FROM CD_LOAN_TAPES_BCE.LT004_PROTECTION WHERE ref_date='${ref_date}' AND nome_perimetro='Individual Local' AND segmento='ESTR' AND ambito='PM' AND entidade='00100')X INNER JOIN (SELECT prtctn_id AS CHAVE_SIMUL, rl_estt_cty AS CAMPO_SIMUL FROM BU_LOANTAPE_WORK.LT004_PROTECTION WHERE ref_date='${ref_date}' AND nome_perimetro='Individual Local' AND segmento='ESTR' AND ambito='PM' AND entidade='00100')Y ON X.CHAVE_IT=Y.CHAVE_SIMUL</v>
      </c>
      <c r="O555" s="35" t="s">
        <v>35</v>
      </c>
    </row>
    <row r="556" spans="1:15">
      <c r="A556" s="57" t="str">
        <f t="shared" si="18"/>
        <v>Protectionrl_estt_pst_cd</v>
      </c>
      <c r="B556" s="32" t="s">
        <v>59</v>
      </c>
      <c r="C556" s="32" t="s">
        <v>164</v>
      </c>
      <c r="D556" s="32" t="s">
        <v>5</v>
      </c>
      <c r="E556" s="32" t="str">
        <f>+UPPER('0. Instruções'!$D$35&amp;"."&amp;VLOOKUP(B556,'0. Instruções'!$C$27:$D$32,2,FALSE))</f>
        <v>CD_LOAN_TAPES_BCE.LT004_PROTECTION</v>
      </c>
      <c r="F556" s="32" t="str">
        <f>+UPPER('0. Instruções'!$D$36&amp;"."&amp;VLOOKUP(B556,'0. Instruções'!$C$27:$E$32,3,FALSE))</f>
        <v>BU_LOANTAPE_WORK.LT004_PROTECTION</v>
      </c>
      <c r="H556" s="32"/>
      <c r="I556" s="32"/>
      <c r="J556" s="32" t="str">
        <f>IF(VLOOKUP(B556,'0. Instruções'!$C$27:$G$32,5,FALSE)=0,
"(SELECT "&amp;VLOOKUP(B556,'0. Instruções'!$C$27:$G$32,4,FALSE)&amp;" AS CHAVE_IT, "&amp;C556&amp;" AS CAMPO_IT FROM "&amp;E556&amp;" WHERE "&amp;'0. Instruções'!$D$43&amp;")X",
"(SELECT "&amp;VLOOKUP(B556,'0. Instruções'!$C$27:$G$32,4,FALSE)&amp;" AS CHAVE_IT1, "&amp;VLOOKUP(B556,'0. Instruções'!$C$27:$G$32,5,FALSE)&amp;" AS CHAVE_IT2, "&amp;C556&amp;" AS CAMPO_IT FROM "&amp;E556&amp;" WHERE "&amp;'0. Instruções'!$D$43&amp;")X")</f>
        <v>(SELECT prtctn_id AS CHAVE_IT, rl_estt_pst_cd AS CAMPO_IT FROM CD_LOAN_TAPES_BCE.LT004_PROTECTION WHERE ref_date='${ref_date}' AND nome_perimetro='Individual Local' AND segmento='ESTR' AND ambito='PM' AND entidade='00100')X</v>
      </c>
      <c r="K556" s="32" t="str">
        <f>IF(VLOOKUP(B556,'0. Instruções'!$C$27:$G$32,5,FALSE)=0,
"(SELECT "&amp;VLOOKUP(B556,'0. Instruções'!$C$27:$G$32,4,FALSE)&amp;" AS CHAVE_SIMUL, "&amp;C556&amp;" AS CAMPO_SIMUL FROM "&amp;F556&amp;" WHERE "&amp;'0. Instruções'!$D$42&amp;")Y",
"(SELECT "&amp;VLOOKUP(B556,'0. Instruções'!$C$27:$G$32,4,FALSE)&amp;" AS CHAVE_SIMUL1, "&amp;VLOOKUP(B556,'0. Instruções'!$C$27:$G$32,5,FALSE)&amp;" AS CHAVE_SIMUL2, "&amp;C556&amp;" AS CAMPO_SIMUL FROM "&amp;F556&amp;" WHERE "&amp;'0. Instruções'!$D$42&amp;")Y")</f>
        <v>(SELECT prtctn_id AS CHAVE_SIMUL, rl_estt_pst_cd AS CAMPO_SIMUL FROM BU_LOANTAPE_WORK.LT004_PROTECTION WHERE ref_date='${ref_date}' AND nome_perimetro='Individual Local' AND segmento='ESTR' AND ambito='PM' AND entidade='00100')Y</v>
      </c>
      <c r="L556" s="32" t="str">
        <f>IF(VLOOKUP(B556,'0. Instruções'!$C$27:$G$32,5,FALSE)=0,
"ON X.CHAVE_IT=Y.CHAVE_SIMUL",
"ON X.CHAVE_IT1=Y.CHAVE_SIMUL1 AND X.CHAVE_IT2=Y.CHAVE_SIMUL2")</f>
        <v>ON X.CHAVE_IT=Y.CHAVE_SIMUL</v>
      </c>
      <c r="M556" s="32" t="str">
        <f>+IF(D556="Coerência",+IF(LEFT(H556,5)="FLOAT","SELECT '"&amp;UPPER(B556)&amp;"' AS TABELA, '"&amp;UPPER(D556)&amp;"' AS TIPOLOGIA_TESTE,'"&amp;E556&amp;"' AS TABELA_LT,'"&amp;F556&amp;"' AS TABELA_SIMUL,'"&amp;C556&amp;"'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"&amp;J556&amp;" INNER JOIN "&amp;K556&amp;" "&amp;L556,"SELECT '"&amp;UPPER(B556)&amp;"' AS TABELA, '"&amp;UPPER(D556)&amp;"' AS TIPOLOGIA_TESTE,'"&amp;E556&amp;"' AS TABELA_LT,'"&amp;F556&amp;"' AS TABELA_SIMUL,'"&amp;C556&amp;"'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"&amp;J556&amp;" INNER JOIN "&amp;K556&amp;" "&amp;L556))</f>
        <v>SELECT 'PROTECTION' AS TABELA, 'COERÊNCIA' AS TIPOLOGIA_TESTE,'CD_LOAN_TAPES_BCE.LT004_PROTECTION' AS TABELA_LT,'BU_LOANTAPE_WORK.LT004_PROTECTION' AS TABELA_SIMUL,'rl_estt_pst_cd'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rl_estt_pst_cd AS CAMPO_IT FROM CD_LOAN_TAPES_BCE.LT004_PROTECTION WHERE ref_date='${ref_date}' AND nome_perimetro='Individual Local' AND segmento='ESTR' AND ambito='PM' AND entidade='00100')X INNER JOIN (SELECT prtctn_id AS CHAVE_SIMUL, rl_estt_pst_cd AS CAMPO_SIMUL FROM BU_LOANTAPE_WORK.LT004_PROTECTION WHERE ref_date='${ref_date}' AND nome_perimetro='Individual Local' AND segmento='ESTR' AND ambito='PM' AND entidade='00100')Y ON X.CHAVE_IT=Y.CHAVE_SIMUL</v>
      </c>
      <c r="N556" s="33" t="str">
        <f t="shared" si="19"/>
        <v>UNION ALL SELECT 'PROTECTION' AS TABELA, 'COERÊNCIA' AS TIPOLOGIA_TESTE,'CD_LOAN_TAPES_BCE.LT004_PROTECTION' AS TABELA_LT,'BU_LOANTAPE_WORK.LT004_PROTECTION' AS TABELA_SIMUL,'rl_estt_pst_cd'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rl_estt_pst_cd AS CAMPO_IT FROM CD_LOAN_TAPES_BCE.LT004_PROTECTION WHERE ref_date='${ref_date}' AND nome_perimetro='Individual Local' AND segmento='ESTR' AND ambito='PM' AND entidade='00100')X INNER JOIN (SELECT prtctn_id AS CHAVE_SIMUL, rl_estt_pst_cd AS CAMPO_SIMUL FROM BU_LOANTAPE_WORK.LT004_PROTECTION WHERE ref_date='${ref_date}' AND nome_perimetro='Individual Local' AND segmento='ESTR' AND ambito='PM' AND entidade='00100')Y ON X.CHAVE_IT=Y.CHAVE_SIMUL</v>
      </c>
      <c r="O556" s="35" t="s">
        <v>35</v>
      </c>
    </row>
    <row r="557" spans="1:15">
      <c r="A557" s="57" t="str">
        <f t="shared" si="18"/>
        <v>Protectionhrct_mv</v>
      </c>
      <c r="B557" s="32" t="s">
        <v>59</v>
      </c>
      <c r="C557" s="32" t="s">
        <v>618</v>
      </c>
      <c r="D557" s="32" t="s">
        <v>5</v>
      </c>
      <c r="E557" s="32" t="str">
        <f>+UPPER('0. Instruções'!$D$35&amp;"."&amp;VLOOKUP(B557,'0. Instruções'!$C$27:$D$32,2,FALSE))</f>
        <v>CD_LOAN_TAPES_BCE.LT004_PROTECTION</v>
      </c>
      <c r="F557" s="32" t="str">
        <f>+UPPER('0. Instruções'!$D$36&amp;"."&amp;VLOOKUP(B557,'0. Instruções'!$C$27:$E$32,3,FALSE))</f>
        <v>BU_LOANTAPE_WORK.LT004_PROTECTION</v>
      </c>
      <c r="H557" s="32"/>
      <c r="I557" s="32"/>
      <c r="J557" s="32" t="str">
        <f>IF(VLOOKUP(B557,'0. Instruções'!$C$27:$G$32,5,FALSE)=0,
"(SELECT "&amp;VLOOKUP(B557,'0. Instruções'!$C$27:$G$32,4,FALSE)&amp;" AS CHAVE_IT, "&amp;C557&amp;" AS CAMPO_IT FROM "&amp;E557&amp;" WHERE "&amp;'0. Instruções'!$D$43&amp;")X",
"(SELECT "&amp;VLOOKUP(B557,'0. Instruções'!$C$27:$G$32,4,FALSE)&amp;" AS CHAVE_IT1, "&amp;VLOOKUP(B557,'0. Instruções'!$C$27:$G$32,5,FALSE)&amp;" AS CHAVE_IT2, "&amp;C557&amp;" AS CAMPO_IT FROM "&amp;E557&amp;" WHERE "&amp;'0. Instruções'!$D$43&amp;")X")</f>
        <v>(SELECT prtctn_id AS CHAVE_IT, hrct_mv AS CAMPO_IT FROM CD_LOAN_TAPES_BCE.LT004_PROTECTION WHERE ref_date='${ref_date}' AND nome_perimetro='Individual Local' AND segmento='ESTR' AND ambito='PM' AND entidade='00100')X</v>
      </c>
      <c r="K557" s="32" t="str">
        <f>IF(VLOOKUP(B557,'0. Instruções'!$C$27:$G$32,5,FALSE)=0,
"(SELECT "&amp;VLOOKUP(B557,'0. Instruções'!$C$27:$G$32,4,FALSE)&amp;" AS CHAVE_SIMUL, "&amp;C557&amp;" AS CAMPO_SIMUL FROM "&amp;F557&amp;" WHERE "&amp;'0. Instruções'!$D$42&amp;")Y",
"(SELECT "&amp;VLOOKUP(B557,'0. Instruções'!$C$27:$G$32,4,FALSE)&amp;" AS CHAVE_SIMUL1, "&amp;VLOOKUP(B557,'0. Instruções'!$C$27:$G$32,5,FALSE)&amp;" AS CHAVE_SIMUL2, "&amp;C557&amp;" AS CAMPO_SIMUL FROM "&amp;F557&amp;" WHERE "&amp;'0. Instruções'!$D$42&amp;")Y")</f>
        <v>(SELECT prtctn_id AS CHAVE_SIMUL, hrct_mv AS CAMPO_SIMUL FROM BU_LOANTAPE_WORK.LT004_PROTECTION WHERE ref_date='${ref_date}' AND nome_perimetro='Individual Local' AND segmento='ESTR' AND ambito='PM' AND entidade='00100')Y</v>
      </c>
      <c r="L557" s="32" t="str">
        <f>IF(VLOOKUP(B557,'0. Instruções'!$C$27:$G$32,5,FALSE)=0,
"ON X.CHAVE_IT=Y.CHAVE_SIMUL",
"ON X.CHAVE_IT1=Y.CHAVE_SIMUL1 AND X.CHAVE_IT2=Y.CHAVE_SIMUL2")</f>
        <v>ON X.CHAVE_IT=Y.CHAVE_SIMUL</v>
      </c>
      <c r="M557" s="32" t="str">
        <f>+IF(D557="Coerência",+IF(LEFT(H557,5)="FLOAT","SELECT '"&amp;UPPER(B557)&amp;"' AS TABELA, '"&amp;UPPER(D557)&amp;"' AS TIPOLOGIA_TESTE,'"&amp;E557&amp;"' AS TABELA_LT,'"&amp;F557&amp;"' AS TABELA_SIMUL,'"&amp;C557&amp;"'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"&amp;J557&amp;" INNER JOIN "&amp;K557&amp;" "&amp;L557,"SELECT '"&amp;UPPER(B557)&amp;"' AS TABELA, '"&amp;UPPER(D557)&amp;"' AS TIPOLOGIA_TESTE,'"&amp;E557&amp;"' AS TABELA_LT,'"&amp;F557&amp;"' AS TABELA_SIMUL,'"&amp;C557&amp;"'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"&amp;J557&amp;" INNER JOIN "&amp;K557&amp;" "&amp;L557))</f>
        <v>SELECT 'PROTECTION' AS TABELA, 'COERÊNCIA' AS TIPOLOGIA_TESTE,'CD_LOAN_TAPES_BCE.LT004_PROTECTION' AS TABELA_LT,'BU_LOANTAPE_WORK.LT004_PROTECTION' AS TABELA_SIMUL,'hrct_mv'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hrct_mv AS CAMPO_IT FROM CD_LOAN_TAPES_BCE.LT004_PROTECTION WHERE ref_date='${ref_date}' AND nome_perimetro='Individual Local' AND segmento='ESTR' AND ambito='PM' AND entidade='00100')X INNER JOIN (SELECT prtctn_id AS CHAVE_SIMUL, hrct_mv AS CAMPO_SIMUL FROM BU_LOANTAPE_WORK.LT004_PROTECTION WHERE ref_date='${ref_date}' AND nome_perimetro='Individual Local' AND segmento='ESTR' AND ambito='PM' AND entidade='00100')Y ON X.CHAVE_IT=Y.CHAVE_SIMUL</v>
      </c>
      <c r="N557" s="33" t="str">
        <f t="shared" si="19"/>
        <v>UNION ALL SELECT 'PROTECTION' AS TABELA, 'COERÊNCIA' AS TIPOLOGIA_TESTE,'CD_LOAN_TAPES_BCE.LT004_PROTECTION' AS TABELA_LT,'BU_LOANTAPE_WORK.LT004_PROTECTION' AS TABELA_SIMUL,'hrct_mv'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hrct_mv AS CAMPO_IT FROM CD_LOAN_TAPES_BCE.LT004_PROTECTION WHERE ref_date='${ref_date}' AND nome_perimetro='Individual Local' AND segmento='ESTR' AND ambito='PM' AND entidade='00100')X INNER JOIN (SELECT prtctn_id AS CHAVE_SIMUL, hrct_mv AS CAMPO_SIMUL FROM BU_LOANTAPE_WORK.LT004_PROTECTION WHERE ref_date='${ref_date}' AND nome_perimetro='Individual Local' AND segmento='ESTR' AND ambito='PM' AND entidade='00100')Y ON X.CHAVE_IT=Y.CHAVE_SIMUL</v>
      </c>
      <c r="O557" s="35" t="s">
        <v>35</v>
      </c>
    </row>
    <row r="558" spans="1:15">
      <c r="A558" s="57" t="str">
        <f t="shared" si="18"/>
        <v>Protectionprtctn_clld</v>
      </c>
      <c r="B558" s="32" t="s">
        <v>59</v>
      </c>
      <c r="C558" s="32" t="s">
        <v>619</v>
      </c>
      <c r="D558" s="32" t="s">
        <v>5</v>
      </c>
      <c r="E558" s="32" t="str">
        <f>+UPPER('0. Instruções'!$D$35&amp;"."&amp;VLOOKUP(B558,'0. Instruções'!$C$27:$D$32,2,FALSE))</f>
        <v>CD_LOAN_TAPES_BCE.LT004_PROTECTION</v>
      </c>
      <c r="F558" s="32" t="str">
        <f>+UPPER('0. Instruções'!$D$36&amp;"."&amp;VLOOKUP(B558,'0. Instruções'!$C$27:$E$32,3,FALSE))</f>
        <v>BU_LOANTAPE_WORK.LT004_PROTECTION</v>
      </c>
      <c r="H558" s="32"/>
      <c r="I558" s="32"/>
      <c r="J558" s="32" t="str">
        <f>IF(VLOOKUP(B558,'0. Instruções'!$C$27:$G$32,5,FALSE)=0,
"(SELECT "&amp;VLOOKUP(B558,'0. Instruções'!$C$27:$G$32,4,FALSE)&amp;" AS CHAVE_IT, "&amp;C558&amp;" AS CAMPO_IT FROM "&amp;E558&amp;" WHERE "&amp;'0. Instruções'!$D$43&amp;")X",
"(SELECT "&amp;VLOOKUP(B558,'0. Instruções'!$C$27:$G$32,4,FALSE)&amp;" AS CHAVE_IT1, "&amp;VLOOKUP(B558,'0. Instruções'!$C$27:$G$32,5,FALSE)&amp;" AS CHAVE_IT2, "&amp;C558&amp;" AS CAMPO_IT FROM "&amp;E558&amp;" WHERE "&amp;'0. Instruções'!$D$43&amp;")X")</f>
        <v>(SELECT prtctn_id AS CHAVE_IT, prtctn_clld AS CAMPO_IT FROM CD_LOAN_TAPES_BCE.LT004_PROTECTION WHERE ref_date='${ref_date}' AND nome_perimetro='Individual Local' AND segmento='ESTR' AND ambito='PM' AND entidade='00100')X</v>
      </c>
      <c r="K558" s="32" t="str">
        <f>IF(VLOOKUP(B558,'0. Instruções'!$C$27:$G$32,5,FALSE)=0,
"(SELECT "&amp;VLOOKUP(B558,'0. Instruções'!$C$27:$G$32,4,FALSE)&amp;" AS CHAVE_SIMUL, "&amp;C558&amp;" AS CAMPO_SIMUL FROM "&amp;F558&amp;" WHERE "&amp;'0. Instruções'!$D$42&amp;")Y",
"(SELECT "&amp;VLOOKUP(B558,'0. Instruções'!$C$27:$G$32,4,FALSE)&amp;" AS CHAVE_SIMUL1, "&amp;VLOOKUP(B558,'0. Instruções'!$C$27:$G$32,5,FALSE)&amp;" AS CHAVE_SIMUL2, "&amp;C558&amp;" AS CAMPO_SIMUL FROM "&amp;F558&amp;" WHERE "&amp;'0. Instruções'!$D$42&amp;")Y")</f>
        <v>(SELECT prtctn_id AS CHAVE_SIMUL, prtctn_clld AS CAMPO_SIMUL FROM BU_LOANTAPE_WORK.LT004_PROTECTION WHERE ref_date='${ref_date}' AND nome_perimetro='Individual Local' AND segmento='ESTR' AND ambito='PM' AND entidade='00100')Y</v>
      </c>
      <c r="L558" s="32" t="str">
        <f>IF(VLOOKUP(B558,'0. Instruções'!$C$27:$G$32,5,FALSE)=0,
"ON X.CHAVE_IT=Y.CHAVE_SIMUL",
"ON X.CHAVE_IT1=Y.CHAVE_SIMUL1 AND X.CHAVE_IT2=Y.CHAVE_SIMUL2")</f>
        <v>ON X.CHAVE_IT=Y.CHAVE_SIMUL</v>
      </c>
      <c r="M558" s="32" t="str">
        <f>+IF(D558="Coerência",+IF(LEFT(H558,5)="FLOAT","SELECT '"&amp;UPPER(B558)&amp;"' AS TABELA, '"&amp;UPPER(D558)&amp;"' AS TIPOLOGIA_TESTE,'"&amp;E558&amp;"' AS TABELA_LT,'"&amp;F558&amp;"' AS TABELA_SIMUL,'"&amp;C558&amp;"'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"&amp;J558&amp;" INNER JOIN "&amp;K558&amp;" "&amp;L558,"SELECT '"&amp;UPPER(B558)&amp;"' AS TABELA, '"&amp;UPPER(D558)&amp;"' AS TIPOLOGIA_TESTE,'"&amp;E558&amp;"' AS TABELA_LT,'"&amp;F558&amp;"' AS TABELA_SIMUL,'"&amp;C558&amp;"'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"&amp;J558&amp;" INNER JOIN "&amp;K558&amp;" "&amp;L558))</f>
        <v>SELECT 'PROTECTION' AS TABELA, 'COERÊNCIA' AS TIPOLOGIA_TESTE,'CD_LOAN_TAPES_BCE.LT004_PROTECTION' AS TABELA_LT,'BU_LOANTAPE_WORK.LT004_PROTECTION' AS TABELA_SIMUL,'prtctn_clld'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prtctn_clld AS CAMPO_IT FROM CD_LOAN_TAPES_BCE.LT004_PROTECTION WHERE ref_date='${ref_date}' AND nome_perimetro='Individual Local' AND segmento='ESTR' AND ambito='PM' AND entidade='00100')X INNER JOIN (SELECT prtctn_id AS CHAVE_SIMUL, prtctn_clld AS CAMPO_SIMUL FROM BU_LOANTAPE_WORK.LT004_PROTECTION WHERE ref_date='${ref_date}' AND nome_perimetro='Individual Local' AND segmento='ESTR' AND ambito='PM' AND entidade='00100')Y ON X.CHAVE_IT=Y.CHAVE_SIMUL</v>
      </c>
      <c r="N558" s="33" t="str">
        <f t="shared" si="19"/>
        <v>UNION ALL SELECT 'PROTECTION' AS TABELA, 'COERÊNCIA' AS TIPOLOGIA_TESTE,'CD_LOAN_TAPES_BCE.LT004_PROTECTION' AS TABELA_LT,'BU_LOANTAPE_WORK.LT004_PROTECTION' AS TABELA_SIMUL,'prtctn_clld'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prtctn_clld AS CAMPO_IT FROM CD_LOAN_TAPES_BCE.LT004_PROTECTION WHERE ref_date='${ref_date}' AND nome_perimetro='Individual Local' AND segmento='ESTR' AND ambito='PM' AND entidade='00100')X INNER JOIN (SELECT prtctn_id AS CHAVE_SIMUL, prtctn_clld AS CAMPO_SIMUL FROM BU_LOANTAPE_WORK.LT004_PROTECTION WHERE ref_date='${ref_date}' AND nome_perimetro='Individual Local' AND segmento='ESTR' AND ambito='PM' AND entidade='00100')Y ON X.CHAVE_IT=Y.CHAVE_SIMUL</v>
      </c>
      <c r="O558" s="35" t="s">
        <v>35</v>
      </c>
    </row>
    <row r="559" spans="1:15">
      <c r="A559" s="57" t="str">
        <f t="shared" si="18"/>
        <v>Protectiontyp_prtctn</v>
      </c>
      <c r="B559" s="32" t="s">
        <v>59</v>
      </c>
      <c r="C559" s="32" t="s">
        <v>165</v>
      </c>
      <c r="D559" s="32" t="s">
        <v>5</v>
      </c>
      <c r="E559" s="32" t="str">
        <f>+UPPER('0. Instruções'!$D$35&amp;"."&amp;VLOOKUP(B559,'0. Instruções'!$C$27:$D$32,2,FALSE))</f>
        <v>CD_LOAN_TAPES_BCE.LT004_PROTECTION</v>
      </c>
      <c r="F559" s="32" t="str">
        <f>+UPPER('0. Instruções'!$D$36&amp;"."&amp;VLOOKUP(B559,'0. Instruções'!$C$27:$E$32,3,FALSE))</f>
        <v>BU_LOANTAPE_WORK.LT004_PROTECTION</v>
      </c>
      <c r="H559" s="32"/>
      <c r="I559" s="32"/>
      <c r="J559" s="32" t="str">
        <f>IF(VLOOKUP(B559,'0. Instruções'!$C$27:$G$32,5,FALSE)=0,
"(SELECT "&amp;VLOOKUP(B559,'0. Instruções'!$C$27:$G$32,4,FALSE)&amp;" AS CHAVE_IT, "&amp;C559&amp;" AS CAMPO_IT FROM "&amp;E559&amp;" WHERE "&amp;'0. Instruções'!$D$43&amp;")X",
"(SELECT "&amp;VLOOKUP(B559,'0. Instruções'!$C$27:$G$32,4,FALSE)&amp;" AS CHAVE_IT1, "&amp;VLOOKUP(B559,'0. Instruções'!$C$27:$G$32,5,FALSE)&amp;" AS CHAVE_IT2, "&amp;C559&amp;" AS CAMPO_IT FROM "&amp;E559&amp;" WHERE "&amp;'0. Instruções'!$D$43&amp;")X")</f>
        <v>(SELECT prtctn_id AS CHAVE_IT, typ_prtctn AS CAMPO_IT FROM CD_LOAN_TAPES_BCE.LT004_PROTECTION WHERE ref_date='${ref_date}' AND nome_perimetro='Individual Local' AND segmento='ESTR' AND ambito='PM' AND entidade='00100')X</v>
      </c>
      <c r="K559" s="32" t="str">
        <f>IF(VLOOKUP(B559,'0. Instruções'!$C$27:$G$32,5,FALSE)=0,
"(SELECT "&amp;VLOOKUP(B559,'0. Instruções'!$C$27:$G$32,4,FALSE)&amp;" AS CHAVE_SIMUL, "&amp;C559&amp;" AS CAMPO_SIMUL FROM "&amp;F559&amp;" WHERE "&amp;'0. Instruções'!$D$42&amp;")Y",
"(SELECT "&amp;VLOOKUP(B559,'0. Instruções'!$C$27:$G$32,4,FALSE)&amp;" AS CHAVE_SIMUL1, "&amp;VLOOKUP(B559,'0. Instruções'!$C$27:$G$32,5,FALSE)&amp;" AS CHAVE_SIMUL2, "&amp;C559&amp;" AS CAMPO_SIMUL FROM "&amp;F559&amp;" WHERE "&amp;'0. Instruções'!$D$42&amp;")Y")</f>
        <v>(SELECT prtctn_id AS CHAVE_SIMUL, typ_prtctn AS CAMPO_SIMUL FROM BU_LOANTAPE_WORK.LT004_PROTECTION WHERE ref_date='${ref_date}' AND nome_perimetro='Individual Local' AND segmento='ESTR' AND ambito='PM' AND entidade='00100')Y</v>
      </c>
      <c r="L559" s="32" t="str">
        <f>IF(VLOOKUP(B559,'0. Instruções'!$C$27:$G$32,5,FALSE)=0,
"ON X.CHAVE_IT=Y.CHAVE_SIMUL",
"ON X.CHAVE_IT1=Y.CHAVE_SIMUL1 AND X.CHAVE_IT2=Y.CHAVE_SIMUL2")</f>
        <v>ON X.CHAVE_IT=Y.CHAVE_SIMUL</v>
      </c>
      <c r="M559" s="32" t="str">
        <f>+IF(D559="Coerência",+IF(LEFT(H559,5)="FLOAT","SELECT '"&amp;UPPER(B559)&amp;"' AS TABELA, '"&amp;UPPER(D559)&amp;"' AS TIPOLOGIA_TESTE,'"&amp;E559&amp;"' AS TABELA_LT,'"&amp;F559&amp;"' AS TABELA_SIMUL,'"&amp;C559&amp;"'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"&amp;J559&amp;" INNER JOIN "&amp;K559&amp;" "&amp;L559,"SELECT '"&amp;UPPER(B559)&amp;"' AS TABELA, '"&amp;UPPER(D559)&amp;"' AS TIPOLOGIA_TESTE,'"&amp;E559&amp;"' AS TABELA_LT,'"&amp;F559&amp;"' AS TABELA_SIMUL,'"&amp;C559&amp;"'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"&amp;J559&amp;" INNER JOIN "&amp;K559&amp;" "&amp;L559))</f>
        <v>SELECT 'PROTECTION' AS TABELA, 'COERÊNCIA' AS TIPOLOGIA_TESTE,'CD_LOAN_TAPES_BCE.LT004_PROTECTION' AS TABELA_LT,'BU_LOANTAPE_WORK.LT004_PROTECTION' AS TABELA_SIMUL,'typ_prtctn'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 AS CAMPO_IT FROM CD_LOAN_TAPES_BCE.LT004_PROTECTION WHERE ref_date='${ref_date}' AND nome_perimetro='Individual Local' AND segmento='ESTR' AND ambito='PM' AND entidade='00100')X INNER JOIN (SELECT prtctn_id AS CHAVE_SIMUL, typ_prtctn AS CAMPO_SIMUL FROM BU_LOANTAPE_WORK.LT004_PROTECTION WHERE ref_date='${ref_date}' AND nome_perimetro='Individual Local' AND segmento='ESTR' AND ambito='PM' AND entidade='00100')Y ON X.CHAVE_IT=Y.CHAVE_SIMUL</v>
      </c>
      <c r="N559" s="33" t="str">
        <f t="shared" si="19"/>
        <v>UNION ALL SELECT 'PROTECTION' AS TABELA, 'COERÊNCIA' AS TIPOLOGIA_TESTE,'CD_LOAN_TAPES_BCE.LT004_PROTECTION' AS TABELA_LT,'BU_LOANTAPE_WORK.LT004_PROTECTION' AS TABELA_SIMUL,'typ_prtctn'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 AS CAMPO_IT FROM CD_LOAN_TAPES_BCE.LT004_PROTECTION WHERE ref_date='${ref_date}' AND nome_perimetro='Individual Local' AND segmento='ESTR' AND ambito='PM' AND entidade='00100')X INNER JOIN (SELECT prtctn_id AS CHAVE_SIMUL, typ_prtctn AS CAMPO_SIMUL FROM BU_LOANTAPE_WORK.LT004_PROTECTION WHERE ref_date='${ref_date}' AND nome_perimetro='Individual Local' AND segmento='ESTR' AND ambito='PM' AND entidade='00100')Y ON X.CHAVE_IT=Y.CHAVE_SIMUL</v>
      </c>
      <c r="O559" s="35" t="s">
        <v>35</v>
      </c>
    </row>
    <row r="560" spans="1:15">
      <c r="A560" s="57" t="str">
        <f t="shared" si="18"/>
        <v>Protectiontyp_prtctn_intrnl</v>
      </c>
      <c r="B560" s="32" t="s">
        <v>59</v>
      </c>
      <c r="C560" s="32" t="s">
        <v>620</v>
      </c>
      <c r="D560" s="32" t="s">
        <v>5</v>
      </c>
      <c r="E560" s="32" t="str">
        <f>+UPPER('0. Instruções'!$D$35&amp;"."&amp;VLOOKUP(B560,'0. Instruções'!$C$27:$D$32,2,FALSE))</f>
        <v>CD_LOAN_TAPES_BCE.LT004_PROTECTION</v>
      </c>
      <c r="F560" s="32" t="str">
        <f>+UPPER('0. Instruções'!$D$36&amp;"."&amp;VLOOKUP(B560,'0. Instruções'!$C$27:$E$32,3,FALSE))</f>
        <v>BU_LOANTAPE_WORK.LT004_PROTECTION</v>
      </c>
      <c r="H560" s="32"/>
      <c r="I560" s="32"/>
      <c r="J560" s="32" t="str">
        <f>IF(VLOOKUP(B560,'0. Instruções'!$C$27:$G$32,5,FALSE)=0,
"(SELECT "&amp;VLOOKUP(B560,'0. Instruções'!$C$27:$G$32,4,FALSE)&amp;" AS CHAVE_IT, "&amp;C560&amp;" AS CAMPO_IT FROM "&amp;E560&amp;" WHERE "&amp;'0. Instruções'!$D$43&amp;")X",
"(SELECT "&amp;VLOOKUP(B560,'0. Instruções'!$C$27:$G$32,4,FALSE)&amp;" AS CHAVE_IT1, "&amp;VLOOKUP(B560,'0. Instruções'!$C$27:$G$32,5,FALSE)&amp;" AS CHAVE_IT2, "&amp;C560&amp;" AS CAMPO_IT FROM "&amp;E560&amp;" WHERE "&amp;'0. Instruções'!$D$43&amp;")X")</f>
        <v>(SELECT prtctn_id AS CHAVE_IT, typ_prtctn_intrnl AS CAMPO_IT FROM CD_LOAN_TAPES_BCE.LT004_PROTECTION WHERE ref_date='${ref_date}' AND nome_perimetro='Individual Local' AND segmento='ESTR' AND ambito='PM' AND entidade='00100')X</v>
      </c>
      <c r="K560" s="32" t="str">
        <f>IF(VLOOKUP(B560,'0. Instruções'!$C$27:$G$32,5,FALSE)=0,
"(SELECT "&amp;VLOOKUP(B560,'0. Instruções'!$C$27:$G$32,4,FALSE)&amp;" AS CHAVE_SIMUL, "&amp;C560&amp;" AS CAMPO_SIMUL FROM "&amp;F560&amp;" WHERE "&amp;'0. Instruções'!$D$42&amp;")Y",
"(SELECT "&amp;VLOOKUP(B560,'0. Instruções'!$C$27:$G$32,4,FALSE)&amp;" AS CHAVE_SIMUL1, "&amp;VLOOKUP(B560,'0. Instruções'!$C$27:$G$32,5,FALSE)&amp;" AS CHAVE_SIMUL2, "&amp;C560&amp;" AS CAMPO_SIMUL FROM "&amp;F560&amp;" WHERE "&amp;'0. Instruções'!$D$42&amp;")Y")</f>
        <v>(SELECT prtctn_id AS CHAVE_SIMUL, typ_prtctn_intrnl AS CAMPO_SIMUL FROM BU_LOANTAPE_WORK.LT004_PROTECTION WHERE ref_date='${ref_date}' AND nome_perimetro='Individual Local' AND segmento='ESTR' AND ambito='PM' AND entidade='00100')Y</v>
      </c>
      <c r="L560" s="32" t="str">
        <f>IF(VLOOKUP(B560,'0. Instruções'!$C$27:$G$32,5,FALSE)=0,
"ON X.CHAVE_IT=Y.CHAVE_SIMUL",
"ON X.CHAVE_IT1=Y.CHAVE_SIMUL1 AND X.CHAVE_IT2=Y.CHAVE_SIMUL2")</f>
        <v>ON X.CHAVE_IT=Y.CHAVE_SIMUL</v>
      </c>
      <c r="M560" s="32" t="str">
        <f>+IF(D560="Coerência",+IF(LEFT(H560,5)="FLOAT","SELECT '"&amp;UPPER(B560)&amp;"' AS TABELA, '"&amp;UPPER(D560)&amp;"' AS TIPOLOGIA_TESTE,'"&amp;E560&amp;"' AS TABELA_LT,'"&amp;F560&amp;"' AS TABELA_SIMUL,'"&amp;C560&amp;"'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"&amp;J560&amp;" INNER JOIN "&amp;K560&amp;" "&amp;L560,"SELECT '"&amp;UPPER(B560)&amp;"' AS TABELA, '"&amp;UPPER(D560)&amp;"' AS TIPOLOGIA_TESTE,'"&amp;E560&amp;"' AS TABELA_LT,'"&amp;F560&amp;"' AS TABELA_SIMUL,'"&amp;C560&amp;"'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"&amp;J560&amp;" INNER JOIN "&amp;K560&amp;" "&amp;L560))</f>
        <v>SELECT 'PROTECTION' AS TABELA, 'COERÊNCIA' AS TIPOLOGIA_TESTE,'CD_LOAN_TAPES_BCE.LT004_PROTECTION' AS TABELA_LT,'BU_LOANTAPE_WORK.LT004_PROTECTION' AS TABELA_SIMUL,'typ_prtctn_intrnl'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typ_prtctn_intrnl AS CAMPO_IT FROM CD_LOAN_TAPES_BCE.LT004_PROTECTION WHERE ref_date='${ref_date}' AND nome_perimetro='Individual Local' AND segmento='ESTR' AND ambito='PM' AND entidade='00100')X INNER JOIN (SELECT prtctn_id AS CHAVE_SIMUL, typ_prtctn_intrnl AS CAMPO_SIMUL FROM BU_LOANTAPE_WORK.LT004_PROTECTION WHERE ref_date='${ref_date}' AND nome_perimetro='Individual Local' AND segmento='ESTR' AND ambito='PM' AND entidade='00100')Y ON X.CHAVE_IT=Y.CHAVE_SIMUL</v>
      </c>
      <c r="N560" s="33" t="str">
        <f t="shared" si="19"/>
        <v>UNION ALL SELECT 'PROTECTION' AS TABELA, 'COERÊNCIA' AS TIPOLOGIA_TESTE,'CD_LOAN_TAPES_BCE.LT004_PROTECTION' AS TABELA_LT,'BU_LOANTAPE_WORK.LT004_PROTECTION' AS TABELA_SIMUL,'typ_prtctn_intrnl'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typ_prtctn_intrnl AS CAMPO_IT FROM CD_LOAN_TAPES_BCE.LT004_PROTECTION WHERE ref_date='${ref_date}' AND nome_perimetro='Individual Local' AND segmento='ESTR' AND ambito='PM' AND entidade='00100')X INNER JOIN (SELECT prtctn_id AS CHAVE_SIMUL, typ_prtctn_intrnl AS CAMPO_SIMUL FROM BU_LOANTAPE_WORK.LT004_PROTECTION WHERE ref_date='${ref_date}' AND nome_perimetro='Individual Local' AND segmento='ESTR' AND ambito='PM' AND entidade='00100')Y ON X.CHAVE_IT=Y.CHAVE_SIMUL</v>
      </c>
      <c r="O560" s="35" t="s">
        <v>35</v>
      </c>
    </row>
    <row r="561" spans="1:15">
      <c r="A561" s="57" t="str">
        <f t="shared" si="18"/>
        <v>Protectiontyp_prtctn_vl</v>
      </c>
      <c r="B561" s="32" t="s">
        <v>59</v>
      </c>
      <c r="C561" s="32" t="s">
        <v>621</v>
      </c>
      <c r="D561" s="32" t="s">
        <v>5</v>
      </c>
      <c r="E561" s="32" t="str">
        <f>+UPPER('0. Instruções'!$D$35&amp;"."&amp;VLOOKUP(B561,'0. Instruções'!$C$27:$D$32,2,FALSE))</f>
        <v>CD_LOAN_TAPES_BCE.LT004_PROTECTION</v>
      </c>
      <c r="F561" s="32" t="str">
        <f>+UPPER('0. Instruções'!$D$36&amp;"."&amp;VLOOKUP(B561,'0. Instruções'!$C$27:$E$32,3,FALSE))</f>
        <v>BU_LOANTAPE_WORK.LT004_PROTECTION</v>
      </c>
      <c r="H561" s="32"/>
      <c r="I561" s="32"/>
      <c r="J561" s="32" t="str">
        <f>IF(VLOOKUP(B561,'0. Instruções'!$C$27:$G$32,5,FALSE)=0,
"(SELECT "&amp;VLOOKUP(B561,'0. Instruções'!$C$27:$G$32,4,FALSE)&amp;" AS CHAVE_IT, "&amp;C561&amp;" AS CAMPO_IT FROM "&amp;E561&amp;" WHERE "&amp;'0. Instruções'!$D$43&amp;")X",
"(SELECT "&amp;VLOOKUP(B561,'0. Instruções'!$C$27:$G$32,4,FALSE)&amp;" AS CHAVE_IT1, "&amp;VLOOKUP(B561,'0. Instruções'!$C$27:$G$32,5,FALSE)&amp;" AS CHAVE_IT2, "&amp;C561&amp;" AS CAMPO_IT FROM "&amp;E561&amp;" WHERE "&amp;'0. Instruções'!$D$43&amp;")X")</f>
        <v>(SELECT prtctn_id AS CHAVE_IT, typ_prtctn_vl AS CAMPO_IT FROM CD_LOAN_TAPES_BCE.LT004_PROTECTION WHERE ref_date='${ref_date}' AND nome_perimetro='Individual Local' AND segmento='ESTR' AND ambito='PM' AND entidade='00100')X</v>
      </c>
      <c r="K561" s="32" t="str">
        <f>IF(VLOOKUP(B561,'0. Instruções'!$C$27:$G$32,5,FALSE)=0,
"(SELECT "&amp;VLOOKUP(B561,'0. Instruções'!$C$27:$G$32,4,FALSE)&amp;" AS CHAVE_SIMUL, "&amp;C561&amp;" AS CAMPO_SIMUL FROM "&amp;F561&amp;" WHERE "&amp;'0. Instruções'!$D$42&amp;")Y",
"(SELECT "&amp;VLOOKUP(B561,'0. Instruções'!$C$27:$G$32,4,FALSE)&amp;" AS CHAVE_SIMUL1, "&amp;VLOOKUP(B561,'0. Instruções'!$C$27:$G$32,5,FALSE)&amp;" AS CHAVE_SIMUL2, "&amp;C561&amp;" AS CAMPO_SIMUL FROM "&amp;F561&amp;" WHERE "&amp;'0. Instruções'!$D$42&amp;")Y")</f>
        <v>(SELECT prtctn_id AS CHAVE_SIMUL, typ_prtctn_vl AS CAMPO_SIMUL FROM BU_LOANTAPE_WORK.LT004_PROTECTION WHERE ref_date='${ref_date}' AND nome_perimetro='Individual Local' AND segmento='ESTR' AND ambito='PM' AND entidade='00100')Y</v>
      </c>
      <c r="L561" s="32" t="str">
        <f>IF(VLOOKUP(B561,'0. Instruções'!$C$27:$G$32,5,FALSE)=0,
"ON X.CHAVE_IT=Y.CHAVE_SIMUL",
"ON X.CHAVE_IT1=Y.CHAVE_SIMUL1 AND X.CHAVE_IT2=Y.CHAVE_SIMUL2")</f>
        <v>ON X.CHAVE_IT=Y.CHAVE_SIMUL</v>
      </c>
      <c r="M561" s="32" t="str">
        <f>+IF(D561="Coerência",+IF(LEFT(H561,5)="FLOAT","SELECT '"&amp;UPPER(B561)&amp;"' AS TABELA, '"&amp;UPPER(D561)&amp;"' AS TIPOLOGIA_TESTE,'"&amp;E561&amp;"' AS TABELA_LT,'"&amp;F561&amp;"' AS TABELA_SIMUL,'"&amp;C561&amp;"'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"&amp;J561&amp;" INNER JOIN "&amp;K561&amp;" "&amp;L561,"SELECT '"&amp;UPPER(B561)&amp;"' AS TABELA, '"&amp;UPPER(D561)&amp;"' AS TIPOLOGIA_TESTE,'"&amp;E561&amp;"' AS TABELA_LT,'"&amp;F561&amp;"' AS TABELA_SIMUL,'"&amp;C561&amp;"'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"&amp;J561&amp;" INNER JOIN "&amp;K561&amp;" "&amp;L561))</f>
        <v>SELECT 'PROTECTION' AS TABELA, 'COERÊNCIA' AS TIPOLOGIA_TESTE,'CD_LOAN_TAPES_BCE.LT004_PROTECTION' AS TABELA_LT,'BU_LOANTAPE_WORK.LT004_PROTECTION' AS TABELA_SIMUL,'typ_prtctn_vl'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typ_prtctn_vl AS CAMPO_IT FROM CD_LOAN_TAPES_BCE.LT004_PROTECTION WHERE ref_date='${ref_date}' AND nome_perimetro='Individual Local' AND segmento='ESTR' AND ambito='PM' AND entidade='00100')X INNER JOIN (SELECT prtctn_id AS CHAVE_SIMUL, typ_prtctn_vl AS CAMPO_SIMUL FROM BU_LOANTAPE_WORK.LT004_PROTECTION WHERE ref_date='${ref_date}' AND nome_perimetro='Individual Local' AND segmento='ESTR' AND ambito='PM' AND entidade='00100')Y ON X.CHAVE_IT=Y.CHAVE_SIMUL</v>
      </c>
      <c r="N561" s="33" t="str">
        <f t="shared" si="19"/>
        <v>UNION ALL SELECT 'PROTECTION' AS TABELA, 'COERÊNCIA' AS TIPOLOGIA_TESTE,'CD_LOAN_TAPES_BCE.LT004_PROTECTION' AS TABELA_LT,'BU_LOANTAPE_WORK.LT004_PROTECTION' AS TABELA_SIMUL,'typ_prtctn_vl'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typ_prtctn_vl AS CAMPO_IT FROM CD_LOAN_TAPES_BCE.LT004_PROTECTION WHERE ref_date='${ref_date}' AND nome_perimetro='Individual Local' AND segmento='ESTR' AND ambito='PM' AND entidade='00100')X INNER JOIN (SELECT prtctn_id AS CHAVE_SIMUL, typ_prtctn_vl AS CAMPO_SIMUL FROM BU_LOANTAPE_WORK.LT004_PROTECTION WHERE ref_date='${ref_date}' AND nome_perimetro='Individual Local' AND segmento='ESTR' AND ambito='PM' AND entidade='00100')Y ON X.CHAVE_IT=Y.CHAVE_SIMUL</v>
      </c>
      <c r="O561" s="35" t="s">
        <v>35</v>
      </c>
    </row>
    <row r="562" spans="1:15">
      <c r="A562" s="57" t="str">
        <f t="shared" si="18"/>
        <v>Protectionapprsl_crrncy</v>
      </c>
      <c r="B562" s="32" t="s">
        <v>59</v>
      </c>
      <c r="C562" s="32" t="s">
        <v>622</v>
      </c>
      <c r="D562" s="32" t="s">
        <v>5</v>
      </c>
      <c r="E562" s="32" t="str">
        <f>+UPPER('0. Instruções'!$D$35&amp;"."&amp;VLOOKUP(B562,'0. Instruções'!$C$27:$D$32,2,FALSE))</f>
        <v>CD_LOAN_TAPES_BCE.LT004_PROTECTION</v>
      </c>
      <c r="F562" s="32" t="str">
        <f>+UPPER('0. Instruções'!$D$36&amp;"."&amp;VLOOKUP(B562,'0. Instruções'!$C$27:$E$32,3,FALSE))</f>
        <v>BU_LOANTAPE_WORK.LT004_PROTECTION</v>
      </c>
      <c r="H562" s="32"/>
      <c r="I562" s="32"/>
      <c r="J562" s="32" t="str">
        <f>IF(VLOOKUP(B562,'0. Instruções'!$C$27:$G$32,5,FALSE)=0,
"(SELECT "&amp;VLOOKUP(B562,'0. Instruções'!$C$27:$G$32,4,FALSE)&amp;" AS CHAVE_IT, "&amp;C562&amp;" AS CAMPO_IT FROM "&amp;E562&amp;" WHERE "&amp;'0. Instruções'!$D$43&amp;")X",
"(SELECT "&amp;VLOOKUP(B562,'0. Instruções'!$C$27:$G$32,4,FALSE)&amp;" AS CHAVE_IT1, "&amp;VLOOKUP(B562,'0. Instruções'!$C$27:$G$32,5,FALSE)&amp;" AS CHAVE_IT2, "&amp;C562&amp;" AS CAMPO_IT FROM "&amp;E562&amp;" WHERE "&amp;'0. Instruções'!$D$43&amp;")X")</f>
        <v>(SELECT prtctn_id AS CHAVE_IT, apprsl_crrncy AS CAMPO_IT FROM CD_LOAN_TAPES_BCE.LT004_PROTECTION WHERE ref_date='${ref_date}' AND nome_perimetro='Individual Local' AND segmento='ESTR' AND ambito='PM' AND entidade='00100')X</v>
      </c>
      <c r="K562" s="32" t="str">
        <f>IF(VLOOKUP(B562,'0. Instruções'!$C$27:$G$32,5,FALSE)=0,
"(SELECT "&amp;VLOOKUP(B562,'0. Instruções'!$C$27:$G$32,4,FALSE)&amp;" AS CHAVE_SIMUL, "&amp;C562&amp;" AS CAMPO_SIMUL FROM "&amp;F562&amp;" WHERE "&amp;'0. Instruções'!$D$42&amp;")Y",
"(SELECT "&amp;VLOOKUP(B562,'0. Instruções'!$C$27:$G$32,4,FALSE)&amp;" AS CHAVE_SIMUL1, "&amp;VLOOKUP(B562,'0. Instruções'!$C$27:$G$32,5,FALSE)&amp;" AS CHAVE_SIMUL2, "&amp;C562&amp;" AS CAMPO_SIMUL FROM "&amp;F562&amp;" WHERE "&amp;'0. Instruções'!$D$42&amp;")Y")</f>
        <v>(SELECT prtctn_id AS CHAVE_SIMUL, apprsl_crrncy AS CAMPO_SIMUL FROM BU_LOANTAPE_WORK.LT004_PROTECTION WHERE ref_date='${ref_date}' AND nome_perimetro='Individual Local' AND segmento='ESTR' AND ambito='PM' AND entidade='00100')Y</v>
      </c>
      <c r="L562" s="32" t="str">
        <f>IF(VLOOKUP(B562,'0. Instruções'!$C$27:$G$32,5,FALSE)=0,
"ON X.CHAVE_IT=Y.CHAVE_SIMUL",
"ON X.CHAVE_IT1=Y.CHAVE_SIMUL1 AND X.CHAVE_IT2=Y.CHAVE_SIMUL2")</f>
        <v>ON X.CHAVE_IT=Y.CHAVE_SIMUL</v>
      </c>
      <c r="M562" s="32" t="str">
        <f>+IF(D562="Coerência",+IF(LEFT(H562,5)="FLOAT","SELECT '"&amp;UPPER(B562)&amp;"' AS TABELA, '"&amp;UPPER(D562)&amp;"' AS TIPOLOGIA_TESTE,'"&amp;E562&amp;"' AS TABELA_LT,'"&amp;F562&amp;"' AS TABELA_SIMUL,'"&amp;C562&amp;"'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"&amp;J562&amp;" INNER JOIN "&amp;K562&amp;" "&amp;L562,"SELECT '"&amp;UPPER(B562)&amp;"' AS TABELA, '"&amp;UPPER(D562)&amp;"' AS TIPOLOGIA_TESTE,'"&amp;E562&amp;"' AS TABELA_LT,'"&amp;F562&amp;"' AS TABELA_SIMUL,'"&amp;C562&amp;"'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"&amp;J562&amp;" INNER JOIN "&amp;K562&amp;" "&amp;L562))</f>
        <v>SELECT 'PROTECTION' AS TABELA, 'COERÊNCIA' AS TIPOLOGIA_TESTE,'CD_LOAN_TAPES_BCE.LT004_PROTECTION' AS TABELA_LT,'BU_LOANTAPE_WORK.LT004_PROTECTION' AS TABELA_SIMUL,'apprsl_crrncy'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apprsl_crrncy AS CAMPO_IT FROM CD_LOAN_TAPES_BCE.LT004_PROTECTION WHERE ref_date='${ref_date}' AND nome_perimetro='Individual Local' AND segmento='ESTR' AND ambito='PM' AND entidade='00100')X INNER JOIN (SELECT prtctn_id AS CHAVE_SIMUL, apprsl_crrncy AS CAMPO_SIMUL FROM BU_LOANTAPE_WORK.LT004_PROTECTION WHERE ref_date='${ref_date}' AND nome_perimetro='Individual Local' AND segmento='ESTR' AND ambito='PM' AND entidade='00100')Y ON X.CHAVE_IT=Y.CHAVE_SIMUL</v>
      </c>
      <c r="N562" s="33" t="str">
        <f t="shared" si="19"/>
        <v>UNION ALL SELECT 'PROTECTION' AS TABELA, 'COERÊNCIA' AS TIPOLOGIA_TESTE,'CD_LOAN_TAPES_BCE.LT004_PROTECTION' AS TABELA_LT,'BU_LOANTAPE_WORK.LT004_PROTECTION' AS TABELA_SIMUL,'apprsl_crrncy'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apprsl_crrncy AS CAMPO_IT FROM CD_LOAN_TAPES_BCE.LT004_PROTECTION WHERE ref_date='${ref_date}' AND nome_perimetro='Individual Local' AND segmento='ESTR' AND ambito='PM' AND entidade='00100')X INNER JOIN (SELECT prtctn_id AS CHAVE_SIMUL, apprsl_crrncy AS CAMPO_SIMUL FROM BU_LOANTAPE_WORK.LT004_PROTECTION WHERE ref_date='${ref_date}' AND nome_perimetro='Individual Local' AND segmento='ESTR' AND ambito='PM' AND entidade='00100')Y ON X.CHAVE_IT=Y.CHAVE_SIMUL</v>
      </c>
      <c r="O562" s="35" t="s">
        <v>35</v>
      </c>
    </row>
    <row r="563" spans="1:15">
      <c r="A563" s="57" t="str">
        <f t="shared" si="18"/>
        <v>Protectionapprsr</v>
      </c>
      <c r="B563" s="32" t="s">
        <v>59</v>
      </c>
      <c r="C563" s="32" t="s">
        <v>623</v>
      </c>
      <c r="D563" s="32" t="s">
        <v>5</v>
      </c>
      <c r="E563" s="32" t="str">
        <f>+UPPER('0. Instruções'!$D$35&amp;"."&amp;VLOOKUP(B563,'0. Instruções'!$C$27:$D$32,2,FALSE))</f>
        <v>CD_LOAN_TAPES_BCE.LT004_PROTECTION</v>
      </c>
      <c r="F563" s="32" t="str">
        <f>+UPPER('0. Instruções'!$D$36&amp;"."&amp;VLOOKUP(B563,'0. Instruções'!$C$27:$E$32,3,FALSE))</f>
        <v>BU_LOANTAPE_WORK.LT004_PROTECTION</v>
      </c>
      <c r="H563" s="32"/>
      <c r="I563" s="32"/>
      <c r="J563" s="32" t="str">
        <f>IF(VLOOKUP(B563,'0. Instruções'!$C$27:$G$32,5,FALSE)=0,
"(SELECT "&amp;VLOOKUP(B563,'0. Instruções'!$C$27:$G$32,4,FALSE)&amp;" AS CHAVE_IT, "&amp;C563&amp;" AS CAMPO_IT FROM "&amp;E563&amp;" WHERE "&amp;'0. Instruções'!$D$43&amp;")X",
"(SELECT "&amp;VLOOKUP(B563,'0. Instruções'!$C$27:$G$32,4,FALSE)&amp;" AS CHAVE_IT1, "&amp;VLOOKUP(B563,'0. Instruções'!$C$27:$G$32,5,FALSE)&amp;" AS CHAVE_IT2, "&amp;C563&amp;" AS CAMPO_IT FROM "&amp;E563&amp;" WHERE "&amp;'0. Instruções'!$D$43&amp;")X")</f>
        <v>(SELECT prtctn_id AS CHAVE_IT, apprsr AS CAMPO_IT FROM CD_LOAN_TAPES_BCE.LT004_PROTECTION WHERE ref_date='${ref_date}' AND nome_perimetro='Individual Local' AND segmento='ESTR' AND ambito='PM' AND entidade='00100')X</v>
      </c>
      <c r="K563" s="32" t="str">
        <f>IF(VLOOKUP(B563,'0. Instruções'!$C$27:$G$32,5,FALSE)=0,
"(SELECT "&amp;VLOOKUP(B563,'0. Instruções'!$C$27:$G$32,4,FALSE)&amp;" AS CHAVE_SIMUL, "&amp;C563&amp;" AS CAMPO_SIMUL FROM "&amp;F563&amp;" WHERE "&amp;'0. Instruções'!$D$42&amp;")Y",
"(SELECT "&amp;VLOOKUP(B563,'0. Instruções'!$C$27:$G$32,4,FALSE)&amp;" AS CHAVE_SIMUL1, "&amp;VLOOKUP(B563,'0. Instruções'!$C$27:$G$32,5,FALSE)&amp;" AS CHAVE_SIMUL2, "&amp;C563&amp;" AS CAMPO_SIMUL FROM "&amp;F563&amp;" WHERE "&amp;'0. Instruções'!$D$42&amp;")Y")</f>
        <v>(SELECT prtctn_id AS CHAVE_SIMUL, apprsr AS CAMPO_SIMUL FROM BU_LOANTAPE_WORK.LT004_PROTECTION WHERE ref_date='${ref_date}' AND nome_perimetro='Individual Local' AND segmento='ESTR' AND ambito='PM' AND entidade='00100')Y</v>
      </c>
      <c r="L563" s="32" t="str">
        <f>IF(VLOOKUP(B563,'0. Instruções'!$C$27:$G$32,5,FALSE)=0,
"ON X.CHAVE_IT=Y.CHAVE_SIMUL",
"ON X.CHAVE_IT1=Y.CHAVE_SIMUL1 AND X.CHAVE_IT2=Y.CHAVE_SIMUL2")</f>
        <v>ON X.CHAVE_IT=Y.CHAVE_SIMUL</v>
      </c>
      <c r="M563" s="32" t="str">
        <f>+IF(D563="Coerência",+IF(LEFT(H563,5)="FLOAT","SELECT '"&amp;UPPER(B563)&amp;"' AS TABELA, '"&amp;UPPER(D563)&amp;"' AS TIPOLOGIA_TESTE,'"&amp;E563&amp;"' AS TABELA_LT,'"&amp;F563&amp;"' AS TABELA_SIMUL,'"&amp;C563&amp;"'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"&amp;J563&amp;" INNER JOIN "&amp;K563&amp;" "&amp;L563,"SELECT '"&amp;UPPER(B563)&amp;"' AS TABELA, '"&amp;UPPER(D563)&amp;"' AS TIPOLOGIA_TESTE,'"&amp;E563&amp;"' AS TABELA_LT,'"&amp;F563&amp;"' AS TABELA_SIMUL,'"&amp;C563&amp;"'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"&amp;J563&amp;" INNER JOIN "&amp;K563&amp;" "&amp;L563))</f>
        <v>SELECT 'PROTECTION' AS TABELA, 'COERÊNCIA' AS TIPOLOGIA_TESTE,'CD_LOAN_TAPES_BCE.LT004_PROTECTION' AS TABELA_LT,'BU_LOANTAPE_WORK.LT004_PROTECTION' AS TABELA_SIMUL,'apprsr'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apprsr AS CAMPO_IT FROM CD_LOAN_TAPES_BCE.LT004_PROTECTION WHERE ref_date='${ref_date}' AND nome_perimetro='Individual Local' AND segmento='ESTR' AND ambito='PM' AND entidade='00100')X INNER JOIN (SELECT prtctn_id AS CHAVE_SIMUL, apprsr AS CAMPO_SIMUL FROM BU_LOANTAPE_WORK.LT004_PROTECTION WHERE ref_date='${ref_date}' AND nome_perimetro='Individual Local' AND segmento='ESTR' AND ambito='PM' AND entidade='00100')Y ON X.CHAVE_IT=Y.CHAVE_SIMUL</v>
      </c>
      <c r="N563" s="33" t="str">
        <f t="shared" si="19"/>
        <v>UNION ALL SELECT 'PROTECTION' AS TABELA, 'COERÊNCIA' AS TIPOLOGIA_TESTE,'CD_LOAN_TAPES_BCE.LT004_PROTECTION' AS TABELA_LT,'BU_LOANTAPE_WORK.LT004_PROTECTION' AS TABELA_SIMUL,'apprsr'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apprsr AS CAMPO_IT FROM CD_LOAN_TAPES_BCE.LT004_PROTECTION WHERE ref_date='${ref_date}' AND nome_perimetro='Individual Local' AND segmento='ESTR' AND ambito='PM' AND entidade='00100')X INNER JOIN (SELECT prtctn_id AS CHAVE_SIMUL, apprsr AS CAMPO_SIMUL FROM BU_LOANTAPE_WORK.LT004_PROTECTION WHERE ref_date='${ref_date}' AND nome_perimetro='Individual Local' AND segmento='ESTR' AND ambito='PM' AND entidade='00100')Y ON X.CHAVE_IT=Y.CHAVE_SIMUL</v>
      </c>
      <c r="O563" s="35" t="s">
        <v>35</v>
      </c>
    </row>
    <row r="564" spans="1:15">
      <c r="A564" s="57" t="str">
        <f t="shared" si="18"/>
        <v>Protectiondt_lst_fll_apprsl</v>
      </c>
      <c r="B564" s="32" t="s">
        <v>59</v>
      </c>
      <c r="C564" s="32" t="s">
        <v>624</v>
      </c>
      <c r="D564" s="32" t="s">
        <v>5</v>
      </c>
      <c r="E564" s="32" t="str">
        <f>+UPPER('0. Instruções'!$D$35&amp;"."&amp;VLOOKUP(B564,'0. Instruções'!$C$27:$D$32,2,FALSE))</f>
        <v>CD_LOAN_TAPES_BCE.LT004_PROTECTION</v>
      </c>
      <c r="F564" s="32" t="str">
        <f>+UPPER('0. Instruções'!$D$36&amp;"."&amp;VLOOKUP(B564,'0. Instruções'!$C$27:$E$32,3,FALSE))</f>
        <v>BU_LOANTAPE_WORK.LT004_PROTECTION</v>
      </c>
      <c r="H564" s="32"/>
      <c r="I564" s="32"/>
      <c r="J564" s="32" t="str">
        <f>IF(VLOOKUP(B564,'0. Instruções'!$C$27:$G$32,5,FALSE)=0,
"(SELECT "&amp;VLOOKUP(B564,'0. Instruções'!$C$27:$G$32,4,FALSE)&amp;" AS CHAVE_IT, "&amp;C564&amp;" AS CAMPO_IT FROM "&amp;E564&amp;" WHERE "&amp;'0. Instruções'!$D$43&amp;")X",
"(SELECT "&amp;VLOOKUP(B564,'0. Instruções'!$C$27:$G$32,4,FALSE)&amp;" AS CHAVE_IT1, "&amp;VLOOKUP(B564,'0. Instruções'!$C$27:$G$32,5,FALSE)&amp;" AS CHAVE_IT2, "&amp;C564&amp;" AS CAMPO_IT FROM "&amp;E564&amp;" WHERE "&amp;'0. Instruções'!$D$43&amp;")X")</f>
        <v>(SELECT prtctn_id AS CHAVE_IT, dt_lst_fll_apprsl AS CAMPO_IT FROM CD_LOAN_TAPES_BCE.LT004_PROTECTION WHERE ref_date='${ref_date}' AND nome_perimetro='Individual Local' AND segmento='ESTR' AND ambito='PM' AND entidade='00100')X</v>
      </c>
      <c r="K564" s="32" t="str">
        <f>IF(VLOOKUP(B564,'0. Instruções'!$C$27:$G$32,5,FALSE)=0,
"(SELECT "&amp;VLOOKUP(B564,'0. Instruções'!$C$27:$G$32,4,FALSE)&amp;" AS CHAVE_SIMUL, "&amp;C564&amp;" AS CAMPO_SIMUL FROM "&amp;F564&amp;" WHERE "&amp;'0. Instruções'!$D$42&amp;")Y",
"(SELECT "&amp;VLOOKUP(B564,'0. Instruções'!$C$27:$G$32,4,FALSE)&amp;" AS CHAVE_SIMUL1, "&amp;VLOOKUP(B564,'0. Instruções'!$C$27:$G$32,5,FALSE)&amp;" AS CHAVE_SIMUL2, "&amp;C564&amp;" AS CAMPO_SIMUL FROM "&amp;F564&amp;" WHERE "&amp;'0. Instruções'!$D$42&amp;")Y")</f>
        <v>(SELECT prtctn_id AS CHAVE_SIMUL, dt_lst_fll_apprsl AS CAMPO_SIMUL FROM BU_LOANTAPE_WORK.LT004_PROTECTION WHERE ref_date='${ref_date}' AND nome_perimetro='Individual Local' AND segmento='ESTR' AND ambito='PM' AND entidade='00100')Y</v>
      </c>
      <c r="L564" s="32" t="str">
        <f>IF(VLOOKUP(B564,'0. Instruções'!$C$27:$G$32,5,FALSE)=0,
"ON X.CHAVE_IT=Y.CHAVE_SIMUL",
"ON X.CHAVE_IT1=Y.CHAVE_SIMUL1 AND X.CHAVE_IT2=Y.CHAVE_SIMUL2")</f>
        <v>ON X.CHAVE_IT=Y.CHAVE_SIMUL</v>
      </c>
      <c r="M564" s="32" t="str">
        <f>+IF(D564="Coerência",+IF(LEFT(H564,5)="FLOAT","SELECT '"&amp;UPPER(B564)&amp;"' AS TABELA, '"&amp;UPPER(D564)&amp;"' AS TIPOLOGIA_TESTE,'"&amp;E564&amp;"' AS TABELA_LT,'"&amp;F564&amp;"' AS TABELA_SIMUL,'"&amp;C564&amp;"'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"&amp;J564&amp;" INNER JOIN "&amp;K564&amp;" "&amp;L564,"SELECT '"&amp;UPPER(B564)&amp;"' AS TABELA, '"&amp;UPPER(D564)&amp;"' AS TIPOLOGIA_TESTE,'"&amp;E564&amp;"' AS TABELA_LT,'"&amp;F564&amp;"' AS TABELA_SIMUL,'"&amp;C564&amp;"'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"&amp;J564&amp;" INNER JOIN "&amp;K564&amp;" "&amp;L564))</f>
        <v>SELECT 'PROTECTION' AS TABELA, 'COERÊNCIA' AS TIPOLOGIA_TESTE,'CD_LOAN_TAPES_BCE.LT004_PROTECTION' AS TABELA_LT,'BU_LOANTAPE_WORK.LT004_PROTECTION' AS TABELA_SIMUL,'dt_lst_fll_apprsl'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dt_lst_fll_apprsl AS CAMPO_IT FROM CD_LOAN_TAPES_BCE.LT004_PROTECTION WHERE ref_date='${ref_date}' AND nome_perimetro='Individual Local' AND segmento='ESTR' AND ambito='PM' AND entidade='00100')X INNER JOIN (SELECT prtctn_id AS CHAVE_SIMUL, dt_lst_fll_apprsl AS CAMPO_SIMUL FROM BU_LOANTAPE_WORK.LT004_PROTECTION WHERE ref_date='${ref_date}' AND nome_perimetro='Individual Local' AND segmento='ESTR' AND ambito='PM' AND entidade='00100')Y ON X.CHAVE_IT=Y.CHAVE_SIMUL</v>
      </c>
      <c r="N564" s="33" t="str">
        <f t="shared" si="19"/>
        <v>UNION ALL SELECT 'PROTECTION' AS TABELA, 'COERÊNCIA' AS TIPOLOGIA_TESTE,'CD_LOAN_TAPES_BCE.LT004_PROTECTION' AS TABELA_LT,'BU_LOANTAPE_WORK.LT004_PROTECTION' AS TABELA_SIMUL,'dt_lst_fll_apprsl'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dt_lst_fll_apprsl AS CAMPO_IT FROM CD_LOAN_TAPES_BCE.LT004_PROTECTION WHERE ref_date='${ref_date}' AND nome_perimetro='Individual Local' AND segmento='ESTR' AND ambito='PM' AND entidade='00100')X INNER JOIN (SELECT prtctn_id AS CHAVE_SIMUL, dt_lst_fll_apprsl AS CAMPO_SIMUL FROM BU_LOANTAPE_WORK.LT004_PROTECTION WHERE ref_date='${ref_date}' AND nome_perimetro='Individual Local' AND segmento='ESTR' AND ambito='PM' AND entidade='00100')Y ON X.CHAVE_IT=Y.CHAVE_SIMUL</v>
      </c>
      <c r="O564" s="35" t="s">
        <v>35</v>
      </c>
    </row>
    <row r="565" spans="1:15">
      <c r="A565" s="57" t="str">
        <f t="shared" si="18"/>
        <v>Protectiondt_orgnl_prtctn_vl</v>
      </c>
      <c r="B565" s="32" t="s">
        <v>59</v>
      </c>
      <c r="C565" s="32" t="s">
        <v>625</v>
      </c>
      <c r="D565" s="32" t="s">
        <v>5</v>
      </c>
      <c r="E565" s="32" t="str">
        <f>+UPPER('0. Instruções'!$D$35&amp;"."&amp;VLOOKUP(B565,'0. Instruções'!$C$27:$D$32,2,FALSE))</f>
        <v>CD_LOAN_TAPES_BCE.LT004_PROTECTION</v>
      </c>
      <c r="F565" s="32" t="str">
        <f>+UPPER('0. Instruções'!$D$36&amp;"."&amp;VLOOKUP(B565,'0. Instruções'!$C$27:$E$32,3,FALSE))</f>
        <v>BU_LOANTAPE_WORK.LT004_PROTECTION</v>
      </c>
      <c r="H565" s="32"/>
      <c r="I565" s="32"/>
      <c r="J565" s="32" t="str">
        <f>IF(VLOOKUP(B565,'0. Instruções'!$C$27:$G$32,5,FALSE)=0,
"(SELECT "&amp;VLOOKUP(B565,'0. Instruções'!$C$27:$G$32,4,FALSE)&amp;" AS CHAVE_IT, "&amp;C565&amp;" AS CAMPO_IT FROM "&amp;E565&amp;" WHERE "&amp;'0. Instruções'!$D$43&amp;")X",
"(SELECT "&amp;VLOOKUP(B565,'0. Instruções'!$C$27:$G$32,4,FALSE)&amp;" AS CHAVE_IT1, "&amp;VLOOKUP(B565,'0. Instruções'!$C$27:$G$32,5,FALSE)&amp;" AS CHAVE_IT2, "&amp;C565&amp;" AS CAMPO_IT FROM "&amp;E565&amp;" WHERE "&amp;'0. Instruções'!$D$43&amp;")X")</f>
        <v>(SELECT prtctn_id AS CHAVE_IT, dt_orgnl_prtctn_vl AS CAMPO_IT FROM CD_LOAN_TAPES_BCE.LT004_PROTECTION WHERE ref_date='${ref_date}' AND nome_perimetro='Individual Local' AND segmento='ESTR' AND ambito='PM' AND entidade='00100')X</v>
      </c>
      <c r="K565" s="32" t="str">
        <f>IF(VLOOKUP(B565,'0. Instruções'!$C$27:$G$32,5,FALSE)=0,
"(SELECT "&amp;VLOOKUP(B565,'0. Instruções'!$C$27:$G$32,4,FALSE)&amp;" AS CHAVE_SIMUL, "&amp;C565&amp;" AS CAMPO_SIMUL FROM "&amp;F565&amp;" WHERE "&amp;'0. Instruções'!$D$42&amp;")Y",
"(SELECT "&amp;VLOOKUP(B565,'0. Instruções'!$C$27:$G$32,4,FALSE)&amp;" AS CHAVE_SIMUL1, "&amp;VLOOKUP(B565,'0. Instruções'!$C$27:$G$32,5,FALSE)&amp;" AS CHAVE_SIMUL2, "&amp;C565&amp;" AS CAMPO_SIMUL FROM "&amp;F565&amp;" WHERE "&amp;'0. Instruções'!$D$42&amp;")Y")</f>
        <v>(SELECT prtctn_id AS CHAVE_SIMUL, dt_orgnl_prtctn_vl AS CAMPO_SIMUL FROM BU_LOANTAPE_WORK.LT004_PROTECTION WHERE ref_date='${ref_date}' AND nome_perimetro='Individual Local' AND segmento='ESTR' AND ambito='PM' AND entidade='00100')Y</v>
      </c>
      <c r="L565" s="32" t="str">
        <f>IF(VLOOKUP(B565,'0. Instruções'!$C$27:$G$32,5,FALSE)=0,
"ON X.CHAVE_IT=Y.CHAVE_SIMUL",
"ON X.CHAVE_IT1=Y.CHAVE_SIMUL1 AND X.CHAVE_IT2=Y.CHAVE_SIMUL2")</f>
        <v>ON X.CHAVE_IT=Y.CHAVE_SIMUL</v>
      </c>
      <c r="M565" s="32" t="str">
        <f>+IF(D565="Coerência",+IF(LEFT(H565,5)="FLOAT","SELECT '"&amp;UPPER(B565)&amp;"' AS TABELA, '"&amp;UPPER(D565)&amp;"' AS TIPOLOGIA_TESTE,'"&amp;E565&amp;"' AS TABELA_LT,'"&amp;F565&amp;"' AS TABELA_SIMUL,'"&amp;C565&amp;"'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"&amp;J565&amp;" INNER JOIN "&amp;K565&amp;" "&amp;L565,"SELECT '"&amp;UPPER(B565)&amp;"' AS TABELA, '"&amp;UPPER(D565)&amp;"' AS TIPOLOGIA_TESTE,'"&amp;E565&amp;"' AS TABELA_LT,'"&amp;F565&amp;"' AS TABELA_SIMUL,'"&amp;C565&amp;"'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"&amp;J565&amp;" INNER JOIN "&amp;K565&amp;" "&amp;L565))</f>
        <v>SELECT 'PROTECTION' AS TABELA, 'COERÊNCIA' AS TIPOLOGIA_TESTE,'CD_LOAN_TAPES_BCE.LT004_PROTECTION' AS TABELA_LT,'BU_LOANTAPE_WORK.LT004_PROTECTION' AS TABELA_SIMUL,'dt_orgnl_prtctn_vl'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dt_orgnl_prtctn_vl AS CAMPO_IT FROM CD_LOAN_TAPES_BCE.LT004_PROTECTION WHERE ref_date='${ref_date}' AND nome_perimetro='Individual Local' AND segmento='ESTR' AND ambito='PM' AND entidade='00100')X INNER JOIN (SELECT prtctn_id AS CHAVE_SIMUL, dt_orgnl_prtctn_vl AS CAMPO_SIMUL FROM BU_LOANTAPE_WORK.LT004_PROTECTION WHERE ref_date='${ref_date}' AND nome_perimetro='Individual Local' AND segmento='ESTR' AND ambito='PM' AND entidade='00100')Y ON X.CHAVE_IT=Y.CHAVE_SIMUL</v>
      </c>
      <c r="N565" s="33" t="str">
        <f t="shared" si="19"/>
        <v>UNION ALL SELECT 'PROTECTION' AS TABELA, 'COERÊNCIA' AS TIPOLOGIA_TESTE,'CD_LOAN_TAPES_BCE.LT004_PROTECTION' AS TABELA_LT,'BU_LOANTAPE_WORK.LT004_PROTECTION' AS TABELA_SIMUL,'dt_orgnl_prtctn_vl'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dt_orgnl_prtctn_vl AS CAMPO_IT FROM CD_LOAN_TAPES_BCE.LT004_PROTECTION WHERE ref_date='${ref_date}' AND nome_perimetro='Individual Local' AND segmento='ESTR' AND ambito='PM' AND entidade='00100')X INNER JOIN (SELECT prtctn_id AS CHAVE_SIMUL, dt_orgnl_prtctn_vl AS CAMPO_SIMUL FROM BU_LOANTAPE_WORK.LT004_PROTECTION WHERE ref_date='${ref_date}' AND nome_perimetro='Individual Local' AND segmento='ESTR' AND ambito='PM' AND entidade='00100')Y ON X.CHAVE_IT=Y.CHAVE_SIMUL</v>
      </c>
      <c r="O565" s="35" t="s">
        <v>35</v>
      </c>
    </row>
    <row r="566" spans="1:15">
      <c r="A566" s="57" t="str">
        <f t="shared" si="18"/>
        <v>Protectiondt_prtctn_vl</v>
      </c>
      <c r="B566" s="32" t="s">
        <v>59</v>
      </c>
      <c r="C566" s="32" t="s">
        <v>626</v>
      </c>
      <c r="D566" s="32" t="s">
        <v>5</v>
      </c>
      <c r="E566" s="32" t="str">
        <f>+UPPER('0. Instruções'!$D$35&amp;"."&amp;VLOOKUP(B566,'0. Instruções'!$C$27:$D$32,2,FALSE))</f>
        <v>CD_LOAN_TAPES_BCE.LT004_PROTECTION</v>
      </c>
      <c r="F566" s="32" t="str">
        <f>+UPPER('0. Instruções'!$D$36&amp;"."&amp;VLOOKUP(B566,'0. Instruções'!$C$27:$E$32,3,FALSE))</f>
        <v>BU_LOANTAPE_WORK.LT004_PROTECTION</v>
      </c>
      <c r="H566" s="32"/>
      <c r="I566" s="32"/>
      <c r="J566" s="32" t="str">
        <f>IF(VLOOKUP(B566,'0. Instruções'!$C$27:$G$32,5,FALSE)=0,
"(SELECT "&amp;VLOOKUP(B566,'0. Instruções'!$C$27:$G$32,4,FALSE)&amp;" AS CHAVE_IT, "&amp;C566&amp;" AS CAMPO_IT FROM "&amp;E566&amp;" WHERE "&amp;'0. Instruções'!$D$43&amp;")X",
"(SELECT "&amp;VLOOKUP(B566,'0. Instruções'!$C$27:$G$32,4,FALSE)&amp;" AS CHAVE_IT1, "&amp;VLOOKUP(B566,'0. Instruções'!$C$27:$G$32,5,FALSE)&amp;" AS CHAVE_IT2, "&amp;C566&amp;" AS CAMPO_IT FROM "&amp;E566&amp;" WHERE "&amp;'0. Instruções'!$D$43&amp;")X")</f>
        <v>(SELECT prtctn_id AS CHAVE_IT, dt_prtctn_vl AS CAMPO_IT FROM CD_LOAN_TAPES_BCE.LT004_PROTECTION WHERE ref_date='${ref_date}' AND nome_perimetro='Individual Local' AND segmento='ESTR' AND ambito='PM' AND entidade='00100')X</v>
      </c>
      <c r="K566" s="32" t="str">
        <f>IF(VLOOKUP(B566,'0. Instruções'!$C$27:$G$32,5,FALSE)=0,
"(SELECT "&amp;VLOOKUP(B566,'0. Instruções'!$C$27:$G$32,4,FALSE)&amp;" AS CHAVE_SIMUL, "&amp;C566&amp;" AS CAMPO_SIMUL FROM "&amp;F566&amp;" WHERE "&amp;'0. Instruções'!$D$42&amp;")Y",
"(SELECT "&amp;VLOOKUP(B566,'0. Instruções'!$C$27:$G$32,4,FALSE)&amp;" AS CHAVE_SIMUL1, "&amp;VLOOKUP(B566,'0. Instruções'!$C$27:$G$32,5,FALSE)&amp;" AS CHAVE_SIMUL2, "&amp;C566&amp;" AS CAMPO_SIMUL FROM "&amp;F566&amp;" WHERE "&amp;'0. Instruções'!$D$42&amp;")Y")</f>
        <v>(SELECT prtctn_id AS CHAVE_SIMUL, dt_prtctn_vl AS CAMPO_SIMUL FROM BU_LOANTAPE_WORK.LT004_PROTECTION WHERE ref_date='${ref_date}' AND nome_perimetro='Individual Local' AND segmento='ESTR' AND ambito='PM' AND entidade='00100')Y</v>
      </c>
      <c r="L566" s="32" t="str">
        <f>IF(VLOOKUP(B566,'0. Instruções'!$C$27:$G$32,5,FALSE)=0,
"ON X.CHAVE_IT=Y.CHAVE_SIMUL",
"ON X.CHAVE_IT1=Y.CHAVE_SIMUL1 AND X.CHAVE_IT2=Y.CHAVE_SIMUL2")</f>
        <v>ON X.CHAVE_IT=Y.CHAVE_SIMUL</v>
      </c>
      <c r="M566" s="32" t="str">
        <f>+IF(D566="Coerência",+IF(LEFT(H566,5)="FLOAT","SELECT '"&amp;UPPER(B566)&amp;"' AS TABELA, '"&amp;UPPER(D566)&amp;"' AS TIPOLOGIA_TESTE,'"&amp;E566&amp;"' AS TABELA_LT,'"&amp;F566&amp;"' AS TABELA_SIMUL,'"&amp;C566&amp;"'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"&amp;J566&amp;" INNER JOIN "&amp;K566&amp;" "&amp;L566,"SELECT '"&amp;UPPER(B566)&amp;"' AS TABELA, '"&amp;UPPER(D566)&amp;"' AS TIPOLOGIA_TESTE,'"&amp;E566&amp;"' AS TABELA_LT,'"&amp;F566&amp;"' AS TABELA_SIMUL,'"&amp;C566&amp;"'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"&amp;J566&amp;" INNER JOIN "&amp;K566&amp;" "&amp;L566))</f>
        <v>SELECT 'PROTECTION' AS TABELA, 'COERÊNCIA' AS TIPOLOGIA_TESTE,'CD_LOAN_TAPES_BCE.LT004_PROTECTION' AS TABELA_LT,'BU_LOANTAPE_WORK.LT004_PROTECTION' AS TABELA_SIMUL,'dt_prtctn_vl'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dt_prtctn_vl AS CAMPO_IT FROM CD_LOAN_TAPES_BCE.LT004_PROTECTION WHERE ref_date='${ref_date}' AND nome_perimetro='Individual Local' AND segmento='ESTR' AND ambito='PM' AND entidade='00100')X INNER JOIN (SELECT prtctn_id AS CHAVE_SIMUL, dt_prtctn_vl AS CAMPO_SIMUL FROM BU_LOANTAPE_WORK.LT004_PROTECTION WHERE ref_date='${ref_date}' AND nome_perimetro='Individual Local' AND segmento='ESTR' AND ambito='PM' AND entidade='00100')Y ON X.CHAVE_IT=Y.CHAVE_SIMUL</v>
      </c>
      <c r="N566" s="33" t="str">
        <f t="shared" si="19"/>
        <v>UNION ALL SELECT 'PROTECTION' AS TABELA, 'COERÊNCIA' AS TIPOLOGIA_TESTE,'CD_LOAN_TAPES_BCE.LT004_PROTECTION' AS TABELA_LT,'BU_LOANTAPE_WORK.LT004_PROTECTION' AS TABELA_SIMUL,'dt_prtctn_vl'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dt_prtctn_vl AS CAMPO_IT FROM CD_LOAN_TAPES_BCE.LT004_PROTECTION WHERE ref_date='${ref_date}' AND nome_perimetro='Individual Local' AND segmento='ESTR' AND ambito='PM' AND entidade='00100')X INNER JOIN (SELECT prtctn_id AS CHAVE_SIMUL, dt_prtctn_vl AS CAMPO_SIMUL FROM BU_LOANTAPE_WORK.LT004_PROTECTION WHERE ref_date='${ref_date}' AND nome_perimetro='Individual Local' AND segmento='ESTR' AND ambito='PM' AND entidade='00100')Y ON X.CHAVE_IT=Y.CHAVE_SIMUL</v>
      </c>
      <c r="O566" s="35" t="s">
        <v>35</v>
      </c>
    </row>
    <row r="567" spans="1:15">
      <c r="A567" s="57" t="str">
        <f t="shared" si="18"/>
        <v>Protectionorgnl_prtctn_vl</v>
      </c>
      <c r="B567" s="32" t="s">
        <v>59</v>
      </c>
      <c r="C567" s="32" t="s">
        <v>166</v>
      </c>
      <c r="D567" s="32" t="s">
        <v>5</v>
      </c>
      <c r="E567" s="32" t="str">
        <f>+UPPER('0. Instruções'!$D$35&amp;"."&amp;VLOOKUP(B567,'0. Instruções'!$C$27:$D$32,2,FALSE))</f>
        <v>CD_LOAN_TAPES_BCE.LT004_PROTECTION</v>
      </c>
      <c r="F567" s="32" t="str">
        <f>+UPPER('0. Instruções'!$D$36&amp;"."&amp;VLOOKUP(B567,'0. Instruções'!$C$27:$E$32,3,FALSE))</f>
        <v>BU_LOANTAPE_WORK.LT004_PROTECTION</v>
      </c>
      <c r="H567" s="32"/>
      <c r="I567" s="32"/>
      <c r="J567" s="32" t="str">
        <f>IF(VLOOKUP(B567,'0. Instruções'!$C$27:$G$32,5,FALSE)=0,
"(SELECT "&amp;VLOOKUP(B567,'0. Instruções'!$C$27:$G$32,4,FALSE)&amp;" AS CHAVE_IT, "&amp;C567&amp;" AS CAMPO_IT FROM "&amp;E567&amp;" WHERE "&amp;'0. Instruções'!$D$43&amp;")X",
"(SELECT "&amp;VLOOKUP(B567,'0. Instruções'!$C$27:$G$32,4,FALSE)&amp;" AS CHAVE_IT1, "&amp;VLOOKUP(B567,'0. Instruções'!$C$27:$G$32,5,FALSE)&amp;" AS CHAVE_IT2, "&amp;C567&amp;" AS CAMPO_IT FROM "&amp;E567&amp;" WHERE "&amp;'0. Instruções'!$D$43&amp;")X")</f>
        <v>(SELECT prtctn_id AS CHAVE_IT, orgnl_prtctn_vl AS CAMPO_IT FROM CD_LOAN_TAPES_BCE.LT004_PROTECTION WHERE ref_date='${ref_date}' AND nome_perimetro='Individual Local' AND segmento='ESTR' AND ambito='PM' AND entidade='00100')X</v>
      </c>
      <c r="K567" s="32" t="str">
        <f>IF(VLOOKUP(B567,'0. Instruções'!$C$27:$G$32,5,FALSE)=0,
"(SELECT "&amp;VLOOKUP(B567,'0. Instruções'!$C$27:$G$32,4,FALSE)&amp;" AS CHAVE_SIMUL, "&amp;C567&amp;" AS CAMPO_SIMUL FROM "&amp;F567&amp;" WHERE "&amp;'0. Instruções'!$D$42&amp;")Y",
"(SELECT "&amp;VLOOKUP(B567,'0. Instruções'!$C$27:$G$32,4,FALSE)&amp;" AS CHAVE_SIMUL1, "&amp;VLOOKUP(B567,'0. Instruções'!$C$27:$G$32,5,FALSE)&amp;" AS CHAVE_SIMUL2, "&amp;C567&amp;" AS CAMPO_SIMUL FROM "&amp;F567&amp;" WHERE "&amp;'0. Instruções'!$D$42&amp;")Y")</f>
        <v>(SELECT prtctn_id AS CHAVE_SIMUL, orgnl_prtctn_vl AS CAMPO_SIMUL FROM BU_LOANTAPE_WORK.LT004_PROTECTION WHERE ref_date='${ref_date}' AND nome_perimetro='Individual Local' AND segmento='ESTR' AND ambito='PM' AND entidade='00100')Y</v>
      </c>
      <c r="L567" s="32" t="str">
        <f>IF(VLOOKUP(B567,'0. Instruções'!$C$27:$G$32,5,FALSE)=0,
"ON X.CHAVE_IT=Y.CHAVE_SIMUL",
"ON X.CHAVE_IT1=Y.CHAVE_SIMUL1 AND X.CHAVE_IT2=Y.CHAVE_SIMUL2")</f>
        <v>ON X.CHAVE_IT=Y.CHAVE_SIMUL</v>
      </c>
      <c r="M567" s="32" t="str">
        <f>+IF(D567="Coerência",+IF(LEFT(H567,5)="FLOAT","SELECT '"&amp;UPPER(B567)&amp;"' AS TABELA, '"&amp;UPPER(D567)&amp;"' AS TIPOLOGIA_TESTE,'"&amp;E567&amp;"' AS TABELA_LT,'"&amp;F567&amp;"' AS TABELA_SIMUL,'"&amp;C567&amp;"'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"&amp;J567&amp;" INNER JOIN "&amp;K567&amp;" "&amp;L567,"SELECT '"&amp;UPPER(B567)&amp;"' AS TABELA, '"&amp;UPPER(D567)&amp;"' AS TIPOLOGIA_TESTE,'"&amp;E567&amp;"' AS TABELA_LT,'"&amp;F567&amp;"' AS TABELA_SIMUL,'"&amp;C567&amp;"'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"&amp;J567&amp;" INNER JOIN "&amp;K567&amp;" "&amp;L567))</f>
        <v>SELECT 'PROTECTION' AS TABELA, 'COERÊNCIA' AS TIPOLOGIA_TESTE,'CD_LOAN_TAPES_BCE.LT004_PROTECTION' AS TABELA_LT,'BU_LOANTAPE_WORK.LT004_PROTECTION' AS TABELA_SIMUL,'orgnl_prtctn_vl'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orgnl_prtctn_vl AS CAMPO_IT FROM CD_LOAN_TAPES_BCE.LT004_PROTECTION WHERE ref_date='${ref_date}' AND nome_perimetro='Individual Local' AND segmento='ESTR' AND ambito='PM' AND entidade='00100')X INNER JOIN (SELECT prtctn_id AS CHAVE_SIMUL, orgnl_prtctn_vl AS CAMPO_SIMUL FROM BU_LOANTAPE_WORK.LT004_PROTECTION WHERE ref_date='${ref_date}' AND nome_perimetro='Individual Local' AND segmento='ESTR' AND ambito='PM' AND entidade='00100')Y ON X.CHAVE_IT=Y.CHAVE_SIMUL</v>
      </c>
      <c r="N567" s="33" t="str">
        <f t="shared" si="19"/>
        <v>UNION ALL SELECT 'PROTECTION' AS TABELA, 'COERÊNCIA' AS TIPOLOGIA_TESTE,'CD_LOAN_TAPES_BCE.LT004_PROTECTION' AS TABELA_LT,'BU_LOANTAPE_WORK.LT004_PROTECTION' AS TABELA_SIMUL,'orgnl_prtctn_vl'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orgnl_prtctn_vl AS CAMPO_IT FROM CD_LOAN_TAPES_BCE.LT004_PROTECTION WHERE ref_date='${ref_date}' AND nome_perimetro='Individual Local' AND segmento='ESTR' AND ambito='PM' AND entidade='00100')X INNER JOIN (SELECT prtctn_id AS CHAVE_SIMUL, orgnl_prtctn_vl AS CAMPO_SIMUL FROM BU_LOANTAPE_WORK.LT004_PROTECTION WHERE ref_date='${ref_date}' AND nome_perimetro='Individual Local' AND segmento='ESTR' AND ambito='PM' AND entidade='00100')Y ON X.CHAVE_IT=Y.CHAVE_SIMUL</v>
      </c>
      <c r="O567" s="35" t="s">
        <v>35</v>
      </c>
    </row>
    <row r="568" spans="1:15">
      <c r="A568" s="57" t="str">
        <f t="shared" si="18"/>
        <v>Protectionprtctn_frcd_sl_vl</v>
      </c>
      <c r="B568" s="32" t="s">
        <v>59</v>
      </c>
      <c r="C568" s="32" t="s">
        <v>627</v>
      </c>
      <c r="D568" s="32" t="s">
        <v>5</v>
      </c>
      <c r="E568" s="32" t="str">
        <f>+UPPER('0. Instruções'!$D$35&amp;"."&amp;VLOOKUP(B568,'0. Instruções'!$C$27:$D$32,2,FALSE))</f>
        <v>CD_LOAN_TAPES_BCE.LT004_PROTECTION</v>
      </c>
      <c r="F568" s="32" t="str">
        <f>+UPPER('0. Instruções'!$D$36&amp;"."&amp;VLOOKUP(B568,'0. Instruções'!$C$27:$E$32,3,FALSE))</f>
        <v>BU_LOANTAPE_WORK.LT004_PROTECTION</v>
      </c>
      <c r="H568" s="32"/>
      <c r="I568" s="32"/>
      <c r="J568" s="32" t="str">
        <f>IF(VLOOKUP(B568,'0. Instruções'!$C$27:$G$32,5,FALSE)=0,
"(SELECT "&amp;VLOOKUP(B568,'0. Instruções'!$C$27:$G$32,4,FALSE)&amp;" AS CHAVE_IT, "&amp;C568&amp;" AS CAMPO_IT FROM "&amp;E568&amp;" WHERE "&amp;'0. Instruções'!$D$43&amp;")X",
"(SELECT "&amp;VLOOKUP(B568,'0. Instruções'!$C$27:$G$32,4,FALSE)&amp;" AS CHAVE_IT1, "&amp;VLOOKUP(B568,'0. Instruções'!$C$27:$G$32,5,FALSE)&amp;" AS CHAVE_IT2, "&amp;C568&amp;" AS CAMPO_IT FROM "&amp;E568&amp;" WHERE "&amp;'0. Instruções'!$D$43&amp;")X")</f>
        <v>(SELECT prtctn_id AS CHAVE_IT, prtctn_frcd_sl_vl AS CAMPO_IT FROM CD_LOAN_TAPES_BCE.LT004_PROTECTION WHERE ref_date='${ref_date}' AND nome_perimetro='Individual Local' AND segmento='ESTR' AND ambito='PM' AND entidade='00100')X</v>
      </c>
      <c r="K568" s="32" t="str">
        <f>IF(VLOOKUP(B568,'0. Instruções'!$C$27:$G$32,5,FALSE)=0,
"(SELECT "&amp;VLOOKUP(B568,'0. Instruções'!$C$27:$G$32,4,FALSE)&amp;" AS CHAVE_SIMUL, "&amp;C568&amp;" AS CAMPO_SIMUL FROM "&amp;F568&amp;" WHERE "&amp;'0. Instruções'!$D$42&amp;")Y",
"(SELECT "&amp;VLOOKUP(B568,'0. Instruções'!$C$27:$G$32,4,FALSE)&amp;" AS CHAVE_SIMUL1, "&amp;VLOOKUP(B568,'0. Instruções'!$C$27:$G$32,5,FALSE)&amp;" AS CHAVE_SIMUL2, "&amp;C568&amp;" AS CAMPO_SIMUL FROM "&amp;F568&amp;" WHERE "&amp;'0. Instruções'!$D$42&amp;")Y")</f>
        <v>(SELECT prtctn_id AS CHAVE_SIMUL, prtctn_frcd_sl_vl AS CAMPO_SIMUL FROM BU_LOANTAPE_WORK.LT004_PROTECTION WHERE ref_date='${ref_date}' AND nome_perimetro='Individual Local' AND segmento='ESTR' AND ambito='PM' AND entidade='00100')Y</v>
      </c>
      <c r="L568" s="32" t="str">
        <f>IF(VLOOKUP(B568,'0. Instruções'!$C$27:$G$32,5,FALSE)=0,
"ON X.CHAVE_IT=Y.CHAVE_SIMUL",
"ON X.CHAVE_IT1=Y.CHAVE_SIMUL1 AND X.CHAVE_IT2=Y.CHAVE_SIMUL2")</f>
        <v>ON X.CHAVE_IT=Y.CHAVE_SIMUL</v>
      </c>
      <c r="M568" s="32" t="str">
        <f>+IF(D568="Coerência",+IF(LEFT(H568,5)="FLOAT","SELECT '"&amp;UPPER(B568)&amp;"' AS TABELA, '"&amp;UPPER(D568)&amp;"' AS TIPOLOGIA_TESTE,'"&amp;E568&amp;"' AS TABELA_LT,'"&amp;F568&amp;"' AS TABELA_SIMUL,'"&amp;C568&amp;"'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"&amp;J568&amp;" INNER JOIN "&amp;K568&amp;" "&amp;L568,"SELECT '"&amp;UPPER(B568)&amp;"' AS TABELA, '"&amp;UPPER(D568)&amp;"' AS TIPOLOGIA_TESTE,'"&amp;E568&amp;"' AS TABELA_LT,'"&amp;F568&amp;"' AS TABELA_SIMUL,'"&amp;C568&amp;"'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"&amp;J568&amp;" INNER JOIN "&amp;K568&amp;" "&amp;L568))</f>
        <v>SELECT 'PROTECTION' AS TABELA, 'COERÊNCIA' AS TIPOLOGIA_TESTE,'CD_LOAN_TAPES_BCE.LT004_PROTECTION' AS TABELA_LT,'BU_LOANTAPE_WORK.LT004_PROTECTION' AS TABELA_SIMUL,'prtctn_frcd_sl_vl'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prtctn_frcd_sl_vl AS CAMPO_IT FROM CD_LOAN_TAPES_BCE.LT004_PROTECTION WHERE ref_date='${ref_date}' AND nome_perimetro='Individual Local' AND segmento='ESTR' AND ambito='PM' AND entidade='00100')X INNER JOIN (SELECT prtctn_id AS CHAVE_SIMUL, prtctn_frcd_sl_vl AS CAMPO_SIMUL FROM BU_LOANTAPE_WORK.LT004_PROTECTION WHERE ref_date='${ref_date}' AND nome_perimetro='Individual Local' AND segmento='ESTR' AND ambito='PM' AND entidade='00100')Y ON X.CHAVE_IT=Y.CHAVE_SIMUL</v>
      </c>
      <c r="N568" s="33" t="str">
        <f t="shared" si="19"/>
        <v>UNION ALL SELECT 'PROTECTION' AS TABELA, 'COERÊNCIA' AS TIPOLOGIA_TESTE,'CD_LOAN_TAPES_BCE.LT004_PROTECTION' AS TABELA_LT,'BU_LOANTAPE_WORK.LT004_PROTECTION' AS TABELA_SIMUL,'prtctn_frcd_sl_vl'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prtctn_frcd_sl_vl AS CAMPO_IT FROM CD_LOAN_TAPES_BCE.LT004_PROTECTION WHERE ref_date='${ref_date}' AND nome_perimetro='Individual Local' AND segmento='ESTR' AND ambito='PM' AND entidade='00100')X INNER JOIN (SELECT prtctn_id AS CHAVE_SIMUL, prtctn_frcd_sl_vl AS CAMPO_SIMUL FROM BU_LOANTAPE_WORK.LT004_PROTECTION WHERE ref_date='${ref_date}' AND nome_perimetro='Individual Local' AND segmento='ESTR' AND ambito='PM' AND entidade='00100')Y ON X.CHAVE_IT=Y.CHAVE_SIMUL</v>
      </c>
      <c r="O568" s="35" t="s">
        <v>35</v>
      </c>
    </row>
    <row r="569" spans="1:15">
      <c r="A569" s="57" t="str">
        <f t="shared" si="18"/>
        <v>Protectionprtctn_vl</v>
      </c>
      <c r="B569" s="32" t="s">
        <v>59</v>
      </c>
      <c r="C569" s="32" t="s">
        <v>167</v>
      </c>
      <c r="D569" s="32" t="s">
        <v>5</v>
      </c>
      <c r="E569" s="32" t="str">
        <f>+UPPER('0. Instruções'!$D$35&amp;"."&amp;VLOOKUP(B569,'0. Instruções'!$C$27:$D$32,2,FALSE))</f>
        <v>CD_LOAN_TAPES_BCE.LT004_PROTECTION</v>
      </c>
      <c r="F569" s="32" t="str">
        <f>+UPPER('0. Instruções'!$D$36&amp;"."&amp;VLOOKUP(B569,'0. Instruções'!$C$27:$E$32,3,FALSE))</f>
        <v>BU_LOANTAPE_WORK.LT004_PROTECTION</v>
      </c>
      <c r="H569" s="32"/>
      <c r="I569" s="32"/>
      <c r="J569" s="32" t="str">
        <f>IF(VLOOKUP(B569,'0. Instruções'!$C$27:$G$32,5,FALSE)=0,
"(SELECT "&amp;VLOOKUP(B569,'0. Instruções'!$C$27:$G$32,4,FALSE)&amp;" AS CHAVE_IT, "&amp;C569&amp;" AS CAMPO_IT FROM "&amp;E569&amp;" WHERE "&amp;'0. Instruções'!$D$43&amp;")X",
"(SELECT "&amp;VLOOKUP(B569,'0. Instruções'!$C$27:$G$32,4,FALSE)&amp;" AS CHAVE_IT1, "&amp;VLOOKUP(B569,'0. Instruções'!$C$27:$G$32,5,FALSE)&amp;" AS CHAVE_IT2, "&amp;C569&amp;" AS CAMPO_IT FROM "&amp;E569&amp;" WHERE "&amp;'0. Instruções'!$D$43&amp;")X")</f>
        <v>(SELECT prtctn_id AS CHAVE_IT, prtctn_vl AS CAMPO_IT FROM CD_LOAN_TAPES_BCE.LT004_PROTECTION WHERE ref_date='${ref_date}' AND nome_perimetro='Individual Local' AND segmento='ESTR' AND ambito='PM' AND entidade='00100')X</v>
      </c>
      <c r="K569" s="32" t="str">
        <f>IF(VLOOKUP(B569,'0. Instruções'!$C$27:$G$32,5,FALSE)=0,
"(SELECT "&amp;VLOOKUP(B569,'0. Instruções'!$C$27:$G$32,4,FALSE)&amp;" AS CHAVE_SIMUL, "&amp;C569&amp;" AS CAMPO_SIMUL FROM "&amp;F569&amp;" WHERE "&amp;'0. Instruções'!$D$42&amp;")Y",
"(SELECT "&amp;VLOOKUP(B569,'0. Instruções'!$C$27:$G$32,4,FALSE)&amp;" AS CHAVE_SIMUL1, "&amp;VLOOKUP(B569,'0. Instruções'!$C$27:$G$32,5,FALSE)&amp;" AS CHAVE_SIMUL2, "&amp;C569&amp;" AS CAMPO_SIMUL FROM "&amp;F569&amp;" WHERE "&amp;'0. Instruções'!$D$42&amp;")Y")</f>
        <v>(SELECT prtctn_id AS CHAVE_SIMUL, prtctn_vl AS CAMPO_SIMUL FROM BU_LOANTAPE_WORK.LT004_PROTECTION WHERE ref_date='${ref_date}' AND nome_perimetro='Individual Local' AND segmento='ESTR' AND ambito='PM' AND entidade='00100')Y</v>
      </c>
      <c r="L569" s="32" t="str">
        <f>IF(VLOOKUP(B569,'0. Instruções'!$C$27:$G$32,5,FALSE)=0,
"ON X.CHAVE_IT=Y.CHAVE_SIMUL",
"ON X.CHAVE_IT1=Y.CHAVE_SIMUL1 AND X.CHAVE_IT2=Y.CHAVE_SIMUL2")</f>
        <v>ON X.CHAVE_IT=Y.CHAVE_SIMUL</v>
      </c>
      <c r="M569" s="32" t="str">
        <f>+IF(D569="Coerência",+IF(LEFT(H569,5)="FLOAT","SELECT '"&amp;UPPER(B569)&amp;"' AS TABELA, '"&amp;UPPER(D569)&amp;"' AS TIPOLOGIA_TESTE,'"&amp;E569&amp;"' AS TABELA_LT,'"&amp;F569&amp;"' AS TABELA_SIMUL,'"&amp;C569&amp;"'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"&amp;J569&amp;" INNER JOIN "&amp;K569&amp;" "&amp;L569,"SELECT '"&amp;UPPER(B569)&amp;"' AS TABELA, '"&amp;UPPER(D569)&amp;"' AS TIPOLOGIA_TESTE,'"&amp;E569&amp;"' AS TABELA_LT,'"&amp;F569&amp;"' AS TABELA_SIMUL,'"&amp;C569&amp;"'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"&amp;J569&amp;" INNER JOIN "&amp;K569&amp;" "&amp;L569))</f>
        <v>SELECT 'PROTECTION' AS TABELA, 'COERÊNCIA' AS TIPOLOGIA_TESTE,'CD_LOAN_TAPES_BCE.LT004_PROTECTION' AS TABELA_LT,'BU_LOANTAPE_WORK.LT004_PROTECTION' AS TABELA_SIMUL,'prtctn_vl'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 AS CAMPO_IT FROM CD_LOAN_TAPES_BCE.LT004_PROTECTION WHERE ref_date='${ref_date}' AND nome_perimetro='Individual Local' AND segmento='ESTR' AND ambito='PM' AND entidade='00100')X INNER JOIN (SELECT prtctn_id AS CHAVE_SIMUL, prtctn_vl AS CAMPO_SIMUL FROM BU_LOANTAPE_WORK.LT004_PROTECTION WHERE ref_date='${ref_date}' AND nome_perimetro='Individual Local' AND segmento='ESTR' AND ambito='PM' AND entidade='00100')Y ON X.CHAVE_IT=Y.CHAVE_SIMUL</v>
      </c>
      <c r="N569" s="33" t="str">
        <f t="shared" si="19"/>
        <v>UNION ALL SELECT 'PROTECTION' AS TABELA, 'COERÊNCIA' AS TIPOLOGIA_TESTE,'CD_LOAN_TAPES_BCE.LT004_PROTECTION' AS TABELA_LT,'BU_LOANTAPE_WORK.LT004_PROTECTION' AS TABELA_SIMUL,'prtctn_vl'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 AS CAMPO_IT FROM CD_LOAN_TAPES_BCE.LT004_PROTECTION WHERE ref_date='${ref_date}' AND nome_perimetro='Individual Local' AND segmento='ESTR' AND ambito='PM' AND entidade='00100')X INNER JOIN (SELECT prtctn_id AS CHAVE_SIMUL, prtctn_vl AS CAMPO_SIMUL FROM BU_LOANTAPE_WORK.LT004_PROTECTION WHERE ref_date='${ref_date}' AND nome_perimetro='Individual Local' AND segmento='ESTR' AND ambito='PM' AND entidade='00100')Y ON X.CHAVE_IT=Y.CHAVE_SIMUL</v>
      </c>
      <c r="O569" s="35" t="s">
        <v>35</v>
      </c>
    </row>
    <row r="570" spans="1:15">
      <c r="A570" s="57" t="str">
        <f t="shared" si="18"/>
        <v>Protectionprtctn_vl_npe</v>
      </c>
      <c r="B570" s="32" t="s">
        <v>59</v>
      </c>
      <c r="C570" s="32" t="s">
        <v>628</v>
      </c>
      <c r="D570" s="32" t="s">
        <v>5</v>
      </c>
      <c r="E570" s="32" t="str">
        <f>+UPPER('0. Instruções'!$D$35&amp;"."&amp;VLOOKUP(B570,'0. Instruções'!$C$27:$D$32,2,FALSE))</f>
        <v>CD_LOAN_TAPES_BCE.LT004_PROTECTION</v>
      </c>
      <c r="F570" s="32" t="str">
        <f>+UPPER('0. Instruções'!$D$36&amp;"."&amp;VLOOKUP(B570,'0. Instruções'!$C$27:$E$32,3,FALSE))</f>
        <v>BU_LOANTAPE_WORK.LT004_PROTECTION</v>
      </c>
      <c r="H570" s="32"/>
      <c r="I570" s="32"/>
      <c r="J570" s="32" t="str">
        <f>IF(VLOOKUP(B570,'0. Instruções'!$C$27:$G$32,5,FALSE)=0,
"(SELECT "&amp;VLOOKUP(B570,'0. Instruções'!$C$27:$G$32,4,FALSE)&amp;" AS CHAVE_IT, "&amp;C570&amp;" AS CAMPO_IT FROM "&amp;E570&amp;" WHERE "&amp;'0. Instruções'!$D$43&amp;")X",
"(SELECT "&amp;VLOOKUP(B570,'0. Instruções'!$C$27:$G$32,4,FALSE)&amp;" AS CHAVE_IT1, "&amp;VLOOKUP(B570,'0. Instruções'!$C$27:$G$32,5,FALSE)&amp;" AS CHAVE_IT2, "&amp;C570&amp;" AS CAMPO_IT FROM "&amp;E570&amp;" WHERE "&amp;'0. Instruções'!$D$43&amp;")X")</f>
        <v>(SELECT prtctn_id AS CHAVE_IT, prtctn_vl_npe AS CAMPO_IT FROM CD_LOAN_TAPES_BCE.LT004_PROTECTION WHERE ref_date='${ref_date}' AND nome_perimetro='Individual Local' AND segmento='ESTR' AND ambito='PM' AND entidade='00100')X</v>
      </c>
      <c r="K570" s="32" t="str">
        <f>IF(VLOOKUP(B570,'0. Instruções'!$C$27:$G$32,5,FALSE)=0,
"(SELECT "&amp;VLOOKUP(B570,'0. Instruções'!$C$27:$G$32,4,FALSE)&amp;" AS CHAVE_SIMUL, "&amp;C570&amp;" AS CAMPO_SIMUL FROM "&amp;F570&amp;" WHERE "&amp;'0. Instruções'!$D$42&amp;")Y",
"(SELECT "&amp;VLOOKUP(B570,'0. Instruções'!$C$27:$G$32,4,FALSE)&amp;" AS CHAVE_SIMUL1, "&amp;VLOOKUP(B570,'0. Instruções'!$C$27:$G$32,5,FALSE)&amp;" AS CHAVE_SIMUL2, "&amp;C570&amp;" AS CAMPO_SIMUL FROM "&amp;F570&amp;" WHERE "&amp;'0. Instruções'!$D$42&amp;")Y")</f>
        <v>(SELECT prtctn_id AS CHAVE_SIMUL, prtctn_vl_npe AS CAMPO_SIMUL FROM BU_LOANTAPE_WORK.LT004_PROTECTION WHERE ref_date='${ref_date}' AND nome_perimetro='Individual Local' AND segmento='ESTR' AND ambito='PM' AND entidade='00100')Y</v>
      </c>
      <c r="L570" s="32" t="str">
        <f>IF(VLOOKUP(B570,'0. Instruções'!$C$27:$G$32,5,FALSE)=0,
"ON X.CHAVE_IT=Y.CHAVE_SIMUL",
"ON X.CHAVE_IT1=Y.CHAVE_SIMUL1 AND X.CHAVE_IT2=Y.CHAVE_SIMUL2")</f>
        <v>ON X.CHAVE_IT=Y.CHAVE_SIMUL</v>
      </c>
      <c r="M570" s="32" t="str">
        <f>+IF(D570="Coerência",+IF(LEFT(H570,5)="FLOAT","SELECT '"&amp;UPPER(B570)&amp;"' AS TABELA, '"&amp;UPPER(D570)&amp;"' AS TIPOLOGIA_TESTE,'"&amp;E570&amp;"' AS TABELA_LT,'"&amp;F570&amp;"' AS TABELA_SIMUL,'"&amp;C570&amp;"'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"&amp;J570&amp;" INNER JOIN "&amp;K570&amp;" "&amp;L570,"SELECT '"&amp;UPPER(B570)&amp;"' AS TABELA, '"&amp;UPPER(D570)&amp;"' AS TIPOLOGIA_TESTE,'"&amp;E570&amp;"' AS TABELA_LT,'"&amp;F570&amp;"' AS TABELA_SIMUL,'"&amp;C570&amp;"'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"&amp;J570&amp;" INNER JOIN "&amp;K570&amp;" "&amp;L570))</f>
        <v>SELECT 'PROTECTION' AS TABELA, 'COERÊNCIA' AS TIPOLOGIA_TESTE,'CD_LOAN_TAPES_BCE.LT004_PROTECTION' AS TABELA_LT,'BU_LOANTAPE_WORK.LT004_PROTECTION' AS TABELA_SIMUL,'prtctn_vl_npe'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prtctn_vl_npe AS CAMPO_IT FROM CD_LOAN_TAPES_BCE.LT004_PROTECTION WHERE ref_date='${ref_date}' AND nome_perimetro='Individual Local' AND segmento='ESTR' AND ambito='PM' AND entidade='00100')X INNER JOIN (SELECT prtctn_id AS CHAVE_SIMUL, prtctn_vl_npe AS CAMPO_SIMUL FROM BU_LOANTAPE_WORK.LT004_PROTECTION WHERE ref_date='${ref_date}' AND nome_perimetro='Individual Local' AND segmento='ESTR' AND ambito='PM' AND entidade='00100')Y ON X.CHAVE_IT=Y.CHAVE_SIMUL</v>
      </c>
      <c r="N570" s="33" t="str">
        <f t="shared" si="19"/>
        <v>UNION ALL SELECT 'PROTECTION' AS TABELA, 'COERÊNCIA' AS TIPOLOGIA_TESTE,'CD_LOAN_TAPES_BCE.LT004_PROTECTION' AS TABELA_LT,'BU_LOANTAPE_WORK.LT004_PROTECTION' AS TABELA_SIMUL,'prtctn_vl_npe'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prtctn_vl_npe AS CAMPO_IT FROM CD_LOAN_TAPES_BCE.LT004_PROTECTION WHERE ref_date='${ref_date}' AND nome_perimetro='Individual Local' AND segmento='ESTR' AND ambito='PM' AND entidade='00100')X INNER JOIN (SELECT prtctn_id AS CHAVE_SIMUL, prtctn_vl_npe AS CAMPO_SIMUL FROM BU_LOANTAPE_WORK.LT004_PROTECTION WHERE ref_date='${ref_date}' AND nome_perimetro='Individual Local' AND segmento='ESTR' AND ambito='PM' AND entidade='00100')Y ON X.CHAVE_IT=Y.CHAVE_SIMUL</v>
      </c>
      <c r="O570" s="35" t="s">
        <v>35</v>
      </c>
    </row>
    <row r="571" spans="1:15">
      <c r="A571" s="57" t="str">
        <f t="shared" si="18"/>
        <v>Protectionprtctn_vltn_apprch</v>
      </c>
      <c r="B571" s="32" t="s">
        <v>59</v>
      </c>
      <c r="C571" s="32" t="s">
        <v>629</v>
      </c>
      <c r="D571" s="32" t="s">
        <v>5</v>
      </c>
      <c r="E571" s="32" t="str">
        <f>+UPPER('0. Instruções'!$D$35&amp;"."&amp;VLOOKUP(B571,'0. Instruções'!$C$27:$D$32,2,FALSE))</f>
        <v>CD_LOAN_TAPES_BCE.LT004_PROTECTION</v>
      </c>
      <c r="F571" s="32" t="str">
        <f>+UPPER('0. Instruções'!$D$36&amp;"."&amp;VLOOKUP(B571,'0. Instruções'!$C$27:$E$32,3,FALSE))</f>
        <v>BU_LOANTAPE_WORK.LT004_PROTECTION</v>
      </c>
      <c r="H571" s="32"/>
      <c r="I571" s="32"/>
      <c r="J571" s="32" t="str">
        <f>IF(VLOOKUP(B571,'0. Instruções'!$C$27:$G$32,5,FALSE)=0,
"(SELECT "&amp;VLOOKUP(B571,'0. Instruções'!$C$27:$G$32,4,FALSE)&amp;" AS CHAVE_IT, "&amp;C571&amp;" AS CAMPO_IT FROM "&amp;E571&amp;" WHERE "&amp;'0. Instruções'!$D$43&amp;")X",
"(SELECT "&amp;VLOOKUP(B571,'0. Instruções'!$C$27:$G$32,4,FALSE)&amp;" AS CHAVE_IT1, "&amp;VLOOKUP(B571,'0. Instruções'!$C$27:$G$32,5,FALSE)&amp;" AS CHAVE_IT2, "&amp;C571&amp;" AS CAMPO_IT FROM "&amp;E571&amp;" WHERE "&amp;'0. Instruções'!$D$43&amp;")X")</f>
        <v>(SELECT prtctn_id AS CHAVE_IT, prtctn_vltn_apprch AS CAMPO_IT FROM CD_LOAN_TAPES_BCE.LT004_PROTECTION WHERE ref_date='${ref_date}' AND nome_perimetro='Individual Local' AND segmento='ESTR' AND ambito='PM' AND entidade='00100')X</v>
      </c>
      <c r="K571" s="32" t="str">
        <f>IF(VLOOKUP(B571,'0. Instruções'!$C$27:$G$32,5,FALSE)=0,
"(SELECT "&amp;VLOOKUP(B571,'0. Instruções'!$C$27:$G$32,4,FALSE)&amp;" AS CHAVE_SIMUL, "&amp;C571&amp;" AS CAMPO_SIMUL FROM "&amp;F571&amp;" WHERE "&amp;'0. Instruções'!$D$42&amp;")Y",
"(SELECT "&amp;VLOOKUP(B571,'0. Instruções'!$C$27:$G$32,4,FALSE)&amp;" AS CHAVE_SIMUL1, "&amp;VLOOKUP(B571,'0. Instruções'!$C$27:$G$32,5,FALSE)&amp;" AS CHAVE_SIMUL2, "&amp;C571&amp;" AS CAMPO_SIMUL FROM "&amp;F571&amp;" WHERE "&amp;'0. Instruções'!$D$42&amp;")Y")</f>
        <v>(SELECT prtctn_id AS CHAVE_SIMUL, prtctn_vltn_apprch AS CAMPO_SIMUL FROM BU_LOANTAPE_WORK.LT004_PROTECTION WHERE ref_date='${ref_date}' AND nome_perimetro='Individual Local' AND segmento='ESTR' AND ambito='PM' AND entidade='00100')Y</v>
      </c>
      <c r="L571" s="32" t="str">
        <f>IF(VLOOKUP(B571,'0. Instruções'!$C$27:$G$32,5,FALSE)=0,
"ON X.CHAVE_IT=Y.CHAVE_SIMUL",
"ON X.CHAVE_IT1=Y.CHAVE_SIMUL1 AND X.CHAVE_IT2=Y.CHAVE_SIMUL2")</f>
        <v>ON X.CHAVE_IT=Y.CHAVE_SIMUL</v>
      </c>
      <c r="M571" s="32" t="str">
        <f>+IF(D571="Coerência",+IF(LEFT(H571,5)="FLOAT","SELECT '"&amp;UPPER(B571)&amp;"' AS TABELA, '"&amp;UPPER(D571)&amp;"' AS TIPOLOGIA_TESTE,'"&amp;E571&amp;"' AS TABELA_LT,'"&amp;F571&amp;"' AS TABELA_SIMUL,'"&amp;C571&amp;"'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"&amp;J571&amp;" INNER JOIN "&amp;K571&amp;" "&amp;L571,"SELECT '"&amp;UPPER(B571)&amp;"' AS TABELA, '"&amp;UPPER(D571)&amp;"' AS TIPOLOGIA_TESTE,'"&amp;E571&amp;"' AS TABELA_LT,'"&amp;F571&amp;"' AS TABELA_SIMUL,'"&amp;C571&amp;"'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"&amp;J571&amp;" INNER JOIN "&amp;K571&amp;" "&amp;L571))</f>
        <v>SELECT 'PROTECTION' AS TABELA, 'COERÊNCIA' AS TIPOLOGIA_TESTE,'CD_LOAN_TAPES_BCE.LT004_PROTECTION' AS TABELA_LT,'BU_LOANTAPE_WORK.LT004_PROTECTION' AS TABELA_SIMUL,'prtctn_vltn_apprch'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prtctn_vltn_apprch AS CAMPO_IT FROM CD_LOAN_TAPES_BCE.LT004_PROTECTION WHERE ref_date='${ref_date}' AND nome_perimetro='Individual Local' AND segmento='ESTR' AND ambito='PM' AND entidade='00100')X INNER JOIN (SELECT prtctn_id AS CHAVE_SIMUL, prtctn_vltn_apprch AS CAMPO_SIMUL FROM BU_LOANTAPE_WORK.LT004_PROTECTION WHERE ref_date='${ref_date}' AND nome_perimetro='Individual Local' AND segmento='ESTR' AND ambito='PM' AND entidade='00100')Y ON X.CHAVE_IT=Y.CHAVE_SIMUL</v>
      </c>
      <c r="N571" s="33" t="str">
        <f t="shared" si="19"/>
        <v>UNION ALL SELECT 'PROTECTION' AS TABELA, 'COERÊNCIA' AS TIPOLOGIA_TESTE,'CD_LOAN_TAPES_BCE.LT004_PROTECTION' AS TABELA_LT,'BU_LOANTAPE_WORK.LT004_PROTECTION' AS TABELA_SIMUL,'prtctn_vltn_apprch'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prtctn_vltn_apprch AS CAMPO_IT FROM CD_LOAN_TAPES_BCE.LT004_PROTECTION WHERE ref_date='${ref_date}' AND nome_perimetro='Individual Local' AND segmento='ESTR' AND ambito='PM' AND entidade='00100')X INNER JOIN (SELECT prtctn_id AS CHAVE_SIMUL, prtctn_vltn_apprch AS CAMPO_SIMUL FROM BU_LOANTAPE_WORK.LT004_PROTECTION WHERE ref_date='${ref_date}' AND nome_perimetro='Individual Local' AND segmento='ESTR' AND ambito='PM' AND entidade='00100')Y ON X.CHAVE_IT=Y.CHAVE_SIMUL</v>
      </c>
      <c r="O571" s="35" t="s">
        <v>35</v>
      </c>
    </row>
    <row r="572" spans="1:15">
      <c r="A572" s="57" t="str">
        <f t="shared" si="18"/>
        <v>Protectiondt_apprsl_prvs</v>
      </c>
      <c r="B572" s="32" t="s">
        <v>59</v>
      </c>
      <c r="C572" s="32" t="s">
        <v>630</v>
      </c>
      <c r="D572" s="32" t="s">
        <v>5</v>
      </c>
      <c r="E572" s="32" t="str">
        <f>+UPPER('0. Instruções'!$D$35&amp;"."&amp;VLOOKUP(B572,'0. Instruções'!$C$27:$D$32,2,FALSE))</f>
        <v>CD_LOAN_TAPES_BCE.LT004_PROTECTION</v>
      </c>
      <c r="F572" s="32" t="str">
        <f>+UPPER('0. Instruções'!$D$36&amp;"."&amp;VLOOKUP(B572,'0. Instruções'!$C$27:$E$32,3,FALSE))</f>
        <v>BU_LOANTAPE_WORK.LT004_PROTECTION</v>
      </c>
      <c r="H572" s="32"/>
      <c r="I572" s="32"/>
      <c r="J572" s="32" t="str">
        <f>IF(VLOOKUP(B572,'0. Instruções'!$C$27:$G$32,5,FALSE)=0,
"(SELECT "&amp;VLOOKUP(B572,'0. Instruções'!$C$27:$G$32,4,FALSE)&amp;" AS CHAVE_IT, "&amp;C572&amp;" AS CAMPO_IT FROM "&amp;E572&amp;" WHERE "&amp;'0. Instruções'!$D$43&amp;")X",
"(SELECT "&amp;VLOOKUP(B572,'0. Instruções'!$C$27:$G$32,4,FALSE)&amp;" AS CHAVE_IT1, "&amp;VLOOKUP(B572,'0. Instruções'!$C$27:$G$32,5,FALSE)&amp;" AS CHAVE_IT2, "&amp;C572&amp;" AS CAMPO_IT FROM "&amp;E572&amp;" WHERE "&amp;'0. Instruções'!$D$43&amp;")X")</f>
        <v>(SELECT prtctn_id AS CHAVE_IT, dt_apprsl_prvs AS CAMPO_IT FROM CD_LOAN_TAPES_BCE.LT004_PROTECTION WHERE ref_date='${ref_date}' AND nome_perimetro='Individual Local' AND segmento='ESTR' AND ambito='PM' AND entidade='00100')X</v>
      </c>
      <c r="K572" s="32" t="str">
        <f>IF(VLOOKUP(B572,'0. Instruções'!$C$27:$G$32,5,FALSE)=0,
"(SELECT "&amp;VLOOKUP(B572,'0. Instruções'!$C$27:$G$32,4,FALSE)&amp;" AS CHAVE_SIMUL, "&amp;C572&amp;" AS CAMPO_SIMUL FROM "&amp;F572&amp;" WHERE "&amp;'0. Instruções'!$D$42&amp;")Y",
"(SELECT "&amp;VLOOKUP(B572,'0. Instruções'!$C$27:$G$32,4,FALSE)&amp;" AS CHAVE_SIMUL1, "&amp;VLOOKUP(B572,'0. Instruções'!$C$27:$G$32,5,FALSE)&amp;" AS CHAVE_SIMUL2, "&amp;C572&amp;" AS CAMPO_SIMUL FROM "&amp;F572&amp;" WHERE "&amp;'0. Instruções'!$D$42&amp;")Y")</f>
        <v>(SELECT prtctn_id AS CHAVE_SIMUL, dt_apprsl_prvs AS CAMPO_SIMUL FROM BU_LOANTAPE_WORK.LT004_PROTECTION WHERE ref_date='${ref_date}' AND nome_perimetro='Individual Local' AND segmento='ESTR' AND ambito='PM' AND entidade='00100')Y</v>
      </c>
      <c r="L572" s="32" t="str">
        <f>IF(VLOOKUP(B572,'0. Instruções'!$C$27:$G$32,5,FALSE)=0,
"ON X.CHAVE_IT=Y.CHAVE_SIMUL",
"ON X.CHAVE_IT1=Y.CHAVE_SIMUL1 AND X.CHAVE_IT2=Y.CHAVE_SIMUL2")</f>
        <v>ON X.CHAVE_IT=Y.CHAVE_SIMUL</v>
      </c>
      <c r="M572" s="32" t="str">
        <f>+IF(D572="Coerência",+IF(LEFT(H572,5)="FLOAT","SELECT '"&amp;UPPER(B572)&amp;"' AS TABELA, '"&amp;UPPER(D572)&amp;"' AS TIPOLOGIA_TESTE,'"&amp;E572&amp;"' AS TABELA_LT,'"&amp;F572&amp;"' AS TABELA_SIMUL,'"&amp;C572&amp;"'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"&amp;J572&amp;" INNER JOIN "&amp;K572&amp;" "&amp;L572,"SELECT '"&amp;UPPER(B572)&amp;"' AS TABELA, '"&amp;UPPER(D572)&amp;"' AS TIPOLOGIA_TESTE,'"&amp;E572&amp;"' AS TABELA_LT,'"&amp;F572&amp;"' AS TABELA_SIMUL,'"&amp;C572&amp;"'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"&amp;J572&amp;" INNER JOIN "&amp;K572&amp;" "&amp;L572))</f>
        <v>SELECT 'PROTECTION' AS TABELA, 'COERÊNCIA' AS TIPOLOGIA_TESTE,'CD_LOAN_TAPES_BCE.LT004_PROTECTION' AS TABELA_LT,'BU_LOANTAPE_WORK.LT004_PROTECTION' AS TABELA_SIMUL,'dt_apprsl_prvs'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dt_apprsl_prvs AS CAMPO_IT FROM CD_LOAN_TAPES_BCE.LT004_PROTECTION WHERE ref_date='${ref_date}' AND nome_perimetro='Individual Local' AND segmento='ESTR' AND ambito='PM' AND entidade='00100')X INNER JOIN (SELECT prtctn_id AS CHAVE_SIMUL, dt_apprsl_prvs AS CAMPO_SIMUL FROM BU_LOANTAPE_WORK.LT004_PROTECTION WHERE ref_date='${ref_date}' AND nome_perimetro='Individual Local' AND segmento='ESTR' AND ambito='PM' AND entidade='00100')Y ON X.CHAVE_IT=Y.CHAVE_SIMUL</v>
      </c>
      <c r="N572" s="33" t="str">
        <f t="shared" si="19"/>
        <v>UNION ALL SELECT 'PROTECTION' AS TABELA, 'COERÊNCIA' AS TIPOLOGIA_TESTE,'CD_LOAN_TAPES_BCE.LT004_PROTECTION' AS TABELA_LT,'BU_LOANTAPE_WORK.LT004_PROTECTION' AS TABELA_SIMUL,'dt_apprsl_prvs'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dt_apprsl_prvs AS CAMPO_IT FROM CD_LOAN_TAPES_BCE.LT004_PROTECTION WHERE ref_date='${ref_date}' AND nome_perimetro='Individual Local' AND segmento='ESTR' AND ambito='PM' AND entidade='00100')X INNER JOIN (SELECT prtctn_id AS CHAVE_SIMUL, dt_apprsl_prvs AS CAMPO_SIMUL FROM BU_LOANTAPE_WORK.LT004_PROTECTION WHERE ref_date='${ref_date}' AND nome_perimetro='Individual Local' AND segmento='ESTR' AND ambito='PM' AND entidade='00100')Y ON X.CHAVE_IT=Y.CHAVE_SIMUL</v>
      </c>
      <c r="O572" s="35" t="s">
        <v>35</v>
      </c>
    </row>
    <row r="573" spans="1:15">
      <c r="A573" s="57" t="str">
        <f t="shared" si="18"/>
        <v>Protectionprtctn_vl_prvs</v>
      </c>
      <c r="B573" s="32" t="s">
        <v>59</v>
      </c>
      <c r="C573" s="32" t="s">
        <v>631</v>
      </c>
      <c r="D573" s="32" t="s">
        <v>5</v>
      </c>
      <c r="E573" s="32" t="str">
        <f>+UPPER('0. Instruções'!$D$35&amp;"."&amp;VLOOKUP(B573,'0. Instruções'!$C$27:$D$32,2,FALSE))</f>
        <v>CD_LOAN_TAPES_BCE.LT004_PROTECTION</v>
      </c>
      <c r="F573" s="32" t="str">
        <f>+UPPER('0. Instruções'!$D$36&amp;"."&amp;VLOOKUP(B573,'0. Instruções'!$C$27:$E$32,3,FALSE))</f>
        <v>BU_LOANTAPE_WORK.LT004_PROTECTION</v>
      </c>
      <c r="H573" s="32"/>
      <c r="I573" s="32"/>
      <c r="J573" s="32" t="str">
        <f>IF(VLOOKUP(B573,'0. Instruções'!$C$27:$G$32,5,FALSE)=0,
"(SELECT "&amp;VLOOKUP(B573,'0. Instruções'!$C$27:$G$32,4,FALSE)&amp;" AS CHAVE_IT, "&amp;C573&amp;" AS CAMPO_IT FROM "&amp;E573&amp;" WHERE "&amp;'0. Instruções'!$D$43&amp;")X",
"(SELECT "&amp;VLOOKUP(B573,'0. Instruções'!$C$27:$G$32,4,FALSE)&amp;" AS CHAVE_IT1, "&amp;VLOOKUP(B573,'0. Instruções'!$C$27:$G$32,5,FALSE)&amp;" AS CHAVE_IT2, "&amp;C573&amp;" AS CAMPO_IT FROM "&amp;E573&amp;" WHERE "&amp;'0. Instruções'!$D$43&amp;")X")</f>
        <v>(SELECT prtctn_id AS CHAVE_IT, prtctn_vl_prvs AS CAMPO_IT FROM CD_LOAN_TAPES_BCE.LT004_PROTECTION WHERE ref_date='${ref_date}' AND nome_perimetro='Individual Local' AND segmento='ESTR' AND ambito='PM' AND entidade='00100')X</v>
      </c>
      <c r="K573" s="32" t="str">
        <f>IF(VLOOKUP(B573,'0. Instruções'!$C$27:$G$32,5,FALSE)=0,
"(SELECT "&amp;VLOOKUP(B573,'0. Instruções'!$C$27:$G$32,4,FALSE)&amp;" AS CHAVE_SIMUL, "&amp;C573&amp;" AS CAMPO_SIMUL FROM "&amp;F573&amp;" WHERE "&amp;'0. Instruções'!$D$42&amp;")Y",
"(SELECT "&amp;VLOOKUP(B573,'0. Instruções'!$C$27:$G$32,4,FALSE)&amp;" AS CHAVE_SIMUL1, "&amp;VLOOKUP(B573,'0. Instruções'!$C$27:$G$32,5,FALSE)&amp;" AS CHAVE_SIMUL2, "&amp;C573&amp;" AS CAMPO_SIMUL FROM "&amp;F573&amp;" WHERE "&amp;'0. Instruções'!$D$42&amp;")Y")</f>
        <v>(SELECT prtctn_id AS CHAVE_SIMUL, prtctn_vl_prvs AS CAMPO_SIMUL FROM BU_LOANTAPE_WORK.LT004_PROTECTION WHERE ref_date='${ref_date}' AND nome_perimetro='Individual Local' AND segmento='ESTR' AND ambito='PM' AND entidade='00100')Y</v>
      </c>
      <c r="L573" s="32" t="str">
        <f>IF(VLOOKUP(B573,'0. Instruções'!$C$27:$G$32,5,FALSE)=0,
"ON X.CHAVE_IT=Y.CHAVE_SIMUL",
"ON X.CHAVE_IT1=Y.CHAVE_SIMUL1 AND X.CHAVE_IT2=Y.CHAVE_SIMUL2")</f>
        <v>ON X.CHAVE_IT=Y.CHAVE_SIMUL</v>
      </c>
      <c r="M573" s="32" t="str">
        <f>+IF(D573="Coerência",+IF(LEFT(H573,5)="FLOAT","SELECT '"&amp;UPPER(B573)&amp;"' AS TABELA, '"&amp;UPPER(D573)&amp;"' AS TIPOLOGIA_TESTE,'"&amp;E573&amp;"' AS TABELA_LT,'"&amp;F573&amp;"' AS TABELA_SIMUL,'"&amp;C573&amp;"'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"&amp;J573&amp;" INNER JOIN "&amp;K573&amp;" "&amp;L573,"SELECT '"&amp;UPPER(B573)&amp;"' AS TABELA, '"&amp;UPPER(D573)&amp;"' AS TIPOLOGIA_TESTE,'"&amp;E573&amp;"' AS TABELA_LT,'"&amp;F573&amp;"' AS TABELA_SIMUL,'"&amp;C573&amp;"'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"&amp;J573&amp;" INNER JOIN "&amp;K573&amp;" "&amp;L573))</f>
        <v>SELECT 'PROTECTION' AS TABELA, 'COERÊNCIA' AS TIPOLOGIA_TESTE,'CD_LOAN_TAPES_BCE.LT004_PROTECTION' AS TABELA_LT,'BU_LOANTAPE_WORK.LT004_PROTECTION' AS TABELA_SIMUL,'prtctn_vl_prvs'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prtctn_vl_prvs AS CAMPO_IT FROM CD_LOAN_TAPES_BCE.LT004_PROTECTION WHERE ref_date='${ref_date}' AND nome_perimetro='Individual Local' AND segmento='ESTR' AND ambito='PM' AND entidade='00100')X INNER JOIN (SELECT prtctn_id AS CHAVE_SIMUL, prtctn_vl_prvs AS CAMPO_SIMUL FROM BU_LOANTAPE_WORK.LT004_PROTECTION WHERE ref_date='${ref_date}' AND nome_perimetro='Individual Local' AND segmento='ESTR' AND ambito='PM' AND entidade='00100')Y ON X.CHAVE_IT=Y.CHAVE_SIMUL</v>
      </c>
      <c r="N573" s="33" t="str">
        <f t="shared" si="19"/>
        <v>UNION ALL SELECT 'PROTECTION' AS TABELA, 'COERÊNCIA' AS TIPOLOGIA_TESTE,'CD_LOAN_TAPES_BCE.LT004_PROTECTION' AS TABELA_LT,'BU_LOANTAPE_WORK.LT004_PROTECTION' AS TABELA_SIMUL,'prtctn_vl_prvs'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prtctn_vl_prvs AS CAMPO_IT FROM CD_LOAN_TAPES_BCE.LT004_PROTECTION WHERE ref_date='${ref_date}' AND nome_perimetro='Individual Local' AND segmento='ESTR' AND ambito='PM' AND entidade='00100')X INNER JOIN (SELECT prtctn_id AS CHAVE_SIMUL, prtctn_vl_prvs AS CAMPO_SIMUL FROM BU_LOANTAPE_WORK.LT004_PROTECTION WHERE ref_date='${ref_date}' AND nome_perimetro='Individual Local' AND segmento='ESTR' AND ambito='PM' AND entidade='00100')Y ON X.CHAVE_IT=Y.CHAVE_SIMUL</v>
      </c>
      <c r="O573" s="35" t="s">
        <v>35</v>
      </c>
    </row>
    <row r="574" spans="1:15">
      <c r="A574" s="57" t="str">
        <f t="shared" si="18"/>
        <v>Protectioncnstrctn_stts</v>
      </c>
      <c r="B574" s="32" t="s">
        <v>59</v>
      </c>
      <c r="C574" s="32" t="s">
        <v>632</v>
      </c>
      <c r="D574" s="32" t="s">
        <v>5</v>
      </c>
      <c r="E574" s="32" t="str">
        <f>+UPPER('0. Instruções'!$D$35&amp;"."&amp;VLOOKUP(B574,'0. Instruções'!$C$27:$D$32,2,FALSE))</f>
        <v>CD_LOAN_TAPES_BCE.LT004_PROTECTION</v>
      </c>
      <c r="F574" s="32" t="str">
        <f>+UPPER('0. Instruções'!$D$36&amp;"."&amp;VLOOKUP(B574,'0. Instruções'!$C$27:$E$32,3,FALSE))</f>
        <v>BU_LOANTAPE_WORK.LT004_PROTECTION</v>
      </c>
      <c r="H574" s="32"/>
      <c r="I574" s="32"/>
      <c r="J574" s="32" t="str">
        <f>IF(VLOOKUP(B574,'0. Instruções'!$C$27:$G$32,5,FALSE)=0,
"(SELECT "&amp;VLOOKUP(B574,'0. Instruções'!$C$27:$G$32,4,FALSE)&amp;" AS CHAVE_IT, "&amp;C574&amp;" AS CAMPO_IT FROM "&amp;E574&amp;" WHERE "&amp;'0. Instruções'!$D$43&amp;")X",
"(SELECT "&amp;VLOOKUP(B574,'0. Instruções'!$C$27:$G$32,4,FALSE)&amp;" AS CHAVE_IT1, "&amp;VLOOKUP(B574,'0. Instruções'!$C$27:$G$32,5,FALSE)&amp;" AS CHAVE_IT2, "&amp;C574&amp;" AS CAMPO_IT FROM "&amp;E574&amp;" WHERE "&amp;'0. Instruções'!$D$43&amp;")X")</f>
        <v>(SELECT prtctn_id AS CHAVE_IT, cnstrctn_stts AS CAMPO_IT FROM CD_LOAN_TAPES_BCE.LT004_PROTECTION WHERE ref_date='${ref_date}' AND nome_perimetro='Individual Local' AND segmento='ESTR' AND ambito='PM' AND entidade='00100')X</v>
      </c>
      <c r="K574" s="32" t="str">
        <f>IF(VLOOKUP(B574,'0. Instruções'!$C$27:$G$32,5,FALSE)=0,
"(SELECT "&amp;VLOOKUP(B574,'0. Instruções'!$C$27:$G$32,4,FALSE)&amp;" AS CHAVE_SIMUL, "&amp;C574&amp;" AS CAMPO_SIMUL FROM "&amp;F574&amp;" WHERE "&amp;'0. Instruções'!$D$42&amp;")Y",
"(SELECT "&amp;VLOOKUP(B574,'0. Instruções'!$C$27:$G$32,4,FALSE)&amp;" AS CHAVE_SIMUL1, "&amp;VLOOKUP(B574,'0. Instruções'!$C$27:$G$32,5,FALSE)&amp;" AS CHAVE_SIMUL2, "&amp;C574&amp;" AS CAMPO_SIMUL FROM "&amp;F574&amp;" WHERE "&amp;'0. Instruções'!$D$42&amp;")Y")</f>
        <v>(SELECT prtctn_id AS CHAVE_SIMUL, cnstrctn_stts AS CAMPO_SIMUL FROM BU_LOANTAPE_WORK.LT004_PROTECTION WHERE ref_date='${ref_date}' AND nome_perimetro='Individual Local' AND segmento='ESTR' AND ambito='PM' AND entidade='00100')Y</v>
      </c>
      <c r="L574" s="32" t="str">
        <f>IF(VLOOKUP(B574,'0. Instruções'!$C$27:$G$32,5,FALSE)=0,
"ON X.CHAVE_IT=Y.CHAVE_SIMUL",
"ON X.CHAVE_IT1=Y.CHAVE_SIMUL1 AND X.CHAVE_IT2=Y.CHAVE_SIMUL2")</f>
        <v>ON X.CHAVE_IT=Y.CHAVE_SIMUL</v>
      </c>
      <c r="M574" s="32" t="str">
        <f>+IF(D574="Coerência",+IF(LEFT(H574,5)="FLOAT","SELECT '"&amp;UPPER(B574)&amp;"' AS TABELA, '"&amp;UPPER(D574)&amp;"' AS TIPOLOGIA_TESTE,'"&amp;E574&amp;"' AS TABELA_LT,'"&amp;F574&amp;"' AS TABELA_SIMUL,'"&amp;C574&amp;"'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"&amp;J574&amp;" INNER JOIN "&amp;K574&amp;" "&amp;L574,"SELECT '"&amp;UPPER(B574)&amp;"' AS TABELA, '"&amp;UPPER(D574)&amp;"' AS TIPOLOGIA_TESTE,'"&amp;E574&amp;"' AS TABELA_LT,'"&amp;F574&amp;"' AS TABELA_SIMUL,'"&amp;C574&amp;"'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"&amp;J574&amp;" INNER JOIN "&amp;K574&amp;" "&amp;L574))</f>
        <v>SELECT 'PROTECTION' AS TABELA, 'COERÊNCIA' AS TIPOLOGIA_TESTE,'CD_LOAN_TAPES_BCE.LT004_PROTECTION' AS TABELA_LT,'BU_LOANTAPE_WORK.LT004_PROTECTION' AS TABELA_SIMUL,'cnstrctn_stts'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cnstrctn_stts AS CAMPO_IT FROM CD_LOAN_TAPES_BCE.LT004_PROTECTION WHERE ref_date='${ref_date}' AND nome_perimetro='Individual Local' AND segmento='ESTR' AND ambito='PM' AND entidade='00100')X INNER JOIN (SELECT prtctn_id AS CHAVE_SIMUL, cnstrctn_stts AS CAMPO_SIMUL FROM BU_LOANTAPE_WORK.LT004_PROTECTION WHERE ref_date='${ref_date}' AND nome_perimetro='Individual Local' AND segmento='ESTR' AND ambito='PM' AND entidade='00100')Y ON X.CHAVE_IT=Y.CHAVE_SIMUL</v>
      </c>
      <c r="N574" s="33" t="str">
        <f t="shared" si="19"/>
        <v>UNION ALL SELECT 'PROTECTION' AS TABELA, 'COERÊNCIA' AS TIPOLOGIA_TESTE,'CD_LOAN_TAPES_BCE.LT004_PROTECTION' AS TABELA_LT,'BU_LOANTAPE_WORK.LT004_PROTECTION' AS TABELA_SIMUL,'cnstrctn_stts'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cnstrctn_stts AS CAMPO_IT FROM CD_LOAN_TAPES_BCE.LT004_PROTECTION WHERE ref_date='${ref_date}' AND nome_perimetro='Individual Local' AND segmento='ESTR' AND ambito='PM' AND entidade='00100')X INNER JOIN (SELECT prtctn_id AS CHAVE_SIMUL, cnstrctn_stts AS CAMPO_SIMUL FROM BU_LOANTAPE_WORK.LT004_PROTECTION WHERE ref_date='${ref_date}' AND nome_perimetro='Individual Local' AND segmento='ESTR' AND ambito='PM' AND entidade='00100')Y ON X.CHAVE_IT=Y.CHAVE_SIMUL</v>
      </c>
      <c r="O574" s="35" t="s">
        <v>35</v>
      </c>
    </row>
    <row r="575" spans="1:15">
      <c r="A575" s="57" t="str">
        <f t="shared" si="18"/>
        <v>Protectiondt_cnstrctn_stts</v>
      </c>
      <c r="B575" s="32" t="s">
        <v>59</v>
      </c>
      <c r="C575" s="32" t="s">
        <v>633</v>
      </c>
      <c r="D575" s="32" t="s">
        <v>5</v>
      </c>
      <c r="E575" s="32" t="str">
        <f>+UPPER('0. Instruções'!$D$35&amp;"."&amp;VLOOKUP(B575,'0. Instruções'!$C$27:$D$32,2,FALSE))</f>
        <v>CD_LOAN_TAPES_BCE.LT004_PROTECTION</v>
      </c>
      <c r="F575" s="32" t="str">
        <f>+UPPER('0. Instruções'!$D$36&amp;"."&amp;VLOOKUP(B575,'0. Instruções'!$C$27:$E$32,3,FALSE))</f>
        <v>BU_LOANTAPE_WORK.LT004_PROTECTION</v>
      </c>
      <c r="H575" s="32"/>
      <c r="I575" s="32"/>
      <c r="J575" s="32" t="str">
        <f>IF(VLOOKUP(B575,'0. Instruções'!$C$27:$G$32,5,FALSE)=0,
"(SELECT "&amp;VLOOKUP(B575,'0. Instruções'!$C$27:$G$32,4,FALSE)&amp;" AS CHAVE_IT, "&amp;C575&amp;" AS CAMPO_IT FROM "&amp;E575&amp;" WHERE "&amp;'0. Instruções'!$D$43&amp;")X",
"(SELECT "&amp;VLOOKUP(B575,'0. Instruções'!$C$27:$G$32,4,FALSE)&amp;" AS CHAVE_IT1, "&amp;VLOOKUP(B575,'0. Instruções'!$C$27:$G$32,5,FALSE)&amp;" AS CHAVE_IT2, "&amp;C575&amp;" AS CAMPO_IT FROM "&amp;E575&amp;" WHERE "&amp;'0. Instruções'!$D$43&amp;")X")</f>
        <v>(SELECT prtctn_id AS CHAVE_IT, dt_cnstrctn_stts AS CAMPO_IT FROM CD_LOAN_TAPES_BCE.LT004_PROTECTION WHERE ref_date='${ref_date}' AND nome_perimetro='Individual Local' AND segmento='ESTR' AND ambito='PM' AND entidade='00100')X</v>
      </c>
      <c r="K575" s="32" t="str">
        <f>IF(VLOOKUP(B575,'0. Instruções'!$C$27:$G$32,5,FALSE)=0,
"(SELECT "&amp;VLOOKUP(B575,'0. Instruções'!$C$27:$G$32,4,FALSE)&amp;" AS CHAVE_SIMUL, "&amp;C575&amp;" AS CAMPO_SIMUL FROM "&amp;F575&amp;" WHERE "&amp;'0. Instruções'!$D$42&amp;")Y",
"(SELECT "&amp;VLOOKUP(B575,'0. Instruções'!$C$27:$G$32,4,FALSE)&amp;" AS CHAVE_SIMUL1, "&amp;VLOOKUP(B575,'0. Instruções'!$C$27:$G$32,5,FALSE)&amp;" AS CHAVE_SIMUL2, "&amp;C575&amp;" AS CAMPO_SIMUL FROM "&amp;F575&amp;" WHERE "&amp;'0. Instruções'!$D$42&amp;")Y")</f>
        <v>(SELECT prtctn_id AS CHAVE_SIMUL, dt_cnstrctn_stts AS CAMPO_SIMUL FROM BU_LOANTAPE_WORK.LT004_PROTECTION WHERE ref_date='${ref_date}' AND nome_perimetro='Individual Local' AND segmento='ESTR' AND ambito='PM' AND entidade='00100')Y</v>
      </c>
      <c r="L575" s="32" t="str">
        <f>IF(VLOOKUP(B575,'0. Instruções'!$C$27:$G$32,5,FALSE)=0,
"ON X.CHAVE_IT=Y.CHAVE_SIMUL",
"ON X.CHAVE_IT1=Y.CHAVE_SIMUL1 AND X.CHAVE_IT2=Y.CHAVE_SIMUL2")</f>
        <v>ON X.CHAVE_IT=Y.CHAVE_SIMUL</v>
      </c>
      <c r="M575" s="32" t="str">
        <f>+IF(D575="Coerência",+IF(LEFT(H575,5)="FLOAT","SELECT '"&amp;UPPER(B575)&amp;"' AS TABELA, '"&amp;UPPER(D575)&amp;"' AS TIPOLOGIA_TESTE,'"&amp;E575&amp;"' AS TABELA_LT,'"&amp;F575&amp;"' AS TABELA_SIMUL,'"&amp;C575&amp;"'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"&amp;J575&amp;" INNER JOIN "&amp;K575&amp;" "&amp;L575,"SELECT '"&amp;UPPER(B575)&amp;"' AS TABELA, '"&amp;UPPER(D575)&amp;"' AS TIPOLOGIA_TESTE,'"&amp;E575&amp;"' AS TABELA_LT,'"&amp;F575&amp;"' AS TABELA_SIMUL,'"&amp;C575&amp;"'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"&amp;J575&amp;" INNER JOIN "&amp;K575&amp;" "&amp;L575))</f>
        <v>SELECT 'PROTECTION' AS TABELA, 'COERÊNCIA' AS TIPOLOGIA_TESTE,'CD_LOAN_TAPES_BCE.LT004_PROTECTION' AS TABELA_LT,'BU_LOANTAPE_WORK.LT004_PROTECTION' AS TABELA_SIMUL,'dt_cnstrctn_stts'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dt_cnstrctn_stts AS CAMPO_IT FROM CD_LOAN_TAPES_BCE.LT004_PROTECTION WHERE ref_date='${ref_date}' AND nome_perimetro='Individual Local' AND segmento='ESTR' AND ambito='PM' AND entidade='00100')X INNER JOIN (SELECT prtctn_id AS CHAVE_SIMUL, dt_cnstrctn_stts AS CAMPO_SIMUL FROM BU_LOANTAPE_WORK.LT004_PROTECTION WHERE ref_date='${ref_date}' AND nome_perimetro='Individual Local' AND segmento='ESTR' AND ambito='PM' AND entidade='00100')Y ON X.CHAVE_IT=Y.CHAVE_SIMUL</v>
      </c>
      <c r="N575" s="33" t="str">
        <f t="shared" si="19"/>
        <v>UNION ALL SELECT 'PROTECTION' AS TABELA, 'COERÊNCIA' AS TIPOLOGIA_TESTE,'CD_LOAN_TAPES_BCE.LT004_PROTECTION' AS TABELA_LT,'BU_LOANTAPE_WORK.LT004_PROTECTION' AS TABELA_SIMUL,'dt_cnstrctn_stts'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dt_cnstrctn_stts AS CAMPO_IT FROM CD_LOAN_TAPES_BCE.LT004_PROTECTION WHERE ref_date='${ref_date}' AND nome_perimetro='Individual Local' AND segmento='ESTR' AND ambito='PM' AND entidade='00100')X INNER JOIN (SELECT prtctn_id AS CHAVE_SIMUL, dt_cnstrctn_stts AS CAMPO_SIMUL FROM BU_LOANTAPE_WORK.LT004_PROTECTION WHERE ref_date='${ref_date}' AND nome_perimetro='Individual Local' AND segmento='ESTR' AND ambito='PM' AND entidade='00100')Y ON X.CHAVE_IT=Y.CHAVE_SIMUL</v>
      </c>
      <c r="O575" s="35" t="s">
        <v>35</v>
      </c>
    </row>
    <row r="576" spans="1:15">
      <c r="A576" s="57" t="str">
        <f t="shared" si="18"/>
        <v>Protectiondt_frst_usg</v>
      </c>
      <c r="B576" s="32" t="s">
        <v>59</v>
      </c>
      <c r="C576" s="32" t="s">
        <v>634</v>
      </c>
      <c r="D576" s="32" t="s">
        <v>5</v>
      </c>
      <c r="E576" s="32" t="str">
        <f>+UPPER('0. Instruções'!$D$35&amp;"."&amp;VLOOKUP(B576,'0. Instruções'!$C$27:$D$32,2,FALSE))</f>
        <v>CD_LOAN_TAPES_BCE.LT004_PROTECTION</v>
      </c>
      <c r="F576" s="32" t="str">
        <f>+UPPER('0. Instruções'!$D$36&amp;"."&amp;VLOOKUP(B576,'0. Instruções'!$C$27:$E$32,3,FALSE))</f>
        <v>BU_LOANTAPE_WORK.LT004_PROTECTION</v>
      </c>
      <c r="H576" s="32"/>
      <c r="I576" s="32"/>
      <c r="J576" s="32" t="str">
        <f>IF(VLOOKUP(B576,'0. Instruções'!$C$27:$G$32,5,FALSE)=0,
"(SELECT "&amp;VLOOKUP(B576,'0. Instruções'!$C$27:$G$32,4,FALSE)&amp;" AS CHAVE_IT, "&amp;C576&amp;" AS CAMPO_IT FROM "&amp;E576&amp;" WHERE "&amp;'0. Instruções'!$D$43&amp;")X",
"(SELECT "&amp;VLOOKUP(B576,'0. Instruções'!$C$27:$G$32,4,FALSE)&amp;" AS CHAVE_IT1, "&amp;VLOOKUP(B576,'0. Instruções'!$C$27:$G$32,5,FALSE)&amp;" AS CHAVE_IT2, "&amp;C576&amp;" AS CAMPO_IT FROM "&amp;E576&amp;" WHERE "&amp;'0. Instruções'!$D$43&amp;")X")</f>
        <v>(SELECT prtctn_id AS CHAVE_IT, dt_frst_usg AS CAMPO_IT FROM CD_LOAN_TAPES_BCE.LT004_PROTECTION WHERE ref_date='${ref_date}' AND nome_perimetro='Individual Local' AND segmento='ESTR' AND ambito='PM' AND entidade='00100')X</v>
      </c>
      <c r="K576" s="32" t="str">
        <f>IF(VLOOKUP(B576,'0. Instruções'!$C$27:$G$32,5,FALSE)=0,
"(SELECT "&amp;VLOOKUP(B576,'0. Instruções'!$C$27:$G$32,4,FALSE)&amp;" AS CHAVE_SIMUL, "&amp;C576&amp;" AS CAMPO_SIMUL FROM "&amp;F576&amp;" WHERE "&amp;'0. Instruções'!$D$42&amp;")Y",
"(SELECT "&amp;VLOOKUP(B576,'0. Instruções'!$C$27:$G$32,4,FALSE)&amp;" AS CHAVE_SIMUL1, "&amp;VLOOKUP(B576,'0. Instruções'!$C$27:$G$32,5,FALSE)&amp;" AS CHAVE_SIMUL2, "&amp;C576&amp;" AS CAMPO_SIMUL FROM "&amp;F576&amp;" WHERE "&amp;'0. Instruções'!$D$42&amp;")Y")</f>
        <v>(SELECT prtctn_id AS CHAVE_SIMUL, dt_frst_usg AS CAMPO_SIMUL FROM BU_LOANTAPE_WORK.LT004_PROTECTION WHERE ref_date='${ref_date}' AND nome_perimetro='Individual Local' AND segmento='ESTR' AND ambito='PM' AND entidade='00100')Y</v>
      </c>
      <c r="L576" s="32" t="str">
        <f>IF(VLOOKUP(B576,'0. Instruções'!$C$27:$G$32,5,FALSE)=0,
"ON X.CHAVE_IT=Y.CHAVE_SIMUL",
"ON X.CHAVE_IT1=Y.CHAVE_SIMUL1 AND X.CHAVE_IT2=Y.CHAVE_SIMUL2")</f>
        <v>ON X.CHAVE_IT=Y.CHAVE_SIMUL</v>
      </c>
      <c r="M576" s="32" t="str">
        <f>+IF(D576="Coerência",+IF(LEFT(H576,5)="FLOAT","SELECT '"&amp;UPPER(B576)&amp;"' AS TABELA, '"&amp;UPPER(D576)&amp;"' AS TIPOLOGIA_TESTE,'"&amp;E576&amp;"' AS TABELA_LT,'"&amp;F576&amp;"' AS TABELA_SIMUL,'"&amp;C576&amp;"'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"&amp;J576&amp;" INNER JOIN "&amp;K576&amp;" "&amp;L576,"SELECT '"&amp;UPPER(B576)&amp;"' AS TABELA, '"&amp;UPPER(D576)&amp;"' AS TIPOLOGIA_TESTE,'"&amp;E576&amp;"' AS TABELA_LT,'"&amp;F576&amp;"' AS TABELA_SIMUL,'"&amp;C576&amp;"'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"&amp;J576&amp;" INNER JOIN "&amp;K576&amp;" "&amp;L576))</f>
        <v>SELECT 'PROTECTION' AS TABELA, 'COERÊNCIA' AS TIPOLOGIA_TESTE,'CD_LOAN_TAPES_BCE.LT004_PROTECTION' AS TABELA_LT,'BU_LOANTAPE_WORK.LT004_PROTECTION' AS TABELA_SIMUL,'dt_frst_usg'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dt_frst_usg AS CAMPO_IT FROM CD_LOAN_TAPES_BCE.LT004_PROTECTION WHERE ref_date='${ref_date}' AND nome_perimetro='Individual Local' AND segmento='ESTR' AND ambito='PM' AND entidade='00100')X INNER JOIN (SELECT prtctn_id AS CHAVE_SIMUL, dt_frst_usg AS CAMPO_SIMUL FROM BU_LOANTAPE_WORK.LT004_PROTECTION WHERE ref_date='${ref_date}' AND nome_perimetro='Individual Local' AND segmento='ESTR' AND ambito='PM' AND entidade='00100')Y ON X.CHAVE_IT=Y.CHAVE_SIMUL</v>
      </c>
      <c r="N576" s="33" t="str">
        <f t="shared" si="19"/>
        <v>UNION ALL SELECT 'PROTECTION' AS TABELA, 'COERÊNCIA' AS TIPOLOGIA_TESTE,'CD_LOAN_TAPES_BCE.LT004_PROTECTION' AS TABELA_LT,'BU_LOANTAPE_WORK.LT004_PROTECTION' AS TABELA_SIMUL,'dt_frst_usg'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dt_frst_usg AS CAMPO_IT FROM CD_LOAN_TAPES_BCE.LT004_PROTECTION WHERE ref_date='${ref_date}' AND nome_perimetro='Individual Local' AND segmento='ESTR' AND ambito='PM' AND entidade='00100')X INNER JOIN (SELECT prtctn_id AS CHAVE_SIMUL, dt_frst_usg AS CAMPO_SIMUL FROM BU_LOANTAPE_WORK.LT004_PROTECTION WHERE ref_date='${ref_date}' AND nome_perimetro='Individual Local' AND segmento='ESTR' AND ambito='PM' AND entidade='00100')Y ON X.CHAVE_IT=Y.CHAVE_SIMUL</v>
      </c>
      <c r="O576" s="35" t="s">
        <v>35</v>
      </c>
    </row>
    <row r="577" spans="1:15">
      <c r="A577" s="57" t="str">
        <f t="shared" si="18"/>
        <v>Protectiondvlpmnt_stts</v>
      </c>
      <c r="B577" s="32" t="s">
        <v>59</v>
      </c>
      <c r="C577" s="32" t="s">
        <v>635</v>
      </c>
      <c r="D577" s="32" t="s">
        <v>5</v>
      </c>
      <c r="E577" s="32" t="str">
        <f>+UPPER('0. Instruções'!$D$35&amp;"."&amp;VLOOKUP(B577,'0. Instruções'!$C$27:$D$32,2,FALSE))</f>
        <v>CD_LOAN_TAPES_BCE.LT004_PROTECTION</v>
      </c>
      <c r="F577" s="32" t="str">
        <f>+UPPER('0. Instruções'!$D$36&amp;"."&amp;VLOOKUP(B577,'0. Instruções'!$C$27:$E$32,3,FALSE))</f>
        <v>BU_LOANTAPE_WORK.LT004_PROTECTION</v>
      </c>
      <c r="H577" s="32"/>
      <c r="I577" s="32"/>
      <c r="J577" s="32" t="str">
        <f>IF(VLOOKUP(B577,'0. Instruções'!$C$27:$G$32,5,FALSE)=0,
"(SELECT "&amp;VLOOKUP(B577,'0. Instruções'!$C$27:$G$32,4,FALSE)&amp;" AS CHAVE_IT, "&amp;C577&amp;" AS CAMPO_IT FROM "&amp;E577&amp;" WHERE "&amp;'0. Instruções'!$D$43&amp;")X",
"(SELECT "&amp;VLOOKUP(B577,'0. Instruções'!$C$27:$G$32,4,FALSE)&amp;" AS CHAVE_IT1, "&amp;VLOOKUP(B577,'0. Instruções'!$C$27:$G$32,5,FALSE)&amp;" AS CHAVE_IT2, "&amp;C577&amp;" AS CAMPO_IT FROM "&amp;E577&amp;" WHERE "&amp;'0. Instruções'!$D$43&amp;")X")</f>
        <v>(SELECT prtctn_id AS CHAVE_IT, dvlpmnt_stts AS CAMPO_IT FROM CD_LOAN_TAPES_BCE.LT004_PROTECTION WHERE ref_date='${ref_date}' AND nome_perimetro='Individual Local' AND segmento='ESTR' AND ambito='PM' AND entidade='00100')X</v>
      </c>
      <c r="K577" s="32" t="str">
        <f>IF(VLOOKUP(B577,'0. Instruções'!$C$27:$G$32,5,FALSE)=0,
"(SELECT "&amp;VLOOKUP(B577,'0. Instruções'!$C$27:$G$32,4,FALSE)&amp;" AS CHAVE_SIMUL, "&amp;C577&amp;" AS CAMPO_SIMUL FROM "&amp;F577&amp;" WHERE "&amp;'0. Instruções'!$D$42&amp;")Y",
"(SELECT "&amp;VLOOKUP(B577,'0. Instruções'!$C$27:$G$32,4,FALSE)&amp;" AS CHAVE_SIMUL1, "&amp;VLOOKUP(B577,'0. Instruções'!$C$27:$G$32,5,FALSE)&amp;" AS CHAVE_SIMUL2, "&amp;C577&amp;" AS CAMPO_SIMUL FROM "&amp;F577&amp;" WHERE "&amp;'0. Instruções'!$D$42&amp;")Y")</f>
        <v>(SELECT prtctn_id AS CHAVE_SIMUL, dvlpmnt_stts AS CAMPO_SIMUL FROM BU_LOANTAPE_WORK.LT004_PROTECTION WHERE ref_date='${ref_date}' AND nome_perimetro='Individual Local' AND segmento='ESTR' AND ambito='PM' AND entidade='00100')Y</v>
      </c>
      <c r="L577" s="32" t="str">
        <f>IF(VLOOKUP(B577,'0. Instruções'!$C$27:$G$32,5,FALSE)=0,
"ON X.CHAVE_IT=Y.CHAVE_SIMUL",
"ON X.CHAVE_IT1=Y.CHAVE_SIMUL1 AND X.CHAVE_IT2=Y.CHAVE_SIMUL2")</f>
        <v>ON X.CHAVE_IT=Y.CHAVE_SIMUL</v>
      </c>
      <c r="M577" s="32" t="str">
        <f>+IF(D577="Coerência",+IF(LEFT(H577,5)="FLOAT","SELECT '"&amp;UPPER(B577)&amp;"' AS TABELA, '"&amp;UPPER(D577)&amp;"' AS TIPOLOGIA_TESTE,'"&amp;E577&amp;"' AS TABELA_LT,'"&amp;F577&amp;"' AS TABELA_SIMUL,'"&amp;C577&amp;"'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"&amp;J577&amp;" INNER JOIN "&amp;K577&amp;" "&amp;L577,"SELECT '"&amp;UPPER(B577)&amp;"' AS TABELA, '"&amp;UPPER(D577)&amp;"' AS TIPOLOGIA_TESTE,'"&amp;E577&amp;"' AS TABELA_LT,'"&amp;F577&amp;"' AS TABELA_SIMUL,'"&amp;C577&amp;"'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"&amp;J577&amp;" INNER JOIN "&amp;K577&amp;" "&amp;L577))</f>
        <v>SELECT 'PROTECTION' AS TABELA, 'COERÊNCIA' AS TIPOLOGIA_TESTE,'CD_LOAN_TAPES_BCE.LT004_PROTECTION' AS TABELA_LT,'BU_LOANTAPE_WORK.LT004_PROTECTION' AS TABELA_SIMUL,'dvlpmnt_stts'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dvlpmnt_stts AS CAMPO_IT FROM CD_LOAN_TAPES_BCE.LT004_PROTECTION WHERE ref_date='${ref_date}' AND nome_perimetro='Individual Local' AND segmento='ESTR' AND ambito='PM' AND entidade='00100')X INNER JOIN (SELECT prtctn_id AS CHAVE_SIMUL, dvlpmnt_stts AS CAMPO_SIMUL FROM BU_LOANTAPE_WORK.LT004_PROTECTION WHERE ref_date='${ref_date}' AND nome_perimetro='Individual Local' AND segmento='ESTR' AND ambito='PM' AND entidade='00100')Y ON X.CHAVE_IT=Y.CHAVE_SIMUL</v>
      </c>
      <c r="N577" s="33" t="str">
        <f t="shared" si="19"/>
        <v>UNION ALL SELECT 'PROTECTION' AS TABELA, 'COERÊNCIA' AS TIPOLOGIA_TESTE,'CD_LOAN_TAPES_BCE.LT004_PROTECTION' AS TABELA_LT,'BU_LOANTAPE_WORK.LT004_PROTECTION' AS TABELA_SIMUL,'dvlpmnt_stts'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dvlpmnt_stts AS CAMPO_IT FROM CD_LOAN_TAPES_BCE.LT004_PROTECTION WHERE ref_date='${ref_date}' AND nome_perimetro='Individual Local' AND segmento='ESTR' AND ambito='PM' AND entidade='00100')X INNER JOIN (SELECT prtctn_id AS CHAVE_SIMUL, dvlpmnt_stts AS CAMPO_SIMUL FROM BU_LOANTAPE_WORK.LT004_PROTECTION WHERE ref_date='${ref_date}' AND nome_perimetro='Individual Local' AND segmento='ESTR' AND ambito='PM' AND entidade='00100')Y ON X.CHAVE_IT=Y.CHAVE_SIMUL</v>
      </c>
      <c r="O577" s="35" t="s">
        <v>35</v>
      </c>
    </row>
    <row r="578" spans="1:15">
      <c r="A578" s="57" t="str">
        <f t="shared" si="18"/>
        <v>Protectionmn_prps</v>
      </c>
      <c r="B578" s="32" t="s">
        <v>59</v>
      </c>
      <c r="C578" s="32" t="s">
        <v>636</v>
      </c>
      <c r="D578" s="32" t="s">
        <v>5</v>
      </c>
      <c r="E578" s="32" t="str">
        <f>+UPPER('0. Instruções'!$D$35&amp;"."&amp;VLOOKUP(B578,'0. Instruções'!$C$27:$D$32,2,FALSE))</f>
        <v>CD_LOAN_TAPES_BCE.LT004_PROTECTION</v>
      </c>
      <c r="F578" s="32" t="str">
        <f>+UPPER('0. Instruções'!$D$36&amp;"."&amp;VLOOKUP(B578,'0. Instruções'!$C$27:$E$32,3,FALSE))</f>
        <v>BU_LOANTAPE_WORK.LT004_PROTECTION</v>
      </c>
      <c r="H578" s="32"/>
      <c r="I578" s="32"/>
      <c r="J578" s="32" t="str">
        <f>IF(VLOOKUP(B578,'0. Instruções'!$C$27:$G$32,5,FALSE)=0,
"(SELECT "&amp;VLOOKUP(B578,'0. Instruções'!$C$27:$G$32,4,FALSE)&amp;" AS CHAVE_IT, "&amp;C578&amp;" AS CAMPO_IT FROM "&amp;E578&amp;" WHERE "&amp;'0. Instruções'!$D$43&amp;")X",
"(SELECT "&amp;VLOOKUP(B578,'0. Instruções'!$C$27:$G$32,4,FALSE)&amp;" AS CHAVE_IT1, "&amp;VLOOKUP(B578,'0. Instruções'!$C$27:$G$32,5,FALSE)&amp;" AS CHAVE_IT2, "&amp;C578&amp;" AS CAMPO_IT FROM "&amp;E578&amp;" WHERE "&amp;'0. Instruções'!$D$43&amp;")X")</f>
        <v>(SELECT prtctn_id AS CHAVE_IT, mn_prps AS CAMPO_IT FROM CD_LOAN_TAPES_BCE.LT004_PROTECTION WHERE ref_date='${ref_date}' AND nome_perimetro='Individual Local' AND segmento='ESTR' AND ambito='PM' AND entidade='00100')X</v>
      </c>
      <c r="K578" s="32" t="str">
        <f>IF(VLOOKUP(B578,'0. Instruções'!$C$27:$G$32,5,FALSE)=0,
"(SELECT "&amp;VLOOKUP(B578,'0. Instruções'!$C$27:$G$32,4,FALSE)&amp;" AS CHAVE_SIMUL, "&amp;C578&amp;" AS CAMPO_SIMUL FROM "&amp;F578&amp;" WHERE "&amp;'0. Instruções'!$D$42&amp;")Y",
"(SELECT "&amp;VLOOKUP(B578,'0. Instruções'!$C$27:$G$32,4,FALSE)&amp;" AS CHAVE_SIMUL1, "&amp;VLOOKUP(B578,'0. Instruções'!$C$27:$G$32,5,FALSE)&amp;" AS CHAVE_SIMUL2, "&amp;C578&amp;" AS CAMPO_SIMUL FROM "&amp;F578&amp;" WHERE "&amp;'0. Instruções'!$D$42&amp;")Y")</f>
        <v>(SELECT prtctn_id AS CHAVE_SIMUL, mn_prps AS CAMPO_SIMUL FROM BU_LOANTAPE_WORK.LT004_PROTECTION WHERE ref_date='${ref_date}' AND nome_perimetro='Individual Local' AND segmento='ESTR' AND ambito='PM' AND entidade='00100')Y</v>
      </c>
      <c r="L578" s="32" t="str">
        <f>IF(VLOOKUP(B578,'0. Instruções'!$C$27:$G$32,5,FALSE)=0,
"ON X.CHAVE_IT=Y.CHAVE_SIMUL",
"ON X.CHAVE_IT1=Y.CHAVE_SIMUL1 AND X.CHAVE_IT2=Y.CHAVE_SIMUL2")</f>
        <v>ON X.CHAVE_IT=Y.CHAVE_SIMUL</v>
      </c>
      <c r="M578" s="32" t="str">
        <f>+IF(D578="Coerência",+IF(LEFT(H578,5)="FLOAT","SELECT '"&amp;UPPER(B578)&amp;"' AS TABELA, '"&amp;UPPER(D578)&amp;"' AS TIPOLOGIA_TESTE,'"&amp;E578&amp;"' AS TABELA_LT,'"&amp;F578&amp;"' AS TABELA_SIMUL,'"&amp;C578&amp;"'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"&amp;J578&amp;" INNER JOIN "&amp;K578&amp;" "&amp;L578,"SELECT '"&amp;UPPER(B578)&amp;"' AS TABELA, '"&amp;UPPER(D578)&amp;"' AS TIPOLOGIA_TESTE,'"&amp;E578&amp;"' AS TABELA_LT,'"&amp;F578&amp;"' AS TABELA_SIMUL,'"&amp;C578&amp;"'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"&amp;J578&amp;" INNER JOIN "&amp;K578&amp;" "&amp;L578))</f>
        <v>SELECT 'PROTECTION' AS TABELA, 'COERÊNCIA' AS TIPOLOGIA_TESTE,'CD_LOAN_TAPES_BCE.LT004_PROTECTION' AS TABELA_LT,'BU_LOANTAPE_WORK.LT004_PROTECTION' AS TABELA_SIMUL,'mn_prps'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mn_prps AS CAMPO_IT FROM CD_LOAN_TAPES_BCE.LT004_PROTECTION WHERE ref_date='${ref_date}' AND nome_perimetro='Individual Local' AND segmento='ESTR' AND ambito='PM' AND entidade='00100')X INNER JOIN (SELECT prtctn_id AS CHAVE_SIMUL, mn_prps AS CAMPO_SIMUL FROM BU_LOANTAPE_WORK.LT004_PROTECTION WHERE ref_date='${ref_date}' AND nome_perimetro='Individual Local' AND segmento='ESTR' AND ambito='PM' AND entidade='00100')Y ON X.CHAVE_IT=Y.CHAVE_SIMUL</v>
      </c>
      <c r="N578" s="33" t="str">
        <f t="shared" si="19"/>
        <v>UNION ALL SELECT 'PROTECTION' AS TABELA, 'COERÊNCIA' AS TIPOLOGIA_TESTE,'CD_LOAN_TAPES_BCE.LT004_PROTECTION' AS TABELA_LT,'BU_LOANTAPE_WORK.LT004_PROTECTION' AS TABELA_SIMUL,'mn_prps'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mn_prps AS CAMPO_IT FROM CD_LOAN_TAPES_BCE.LT004_PROTECTION WHERE ref_date='${ref_date}' AND nome_perimetro='Individual Local' AND segmento='ESTR' AND ambito='PM' AND entidade='00100')X INNER JOIN (SELECT prtctn_id AS CHAVE_SIMUL, mn_prps AS CAMPO_SIMUL FROM BU_LOANTAPE_WORK.LT004_PROTECTION WHERE ref_date='${ref_date}' AND nome_perimetro='Individual Local' AND segmento='ESTR' AND ambito='PM' AND entidade='00100')Y ON X.CHAVE_IT=Y.CHAVE_SIMUL</v>
      </c>
      <c r="O578" s="35" t="s">
        <v>35</v>
      </c>
    </row>
    <row r="579" spans="1:15">
      <c r="A579" s="57" t="str">
        <f t="shared" si="18"/>
        <v>Protectionprm_lctn</v>
      </c>
      <c r="B579" s="32" t="s">
        <v>59</v>
      </c>
      <c r="C579" s="32" t="s">
        <v>637</v>
      </c>
      <c r="D579" s="32" t="s">
        <v>5</v>
      </c>
      <c r="E579" s="32" t="str">
        <f>+UPPER('0. Instruções'!$D$35&amp;"."&amp;VLOOKUP(B579,'0. Instruções'!$C$27:$D$32,2,FALSE))</f>
        <v>CD_LOAN_TAPES_BCE.LT004_PROTECTION</v>
      </c>
      <c r="F579" s="32" t="str">
        <f>+UPPER('0. Instruções'!$D$36&amp;"."&amp;VLOOKUP(B579,'0. Instruções'!$C$27:$E$32,3,FALSE))</f>
        <v>BU_LOANTAPE_WORK.LT004_PROTECTION</v>
      </c>
      <c r="H579" s="32"/>
      <c r="I579" s="32"/>
      <c r="J579" s="32" t="str">
        <f>IF(VLOOKUP(B579,'0. Instruções'!$C$27:$G$32,5,FALSE)=0,
"(SELECT "&amp;VLOOKUP(B579,'0. Instruções'!$C$27:$G$32,4,FALSE)&amp;" AS CHAVE_IT, "&amp;C579&amp;" AS CAMPO_IT FROM "&amp;E579&amp;" WHERE "&amp;'0. Instruções'!$D$43&amp;")X",
"(SELECT "&amp;VLOOKUP(B579,'0. Instruções'!$C$27:$G$32,4,FALSE)&amp;" AS CHAVE_IT1, "&amp;VLOOKUP(B579,'0. Instruções'!$C$27:$G$32,5,FALSE)&amp;" AS CHAVE_IT2, "&amp;C579&amp;" AS CAMPO_IT FROM "&amp;E579&amp;" WHERE "&amp;'0. Instruções'!$D$43&amp;")X")</f>
        <v>(SELECT prtctn_id AS CHAVE_IT, prm_lctn AS CAMPO_IT FROM CD_LOAN_TAPES_BCE.LT004_PROTECTION WHERE ref_date='${ref_date}' AND nome_perimetro='Individual Local' AND segmento='ESTR' AND ambito='PM' AND entidade='00100')X</v>
      </c>
      <c r="K579" s="32" t="str">
        <f>IF(VLOOKUP(B579,'0. Instruções'!$C$27:$G$32,5,FALSE)=0,
"(SELECT "&amp;VLOOKUP(B579,'0. Instruções'!$C$27:$G$32,4,FALSE)&amp;" AS CHAVE_SIMUL, "&amp;C579&amp;" AS CAMPO_SIMUL FROM "&amp;F579&amp;" WHERE "&amp;'0. Instruções'!$D$42&amp;")Y",
"(SELECT "&amp;VLOOKUP(B579,'0. Instruções'!$C$27:$G$32,4,FALSE)&amp;" AS CHAVE_SIMUL1, "&amp;VLOOKUP(B579,'0. Instruções'!$C$27:$G$32,5,FALSE)&amp;" AS CHAVE_SIMUL2, "&amp;C579&amp;" AS CAMPO_SIMUL FROM "&amp;F579&amp;" WHERE "&amp;'0. Instruções'!$D$42&amp;")Y")</f>
        <v>(SELECT prtctn_id AS CHAVE_SIMUL, prm_lctn AS CAMPO_SIMUL FROM BU_LOANTAPE_WORK.LT004_PROTECTION WHERE ref_date='${ref_date}' AND nome_perimetro='Individual Local' AND segmento='ESTR' AND ambito='PM' AND entidade='00100')Y</v>
      </c>
      <c r="L579" s="32" t="str">
        <f>IF(VLOOKUP(B579,'0. Instruções'!$C$27:$G$32,5,FALSE)=0,
"ON X.CHAVE_IT=Y.CHAVE_SIMUL",
"ON X.CHAVE_IT1=Y.CHAVE_SIMUL1 AND X.CHAVE_IT2=Y.CHAVE_SIMUL2")</f>
        <v>ON X.CHAVE_IT=Y.CHAVE_SIMUL</v>
      </c>
      <c r="M579" s="32" t="str">
        <f>+IF(D579="Coerência",+IF(LEFT(H579,5)="FLOAT","SELECT '"&amp;UPPER(B579)&amp;"' AS TABELA, '"&amp;UPPER(D579)&amp;"' AS TIPOLOGIA_TESTE,'"&amp;E579&amp;"' AS TABELA_LT,'"&amp;F579&amp;"' AS TABELA_SIMUL,'"&amp;C579&amp;"'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"&amp;J579&amp;" INNER JOIN "&amp;K579&amp;" "&amp;L579,"SELECT '"&amp;UPPER(B579)&amp;"' AS TABELA, '"&amp;UPPER(D579)&amp;"' AS TIPOLOGIA_TESTE,'"&amp;E579&amp;"' AS TABELA_LT,'"&amp;F579&amp;"' AS TABELA_SIMUL,'"&amp;C579&amp;"'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"&amp;J579&amp;" INNER JOIN "&amp;K579&amp;" "&amp;L579))</f>
        <v>SELECT 'PROTECTION' AS TABELA, 'COERÊNCIA' AS TIPOLOGIA_TESTE,'CD_LOAN_TAPES_BCE.LT004_PROTECTION' AS TABELA_LT,'BU_LOANTAPE_WORK.LT004_PROTECTION' AS TABELA_SIMUL,'prm_lctn'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prm_lctn AS CAMPO_IT FROM CD_LOAN_TAPES_BCE.LT004_PROTECTION WHERE ref_date='${ref_date}' AND nome_perimetro='Individual Local' AND segmento='ESTR' AND ambito='PM' AND entidade='00100')X INNER JOIN (SELECT prtctn_id AS CHAVE_SIMUL, prm_lctn AS CAMPO_SIMUL FROM BU_LOANTAPE_WORK.LT004_PROTECTION WHERE ref_date='${ref_date}' AND nome_perimetro='Individual Local' AND segmento='ESTR' AND ambito='PM' AND entidade='00100')Y ON X.CHAVE_IT=Y.CHAVE_SIMUL</v>
      </c>
      <c r="N579" s="33" t="str">
        <f t="shared" si="19"/>
        <v>UNION ALL SELECT 'PROTECTION' AS TABELA, 'COERÊNCIA' AS TIPOLOGIA_TESTE,'CD_LOAN_TAPES_BCE.LT004_PROTECTION' AS TABELA_LT,'BU_LOANTAPE_WORK.LT004_PROTECTION' AS TABELA_SIMUL,'prm_lctn'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prm_lctn AS CAMPO_IT FROM CD_LOAN_TAPES_BCE.LT004_PROTECTION WHERE ref_date='${ref_date}' AND nome_perimetro='Individual Local' AND segmento='ESTR' AND ambito='PM' AND entidade='00100')X INNER JOIN (SELECT prtctn_id AS CHAVE_SIMUL, prm_lctn AS CAMPO_SIMUL FROM BU_LOANTAPE_WORK.LT004_PROTECTION WHERE ref_date='${ref_date}' AND nome_perimetro='Individual Local' AND segmento='ESTR' AND ambito='PM' AND entidade='00100')Y ON X.CHAVE_IT=Y.CHAVE_SIMUL</v>
      </c>
      <c r="O579" s="35" t="s">
        <v>35</v>
      </c>
    </row>
    <row r="580" spans="1:15">
      <c r="A580" s="57" t="str">
        <f t="shared" si="18"/>
        <v>Protectioncre_incm_crrncy</v>
      </c>
      <c r="B580" s="32" t="s">
        <v>59</v>
      </c>
      <c r="C580" s="32" t="s">
        <v>638</v>
      </c>
      <c r="D580" s="32" t="s">
        <v>5</v>
      </c>
      <c r="E580" s="32" t="str">
        <f>+UPPER('0. Instruções'!$D$35&amp;"."&amp;VLOOKUP(B580,'0. Instruções'!$C$27:$D$32,2,FALSE))</f>
        <v>CD_LOAN_TAPES_BCE.LT004_PROTECTION</v>
      </c>
      <c r="F580" s="32" t="str">
        <f>+UPPER('0. Instruções'!$D$36&amp;"."&amp;VLOOKUP(B580,'0. Instruções'!$C$27:$E$32,3,FALSE))</f>
        <v>BU_LOANTAPE_WORK.LT004_PROTECTION</v>
      </c>
      <c r="H580" s="32"/>
      <c r="I580" s="32"/>
      <c r="J580" s="32" t="str">
        <f>IF(VLOOKUP(B580,'0. Instruções'!$C$27:$G$32,5,FALSE)=0,
"(SELECT "&amp;VLOOKUP(B580,'0. Instruções'!$C$27:$G$32,4,FALSE)&amp;" AS CHAVE_IT, "&amp;C580&amp;" AS CAMPO_IT FROM "&amp;E580&amp;" WHERE "&amp;'0. Instruções'!$D$43&amp;")X",
"(SELECT "&amp;VLOOKUP(B580,'0. Instruções'!$C$27:$G$32,4,FALSE)&amp;" AS CHAVE_IT1, "&amp;VLOOKUP(B580,'0. Instruções'!$C$27:$G$32,5,FALSE)&amp;" AS CHAVE_IT2, "&amp;C580&amp;" AS CAMPO_IT FROM "&amp;E580&amp;" WHERE "&amp;'0. Instruções'!$D$43&amp;")X")</f>
        <v>(SELECT prtctn_id AS CHAVE_IT, cre_incm_crrncy AS CAMPO_IT FROM CD_LOAN_TAPES_BCE.LT004_PROTECTION WHERE ref_date='${ref_date}' AND nome_perimetro='Individual Local' AND segmento='ESTR' AND ambito='PM' AND entidade='00100')X</v>
      </c>
      <c r="K580" s="32" t="str">
        <f>IF(VLOOKUP(B580,'0. Instruções'!$C$27:$G$32,5,FALSE)=0,
"(SELECT "&amp;VLOOKUP(B580,'0. Instruções'!$C$27:$G$32,4,FALSE)&amp;" AS CHAVE_SIMUL, "&amp;C580&amp;" AS CAMPO_SIMUL FROM "&amp;F580&amp;" WHERE "&amp;'0. Instruções'!$D$42&amp;")Y",
"(SELECT "&amp;VLOOKUP(B580,'0. Instruções'!$C$27:$G$32,4,FALSE)&amp;" AS CHAVE_SIMUL1, "&amp;VLOOKUP(B580,'0. Instruções'!$C$27:$G$32,5,FALSE)&amp;" AS CHAVE_SIMUL2, "&amp;C580&amp;" AS CAMPO_SIMUL FROM "&amp;F580&amp;" WHERE "&amp;'0. Instruções'!$D$42&amp;")Y")</f>
        <v>(SELECT prtctn_id AS CHAVE_SIMUL, cre_incm_crrncy AS CAMPO_SIMUL FROM BU_LOANTAPE_WORK.LT004_PROTECTION WHERE ref_date='${ref_date}' AND nome_perimetro='Individual Local' AND segmento='ESTR' AND ambito='PM' AND entidade='00100')Y</v>
      </c>
      <c r="L580" s="32" t="str">
        <f>IF(VLOOKUP(B580,'0. Instruções'!$C$27:$G$32,5,FALSE)=0,
"ON X.CHAVE_IT=Y.CHAVE_SIMUL",
"ON X.CHAVE_IT1=Y.CHAVE_SIMUL1 AND X.CHAVE_IT2=Y.CHAVE_SIMUL2")</f>
        <v>ON X.CHAVE_IT=Y.CHAVE_SIMUL</v>
      </c>
      <c r="M580" s="32" t="str">
        <f>+IF(D580="Coerência",+IF(LEFT(H580,5)="FLOAT","SELECT '"&amp;UPPER(B580)&amp;"' AS TABELA, '"&amp;UPPER(D580)&amp;"' AS TIPOLOGIA_TESTE,'"&amp;E580&amp;"' AS TABELA_LT,'"&amp;F580&amp;"' AS TABELA_SIMUL,'"&amp;C580&amp;"'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"&amp;J580&amp;" INNER JOIN "&amp;K580&amp;" "&amp;L580,"SELECT '"&amp;UPPER(B580)&amp;"' AS TABELA, '"&amp;UPPER(D580)&amp;"' AS TIPOLOGIA_TESTE,'"&amp;E580&amp;"' AS TABELA_LT,'"&amp;F580&amp;"' AS TABELA_SIMUL,'"&amp;C580&amp;"'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"&amp;J580&amp;" INNER JOIN "&amp;K580&amp;" "&amp;L580))</f>
        <v>SELECT 'PROTECTION' AS TABELA, 'COERÊNCIA' AS TIPOLOGIA_TESTE,'CD_LOAN_TAPES_BCE.LT004_PROTECTION' AS TABELA_LT,'BU_LOANTAPE_WORK.LT004_PROTECTION' AS TABELA_SIMUL,'cre_incm_crrncy'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cre_incm_crrncy AS CAMPO_IT FROM CD_LOAN_TAPES_BCE.LT004_PROTECTION WHERE ref_date='${ref_date}' AND nome_perimetro='Individual Local' AND segmento='ESTR' AND ambito='PM' AND entidade='00100')X INNER JOIN (SELECT prtctn_id AS CHAVE_SIMUL, cre_incm_crrncy AS CAMPO_SIMUL FROM BU_LOANTAPE_WORK.LT004_PROTECTION WHERE ref_date='${ref_date}' AND nome_perimetro='Individual Local' AND segmento='ESTR' AND ambito='PM' AND entidade='00100')Y ON X.CHAVE_IT=Y.CHAVE_SIMUL</v>
      </c>
      <c r="N580" s="33" t="str">
        <f t="shared" si="19"/>
        <v>UNION ALL SELECT 'PROTECTION' AS TABELA, 'COERÊNCIA' AS TIPOLOGIA_TESTE,'CD_LOAN_TAPES_BCE.LT004_PROTECTION' AS TABELA_LT,'BU_LOANTAPE_WORK.LT004_PROTECTION' AS TABELA_SIMUL,'cre_incm_crrncy'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cre_incm_crrncy AS CAMPO_IT FROM CD_LOAN_TAPES_BCE.LT004_PROTECTION WHERE ref_date='${ref_date}' AND nome_perimetro='Individual Local' AND segmento='ESTR' AND ambito='PM' AND entidade='00100')X INNER JOIN (SELECT prtctn_id AS CHAVE_SIMUL, cre_incm_crrncy AS CAMPO_SIMUL FROM BU_LOANTAPE_WORK.LT004_PROTECTION WHERE ref_date='${ref_date}' AND nome_perimetro='Individual Local' AND segmento='ESTR' AND ambito='PM' AND entidade='00100')Y ON X.CHAVE_IT=Y.CHAVE_SIMUL</v>
      </c>
      <c r="O580" s="35" t="s">
        <v>35</v>
      </c>
    </row>
    <row r="581" spans="1:15">
      <c r="A581" s="57" t="str">
        <f t="shared" si="18"/>
        <v>Protectioncre_yrly_expnss</v>
      </c>
      <c r="B581" s="32" t="s">
        <v>59</v>
      </c>
      <c r="C581" s="32" t="s">
        <v>639</v>
      </c>
      <c r="D581" s="32" t="s">
        <v>5</v>
      </c>
      <c r="E581" s="32" t="str">
        <f>+UPPER('0. Instruções'!$D$35&amp;"."&amp;VLOOKUP(B581,'0. Instruções'!$C$27:$D$32,2,FALSE))</f>
        <v>CD_LOAN_TAPES_BCE.LT004_PROTECTION</v>
      </c>
      <c r="F581" s="32" t="str">
        <f>+UPPER('0. Instruções'!$D$36&amp;"."&amp;VLOOKUP(B581,'0. Instruções'!$C$27:$E$32,3,FALSE))</f>
        <v>BU_LOANTAPE_WORK.LT004_PROTECTION</v>
      </c>
      <c r="H581" s="32"/>
      <c r="I581" s="32"/>
      <c r="J581" s="32" t="str">
        <f>IF(VLOOKUP(B581,'0. Instruções'!$C$27:$G$32,5,FALSE)=0,
"(SELECT "&amp;VLOOKUP(B581,'0. Instruções'!$C$27:$G$32,4,FALSE)&amp;" AS CHAVE_IT, "&amp;C581&amp;" AS CAMPO_IT FROM "&amp;E581&amp;" WHERE "&amp;'0. Instruções'!$D$43&amp;")X",
"(SELECT "&amp;VLOOKUP(B581,'0. Instruções'!$C$27:$G$32,4,FALSE)&amp;" AS CHAVE_IT1, "&amp;VLOOKUP(B581,'0. Instruções'!$C$27:$G$32,5,FALSE)&amp;" AS CHAVE_IT2, "&amp;C581&amp;" AS CAMPO_IT FROM "&amp;E581&amp;" WHERE "&amp;'0. Instruções'!$D$43&amp;")X")</f>
        <v>(SELECT prtctn_id AS CHAVE_IT, cre_yrly_expnss AS CAMPO_IT FROM CD_LOAN_TAPES_BCE.LT004_PROTECTION WHERE ref_date='${ref_date}' AND nome_perimetro='Individual Local' AND segmento='ESTR' AND ambito='PM' AND entidade='00100')X</v>
      </c>
      <c r="K581" s="32" t="str">
        <f>IF(VLOOKUP(B581,'0. Instruções'!$C$27:$G$32,5,FALSE)=0,
"(SELECT "&amp;VLOOKUP(B581,'0. Instruções'!$C$27:$G$32,4,FALSE)&amp;" AS CHAVE_SIMUL, "&amp;C581&amp;" AS CAMPO_SIMUL FROM "&amp;F581&amp;" WHERE "&amp;'0. Instruções'!$D$42&amp;")Y",
"(SELECT "&amp;VLOOKUP(B581,'0. Instruções'!$C$27:$G$32,4,FALSE)&amp;" AS CHAVE_SIMUL1, "&amp;VLOOKUP(B581,'0. Instruções'!$C$27:$G$32,5,FALSE)&amp;" AS CHAVE_SIMUL2, "&amp;C581&amp;" AS CAMPO_SIMUL FROM "&amp;F581&amp;" WHERE "&amp;'0. Instruções'!$D$42&amp;")Y")</f>
        <v>(SELECT prtctn_id AS CHAVE_SIMUL, cre_yrly_expnss AS CAMPO_SIMUL FROM BU_LOANTAPE_WORK.LT004_PROTECTION WHERE ref_date='${ref_date}' AND nome_perimetro='Individual Local' AND segmento='ESTR' AND ambito='PM' AND entidade='00100')Y</v>
      </c>
      <c r="L581" s="32" t="str">
        <f>IF(VLOOKUP(B581,'0. Instruções'!$C$27:$G$32,5,FALSE)=0,
"ON X.CHAVE_IT=Y.CHAVE_SIMUL",
"ON X.CHAVE_IT1=Y.CHAVE_SIMUL1 AND X.CHAVE_IT2=Y.CHAVE_SIMUL2")</f>
        <v>ON X.CHAVE_IT=Y.CHAVE_SIMUL</v>
      </c>
      <c r="M581" s="32" t="str">
        <f>+IF(D581="Coerência",+IF(LEFT(H581,5)="FLOAT","SELECT '"&amp;UPPER(B581)&amp;"' AS TABELA, '"&amp;UPPER(D581)&amp;"' AS TIPOLOGIA_TESTE,'"&amp;E581&amp;"' AS TABELA_LT,'"&amp;F581&amp;"' AS TABELA_SIMUL,'"&amp;C581&amp;"'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"&amp;J581&amp;" INNER JOIN "&amp;K581&amp;" "&amp;L581,"SELECT '"&amp;UPPER(B581)&amp;"' AS TABELA, '"&amp;UPPER(D581)&amp;"' AS TIPOLOGIA_TESTE,'"&amp;E581&amp;"' AS TABELA_LT,'"&amp;F581&amp;"' AS TABELA_SIMUL,'"&amp;C581&amp;"'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"&amp;J581&amp;" INNER JOIN "&amp;K581&amp;" "&amp;L581))</f>
        <v>SELECT 'PROTECTION' AS TABELA, 'COERÊNCIA' AS TIPOLOGIA_TESTE,'CD_LOAN_TAPES_BCE.LT004_PROTECTION' AS TABELA_LT,'BU_LOANTAPE_WORK.LT004_PROTECTION' AS TABELA_SIMUL,'cre_yrly_expnss'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cre_yrly_expnss AS CAMPO_IT FROM CD_LOAN_TAPES_BCE.LT004_PROTECTION WHERE ref_date='${ref_date}' AND nome_perimetro='Individual Local' AND segmento='ESTR' AND ambito='PM' AND entidade='00100')X INNER JOIN (SELECT prtctn_id AS CHAVE_SIMUL, cre_yrly_expnss AS CAMPO_SIMUL FROM BU_LOANTAPE_WORK.LT004_PROTECTION WHERE ref_date='${ref_date}' AND nome_perimetro='Individual Local' AND segmento='ESTR' AND ambito='PM' AND entidade='00100')Y ON X.CHAVE_IT=Y.CHAVE_SIMUL</v>
      </c>
      <c r="N581" s="33" t="str">
        <f t="shared" si="19"/>
        <v>UNION ALL SELECT 'PROTECTION' AS TABELA, 'COERÊNCIA' AS TIPOLOGIA_TESTE,'CD_LOAN_TAPES_BCE.LT004_PROTECTION' AS TABELA_LT,'BU_LOANTAPE_WORK.LT004_PROTECTION' AS TABELA_SIMUL,'cre_yrly_expnss'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cre_yrly_expnss AS CAMPO_IT FROM CD_LOAN_TAPES_BCE.LT004_PROTECTION WHERE ref_date='${ref_date}' AND nome_perimetro='Individual Local' AND segmento='ESTR' AND ambito='PM' AND entidade='00100')X INNER JOIN (SELECT prtctn_id AS CHAVE_SIMUL, cre_yrly_expnss AS CAMPO_SIMUL FROM BU_LOANTAPE_WORK.LT004_PROTECTION WHERE ref_date='${ref_date}' AND nome_perimetro='Individual Local' AND segmento='ESTR' AND ambito='PM' AND entidade='00100')Y ON X.CHAVE_IT=Y.CHAVE_SIMUL</v>
      </c>
      <c r="O581" s="35" t="s">
        <v>35</v>
      </c>
    </row>
    <row r="582" spans="1:15">
      <c r="A582" s="57" t="str">
        <f t="shared" si="18"/>
        <v>Protectioncre_yrly_incm</v>
      </c>
      <c r="B582" s="32" t="s">
        <v>59</v>
      </c>
      <c r="C582" s="32" t="s">
        <v>640</v>
      </c>
      <c r="D582" s="32" t="s">
        <v>5</v>
      </c>
      <c r="E582" s="32" t="str">
        <f>+UPPER('0. Instruções'!$D$35&amp;"."&amp;VLOOKUP(B582,'0. Instruções'!$C$27:$D$32,2,FALSE))</f>
        <v>CD_LOAN_TAPES_BCE.LT004_PROTECTION</v>
      </c>
      <c r="F582" s="32" t="str">
        <f>+UPPER('0. Instruções'!$D$36&amp;"."&amp;VLOOKUP(B582,'0. Instruções'!$C$27:$E$32,3,FALSE))</f>
        <v>BU_LOANTAPE_WORK.LT004_PROTECTION</v>
      </c>
      <c r="H582" s="32"/>
      <c r="I582" s="32"/>
      <c r="J582" s="32" t="str">
        <f>IF(VLOOKUP(B582,'0. Instruções'!$C$27:$G$32,5,FALSE)=0,
"(SELECT "&amp;VLOOKUP(B582,'0. Instruções'!$C$27:$G$32,4,FALSE)&amp;" AS CHAVE_IT, "&amp;C582&amp;" AS CAMPO_IT FROM "&amp;E582&amp;" WHERE "&amp;'0. Instruções'!$D$43&amp;")X",
"(SELECT "&amp;VLOOKUP(B582,'0. Instruções'!$C$27:$G$32,4,FALSE)&amp;" AS CHAVE_IT1, "&amp;VLOOKUP(B582,'0. Instruções'!$C$27:$G$32,5,FALSE)&amp;" AS CHAVE_IT2, "&amp;C582&amp;" AS CAMPO_IT FROM "&amp;E582&amp;" WHERE "&amp;'0. Instruções'!$D$43&amp;")X")</f>
        <v>(SELECT prtctn_id AS CHAVE_IT, cre_yrly_incm AS CAMPO_IT FROM CD_LOAN_TAPES_BCE.LT004_PROTECTION WHERE ref_date='${ref_date}' AND nome_perimetro='Individual Local' AND segmento='ESTR' AND ambito='PM' AND entidade='00100')X</v>
      </c>
      <c r="K582" s="32" t="str">
        <f>IF(VLOOKUP(B582,'0. Instruções'!$C$27:$G$32,5,FALSE)=0,
"(SELECT "&amp;VLOOKUP(B582,'0. Instruções'!$C$27:$G$32,4,FALSE)&amp;" AS CHAVE_SIMUL, "&amp;C582&amp;" AS CAMPO_SIMUL FROM "&amp;F582&amp;" WHERE "&amp;'0. Instruções'!$D$42&amp;")Y",
"(SELECT "&amp;VLOOKUP(B582,'0. Instruções'!$C$27:$G$32,4,FALSE)&amp;" AS CHAVE_SIMUL1, "&amp;VLOOKUP(B582,'0. Instruções'!$C$27:$G$32,5,FALSE)&amp;" AS CHAVE_SIMUL2, "&amp;C582&amp;" AS CAMPO_SIMUL FROM "&amp;F582&amp;" WHERE "&amp;'0. Instruções'!$D$42&amp;")Y")</f>
        <v>(SELECT prtctn_id AS CHAVE_SIMUL, cre_yrly_incm AS CAMPO_SIMUL FROM BU_LOANTAPE_WORK.LT004_PROTECTION WHERE ref_date='${ref_date}' AND nome_perimetro='Individual Local' AND segmento='ESTR' AND ambito='PM' AND entidade='00100')Y</v>
      </c>
      <c r="L582" s="32" t="str">
        <f>IF(VLOOKUP(B582,'0. Instruções'!$C$27:$G$32,5,FALSE)=0,
"ON X.CHAVE_IT=Y.CHAVE_SIMUL",
"ON X.CHAVE_IT1=Y.CHAVE_SIMUL1 AND X.CHAVE_IT2=Y.CHAVE_SIMUL2")</f>
        <v>ON X.CHAVE_IT=Y.CHAVE_SIMUL</v>
      </c>
      <c r="M582" s="32" t="str">
        <f>+IF(D582="Coerência",+IF(LEFT(H582,5)="FLOAT","SELECT '"&amp;UPPER(B582)&amp;"' AS TABELA, '"&amp;UPPER(D582)&amp;"' AS TIPOLOGIA_TESTE,'"&amp;E582&amp;"' AS TABELA_LT,'"&amp;F582&amp;"' AS TABELA_SIMUL,'"&amp;C582&amp;"'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"&amp;J582&amp;" INNER JOIN "&amp;K582&amp;" "&amp;L582,"SELECT '"&amp;UPPER(B582)&amp;"' AS TABELA, '"&amp;UPPER(D582)&amp;"' AS TIPOLOGIA_TESTE,'"&amp;E582&amp;"' AS TABELA_LT,'"&amp;F582&amp;"' AS TABELA_SIMUL,'"&amp;C582&amp;"'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"&amp;J582&amp;" INNER JOIN "&amp;K582&amp;" "&amp;L582))</f>
        <v>SELECT 'PROTECTION' AS TABELA, 'COERÊNCIA' AS TIPOLOGIA_TESTE,'CD_LOAN_TAPES_BCE.LT004_PROTECTION' AS TABELA_LT,'BU_LOANTAPE_WORK.LT004_PROTECTION' AS TABELA_SIMUL,'cre_yrly_incm'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cre_yrly_incm AS CAMPO_IT FROM CD_LOAN_TAPES_BCE.LT004_PROTECTION WHERE ref_date='${ref_date}' AND nome_perimetro='Individual Local' AND segmento='ESTR' AND ambito='PM' AND entidade='00100')X INNER JOIN (SELECT prtctn_id AS CHAVE_SIMUL, cre_yrly_incm AS CAMPO_SIMUL FROM BU_LOANTAPE_WORK.LT004_PROTECTION WHERE ref_date='${ref_date}' AND nome_perimetro='Individual Local' AND segmento='ESTR' AND ambito='PM' AND entidade='00100')Y ON X.CHAVE_IT=Y.CHAVE_SIMUL</v>
      </c>
      <c r="N582" s="33" t="str">
        <f t="shared" si="19"/>
        <v>UNION ALL SELECT 'PROTECTION' AS TABELA, 'COERÊNCIA' AS TIPOLOGIA_TESTE,'CD_LOAN_TAPES_BCE.LT004_PROTECTION' AS TABELA_LT,'BU_LOANTAPE_WORK.LT004_PROTECTION' AS TABELA_SIMUL,'cre_yrly_incm'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cre_yrly_incm AS CAMPO_IT FROM CD_LOAN_TAPES_BCE.LT004_PROTECTION WHERE ref_date='${ref_date}' AND nome_perimetro='Individual Local' AND segmento='ESTR' AND ambito='PM' AND entidade='00100')X INNER JOIN (SELECT prtctn_id AS CHAVE_SIMUL, cre_yrly_incm AS CAMPO_SIMUL FROM BU_LOANTAPE_WORK.LT004_PROTECTION WHERE ref_date='${ref_date}' AND nome_perimetro='Individual Local' AND segmento='ESTR' AND ambito='PM' AND entidade='00100')Y ON X.CHAVE_IT=Y.CHAVE_SIMUL</v>
      </c>
      <c r="O582" s="35" t="s">
        <v>35</v>
      </c>
    </row>
    <row r="583" spans="1:15">
      <c r="A583" s="57" t="str">
        <f t="shared" si="18"/>
        <v>Protectionprtctn_typ_pblc_grnt_schm_c19</v>
      </c>
      <c r="B583" s="32" t="s">
        <v>59</v>
      </c>
      <c r="C583" s="32" t="s">
        <v>641</v>
      </c>
      <c r="D583" s="32" t="s">
        <v>5</v>
      </c>
      <c r="E583" s="32" t="str">
        <f>+UPPER('0. Instruções'!$D$35&amp;"."&amp;VLOOKUP(B583,'0. Instruções'!$C$27:$D$32,2,FALSE))</f>
        <v>CD_LOAN_TAPES_BCE.LT004_PROTECTION</v>
      </c>
      <c r="F583" s="32" t="str">
        <f>+UPPER('0. Instruções'!$D$36&amp;"."&amp;VLOOKUP(B583,'0. Instruções'!$C$27:$E$32,3,FALSE))</f>
        <v>BU_LOANTAPE_WORK.LT004_PROTECTION</v>
      </c>
      <c r="H583" s="32"/>
      <c r="I583" s="32"/>
      <c r="J583" s="32" t="str">
        <f>IF(VLOOKUP(B583,'0. Instruções'!$C$27:$G$32,5,FALSE)=0,
"(SELECT "&amp;VLOOKUP(B583,'0. Instruções'!$C$27:$G$32,4,FALSE)&amp;" AS CHAVE_IT, "&amp;C583&amp;" AS CAMPO_IT FROM "&amp;E583&amp;" WHERE "&amp;'0. Instruções'!$D$43&amp;")X",
"(SELECT "&amp;VLOOKUP(B583,'0. Instruções'!$C$27:$G$32,4,FALSE)&amp;" AS CHAVE_IT1, "&amp;VLOOKUP(B583,'0. Instruções'!$C$27:$G$32,5,FALSE)&amp;" AS CHAVE_IT2, "&amp;C583&amp;" AS CAMPO_IT FROM "&amp;E583&amp;" WHERE "&amp;'0. Instruções'!$D$43&amp;")X")</f>
        <v>(SELECT prtctn_id AS CHAVE_IT, prtctn_typ_pblc_grnt_schm_c19 AS CAMPO_IT FROM CD_LOAN_TAPES_BCE.LT004_PROTECTION WHERE ref_date='${ref_date}' AND nome_perimetro='Individual Local' AND segmento='ESTR' AND ambito='PM' AND entidade='00100')X</v>
      </c>
      <c r="K583" s="32" t="str">
        <f>IF(VLOOKUP(B583,'0. Instruções'!$C$27:$G$32,5,FALSE)=0,
"(SELECT "&amp;VLOOKUP(B583,'0. Instruções'!$C$27:$G$32,4,FALSE)&amp;" AS CHAVE_SIMUL, "&amp;C583&amp;" AS CAMPO_SIMUL FROM "&amp;F583&amp;" WHERE "&amp;'0. Instruções'!$D$42&amp;")Y",
"(SELECT "&amp;VLOOKUP(B583,'0. Instruções'!$C$27:$G$32,4,FALSE)&amp;" AS CHAVE_SIMUL1, "&amp;VLOOKUP(B583,'0. Instruções'!$C$27:$G$32,5,FALSE)&amp;" AS CHAVE_SIMUL2, "&amp;C583&amp;" AS CAMPO_SIMUL FROM "&amp;F583&amp;" WHERE "&amp;'0. Instruções'!$D$42&amp;")Y")</f>
        <v>(SELECT prtctn_id AS CHAVE_SIMUL, prtctn_typ_pblc_grnt_schm_c19 AS CAMPO_SIMUL FROM BU_LOANTAPE_WORK.LT004_PROTECTION WHERE ref_date='${ref_date}' AND nome_perimetro='Individual Local' AND segmento='ESTR' AND ambito='PM' AND entidade='00100')Y</v>
      </c>
      <c r="L583" s="32" t="str">
        <f>IF(VLOOKUP(B583,'0. Instruções'!$C$27:$G$32,5,FALSE)=0,
"ON X.CHAVE_IT=Y.CHAVE_SIMUL",
"ON X.CHAVE_IT1=Y.CHAVE_SIMUL1 AND X.CHAVE_IT2=Y.CHAVE_SIMUL2")</f>
        <v>ON X.CHAVE_IT=Y.CHAVE_SIMUL</v>
      </c>
      <c r="M583" s="32" t="str">
        <f>+IF(D583="Coerência",+IF(LEFT(H583,5)="FLOAT","SELECT '"&amp;UPPER(B583)&amp;"' AS TABELA, '"&amp;UPPER(D583)&amp;"' AS TIPOLOGIA_TESTE,'"&amp;E583&amp;"' AS TABELA_LT,'"&amp;F583&amp;"' AS TABELA_SIMUL,'"&amp;C583&amp;"'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"&amp;J583&amp;" INNER JOIN "&amp;K583&amp;" "&amp;L583,"SELECT '"&amp;UPPER(B583)&amp;"' AS TABELA, '"&amp;UPPER(D583)&amp;"' AS TIPOLOGIA_TESTE,'"&amp;E583&amp;"' AS TABELA_LT,'"&amp;F583&amp;"' AS TABELA_SIMUL,'"&amp;C583&amp;"'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"&amp;J583&amp;" INNER JOIN "&amp;K583&amp;" "&amp;L583))</f>
        <v>SELECT 'PROTECTION' AS TABELA, 'COERÊNCIA' AS TIPOLOGIA_TESTE,'CD_LOAN_TAPES_BCE.LT004_PROTECTION' AS TABELA_LT,'BU_LOANTAPE_WORK.LT004_PROTECTION' AS TABELA_SIMUL,'prtctn_typ_pblc_grnt_schm_c19'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prtctn_typ_pblc_grnt_schm_c19 AS CAMPO_IT FROM CD_LOAN_TAPES_BCE.LT004_PROTECTION WHERE ref_date='${ref_date}' AND nome_perimetro='Individual Local' AND segmento='ESTR' AND ambito='PM' AND entidade='00100')X INNER JOIN (SELECT prtctn_id AS CHAVE_SIMUL, prtctn_typ_pblc_grnt_schm_c19 AS CAMPO_SIMUL FROM BU_LOANTAPE_WORK.LT004_PROTECTION WHERE ref_date='${ref_date}' AND nome_perimetro='Individual Local' AND segmento='ESTR' AND ambito='PM' AND entidade='00100')Y ON X.CHAVE_IT=Y.CHAVE_SIMUL</v>
      </c>
      <c r="N583" s="33" t="str">
        <f t="shared" si="19"/>
        <v>UNION ALL SELECT 'PROTECTION' AS TABELA, 'COERÊNCIA' AS TIPOLOGIA_TESTE,'CD_LOAN_TAPES_BCE.LT004_PROTECTION' AS TABELA_LT,'BU_LOANTAPE_WORK.LT004_PROTECTION' AS TABELA_SIMUL,'prtctn_typ_pblc_grnt_schm_c19'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prtctn_typ_pblc_grnt_schm_c19 AS CAMPO_IT FROM CD_LOAN_TAPES_BCE.LT004_PROTECTION WHERE ref_date='${ref_date}' AND nome_perimetro='Individual Local' AND segmento='ESTR' AND ambito='PM' AND entidade='00100')X INNER JOIN (SELECT prtctn_id AS CHAVE_SIMUL, prtctn_typ_pblc_grnt_schm_c19 AS CAMPO_SIMUL FROM BU_LOANTAPE_WORK.LT004_PROTECTION WHERE ref_date='${ref_date}' AND nome_perimetro='Individual Local' AND segmento='ESTR' AND ambito='PM' AND entidade='00100')Y ON X.CHAVE_IT=Y.CHAVE_SIMUL</v>
      </c>
      <c r="O583" s="35" t="s">
        <v>35</v>
      </c>
    </row>
    <row r="584" spans="1:15">
      <c r="A584" s="57" t="str">
        <f t="shared" si="18"/>
        <v>Protectionadd_fld01</v>
      </c>
      <c r="B584" s="32" t="s">
        <v>59</v>
      </c>
      <c r="C584" s="32" t="s">
        <v>347</v>
      </c>
      <c r="D584" s="32" t="s">
        <v>5</v>
      </c>
      <c r="E584" s="32" t="str">
        <f>+UPPER('0. Instruções'!$D$35&amp;"."&amp;VLOOKUP(B584,'0. Instruções'!$C$27:$D$32,2,FALSE))</f>
        <v>CD_LOAN_TAPES_BCE.LT004_PROTECTION</v>
      </c>
      <c r="F584" s="32" t="str">
        <f>+UPPER('0. Instruções'!$D$36&amp;"."&amp;VLOOKUP(B584,'0. Instruções'!$C$27:$E$32,3,FALSE))</f>
        <v>BU_LOANTAPE_WORK.LT004_PROTECTION</v>
      </c>
      <c r="H584" s="32"/>
      <c r="I584" s="32"/>
      <c r="J584" s="32" t="str">
        <f>IF(VLOOKUP(B584,'0. Instruções'!$C$27:$G$32,5,FALSE)=0,
"(SELECT "&amp;VLOOKUP(B584,'0. Instruções'!$C$27:$G$32,4,FALSE)&amp;" AS CHAVE_IT, "&amp;C584&amp;" AS CAMPO_IT FROM "&amp;E584&amp;" WHERE "&amp;'0. Instruções'!$D$43&amp;")X",
"(SELECT "&amp;VLOOKUP(B584,'0. Instruções'!$C$27:$G$32,4,FALSE)&amp;" AS CHAVE_IT1, "&amp;VLOOKUP(B584,'0. Instruções'!$C$27:$G$32,5,FALSE)&amp;" AS CHAVE_IT2, "&amp;C584&amp;" AS CAMPO_IT FROM "&amp;E584&amp;" WHERE "&amp;'0. Instruções'!$D$43&amp;")X")</f>
        <v>(SELECT prtctn_id AS CHAVE_IT, add_fld01 AS CAMPO_IT FROM CD_LOAN_TAPES_BCE.LT004_PROTECTION WHERE ref_date='${ref_date}' AND nome_perimetro='Individual Local' AND segmento='ESTR' AND ambito='PM' AND entidade='00100')X</v>
      </c>
      <c r="K584" s="32" t="str">
        <f>IF(VLOOKUP(B584,'0. Instruções'!$C$27:$G$32,5,FALSE)=0,
"(SELECT "&amp;VLOOKUP(B584,'0. Instruções'!$C$27:$G$32,4,FALSE)&amp;" AS CHAVE_SIMUL, "&amp;C584&amp;" AS CAMPO_SIMUL FROM "&amp;F584&amp;" WHERE "&amp;'0. Instruções'!$D$42&amp;")Y",
"(SELECT "&amp;VLOOKUP(B584,'0. Instruções'!$C$27:$G$32,4,FALSE)&amp;" AS CHAVE_SIMUL1, "&amp;VLOOKUP(B584,'0. Instruções'!$C$27:$G$32,5,FALSE)&amp;" AS CHAVE_SIMUL2, "&amp;C584&amp;" AS CAMPO_SIMUL FROM "&amp;F584&amp;" WHERE "&amp;'0. Instruções'!$D$42&amp;")Y")</f>
        <v>(SELECT prtctn_id AS CHAVE_SIMUL, add_fld01 AS CAMPO_SIMUL FROM BU_LOANTAPE_WORK.LT004_PROTECTION WHERE ref_date='${ref_date}' AND nome_perimetro='Individual Local' AND segmento='ESTR' AND ambito='PM' AND entidade='00100')Y</v>
      </c>
      <c r="L584" s="32" t="str">
        <f>IF(VLOOKUP(B584,'0. Instruções'!$C$27:$G$32,5,FALSE)=0,
"ON X.CHAVE_IT=Y.CHAVE_SIMUL",
"ON X.CHAVE_IT1=Y.CHAVE_SIMUL1 AND X.CHAVE_IT2=Y.CHAVE_SIMUL2")</f>
        <v>ON X.CHAVE_IT=Y.CHAVE_SIMUL</v>
      </c>
      <c r="M584" s="32" t="str">
        <f>+IF(D584="Coerência",+IF(LEFT(H584,5)="FLOAT","SELECT '"&amp;UPPER(B584)&amp;"' AS TABELA, '"&amp;UPPER(D584)&amp;"' AS TIPOLOGIA_TESTE,'"&amp;E584&amp;"' AS TABELA_LT,'"&amp;F584&amp;"' AS TABELA_SIMUL,'"&amp;C584&amp;"'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"&amp;J584&amp;" INNER JOIN "&amp;K584&amp;" "&amp;L584,"SELECT '"&amp;UPPER(B584)&amp;"' AS TABELA, '"&amp;UPPER(D584)&amp;"' AS TIPOLOGIA_TESTE,'"&amp;E584&amp;"' AS TABELA_LT,'"&amp;F584&amp;"' AS TABELA_SIMUL,'"&amp;C584&amp;"'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"&amp;J584&amp;" INNER JOIN "&amp;K584&amp;" "&amp;L584))</f>
        <v>SELECT 'PROTECTION' AS TABELA, 'COERÊNCIA' AS TIPOLOGIA_TESTE,'CD_LOAN_TAPES_BCE.LT004_PROTECTION' AS TABELA_LT,'BU_LOANTAPE_WORK.LT004_PROTECTION'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add_fld01 AS CAMPO_IT FROM CD_LOAN_TAPES_BCE.LT004_PROTECTION WHERE ref_date='${ref_date}' AND nome_perimetro='Individual Local' AND segmento='ESTR' AND ambito='PM' AND entidade='00100')X INNER JOIN (SELECT prtctn_id AS CHAVE_SIMUL, add_fld01 AS CAMPO_SIMUL FROM BU_LOANTAPE_WORK.LT004_PROTECTION WHERE ref_date='${ref_date}' AND nome_perimetro='Individual Local' AND segmento='ESTR' AND ambito='PM' AND entidade='00100')Y ON X.CHAVE_IT=Y.CHAVE_SIMUL</v>
      </c>
      <c r="N584" s="33" t="str">
        <f t="shared" si="19"/>
        <v>UNION ALL SELECT 'PROTECTION' AS TABELA, 'COERÊNCIA' AS TIPOLOGIA_TESTE,'CD_LOAN_TAPES_BCE.LT004_PROTECTION' AS TABELA_LT,'BU_LOANTAPE_WORK.LT004_PROTECTION'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add_fld01 AS CAMPO_IT FROM CD_LOAN_TAPES_BCE.LT004_PROTECTION WHERE ref_date='${ref_date}' AND nome_perimetro='Individual Local' AND segmento='ESTR' AND ambito='PM' AND entidade='00100')X INNER JOIN (SELECT prtctn_id AS CHAVE_SIMUL, add_fld01 AS CAMPO_SIMUL FROM BU_LOANTAPE_WORK.LT004_PROTECTION WHERE ref_date='${ref_date}' AND nome_perimetro='Individual Local' AND segmento='ESTR' AND ambito='PM' AND entidade='00100')Y ON X.CHAVE_IT=Y.CHAVE_SIMUL</v>
      </c>
      <c r="O584" s="35" t="s">
        <v>35</v>
      </c>
    </row>
    <row r="585" spans="1:15">
      <c r="A585" s="57" t="str">
        <f t="shared" ref="A585:A648" si="20">+B585&amp;C585</f>
        <v>Protectionadd_fld02</v>
      </c>
      <c r="B585" s="32" t="s">
        <v>59</v>
      </c>
      <c r="C585" s="32" t="s">
        <v>348</v>
      </c>
      <c r="D585" s="32" t="s">
        <v>5</v>
      </c>
      <c r="E585" s="32" t="str">
        <f>+UPPER('0. Instruções'!$D$35&amp;"."&amp;VLOOKUP(B585,'0. Instruções'!$C$27:$D$32,2,FALSE))</f>
        <v>CD_LOAN_TAPES_BCE.LT004_PROTECTION</v>
      </c>
      <c r="F585" s="32" t="str">
        <f>+UPPER('0. Instruções'!$D$36&amp;"."&amp;VLOOKUP(B585,'0. Instruções'!$C$27:$E$32,3,FALSE))</f>
        <v>BU_LOANTAPE_WORK.LT004_PROTECTION</v>
      </c>
      <c r="H585" s="32"/>
      <c r="I585" s="32"/>
      <c r="J585" s="32" t="str">
        <f>IF(VLOOKUP(B585,'0. Instruções'!$C$27:$G$32,5,FALSE)=0,
"(SELECT "&amp;VLOOKUP(B585,'0. Instruções'!$C$27:$G$32,4,FALSE)&amp;" AS CHAVE_IT, "&amp;C585&amp;" AS CAMPO_IT FROM "&amp;E585&amp;" WHERE "&amp;'0. Instruções'!$D$43&amp;")X",
"(SELECT "&amp;VLOOKUP(B585,'0. Instruções'!$C$27:$G$32,4,FALSE)&amp;" AS CHAVE_IT1, "&amp;VLOOKUP(B585,'0. Instruções'!$C$27:$G$32,5,FALSE)&amp;" AS CHAVE_IT2, "&amp;C585&amp;" AS CAMPO_IT FROM "&amp;E585&amp;" WHERE "&amp;'0. Instruções'!$D$43&amp;")X")</f>
        <v>(SELECT prtctn_id AS CHAVE_IT, add_fld02 AS CAMPO_IT FROM CD_LOAN_TAPES_BCE.LT004_PROTECTION WHERE ref_date='${ref_date}' AND nome_perimetro='Individual Local' AND segmento='ESTR' AND ambito='PM' AND entidade='00100')X</v>
      </c>
      <c r="K585" s="32" t="str">
        <f>IF(VLOOKUP(B585,'0. Instruções'!$C$27:$G$32,5,FALSE)=0,
"(SELECT "&amp;VLOOKUP(B585,'0. Instruções'!$C$27:$G$32,4,FALSE)&amp;" AS CHAVE_SIMUL, "&amp;C585&amp;" AS CAMPO_SIMUL FROM "&amp;F585&amp;" WHERE "&amp;'0. Instruções'!$D$42&amp;")Y",
"(SELECT "&amp;VLOOKUP(B585,'0. Instruções'!$C$27:$G$32,4,FALSE)&amp;" AS CHAVE_SIMUL1, "&amp;VLOOKUP(B585,'0. Instruções'!$C$27:$G$32,5,FALSE)&amp;" AS CHAVE_SIMUL2, "&amp;C585&amp;" AS CAMPO_SIMUL FROM "&amp;F585&amp;" WHERE "&amp;'0. Instruções'!$D$42&amp;")Y")</f>
        <v>(SELECT prtctn_id AS CHAVE_SIMUL, add_fld02 AS CAMPO_SIMUL FROM BU_LOANTAPE_WORK.LT004_PROTECTION WHERE ref_date='${ref_date}' AND nome_perimetro='Individual Local' AND segmento='ESTR' AND ambito='PM' AND entidade='00100')Y</v>
      </c>
      <c r="L585" s="32" t="str">
        <f>IF(VLOOKUP(B585,'0. Instruções'!$C$27:$G$32,5,FALSE)=0,
"ON X.CHAVE_IT=Y.CHAVE_SIMUL",
"ON X.CHAVE_IT1=Y.CHAVE_SIMUL1 AND X.CHAVE_IT2=Y.CHAVE_SIMUL2")</f>
        <v>ON X.CHAVE_IT=Y.CHAVE_SIMUL</v>
      </c>
      <c r="M585" s="32" t="str">
        <f>+IF(D585="Coerência",+IF(LEFT(H585,5)="FLOAT","SELECT '"&amp;UPPER(B585)&amp;"' AS TABELA, '"&amp;UPPER(D585)&amp;"' AS TIPOLOGIA_TESTE,'"&amp;E585&amp;"' AS TABELA_LT,'"&amp;F585&amp;"' AS TABELA_SIMUL,'"&amp;C585&amp;"'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"&amp;J585&amp;" INNER JOIN "&amp;K585&amp;" "&amp;L585,"SELECT '"&amp;UPPER(B585)&amp;"' AS TABELA, '"&amp;UPPER(D585)&amp;"' AS TIPOLOGIA_TESTE,'"&amp;E585&amp;"' AS TABELA_LT,'"&amp;F585&amp;"' AS TABELA_SIMUL,'"&amp;C585&amp;"'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"&amp;J585&amp;" INNER JOIN "&amp;K585&amp;" "&amp;L585))</f>
        <v>SELECT 'PROTECTION' AS TABELA, 'COERÊNCIA' AS TIPOLOGIA_TESTE,'CD_LOAN_TAPES_BCE.LT004_PROTECTION' AS TABELA_LT,'BU_LOANTAPE_WORK.LT004_PROTECTION'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add_fld02 AS CAMPO_IT FROM CD_LOAN_TAPES_BCE.LT004_PROTECTION WHERE ref_date='${ref_date}' AND nome_perimetro='Individual Local' AND segmento='ESTR' AND ambito='PM' AND entidade='00100')X INNER JOIN (SELECT prtctn_id AS CHAVE_SIMUL, add_fld02 AS CAMPO_SIMUL FROM BU_LOANTAPE_WORK.LT004_PROTECTION WHERE ref_date='${ref_date}' AND nome_perimetro='Individual Local' AND segmento='ESTR' AND ambito='PM' AND entidade='00100')Y ON X.CHAVE_IT=Y.CHAVE_SIMUL</v>
      </c>
      <c r="N585" s="33" t="str">
        <f t="shared" si="19"/>
        <v>UNION ALL SELECT 'PROTECTION' AS TABELA, 'COERÊNCIA' AS TIPOLOGIA_TESTE,'CD_LOAN_TAPES_BCE.LT004_PROTECTION' AS TABELA_LT,'BU_LOANTAPE_WORK.LT004_PROTECTION'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add_fld02 AS CAMPO_IT FROM CD_LOAN_TAPES_BCE.LT004_PROTECTION WHERE ref_date='${ref_date}' AND nome_perimetro='Individual Local' AND segmento='ESTR' AND ambito='PM' AND entidade='00100')X INNER JOIN (SELECT prtctn_id AS CHAVE_SIMUL, add_fld02 AS CAMPO_SIMUL FROM BU_LOANTAPE_WORK.LT004_PROTECTION WHERE ref_date='${ref_date}' AND nome_perimetro='Individual Local' AND segmento='ESTR' AND ambito='PM' AND entidade='00100')Y ON X.CHAVE_IT=Y.CHAVE_SIMUL</v>
      </c>
      <c r="O585" s="35" t="s">
        <v>35</v>
      </c>
    </row>
    <row r="586" spans="1:15">
      <c r="A586" s="57" t="str">
        <f t="shared" si="20"/>
        <v>Protectionadd_fld03</v>
      </c>
      <c r="B586" s="32" t="s">
        <v>59</v>
      </c>
      <c r="C586" s="32" t="s">
        <v>349</v>
      </c>
      <c r="D586" s="32" t="s">
        <v>5</v>
      </c>
      <c r="E586" s="32" t="str">
        <f>+UPPER('0. Instruções'!$D$35&amp;"."&amp;VLOOKUP(B586,'0. Instruções'!$C$27:$D$32,2,FALSE))</f>
        <v>CD_LOAN_TAPES_BCE.LT004_PROTECTION</v>
      </c>
      <c r="F586" s="32" t="str">
        <f>+UPPER('0. Instruções'!$D$36&amp;"."&amp;VLOOKUP(B586,'0. Instruções'!$C$27:$E$32,3,FALSE))</f>
        <v>BU_LOANTAPE_WORK.LT004_PROTECTION</v>
      </c>
      <c r="H586" s="32"/>
      <c r="I586" s="32"/>
      <c r="J586" s="32" t="str">
        <f>IF(VLOOKUP(B586,'0. Instruções'!$C$27:$G$32,5,FALSE)=0,
"(SELECT "&amp;VLOOKUP(B586,'0. Instruções'!$C$27:$G$32,4,FALSE)&amp;" AS CHAVE_IT, "&amp;C586&amp;" AS CAMPO_IT FROM "&amp;E586&amp;" WHERE "&amp;'0. Instruções'!$D$43&amp;")X",
"(SELECT "&amp;VLOOKUP(B586,'0. Instruções'!$C$27:$G$32,4,FALSE)&amp;" AS CHAVE_IT1, "&amp;VLOOKUP(B586,'0. Instruções'!$C$27:$G$32,5,FALSE)&amp;" AS CHAVE_IT2, "&amp;C586&amp;" AS CAMPO_IT FROM "&amp;E586&amp;" WHERE "&amp;'0. Instruções'!$D$43&amp;")X")</f>
        <v>(SELECT prtctn_id AS CHAVE_IT, add_fld03 AS CAMPO_IT FROM CD_LOAN_TAPES_BCE.LT004_PROTECTION WHERE ref_date='${ref_date}' AND nome_perimetro='Individual Local' AND segmento='ESTR' AND ambito='PM' AND entidade='00100')X</v>
      </c>
      <c r="K586" s="32" t="str">
        <f>IF(VLOOKUP(B586,'0. Instruções'!$C$27:$G$32,5,FALSE)=0,
"(SELECT "&amp;VLOOKUP(B586,'0. Instruções'!$C$27:$G$32,4,FALSE)&amp;" AS CHAVE_SIMUL, "&amp;C586&amp;" AS CAMPO_SIMUL FROM "&amp;F586&amp;" WHERE "&amp;'0. Instruções'!$D$42&amp;")Y",
"(SELECT "&amp;VLOOKUP(B586,'0. Instruções'!$C$27:$G$32,4,FALSE)&amp;" AS CHAVE_SIMUL1, "&amp;VLOOKUP(B586,'0. Instruções'!$C$27:$G$32,5,FALSE)&amp;" AS CHAVE_SIMUL2, "&amp;C586&amp;" AS CAMPO_SIMUL FROM "&amp;F586&amp;" WHERE "&amp;'0. Instruções'!$D$42&amp;")Y")</f>
        <v>(SELECT prtctn_id AS CHAVE_SIMUL, add_fld03 AS CAMPO_SIMUL FROM BU_LOANTAPE_WORK.LT004_PROTECTION WHERE ref_date='${ref_date}' AND nome_perimetro='Individual Local' AND segmento='ESTR' AND ambito='PM' AND entidade='00100')Y</v>
      </c>
      <c r="L586" s="32" t="str">
        <f>IF(VLOOKUP(B586,'0. Instruções'!$C$27:$G$32,5,FALSE)=0,
"ON X.CHAVE_IT=Y.CHAVE_SIMUL",
"ON X.CHAVE_IT1=Y.CHAVE_SIMUL1 AND X.CHAVE_IT2=Y.CHAVE_SIMUL2")</f>
        <v>ON X.CHAVE_IT=Y.CHAVE_SIMUL</v>
      </c>
      <c r="M586" s="32" t="str">
        <f>+IF(D586="Coerência",+IF(LEFT(H586,5)="FLOAT","SELECT '"&amp;UPPER(B586)&amp;"' AS TABELA, '"&amp;UPPER(D586)&amp;"' AS TIPOLOGIA_TESTE,'"&amp;E586&amp;"' AS TABELA_LT,'"&amp;F586&amp;"' AS TABELA_SIMUL,'"&amp;C586&amp;"'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"&amp;J586&amp;" INNER JOIN "&amp;K586&amp;" "&amp;L586,"SELECT '"&amp;UPPER(B586)&amp;"' AS TABELA, '"&amp;UPPER(D586)&amp;"' AS TIPOLOGIA_TESTE,'"&amp;E586&amp;"' AS TABELA_LT,'"&amp;F586&amp;"' AS TABELA_SIMUL,'"&amp;C586&amp;"'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"&amp;J586&amp;" INNER JOIN "&amp;K586&amp;" "&amp;L586))</f>
        <v>SELECT 'PROTECTION' AS TABELA, 'COERÊNCIA' AS TIPOLOGIA_TESTE,'CD_LOAN_TAPES_BCE.LT004_PROTECTION' AS TABELA_LT,'BU_LOANTAPE_WORK.LT004_PROTECTION'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add_fld03 AS CAMPO_IT FROM CD_LOAN_TAPES_BCE.LT004_PROTECTION WHERE ref_date='${ref_date}' AND nome_perimetro='Individual Local' AND segmento='ESTR' AND ambito='PM' AND entidade='00100')X INNER JOIN (SELECT prtctn_id AS CHAVE_SIMUL, add_fld03 AS CAMPO_SIMUL FROM BU_LOANTAPE_WORK.LT004_PROTECTION WHERE ref_date='${ref_date}' AND nome_perimetro='Individual Local' AND segmento='ESTR' AND ambito='PM' AND entidade='00100')Y ON X.CHAVE_IT=Y.CHAVE_SIMUL</v>
      </c>
      <c r="N586" s="33" t="str">
        <f t="shared" si="19"/>
        <v>UNION ALL SELECT 'PROTECTION' AS TABELA, 'COERÊNCIA' AS TIPOLOGIA_TESTE,'CD_LOAN_TAPES_BCE.LT004_PROTECTION' AS TABELA_LT,'BU_LOANTAPE_WORK.LT004_PROTECTION'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add_fld03 AS CAMPO_IT FROM CD_LOAN_TAPES_BCE.LT004_PROTECTION WHERE ref_date='${ref_date}' AND nome_perimetro='Individual Local' AND segmento='ESTR' AND ambito='PM' AND entidade='00100')X INNER JOIN (SELECT prtctn_id AS CHAVE_SIMUL, add_fld03 AS CAMPO_SIMUL FROM BU_LOANTAPE_WORK.LT004_PROTECTION WHERE ref_date='${ref_date}' AND nome_perimetro='Individual Local' AND segmento='ESTR' AND ambito='PM' AND entidade='00100')Y ON X.CHAVE_IT=Y.CHAVE_SIMUL</v>
      </c>
      <c r="O586" s="35" t="s">
        <v>35</v>
      </c>
    </row>
    <row r="587" spans="1:15">
      <c r="A587" s="57" t="str">
        <f t="shared" si="20"/>
        <v>Protectionadd_fld04</v>
      </c>
      <c r="B587" s="32" t="s">
        <v>59</v>
      </c>
      <c r="C587" s="32" t="s">
        <v>350</v>
      </c>
      <c r="D587" s="32" t="s">
        <v>5</v>
      </c>
      <c r="E587" s="32" t="str">
        <f>+UPPER('0. Instruções'!$D$35&amp;"."&amp;VLOOKUP(B587,'0. Instruções'!$C$27:$D$32,2,FALSE))</f>
        <v>CD_LOAN_TAPES_BCE.LT004_PROTECTION</v>
      </c>
      <c r="F587" s="32" t="str">
        <f>+UPPER('0. Instruções'!$D$36&amp;"."&amp;VLOOKUP(B587,'0. Instruções'!$C$27:$E$32,3,FALSE))</f>
        <v>BU_LOANTAPE_WORK.LT004_PROTECTION</v>
      </c>
      <c r="H587" s="32"/>
      <c r="I587" s="32"/>
      <c r="J587" s="32" t="str">
        <f>IF(VLOOKUP(B587,'0. Instruções'!$C$27:$G$32,5,FALSE)=0,
"(SELECT "&amp;VLOOKUP(B587,'0. Instruções'!$C$27:$G$32,4,FALSE)&amp;" AS CHAVE_IT, "&amp;C587&amp;" AS CAMPO_IT FROM "&amp;E587&amp;" WHERE "&amp;'0. Instruções'!$D$43&amp;")X",
"(SELECT "&amp;VLOOKUP(B587,'0. Instruções'!$C$27:$G$32,4,FALSE)&amp;" AS CHAVE_IT1, "&amp;VLOOKUP(B587,'0. Instruções'!$C$27:$G$32,5,FALSE)&amp;" AS CHAVE_IT2, "&amp;C587&amp;" AS CAMPO_IT FROM "&amp;E587&amp;" WHERE "&amp;'0. Instruções'!$D$43&amp;")X")</f>
        <v>(SELECT prtctn_id AS CHAVE_IT, add_fld04 AS CAMPO_IT FROM CD_LOAN_TAPES_BCE.LT004_PROTECTION WHERE ref_date='${ref_date}' AND nome_perimetro='Individual Local' AND segmento='ESTR' AND ambito='PM' AND entidade='00100')X</v>
      </c>
      <c r="K587" s="32" t="str">
        <f>IF(VLOOKUP(B587,'0. Instruções'!$C$27:$G$32,5,FALSE)=0,
"(SELECT "&amp;VLOOKUP(B587,'0. Instruções'!$C$27:$G$32,4,FALSE)&amp;" AS CHAVE_SIMUL, "&amp;C587&amp;" AS CAMPO_SIMUL FROM "&amp;F587&amp;" WHERE "&amp;'0. Instruções'!$D$42&amp;")Y",
"(SELECT "&amp;VLOOKUP(B587,'0. Instruções'!$C$27:$G$32,4,FALSE)&amp;" AS CHAVE_SIMUL1, "&amp;VLOOKUP(B587,'0. Instruções'!$C$27:$G$32,5,FALSE)&amp;" AS CHAVE_SIMUL2, "&amp;C587&amp;" AS CAMPO_SIMUL FROM "&amp;F587&amp;" WHERE "&amp;'0. Instruções'!$D$42&amp;")Y")</f>
        <v>(SELECT prtctn_id AS CHAVE_SIMUL, add_fld04 AS CAMPO_SIMUL FROM BU_LOANTAPE_WORK.LT004_PROTECTION WHERE ref_date='${ref_date}' AND nome_perimetro='Individual Local' AND segmento='ESTR' AND ambito='PM' AND entidade='00100')Y</v>
      </c>
      <c r="L587" s="32" t="str">
        <f>IF(VLOOKUP(B587,'0. Instruções'!$C$27:$G$32,5,FALSE)=0,
"ON X.CHAVE_IT=Y.CHAVE_SIMUL",
"ON X.CHAVE_IT1=Y.CHAVE_SIMUL1 AND X.CHAVE_IT2=Y.CHAVE_SIMUL2")</f>
        <v>ON X.CHAVE_IT=Y.CHAVE_SIMUL</v>
      </c>
      <c r="M587" s="32" t="str">
        <f>+IF(D587="Coerência",+IF(LEFT(H587,5)="FLOAT","SELECT '"&amp;UPPER(B587)&amp;"' AS TABELA, '"&amp;UPPER(D587)&amp;"' AS TIPOLOGIA_TESTE,'"&amp;E587&amp;"' AS TABELA_LT,'"&amp;F587&amp;"' AS TABELA_SIMUL,'"&amp;C587&amp;"'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"&amp;J587&amp;" INNER JOIN "&amp;K587&amp;" "&amp;L587,"SELECT '"&amp;UPPER(B587)&amp;"' AS TABELA, '"&amp;UPPER(D587)&amp;"' AS TIPOLOGIA_TESTE,'"&amp;E587&amp;"' AS TABELA_LT,'"&amp;F587&amp;"' AS TABELA_SIMUL,'"&amp;C587&amp;"'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"&amp;J587&amp;" INNER JOIN "&amp;K587&amp;" "&amp;L587))</f>
        <v>SELECT 'PROTECTION' AS TABELA, 'COERÊNCIA' AS TIPOLOGIA_TESTE,'CD_LOAN_TAPES_BCE.LT004_PROTECTION' AS TABELA_LT,'BU_LOANTAPE_WORK.LT004_PROTECTION'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add_fld04 AS CAMPO_IT FROM CD_LOAN_TAPES_BCE.LT004_PROTECTION WHERE ref_date='${ref_date}' AND nome_perimetro='Individual Local' AND segmento='ESTR' AND ambito='PM' AND entidade='00100')X INNER JOIN (SELECT prtctn_id AS CHAVE_SIMUL, add_fld04 AS CAMPO_SIMUL FROM BU_LOANTAPE_WORK.LT004_PROTECTION WHERE ref_date='${ref_date}' AND nome_perimetro='Individual Local' AND segmento='ESTR' AND ambito='PM' AND entidade='00100')Y ON X.CHAVE_IT=Y.CHAVE_SIMUL</v>
      </c>
      <c r="N587" s="33" t="str">
        <f t="shared" si="19"/>
        <v>UNION ALL SELECT 'PROTECTION' AS TABELA, 'COERÊNCIA' AS TIPOLOGIA_TESTE,'CD_LOAN_TAPES_BCE.LT004_PROTECTION' AS TABELA_LT,'BU_LOANTAPE_WORK.LT004_PROTECTION'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add_fld04 AS CAMPO_IT FROM CD_LOAN_TAPES_BCE.LT004_PROTECTION WHERE ref_date='${ref_date}' AND nome_perimetro='Individual Local' AND segmento='ESTR' AND ambito='PM' AND entidade='00100')X INNER JOIN (SELECT prtctn_id AS CHAVE_SIMUL, add_fld04 AS CAMPO_SIMUL FROM BU_LOANTAPE_WORK.LT004_PROTECTION WHERE ref_date='${ref_date}' AND nome_perimetro='Individual Local' AND segmento='ESTR' AND ambito='PM' AND entidade='00100')Y ON X.CHAVE_IT=Y.CHAVE_SIMUL</v>
      </c>
      <c r="O587" s="35" t="s">
        <v>35</v>
      </c>
    </row>
    <row r="588" spans="1:15">
      <c r="A588" s="57" t="str">
        <f t="shared" si="20"/>
        <v>Protectionadd_fld05</v>
      </c>
      <c r="B588" s="32" t="s">
        <v>59</v>
      </c>
      <c r="C588" s="32" t="s">
        <v>351</v>
      </c>
      <c r="D588" s="32" t="s">
        <v>5</v>
      </c>
      <c r="E588" s="32" t="str">
        <f>+UPPER('0. Instruções'!$D$35&amp;"."&amp;VLOOKUP(B588,'0. Instruções'!$C$27:$D$32,2,FALSE))</f>
        <v>CD_LOAN_TAPES_BCE.LT004_PROTECTION</v>
      </c>
      <c r="F588" s="32" t="str">
        <f>+UPPER('0. Instruções'!$D$36&amp;"."&amp;VLOOKUP(B588,'0. Instruções'!$C$27:$E$32,3,FALSE))</f>
        <v>BU_LOANTAPE_WORK.LT004_PROTECTION</v>
      </c>
      <c r="H588" s="32"/>
      <c r="I588" s="32"/>
      <c r="J588" s="32" t="str">
        <f>IF(VLOOKUP(B588,'0. Instruções'!$C$27:$G$32,5,FALSE)=0,
"(SELECT "&amp;VLOOKUP(B588,'0. Instruções'!$C$27:$G$32,4,FALSE)&amp;" AS CHAVE_IT, "&amp;C588&amp;" AS CAMPO_IT FROM "&amp;E588&amp;" WHERE "&amp;'0. Instruções'!$D$43&amp;")X",
"(SELECT "&amp;VLOOKUP(B588,'0. Instruções'!$C$27:$G$32,4,FALSE)&amp;" AS CHAVE_IT1, "&amp;VLOOKUP(B588,'0. Instruções'!$C$27:$G$32,5,FALSE)&amp;" AS CHAVE_IT2, "&amp;C588&amp;" AS CAMPO_IT FROM "&amp;E588&amp;" WHERE "&amp;'0. Instruções'!$D$43&amp;")X")</f>
        <v>(SELECT prtctn_id AS CHAVE_IT, add_fld05 AS CAMPO_IT FROM CD_LOAN_TAPES_BCE.LT004_PROTECTION WHERE ref_date='${ref_date}' AND nome_perimetro='Individual Local' AND segmento='ESTR' AND ambito='PM' AND entidade='00100')X</v>
      </c>
      <c r="K588" s="32" t="str">
        <f>IF(VLOOKUP(B588,'0. Instruções'!$C$27:$G$32,5,FALSE)=0,
"(SELECT "&amp;VLOOKUP(B588,'0. Instruções'!$C$27:$G$32,4,FALSE)&amp;" AS CHAVE_SIMUL, "&amp;C588&amp;" AS CAMPO_SIMUL FROM "&amp;F588&amp;" WHERE "&amp;'0. Instruções'!$D$42&amp;")Y",
"(SELECT "&amp;VLOOKUP(B588,'0. Instruções'!$C$27:$G$32,4,FALSE)&amp;" AS CHAVE_SIMUL1, "&amp;VLOOKUP(B588,'0. Instruções'!$C$27:$G$32,5,FALSE)&amp;" AS CHAVE_SIMUL2, "&amp;C588&amp;" AS CAMPO_SIMUL FROM "&amp;F588&amp;" WHERE "&amp;'0. Instruções'!$D$42&amp;")Y")</f>
        <v>(SELECT prtctn_id AS CHAVE_SIMUL, add_fld05 AS CAMPO_SIMUL FROM BU_LOANTAPE_WORK.LT004_PROTECTION WHERE ref_date='${ref_date}' AND nome_perimetro='Individual Local' AND segmento='ESTR' AND ambito='PM' AND entidade='00100')Y</v>
      </c>
      <c r="L588" s="32" t="str">
        <f>IF(VLOOKUP(B588,'0. Instruções'!$C$27:$G$32,5,FALSE)=0,
"ON X.CHAVE_IT=Y.CHAVE_SIMUL",
"ON X.CHAVE_IT1=Y.CHAVE_SIMUL1 AND X.CHAVE_IT2=Y.CHAVE_SIMUL2")</f>
        <v>ON X.CHAVE_IT=Y.CHAVE_SIMUL</v>
      </c>
      <c r="M588" s="32" t="str">
        <f>+IF(D588="Coerência",+IF(LEFT(H588,5)="FLOAT","SELECT '"&amp;UPPER(B588)&amp;"' AS TABELA, '"&amp;UPPER(D588)&amp;"' AS TIPOLOGIA_TESTE,'"&amp;E588&amp;"' AS TABELA_LT,'"&amp;F588&amp;"' AS TABELA_SIMUL,'"&amp;C588&amp;"'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"&amp;J588&amp;" INNER JOIN "&amp;K588&amp;" "&amp;L588,"SELECT '"&amp;UPPER(B588)&amp;"' AS TABELA, '"&amp;UPPER(D588)&amp;"' AS TIPOLOGIA_TESTE,'"&amp;E588&amp;"' AS TABELA_LT,'"&amp;F588&amp;"' AS TABELA_SIMUL,'"&amp;C588&amp;"'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"&amp;J588&amp;" INNER JOIN "&amp;K588&amp;" "&amp;L588))</f>
        <v>SELECT 'PROTECTION' AS TABELA, 'COERÊNCIA' AS TIPOLOGIA_TESTE,'CD_LOAN_TAPES_BCE.LT004_PROTECTION' AS TABELA_LT,'BU_LOANTAPE_WORK.LT004_PROTECTION'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add_fld05 AS CAMPO_IT FROM CD_LOAN_TAPES_BCE.LT004_PROTECTION WHERE ref_date='${ref_date}' AND nome_perimetro='Individual Local' AND segmento='ESTR' AND ambito='PM' AND entidade='00100')X INNER JOIN (SELECT prtctn_id AS CHAVE_SIMUL, add_fld05 AS CAMPO_SIMUL FROM BU_LOANTAPE_WORK.LT004_PROTECTION WHERE ref_date='${ref_date}' AND nome_perimetro='Individual Local' AND segmento='ESTR' AND ambito='PM' AND entidade='00100')Y ON X.CHAVE_IT=Y.CHAVE_SIMUL</v>
      </c>
      <c r="N588" s="33" t="str">
        <f t="shared" si="19"/>
        <v>UNION ALL SELECT 'PROTECTION' AS TABELA, 'COERÊNCIA' AS TIPOLOGIA_TESTE,'CD_LOAN_TAPES_BCE.LT004_PROTECTION' AS TABELA_LT,'BU_LOANTAPE_WORK.LT004_PROTECTION'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add_fld05 AS CAMPO_IT FROM CD_LOAN_TAPES_BCE.LT004_PROTECTION WHERE ref_date='${ref_date}' AND nome_perimetro='Individual Local' AND segmento='ESTR' AND ambito='PM' AND entidade='00100')X INNER JOIN (SELECT prtctn_id AS CHAVE_SIMUL, add_fld05 AS CAMPO_SIMUL FROM BU_LOANTAPE_WORK.LT004_PROTECTION WHERE ref_date='${ref_date}' AND nome_perimetro='Individual Local' AND segmento='ESTR' AND ambito='PM' AND entidade='00100')Y ON X.CHAVE_IT=Y.CHAVE_SIMUL</v>
      </c>
      <c r="O588" s="35" t="s">
        <v>35</v>
      </c>
    </row>
    <row r="589" spans="1:15">
      <c r="A589" s="57" t="str">
        <f t="shared" si="20"/>
        <v>Protectionadd_fld06</v>
      </c>
      <c r="B589" s="32" t="s">
        <v>59</v>
      </c>
      <c r="C589" s="32" t="s">
        <v>352</v>
      </c>
      <c r="D589" s="32" t="s">
        <v>5</v>
      </c>
      <c r="E589" s="32" t="str">
        <f>+UPPER('0. Instruções'!$D$35&amp;"."&amp;VLOOKUP(B589,'0. Instruções'!$C$27:$D$32,2,FALSE))</f>
        <v>CD_LOAN_TAPES_BCE.LT004_PROTECTION</v>
      </c>
      <c r="F589" s="32" t="str">
        <f>+UPPER('0. Instruções'!$D$36&amp;"."&amp;VLOOKUP(B589,'0. Instruções'!$C$27:$E$32,3,FALSE))</f>
        <v>BU_LOANTAPE_WORK.LT004_PROTECTION</v>
      </c>
      <c r="H589" s="32"/>
      <c r="I589" s="32"/>
      <c r="J589" s="32" t="str">
        <f>IF(VLOOKUP(B589,'0. Instruções'!$C$27:$G$32,5,FALSE)=0,
"(SELECT "&amp;VLOOKUP(B589,'0. Instruções'!$C$27:$G$32,4,FALSE)&amp;" AS CHAVE_IT, "&amp;C589&amp;" AS CAMPO_IT FROM "&amp;E589&amp;" WHERE "&amp;'0. Instruções'!$D$43&amp;")X",
"(SELECT "&amp;VLOOKUP(B589,'0. Instruções'!$C$27:$G$32,4,FALSE)&amp;" AS CHAVE_IT1, "&amp;VLOOKUP(B589,'0. Instruções'!$C$27:$G$32,5,FALSE)&amp;" AS CHAVE_IT2, "&amp;C589&amp;" AS CAMPO_IT FROM "&amp;E589&amp;" WHERE "&amp;'0. Instruções'!$D$43&amp;")X")</f>
        <v>(SELECT prtctn_id AS CHAVE_IT, add_fld06 AS CAMPO_IT FROM CD_LOAN_TAPES_BCE.LT004_PROTECTION WHERE ref_date='${ref_date}' AND nome_perimetro='Individual Local' AND segmento='ESTR' AND ambito='PM' AND entidade='00100')X</v>
      </c>
      <c r="K589" s="32" t="str">
        <f>IF(VLOOKUP(B589,'0. Instruções'!$C$27:$G$32,5,FALSE)=0,
"(SELECT "&amp;VLOOKUP(B589,'0. Instruções'!$C$27:$G$32,4,FALSE)&amp;" AS CHAVE_SIMUL, "&amp;C589&amp;" AS CAMPO_SIMUL FROM "&amp;F589&amp;" WHERE "&amp;'0. Instruções'!$D$42&amp;")Y",
"(SELECT "&amp;VLOOKUP(B589,'0. Instruções'!$C$27:$G$32,4,FALSE)&amp;" AS CHAVE_SIMUL1, "&amp;VLOOKUP(B589,'0. Instruções'!$C$27:$G$32,5,FALSE)&amp;" AS CHAVE_SIMUL2, "&amp;C589&amp;" AS CAMPO_SIMUL FROM "&amp;F589&amp;" WHERE "&amp;'0. Instruções'!$D$42&amp;")Y")</f>
        <v>(SELECT prtctn_id AS CHAVE_SIMUL, add_fld06 AS CAMPO_SIMUL FROM BU_LOANTAPE_WORK.LT004_PROTECTION WHERE ref_date='${ref_date}' AND nome_perimetro='Individual Local' AND segmento='ESTR' AND ambito='PM' AND entidade='00100')Y</v>
      </c>
      <c r="L589" s="32" t="str">
        <f>IF(VLOOKUP(B589,'0. Instruções'!$C$27:$G$32,5,FALSE)=0,
"ON X.CHAVE_IT=Y.CHAVE_SIMUL",
"ON X.CHAVE_IT1=Y.CHAVE_SIMUL1 AND X.CHAVE_IT2=Y.CHAVE_SIMUL2")</f>
        <v>ON X.CHAVE_IT=Y.CHAVE_SIMUL</v>
      </c>
      <c r="M589" s="32" t="str">
        <f>+IF(D589="Coerência",+IF(LEFT(H589,5)="FLOAT","SELECT '"&amp;UPPER(B589)&amp;"' AS TABELA, '"&amp;UPPER(D589)&amp;"' AS TIPOLOGIA_TESTE,'"&amp;E589&amp;"' AS TABELA_LT,'"&amp;F589&amp;"' AS TABELA_SIMUL,'"&amp;C589&amp;"'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"&amp;J589&amp;" INNER JOIN "&amp;K589&amp;" "&amp;L589,"SELECT '"&amp;UPPER(B589)&amp;"' AS TABELA, '"&amp;UPPER(D589)&amp;"' AS TIPOLOGIA_TESTE,'"&amp;E589&amp;"' AS TABELA_LT,'"&amp;F589&amp;"' AS TABELA_SIMUL,'"&amp;C589&amp;"'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"&amp;J589&amp;" INNER JOIN "&amp;K589&amp;" "&amp;L589))</f>
        <v>SELECT 'PROTECTION' AS TABELA, 'COERÊNCIA' AS TIPOLOGIA_TESTE,'CD_LOAN_TAPES_BCE.LT004_PROTECTION' AS TABELA_LT,'BU_LOANTAPE_WORK.LT004_PROTECTION'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add_fld06 AS CAMPO_IT FROM CD_LOAN_TAPES_BCE.LT004_PROTECTION WHERE ref_date='${ref_date}' AND nome_perimetro='Individual Local' AND segmento='ESTR' AND ambito='PM' AND entidade='00100')X INNER JOIN (SELECT prtctn_id AS CHAVE_SIMUL, add_fld06 AS CAMPO_SIMUL FROM BU_LOANTAPE_WORK.LT004_PROTECTION WHERE ref_date='${ref_date}' AND nome_perimetro='Individual Local' AND segmento='ESTR' AND ambito='PM' AND entidade='00100')Y ON X.CHAVE_IT=Y.CHAVE_SIMUL</v>
      </c>
      <c r="N589" s="33" t="str">
        <f t="shared" si="19"/>
        <v>UNION ALL SELECT 'PROTECTION' AS TABELA, 'COERÊNCIA' AS TIPOLOGIA_TESTE,'CD_LOAN_TAPES_BCE.LT004_PROTECTION' AS TABELA_LT,'BU_LOANTAPE_WORK.LT004_PROTECTION' AS TABELA_SIMUL,'add_fld06'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add_fld06 AS CAMPO_IT FROM CD_LOAN_TAPES_BCE.LT004_PROTECTION WHERE ref_date='${ref_date}' AND nome_perimetro='Individual Local' AND segmento='ESTR' AND ambito='PM' AND entidade='00100')X INNER JOIN (SELECT prtctn_id AS CHAVE_SIMUL, add_fld06 AS CAMPO_SIMUL FROM BU_LOANTAPE_WORK.LT004_PROTECTION WHERE ref_date='${ref_date}' AND nome_perimetro='Individual Local' AND segmento='ESTR' AND ambito='PM' AND entidade='00100')Y ON X.CHAVE_IT=Y.CHAVE_SIMUL</v>
      </c>
      <c r="O589" s="35" t="s">
        <v>35</v>
      </c>
    </row>
    <row r="590" spans="1:15">
      <c r="A590" s="57" t="str">
        <f t="shared" si="20"/>
        <v>Protectionadd_fld07</v>
      </c>
      <c r="B590" s="32" t="s">
        <v>59</v>
      </c>
      <c r="C590" s="32" t="s">
        <v>353</v>
      </c>
      <c r="D590" s="32" t="s">
        <v>5</v>
      </c>
      <c r="E590" s="32" t="str">
        <f>+UPPER('0. Instruções'!$D$35&amp;"."&amp;VLOOKUP(B590,'0. Instruções'!$C$27:$D$32,2,FALSE))</f>
        <v>CD_LOAN_TAPES_BCE.LT004_PROTECTION</v>
      </c>
      <c r="F590" s="32" t="str">
        <f>+UPPER('0. Instruções'!$D$36&amp;"."&amp;VLOOKUP(B590,'0. Instruções'!$C$27:$E$32,3,FALSE))</f>
        <v>BU_LOANTAPE_WORK.LT004_PROTECTION</v>
      </c>
      <c r="H590" s="32"/>
      <c r="I590" s="32"/>
      <c r="J590" s="32" t="str">
        <f>IF(VLOOKUP(B590,'0. Instruções'!$C$27:$G$32,5,FALSE)=0,
"(SELECT "&amp;VLOOKUP(B590,'0. Instruções'!$C$27:$G$32,4,FALSE)&amp;" AS CHAVE_IT, "&amp;C590&amp;" AS CAMPO_IT FROM "&amp;E590&amp;" WHERE "&amp;'0. Instruções'!$D$43&amp;")X",
"(SELECT "&amp;VLOOKUP(B590,'0. Instruções'!$C$27:$G$32,4,FALSE)&amp;" AS CHAVE_IT1, "&amp;VLOOKUP(B590,'0. Instruções'!$C$27:$G$32,5,FALSE)&amp;" AS CHAVE_IT2, "&amp;C590&amp;" AS CAMPO_IT FROM "&amp;E590&amp;" WHERE "&amp;'0. Instruções'!$D$43&amp;")X")</f>
        <v>(SELECT prtctn_id AS CHAVE_IT, add_fld07 AS CAMPO_IT FROM CD_LOAN_TAPES_BCE.LT004_PROTECTION WHERE ref_date='${ref_date}' AND nome_perimetro='Individual Local' AND segmento='ESTR' AND ambito='PM' AND entidade='00100')X</v>
      </c>
      <c r="K590" s="32" t="str">
        <f>IF(VLOOKUP(B590,'0. Instruções'!$C$27:$G$32,5,FALSE)=0,
"(SELECT "&amp;VLOOKUP(B590,'0. Instruções'!$C$27:$G$32,4,FALSE)&amp;" AS CHAVE_SIMUL, "&amp;C590&amp;" AS CAMPO_SIMUL FROM "&amp;F590&amp;" WHERE "&amp;'0. Instruções'!$D$42&amp;")Y",
"(SELECT "&amp;VLOOKUP(B590,'0. Instruções'!$C$27:$G$32,4,FALSE)&amp;" AS CHAVE_SIMUL1, "&amp;VLOOKUP(B590,'0. Instruções'!$C$27:$G$32,5,FALSE)&amp;" AS CHAVE_SIMUL2, "&amp;C590&amp;" AS CAMPO_SIMUL FROM "&amp;F590&amp;" WHERE "&amp;'0. Instruções'!$D$42&amp;")Y")</f>
        <v>(SELECT prtctn_id AS CHAVE_SIMUL, add_fld07 AS CAMPO_SIMUL FROM BU_LOANTAPE_WORK.LT004_PROTECTION WHERE ref_date='${ref_date}' AND nome_perimetro='Individual Local' AND segmento='ESTR' AND ambito='PM' AND entidade='00100')Y</v>
      </c>
      <c r="L590" s="32" t="str">
        <f>IF(VLOOKUP(B590,'0. Instruções'!$C$27:$G$32,5,FALSE)=0,
"ON X.CHAVE_IT=Y.CHAVE_SIMUL",
"ON X.CHAVE_IT1=Y.CHAVE_SIMUL1 AND X.CHAVE_IT2=Y.CHAVE_SIMUL2")</f>
        <v>ON X.CHAVE_IT=Y.CHAVE_SIMUL</v>
      </c>
      <c r="M590" s="32" t="str">
        <f>+IF(D590="Coerência",+IF(LEFT(H590,5)="FLOAT","SELECT '"&amp;UPPER(B590)&amp;"' AS TABELA, '"&amp;UPPER(D590)&amp;"' AS TIPOLOGIA_TESTE,'"&amp;E590&amp;"' AS TABELA_LT,'"&amp;F590&amp;"' AS TABELA_SIMUL,'"&amp;C590&amp;"'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"&amp;J590&amp;" INNER JOIN "&amp;K590&amp;" "&amp;L590,"SELECT '"&amp;UPPER(B590)&amp;"' AS TABELA, '"&amp;UPPER(D590)&amp;"' AS TIPOLOGIA_TESTE,'"&amp;E590&amp;"' AS TABELA_LT,'"&amp;F590&amp;"' AS TABELA_SIMUL,'"&amp;C590&amp;"'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"&amp;J590&amp;" INNER JOIN "&amp;K590&amp;" "&amp;L590))</f>
        <v>SELECT 'PROTECTION' AS TABELA, 'COERÊNCIA' AS TIPOLOGIA_TESTE,'CD_LOAN_TAPES_BCE.LT004_PROTECTION' AS TABELA_LT,'BU_LOANTAPE_WORK.LT004_PROTECTION'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add_fld07 AS CAMPO_IT FROM CD_LOAN_TAPES_BCE.LT004_PROTECTION WHERE ref_date='${ref_date}' AND nome_perimetro='Individual Local' AND segmento='ESTR' AND ambito='PM' AND entidade='00100')X INNER JOIN (SELECT prtctn_id AS CHAVE_SIMUL, add_fld07 AS CAMPO_SIMUL FROM BU_LOANTAPE_WORK.LT004_PROTECTION WHERE ref_date='${ref_date}' AND nome_perimetro='Individual Local' AND segmento='ESTR' AND ambito='PM' AND entidade='00100')Y ON X.CHAVE_IT=Y.CHAVE_SIMUL</v>
      </c>
      <c r="N590" s="33" t="str">
        <f t="shared" si="19"/>
        <v>UNION ALL SELECT 'PROTECTION' AS TABELA, 'COERÊNCIA' AS TIPOLOGIA_TESTE,'CD_LOAN_TAPES_BCE.LT004_PROTECTION' AS TABELA_LT,'BU_LOANTAPE_WORK.LT004_PROTECTION' AS TABELA_SIMUL,'add_fld07'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add_fld07 AS CAMPO_IT FROM CD_LOAN_TAPES_BCE.LT004_PROTECTION WHERE ref_date='${ref_date}' AND nome_perimetro='Individual Local' AND segmento='ESTR' AND ambito='PM' AND entidade='00100')X INNER JOIN (SELECT prtctn_id AS CHAVE_SIMUL, add_fld07 AS CAMPO_SIMUL FROM BU_LOANTAPE_WORK.LT004_PROTECTION WHERE ref_date='${ref_date}' AND nome_perimetro='Individual Local' AND segmento='ESTR' AND ambito='PM' AND entidade='00100')Y ON X.CHAVE_IT=Y.CHAVE_SIMUL</v>
      </c>
      <c r="O590" s="35" t="s">
        <v>35</v>
      </c>
    </row>
    <row r="591" spans="1:15">
      <c r="A591" s="57" t="str">
        <f t="shared" si="20"/>
        <v>Protectionadd_fld08</v>
      </c>
      <c r="B591" s="32" t="s">
        <v>59</v>
      </c>
      <c r="C591" s="32" t="s">
        <v>354</v>
      </c>
      <c r="D591" s="32" t="s">
        <v>5</v>
      </c>
      <c r="E591" s="32" t="str">
        <f>+UPPER('0. Instruções'!$D$35&amp;"."&amp;VLOOKUP(B591,'0. Instruções'!$C$27:$D$32,2,FALSE))</f>
        <v>CD_LOAN_TAPES_BCE.LT004_PROTECTION</v>
      </c>
      <c r="F591" s="32" t="str">
        <f>+UPPER('0. Instruções'!$D$36&amp;"."&amp;VLOOKUP(B591,'0. Instruções'!$C$27:$E$32,3,FALSE))</f>
        <v>BU_LOANTAPE_WORK.LT004_PROTECTION</v>
      </c>
      <c r="H591" s="32"/>
      <c r="I591" s="32"/>
      <c r="J591" s="32" t="str">
        <f>IF(VLOOKUP(B591,'0. Instruções'!$C$27:$G$32,5,FALSE)=0,
"(SELECT "&amp;VLOOKUP(B591,'0. Instruções'!$C$27:$G$32,4,FALSE)&amp;" AS CHAVE_IT, "&amp;C591&amp;" AS CAMPO_IT FROM "&amp;E591&amp;" WHERE "&amp;'0. Instruções'!$D$43&amp;")X",
"(SELECT "&amp;VLOOKUP(B591,'0. Instruções'!$C$27:$G$32,4,FALSE)&amp;" AS CHAVE_IT1, "&amp;VLOOKUP(B591,'0. Instruções'!$C$27:$G$32,5,FALSE)&amp;" AS CHAVE_IT2, "&amp;C591&amp;" AS CAMPO_IT FROM "&amp;E591&amp;" WHERE "&amp;'0. Instruções'!$D$43&amp;")X")</f>
        <v>(SELECT prtctn_id AS CHAVE_IT, add_fld08 AS CAMPO_IT FROM CD_LOAN_TAPES_BCE.LT004_PROTECTION WHERE ref_date='${ref_date}' AND nome_perimetro='Individual Local' AND segmento='ESTR' AND ambito='PM' AND entidade='00100')X</v>
      </c>
      <c r="K591" s="32" t="str">
        <f>IF(VLOOKUP(B591,'0. Instruções'!$C$27:$G$32,5,FALSE)=0,
"(SELECT "&amp;VLOOKUP(B591,'0. Instruções'!$C$27:$G$32,4,FALSE)&amp;" AS CHAVE_SIMUL, "&amp;C591&amp;" AS CAMPO_SIMUL FROM "&amp;F591&amp;" WHERE "&amp;'0. Instruções'!$D$42&amp;")Y",
"(SELECT "&amp;VLOOKUP(B591,'0. Instruções'!$C$27:$G$32,4,FALSE)&amp;" AS CHAVE_SIMUL1, "&amp;VLOOKUP(B591,'0. Instruções'!$C$27:$G$32,5,FALSE)&amp;" AS CHAVE_SIMUL2, "&amp;C591&amp;" AS CAMPO_SIMUL FROM "&amp;F591&amp;" WHERE "&amp;'0. Instruções'!$D$42&amp;")Y")</f>
        <v>(SELECT prtctn_id AS CHAVE_SIMUL, add_fld08 AS CAMPO_SIMUL FROM BU_LOANTAPE_WORK.LT004_PROTECTION WHERE ref_date='${ref_date}' AND nome_perimetro='Individual Local' AND segmento='ESTR' AND ambito='PM' AND entidade='00100')Y</v>
      </c>
      <c r="L591" s="32" t="str">
        <f>IF(VLOOKUP(B591,'0. Instruções'!$C$27:$G$32,5,FALSE)=0,
"ON X.CHAVE_IT=Y.CHAVE_SIMUL",
"ON X.CHAVE_IT1=Y.CHAVE_SIMUL1 AND X.CHAVE_IT2=Y.CHAVE_SIMUL2")</f>
        <v>ON X.CHAVE_IT=Y.CHAVE_SIMUL</v>
      </c>
      <c r="M591" s="32" t="str">
        <f>+IF(D591="Coerência",+IF(LEFT(H591,5)="FLOAT","SELECT '"&amp;UPPER(B591)&amp;"' AS TABELA, '"&amp;UPPER(D591)&amp;"' AS TIPOLOGIA_TESTE,'"&amp;E591&amp;"' AS TABELA_LT,'"&amp;F591&amp;"' AS TABELA_SIMUL,'"&amp;C591&amp;"'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"&amp;J591&amp;" INNER JOIN "&amp;K591&amp;" "&amp;L591,"SELECT '"&amp;UPPER(B591)&amp;"' AS TABELA, '"&amp;UPPER(D591)&amp;"' AS TIPOLOGIA_TESTE,'"&amp;E591&amp;"' AS TABELA_LT,'"&amp;F591&amp;"' AS TABELA_SIMUL,'"&amp;C591&amp;"'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"&amp;J591&amp;" INNER JOIN "&amp;K591&amp;" "&amp;L591))</f>
        <v>SELECT 'PROTECTION' AS TABELA, 'COERÊNCIA' AS TIPOLOGIA_TESTE,'CD_LOAN_TAPES_BCE.LT004_PROTECTION' AS TABELA_LT,'BU_LOANTAPE_WORK.LT004_PROTECTION'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add_fld08 AS CAMPO_IT FROM CD_LOAN_TAPES_BCE.LT004_PROTECTION WHERE ref_date='${ref_date}' AND nome_perimetro='Individual Local' AND segmento='ESTR' AND ambito='PM' AND entidade='00100')X INNER JOIN (SELECT prtctn_id AS CHAVE_SIMUL, add_fld08 AS CAMPO_SIMUL FROM BU_LOANTAPE_WORK.LT004_PROTECTION WHERE ref_date='${ref_date}' AND nome_perimetro='Individual Local' AND segmento='ESTR' AND ambito='PM' AND entidade='00100')Y ON X.CHAVE_IT=Y.CHAVE_SIMUL</v>
      </c>
      <c r="N591" s="33" t="str">
        <f t="shared" si="19"/>
        <v>UNION ALL SELECT 'PROTECTION' AS TABELA, 'COERÊNCIA' AS TIPOLOGIA_TESTE,'CD_LOAN_TAPES_BCE.LT004_PROTECTION' AS TABELA_LT,'BU_LOANTAPE_WORK.LT004_PROTECTION' AS TABELA_SIMUL,'add_fld08'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add_fld08 AS CAMPO_IT FROM CD_LOAN_TAPES_BCE.LT004_PROTECTION WHERE ref_date='${ref_date}' AND nome_perimetro='Individual Local' AND segmento='ESTR' AND ambito='PM' AND entidade='00100')X INNER JOIN (SELECT prtctn_id AS CHAVE_SIMUL, add_fld08 AS CAMPO_SIMUL FROM BU_LOANTAPE_WORK.LT004_PROTECTION WHERE ref_date='${ref_date}' AND nome_perimetro='Individual Local' AND segmento='ESTR' AND ambito='PM' AND entidade='00100')Y ON X.CHAVE_IT=Y.CHAVE_SIMUL</v>
      </c>
      <c r="O591" s="35" t="s">
        <v>35</v>
      </c>
    </row>
    <row r="592" spans="1:15">
      <c r="A592" s="57" t="str">
        <f t="shared" si="20"/>
        <v>Protectionadd_fld09</v>
      </c>
      <c r="B592" s="32" t="s">
        <v>59</v>
      </c>
      <c r="C592" s="32" t="s">
        <v>355</v>
      </c>
      <c r="D592" s="32" t="s">
        <v>5</v>
      </c>
      <c r="E592" s="32" t="str">
        <f>+UPPER('0. Instruções'!$D$35&amp;"."&amp;VLOOKUP(B592,'0. Instruções'!$C$27:$D$32,2,FALSE))</f>
        <v>CD_LOAN_TAPES_BCE.LT004_PROTECTION</v>
      </c>
      <c r="F592" s="32" t="str">
        <f>+UPPER('0. Instruções'!$D$36&amp;"."&amp;VLOOKUP(B592,'0. Instruções'!$C$27:$E$32,3,FALSE))</f>
        <v>BU_LOANTAPE_WORK.LT004_PROTECTION</v>
      </c>
      <c r="H592" s="32"/>
      <c r="I592" s="32"/>
      <c r="J592" s="32" t="str">
        <f>IF(VLOOKUP(B592,'0. Instruções'!$C$27:$G$32,5,FALSE)=0,
"(SELECT "&amp;VLOOKUP(B592,'0. Instruções'!$C$27:$G$32,4,FALSE)&amp;" AS CHAVE_IT, "&amp;C592&amp;" AS CAMPO_IT FROM "&amp;E592&amp;" WHERE "&amp;'0. Instruções'!$D$43&amp;")X",
"(SELECT "&amp;VLOOKUP(B592,'0. Instruções'!$C$27:$G$32,4,FALSE)&amp;" AS CHAVE_IT1, "&amp;VLOOKUP(B592,'0. Instruções'!$C$27:$G$32,5,FALSE)&amp;" AS CHAVE_IT2, "&amp;C592&amp;" AS CAMPO_IT FROM "&amp;E592&amp;" WHERE "&amp;'0. Instruções'!$D$43&amp;")X")</f>
        <v>(SELECT prtctn_id AS CHAVE_IT, add_fld09 AS CAMPO_IT FROM CD_LOAN_TAPES_BCE.LT004_PROTECTION WHERE ref_date='${ref_date}' AND nome_perimetro='Individual Local' AND segmento='ESTR' AND ambito='PM' AND entidade='00100')X</v>
      </c>
      <c r="K592" s="32" t="str">
        <f>IF(VLOOKUP(B592,'0. Instruções'!$C$27:$G$32,5,FALSE)=0,
"(SELECT "&amp;VLOOKUP(B592,'0. Instruções'!$C$27:$G$32,4,FALSE)&amp;" AS CHAVE_SIMUL, "&amp;C592&amp;" AS CAMPO_SIMUL FROM "&amp;F592&amp;" WHERE "&amp;'0. Instruções'!$D$42&amp;")Y",
"(SELECT "&amp;VLOOKUP(B592,'0. Instruções'!$C$27:$G$32,4,FALSE)&amp;" AS CHAVE_SIMUL1, "&amp;VLOOKUP(B592,'0. Instruções'!$C$27:$G$32,5,FALSE)&amp;" AS CHAVE_SIMUL2, "&amp;C592&amp;" AS CAMPO_SIMUL FROM "&amp;F592&amp;" WHERE "&amp;'0. Instruções'!$D$42&amp;")Y")</f>
        <v>(SELECT prtctn_id AS CHAVE_SIMUL, add_fld09 AS CAMPO_SIMUL FROM BU_LOANTAPE_WORK.LT004_PROTECTION WHERE ref_date='${ref_date}' AND nome_perimetro='Individual Local' AND segmento='ESTR' AND ambito='PM' AND entidade='00100')Y</v>
      </c>
      <c r="L592" s="32" t="str">
        <f>IF(VLOOKUP(B592,'0. Instruções'!$C$27:$G$32,5,FALSE)=0,
"ON X.CHAVE_IT=Y.CHAVE_SIMUL",
"ON X.CHAVE_IT1=Y.CHAVE_SIMUL1 AND X.CHAVE_IT2=Y.CHAVE_SIMUL2")</f>
        <v>ON X.CHAVE_IT=Y.CHAVE_SIMUL</v>
      </c>
      <c r="M592" s="32" t="str">
        <f>+IF(D592="Coerência",+IF(LEFT(H592,5)="FLOAT","SELECT '"&amp;UPPER(B592)&amp;"' AS TABELA, '"&amp;UPPER(D592)&amp;"' AS TIPOLOGIA_TESTE,'"&amp;E592&amp;"' AS TABELA_LT,'"&amp;F592&amp;"' AS TABELA_SIMUL,'"&amp;C592&amp;"'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"&amp;J592&amp;" INNER JOIN "&amp;K592&amp;" "&amp;L592,"SELECT '"&amp;UPPER(B592)&amp;"' AS TABELA, '"&amp;UPPER(D592)&amp;"' AS TIPOLOGIA_TESTE,'"&amp;E592&amp;"' AS TABELA_LT,'"&amp;F592&amp;"' AS TABELA_SIMUL,'"&amp;C592&amp;"'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"&amp;J592&amp;" INNER JOIN "&amp;K592&amp;" "&amp;L592))</f>
        <v>SELECT 'PROTECTION' AS TABELA, 'COERÊNCIA' AS TIPOLOGIA_TESTE,'CD_LOAN_TAPES_BCE.LT004_PROTECTION' AS TABELA_LT,'BU_LOANTAPE_WORK.LT004_PROTECTION'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add_fld09 AS CAMPO_IT FROM CD_LOAN_TAPES_BCE.LT004_PROTECTION WHERE ref_date='${ref_date}' AND nome_perimetro='Individual Local' AND segmento='ESTR' AND ambito='PM' AND entidade='00100')X INNER JOIN (SELECT prtctn_id AS CHAVE_SIMUL, add_fld09 AS CAMPO_SIMUL FROM BU_LOANTAPE_WORK.LT004_PROTECTION WHERE ref_date='${ref_date}' AND nome_perimetro='Individual Local' AND segmento='ESTR' AND ambito='PM' AND entidade='00100')Y ON X.CHAVE_IT=Y.CHAVE_SIMUL</v>
      </c>
      <c r="N592" s="33" t="str">
        <f t="shared" si="19"/>
        <v>UNION ALL SELECT 'PROTECTION' AS TABELA, 'COERÊNCIA' AS TIPOLOGIA_TESTE,'CD_LOAN_TAPES_BCE.LT004_PROTECTION' AS TABELA_LT,'BU_LOANTAPE_WORK.LT004_PROTECTION' AS TABELA_SIMUL,'add_fld09'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add_fld09 AS CAMPO_IT FROM CD_LOAN_TAPES_BCE.LT004_PROTECTION WHERE ref_date='${ref_date}' AND nome_perimetro='Individual Local' AND segmento='ESTR' AND ambito='PM' AND entidade='00100')X INNER JOIN (SELECT prtctn_id AS CHAVE_SIMUL, add_fld09 AS CAMPO_SIMUL FROM BU_LOANTAPE_WORK.LT004_PROTECTION WHERE ref_date='${ref_date}' AND nome_perimetro='Individual Local' AND segmento='ESTR' AND ambito='PM' AND entidade='00100')Y ON X.CHAVE_IT=Y.CHAVE_SIMUL</v>
      </c>
      <c r="O592" s="35" t="s">
        <v>35</v>
      </c>
    </row>
    <row r="593" spans="1:15">
      <c r="A593" s="57" t="str">
        <f t="shared" si="20"/>
        <v>Protectionadd_fld10</v>
      </c>
      <c r="B593" s="32" t="s">
        <v>59</v>
      </c>
      <c r="C593" s="32" t="s">
        <v>356</v>
      </c>
      <c r="D593" s="32" t="s">
        <v>5</v>
      </c>
      <c r="E593" s="32" t="str">
        <f>+UPPER('0. Instruções'!$D$35&amp;"."&amp;VLOOKUP(B593,'0. Instruções'!$C$27:$D$32,2,FALSE))</f>
        <v>CD_LOAN_TAPES_BCE.LT004_PROTECTION</v>
      </c>
      <c r="F593" s="32" t="str">
        <f>+UPPER('0. Instruções'!$D$36&amp;"."&amp;VLOOKUP(B593,'0. Instruções'!$C$27:$E$32,3,FALSE))</f>
        <v>BU_LOANTAPE_WORK.LT004_PROTECTION</v>
      </c>
      <c r="H593" s="32"/>
      <c r="I593" s="32"/>
      <c r="J593" s="32" t="str">
        <f>IF(VLOOKUP(B593,'0. Instruções'!$C$27:$G$32,5,FALSE)=0,
"(SELECT "&amp;VLOOKUP(B593,'0. Instruções'!$C$27:$G$32,4,FALSE)&amp;" AS CHAVE_IT, "&amp;C593&amp;" AS CAMPO_IT FROM "&amp;E593&amp;" WHERE "&amp;'0. Instruções'!$D$43&amp;")X",
"(SELECT "&amp;VLOOKUP(B593,'0. Instruções'!$C$27:$G$32,4,FALSE)&amp;" AS CHAVE_IT1, "&amp;VLOOKUP(B593,'0. Instruções'!$C$27:$G$32,5,FALSE)&amp;" AS CHAVE_IT2, "&amp;C593&amp;" AS CAMPO_IT FROM "&amp;E593&amp;" WHERE "&amp;'0. Instruções'!$D$43&amp;")X")</f>
        <v>(SELECT prtctn_id AS CHAVE_IT, add_fld10 AS CAMPO_IT FROM CD_LOAN_TAPES_BCE.LT004_PROTECTION WHERE ref_date='${ref_date}' AND nome_perimetro='Individual Local' AND segmento='ESTR' AND ambito='PM' AND entidade='00100')X</v>
      </c>
      <c r="K593" s="32" t="str">
        <f>IF(VLOOKUP(B593,'0. Instruções'!$C$27:$G$32,5,FALSE)=0,
"(SELECT "&amp;VLOOKUP(B593,'0. Instruções'!$C$27:$G$32,4,FALSE)&amp;" AS CHAVE_SIMUL, "&amp;C593&amp;" AS CAMPO_SIMUL FROM "&amp;F593&amp;" WHERE "&amp;'0. Instruções'!$D$42&amp;")Y",
"(SELECT "&amp;VLOOKUP(B593,'0. Instruções'!$C$27:$G$32,4,FALSE)&amp;" AS CHAVE_SIMUL1, "&amp;VLOOKUP(B593,'0. Instruções'!$C$27:$G$32,5,FALSE)&amp;" AS CHAVE_SIMUL2, "&amp;C593&amp;" AS CAMPO_SIMUL FROM "&amp;F593&amp;" WHERE "&amp;'0. Instruções'!$D$42&amp;")Y")</f>
        <v>(SELECT prtctn_id AS CHAVE_SIMUL, add_fld10 AS CAMPO_SIMUL FROM BU_LOANTAPE_WORK.LT004_PROTECTION WHERE ref_date='${ref_date}' AND nome_perimetro='Individual Local' AND segmento='ESTR' AND ambito='PM' AND entidade='00100')Y</v>
      </c>
      <c r="L593" s="32" t="str">
        <f>IF(VLOOKUP(B593,'0. Instruções'!$C$27:$G$32,5,FALSE)=0,
"ON X.CHAVE_IT=Y.CHAVE_SIMUL",
"ON X.CHAVE_IT1=Y.CHAVE_SIMUL1 AND X.CHAVE_IT2=Y.CHAVE_SIMUL2")</f>
        <v>ON X.CHAVE_IT=Y.CHAVE_SIMUL</v>
      </c>
      <c r="M593" s="32" t="str">
        <f>+IF(D593="Coerência",+IF(LEFT(H593,5)="FLOAT","SELECT '"&amp;UPPER(B593)&amp;"' AS TABELA, '"&amp;UPPER(D593)&amp;"' AS TIPOLOGIA_TESTE,'"&amp;E593&amp;"' AS TABELA_LT,'"&amp;F593&amp;"' AS TABELA_SIMUL,'"&amp;C593&amp;"'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"&amp;J593&amp;" INNER JOIN "&amp;K593&amp;" "&amp;L593,"SELECT '"&amp;UPPER(B593)&amp;"' AS TABELA, '"&amp;UPPER(D593)&amp;"' AS TIPOLOGIA_TESTE,'"&amp;E593&amp;"' AS TABELA_LT,'"&amp;F593&amp;"' AS TABELA_SIMUL,'"&amp;C593&amp;"'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"&amp;J593&amp;" INNER JOIN "&amp;K593&amp;" "&amp;L593))</f>
        <v>SELECT 'PROTECTION' AS TABELA, 'COERÊNCIA' AS TIPOLOGIA_TESTE,'CD_LOAN_TAPES_BCE.LT004_PROTECTION' AS TABELA_LT,'BU_LOANTAPE_WORK.LT004_PROTECTION'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add_fld10 AS CAMPO_IT FROM CD_LOAN_TAPES_BCE.LT004_PROTECTION WHERE ref_date='${ref_date}' AND nome_perimetro='Individual Local' AND segmento='ESTR' AND ambito='PM' AND entidade='00100')X INNER JOIN (SELECT prtctn_id AS CHAVE_SIMUL, add_fld10 AS CAMPO_SIMUL FROM BU_LOANTAPE_WORK.LT004_PROTECTION WHERE ref_date='${ref_date}' AND nome_perimetro='Individual Local' AND segmento='ESTR' AND ambito='PM' AND entidade='00100')Y ON X.CHAVE_IT=Y.CHAVE_SIMUL</v>
      </c>
      <c r="N593" s="33" t="str">
        <f t="shared" si="19"/>
        <v>UNION ALL SELECT 'PROTECTION' AS TABELA, 'COERÊNCIA' AS TIPOLOGIA_TESTE,'CD_LOAN_TAPES_BCE.LT004_PROTECTION' AS TABELA_LT,'BU_LOANTAPE_WORK.LT004_PROTECTION' AS TABELA_SIMUL,'add_fld10'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add_fld10 AS CAMPO_IT FROM CD_LOAN_TAPES_BCE.LT004_PROTECTION WHERE ref_date='${ref_date}' AND nome_perimetro='Individual Local' AND segmento='ESTR' AND ambito='PM' AND entidade='00100')X INNER JOIN (SELECT prtctn_id AS CHAVE_SIMUL, add_fld10 AS CAMPO_SIMUL FROM BU_LOANTAPE_WORK.LT004_PROTECTION WHERE ref_date='${ref_date}' AND nome_perimetro='Individual Local' AND segmento='ESTR' AND ambito='PM' AND entidade='00100')Y ON X.CHAVE_IT=Y.CHAVE_SIMUL</v>
      </c>
      <c r="O593" s="35" t="s">
        <v>35</v>
      </c>
    </row>
    <row r="594" spans="1:15">
      <c r="A594" s="57" t="str">
        <f t="shared" si="20"/>
        <v>Protectiontax_id</v>
      </c>
      <c r="B594" s="32" t="s">
        <v>59</v>
      </c>
      <c r="C594" s="32" t="s">
        <v>578</v>
      </c>
      <c r="D594" s="32" t="s">
        <v>5</v>
      </c>
      <c r="E594" s="32" t="str">
        <f>+UPPER('0. Instruções'!$D$35&amp;"."&amp;VLOOKUP(B594,'0. Instruções'!$C$27:$D$32,2,FALSE))</f>
        <v>CD_LOAN_TAPES_BCE.LT004_PROTECTION</v>
      </c>
      <c r="F594" s="32" t="str">
        <f>+UPPER('0. Instruções'!$D$36&amp;"."&amp;VLOOKUP(B594,'0. Instruções'!$C$27:$E$32,3,FALSE))</f>
        <v>BU_LOANTAPE_WORK.LT004_PROTECTION</v>
      </c>
      <c r="H594" s="32"/>
      <c r="I594" s="32"/>
      <c r="J594" s="32" t="str">
        <f>IF(VLOOKUP(B594,'0. Instruções'!$C$27:$G$32,5,FALSE)=0,
"(SELECT "&amp;VLOOKUP(B594,'0. Instruções'!$C$27:$G$32,4,FALSE)&amp;" AS CHAVE_IT, "&amp;C594&amp;" AS CAMPO_IT FROM "&amp;E594&amp;" WHERE "&amp;'0. Instruções'!$D$43&amp;")X",
"(SELECT "&amp;VLOOKUP(B594,'0. Instruções'!$C$27:$G$32,4,FALSE)&amp;" AS CHAVE_IT1, "&amp;VLOOKUP(B594,'0. Instruções'!$C$27:$G$32,5,FALSE)&amp;" AS CHAVE_IT2, "&amp;C594&amp;" AS CAMPO_IT FROM "&amp;E594&amp;" WHERE "&amp;'0. Instruções'!$D$43&amp;")X")</f>
        <v>(SELECT prtctn_id AS CHAVE_IT, tax_id AS CAMPO_IT FROM CD_LOAN_TAPES_BCE.LT004_PROTECTION WHERE ref_date='${ref_date}' AND nome_perimetro='Individual Local' AND segmento='ESTR' AND ambito='PM' AND entidade='00100')X</v>
      </c>
      <c r="K594" s="32" t="str">
        <f>IF(VLOOKUP(B594,'0. Instruções'!$C$27:$G$32,5,FALSE)=0,
"(SELECT "&amp;VLOOKUP(B594,'0. Instruções'!$C$27:$G$32,4,FALSE)&amp;" AS CHAVE_SIMUL, "&amp;C594&amp;" AS CAMPO_SIMUL FROM "&amp;F594&amp;" WHERE "&amp;'0. Instruções'!$D$42&amp;")Y",
"(SELECT "&amp;VLOOKUP(B594,'0. Instruções'!$C$27:$G$32,4,FALSE)&amp;" AS CHAVE_SIMUL1, "&amp;VLOOKUP(B594,'0. Instruções'!$C$27:$G$32,5,FALSE)&amp;" AS CHAVE_SIMUL2, "&amp;C594&amp;" AS CAMPO_SIMUL FROM "&amp;F594&amp;" WHERE "&amp;'0. Instruções'!$D$42&amp;")Y")</f>
        <v>(SELECT prtctn_id AS CHAVE_SIMUL, tax_id AS CAMPO_SIMUL FROM BU_LOANTAPE_WORK.LT004_PROTECTION WHERE ref_date='${ref_date}' AND nome_perimetro='Individual Local' AND segmento='ESTR' AND ambito='PM' AND entidade='00100')Y</v>
      </c>
      <c r="L594" s="32" t="str">
        <f>IF(VLOOKUP(B594,'0. Instruções'!$C$27:$G$32,5,FALSE)=0,
"ON X.CHAVE_IT=Y.CHAVE_SIMUL",
"ON X.CHAVE_IT1=Y.CHAVE_SIMUL1 AND X.CHAVE_IT2=Y.CHAVE_SIMUL2")</f>
        <v>ON X.CHAVE_IT=Y.CHAVE_SIMUL</v>
      </c>
      <c r="M594" s="32" t="str">
        <f>+IF(D594="Coerência",+IF(LEFT(H594,5)="FLOAT","SELECT '"&amp;UPPER(B594)&amp;"' AS TABELA, '"&amp;UPPER(D594)&amp;"' AS TIPOLOGIA_TESTE,'"&amp;E594&amp;"' AS TABELA_LT,'"&amp;F594&amp;"' AS TABELA_SIMUL,'"&amp;C594&amp;"'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"&amp;J594&amp;" INNER JOIN "&amp;K594&amp;" "&amp;L594,"SELECT '"&amp;UPPER(B594)&amp;"' AS TABELA, '"&amp;UPPER(D594)&amp;"' AS TIPOLOGIA_TESTE,'"&amp;E594&amp;"' AS TABELA_LT,'"&amp;F594&amp;"' AS TABELA_SIMUL,'"&amp;C594&amp;"'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"&amp;J594&amp;" INNER JOIN "&amp;K594&amp;" "&amp;L594))</f>
        <v>SELECT 'PROTECTION' AS TABELA, 'COERÊNCIA' AS TIPOLOGIA_TESTE,'CD_LOAN_TAPES_BCE.LT004_PROTECTION' AS TABELA_LT,'BU_LOANTAPE_WORK.LT004_PROTECTION'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tax_id AS CAMPO_IT FROM CD_LOAN_TAPES_BCE.LT004_PROTECTION WHERE ref_date='${ref_date}' AND nome_perimetro='Individual Local' AND segmento='ESTR' AND ambito='PM' AND entidade='00100')X INNER JOIN (SELECT prtctn_id AS CHAVE_SIMUL, tax_id AS CAMPO_SIMUL FROM BU_LOANTAPE_WORK.LT004_PROTECTION WHERE ref_date='${ref_date}' AND nome_perimetro='Individual Local' AND segmento='ESTR' AND ambito='PM' AND entidade='00100')Y ON X.CHAVE_IT=Y.CHAVE_SIMUL</v>
      </c>
      <c r="N594" s="33" t="str">
        <f t="shared" si="19"/>
        <v>UNION ALL SELECT 'PROTECTION' AS TABELA, 'COERÊNCIA' AS TIPOLOGIA_TESTE,'CD_LOAN_TAPES_BCE.LT004_PROTECTION' AS TABELA_LT,'BU_LOANTAPE_WORK.LT004_PROTECTION' AS TABELA_SIMUL,'tax_id'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tax_id AS CAMPO_IT FROM CD_LOAN_TAPES_BCE.LT004_PROTECTION WHERE ref_date='${ref_date}' AND nome_perimetro='Individual Local' AND segmento='ESTR' AND ambito='PM' AND entidade='00100')X INNER JOIN (SELECT prtctn_id AS CHAVE_SIMUL, tax_id AS CAMPO_SIMUL FROM BU_LOANTAPE_WORK.LT004_PROTECTION WHERE ref_date='${ref_date}' AND nome_perimetro='Individual Local' AND segmento='ESTR' AND ambito='PM' AND entidade='00100')Y ON X.CHAVE_IT=Y.CHAVE_SIMUL</v>
      </c>
      <c r="O594" s="35" t="s">
        <v>35</v>
      </c>
    </row>
    <row r="595" spans="1:15">
      <c r="A595" s="57" t="str">
        <f t="shared" si="20"/>
        <v>Protectioncod_soc</v>
      </c>
      <c r="B595" s="32" t="s">
        <v>59</v>
      </c>
      <c r="C595" s="32" t="s">
        <v>149</v>
      </c>
      <c r="D595" s="32" t="s">
        <v>5</v>
      </c>
      <c r="E595" s="32" t="str">
        <f>+UPPER('0. Instruções'!$D$35&amp;"."&amp;VLOOKUP(B595,'0. Instruções'!$C$27:$D$32,2,FALSE))</f>
        <v>CD_LOAN_TAPES_BCE.LT004_PROTECTION</v>
      </c>
      <c r="F595" s="32" t="str">
        <f>+UPPER('0. Instruções'!$D$36&amp;"."&amp;VLOOKUP(B595,'0. Instruções'!$C$27:$E$32,3,FALSE))</f>
        <v>BU_LOANTAPE_WORK.LT004_PROTECTION</v>
      </c>
      <c r="H595" s="32"/>
      <c r="I595" s="32"/>
      <c r="J595" s="32" t="str">
        <f>IF(VLOOKUP(B595,'0. Instruções'!$C$27:$G$32,5,FALSE)=0,
"(SELECT "&amp;VLOOKUP(B595,'0. Instruções'!$C$27:$G$32,4,FALSE)&amp;" AS CHAVE_IT, "&amp;C595&amp;" AS CAMPO_IT FROM "&amp;E595&amp;" WHERE "&amp;'0. Instruções'!$D$43&amp;")X",
"(SELECT "&amp;VLOOKUP(B595,'0. Instruções'!$C$27:$G$32,4,FALSE)&amp;" AS CHAVE_IT1, "&amp;VLOOKUP(B595,'0. Instruções'!$C$27:$G$32,5,FALSE)&amp;" AS CHAVE_IT2, "&amp;C595&amp;" AS CAMPO_IT FROM "&amp;E595&amp;" WHERE "&amp;'0. Instruções'!$D$43&amp;")X")</f>
        <v>(SELECT prtctn_id AS CHAVE_IT, cod_soc AS CAMPO_IT FROM CD_LOAN_TAPES_BCE.LT004_PROTECTION WHERE ref_date='${ref_date}' AND nome_perimetro='Individual Local' AND segmento='ESTR' AND ambito='PM' AND entidade='00100')X</v>
      </c>
      <c r="K595" s="32" t="str">
        <f>IF(VLOOKUP(B595,'0. Instruções'!$C$27:$G$32,5,FALSE)=0,
"(SELECT "&amp;VLOOKUP(B595,'0. Instruções'!$C$27:$G$32,4,FALSE)&amp;" AS CHAVE_SIMUL, "&amp;C595&amp;" AS CAMPO_SIMUL FROM "&amp;F595&amp;" WHERE "&amp;'0. Instruções'!$D$42&amp;")Y",
"(SELECT "&amp;VLOOKUP(B595,'0. Instruções'!$C$27:$G$32,4,FALSE)&amp;" AS CHAVE_SIMUL1, "&amp;VLOOKUP(B595,'0. Instruções'!$C$27:$G$32,5,FALSE)&amp;" AS CHAVE_SIMUL2, "&amp;C595&amp;" AS CAMPO_SIMUL FROM "&amp;F595&amp;" WHERE "&amp;'0. Instruções'!$D$42&amp;")Y")</f>
        <v>(SELECT prtctn_id AS CHAVE_SIMUL, cod_soc AS CAMPO_SIMUL FROM BU_LOANTAPE_WORK.LT004_PROTECTION WHERE ref_date='${ref_date}' AND nome_perimetro='Individual Local' AND segmento='ESTR' AND ambito='PM' AND entidade='00100')Y</v>
      </c>
      <c r="L595" s="32" t="str">
        <f>IF(VLOOKUP(B595,'0. Instruções'!$C$27:$G$32,5,FALSE)=0,
"ON X.CHAVE_IT=Y.CHAVE_SIMUL",
"ON X.CHAVE_IT1=Y.CHAVE_SIMUL1 AND X.CHAVE_IT2=Y.CHAVE_SIMUL2")</f>
        <v>ON X.CHAVE_IT=Y.CHAVE_SIMUL</v>
      </c>
      <c r="M595" s="32" t="str">
        <f>+IF(D595="Coerência",+IF(LEFT(H595,5)="FLOAT","SELECT '"&amp;UPPER(B595)&amp;"' AS TABELA, '"&amp;UPPER(D595)&amp;"' AS TIPOLOGIA_TESTE,'"&amp;E595&amp;"' AS TABELA_LT,'"&amp;F595&amp;"' AS TABELA_SIMUL,'"&amp;C595&amp;"'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"&amp;J595&amp;" INNER JOIN "&amp;K595&amp;" "&amp;L595,"SELECT '"&amp;UPPER(B595)&amp;"' AS TABELA, '"&amp;UPPER(D595)&amp;"' AS TIPOLOGIA_TESTE,'"&amp;E595&amp;"' AS TABELA_LT,'"&amp;F595&amp;"' AS TABELA_SIMUL,'"&amp;C595&amp;"'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"&amp;J595&amp;" INNER JOIN "&amp;K595&amp;" "&amp;L595))</f>
        <v>SELECT 'PROTECTION' AS TABELA, 'COERÊNCIA' AS TIPOLOGIA_TESTE,'CD_LOAN_TAPES_BCE.LT004_PROTECTION' AS TABELA_LT,'BU_LOANTAPE_WORK.LT004_PROTECTION'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cod_soc AS CAMPO_IT FROM CD_LOAN_TAPES_BCE.LT004_PROTECTION WHERE ref_date='${ref_date}' AND nome_perimetro='Individual Local' AND segmento='ESTR' AND ambito='PM' AND entidade='00100')X INNER JOIN (SELECT prtctn_id AS CHAVE_SIMUL, cod_soc AS CAMPO_SIMUL FROM BU_LOANTAPE_WORK.LT004_PROTECTION WHERE ref_date='${ref_date}' AND nome_perimetro='Individual Local' AND segmento='ESTR' AND ambito='PM' AND entidade='00100')Y ON X.CHAVE_IT=Y.CHAVE_SIMUL</v>
      </c>
      <c r="N595" s="33" t="str">
        <f t="shared" si="19"/>
        <v>UNION ALL SELECT 'PROTECTION' AS TABELA, 'COERÊNCIA' AS TIPOLOGIA_TESTE,'CD_LOAN_TAPES_BCE.LT004_PROTECTION' AS TABELA_LT,'BU_LOANTAPE_WORK.LT004_PROTECTION'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cod_soc AS CAMPO_IT FROM CD_LOAN_TAPES_BCE.LT004_PROTECTION WHERE ref_date='${ref_date}' AND nome_perimetro='Individual Local' AND segmento='ESTR' AND ambito='PM' AND entidade='00100')X INNER JOIN (SELECT prtctn_id AS CHAVE_SIMUL, cod_soc AS CAMPO_SIMUL FROM BU_LOANTAPE_WORK.LT004_PROTECTION WHERE ref_date='${ref_date}' AND nome_perimetro='Individual Local' AND segmento='ESTR' AND ambito='PM' AND entidade='00100')Y ON X.CHAVE_IT=Y.CHAVE_SIMUL</v>
      </c>
      <c r="O595" s="35" t="s">
        <v>35</v>
      </c>
    </row>
    <row r="596" spans="1:15">
      <c r="A596" s="57" t="str">
        <f t="shared" si="20"/>
        <v>Protectionyr_cnstrctn</v>
      </c>
      <c r="B596" s="32" t="s">
        <v>59</v>
      </c>
      <c r="C596" s="32" t="s">
        <v>642</v>
      </c>
      <c r="D596" s="32" t="s">
        <v>5</v>
      </c>
      <c r="E596" s="32" t="str">
        <f>+UPPER('0. Instruções'!$D$35&amp;"."&amp;VLOOKUP(B596,'0. Instruções'!$C$27:$D$32,2,FALSE))</f>
        <v>CD_LOAN_TAPES_BCE.LT004_PROTECTION</v>
      </c>
      <c r="F596" s="32" t="str">
        <f>+UPPER('0. Instruções'!$D$36&amp;"."&amp;VLOOKUP(B596,'0. Instruções'!$C$27:$E$32,3,FALSE))</f>
        <v>BU_LOANTAPE_WORK.LT004_PROTECTION</v>
      </c>
      <c r="H596" s="32"/>
      <c r="I596" s="32"/>
      <c r="J596" s="32" t="str">
        <f>IF(VLOOKUP(B596,'0. Instruções'!$C$27:$G$32,5,FALSE)=0,
"(SELECT "&amp;VLOOKUP(B596,'0. Instruções'!$C$27:$G$32,4,FALSE)&amp;" AS CHAVE_IT, "&amp;C596&amp;" AS CAMPO_IT FROM "&amp;E596&amp;" WHERE "&amp;'0. Instruções'!$D$43&amp;")X",
"(SELECT "&amp;VLOOKUP(B596,'0. Instruções'!$C$27:$G$32,4,FALSE)&amp;" AS CHAVE_IT1, "&amp;VLOOKUP(B596,'0. Instruções'!$C$27:$G$32,5,FALSE)&amp;" AS CHAVE_IT2, "&amp;C596&amp;" AS CAMPO_IT FROM "&amp;E596&amp;" WHERE "&amp;'0. Instruções'!$D$43&amp;")X")</f>
        <v>(SELECT prtctn_id AS CHAVE_IT, yr_cnstrctn AS CAMPO_IT FROM CD_LOAN_TAPES_BCE.LT004_PROTECTION WHERE ref_date='${ref_date}' AND nome_perimetro='Individual Local' AND segmento='ESTR' AND ambito='PM' AND entidade='00100')X</v>
      </c>
      <c r="K596" s="32" t="str">
        <f>IF(VLOOKUP(B596,'0. Instruções'!$C$27:$G$32,5,FALSE)=0,
"(SELECT "&amp;VLOOKUP(B596,'0. Instruções'!$C$27:$G$32,4,FALSE)&amp;" AS CHAVE_SIMUL, "&amp;C596&amp;" AS CAMPO_SIMUL FROM "&amp;F596&amp;" WHERE "&amp;'0. Instruções'!$D$42&amp;")Y",
"(SELECT "&amp;VLOOKUP(B596,'0. Instruções'!$C$27:$G$32,4,FALSE)&amp;" AS CHAVE_SIMUL1, "&amp;VLOOKUP(B596,'0. Instruções'!$C$27:$G$32,5,FALSE)&amp;" AS CHAVE_SIMUL2, "&amp;C596&amp;" AS CAMPO_SIMUL FROM "&amp;F596&amp;" WHERE "&amp;'0. Instruções'!$D$42&amp;")Y")</f>
        <v>(SELECT prtctn_id AS CHAVE_SIMUL, yr_cnstrctn AS CAMPO_SIMUL FROM BU_LOANTAPE_WORK.LT004_PROTECTION WHERE ref_date='${ref_date}' AND nome_perimetro='Individual Local' AND segmento='ESTR' AND ambito='PM' AND entidade='00100')Y</v>
      </c>
      <c r="L596" s="32" t="str">
        <f>IF(VLOOKUP(B596,'0. Instruções'!$C$27:$G$32,5,FALSE)=0,
"ON X.CHAVE_IT=Y.CHAVE_SIMUL",
"ON X.CHAVE_IT1=Y.CHAVE_SIMUL1 AND X.CHAVE_IT2=Y.CHAVE_SIMUL2")</f>
        <v>ON X.CHAVE_IT=Y.CHAVE_SIMUL</v>
      </c>
      <c r="M596" s="32" t="str">
        <f>+IF(D596="Coerência",+IF(LEFT(H596,5)="FLOAT","SELECT '"&amp;UPPER(B596)&amp;"' AS TABELA, '"&amp;UPPER(D596)&amp;"' AS TIPOLOGIA_TESTE,'"&amp;E596&amp;"' AS TABELA_LT,'"&amp;F596&amp;"' AS TABELA_SIMUL,'"&amp;C596&amp;"'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"&amp;J596&amp;" INNER JOIN "&amp;K596&amp;" "&amp;L596,"SELECT '"&amp;UPPER(B596)&amp;"' AS TABELA, '"&amp;UPPER(D596)&amp;"' AS TIPOLOGIA_TESTE,'"&amp;E596&amp;"' AS TABELA_LT,'"&amp;F596&amp;"' AS TABELA_SIMUL,'"&amp;C596&amp;"'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"&amp;J596&amp;" INNER JOIN "&amp;K596&amp;" "&amp;L596))</f>
        <v>SELECT 'PROTECTION' AS TABELA, 'COERÊNCIA' AS TIPOLOGIA_TESTE,'CD_LOAN_TAPES_BCE.LT004_PROTECTION' AS TABELA_LT,'BU_LOANTAPE_WORK.LT004_PROTECTION' AS TABELA_SIMUL,'yr_cnstrctn'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yr_cnstrctn AS CAMPO_IT FROM CD_LOAN_TAPES_BCE.LT004_PROTECTION WHERE ref_date='${ref_date}' AND nome_perimetro='Individual Local' AND segmento='ESTR' AND ambito='PM' AND entidade='00100')X INNER JOIN (SELECT prtctn_id AS CHAVE_SIMUL, yr_cnstrctn AS CAMPO_SIMUL FROM BU_LOANTAPE_WORK.LT004_PROTECTION WHERE ref_date='${ref_date}' AND nome_perimetro='Individual Local' AND segmento='ESTR' AND ambito='PM' AND entidade='00100')Y ON X.CHAVE_IT=Y.CHAVE_SIMUL</v>
      </c>
      <c r="N596" s="33" t="str">
        <f t="shared" si="19"/>
        <v>UNION ALL SELECT 'PROTECTION' AS TABELA, 'COERÊNCIA' AS TIPOLOGIA_TESTE,'CD_LOAN_TAPES_BCE.LT004_PROTECTION' AS TABELA_LT,'BU_LOANTAPE_WORK.LT004_PROTECTION' AS TABELA_SIMUL,'yr_cnstrctn'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yr_cnstrctn AS CAMPO_IT FROM CD_LOAN_TAPES_BCE.LT004_PROTECTION WHERE ref_date='${ref_date}' AND nome_perimetro='Individual Local' AND segmento='ESTR' AND ambito='PM' AND entidade='00100')X INNER JOIN (SELECT prtctn_id AS CHAVE_SIMUL, yr_cnstrctn AS CAMPO_SIMUL FROM BU_LOANTAPE_WORK.LT004_PROTECTION WHERE ref_date='${ref_date}' AND nome_perimetro='Individual Local' AND segmento='ESTR' AND ambito='PM' AND entidade='00100')Y ON X.CHAVE_IT=Y.CHAVE_SIMUL</v>
      </c>
      <c r="O596" s="35" t="s">
        <v>35</v>
      </c>
    </row>
    <row r="597" spans="1:15">
      <c r="A597" s="57" t="str">
        <f t="shared" si="20"/>
        <v>Protectiontyp_ep_scr</v>
      </c>
      <c r="B597" s="32" t="s">
        <v>59</v>
      </c>
      <c r="C597" s="32" t="s">
        <v>115</v>
      </c>
      <c r="D597" s="32" t="s">
        <v>5</v>
      </c>
      <c r="E597" s="32" t="str">
        <f>+UPPER('0. Instruções'!$D$35&amp;"."&amp;VLOOKUP(B597,'0. Instruções'!$C$27:$D$32,2,FALSE))</f>
        <v>CD_LOAN_TAPES_BCE.LT004_PROTECTION</v>
      </c>
      <c r="F597" s="32" t="str">
        <f>+UPPER('0. Instruções'!$D$36&amp;"."&amp;VLOOKUP(B597,'0. Instruções'!$C$27:$E$32,3,FALSE))</f>
        <v>BU_LOANTAPE_WORK.LT004_PROTECTION</v>
      </c>
      <c r="H597" s="32"/>
      <c r="I597" s="32"/>
      <c r="J597" s="32" t="str">
        <f>IF(VLOOKUP(B597,'0. Instruções'!$C$27:$G$32,5,FALSE)=0,
"(SELECT "&amp;VLOOKUP(B597,'0. Instruções'!$C$27:$G$32,4,FALSE)&amp;" AS CHAVE_IT, "&amp;C597&amp;" AS CAMPO_IT FROM "&amp;E597&amp;" WHERE "&amp;'0. Instruções'!$D$43&amp;")X",
"(SELECT "&amp;VLOOKUP(B597,'0. Instruções'!$C$27:$G$32,4,FALSE)&amp;" AS CHAVE_IT1, "&amp;VLOOKUP(B597,'0. Instruções'!$C$27:$G$32,5,FALSE)&amp;" AS CHAVE_IT2, "&amp;C597&amp;" AS CAMPO_IT FROM "&amp;E597&amp;" WHERE "&amp;'0. Instruções'!$D$43&amp;")X")</f>
        <v>(SELECT prtctn_id AS CHAVE_IT, typ_ep_scr AS CAMPO_IT FROM CD_LOAN_TAPES_BCE.LT004_PROTECTION WHERE ref_date='${ref_date}' AND nome_perimetro='Individual Local' AND segmento='ESTR' AND ambito='PM' AND entidade='00100')X</v>
      </c>
      <c r="K597" s="32" t="str">
        <f>IF(VLOOKUP(B597,'0. Instruções'!$C$27:$G$32,5,FALSE)=0,
"(SELECT "&amp;VLOOKUP(B597,'0. Instruções'!$C$27:$G$32,4,FALSE)&amp;" AS CHAVE_SIMUL, "&amp;C597&amp;" AS CAMPO_SIMUL FROM "&amp;F597&amp;" WHERE "&amp;'0. Instruções'!$D$42&amp;")Y",
"(SELECT "&amp;VLOOKUP(B597,'0. Instruções'!$C$27:$G$32,4,FALSE)&amp;" AS CHAVE_SIMUL1, "&amp;VLOOKUP(B597,'0. Instruções'!$C$27:$G$32,5,FALSE)&amp;" AS CHAVE_SIMUL2, "&amp;C597&amp;" AS CAMPO_SIMUL FROM "&amp;F597&amp;" WHERE "&amp;'0. Instruções'!$D$42&amp;")Y")</f>
        <v>(SELECT prtctn_id AS CHAVE_SIMUL, typ_ep_scr AS CAMPO_SIMUL FROM BU_LOANTAPE_WORK.LT004_PROTECTION WHERE ref_date='${ref_date}' AND nome_perimetro='Individual Local' AND segmento='ESTR' AND ambito='PM' AND entidade='00100')Y</v>
      </c>
      <c r="L597" s="32" t="str">
        <f>IF(VLOOKUP(B597,'0. Instruções'!$C$27:$G$32,5,FALSE)=0,
"ON X.CHAVE_IT=Y.CHAVE_SIMUL",
"ON X.CHAVE_IT1=Y.CHAVE_SIMUL1 AND X.CHAVE_IT2=Y.CHAVE_SIMUL2")</f>
        <v>ON X.CHAVE_IT=Y.CHAVE_SIMUL</v>
      </c>
      <c r="M597" s="32" t="str">
        <f>+IF(D597="Coerência",+IF(LEFT(H597,5)="FLOAT","SELECT '"&amp;UPPER(B597)&amp;"' AS TABELA, '"&amp;UPPER(D597)&amp;"' AS TIPOLOGIA_TESTE,'"&amp;E597&amp;"' AS TABELA_LT,'"&amp;F597&amp;"' AS TABELA_SIMUL,'"&amp;C597&amp;"'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"&amp;J597&amp;" INNER JOIN "&amp;K597&amp;" "&amp;L597,"SELECT '"&amp;UPPER(B597)&amp;"' AS TABELA, '"&amp;UPPER(D597)&amp;"' AS TIPOLOGIA_TESTE,'"&amp;E597&amp;"' AS TABELA_LT,'"&amp;F597&amp;"' AS TABELA_SIMUL,'"&amp;C597&amp;"'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"&amp;J597&amp;" INNER JOIN "&amp;K597&amp;" "&amp;L597))</f>
        <v>SELECT 'PROTECTION' AS TABELA, 'COERÊNCIA' AS TIPOLOGIA_TESTE,'CD_LOAN_TAPES_BCE.LT004_PROTECTION' AS TABELA_LT,'BU_LOANTAPE_WORK.LT004_PROTECTION' AS TABELA_SIMUL,'typ_ep_scr'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typ_ep_scr AS CAMPO_IT FROM CD_LOAN_TAPES_BCE.LT004_PROTECTION WHERE ref_date='${ref_date}' AND nome_perimetro='Individual Local' AND segmento='ESTR' AND ambito='PM' AND entidade='00100')X INNER JOIN (SELECT prtctn_id AS CHAVE_SIMUL, typ_ep_scr AS CAMPO_SIMUL FROM BU_LOANTAPE_WORK.LT004_PROTECTION WHERE ref_date='${ref_date}' AND nome_perimetro='Individual Local' AND segmento='ESTR' AND ambito='PM' AND entidade='00100')Y ON X.CHAVE_IT=Y.CHAVE_SIMUL</v>
      </c>
      <c r="N597" s="33" t="str">
        <f t="shared" si="19"/>
        <v>UNION ALL SELECT 'PROTECTION' AS TABELA, 'COERÊNCIA' AS TIPOLOGIA_TESTE,'CD_LOAN_TAPES_BCE.LT004_PROTECTION' AS TABELA_LT,'BU_LOANTAPE_WORK.LT004_PROTECTION' AS TABELA_SIMUL,'typ_ep_scr'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typ_ep_scr AS CAMPO_IT FROM CD_LOAN_TAPES_BCE.LT004_PROTECTION WHERE ref_date='${ref_date}' AND nome_perimetro='Individual Local' AND segmento='ESTR' AND ambito='PM' AND entidade='00100')X INNER JOIN (SELECT prtctn_id AS CHAVE_SIMUL, typ_ep_scr AS CAMPO_SIMUL FROM BU_LOANTAPE_WORK.LT004_PROTECTION WHERE ref_date='${ref_date}' AND nome_perimetro='Individual Local' AND segmento='ESTR' AND ambito='PM' AND entidade='00100')Y ON X.CHAVE_IT=Y.CHAVE_SIMUL</v>
      </c>
      <c r="O597" s="35" t="s">
        <v>35</v>
      </c>
    </row>
    <row r="598" spans="1:15">
      <c r="A598" s="57" t="str">
        <f t="shared" si="20"/>
        <v>Protectionep_scr</v>
      </c>
      <c r="B598" s="32" t="s">
        <v>59</v>
      </c>
      <c r="C598" s="32" t="s">
        <v>116</v>
      </c>
      <c r="D598" s="32" t="s">
        <v>5</v>
      </c>
      <c r="E598" s="32" t="str">
        <f>+UPPER('0. Instruções'!$D$35&amp;"."&amp;VLOOKUP(B598,'0. Instruções'!$C$27:$D$32,2,FALSE))</f>
        <v>CD_LOAN_TAPES_BCE.LT004_PROTECTION</v>
      </c>
      <c r="F598" s="32" t="str">
        <f>+UPPER('0. Instruções'!$D$36&amp;"."&amp;VLOOKUP(B598,'0. Instruções'!$C$27:$E$32,3,FALSE))</f>
        <v>BU_LOANTAPE_WORK.LT004_PROTECTION</v>
      </c>
      <c r="H598" s="32"/>
      <c r="I598" s="32"/>
      <c r="J598" s="32" t="str">
        <f>IF(VLOOKUP(B598,'0. Instruções'!$C$27:$G$32,5,FALSE)=0,
"(SELECT "&amp;VLOOKUP(B598,'0. Instruções'!$C$27:$G$32,4,FALSE)&amp;" AS CHAVE_IT, "&amp;C598&amp;" AS CAMPO_IT FROM "&amp;E598&amp;" WHERE "&amp;'0. Instruções'!$D$43&amp;")X",
"(SELECT "&amp;VLOOKUP(B598,'0. Instruções'!$C$27:$G$32,4,FALSE)&amp;" AS CHAVE_IT1, "&amp;VLOOKUP(B598,'0. Instruções'!$C$27:$G$32,5,FALSE)&amp;" AS CHAVE_IT2, "&amp;C598&amp;" AS CAMPO_IT FROM "&amp;E598&amp;" WHERE "&amp;'0. Instruções'!$D$43&amp;")X")</f>
        <v>(SELECT prtctn_id AS CHAVE_IT, ep_scr AS CAMPO_IT FROM CD_LOAN_TAPES_BCE.LT004_PROTECTION WHERE ref_date='${ref_date}' AND nome_perimetro='Individual Local' AND segmento='ESTR' AND ambito='PM' AND entidade='00100')X</v>
      </c>
      <c r="K598" s="32" t="str">
        <f>IF(VLOOKUP(B598,'0. Instruções'!$C$27:$G$32,5,FALSE)=0,
"(SELECT "&amp;VLOOKUP(B598,'0. Instruções'!$C$27:$G$32,4,FALSE)&amp;" AS CHAVE_SIMUL, "&amp;C598&amp;" AS CAMPO_SIMUL FROM "&amp;F598&amp;" WHERE "&amp;'0. Instruções'!$D$42&amp;")Y",
"(SELECT "&amp;VLOOKUP(B598,'0. Instruções'!$C$27:$G$32,4,FALSE)&amp;" AS CHAVE_SIMUL1, "&amp;VLOOKUP(B598,'0. Instruções'!$C$27:$G$32,5,FALSE)&amp;" AS CHAVE_SIMUL2, "&amp;C598&amp;" AS CAMPO_SIMUL FROM "&amp;F598&amp;" WHERE "&amp;'0. Instruções'!$D$42&amp;")Y")</f>
        <v>(SELECT prtctn_id AS CHAVE_SIMUL, ep_scr AS CAMPO_SIMUL FROM BU_LOANTAPE_WORK.LT004_PROTECTION WHERE ref_date='${ref_date}' AND nome_perimetro='Individual Local' AND segmento='ESTR' AND ambito='PM' AND entidade='00100')Y</v>
      </c>
      <c r="L598" s="32" t="str">
        <f>IF(VLOOKUP(B598,'0. Instruções'!$C$27:$G$32,5,FALSE)=0,
"ON X.CHAVE_IT=Y.CHAVE_SIMUL",
"ON X.CHAVE_IT1=Y.CHAVE_SIMUL1 AND X.CHAVE_IT2=Y.CHAVE_SIMUL2")</f>
        <v>ON X.CHAVE_IT=Y.CHAVE_SIMUL</v>
      </c>
      <c r="M598" s="32" t="str">
        <f>+IF(D598="Coerência",+IF(LEFT(H598,5)="FLOAT","SELECT '"&amp;UPPER(B598)&amp;"' AS TABELA, '"&amp;UPPER(D598)&amp;"' AS TIPOLOGIA_TESTE,'"&amp;E598&amp;"' AS TABELA_LT,'"&amp;F598&amp;"' AS TABELA_SIMUL,'"&amp;C598&amp;"'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"&amp;J598&amp;" INNER JOIN "&amp;K598&amp;" "&amp;L598,"SELECT '"&amp;UPPER(B598)&amp;"' AS TABELA, '"&amp;UPPER(D598)&amp;"' AS TIPOLOGIA_TESTE,'"&amp;E598&amp;"' AS TABELA_LT,'"&amp;F598&amp;"' AS TABELA_SIMUL,'"&amp;C598&amp;"'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"&amp;J598&amp;" INNER JOIN "&amp;K598&amp;" "&amp;L598))</f>
        <v>SELECT 'PROTECTION' AS TABELA, 'COERÊNCIA' AS TIPOLOGIA_TESTE,'CD_LOAN_TAPES_BCE.LT004_PROTECTION' AS TABELA_LT,'BU_LOANTAPE_WORK.LT004_PROTECTION' AS TABELA_SIMUL,'ep_scr'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ep_scr AS CAMPO_IT FROM CD_LOAN_TAPES_BCE.LT004_PROTECTION WHERE ref_date='${ref_date}' AND nome_perimetro='Individual Local' AND segmento='ESTR' AND ambito='PM' AND entidade='00100')X INNER JOIN (SELECT prtctn_id AS CHAVE_SIMUL, ep_scr AS CAMPO_SIMUL FROM BU_LOANTAPE_WORK.LT004_PROTECTION WHERE ref_date='${ref_date}' AND nome_perimetro='Individual Local' AND segmento='ESTR' AND ambito='PM' AND entidade='00100')Y ON X.CHAVE_IT=Y.CHAVE_SIMUL</v>
      </c>
      <c r="N598" s="33" t="str">
        <f t="shared" si="19"/>
        <v>UNION ALL SELECT 'PROTECTION' AS TABELA, 'COERÊNCIA' AS TIPOLOGIA_TESTE,'CD_LOAN_TAPES_BCE.LT004_PROTECTION' AS TABELA_LT,'BU_LOANTAPE_WORK.LT004_PROTECTION' AS TABELA_SIMUL,'ep_scr'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ep_scr AS CAMPO_IT FROM CD_LOAN_TAPES_BCE.LT004_PROTECTION WHERE ref_date='${ref_date}' AND nome_perimetro='Individual Local' AND segmento='ESTR' AND ambito='PM' AND entidade='00100')X INNER JOIN (SELECT prtctn_id AS CHAVE_SIMUL, ep_scr AS CAMPO_SIMUL FROM BU_LOANTAPE_WORK.LT004_PROTECTION WHERE ref_date='${ref_date}' AND nome_perimetro='Individual Local' AND segmento='ESTR' AND ambito='PM' AND entidade='00100')Y ON X.CHAVE_IT=Y.CHAVE_SIMUL</v>
      </c>
      <c r="O598" s="35" t="s">
        <v>35</v>
      </c>
    </row>
    <row r="599" spans="1:15">
      <c r="A599" s="57" t="str">
        <f t="shared" si="20"/>
        <v>Protectiontyp_epc_lbl</v>
      </c>
      <c r="B599" s="32" t="s">
        <v>59</v>
      </c>
      <c r="C599" s="32" t="s">
        <v>117</v>
      </c>
      <c r="D599" s="32" t="s">
        <v>5</v>
      </c>
      <c r="E599" s="32" t="str">
        <f>+UPPER('0. Instruções'!$D$35&amp;"."&amp;VLOOKUP(B599,'0. Instruções'!$C$27:$D$32,2,FALSE))</f>
        <v>CD_LOAN_TAPES_BCE.LT004_PROTECTION</v>
      </c>
      <c r="F599" s="32" t="str">
        <f>+UPPER('0. Instruções'!$D$36&amp;"."&amp;VLOOKUP(B599,'0. Instruções'!$C$27:$E$32,3,FALSE))</f>
        <v>BU_LOANTAPE_WORK.LT004_PROTECTION</v>
      </c>
      <c r="H599" s="32"/>
      <c r="I599" s="32"/>
      <c r="J599" s="32" t="str">
        <f>IF(VLOOKUP(B599,'0. Instruções'!$C$27:$G$32,5,FALSE)=0,
"(SELECT "&amp;VLOOKUP(B599,'0. Instruções'!$C$27:$G$32,4,FALSE)&amp;" AS CHAVE_IT, "&amp;C599&amp;" AS CAMPO_IT FROM "&amp;E599&amp;" WHERE "&amp;'0. Instruções'!$D$43&amp;")X",
"(SELECT "&amp;VLOOKUP(B599,'0. Instruções'!$C$27:$G$32,4,FALSE)&amp;" AS CHAVE_IT1, "&amp;VLOOKUP(B599,'0. Instruções'!$C$27:$G$32,5,FALSE)&amp;" AS CHAVE_IT2, "&amp;C599&amp;" AS CAMPO_IT FROM "&amp;E599&amp;" WHERE "&amp;'0. Instruções'!$D$43&amp;")X")</f>
        <v>(SELECT prtctn_id AS CHAVE_IT, typ_epc_lbl AS CAMPO_IT FROM CD_LOAN_TAPES_BCE.LT004_PROTECTION WHERE ref_date='${ref_date}' AND nome_perimetro='Individual Local' AND segmento='ESTR' AND ambito='PM' AND entidade='00100')X</v>
      </c>
      <c r="K599" s="32" t="str">
        <f>IF(VLOOKUP(B599,'0. Instruções'!$C$27:$G$32,5,FALSE)=0,
"(SELECT "&amp;VLOOKUP(B599,'0. Instruções'!$C$27:$G$32,4,FALSE)&amp;" AS CHAVE_SIMUL, "&amp;C599&amp;" AS CAMPO_SIMUL FROM "&amp;F599&amp;" WHERE "&amp;'0. Instruções'!$D$42&amp;")Y",
"(SELECT "&amp;VLOOKUP(B599,'0. Instruções'!$C$27:$G$32,4,FALSE)&amp;" AS CHAVE_SIMUL1, "&amp;VLOOKUP(B599,'0. Instruções'!$C$27:$G$32,5,FALSE)&amp;" AS CHAVE_SIMUL2, "&amp;C599&amp;" AS CAMPO_SIMUL FROM "&amp;F599&amp;" WHERE "&amp;'0. Instruções'!$D$42&amp;")Y")</f>
        <v>(SELECT prtctn_id AS CHAVE_SIMUL, typ_epc_lbl AS CAMPO_SIMUL FROM BU_LOANTAPE_WORK.LT004_PROTECTION WHERE ref_date='${ref_date}' AND nome_perimetro='Individual Local' AND segmento='ESTR' AND ambito='PM' AND entidade='00100')Y</v>
      </c>
      <c r="L599" s="32" t="str">
        <f>IF(VLOOKUP(B599,'0. Instruções'!$C$27:$G$32,5,FALSE)=0,
"ON X.CHAVE_IT=Y.CHAVE_SIMUL",
"ON X.CHAVE_IT1=Y.CHAVE_SIMUL1 AND X.CHAVE_IT2=Y.CHAVE_SIMUL2")</f>
        <v>ON X.CHAVE_IT=Y.CHAVE_SIMUL</v>
      </c>
      <c r="M599" s="32" t="str">
        <f>+IF(D599="Coerência",+IF(LEFT(H599,5)="FLOAT","SELECT '"&amp;UPPER(B599)&amp;"' AS TABELA, '"&amp;UPPER(D599)&amp;"' AS TIPOLOGIA_TESTE,'"&amp;E599&amp;"' AS TABELA_LT,'"&amp;F599&amp;"' AS TABELA_SIMUL,'"&amp;C599&amp;"'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"&amp;J599&amp;" INNER JOIN "&amp;K599&amp;" "&amp;L599,"SELECT '"&amp;UPPER(B599)&amp;"' AS TABELA, '"&amp;UPPER(D599)&amp;"' AS TIPOLOGIA_TESTE,'"&amp;E599&amp;"' AS TABELA_LT,'"&amp;F599&amp;"' AS TABELA_SIMUL,'"&amp;C599&amp;"'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"&amp;J599&amp;" INNER JOIN "&amp;K599&amp;" "&amp;L599))</f>
        <v>SELECT 'PROTECTION' AS TABELA, 'COERÊNCIA' AS TIPOLOGIA_TESTE,'CD_LOAN_TAPES_BCE.LT004_PROTECTION' AS TABELA_LT,'BU_LOANTAPE_WORK.LT004_PROTECTION' AS TABELA_SIMUL,'typ_epc_lbl'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typ_epc_lbl AS CAMPO_IT FROM CD_LOAN_TAPES_BCE.LT004_PROTECTION WHERE ref_date='${ref_date}' AND nome_perimetro='Individual Local' AND segmento='ESTR' AND ambito='PM' AND entidade='00100')X INNER JOIN (SELECT prtctn_id AS CHAVE_SIMUL, typ_epc_lbl AS CAMPO_SIMUL FROM BU_LOANTAPE_WORK.LT004_PROTECTION WHERE ref_date='${ref_date}' AND nome_perimetro='Individual Local' AND segmento='ESTR' AND ambito='PM' AND entidade='00100')Y ON X.CHAVE_IT=Y.CHAVE_SIMUL</v>
      </c>
      <c r="N599" s="33" t="str">
        <f t="shared" si="19"/>
        <v>UNION ALL SELECT 'PROTECTION' AS TABELA, 'COERÊNCIA' AS TIPOLOGIA_TESTE,'CD_LOAN_TAPES_BCE.LT004_PROTECTION' AS TABELA_LT,'BU_LOANTAPE_WORK.LT004_PROTECTION' AS TABELA_SIMUL,'typ_epc_lbl'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typ_epc_lbl AS CAMPO_IT FROM CD_LOAN_TAPES_BCE.LT004_PROTECTION WHERE ref_date='${ref_date}' AND nome_perimetro='Individual Local' AND segmento='ESTR' AND ambito='PM' AND entidade='00100')X INNER JOIN (SELECT prtctn_id AS CHAVE_SIMUL, typ_epc_lbl AS CAMPO_SIMUL FROM BU_LOANTAPE_WORK.LT004_PROTECTION WHERE ref_date='${ref_date}' AND nome_perimetro='Individual Local' AND segmento='ESTR' AND ambito='PM' AND entidade='00100')Y ON X.CHAVE_IT=Y.CHAVE_SIMUL</v>
      </c>
      <c r="O599" s="35" t="s">
        <v>35</v>
      </c>
    </row>
    <row r="600" spans="1:15">
      <c r="A600" s="57" t="str">
        <f t="shared" si="20"/>
        <v>Protectionepc_lbl</v>
      </c>
      <c r="B600" s="32" t="s">
        <v>59</v>
      </c>
      <c r="C600" s="32" t="s">
        <v>118</v>
      </c>
      <c r="D600" s="32" t="s">
        <v>5</v>
      </c>
      <c r="E600" s="32" t="str">
        <f>+UPPER('0. Instruções'!$D$35&amp;"."&amp;VLOOKUP(B600,'0. Instruções'!$C$27:$D$32,2,FALSE))</f>
        <v>CD_LOAN_TAPES_BCE.LT004_PROTECTION</v>
      </c>
      <c r="F600" s="32" t="str">
        <f>+UPPER('0. Instruções'!$D$36&amp;"."&amp;VLOOKUP(B600,'0. Instruções'!$C$27:$E$32,3,FALSE))</f>
        <v>BU_LOANTAPE_WORK.LT004_PROTECTION</v>
      </c>
      <c r="H600" s="32"/>
      <c r="I600" s="32"/>
      <c r="J600" s="32" t="str">
        <f>IF(VLOOKUP(B600,'0. Instruções'!$C$27:$G$32,5,FALSE)=0,
"(SELECT "&amp;VLOOKUP(B600,'0. Instruções'!$C$27:$G$32,4,FALSE)&amp;" AS CHAVE_IT, "&amp;C600&amp;" AS CAMPO_IT FROM "&amp;E600&amp;" WHERE "&amp;'0. Instruções'!$D$43&amp;")X",
"(SELECT "&amp;VLOOKUP(B600,'0. Instruções'!$C$27:$G$32,4,FALSE)&amp;" AS CHAVE_IT1, "&amp;VLOOKUP(B600,'0. Instruções'!$C$27:$G$32,5,FALSE)&amp;" AS CHAVE_IT2, "&amp;C600&amp;" AS CAMPO_IT FROM "&amp;E600&amp;" WHERE "&amp;'0. Instruções'!$D$43&amp;")X")</f>
        <v>(SELECT prtctn_id AS CHAVE_IT, epc_lbl AS CAMPO_IT FROM CD_LOAN_TAPES_BCE.LT004_PROTECTION WHERE ref_date='${ref_date}' AND nome_perimetro='Individual Local' AND segmento='ESTR' AND ambito='PM' AND entidade='00100')X</v>
      </c>
      <c r="K600" s="32" t="str">
        <f>IF(VLOOKUP(B600,'0. Instruções'!$C$27:$G$32,5,FALSE)=0,
"(SELECT "&amp;VLOOKUP(B600,'0. Instruções'!$C$27:$G$32,4,FALSE)&amp;" AS CHAVE_SIMUL, "&amp;C600&amp;" AS CAMPO_SIMUL FROM "&amp;F600&amp;" WHERE "&amp;'0. Instruções'!$D$42&amp;")Y",
"(SELECT "&amp;VLOOKUP(B600,'0. Instruções'!$C$27:$G$32,4,FALSE)&amp;" AS CHAVE_SIMUL1, "&amp;VLOOKUP(B600,'0. Instruções'!$C$27:$G$32,5,FALSE)&amp;" AS CHAVE_SIMUL2, "&amp;C600&amp;" AS CAMPO_SIMUL FROM "&amp;F600&amp;" WHERE "&amp;'0. Instruções'!$D$42&amp;")Y")</f>
        <v>(SELECT prtctn_id AS CHAVE_SIMUL, epc_lbl AS CAMPO_SIMUL FROM BU_LOANTAPE_WORK.LT004_PROTECTION WHERE ref_date='${ref_date}' AND nome_perimetro='Individual Local' AND segmento='ESTR' AND ambito='PM' AND entidade='00100')Y</v>
      </c>
      <c r="L600" s="32" t="str">
        <f>IF(VLOOKUP(B600,'0. Instruções'!$C$27:$G$32,5,FALSE)=0,
"ON X.CHAVE_IT=Y.CHAVE_SIMUL",
"ON X.CHAVE_IT1=Y.CHAVE_SIMUL1 AND X.CHAVE_IT2=Y.CHAVE_SIMUL2")</f>
        <v>ON X.CHAVE_IT=Y.CHAVE_SIMUL</v>
      </c>
      <c r="M600" s="32" t="str">
        <f>+IF(D600="Coerência",+IF(LEFT(H600,5)="FLOAT","SELECT '"&amp;UPPER(B600)&amp;"' AS TABELA, '"&amp;UPPER(D600)&amp;"' AS TIPOLOGIA_TESTE,'"&amp;E600&amp;"' AS TABELA_LT,'"&amp;F600&amp;"' AS TABELA_SIMUL,'"&amp;C600&amp;"'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"&amp;J600&amp;" INNER JOIN "&amp;K600&amp;" "&amp;L600,"SELECT '"&amp;UPPER(B600)&amp;"' AS TABELA, '"&amp;UPPER(D600)&amp;"' AS TIPOLOGIA_TESTE,'"&amp;E600&amp;"' AS TABELA_LT,'"&amp;F600&amp;"' AS TABELA_SIMUL,'"&amp;C600&amp;"'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"&amp;J600&amp;" INNER JOIN "&amp;K600&amp;" "&amp;L600))</f>
        <v>SELECT 'PROTECTION' AS TABELA, 'COERÊNCIA' AS TIPOLOGIA_TESTE,'CD_LOAN_TAPES_BCE.LT004_PROTECTION' AS TABELA_LT,'BU_LOANTAPE_WORK.LT004_PROTECTION' AS TABELA_SIMUL,'epc_lbl'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epc_lbl AS CAMPO_IT FROM CD_LOAN_TAPES_BCE.LT004_PROTECTION WHERE ref_date='${ref_date}' AND nome_perimetro='Individual Local' AND segmento='ESTR' AND ambito='PM' AND entidade='00100')X INNER JOIN (SELECT prtctn_id AS CHAVE_SIMUL, epc_lbl AS CAMPO_SIMUL FROM BU_LOANTAPE_WORK.LT004_PROTECTION WHERE ref_date='${ref_date}' AND nome_perimetro='Individual Local' AND segmento='ESTR' AND ambito='PM' AND entidade='00100')Y ON X.CHAVE_IT=Y.CHAVE_SIMUL</v>
      </c>
      <c r="N600" s="33" t="str">
        <f t="shared" si="19"/>
        <v>UNION ALL SELECT 'PROTECTION' AS TABELA, 'COERÊNCIA' AS TIPOLOGIA_TESTE,'CD_LOAN_TAPES_BCE.LT004_PROTECTION' AS TABELA_LT,'BU_LOANTAPE_WORK.LT004_PROTECTION' AS TABELA_SIMUL,'epc_lbl'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epc_lbl AS CAMPO_IT FROM CD_LOAN_TAPES_BCE.LT004_PROTECTION WHERE ref_date='${ref_date}' AND nome_perimetro='Individual Local' AND segmento='ESTR' AND ambito='PM' AND entidade='00100')X INNER JOIN (SELECT prtctn_id AS CHAVE_SIMUL, epc_lbl AS CAMPO_SIMUL FROM BU_LOANTAPE_WORK.LT004_PROTECTION WHERE ref_date='${ref_date}' AND nome_perimetro='Individual Local' AND segmento='ESTR' AND ambito='PM' AND entidade='00100')Y ON X.CHAVE_IT=Y.CHAVE_SIMUL</v>
      </c>
      <c r="O600" s="35" t="s">
        <v>35</v>
      </c>
    </row>
    <row r="601" spans="1:15">
      <c r="A601" s="57" t="str">
        <f t="shared" si="20"/>
        <v>Protectionemssns_scp1_prtctn</v>
      </c>
      <c r="B601" s="32" t="s">
        <v>59</v>
      </c>
      <c r="C601" s="32" t="s">
        <v>119</v>
      </c>
      <c r="D601" s="32" t="s">
        <v>5</v>
      </c>
      <c r="E601" s="32" t="str">
        <f>+UPPER('0. Instruções'!$D$35&amp;"."&amp;VLOOKUP(B601,'0. Instruções'!$C$27:$D$32,2,FALSE))</f>
        <v>CD_LOAN_TAPES_BCE.LT004_PROTECTION</v>
      </c>
      <c r="F601" s="32" t="str">
        <f>+UPPER('0. Instruções'!$D$36&amp;"."&amp;VLOOKUP(B601,'0. Instruções'!$C$27:$E$32,3,FALSE))</f>
        <v>BU_LOANTAPE_WORK.LT004_PROTECTION</v>
      </c>
      <c r="H601" s="32"/>
      <c r="I601" s="32"/>
      <c r="J601" s="32" t="str">
        <f>IF(VLOOKUP(B601,'0. Instruções'!$C$27:$G$32,5,FALSE)=0,
"(SELECT "&amp;VLOOKUP(B601,'0. Instruções'!$C$27:$G$32,4,FALSE)&amp;" AS CHAVE_IT, "&amp;C601&amp;" AS CAMPO_IT FROM "&amp;E601&amp;" WHERE "&amp;'0. Instruções'!$D$43&amp;")X",
"(SELECT "&amp;VLOOKUP(B601,'0. Instruções'!$C$27:$G$32,4,FALSE)&amp;" AS CHAVE_IT1, "&amp;VLOOKUP(B601,'0. Instruções'!$C$27:$G$32,5,FALSE)&amp;" AS CHAVE_IT2, "&amp;C601&amp;" AS CAMPO_IT FROM "&amp;E601&amp;" WHERE "&amp;'0. Instruções'!$D$43&amp;")X")</f>
        <v>(SELECT prtctn_id AS CHAVE_IT, emssns_scp1_prtctn AS CAMPO_IT FROM CD_LOAN_TAPES_BCE.LT004_PROTECTION WHERE ref_date='${ref_date}' AND nome_perimetro='Individual Local' AND segmento='ESTR' AND ambito='PM' AND entidade='00100')X</v>
      </c>
      <c r="K601" s="32" t="str">
        <f>IF(VLOOKUP(B601,'0. Instruções'!$C$27:$G$32,5,FALSE)=0,
"(SELECT "&amp;VLOOKUP(B601,'0. Instruções'!$C$27:$G$32,4,FALSE)&amp;" AS CHAVE_SIMUL, "&amp;C601&amp;" AS CAMPO_SIMUL FROM "&amp;F601&amp;" WHERE "&amp;'0. Instruções'!$D$42&amp;")Y",
"(SELECT "&amp;VLOOKUP(B601,'0. Instruções'!$C$27:$G$32,4,FALSE)&amp;" AS CHAVE_SIMUL1, "&amp;VLOOKUP(B601,'0. Instruções'!$C$27:$G$32,5,FALSE)&amp;" AS CHAVE_SIMUL2, "&amp;C601&amp;" AS CAMPO_SIMUL FROM "&amp;F601&amp;" WHERE "&amp;'0. Instruções'!$D$42&amp;")Y")</f>
        <v>(SELECT prtctn_id AS CHAVE_SIMUL, emssns_scp1_prtctn AS CAMPO_SIMUL FROM BU_LOANTAPE_WORK.LT004_PROTECTION WHERE ref_date='${ref_date}' AND nome_perimetro='Individual Local' AND segmento='ESTR' AND ambito='PM' AND entidade='00100')Y</v>
      </c>
      <c r="L601" s="32" t="str">
        <f>IF(VLOOKUP(B601,'0. Instruções'!$C$27:$G$32,5,FALSE)=0,
"ON X.CHAVE_IT=Y.CHAVE_SIMUL",
"ON X.CHAVE_IT1=Y.CHAVE_SIMUL1 AND X.CHAVE_IT2=Y.CHAVE_SIMUL2")</f>
        <v>ON X.CHAVE_IT=Y.CHAVE_SIMUL</v>
      </c>
      <c r="M601" s="32" t="str">
        <f>+IF(D601="Coerência",+IF(LEFT(H601,5)="FLOAT","SELECT '"&amp;UPPER(B601)&amp;"' AS TABELA, '"&amp;UPPER(D601)&amp;"' AS TIPOLOGIA_TESTE,'"&amp;E601&amp;"' AS TABELA_LT,'"&amp;F601&amp;"' AS TABELA_SIMUL,'"&amp;C601&amp;"'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"&amp;J601&amp;" INNER JOIN "&amp;K601&amp;" "&amp;L601,"SELECT '"&amp;UPPER(B601)&amp;"' AS TABELA, '"&amp;UPPER(D601)&amp;"' AS TIPOLOGIA_TESTE,'"&amp;E601&amp;"' AS TABELA_LT,'"&amp;F601&amp;"' AS TABELA_SIMUL,'"&amp;C601&amp;"'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"&amp;J601&amp;" INNER JOIN "&amp;K601&amp;" "&amp;L601))</f>
        <v>SELECT 'PROTECTION' AS TABELA, 'COERÊNCIA' AS TIPOLOGIA_TESTE,'CD_LOAN_TAPES_BCE.LT004_PROTECTION' AS TABELA_LT,'BU_LOANTAPE_WORK.LT004_PROTECTION' AS TABELA_SIMUL,'emssns_scp1_prtctn'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emssns_scp1_prtctn AS CAMPO_IT FROM CD_LOAN_TAPES_BCE.LT004_PROTECTION WHERE ref_date='${ref_date}' AND nome_perimetro='Individual Local' AND segmento='ESTR' AND ambito='PM' AND entidade='00100')X INNER JOIN (SELECT prtctn_id AS CHAVE_SIMUL, emssns_scp1_prtctn AS CAMPO_SIMUL FROM BU_LOANTAPE_WORK.LT004_PROTECTION WHERE ref_date='${ref_date}' AND nome_perimetro='Individual Local' AND segmento='ESTR' AND ambito='PM' AND entidade='00100')Y ON X.CHAVE_IT=Y.CHAVE_SIMUL</v>
      </c>
      <c r="N601" s="33" t="str">
        <f t="shared" si="19"/>
        <v>UNION ALL SELECT 'PROTECTION' AS TABELA, 'COERÊNCIA' AS TIPOLOGIA_TESTE,'CD_LOAN_TAPES_BCE.LT004_PROTECTION' AS TABELA_LT,'BU_LOANTAPE_WORK.LT004_PROTECTION' AS TABELA_SIMUL,'emssns_scp1_prtctn'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emssns_scp1_prtctn AS CAMPO_IT FROM CD_LOAN_TAPES_BCE.LT004_PROTECTION WHERE ref_date='${ref_date}' AND nome_perimetro='Individual Local' AND segmento='ESTR' AND ambito='PM' AND entidade='00100')X INNER JOIN (SELECT prtctn_id AS CHAVE_SIMUL, emssns_scp1_prtctn AS CAMPO_SIMUL FROM BU_LOANTAPE_WORK.LT004_PROTECTION WHERE ref_date='${ref_date}' AND nome_perimetro='Individual Local' AND segmento='ESTR' AND ambito='PM' AND entidade='00100')Y ON X.CHAVE_IT=Y.CHAVE_SIMUL</v>
      </c>
      <c r="O601" s="35" t="s">
        <v>35</v>
      </c>
    </row>
    <row r="602" spans="1:15">
      <c r="A602" s="57" t="str">
        <f t="shared" si="20"/>
        <v>Protectionemssns_scp2_prtctn</v>
      </c>
      <c r="B602" s="32" t="s">
        <v>59</v>
      </c>
      <c r="C602" s="32" t="s">
        <v>120</v>
      </c>
      <c r="D602" s="32" t="s">
        <v>5</v>
      </c>
      <c r="E602" s="32" t="str">
        <f>+UPPER('0. Instruções'!$D$35&amp;"."&amp;VLOOKUP(B602,'0. Instruções'!$C$27:$D$32,2,FALSE))</f>
        <v>CD_LOAN_TAPES_BCE.LT004_PROTECTION</v>
      </c>
      <c r="F602" s="32" t="str">
        <f>+UPPER('0. Instruções'!$D$36&amp;"."&amp;VLOOKUP(B602,'0. Instruções'!$C$27:$E$32,3,FALSE))</f>
        <v>BU_LOANTAPE_WORK.LT004_PROTECTION</v>
      </c>
      <c r="H602" s="32"/>
      <c r="I602" s="32"/>
      <c r="J602" s="32" t="str">
        <f>IF(VLOOKUP(B602,'0. Instruções'!$C$27:$G$32,5,FALSE)=0,
"(SELECT "&amp;VLOOKUP(B602,'0. Instruções'!$C$27:$G$32,4,FALSE)&amp;" AS CHAVE_IT, "&amp;C602&amp;" AS CAMPO_IT FROM "&amp;E602&amp;" WHERE "&amp;'0. Instruções'!$D$43&amp;")X",
"(SELECT "&amp;VLOOKUP(B602,'0. Instruções'!$C$27:$G$32,4,FALSE)&amp;" AS CHAVE_IT1, "&amp;VLOOKUP(B602,'0. Instruções'!$C$27:$G$32,5,FALSE)&amp;" AS CHAVE_IT2, "&amp;C602&amp;" AS CAMPO_IT FROM "&amp;E602&amp;" WHERE "&amp;'0. Instruções'!$D$43&amp;")X")</f>
        <v>(SELECT prtctn_id AS CHAVE_IT, emssns_scp2_prtctn AS CAMPO_IT FROM CD_LOAN_TAPES_BCE.LT004_PROTECTION WHERE ref_date='${ref_date}' AND nome_perimetro='Individual Local' AND segmento='ESTR' AND ambito='PM' AND entidade='00100')X</v>
      </c>
      <c r="K602" s="32" t="str">
        <f>IF(VLOOKUP(B602,'0. Instruções'!$C$27:$G$32,5,FALSE)=0,
"(SELECT "&amp;VLOOKUP(B602,'0. Instruções'!$C$27:$G$32,4,FALSE)&amp;" AS CHAVE_SIMUL, "&amp;C602&amp;" AS CAMPO_SIMUL FROM "&amp;F602&amp;" WHERE "&amp;'0. Instruções'!$D$42&amp;")Y",
"(SELECT "&amp;VLOOKUP(B602,'0. Instruções'!$C$27:$G$32,4,FALSE)&amp;" AS CHAVE_SIMUL1, "&amp;VLOOKUP(B602,'0. Instruções'!$C$27:$G$32,5,FALSE)&amp;" AS CHAVE_SIMUL2, "&amp;C602&amp;" AS CAMPO_SIMUL FROM "&amp;F602&amp;" WHERE "&amp;'0. Instruções'!$D$42&amp;")Y")</f>
        <v>(SELECT prtctn_id AS CHAVE_SIMUL, emssns_scp2_prtctn AS CAMPO_SIMUL FROM BU_LOANTAPE_WORK.LT004_PROTECTION WHERE ref_date='${ref_date}' AND nome_perimetro='Individual Local' AND segmento='ESTR' AND ambito='PM' AND entidade='00100')Y</v>
      </c>
      <c r="L602" s="32" t="str">
        <f>IF(VLOOKUP(B602,'0. Instruções'!$C$27:$G$32,5,FALSE)=0,
"ON X.CHAVE_IT=Y.CHAVE_SIMUL",
"ON X.CHAVE_IT1=Y.CHAVE_SIMUL1 AND X.CHAVE_IT2=Y.CHAVE_SIMUL2")</f>
        <v>ON X.CHAVE_IT=Y.CHAVE_SIMUL</v>
      </c>
      <c r="M602" s="32" t="str">
        <f>+IF(D602="Coerência",+IF(LEFT(H602,5)="FLOAT","SELECT '"&amp;UPPER(B602)&amp;"' AS TABELA, '"&amp;UPPER(D602)&amp;"' AS TIPOLOGIA_TESTE,'"&amp;E602&amp;"' AS TABELA_LT,'"&amp;F602&amp;"' AS TABELA_SIMUL,'"&amp;C602&amp;"'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"&amp;J602&amp;" INNER JOIN "&amp;K602&amp;" "&amp;L602,"SELECT '"&amp;UPPER(B602)&amp;"' AS TABELA, '"&amp;UPPER(D602)&amp;"' AS TIPOLOGIA_TESTE,'"&amp;E602&amp;"' AS TABELA_LT,'"&amp;F602&amp;"' AS TABELA_SIMUL,'"&amp;C602&amp;"'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"&amp;J602&amp;" INNER JOIN "&amp;K602&amp;" "&amp;L602))</f>
        <v>SELECT 'PROTECTION' AS TABELA, 'COERÊNCIA' AS TIPOLOGIA_TESTE,'CD_LOAN_TAPES_BCE.LT004_PROTECTION' AS TABELA_LT,'BU_LOANTAPE_WORK.LT004_PROTECTION' AS TABELA_SIMUL,'emssns_scp2_prtctn'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emssns_scp2_prtctn AS CAMPO_IT FROM CD_LOAN_TAPES_BCE.LT004_PROTECTION WHERE ref_date='${ref_date}' AND nome_perimetro='Individual Local' AND segmento='ESTR' AND ambito='PM' AND entidade='00100')X INNER JOIN (SELECT prtctn_id AS CHAVE_SIMUL, emssns_scp2_prtctn AS CAMPO_SIMUL FROM BU_LOANTAPE_WORK.LT004_PROTECTION WHERE ref_date='${ref_date}' AND nome_perimetro='Individual Local' AND segmento='ESTR' AND ambito='PM' AND entidade='00100')Y ON X.CHAVE_IT=Y.CHAVE_SIMUL</v>
      </c>
      <c r="N602" s="33" t="str">
        <f t="shared" si="19"/>
        <v>UNION ALL SELECT 'PROTECTION' AS TABELA, 'COERÊNCIA' AS TIPOLOGIA_TESTE,'CD_LOAN_TAPES_BCE.LT004_PROTECTION' AS TABELA_LT,'BU_LOANTAPE_WORK.LT004_PROTECTION' AS TABELA_SIMUL,'emssns_scp2_prtctn'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emssns_scp2_prtctn AS CAMPO_IT FROM CD_LOAN_TAPES_BCE.LT004_PROTECTION WHERE ref_date='${ref_date}' AND nome_perimetro='Individual Local' AND segmento='ESTR' AND ambito='PM' AND entidade='00100')X INNER JOIN (SELECT prtctn_id AS CHAVE_SIMUL, emssns_scp2_prtctn AS CAMPO_SIMUL FROM BU_LOANTAPE_WORK.LT004_PROTECTION WHERE ref_date='${ref_date}' AND nome_perimetro='Individual Local' AND segmento='ESTR' AND ambito='PM' AND entidade='00100')Y ON X.CHAVE_IT=Y.CHAVE_SIMUL</v>
      </c>
      <c r="O602" s="35" t="s">
        <v>35</v>
      </c>
    </row>
    <row r="603" spans="1:15">
      <c r="A603" s="57" t="str">
        <f t="shared" si="20"/>
        <v>Protectionemssns_scp3_prtctn</v>
      </c>
      <c r="B603" s="32" t="s">
        <v>59</v>
      </c>
      <c r="C603" s="32" t="s">
        <v>121</v>
      </c>
      <c r="D603" s="32" t="s">
        <v>5</v>
      </c>
      <c r="E603" s="32" t="str">
        <f>+UPPER('0. Instruções'!$D$35&amp;"."&amp;VLOOKUP(B603,'0. Instruções'!$C$27:$D$32,2,FALSE))</f>
        <v>CD_LOAN_TAPES_BCE.LT004_PROTECTION</v>
      </c>
      <c r="F603" s="32" t="str">
        <f>+UPPER('0. Instruções'!$D$36&amp;"."&amp;VLOOKUP(B603,'0. Instruções'!$C$27:$E$32,3,FALSE))</f>
        <v>BU_LOANTAPE_WORK.LT004_PROTECTION</v>
      </c>
      <c r="H603" s="32"/>
      <c r="I603" s="32"/>
      <c r="J603" s="32" t="str">
        <f>IF(VLOOKUP(B603,'0. Instruções'!$C$27:$G$32,5,FALSE)=0,
"(SELECT "&amp;VLOOKUP(B603,'0. Instruções'!$C$27:$G$32,4,FALSE)&amp;" AS CHAVE_IT, "&amp;C603&amp;" AS CAMPO_IT FROM "&amp;E603&amp;" WHERE "&amp;'0. Instruções'!$D$43&amp;")X",
"(SELECT "&amp;VLOOKUP(B603,'0. Instruções'!$C$27:$G$32,4,FALSE)&amp;" AS CHAVE_IT1, "&amp;VLOOKUP(B603,'0. Instruções'!$C$27:$G$32,5,FALSE)&amp;" AS CHAVE_IT2, "&amp;C603&amp;" AS CAMPO_IT FROM "&amp;E603&amp;" WHERE "&amp;'0. Instruções'!$D$43&amp;")X")</f>
        <v>(SELECT prtctn_id AS CHAVE_IT, emssns_scp3_prtctn AS CAMPO_IT FROM CD_LOAN_TAPES_BCE.LT004_PROTECTION WHERE ref_date='${ref_date}' AND nome_perimetro='Individual Local' AND segmento='ESTR' AND ambito='PM' AND entidade='00100')X</v>
      </c>
      <c r="K603" s="32" t="str">
        <f>IF(VLOOKUP(B603,'0. Instruções'!$C$27:$G$32,5,FALSE)=0,
"(SELECT "&amp;VLOOKUP(B603,'0. Instruções'!$C$27:$G$32,4,FALSE)&amp;" AS CHAVE_SIMUL, "&amp;C603&amp;" AS CAMPO_SIMUL FROM "&amp;F603&amp;" WHERE "&amp;'0. Instruções'!$D$42&amp;")Y",
"(SELECT "&amp;VLOOKUP(B603,'0. Instruções'!$C$27:$G$32,4,FALSE)&amp;" AS CHAVE_SIMUL1, "&amp;VLOOKUP(B603,'0. Instruções'!$C$27:$G$32,5,FALSE)&amp;" AS CHAVE_SIMUL2, "&amp;C603&amp;" AS CAMPO_SIMUL FROM "&amp;F603&amp;" WHERE "&amp;'0. Instruções'!$D$42&amp;")Y")</f>
        <v>(SELECT prtctn_id AS CHAVE_SIMUL, emssns_scp3_prtctn AS CAMPO_SIMUL FROM BU_LOANTAPE_WORK.LT004_PROTECTION WHERE ref_date='${ref_date}' AND nome_perimetro='Individual Local' AND segmento='ESTR' AND ambito='PM' AND entidade='00100')Y</v>
      </c>
      <c r="L603" s="32" t="str">
        <f>IF(VLOOKUP(B603,'0. Instruções'!$C$27:$G$32,5,FALSE)=0,
"ON X.CHAVE_IT=Y.CHAVE_SIMUL",
"ON X.CHAVE_IT1=Y.CHAVE_SIMUL1 AND X.CHAVE_IT2=Y.CHAVE_SIMUL2")</f>
        <v>ON X.CHAVE_IT=Y.CHAVE_SIMUL</v>
      </c>
      <c r="M603" s="32" t="str">
        <f>+IF(D603="Coerência",+IF(LEFT(H603,5)="FLOAT","SELECT '"&amp;UPPER(B603)&amp;"' AS TABELA, '"&amp;UPPER(D603)&amp;"' AS TIPOLOGIA_TESTE,'"&amp;E603&amp;"' AS TABELA_LT,'"&amp;F603&amp;"' AS TABELA_SIMUL,'"&amp;C603&amp;"'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"&amp;J603&amp;" INNER JOIN "&amp;K603&amp;" "&amp;L603,"SELECT '"&amp;UPPER(B603)&amp;"' AS TABELA, '"&amp;UPPER(D603)&amp;"' AS TIPOLOGIA_TESTE,'"&amp;E603&amp;"' AS TABELA_LT,'"&amp;F603&amp;"' AS TABELA_SIMUL,'"&amp;C603&amp;"'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"&amp;J603&amp;" INNER JOIN "&amp;K603&amp;" "&amp;L603))</f>
        <v>SELECT 'PROTECTION' AS TABELA, 'COERÊNCIA' AS TIPOLOGIA_TESTE,'CD_LOAN_TAPES_BCE.LT004_PROTECTION' AS TABELA_LT,'BU_LOANTAPE_WORK.LT004_PROTECTION' AS TABELA_SIMUL,'emssns_scp3_prtctn'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emssns_scp3_prtctn AS CAMPO_IT FROM CD_LOAN_TAPES_BCE.LT004_PROTECTION WHERE ref_date='${ref_date}' AND nome_perimetro='Individual Local' AND segmento='ESTR' AND ambito='PM' AND entidade='00100')X INNER JOIN (SELECT prtctn_id AS CHAVE_SIMUL, emssns_scp3_prtctn AS CAMPO_SIMUL FROM BU_LOANTAPE_WORK.LT004_PROTECTION WHERE ref_date='${ref_date}' AND nome_perimetro='Individual Local' AND segmento='ESTR' AND ambito='PM' AND entidade='00100')Y ON X.CHAVE_IT=Y.CHAVE_SIMUL</v>
      </c>
      <c r="N603" s="33" t="str">
        <f t="shared" si="19"/>
        <v>UNION ALL SELECT 'PROTECTION' AS TABELA, 'COERÊNCIA' AS TIPOLOGIA_TESTE,'CD_LOAN_TAPES_BCE.LT004_PROTECTION' AS TABELA_LT,'BU_LOANTAPE_WORK.LT004_PROTECTION' AS TABELA_SIMUL,'emssns_scp3_prtctn'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emssns_scp3_prtctn AS CAMPO_IT FROM CD_LOAN_TAPES_BCE.LT004_PROTECTION WHERE ref_date='${ref_date}' AND nome_perimetro='Individual Local' AND segmento='ESTR' AND ambito='PM' AND entidade='00100')X INNER JOIN (SELECT prtctn_id AS CHAVE_SIMUL, emssns_scp3_prtctn AS CAMPO_SIMUL FROM BU_LOANTAPE_WORK.LT004_PROTECTION WHERE ref_date='${ref_date}' AND nome_perimetro='Individual Local' AND segmento='ESTR' AND ambito='PM' AND entidade='00100')Y ON X.CHAVE_IT=Y.CHAVE_SIMUL</v>
      </c>
      <c r="O603" s="35" t="s">
        <v>35</v>
      </c>
    </row>
    <row r="604" spans="1:15">
      <c r="A604" s="57" t="str">
        <f t="shared" si="20"/>
        <v>Protectionmthd_usd_prtctn_scp_1</v>
      </c>
      <c r="B604" s="32" t="s">
        <v>59</v>
      </c>
      <c r="C604" s="32" t="s">
        <v>122</v>
      </c>
      <c r="D604" s="32" t="s">
        <v>5</v>
      </c>
      <c r="E604" s="32" t="str">
        <f>+UPPER('0. Instruções'!$D$35&amp;"."&amp;VLOOKUP(B604,'0. Instruções'!$C$27:$D$32,2,FALSE))</f>
        <v>CD_LOAN_TAPES_BCE.LT004_PROTECTION</v>
      </c>
      <c r="F604" s="32" t="str">
        <f>+UPPER('0. Instruções'!$D$36&amp;"."&amp;VLOOKUP(B604,'0. Instruções'!$C$27:$E$32,3,FALSE))</f>
        <v>BU_LOANTAPE_WORK.LT004_PROTECTION</v>
      </c>
      <c r="H604" s="32"/>
      <c r="I604" s="32"/>
      <c r="J604" s="32" t="str">
        <f>IF(VLOOKUP(B604,'0. Instruções'!$C$27:$G$32,5,FALSE)=0,
"(SELECT "&amp;VLOOKUP(B604,'0. Instruções'!$C$27:$G$32,4,FALSE)&amp;" AS CHAVE_IT, "&amp;C604&amp;" AS CAMPO_IT FROM "&amp;E604&amp;" WHERE "&amp;'0. Instruções'!$D$43&amp;")X",
"(SELECT "&amp;VLOOKUP(B604,'0. Instruções'!$C$27:$G$32,4,FALSE)&amp;" AS CHAVE_IT1, "&amp;VLOOKUP(B604,'0. Instruções'!$C$27:$G$32,5,FALSE)&amp;" AS CHAVE_IT2, "&amp;C604&amp;" AS CAMPO_IT FROM "&amp;E604&amp;" WHERE "&amp;'0. Instruções'!$D$43&amp;")X")</f>
        <v>(SELECT prtctn_id AS CHAVE_IT, mthd_usd_prtctn_scp_1 AS CAMPO_IT FROM CD_LOAN_TAPES_BCE.LT004_PROTECTION WHERE ref_date='${ref_date}' AND nome_perimetro='Individual Local' AND segmento='ESTR' AND ambito='PM' AND entidade='00100')X</v>
      </c>
      <c r="K604" s="32" t="str">
        <f>IF(VLOOKUP(B604,'0. Instruções'!$C$27:$G$32,5,FALSE)=0,
"(SELECT "&amp;VLOOKUP(B604,'0. Instruções'!$C$27:$G$32,4,FALSE)&amp;" AS CHAVE_SIMUL, "&amp;C604&amp;" AS CAMPO_SIMUL FROM "&amp;F604&amp;" WHERE "&amp;'0. Instruções'!$D$42&amp;")Y",
"(SELECT "&amp;VLOOKUP(B604,'0. Instruções'!$C$27:$G$32,4,FALSE)&amp;" AS CHAVE_SIMUL1, "&amp;VLOOKUP(B604,'0. Instruções'!$C$27:$G$32,5,FALSE)&amp;" AS CHAVE_SIMUL2, "&amp;C604&amp;" AS CAMPO_SIMUL FROM "&amp;F604&amp;" WHERE "&amp;'0. Instruções'!$D$42&amp;")Y")</f>
        <v>(SELECT prtctn_id AS CHAVE_SIMUL, mthd_usd_prtctn_scp_1 AS CAMPO_SIMUL FROM BU_LOANTAPE_WORK.LT004_PROTECTION WHERE ref_date='${ref_date}' AND nome_perimetro='Individual Local' AND segmento='ESTR' AND ambito='PM' AND entidade='00100')Y</v>
      </c>
      <c r="L604" s="32" t="str">
        <f>IF(VLOOKUP(B604,'0. Instruções'!$C$27:$G$32,5,FALSE)=0,
"ON X.CHAVE_IT=Y.CHAVE_SIMUL",
"ON X.CHAVE_IT1=Y.CHAVE_SIMUL1 AND X.CHAVE_IT2=Y.CHAVE_SIMUL2")</f>
        <v>ON X.CHAVE_IT=Y.CHAVE_SIMUL</v>
      </c>
      <c r="M604" s="32" t="str">
        <f>+IF(D604="Coerência",+IF(LEFT(H604,5)="FLOAT","SELECT '"&amp;UPPER(B604)&amp;"' AS TABELA, '"&amp;UPPER(D604)&amp;"' AS TIPOLOGIA_TESTE,'"&amp;E604&amp;"' AS TABELA_LT,'"&amp;F604&amp;"' AS TABELA_SIMUL,'"&amp;C604&amp;"'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"&amp;J604&amp;" INNER JOIN "&amp;K604&amp;" "&amp;L604,"SELECT '"&amp;UPPER(B604)&amp;"' AS TABELA, '"&amp;UPPER(D604)&amp;"' AS TIPOLOGIA_TESTE,'"&amp;E604&amp;"' AS TABELA_LT,'"&amp;F604&amp;"' AS TABELA_SIMUL,'"&amp;C604&amp;"'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"&amp;J604&amp;" INNER JOIN "&amp;K604&amp;" "&amp;L604))</f>
        <v>SELECT 'PROTECTION' AS TABELA, 'COERÊNCIA' AS TIPOLOGIA_TESTE,'CD_LOAN_TAPES_BCE.LT004_PROTECTION' AS TABELA_LT,'BU_LOANTAPE_WORK.LT004_PROTECTION' AS TABELA_SIMUL,'mthd_usd_prtctn_scp_1'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mthd_usd_prtctn_scp_1 AS CAMPO_IT FROM CD_LOAN_TAPES_BCE.LT004_PROTECTION WHERE ref_date='${ref_date}' AND nome_perimetro='Individual Local' AND segmento='ESTR' AND ambito='PM' AND entidade='00100')X INNER JOIN (SELECT prtctn_id AS CHAVE_SIMUL, mthd_usd_prtctn_scp_1 AS CAMPO_SIMUL FROM BU_LOANTAPE_WORK.LT004_PROTECTION WHERE ref_date='${ref_date}' AND nome_perimetro='Individual Local' AND segmento='ESTR' AND ambito='PM' AND entidade='00100')Y ON X.CHAVE_IT=Y.CHAVE_SIMUL</v>
      </c>
      <c r="N604" s="33" t="str">
        <f t="shared" si="19"/>
        <v>UNION ALL SELECT 'PROTECTION' AS TABELA, 'COERÊNCIA' AS TIPOLOGIA_TESTE,'CD_LOAN_TAPES_BCE.LT004_PROTECTION' AS TABELA_LT,'BU_LOANTAPE_WORK.LT004_PROTECTION' AS TABELA_SIMUL,'mthd_usd_prtctn_scp_1'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mthd_usd_prtctn_scp_1 AS CAMPO_IT FROM CD_LOAN_TAPES_BCE.LT004_PROTECTION WHERE ref_date='${ref_date}' AND nome_perimetro='Individual Local' AND segmento='ESTR' AND ambito='PM' AND entidade='00100')X INNER JOIN (SELECT prtctn_id AS CHAVE_SIMUL, mthd_usd_prtctn_scp_1 AS CAMPO_SIMUL FROM BU_LOANTAPE_WORK.LT004_PROTECTION WHERE ref_date='${ref_date}' AND nome_perimetro='Individual Local' AND segmento='ESTR' AND ambito='PM' AND entidade='00100')Y ON X.CHAVE_IT=Y.CHAVE_SIMUL</v>
      </c>
      <c r="O604" s="35" t="s">
        <v>35</v>
      </c>
    </row>
    <row r="605" spans="1:15">
      <c r="A605" s="57" t="str">
        <f t="shared" si="20"/>
        <v>Protectionmthd_usd_prtctn_scp_2</v>
      </c>
      <c r="B605" s="32" t="s">
        <v>59</v>
      </c>
      <c r="C605" s="32" t="s">
        <v>123</v>
      </c>
      <c r="D605" s="32" t="s">
        <v>5</v>
      </c>
      <c r="E605" s="32" t="str">
        <f>+UPPER('0. Instruções'!$D$35&amp;"."&amp;VLOOKUP(B605,'0. Instruções'!$C$27:$D$32,2,FALSE))</f>
        <v>CD_LOAN_TAPES_BCE.LT004_PROTECTION</v>
      </c>
      <c r="F605" s="32" t="str">
        <f>+UPPER('0. Instruções'!$D$36&amp;"."&amp;VLOOKUP(B605,'0. Instruções'!$C$27:$E$32,3,FALSE))</f>
        <v>BU_LOANTAPE_WORK.LT004_PROTECTION</v>
      </c>
      <c r="H605" s="32"/>
      <c r="I605" s="32"/>
      <c r="J605" s="32" t="str">
        <f>IF(VLOOKUP(B605,'0. Instruções'!$C$27:$G$32,5,FALSE)=0,
"(SELECT "&amp;VLOOKUP(B605,'0. Instruções'!$C$27:$G$32,4,FALSE)&amp;" AS CHAVE_IT, "&amp;C605&amp;" AS CAMPO_IT FROM "&amp;E605&amp;" WHERE "&amp;'0. Instruções'!$D$43&amp;")X",
"(SELECT "&amp;VLOOKUP(B605,'0. Instruções'!$C$27:$G$32,4,FALSE)&amp;" AS CHAVE_IT1, "&amp;VLOOKUP(B605,'0. Instruções'!$C$27:$G$32,5,FALSE)&amp;" AS CHAVE_IT2, "&amp;C605&amp;" AS CAMPO_IT FROM "&amp;E605&amp;" WHERE "&amp;'0. Instruções'!$D$43&amp;")X")</f>
        <v>(SELECT prtctn_id AS CHAVE_IT, mthd_usd_prtctn_scp_2 AS CAMPO_IT FROM CD_LOAN_TAPES_BCE.LT004_PROTECTION WHERE ref_date='${ref_date}' AND nome_perimetro='Individual Local' AND segmento='ESTR' AND ambito='PM' AND entidade='00100')X</v>
      </c>
      <c r="K605" s="32" t="str">
        <f>IF(VLOOKUP(B605,'0. Instruções'!$C$27:$G$32,5,FALSE)=0,
"(SELECT "&amp;VLOOKUP(B605,'0. Instruções'!$C$27:$G$32,4,FALSE)&amp;" AS CHAVE_SIMUL, "&amp;C605&amp;" AS CAMPO_SIMUL FROM "&amp;F605&amp;" WHERE "&amp;'0. Instruções'!$D$42&amp;")Y",
"(SELECT "&amp;VLOOKUP(B605,'0. Instruções'!$C$27:$G$32,4,FALSE)&amp;" AS CHAVE_SIMUL1, "&amp;VLOOKUP(B605,'0. Instruções'!$C$27:$G$32,5,FALSE)&amp;" AS CHAVE_SIMUL2, "&amp;C605&amp;" AS CAMPO_SIMUL FROM "&amp;F605&amp;" WHERE "&amp;'0. Instruções'!$D$42&amp;")Y")</f>
        <v>(SELECT prtctn_id AS CHAVE_SIMUL, mthd_usd_prtctn_scp_2 AS CAMPO_SIMUL FROM BU_LOANTAPE_WORK.LT004_PROTECTION WHERE ref_date='${ref_date}' AND nome_perimetro='Individual Local' AND segmento='ESTR' AND ambito='PM' AND entidade='00100')Y</v>
      </c>
      <c r="L605" s="32" t="str">
        <f>IF(VLOOKUP(B605,'0. Instruções'!$C$27:$G$32,5,FALSE)=0,
"ON X.CHAVE_IT=Y.CHAVE_SIMUL",
"ON X.CHAVE_IT1=Y.CHAVE_SIMUL1 AND X.CHAVE_IT2=Y.CHAVE_SIMUL2")</f>
        <v>ON X.CHAVE_IT=Y.CHAVE_SIMUL</v>
      </c>
      <c r="M605" s="32" t="str">
        <f>+IF(D605="Coerência",+IF(LEFT(H605,5)="FLOAT","SELECT '"&amp;UPPER(B605)&amp;"' AS TABELA, '"&amp;UPPER(D605)&amp;"' AS TIPOLOGIA_TESTE,'"&amp;E605&amp;"' AS TABELA_LT,'"&amp;F605&amp;"' AS TABELA_SIMUL,'"&amp;C605&amp;"'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"&amp;J605&amp;" INNER JOIN "&amp;K605&amp;" "&amp;L605,"SELECT '"&amp;UPPER(B605)&amp;"' AS TABELA, '"&amp;UPPER(D605)&amp;"' AS TIPOLOGIA_TESTE,'"&amp;E605&amp;"' AS TABELA_LT,'"&amp;F605&amp;"' AS TABELA_SIMUL,'"&amp;C605&amp;"'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"&amp;J605&amp;" INNER JOIN "&amp;K605&amp;" "&amp;L605))</f>
        <v>SELECT 'PROTECTION' AS TABELA, 'COERÊNCIA' AS TIPOLOGIA_TESTE,'CD_LOAN_TAPES_BCE.LT004_PROTECTION' AS TABELA_LT,'BU_LOANTAPE_WORK.LT004_PROTECTION' AS TABELA_SIMUL,'mthd_usd_prtctn_scp_2'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mthd_usd_prtctn_scp_2 AS CAMPO_IT FROM CD_LOAN_TAPES_BCE.LT004_PROTECTION WHERE ref_date='${ref_date}' AND nome_perimetro='Individual Local' AND segmento='ESTR' AND ambito='PM' AND entidade='00100')X INNER JOIN (SELECT prtctn_id AS CHAVE_SIMUL, mthd_usd_prtctn_scp_2 AS CAMPO_SIMUL FROM BU_LOANTAPE_WORK.LT004_PROTECTION WHERE ref_date='${ref_date}' AND nome_perimetro='Individual Local' AND segmento='ESTR' AND ambito='PM' AND entidade='00100')Y ON X.CHAVE_IT=Y.CHAVE_SIMUL</v>
      </c>
      <c r="N605" s="33" t="str">
        <f t="shared" si="19"/>
        <v>UNION ALL SELECT 'PROTECTION' AS TABELA, 'COERÊNCIA' AS TIPOLOGIA_TESTE,'CD_LOAN_TAPES_BCE.LT004_PROTECTION' AS TABELA_LT,'BU_LOANTAPE_WORK.LT004_PROTECTION' AS TABELA_SIMUL,'mthd_usd_prtctn_scp_2'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mthd_usd_prtctn_scp_2 AS CAMPO_IT FROM CD_LOAN_TAPES_BCE.LT004_PROTECTION WHERE ref_date='${ref_date}' AND nome_perimetro='Individual Local' AND segmento='ESTR' AND ambito='PM' AND entidade='00100')X INNER JOIN (SELECT prtctn_id AS CHAVE_SIMUL, mthd_usd_prtctn_scp_2 AS CAMPO_SIMUL FROM BU_LOANTAPE_WORK.LT004_PROTECTION WHERE ref_date='${ref_date}' AND nome_perimetro='Individual Local' AND segmento='ESTR' AND ambito='PM' AND entidade='00100')Y ON X.CHAVE_IT=Y.CHAVE_SIMUL</v>
      </c>
      <c r="O605" s="35" t="s">
        <v>35</v>
      </c>
    </row>
    <row r="606" spans="1:15">
      <c r="A606" s="57" t="str">
        <f t="shared" si="20"/>
        <v>Protectionmthd_usd_prtctn_scp_3</v>
      </c>
      <c r="B606" s="32" t="s">
        <v>59</v>
      </c>
      <c r="C606" s="32" t="s">
        <v>124</v>
      </c>
      <c r="D606" s="32" t="s">
        <v>5</v>
      </c>
      <c r="E606" s="32" t="str">
        <f>+UPPER('0. Instruções'!$D$35&amp;"."&amp;VLOOKUP(B606,'0. Instruções'!$C$27:$D$32,2,FALSE))</f>
        <v>CD_LOAN_TAPES_BCE.LT004_PROTECTION</v>
      </c>
      <c r="F606" s="32" t="str">
        <f>+UPPER('0. Instruções'!$D$36&amp;"."&amp;VLOOKUP(B606,'0. Instruções'!$C$27:$E$32,3,FALSE))</f>
        <v>BU_LOANTAPE_WORK.LT004_PROTECTION</v>
      </c>
      <c r="H606" s="32"/>
      <c r="I606" s="32"/>
      <c r="J606" s="32" t="str">
        <f>IF(VLOOKUP(B606,'0. Instruções'!$C$27:$G$32,5,FALSE)=0,
"(SELECT "&amp;VLOOKUP(B606,'0. Instruções'!$C$27:$G$32,4,FALSE)&amp;" AS CHAVE_IT, "&amp;C606&amp;" AS CAMPO_IT FROM "&amp;E606&amp;" WHERE "&amp;'0. Instruções'!$D$43&amp;")X",
"(SELECT "&amp;VLOOKUP(B606,'0. Instruções'!$C$27:$G$32,4,FALSE)&amp;" AS CHAVE_IT1, "&amp;VLOOKUP(B606,'0. Instruções'!$C$27:$G$32,5,FALSE)&amp;" AS CHAVE_IT2, "&amp;C606&amp;" AS CAMPO_IT FROM "&amp;E606&amp;" WHERE "&amp;'0. Instruções'!$D$43&amp;")X")</f>
        <v>(SELECT prtctn_id AS CHAVE_IT, mthd_usd_prtctn_scp_3 AS CAMPO_IT FROM CD_LOAN_TAPES_BCE.LT004_PROTECTION WHERE ref_date='${ref_date}' AND nome_perimetro='Individual Local' AND segmento='ESTR' AND ambito='PM' AND entidade='00100')X</v>
      </c>
      <c r="K606" s="32" t="str">
        <f>IF(VLOOKUP(B606,'0. Instruções'!$C$27:$G$32,5,FALSE)=0,
"(SELECT "&amp;VLOOKUP(B606,'0. Instruções'!$C$27:$G$32,4,FALSE)&amp;" AS CHAVE_SIMUL, "&amp;C606&amp;" AS CAMPO_SIMUL FROM "&amp;F606&amp;" WHERE "&amp;'0. Instruções'!$D$42&amp;")Y",
"(SELECT "&amp;VLOOKUP(B606,'0. Instruções'!$C$27:$G$32,4,FALSE)&amp;" AS CHAVE_SIMUL1, "&amp;VLOOKUP(B606,'0. Instruções'!$C$27:$G$32,5,FALSE)&amp;" AS CHAVE_SIMUL2, "&amp;C606&amp;" AS CAMPO_SIMUL FROM "&amp;F606&amp;" WHERE "&amp;'0. Instruções'!$D$42&amp;")Y")</f>
        <v>(SELECT prtctn_id AS CHAVE_SIMUL, mthd_usd_prtctn_scp_3 AS CAMPO_SIMUL FROM BU_LOANTAPE_WORK.LT004_PROTECTION WHERE ref_date='${ref_date}' AND nome_perimetro='Individual Local' AND segmento='ESTR' AND ambito='PM' AND entidade='00100')Y</v>
      </c>
      <c r="L606" s="32" t="str">
        <f>IF(VLOOKUP(B606,'0. Instruções'!$C$27:$G$32,5,FALSE)=0,
"ON X.CHAVE_IT=Y.CHAVE_SIMUL",
"ON X.CHAVE_IT1=Y.CHAVE_SIMUL1 AND X.CHAVE_IT2=Y.CHAVE_SIMUL2")</f>
        <v>ON X.CHAVE_IT=Y.CHAVE_SIMUL</v>
      </c>
      <c r="M606" s="32" t="str">
        <f>+IF(D606="Coerência",+IF(LEFT(H606,5)="FLOAT","SELECT '"&amp;UPPER(B606)&amp;"' AS TABELA, '"&amp;UPPER(D606)&amp;"' AS TIPOLOGIA_TESTE,'"&amp;E606&amp;"' AS TABELA_LT,'"&amp;F606&amp;"' AS TABELA_SIMUL,'"&amp;C606&amp;"'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"&amp;J606&amp;" INNER JOIN "&amp;K606&amp;" "&amp;L606,"SELECT '"&amp;UPPER(B606)&amp;"' AS TABELA, '"&amp;UPPER(D606)&amp;"' AS TIPOLOGIA_TESTE,'"&amp;E606&amp;"' AS TABELA_LT,'"&amp;F606&amp;"' AS TABELA_SIMUL,'"&amp;C606&amp;"'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"&amp;J606&amp;" INNER JOIN "&amp;K606&amp;" "&amp;L606))</f>
        <v>SELECT 'PROTECTION' AS TABELA, 'COERÊNCIA' AS TIPOLOGIA_TESTE,'CD_LOAN_TAPES_BCE.LT004_PROTECTION' AS TABELA_LT,'BU_LOANTAPE_WORK.LT004_PROTECTION' AS TABELA_SIMUL,'mthd_usd_prtctn_scp_3'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mthd_usd_prtctn_scp_3 AS CAMPO_IT FROM CD_LOAN_TAPES_BCE.LT004_PROTECTION WHERE ref_date='${ref_date}' AND nome_perimetro='Individual Local' AND segmento='ESTR' AND ambito='PM' AND entidade='00100')X INNER JOIN (SELECT prtctn_id AS CHAVE_SIMUL, mthd_usd_prtctn_scp_3 AS CAMPO_SIMUL FROM BU_LOANTAPE_WORK.LT004_PROTECTION WHERE ref_date='${ref_date}' AND nome_perimetro='Individual Local' AND segmento='ESTR' AND ambito='PM' AND entidade='00100')Y ON X.CHAVE_IT=Y.CHAVE_SIMUL</v>
      </c>
      <c r="N606" s="33" t="str">
        <f t="shared" si="19"/>
        <v>UNION ALL SELECT 'PROTECTION' AS TABELA, 'COERÊNCIA' AS TIPOLOGIA_TESTE,'CD_LOAN_TAPES_BCE.LT004_PROTECTION' AS TABELA_LT,'BU_LOANTAPE_WORK.LT004_PROTECTION' AS TABELA_SIMUL,'mthd_usd_prtctn_scp_3'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mthd_usd_prtctn_scp_3 AS CAMPO_IT FROM CD_LOAN_TAPES_BCE.LT004_PROTECTION WHERE ref_date='${ref_date}' AND nome_perimetro='Individual Local' AND segmento='ESTR' AND ambito='PM' AND entidade='00100')X INNER JOIN (SELECT prtctn_id AS CHAVE_SIMUL, mthd_usd_prtctn_scp_3 AS CAMPO_SIMUL FROM BU_LOANTAPE_WORK.LT004_PROTECTION WHERE ref_date='${ref_date}' AND nome_perimetro='Individual Local' AND segmento='ESTR' AND ambito='PM' AND entidade='00100')Y ON X.CHAVE_IT=Y.CHAVE_SIMUL</v>
      </c>
      <c r="O606" s="35" t="s">
        <v>35</v>
      </c>
    </row>
    <row r="607" spans="1:15">
      <c r="A607" s="57" t="str">
        <f t="shared" si="20"/>
        <v>Protectionflg_act_physcl_rsk</v>
      </c>
      <c r="B607" s="32" t="s">
        <v>59</v>
      </c>
      <c r="C607" s="32" t="s">
        <v>105</v>
      </c>
      <c r="D607" s="32" t="s">
        <v>5</v>
      </c>
      <c r="E607" s="32" t="str">
        <f>+UPPER('0. Instruções'!$D$35&amp;"."&amp;VLOOKUP(B607,'0. Instruções'!$C$27:$D$32,2,FALSE))</f>
        <v>CD_LOAN_TAPES_BCE.LT004_PROTECTION</v>
      </c>
      <c r="F607" s="32" t="str">
        <f>+UPPER('0. Instruções'!$D$36&amp;"."&amp;VLOOKUP(B607,'0. Instruções'!$C$27:$E$32,3,FALSE))</f>
        <v>BU_LOANTAPE_WORK.LT004_PROTECTION</v>
      </c>
      <c r="H607" s="32"/>
      <c r="I607" s="32"/>
      <c r="J607" s="32" t="str">
        <f>IF(VLOOKUP(B607,'0. Instruções'!$C$27:$G$32,5,FALSE)=0,
"(SELECT "&amp;VLOOKUP(B607,'0. Instruções'!$C$27:$G$32,4,FALSE)&amp;" AS CHAVE_IT, "&amp;C607&amp;" AS CAMPO_IT FROM "&amp;E607&amp;" WHERE "&amp;'0. Instruções'!$D$43&amp;")X",
"(SELECT "&amp;VLOOKUP(B607,'0. Instruções'!$C$27:$G$32,4,FALSE)&amp;" AS CHAVE_IT1, "&amp;VLOOKUP(B607,'0. Instruções'!$C$27:$G$32,5,FALSE)&amp;" AS CHAVE_IT2, "&amp;C607&amp;" AS CAMPO_IT FROM "&amp;E607&amp;" WHERE "&amp;'0. Instruções'!$D$43&amp;")X")</f>
        <v>(SELECT prtctn_id AS CHAVE_IT, flg_act_physcl_rsk AS CAMPO_IT FROM CD_LOAN_TAPES_BCE.LT004_PROTECTION WHERE ref_date='${ref_date}' AND nome_perimetro='Individual Local' AND segmento='ESTR' AND ambito='PM' AND entidade='00100')X</v>
      </c>
      <c r="K607" s="32" t="str">
        <f>IF(VLOOKUP(B607,'0. Instruções'!$C$27:$G$32,5,FALSE)=0,
"(SELECT "&amp;VLOOKUP(B607,'0. Instruções'!$C$27:$G$32,4,FALSE)&amp;" AS CHAVE_SIMUL, "&amp;C607&amp;" AS CAMPO_SIMUL FROM "&amp;F607&amp;" WHERE "&amp;'0. Instruções'!$D$42&amp;")Y",
"(SELECT "&amp;VLOOKUP(B607,'0. Instruções'!$C$27:$G$32,4,FALSE)&amp;" AS CHAVE_SIMUL1, "&amp;VLOOKUP(B607,'0. Instruções'!$C$27:$G$32,5,FALSE)&amp;" AS CHAVE_SIMUL2, "&amp;C607&amp;" AS CAMPO_SIMUL FROM "&amp;F607&amp;" WHERE "&amp;'0. Instruções'!$D$42&amp;")Y")</f>
        <v>(SELECT prtctn_id AS CHAVE_SIMUL, flg_act_physcl_rsk AS CAMPO_SIMUL FROM BU_LOANTAPE_WORK.LT004_PROTECTION WHERE ref_date='${ref_date}' AND nome_perimetro='Individual Local' AND segmento='ESTR' AND ambito='PM' AND entidade='00100')Y</v>
      </c>
      <c r="L607" s="32" t="str">
        <f>IF(VLOOKUP(B607,'0. Instruções'!$C$27:$G$32,5,FALSE)=0,
"ON X.CHAVE_IT=Y.CHAVE_SIMUL",
"ON X.CHAVE_IT1=Y.CHAVE_SIMUL1 AND X.CHAVE_IT2=Y.CHAVE_SIMUL2")</f>
        <v>ON X.CHAVE_IT=Y.CHAVE_SIMUL</v>
      </c>
      <c r="M607" s="32" t="str">
        <f>+IF(D607="Coerência",+IF(LEFT(H607,5)="FLOAT","SELECT '"&amp;UPPER(B607)&amp;"' AS TABELA, '"&amp;UPPER(D607)&amp;"' AS TIPOLOGIA_TESTE,'"&amp;E607&amp;"' AS TABELA_LT,'"&amp;F607&amp;"' AS TABELA_SIMUL,'"&amp;C607&amp;"'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"&amp;J607&amp;" INNER JOIN "&amp;K607&amp;" "&amp;L607,"SELECT '"&amp;UPPER(B607)&amp;"' AS TABELA, '"&amp;UPPER(D607)&amp;"' AS TIPOLOGIA_TESTE,'"&amp;E607&amp;"' AS TABELA_LT,'"&amp;F607&amp;"' AS TABELA_SIMUL,'"&amp;C607&amp;"'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"&amp;J607&amp;" INNER JOIN "&amp;K607&amp;" "&amp;L607))</f>
        <v>SELECT 'PROTECTION' AS TABELA, 'COERÊNCIA' AS TIPOLOGIA_TESTE,'CD_LOAN_TAPES_BCE.LT004_PROTECTION' AS TABELA_LT,'BU_LOANTAPE_WORK.LT004_PROTECTION'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flg_act_physcl_rsk AS CAMPO_IT FROM CD_LOAN_TAPES_BCE.LT004_PROTECTION WHERE ref_date='${ref_date}' AND nome_perimetro='Individual Local' AND segmento='ESTR' AND ambito='PM' AND entidade='00100')X INNER JOIN (SELECT prtctn_id AS CHAVE_SIMUL, flg_act_physcl_rsk AS CAMPO_SIMUL FROM BU_LOANTAPE_WORK.LT004_PROTECTION WHERE ref_date='${ref_date}' AND nome_perimetro='Individual Local' AND segmento='ESTR' AND ambito='PM' AND entidade='00100')Y ON X.CHAVE_IT=Y.CHAVE_SIMUL</v>
      </c>
      <c r="N607" s="33" t="str">
        <f t="shared" si="19"/>
        <v>UNION ALL SELECT 'PROTECTION' AS TABELA, 'COERÊNCIA' AS TIPOLOGIA_TESTE,'CD_LOAN_TAPES_BCE.LT004_PROTECTION' AS TABELA_LT,'BU_LOANTAPE_WORK.LT004_PROTECTION' AS TABELA_SIMUL,'flg_act_physcl_rsk'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flg_act_physcl_rsk AS CAMPO_IT FROM CD_LOAN_TAPES_BCE.LT004_PROTECTION WHERE ref_date='${ref_date}' AND nome_perimetro='Individual Local' AND segmento='ESTR' AND ambito='PM' AND entidade='00100')X INNER JOIN (SELECT prtctn_id AS CHAVE_SIMUL, flg_act_physcl_rsk AS CAMPO_SIMUL FROM BU_LOANTAPE_WORK.LT004_PROTECTION WHERE ref_date='${ref_date}' AND nome_perimetro='Individual Local' AND segmento='ESTR' AND ambito='PM' AND entidade='00100')Y ON X.CHAVE_IT=Y.CHAVE_SIMUL</v>
      </c>
      <c r="O607" s="35" t="s">
        <v>35</v>
      </c>
    </row>
    <row r="608" spans="1:15">
      <c r="A608" s="57" t="str">
        <f t="shared" si="20"/>
        <v>Protectionflg_chrnc_physcl_rsk</v>
      </c>
      <c r="B608" s="32" t="s">
        <v>59</v>
      </c>
      <c r="C608" s="32" t="s">
        <v>106</v>
      </c>
      <c r="D608" s="32" t="s">
        <v>5</v>
      </c>
      <c r="E608" s="32" t="str">
        <f>+UPPER('0. Instruções'!$D$35&amp;"."&amp;VLOOKUP(B608,'0. Instruções'!$C$27:$D$32,2,FALSE))</f>
        <v>CD_LOAN_TAPES_BCE.LT004_PROTECTION</v>
      </c>
      <c r="F608" s="32" t="str">
        <f>+UPPER('0. Instruções'!$D$36&amp;"."&amp;VLOOKUP(B608,'0. Instruções'!$C$27:$E$32,3,FALSE))</f>
        <v>BU_LOANTAPE_WORK.LT004_PROTECTION</v>
      </c>
      <c r="H608" s="32"/>
      <c r="I608" s="32"/>
      <c r="J608" s="32" t="str">
        <f>IF(VLOOKUP(B608,'0. Instruções'!$C$27:$G$32,5,FALSE)=0,
"(SELECT "&amp;VLOOKUP(B608,'0. Instruções'!$C$27:$G$32,4,FALSE)&amp;" AS CHAVE_IT, "&amp;C608&amp;" AS CAMPO_IT FROM "&amp;E608&amp;" WHERE "&amp;'0. Instruções'!$D$43&amp;")X",
"(SELECT "&amp;VLOOKUP(B608,'0. Instruções'!$C$27:$G$32,4,FALSE)&amp;" AS CHAVE_IT1, "&amp;VLOOKUP(B608,'0. Instruções'!$C$27:$G$32,5,FALSE)&amp;" AS CHAVE_IT2, "&amp;C608&amp;" AS CAMPO_IT FROM "&amp;E608&amp;" WHERE "&amp;'0. Instruções'!$D$43&amp;")X")</f>
        <v>(SELECT prtctn_id AS CHAVE_IT, flg_chrnc_physcl_rsk AS CAMPO_IT FROM CD_LOAN_TAPES_BCE.LT004_PROTECTION WHERE ref_date='${ref_date}' AND nome_perimetro='Individual Local' AND segmento='ESTR' AND ambito='PM' AND entidade='00100')X</v>
      </c>
      <c r="K608" s="32" t="str">
        <f>IF(VLOOKUP(B608,'0. Instruções'!$C$27:$G$32,5,FALSE)=0,
"(SELECT "&amp;VLOOKUP(B608,'0. Instruções'!$C$27:$G$32,4,FALSE)&amp;" AS CHAVE_SIMUL, "&amp;C608&amp;" AS CAMPO_SIMUL FROM "&amp;F608&amp;" WHERE "&amp;'0. Instruções'!$D$42&amp;")Y",
"(SELECT "&amp;VLOOKUP(B608,'0. Instruções'!$C$27:$G$32,4,FALSE)&amp;" AS CHAVE_SIMUL1, "&amp;VLOOKUP(B608,'0. Instruções'!$C$27:$G$32,5,FALSE)&amp;" AS CHAVE_SIMUL2, "&amp;C608&amp;" AS CAMPO_SIMUL FROM "&amp;F608&amp;" WHERE "&amp;'0. Instruções'!$D$42&amp;")Y")</f>
        <v>(SELECT prtctn_id AS CHAVE_SIMUL, flg_chrnc_physcl_rsk AS CAMPO_SIMUL FROM BU_LOANTAPE_WORK.LT004_PROTECTION WHERE ref_date='${ref_date}' AND nome_perimetro='Individual Local' AND segmento='ESTR' AND ambito='PM' AND entidade='00100')Y</v>
      </c>
      <c r="L608" s="32" t="str">
        <f>IF(VLOOKUP(B608,'0. Instruções'!$C$27:$G$32,5,FALSE)=0,
"ON X.CHAVE_IT=Y.CHAVE_SIMUL",
"ON X.CHAVE_IT1=Y.CHAVE_SIMUL1 AND X.CHAVE_IT2=Y.CHAVE_SIMUL2")</f>
        <v>ON X.CHAVE_IT=Y.CHAVE_SIMUL</v>
      </c>
      <c r="M608" s="32" t="str">
        <f>+IF(D608="Coerência",+IF(LEFT(H608,5)="FLOAT","SELECT '"&amp;UPPER(B608)&amp;"' AS TABELA, '"&amp;UPPER(D608)&amp;"' AS TIPOLOGIA_TESTE,'"&amp;E608&amp;"' AS TABELA_LT,'"&amp;F608&amp;"' AS TABELA_SIMUL,'"&amp;C608&amp;"'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"&amp;J608&amp;" INNER JOIN "&amp;K608&amp;" "&amp;L608,"SELECT '"&amp;UPPER(B608)&amp;"' AS TABELA, '"&amp;UPPER(D608)&amp;"' AS TIPOLOGIA_TESTE,'"&amp;E608&amp;"' AS TABELA_LT,'"&amp;F608&amp;"' AS TABELA_SIMUL,'"&amp;C608&amp;"'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"&amp;J608&amp;" INNER JOIN "&amp;K608&amp;" "&amp;L608))</f>
        <v>SELECT 'PROTECTION' AS TABELA, 'COERÊNCIA' AS TIPOLOGIA_TESTE,'CD_LOAN_TAPES_BCE.LT004_PROTECTION' AS TABELA_LT,'BU_LOANTAPE_WORK.LT004_PROTECTION'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flg_chrnc_physcl_rsk AS CAMPO_IT FROM CD_LOAN_TAPES_BCE.LT004_PROTECTION WHERE ref_date='${ref_date}' AND nome_perimetro='Individual Local' AND segmento='ESTR' AND ambito='PM' AND entidade='00100')X INNER JOIN (SELECT prtctn_id AS CHAVE_SIMUL, flg_chrnc_physcl_rsk AS CAMPO_SIMUL FROM BU_LOANTAPE_WORK.LT004_PROTECTION WHERE ref_date='${ref_date}' AND nome_perimetro='Individual Local' AND segmento='ESTR' AND ambito='PM' AND entidade='00100')Y ON X.CHAVE_IT=Y.CHAVE_SIMUL</v>
      </c>
      <c r="N608" s="33" t="str">
        <f t="shared" si="19"/>
        <v>UNION ALL SELECT 'PROTECTION' AS TABELA, 'COERÊNCIA' AS TIPOLOGIA_TESTE,'CD_LOAN_TAPES_BCE.LT004_PROTECTION' AS TABELA_LT,'BU_LOANTAPE_WORK.LT004_PROTECTION' AS TABELA_SIMUL,'flg_chrnc_physcl_rsk'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flg_chrnc_physcl_rsk AS CAMPO_IT FROM CD_LOAN_TAPES_BCE.LT004_PROTECTION WHERE ref_date='${ref_date}' AND nome_perimetro='Individual Local' AND segmento='ESTR' AND ambito='PM' AND entidade='00100')X INNER JOIN (SELECT prtctn_id AS CHAVE_SIMUL, flg_chrnc_physcl_rsk AS CAMPO_SIMUL FROM BU_LOANTAPE_WORK.LT004_PROTECTION WHERE ref_date='${ref_date}' AND nome_perimetro='Individual Local' AND segmento='ESTR' AND ambito='PM' AND entidade='00100')Y ON X.CHAVE_IT=Y.CHAVE_SIMUL</v>
      </c>
      <c r="O608" s="35" t="s">
        <v>35</v>
      </c>
    </row>
    <row r="609" spans="1:15">
      <c r="A609" s="57" t="str">
        <f t="shared" si="20"/>
        <v>Protectionflg_fin</v>
      </c>
      <c r="B609" s="32" t="s">
        <v>59</v>
      </c>
      <c r="C609" s="32" t="s">
        <v>168</v>
      </c>
      <c r="D609" s="32" t="s">
        <v>5</v>
      </c>
      <c r="E609" s="32" t="str">
        <f>+UPPER('0. Instruções'!$D$35&amp;"."&amp;VLOOKUP(B609,'0. Instruções'!$C$27:$D$32,2,FALSE))</f>
        <v>CD_LOAN_TAPES_BCE.LT004_PROTECTION</v>
      </c>
      <c r="F609" s="32" t="str">
        <f>+UPPER('0. Instruções'!$D$36&amp;"."&amp;VLOOKUP(B609,'0. Instruções'!$C$27:$E$32,3,FALSE))</f>
        <v>BU_LOANTAPE_WORK.LT004_PROTECTION</v>
      </c>
      <c r="H609" s="32"/>
      <c r="I609" s="32"/>
      <c r="J609" s="32" t="str">
        <f>IF(VLOOKUP(B609,'0. Instruções'!$C$27:$G$32,5,FALSE)=0,
"(SELECT "&amp;VLOOKUP(B609,'0. Instruções'!$C$27:$G$32,4,FALSE)&amp;" AS CHAVE_IT, "&amp;C609&amp;" AS CAMPO_IT FROM "&amp;E609&amp;" WHERE "&amp;'0. Instruções'!$D$43&amp;")X",
"(SELECT "&amp;VLOOKUP(B609,'0. Instruções'!$C$27:$G$32,4,FALSE)&amp;" AS CHAVE_IT1, "&amp;VLOOKUP(B609,'0. Instruções'!$C$27:$G$32,5,FALSE)&amp;" AS CHAVE_IT2, "&amp;C609&amp;" AS CAMPO_IT FROM "&amp;E609&amp;" WHERE "&amp;'0. Instruções'!$D$43&amp;")X")</f>
        <v>(SELECT prtctn_id AS CHAVE_IT, flg_fin AS CAMPO_IT FROM CD_LOAN_TAPES_BCE.LT004_PROTECTION WHERE ref_date='${ref_date}' AND nome_perimetro='Individual Local' AND segmento='ESTR' AND ambito='PM' AND entidade='00100')X</v>
      </c>
      <c r="K609" s="32" t="str">
        <f>IF(VLOOKUP(B609,'0. Instruções'!$C$27:$G$32,5,FALSE)=0,
"(SELECT "&amp;VLOOKUP(B609,'0. Instruções'!$C$27:$G$32,4,FALSE)&amp;" AS CHAVE_SIMUL, "&amp;C609&amp;" AS CAMPO_SIMUL FROM "&amp;F609&amp;" WHERE "&amp;'0. Instruções'!$D$42&amp;")Y",
"(SELECT "&amp;VLOOKUP(B609,'0. Instruções'!$C$27:$G$32,4,FALSE)&amp;" AS CHAVE_SIMUL1, "&amp;VLOOKUP(B609,'0. Instruções'!$C$27:$G$32,5,FALSE)&amp;" AS CHAVE_SIMUL2, "&amp;C609&amp;" AS CAMPO_SIMUL FROM "&amp;F609&amp;" WHERE "&amp;'0. Instruções'!$D$42&amp;")Y")</f>
        <v>(SELECT prtctn_id AS CHAVE_SIMUL, flg_fin AS CAMPO_SIMUL FROM BU_LOANTAPE_WORK.LT004_PROTECTION WHERE ref_date='${ref_date}' AND nome_perimetro='Individual Local' AND segmento='ESTR' AND ambito='PM' AND entidade='00100')Y</v>
      </c>
      <c r="L609" s="32" t="str">
        <f>IF(VLOOKUP(B609,'0. Instruções'!$C$27:$G$32,5,FALSE)=0,
"ON X.CHAVE_IT=Y.CHAVE_SIMUL",
"ON X.CHAVE_IT1=Y.CHAVE_SIMUL1 AND X.CHAVE_IT2=Y.CHAVE_SIMUL2")</f>
        <v>ON X.CHAVE_IT=Y.CHAVE_SIMUL</v>
      </c>
      <c r="M609" s="32" t="str">
        <f>+IF(D609="Coerência",+IF(LEFT(H609,5)="FLOAT","SELECT '"&amp;UPPER(B609)&amp;"' AS TABELA, '"&amp;UPPER(D609)&amp;"' AS TIPOLOGIA_TESTE,'"&amp;E609&amp;"' AS TABELA_LT,'"&amp;F609&amp;"' AS TABELA_SIMUL,'"&amp;C609&amp;"'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"&amp;J609&amp;" INNER JOIN "&amp;K609&amp;" "&amp;L609,"SELECT '"&amp;UPPER(B609)&amp;"' AS TABELA, '"&amp;UPPER(D609)&amp;"' AS TIPOLOGIA_TESTE,'"&amp;E609&amp;"' AS TABELA_LT,'"&amp;F609&amp;"' AS TABELA_SIMUL,'"&amp;C609&amp;"'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"&amp;J609&amp;" INNER JOIN "&amp;K609&amp;" "&amp;L609))</f>
        <v>SELECT 'PROTECTION' AS TABELA, 'COERÊNCIA' AS TIPOLOGIA_TESTE,'CD_LOAN_TAPES_BCE.LT004_PROTECTION' AS TABELA_LT,'BU_LOANTAPE_WORK.LT004_PROTECTION' AS TABELA_SIMUL,'flg_fin'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flg_fin AS CAMPO_IT FROM CD_LOAN_TAPES_BCE.LT004_PROTECTION WHERE ref_date='${ref_date}' AND nome_perimetro='Individual Local' AND segmento='ESTR' AND ambito='PM' AND entidade='00100')X INNER JOIN (SELECT prtctn_id AS CHAVE_SIMUL, flg_fin AS CAMPO_SIMUL FROM BU_LOANTAPE_WORK.LT004_PROTECTION WHERE ref_date='${ref_date}' AND nome_perimetro='Individual Local' AND segmento='ESTR' AND ambito='PM' AND entidade='00100')Y ON X.CHAVE_IT=Y.CHAVE_SIMUL</v>
      </c>
      <c r="N609" s="33" t="str">
        <f t="shared" si="19"/>
        <v>UNION ALL SELECT 'PROTECTION' AS TABELA, 'COERÊNCIA' AS TIPOLOGIA_TESTE,'CD_LOAN_TAPES_BCE.LT004_PROTECTION' AS TABELA_LT,'BU_LOANTAPE_WORK.LT004_PROTECTION' AS TABELA_SIMUL,'flg_fin'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flg_fin AS CAMPO_IT FROM CD_LOAN_TAPES_BCE.LT004_PROTECTION WHERE ref_date='${ref_date}' AND nome_perimetro='Individual Local' AND segmento='ESTR' AND ambito='PM' AND entidade='00100')X INNER JOIN (SELECT prtctn_id AS CHAVE_SIMUL, flg_fin AS CAMPO_SIMUL FROM BU_LOANTAPE_WORK.LT004_PROTECTION WHERE ref_date='${ref_date}' AND nome_perimetro='Individual Local' AND segmento='ESTR' AND ambito='PM' AND entidade='00100')Y ON X.CHAVE_IT=Y.CHAVE_SIMUL</v>
      </c>
      <c r="O609" s="35" t="s">
        <v>35</v>
      </c>
    </row>
    <row r="610" spans="1:15">
      <c r="A610" s="57" t="str">
        <f t="shared" si="20"/>
        <v>Protectionflg_exec</v>
      </c>
      <c r="B610" s="32" t="s">
        <v>59</v>
      </c>
      <c r="C610" s="32" t="s">
        <v>169</v>
      </c>
      <c r="D610" s="32" t="s">
        <v>5</v>
      </c>
      <c r="E610" s="32" t="str">
        <f>+UPPER('0. Instruções'!$D$35&amp;"."&amp;VLOOKUP(B610,'0. Instruções'!$C$27:$D$32,2,FALSE))</f>
        <v>CD_LOAN_TAPES_BCE.LT004_PROTECTION</v>
      </c>
      <c r="F610" s="32" t="str">
        <f>+UPPER('0. Instruções'!$D$36&amp;"."&amp;VLOOKUP(B610,'0. Instruções'!$C$27:$E$32,3,FALSE))</f>
        <v>BU_LOANTAPE_WORK.LT004_PROTECTION</v>
      </c>
      <c r="H610" s="32"/>
      <c r="I610" s="32"/>
      <c r="J610" s="32" t="str">
        <f>IF(VLOOKUP(B610,'0. Instruções'!$C$27:$G$32,5,FALSE)=0,
"(SELECT "&amp;VLOOKUP(B610,'0. Instruções'!$C$27:$G$32,4,FALSE)&amp;" AS CHAVE_IT, "&amp;C610&amp;" AS CAMPO_IT FROM "&amp;E610&amp;" WHERE "&amp;'0. Instruções'!$D$43&amp;")X",
"(SELECT "&amp;VLOOKUP(B610,'0. Instruções'!$C$27:$G$32,4,FALSE)&amp;" AS CHAVE_IT1, "&amp;VLOOKUP(B610,'0. Instruções'!$C$27:$G$32,5,FALSE)&amp;" AS CHAVE_IT2, "&amp;C610&amp;" AS CAMPO_IT FROM "&amp;E610&amp;" WHERE "&amp;'0. Instruções'!$D$43&amp;")X")</f>
        <v>(SELECT prtctn_id AS CHAVE_IT, flg_exec AS CAMPO_IT FROM CD_LOAN_TAPES_BCE.LT004_PROTECTION WHERE ref_date='${ref_date}' AND nome_perimetro='Individual Local' AND segmento='ESTR' AND ambito='PM' AND entidade='00100')X</v>
      </c>
      <c r="K610" s="32" t="str">
        <f>IF(VLOOKUP(B610,'0. Instruções'!$C$27:$G$32,5,FALSE)=0,
"(SELECT "&amp;VLOOKUP(B610,'0. Instruções'!$C$27:$G$32,4,FALSE)&amp;" AS CHAVE_SIMUL, "&amp;C610&amp;" AS CAMPO_SIMUL FROM "&amp;F610&amp;" WHERE "&amp;'0. Instruções'!$D$42&amp;")Y",
"(SELECT "&amp;VLOOKUP(B610,'0. Instruções'!$C$27:$G$32,4,FALSE)&amp;" AS CHAVE_SIMUL1, "&amp;VLOOKUP(B610,'0. Instruções'!$C$27:$G$32,5,FALSE)&amp;" AS CHAVE_SIMUL2, "&amp;C610&amp;" AS CAMPO_SIMUL FROM "&amp;F610&amp;" WHERE "&amp;'0. Instruções'!$D$42&amp;")Y")</f>
        <v>(SELECT prtctn_id AS CHAVE_SIMUL, flg_exec AS CAMPO_SIMUL FROM BU_LOANTAPE_WORK.LT004_PROTECTION WHERE ref_date='${ref_date}' AND nome_perimetro='Individual Local' AND segmento='ESTR' AND ambito='PM' AND entidade='00100')Y</v>
      </c>
      <c r="L610" s="32" t="str">
        <f>IF(VLOOKUP(B610,'0. Instruções'!$C$27:$G$32,5,FALSE)=0,
"ON X.CHAVE_IT=Y.CHAVE_SIMUL",
"ON X.CHAVE_IT1=Y.CHAVE_SIMUL1 AND X.CHAVE_IT2=Y.CHAVE_SIMUL2")</f>
        <v>ON X.CHAVE_IT=Y.CHAVE_SIMUL</v>
      </c>
      <c r="M610" s="32" t="str">
        <f>+IF(D610="Coerência",+IF(LEFT(H610,5)="FLOAT","SELECT '"&amp;UPPER(B610)&amp;"' AS TABELA, '"&amp;UPPER(D610)&amp;"' AS TIPOLOGIA_TESTE,'"&amp;E610&amp;"' AS TABELA_LT,'"&amp;F610&amp;"' AS TABELA_SIMUL,'"&amp;C610&amp;"'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"&amp;J610&amp;" INNER JOIN "&amp;K610&amp;" "&amp;L610,"SELECT '"&amp;UPPER(B610)&amp;"' AS TABELA, '"&amp;UPPER(D610)&amp;"' AS TIPOLOGIA_TESTE,'"&amp;E610&amp;"' AS TABELA_LT,'"&amp;F610&amp;"' AS TABELA_SIMUL,'"&amp;C610&amp;"'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"&amp;J610&amp;" INNER JOIN "&amp;K610&amp;" "&amp;L610))</f>
        <v>SELECT 'PROTECTION' AS TABELA, 'COERÊNCIA' AS TIPOLOGIA_TESTE,'CD_LOAN_TAPES_BCE.LT004_PROTECTION' AS TABELA_LT,'BU_LOANTAPE_WORK.LT004_PROTECTION' AS TABELA_SIMUL,'flg_exec'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flg_exec AS CAMPO_IT FROM CD_LOAN_TAPES_BCE.LT004_PROTECTION WHERE ref_date='${ref_date}' AND nome_perimetro='Individual Local' AND segmento='ESTR' AND ambito='PM' AND entidade='00100')X INNER JOIN (SELECT prtctn_id AS CHAVE_SIMUL, flg_exec AS CAMPO_SIMUL FROM BU_LOANTAPE_WORK.LT004_PROTECTION WHERE ref_date='${ref_date}' AND nome_perimetro='Individual Local' AND segmento='ESTR' AND ambito='PM' AND entidade='00100')Y ON X.CHAVE_IT=Y.CHAVE_SIMUL</v>
      </c>
      <c r="N610" s="33" t="str">
        <f t="shared" si="19"/>
        <v>UNION ALL SELECT 'PROTECTION' AS TABELA, 'COERÊNCIA' AS TIPOLOGIA_TESTE,'CD_LOAN_TAPES_BCE.LT004_PROTECTION' AS TABELA_LT,'BU_LOANTAPE_WORK.LT004_PROTECTION' AS TABELA_SIMUL,'flg_exec'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flg_exec AS CAMPO_IT FROM CD_LOAN_TAPES_BCE.LT004_PROTECTION WHERE ref_date='${ref_date}' AND nome_perimetro='Individual Local' AND segmento='ESTR' AND ambito='PM' AND entidade='00100')X INNER JOIN (SELECT prtctn_id AS CHAVE_SIMUL, flg_exec AS CAMPO_SIMUL FROM BU_LOANTAPE_WORK.LT004_PROTECTION WHERE ref_date='${ref_date}' AND nome_perimetro='Individual Local' AND segmento='ESTR' AND ambito='PM' AND entidade='00100')Y ON X.CHAVE_IT=Y.CHAVE_SIMUL</v>
      </c>
      <c r="O610" s="35" t="s">
        <v>35</v>
      </c>
    </row>
    <row r="611" spans="1:15">
      <c r="A611" s="57" t="str">
        <f t="shared" si="20"/>
        <v>Protectionflg_col</v>
      </c>
      <c r="B611" s="32" t="s">
        <v>59</v>
      </c>
      <c r="C611" s="32" t="s">
        <v>170</v>
      </c>
      <c r="D611" s="32" t="s">
        <v>5</v>
      </c>
      <c r="E611" s="32" t="str">
        <f>+UPPER('0. Instruções'!$D$35&amp;"."&amp;VLOOKUP(B611,'0. Instruções'!$C$27:$D$32,2,FALSE))</f>
        <v>CD_LOAN_TAPES_BCE.LT004_PROTECTION</v>
      </c>
      <c r="F611" s="32" t="str">
        <f>+UPPER('0. Instruções'!$D$36&amp;"."&amp;VLOOKUP(B611,'0. Instruções'!$C$27:$E$32,3,FALSE))</f>
        <v>BU_LOANTAPE_WORK.LT004_PROTECTION</v>
      </c>
      <c r="H611" s="32"/>
      <c r="I611" s="32"/>
      <c r="J611" s="32" t="str">
        <f>IF(VLOOKUP(B611,'0. Instruções'!$C$27:$G$32,5,FALSE)=0,
"(SELECT "&amp;VLOOKUP(B611,'0. Instruções'!$C$27:$G$32,4,FALSE)&amp;" AS CHAVE_IT, "&amp;C611&amp;" AS CAMPO_IT FROM "&amp;E611&amp;" WHERE "&amp;'0. Instruções'!$D$43&amp;")X",
"(SELECT "&amp;VLOOKUP(B611,'0. Instruções'!$C$27:$G$32,4,FALSE)&amp;" AS CHAVE_IT1, "&amp;VLOOKUP(B611,'0. Instruções'!$C$27:$G$32,5,FALSE)&amp;" AS CHAVE_IT2, "&amp;C611&amp;" AS CAMPO_IT FROM "&amp;E611&amp;" WHERE "&amp;'0. Instruções'!$D$43&amp;")X")</f>
        <v>(SELECT prtctn_id AS CHAVE_IT, flg_col AS CAMPO_IT FROM CD_LOAN_TAPES_BCE.LT004_PROTECTION WHERE ref_date='${ref_date}' AND nome_perimetro='Individual Local' AND segmento='ESTR' AND ambito='PM' AND entidade='00100')X</v>
      </c>
      <c r="K611" s="32" t="str">
        <f>IF(VLOOKUP(B611,'0. Instruções'!$C$27:$G$32,5,FALSE)=0,
"(SELECT "&amp;VLOOKUP(B611,'0. Instruções'!$C$27:$G$32,4,FALSE)&amp;" AS CHAVE_SIMUL, "&amp;C611&amp;" AS CAMPO_SIMUL FROM "&amp;F611&amp;" WHERE "&amp;'0. Instruções'!$D$42&amp;")Y",
"(SELECT "&amp;VLOOKUP(B611,'0. Instruções'!$C$27:$G$32,4,FALSE)&amp;" AS CHAVE_SIMUL1, "&amp;VLOOKUP(B611,'0. Instruções'!$C$27:$G$32,5,FALSE)&amp;" AS CHAVE_SIMUL2, "&amp;C611&amp;" AS CAMPO_SIMUL FROM "&amp;F611&amp;" WHERE "&amp;'0. Instruções'!$D$42&amp;")Y")</f>
        <v>(SELECT prtctn_id AS CHAVE_SIMUL, flg_col AS CAMPO_SIMUL FROM BU_LOANTAPE_WORK.LT004_PROTECTION WHERE ref_date='${ref_date}' AND nome_perimetro='Individual Local' AND segmento='ESTR' AND ambito='PM' AND entidade='00100')Y</v>
      </c>
      <c r="L611" s="32" t="str">
        <f>IF(VLOOKUP(B611,'0. Instruções'!$C$27:$G$32,5,FALSE)=0,
"ON X.CHAVE_IT=Y.CHAVE_SIMUL",
"ON X.CHAVE_IT1=Y.CHAVE_SIMUL1 AND X.CHAVE_IT2=Y.CHAVE_SIMUL2")</f>
        <v>ON X.CHAVE_IT=Y.CHAVE_SIMUL</v>
      </c>
      <c r="M611" s="32" t="str">
        <f>+IF(D611="Coerência",+IF(LEFT(H611,5)="FLOAT","SELECT '"&amp;UPPER(B611)&amp;"' AS TABELA, '"&amp;UPPER(D611)&amp;"' AS TIPOLOGIA_TESTE,'"&amp;E611&amp;"' AS TABELA_LT,'"&amp;F611&amp;"' AS TABELA_SIMUL,'"&amp;C611&amp;"'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"&amp;J611&amp;" INNER JOIN "&amp;K611&amp;" "&amp;L611,"SELECT '"&amp;UPPER(B611)&amp;"' AS TABELA, '"&amp;UPPER(D611)&amp;"' AS TIPOLOGIA_TESTE,'"&amp;E611&amp;"' AS TABELA_LT,'"&amp;F611&amp;"' AS TABELA_SIMUL,'"&amp;C611&amp;"'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"&amp;J611&amp;" INNER JOIN "&amp;K611&amp;" "&amp;L611))</f>
        <v>SELECT 'PROTECTION' AS TABELA, 'COERÊNCIA' AS TIPOLOGIA_TESTE,'CD_LOAN_TAPES_BCE.LT004_PROTECTION' AS TABELA_LT,'BU_LOANTAPE_WORK.LT004_PROTECTION' AS TABELA_SIMUL,'flg_col'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flg_col AS CAMPO_IT FROM CD_LOAN_TAPES_BCE.LT004_PROTECTION WHERE ref_date='${ref_date}' AND nome_perimetro='Individual Local' AND segmento='ESTR' AND ambito='PM' AND entidade='00100')X INNER JOIN (SELECT prtctn_id AS CHAVE_SIMUL, flg_col AS CAMPO_SIMUL FROM BU_LOANTAPE_WORK.LT004_PROTECTION WHERE ref_date='${ref_date}' AND nome_perimetro='Individual Local' AND segmento='ESTR' AND ambito='PM' AND entidade='00100')Y ON X.CHAVE_IT=Y.CHAVE_SIMUL</v>
      </c>
      <c r="N611" s="33" t="str">
        <f t="shared" si="19"/>
        <v>UNION ALL SELECT 'PROTECTION' AS TABELA, 'COERÊNCIA' AS TIPOLOGIA_TESTE,'CD_LOAN_TAPES_BCE.LT004_PROTECTION' AS TABELA_LT,'BU_LOANTAPE_WORK.LT004_PROTECTION' AS TABELA_SIMUL,'flg_col'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flg_col AS CAMPO_IT FROM CD_LOAN_TAPES_BCE.LT004_PROTECTION WHERE ref_date='${ref_date}' AND nome_perimetro='Individual Local' AND segmento='ESTR' AND ambito='PM' AND entidade='00100')X INNER JOIN (SELECT prtctn_id AS CHAVE_SIMUL, flg_col AS CAMPO_SIMUL FROM BU_LOANTAPE_WORK.LT004_PROTECTION WHERE ref_date='${ref_date}' AND nome_perimetro='Individual Local' AND segmento='ESTR' AND ambito='PM' AND entidade='00100')Y ON X.CHAVE_IT=Y.CHAVE_SIMUL</v>
      </c>
      <c r="O611" s="35" t="s">
        <v>35</v>
      </c>
    </row>
    <row r="612" spans="1:15">
      <c r="A612" s="57" t="str">
        <f t="shared" si="20"/>
        <v>Protectionflg_pro</v>
      </c>
      <c r="B612" s="32" t="s">
        <v>59</v>
      </c>
      <c r="C612" s="32" t="s">
        <v>171</v>
      </c>
      <c r="D612" s="32" t="s">
        <v>5</v>
      </c>
      <c r="E612" s="32" t="str">
        <f>+UPPER('0. Instruções'!$D$35&amp;"."&amp;VLOOKUP(B612,'0. Instruções'!$C$27:$D$32,2,FALSE))</f>
        <v>CD_LOAN_TAPES_BCE.LT004_PROTECTION</v>
      </c>
      <c r="F612" s="32" t="str">
        <f>+UPPER('0. Instruções'!$D$36&amp;"."&amp;VLOOKUP(B612,'0. Instruções'!$C$27:$E$32,3,FALSE))</f>
        <v>BU_LOANTAPE_WORK.LT004_PROTECTION</v>
      </c>
      <c r="H612" s="32"/>
      <c r="I612" s="32"/>
      <c r="J612" s="32" t="str">
        <f>IF(VLOOKUP(B612,'0. Instruções'!$C$27:$G$32,5,FALSE)=0,
"(SELECT "&amp;VLOOKUP(B612,'0. Instruções'!$C$27:$G$32,4,FALSE)&amp;" AS CHAVE_IT, "&amp;C612&amp;" AS CAMPO_IT FROM "&amp;E612&amp;" WHERE "&amp;'0. Instruções'!$D$43&amp;")X",
"(SELECT "&amp;VLOOKUP(B612,'0. Instruções'!$C$27:$G$32,4,FALSE)&amp;" AS CHAVE_IT1, "&amp;VLOOKUP(B612,'0. Instruções'!$C$27:$G$32,5,FALSE)&amp;" AS CHAVE_IT2, "&amp;C612&amp;" AS CAMPO_IT FROM "&amp;E612&amp;" WHERE "&amp;'0. Instruções'!$D$43&amp;")X")</f>
        <v>(SELECT prtctn_id AS CHAVE_IT, flg_pro AS CAMPO_IT FROM CD_LOAN_TAPES_BCE.LT004_PROTECTION WHERE ref_date='${ref_date}' AND nome_perimetro='Individual Local' AND segmento='ESTR' AND ambito='PM' AND entidade='00100')X</v>
      </c>
      <c r="K612" s="32" t="str">
        <f>IF(VLOOKUP(B612,'0. Instruções'!$C$27:$G$32,5,FALSE)=0,
"(SELECT "&amp;VLOOKUP(B612,'0. Instruções'!$C$27:$G$32,4,FALSE)&amp;" AS CHAVE_SIMUL, "&amp;C612&amp;" AS CAMPO_SIMUL FROM "&amp;F612&amp;" WHERE "&amp;'0. Instruções'!$D$42&amp;")Y",
"(SELECT "&amp;VLOOKUP(B612,'0. Instruções'!$C$27:$G$32,4,FALSE)&amp;" AS CHAVE_SIMUL1, "&amp;VLOOKUP(B612,'0. Instruções'!$C$27:$G$32,5,FALSE)&amp;" AS CHAVE_SIMUL2, "&amp;C612&amp;" AS CAMPO_SIMUL FROM "&amp;F612&amp;" WHERE "&amp;'0. Instruções'!$D$42&amp;")Y")</f>
        <v>(SELECT prtctn_id AS CHAVE_SIMUL, flg_pro AS CAMPO_SIMUL FROM BU_LOANTAPE_WORK.LT004_PROTECTION WHERE ref_date='${ref_date}' AND nome_perimetro='Individual Local' AND segmento='ESTR' AND ambito='PM' AND entidade='00100')Y</v>
      </c>
      <c r="L612" s="32" t="str">
        <f>IF(VLOOKUP(B612,'0. Instruções'!$C$27:$G$32,5,FALSE)=0,
"ON X.CHAVE_IT=Y.CHAVE_SIMUL",
"ON X.CHAVE_IT1=Y.CHAVE_SIMUL1 AND X.CHAVE_IT2=Y.CHAVE_SIMUL2")</f>
        <v>ON X.CHAVE_IT=Y.CHAVE_SIMUL</v>
      </c>
      <c r="M612" s="32" t="str">
        <f>+IF(D612="Coerência",+IF(LEFT(H612,5)="FLOAT","SELECT '"&amp;UPPER(B612)&amp;"' AS TABELA, '"&amp;UPPER(D612)&amp;"' AS TIPOLOGIA_TESTE,'"&amp;E612&amp;"' AS TABELA_LT,'"&amp;F612&amp;"' AS TABELA_SIMUL,'"&amp;C612&amp;"'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"&amp;J612&amp;" INNER JOIN "&amp;K612&amp;" "&amp;L612,"SELECT '"&amp;UPPER(B612)&amp;"' AS TABELA, '"&amp;UPPER(D612)&amp;"' AS TIPOLOGIA_TESTE,'"&amp;E612&amp;"' AS TABELA_LT,'"&amp;F612&amp;"' AS TABELA_SIMUL,'"&amp;C612&amp;"'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"&amp;J612&amp;" INNER JOIN "&amp;K612&amp;" "&amp;L612))</f>
        <v>SELECT 'PROTECTION' AS TABELA, 'COERÊNCIA' AS TIPOLOGIA_TESTE,'CD_LOAN_TAPES_BCE.LT004_PROTECTION' AS TABELA_LT,'BU_LOANTAPE_WORK.LT004_PROTECTION' AS TABELA_SIMUL,'flg_pro'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flg_pro AS CAMPO_IT FROM CD_LOAN_TAPES_BCE.LT004_PROTECTION WHERE ref_date='${ref_date}' AND nome_perimetro='Individual Local' AND segmento='ESTR' AND ambito='PM' AND entidade='00100')X INNER JOIN (SELECT prtctn_id AS CHAVE_SIMUL, flg_pro AS CAMPO_SIMUL FROM BU_LOANTAPE_WORK.LT004_PROTECTION WHERE ref_date='${ref_date}' AND nome_perimetro='Individual Local' AND segmento='ESTR' AND ambito='PM' AND entidade='00100')Y ON X.CHAVE_IT=Y.CHAVE_SIMUL</v>
      </c>
      <c r="N612" s="33" t="str">
        <f t="shared" ref="N612:N665" si="21">+"UNION ALL "&amp;M612</f>
        <v>UNION ALL SELECT 'PROTECTION' AS TABELA, 'COERÊNCIA' AS TIPOLOGIA_TESTE,'CD_LOAN_TAPES_BCE.LT004_PROTECTION' AS TABELA_LT,'BU_LOANTAPE_WORK.LT004_PROTECTION' AS TABELA_SIMUL,'flg_pro'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flg_pro AS CAMPO_IT FROM CD_LOAN_TAPES_BCE.LT004_PROTECTION WHERE ref_date='${ref_date}' AND nome_perimetro='Individual Local' AND segmento='ESTR' AND ambito='PM' AND entidade='00100')X INNER JOIN (SELECT prtctn_id AS CHAVE_SIMUL, flg_pro AS CAMPO_SIMUL FROM BU_LOANTAPE_WORK.LT004_PROTECTION WHERE ref_date='${ref_date}' AND nome_perimetro='Individual Local' AND segmento='ESTR' AND ambito='PM' AND entidade='00100')Y ON X.CHAVE_IT=Y.CHAVE_SIMUL</v>
      </c>
      <c r="O612" s="35" t="s">
        <v>35</v>
      </c>
    </row>
    <row r="613" spans="1:15">
      <c r="A613" s="57" t="str">
        <f t="shared" si="20"/>
        <v>Protectiongross_area</v>
      </c>
      <c r="B613" s="32" t="s">
        <v>59</v>
      </c>
      <c r="C613" s="32" t="s">
        <v>643</v>
      </c>
      <c r="D613" s="32" t="s">
        <v>5</v>
      </c>
      <c r="E613" s="32" t="str">
        <f>+UPPER('0. Instruções'!$D$35&amp;"."&amp;VLOOKUP(B613,'0. Instruções'!$C$27:$D$32,2,FALSE))</f>
        <v>CD_LOAN_TAPES_BCE.LT004_PROTECTION</v>
      </c>
      <c r="F613" s="32" t="str">
        <f>+UPPER('0. Instruções'!$D$36&amp;"."&amp;VLOOKUP(B613,'0. Instruções'!$C$27:$E$32,3,FALSE))</f>
        <v>BU_LOANTAPE_WORK.LT004_PROTECTION</v>
      </c>
      <c r="H613" s="32"/>
      <c r="I613" s="32"/>
      <c r="J613" s="32" t="str">
        <f>IF(VLOOKUP(B613,'0. Instruções'!$C$27:$G$32,5,FALSE)=0,
"(SELECT "&amp;VLOOKUP(B613,'0. Instruções'!$C$27:$G$32,4,FALSE)&amp;" AS CHAVE_IT, "&amp;C613&amp;" AS CAMPO_IT FROM "&amp;E613&amp;" WHERE "&amp;'0. Instruções'!$D$43&amp;")X",
"(SELECT "&amp;VLOOKUP(B613,'0. Instruções'!$C$27:$G$32,4,FALSE)&amp;" AS CHAVE_IT1, "&amp;VLOOKUP(B613,'0. Instruções'!$C$27:$G$32,5,FALSE)&amp;" AS CHAVE_IT2, "&amp;C613&amp;" AS CAMPO_IT FROM "&amp;E613&amp;" WHERE "&amp;'0. Instruções'!$D$43&amp;")X")</f>
        <v>(SELECT prtctn_id AS CHAVE_IT, gross_area AS CAMPO_IT FROM CD_LOAN_TAPES_BCE.LT004_PROTECTION WHERE ref_date='${ref_date}' AND nome_perimetro='Individual Local' AND segmento='ESTR' AND ambito='PM' AND entidade='00100')X</v>
      </c>
      <c r="K613" s="32" t="str">
        <f>IF(VLOOKUP(B613,'0. Instruções'!$C$27:$G$32,5,FALSE)=0,
"(SELECT "&amp;VLOOKUP(B613,'0. Instruções'!$C$27:$G$32,4,FALSE)&amp;" AS CHAVE_SIMUL, "&amp;C613&amp;" AS CAMPO_SIMUL FROM "&amp;F613&amp;" WHERE "&amp;'0. Instruções'!$D$42&amp;")Y",
"(SELECT "&amp;VLOOKUP(B613,'0. Instruções'!$C$27:$G$32,4,FALSE)&amp;" AS CHAVE_SIMUL1, "&amp;VLOOKUP(B613,'0. Instruções'!$C$27:$G$32,5,FALSE)&amp;" AS CHAVE_SIMUL2, "&amp;C613&amp;" AS CAMPO_SIMUL FROM "&amp;F613&amp;" WHERE "&amp;'0. Instruções'!$D$42&amp;")Y")</f>
        <v>(SELECT prtctn_id AS CHAVE_SIMUL, gross_area AS CAMPO_SIMUL FROM BU_LOANTAPE_WORK.LT004_PROTECTION WHERE ref_date='${ref_date}' AND nome_perimetro='Individual Local' AND segmento='ESTR' AND ambito='PM' AND entidade='00100')Y</v>
      </c>
      <c r="L613" s="32" t="str">
        <f>IF(VLOOKUP(B613,'0. Instruções'!$C$27:$G$32,5,FALSE)=0,
"ON X.CHAVE_IT=Y.CHAVE_SIMUL",
"ON X.CHAVE_IT1=Y.CHAVE_SIMUL1 AND X.CHAVE_IT2=Y.CHAVE_SIMUL2")</f>
        <v>ON X.CHAVE_IT=Y.CHAVE_SIMUL</v>
      </c>
      <c r="M613" s="32" t="str">
        <f>+IF(D613="Coerência",+IF(LEFT(H613,5)="FLOAT","SELECT '"&amp;UPPER(B613)&amp;"' AS TABELA, '"&amp;UPPER(D613)&amp;"' AS TIPOLOGIA_TESTE,'"&amp;E613&amp;"' AS TABELA_LT,'"&amp;F613&amp;"' AS TABELA_SIMUL,'"&amp;C613&amp;"'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"&amp;J613&amp;" INNER JOIN "&amp;K613&amp;" "&amp;L613,"SELECT '"&amp;UPPER(B613)&amp;"' AS TABELA, '"&amp;UPPER(D613)&amp;"' AS TIPOLOGIA_TESTE,'"&amp;E613&amp;"' AS TABELA_LT,'"&amp;F613&amp;"' AS TABELA_SIMUL,'"&amp;C613&amp;"'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"&amp;J613&amp;" INNER JOIN "&amp;K613&amp;" "&amp;L613))</f>
        <v>SELECT 'PROTECTION' AS TABELA, 'COERÊNCIA' AS TIPOLOGIA_TESTE,'CD_LOAN_TAPES_BCE.LT004_PROTECTION' AS TABELA_LT,'BU_LOANTAPE_WORK.LT004_PROTECTION' AS TABELA_SIMUL,'gross_area'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gross_area AS CAMPO_IT FROM CD_LOAN_TAPES_BCE.LT004_PROTECTION WHERE ref_date='${ref_date}' AND nome_perimetro='Individual Local' AND segmento='ESTR' AND ambito='PM' AND entidade='00100')X INNER JOIN (SELECT prtctn_id AS CHAVE_SIMUL, gross_area AS CAMPO_SIMUL FROM BU_LOANTAPE_WORK.LT004_PROTECTION WHERE ref_date='${ref_date}' AND nome_perimetro='Individual Local' AND segmento='ESTR' AND ambito='PM' AND entidade='00100')Y ON X.CHAVE_IT=Y.CHAVE_SIMUL</v>
      </c>
      <c r="N613" s="33" t="str">
        <f t="shared" si="21"/>
        <v>UNION ALL SELECT 'PROTECTION' AS TABELA, 'COERÊNCIA' AS TIPOLOGIA_TESTE,'CD_LOAN_TAPES_BCE.LT004_PROTECTION' AS TABELA_LT,'BU_LOANTAPE_WORK.LT004_PROTECTION' AS TABELA_SIMUL,'gross_area'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gross_area AS CAMPO_IT FROM CD_LOAN_TAPES_BCE.LT004_PROTECTION WHERE ref_date='${ref_date}' AND nome_perimetro='Individual Local' AND segmento='ESTR' AND ambito='PM' AND entidade='00100')X INNER JOIN (SELECT prtctn_id AS CHAVE_SIMUL, gross_area AS CAMPO_SIMUL FROM BU_LOANTAPE_WORK.LT004_PROTECTION WHERE ref_date='${ref_date}' AND nome_perimetro='Individual Local' AND segmento='ESTR' AND ambito='PM' AND entidade='00100')Y ON X.CHAVE_IT=Y.CHAVE_SIMUL</v>
      </c>
      <c r="O613" s="35" t="s">
        <v>35</v>
      </c>
    </row>
    <row r="614" spans="1:15">
      <c r="A614" s="57" t="str">
        <f t="shared" si="20"/>
        <v>Protectionland_area</v>
      </c>
      <c r="B614" s="32" t="s">
        <v>59</v>
      </c>
      <c r="C614" s="32" t="s">
        <v>644</v>
      </c>
      <c r="D614" s="32" t="s">
        <v>5</v>
      </c>
      <c r="E614" s="32" t="str">
        <f>+UPPER('0. Instruções'!$D$35&amp;"."&amp;VLOOKUP(B614,'0. Instruções'!$C$27:$D$32,2,FALSE))</f>
        <v>CD_LOAN_TAPES_BCE.LT004_PROTECTION</v>
      </c>
      <c r="F614" s="32" t="str">
        <f>+UPPER('0. Instruções'!$D$36&amp;"."&amp;VLOOKUP(B614,'0. Instruções'!$C$27:$E$32,3,FALSE))</f>
        <v>BU_LOANTAPE_WORK.LT004_PROTECTION</v>
      </c>
      <c r="H614" s="32"/>
      <c r="I614" s="32"/>
      <c r="J614" s="32" t="str">
        <f>IF(VLOOKUP(B614,'0. Instruções'!$C$27:$G$32,5,FALSE)=0,
"(SELECT "&amp;VLOOKUP(B614,'0. Instruções'!$C$27:$G$32,4,FALSE)&amp;" AS CHAVE_IT, "&amp;C614&amp;" AS CAMPO_IT FROM "&amp;E614&amp;" WHERE "&amp;'0. Instruções'!$D$43&amp;")X",
"(SELECT "&amp;VLOOKUP(B614,'0. Instruções'!$C$27:$G$32,4,FALSE)&amp;" AS CHAVE_IT1, "&amp;VLOOKUP(B614,'0. Instruções'!$C$27:$G$32,5,FALSE)&amp;" AS CHAVE_IT2, "&amp;C614&amp;" AS CAMPO_IT FROM "&amp;E614&amp;" WHERE "&amp;'0. Instruções'!$D$43&amp;")X")</f>
        <v>(SELECT prtctn_id AS CHAVE_IT, land_area AS CAMPO_IT FROM CD_LOAN_TAPES_BCE.LT004_PROTECTION WHERE ref_date='${ref_date}' AND nome_perimetro='Individual Local' AND segmento='ESTR' AND ambito='PM' AND entidade='00100')X</v>
      </c>
      <c r="K614" s="32" t="str">
        <f>IF(VLOOKUP(B614,'0. Instruções'!$C$27:$G$32,5,FALSE)=0,
"(SELECT "&amp;VLOOKUP(B614,'0. Instruções'!$C$27:$G$32,4,FALSE)&amp;" AS CHAVE_SIMUL, "&amp;C614&amp;" AS CAMPO_SIMUL FROM "&amp;F614&amp;" WHERE "&amp;'0. Instruções'!$D$42&amp;")Y",
"(SELECT "&amp;VLOOKUP(B614,'0. Instruções'!$C$27:$G$32,4,FALSE)&amp;" AS CHAVE_SIMUL1, "&amp;VLOOKUP(B614,'0. Instruções'!$C$27:$G$32,5,FALSE)&amp;" AS CHAVE_SIMUL2, "&amp;C614&amp;" AS CAMPO_SIMUL FROM "&amp;F614&amp;" WHERE "&amp;'0. Instruções'!$D$42&amp;")Y")</f>
        <v>(SELECT prtctn_id AS CHAVE_SIMUL, land_area AS CAMPO_SIMUL FROM BU_LOANTAPE_WORK.LT004_PROTECTION WHERE ref_date='${ref_date}' AND nome_perimetro='Individual Local' AND segmento='ESTR' AND ambito='PM' AND entidade='00100')Y</v>
      </c>
      <c r="L614" s="32" t="str">
        <f>IF(VLOOKUP(B614,'0. Instruções'!$C$27:$G$32,5,FALSE)=0,
"ON X.CHAVE_IT=Y.CHAVE_SIMUL",
"ON X.CHAVE_IT1=Y.CHAVE_SIMUL1 AND X.CHAVE_IT2=Y.CHAVE_SIMUL2")</f>
        <v>ON X.CHAVE_IT=Y.CHAVE_SIMUL</v>
      </c>
      <c r="M614" s="32" t="str">
        <f>+IF(D614="Coerência",+IF(LEFT(H614,5)="FLOAT","SELECT '"&amp;UPPER(B614)&amp;"' AS TABELA, '"&amp;UPPER(D614)&amp;"' AS TIPOLOGIA_TESTE,'"&amp;E614&amp;"' AS TABELA_LT,'"&amp;F614&amp;"' AS TABELA_SIMUL,'"&amp;C614&amp;"'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"&amp;J614&amp;" INNER JOIN "&amp;K614&amp;" "&amp;L614,"SELECT '"&amp;UPPER(B614)&amp;"' AS TABELA, '"&amp;UPPER(D614)&amp;"' AS TIPOLOGIA_TESTE,'"&amp;E614&amp;"' AS TABELA_LT,'"&amp;F614&amp;"' AS TABELA_SIMUL,'"&amp;C614&amp;"'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"&amp;J614&amp;" INNER JOIN "&amp;K614&amp;" "&amp;L614))</f>
        <v>SELECT 'PROTECTION' AS TABELA, 'COERÊNCIA' AS TIPOLOGIA_TESTE,'CD_LOAN_TAPES_BCE.LT004_PROTECTION' AS TABELA_LT,'BU_LOANTAPE_WORK.LT004_PROTECTION' AS TABELA_SIMUL,'land_area'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land_area AS CAMPO_IT FROM CD_LOAN_TAPES_BCE.LT004_PROTECTION WHERE ref_date='${ref_date}' AND nome_perimetro='Individual Local' AND segmento='ESTR' AND ambito='PM' AND entidade='00100')X INNER JOIN (SELECT prtctn_id AS CHAVE_SIMUL, land_area AS CAMPO_SIMUL FROM BU_LOANTAPE_WORK.LT004_PROTECTION WHERE ref_date='${ref_date}' AND nome_perimetro='Individual Local' AND segmento='ESTR' AND ambito='PM' AND entidade='00100')Y ON X.CHAVE_IT=Y.CHAVE_SIMUL</v>
      </c>
      <c r="N614" s="33" t="str">
        <f t="shared" si="21"/>
        <v>UNION ALL SELECT 'PROTECTION' AS TABELA, 'COERÊNCIA' AS TIPOLOGIA_TESTE,'CD_LOAN_TAPES_BCE.LT004_PROTECTION' AS TABELA_LT,'BU_LOANTAPE_WORK.LT004_PROTECTION' AS TABELA_SIMUL,'land_area'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land_area AS CAMPO_IT FROM CD_LOAN_TAPES_BCE.LT004_PROTECTION WHERE ref_date='${ref_date}' AND nome_perimetro='Individual Local' AND segmento='ESTR' AND ambito='PM' AND entidade='00100')X INNER JOIN (SELECT prtctn_id AS CHAVE_SIMUL, land_area AS CAMPO_SIMUL FROM BU_LOANTAPE_WORK.LT004_PROTECTION WHERE ref_date='${ref_date}' AND nome_perimetro='Individual Local' AND segmento='ESTR' AND ambito='PM' AND entidade='00100')Y ON X.CHAVE_IT=Y.CHAVE_SIMUL</v>
      </c>
      <c r="O614" s="35" t="s">
        <v>35</v>
      </c>
    </row>
    <row r="615" spans="1:15">
      <c r="A615" s="57" t="str">
        <f t="shared" si="20"/>
        <v>Protectionlien_position</v>
      </c>
      <c r="B615" s="32" t="s">
        <v>59</v>
      </c>
      <c r="C615" s="32" t="s">
        <v>645</v>
      </c>
      <c r="D615" s="32" t="s">
        <v>5</v>
      </c>
      <c r="E615" s="32" t="str">
        <f>+UPPER('0. Instruções'!$D$35&amp;"."&amp;VLOOKUP(B615,'0. Instruções'!$C$27:$D$32,2,FALSE))</f>
        <v>CD_LOAN_TAPES_BCE.LT004_PROTECTION</v>
      </c>
      <c r="F615" s="32" t="str">
        <f>+UPPER('0. Instruções'!$D$36&amp;"."&amp;VLOOKUP(B615,'0. Instruções'!$C$27:$E$32,3,FALSE))</f>
        <v>BU_LOANTAPE_WORK.LT004_PROTECTION</v>
      </c>
      <c r="H615" s="32"/>
      <c r="I615" s="32"/>
      <c r="J615" s="32" t="str">
        <f>IF(VLOOKUP(B615,'0. Instruções'!$C$27:$G$32,5,FALSE)=0,
"(SELECT "&amp;VLOOKUP(B615,'0. Instruções'!$C$27:$G$32,4,FALSE)&amp;" AS CHAVE_IT, "&amp;C615&amp;" AS CAMPO_IT FROM "&amp;E615&amp;" WHERE "&amp;'0. Instruções'!$D$43&amp;")X",
"(SELECT "&amp;VLOOKUP(B615,'0. Instruções'!$C$27:$G$32,4,FALSE)&amp;" AS CHAVE_IT1, "&amp;VLOOKUP(B615,'0. Instruções'!$C$27:$G$32,5,FALSE)&amp;" AS CHAVE_IT2, "&amp;C615&amp;" AS CAMPO_IT FROM "&amp;E615&amp;" WHERE "&amp;'0. Instruções'!$D$43&amp;")X")</f>
        <v>(SELECT prtctn_id AS CHAVE_IT, lien_position AS CAMPO_IT FROM CD_LOAN_TAPES_BCE.LT004_PROTECTION WHERE ref_date='${ref_date}' AND nome_perimetro='Individual Local' AND segmento='ESTR' AND ambito='PM' AND entidade='00100')X</v>
      </c>
      <c r="K615" s="32" t="str">
        <f>IF(VLOOKUP(B615,'0. Instruções'!$C$27:$G$32,5,FALSE)=0,
"(SELECT "&amp;VLOOKUP(B615,'0. Instruções'!$C$27:$G$32,4,FALSE)&amp;" AS CHAVE_SIMUL, "&amp;C615&amp;" AS CAMPO_SIMUL FROM "&amp;F615&amp;" WHERE "&amp;'0. Instruções'!$D$42&amp;")Y",
"(SELECT "&amp;VLOOKUP(B615,'0. Instruções'!$C$27:$G$32,4,FALSE)&amp;" AS CHAVE_SIMUL1, "&amp;VLOOKUP(B615,'0. Instruções'!$C$27:$G$32,5,FALSE)&amp;" AS CHAVE_SIMUL2, "&amp;C615&amp;" AS CAMPO_SIMUL FROM "&amp;F615&amp;" WHERE "&amp;'0. Instruções'!$D$42&amp;")Y")</f>
        <v>(SELECT prtctn_id AS CHAVE_SIMUL, lien_position AS CAMPO_SIMUL FROM BU_LOANTAPE_WORK.LT004_PROTECTION WHERE ref_date='${ref_date}' AND nome_perimetro='Individual Local' AND segmento='ESTR' AND ambito='PM' AND entidade='00100')Y</v>
      </c>
      <c r="L615" s="32" t="str">
        <f>IF(VLOOKUP(B615,'0. Instruções'!$C$27:$G$32,5,FALSE)=0,
"ON X.CHAVE_IT=Y.CHAVE_SIMUL",
"ON X.CHAVE_IT1=Y.CHAVE_SIMUL1 AND X.CHAVE_IT2=Y.CHAVE_SIMUL2")</f>
        <v>ON X.CHAVE_IT=Y.CHAVE_SIMUL</v>
      </c>
      <c r="M615" s="32" t="str">
        <f>+IF(D615="Coerência",+IF(LEFT(H615,5)="FLOAT","SELECT '"&amp;UPPER(B615)&amp;"' AS TABELA, '"&amp;UPPER(D615)&amp;"' AS TIPOLOGIA_TESTE,'"&amp;E615&amp;"' AS TABELA_LT,'"&amp;F615&amp;"' AS TABELA_SIMUL,'"&amp;C615&amp;"'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"&amp;J615&amp;" INNER JOIN "&amp;K615&amp;" "&amp;L615,"SELECT '"&amp;UPPER(B615)&amp;"' AS TABELA, '"&amp;UPPER(D615)&amp;"' AS TIPOLOGIA_TESTE,'"&amp;E615&amp;"' AS TABELA_LT,'"&amp;F615&amp;"' AS TABELA_SIMUL,'"&amp;C615&amp;"'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"&amp;J615&amp;" INNER JOIN "&amp;K615&amp;" "&amp;L615))</f>
        <v>SELECT 'PROTECTION' AS TABELA, 'COERÊNCIA' AS TIPOLOGIA_TESTE,'CD_LOAN_TAPES_BCE.LT004_PROTECTION' AS TABELA_LT,'BU_LOANTAPE_WORK.LT004_PROTECTION' AS TABELA_SIMUL,'lien_position'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lien_position AS CAMPO_IT FROM CD_LOAN_TAPES_BCE.LT004_PROTECTION WHERE ref_date='${ref_date}' AND nome_perimetro='Individual Local' AND segmento='ESTR' AND ambito='PM' AND entidade='00100')X INNER JOIN (SELECT prtctn_id AS CHAVE_SIMUL, lien_position AS CAMPO_SIMUL FROM BU_LOANTAPE_WORK.LT004_PROTECTION WHERE ref_date='${ref_date}' AND nome_perimetro='Individual Local' AND segmento='ESTR' AND ambito='PM' AND entidade='00100')Y ON X.CHAVE_IT=Y.CHAVE_SIMUL</v>
      </c>
      <c r="N615" s="33" t="str">
        <f t="shared" si="21"/>
        <v>UNION ALL SELECT 'PROTECTION' AS TABELA, 'COERÊNCIA' AS TIPOLOGIA_TESTE,'CD_LOAN_TAPES_BCE.LT004_PROTECTION' AS TABELA_LT,'BU_LOANTAPE_WORK.LT004_PROTECTION' AS TABELA_SIMUL,'lien_position'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lien_position AS CAMPO_IT FROM CD_LOAN_TAPES_BCE.LT004_PROTECTION WHERE ref_date='${ref_date}' AND nome_perimetro='Individual Local' AND segmento='ESTR' AND ambito='PM' AND entidade='00100')X INNER JOIN (SELECT prtctn_id AS CHAVE_SIMUL, lien_position AS CAMPO_SIMUL FROM BU_LOANTAPE_WORK.LT004_PROTECTION WHERE ref_date='${ref_date}' AND nome_perimetro='Individual Local' AND segmento='ESTR' AND ambito='PM' AND entidade='00100')Y ON X.CHAVE_IT=Y.CHAVE_SIMUL</v>
      </c>
      <c r="O615" s="35" t="s">
        <v>35</v>
      </c>
    </row>
    <row r="616" spans="1:15">
      <c r="A616" s="57" t="str">
        <f t="shared" si="20"/>
        <v>Protectiondet_type_ship_collateral</v>
      </c>
      <c r="B616" s="32" t="s">
        <v>59</v>
      </c>
      <c r="C616" s="32" t="s">
        <v>646</v>
      </c>
      <c r="D616" s="32" t="s">
        <v>5</v>
      </c>
      <c r="E616" s="32" t="str">
        <f>+UPPER('0. Instruções'!$D$35&amp;"."&amp;VLOOKUP(B616,'0. Instruções'!$C$27:$D$32,2,FALSE))</f>
        <v>CD_LOAN_TAPES_BCE.LT004_PROTECTION</v>
      </c>
      <c r="F616" s="32" t="str">
        <f>+UPPER('0. Instruções'!$D$36&amp;"."&amp;VLOOKUP(B616,'0. Instruções'!$C$27:$E$32,3,FALSE))</f>
        <v>BU_LOANTAPE_WORK.LT004_PROTECTION</v>
      </c>
      <c r="H616" s="32"/>
      <c r="I616" s="32"/>
      <c r="J616" s="32" t="str">
        <f>IF(VLOOKUP(B616,'0. Instruções'!$C$27:$G$32,5,FALSE)=0,
"(SELECT "&amp;VLOOKUP(B616,'0. Instruções'!$C$27:$G$32,4,FALSE)&amp;" AS CHAVE_IT, "&amp;C616&amp;" AS CAMPO_IT FROM "&amp;E616&amp;" WHERE "&amp;'0. Instruções'!$D$43&amp;")X",
"(SELECT "&amp;VLOOKUP(B616,'0. Instruções'!$C$27:$G$32,4,FALSE)&amp;" AS CHAVE_IT1, "&amp;VLOOKUP(B616,'0. Instruções'!$C$27:$G$32,5,FALSE)&amp;" AS CHAVE_IT2, "&amp;C616&amp;" AS CAMPO_IT FROM "&amp;E616&amp;" WHERE "&amp;'0. Instruções'!$D$43&amp;")X")</f>
        <v>(SELECT prtctn_id AS CHAVE_IT, det_type_ship_collateral AS CAMPO_IT FROM CD_LOAN_TAPES_BCE.LT004_PROTECTION WHERE ref_date='${ref_date}' AND nome_perimetro='Individual Local' AND segmento='ESTR' AND ambito='PM' AND entidade='00100')X</v>
      </c>
      <c r="K616" s="32" t="str">
        <f>IF(VLOOKUP(B616,'0. Instruções'!$C$27:$G$32,5,FALSE)=0,
"(SELECT "&amp;VLOOKUP(B616,'0. Instruções'!$C$27:$G$32,4,FALSE)&amp;" AS CHAVE_SIMUL, "&amp;C616&amp;" AS CAMPO_SIMUL FROM "&amp;F616&amp;" WHERE "&amp;'0. Instruções'!$D$42&amp;")Y",
"(SELECT "&amp;VLOOKUP(B616,'0. Instruções'!$C$27:$G$32,4,FALSE)&amp;" AS CHAVE_SIMUL1, "&amp;VLOOKUP(B616,'0. Instruções'!$C$27:$G$32,5,FALSE)&amp;" AS CHAVE_SIMUL2, "&amp;C616&amp;" AS CAMPO_SIMUL FROM "&amp;F616&amp;" WHERE "&amp;'0. Instruções'!$D$42&amp;")Y")</f>
        <v>(SELECT prtctn_id AS CHAVE_SIMUL, det_type_ship_collateral AS CAMPO_SIMUL FROM BU_LOANTAPE_WORK.LT004_PROTECTION WHERE ref_date='${ref_date}' AND nome_perimetro='Individual Local' AND segmento='ESTR' AND ambito='PM' AND entidade='00100')Y</v>
      </c>
      <c r="L616" s="32" t="str">
        <f>IF(VLOOKUP(B616,'0. Instruções'!$C$27:$G$32,5,FALSE)=0,
"ON X.CHAVE_IT=Y.CHAVE_SIMUL",
"ON X.CHAVE_IT1=Y.CHAVE_SIMUL1 AND X.CHAVE_IT2=Y.CHAVE_SIMUL2")</f>
        <v>ON X.CHAVE_IT=Y.CHAVE_SIMUL</v>
      </c>
      <c r="M616" s="32" t="str">
        <f>+IF(D616="Coerência",+IF(LEFT(H616,5)="FLOAT","SELECT '"&amp;UPPER(B616)&amp;"' AS TABELA, '"&amp;UPPER(D616)&amp;"' AS TIPOLOGIA_TESTE,'"&amp;E616&amp;"' AS TABELA_LT,'"&amp;F616&amp;"' AS TABELA_SIMUL,'"&amp;C616&amp;"'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"&amp;J616&amp;" INNER JOIN "&amp;K616&amp;" "&amp;L616,"SELECT '"&amp;UPPER(B616)&amp;"' AS TABELA, '"&amp;UPPER(D616)&amp;"' AS TIPOLOGIA_TESTE,'"&amp;E616&amp;"' AS TABELA_LT,'"&amp;F616&amp;"' AS TABELA_SIMUL,'"&amp;C616&amp;"'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"&amp;J616&amp;" INNER JOIN "&amp;K616&amp;" "&amp;L616))</f>
        <v>SELECT 'PROTECTION' AS TABELA, 'COERÊNCIA' AS TIPOLOGIA_TESTE,'CD_LOAN_TAPES_BCE.LT004_PROTECTION' AS TABELA_LT,'BU_LOANTAPE_WORK.LT004_PROTECTION' AS TABELA_SIMUL,'det_type_ship_collateral'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det_type_ship_collateral AS CAMPO_IT FROM CD_LOAN_TAPES_BCE.LT004_PROTECTION WHERE ref_date='${ref_date}' AND nome_perimetro='Individual Local' AND segmento='ESTR' AND ambito='PM' AND entidade='00100')X INNER JOIN (SELECT prtctn_id AS CHAVE_SIMUL, det_type_ship_collateral AS CAMPO_SIMUL FROM BU_LOANTAPE_WORK.LT004_PROTECTION WHERE ref_date='${ref_date}' AND nome_perimetro='Individual Local' AND segmento='ESTR' AND ambito='PM' AND entidade='00100')Y ON X.CHAVE_IT=Y.CHAVE_SIMUL</v>
      </c>
      <c r="N616" s="33" t="str">
        <f t="shared" si="21"/>
        <v>UNION ALL SELECT 'PROTECTION' AS TABELA, 'COERÊNCIA' AS TIPOLOGIA_TESTE,'CD_LOAN_TAPES_BCE.LT004_PROTECTION' AS TABELA_LT,'BU_LOANTAPE_WORK.LT004_PROTECTION' AS TABELA_SIMUL,'det_type_ship_collateral'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det_type_ship_collateral AS CAMPO_IT FROM CD_LOAN_TAPES_BCE.LT004_PROTECTION WHERE ref_date='${ref_date}' AND nome_perimetro='Individual Local' AND segmento='ESTR' AND ambito='PM' AND entidade='00100')X INNER JOIN (SELECT prtctn_id AS CHAVE_SIMUL, det_type_ship_collateral AS CAMPO_SIMUL FROM BU_LOANTAPE_WORK.LT004_PROTECTION WHERE ref_date='${ref_date}' AND nome_perimetro='Individual Local' AND segmento='ESTR' AND ambito='PM' AND entidade='00100')Y ON X.CHAVE_IT=Y.CHAVE_SIMUL</v>
      </c>
      <c r="O616" s="35" t="s">
        <v>35</v>
      </c>
    </row>
    <row r="617" spans="1:15">
      <c r="A617" s="57" t="str">
        <f t="shared" si="20"/>
        <v>Protectioninstrument_id</v>
      </c>
      <c r="B617" s="32" t="s">
        <v>59</v>
      </c>
      <c r="C617" s="32" t="s">
        <v>647</v>
      </c>
      <c r="D617" s="32" t="s">
        <v>5</v>
      </c>
      <c r="E617" s="32" t="str">
        <f>+UPPER('0. Instruções'!$D$35&amp;"."&amp;VLOOKUP(B617,'0. Instruções'!$C$27:$D$32,2,FALSE))</f>
        <v>CD_LOAN_TAPES_BCE.LT004_PROTECTION</v>
      </c>
      <c r="F617" s="32" t="str">
        <f>+UPPER('0. Instruções'!$D$36&amp;"."&amp;VLOOKUP(B617,'0. Instruções'!$C$27:$E$32,3,FALSE))</f>
        <v>BU_LOANTAPE_WORK.LT004_PROTECTION</v>
      </c>
      <c r="H617" s="32"/>
      <c r="I617" s="32"/>
      <c r="J617" s="32" t="str">
        <f>IF(VLOOKUP(B617,'0. Instruções'!$C$27:$G$32,5,FALSE)=0,
"(SELECT "&amp;VLOOKUP(B617,'0. Instruções'!$C$27:$G$32,4,FALSE)&amp;" AS CHAVE_IT, "&amp;C617&amp;" AS CAMPO_IT FROM "&amp;E617&amp;" WHERE "&amp;'0. Instruções'!$D$43&amp;")X",
"(SELECT "&amp;VLOOKUP(B617,'0. Instruções'!$C$27:$G$32,4,FALSE)&amp;" AS CHAVE_IT1, "&amp;VLOOKUP(B617,'0. Instruções'!$C$27:$G$32,5,FALSE)&amp;" AS CHAVE_IT2, "&amp;C617&amp;" AS CAMPO_IT FROM "&amp;E617&amp;" WHERE "&amp;'0. Instruções'!$D$43&amp;")X")</f>
        <v>(SELECT prtctn_id AS CHAVE_IT, instrument_id AS CAMPO_IT FROM CD_LOAN_TAPES_BCE.LT004_PROTECTION WHERE ref_date='${ref_date}' AND nome_perimetro='Individual Local' AND segmento='ESTR' AND ambito='PM' AND entidade='00100')X</v>
      </c>
      <c r="K617" s="32" t="str">
        <f>IF(VLOOKUP(B617,'0. Instruções'!$C$27:$G$32,5,FALSE)=0,
"(SELECT "&amp;VLOOKUP(B617,'0. Instruções'!$C$27:$G$32,4,FALSE)&amp;" AS CHAVE_SIMUL, "&amp;C617&amp;" AS CAMPO_SIMUL FROM "&amp;F617&amp;" WHERE "&amp;'0. Instruções'!$D$42&amp;")Y",
"(SELECT "&amp;VLOOKUP(B617,'0. Instruções'!$C$27:$G$32,4,FALSE)&amp;" AS CHAVE_SIMUL1, "&amp;VLOOKUP(B617,'0. Instruções'!$C$27:$G$32,5,FALSE)&amp;" AS CHAVE_SIMUL2, "&amp;C617&amp;" AS CAMPO_SIMUL FROM "&amp;F617&amp;" WHERE "&amp;'0. Instruções'!$D$42&amp;")Y")</f>
        <v>(SELECT prtctn_id AS CHAVE_SIMUL, instrument_id AS CAMPO_SIMUL FROM BU_LOANTAPE_WORK.LT004_PROTECTION WHERE ref_date='${ref_date}' AND nome_perimetro='Individual Local' AND segmento='ESTR' AND ambito='PM' AND entidade='00100')Y</v>
      </c>
      <c r="L617" s="32" t="str">
        <f>IF(VLOOKUP(B617,'0. Instruções'!$C$27:$G$32,5,FALSE)=0,
"ON X.CHAVE_IT=Y.CHAVE_SIMUL",
"ON X.CHAVE_IT1=Y.CHAVE_SIMUL1 AND X.CHAVE_IT2=Y.CHAVE_SIMUL2")</f>
        <v>ON X.CHAVE_IT=Y.CHAVE_SIMUL</v>
      </c>
      <c r="M617" s="32" t="str">
        <f>+IF(D617="Coerência",+IF(LEFT(H617,5)="FLOAT","SELECT '"&amp;UPPER(B617)&amp;"' AS TABELA, '"&amp;UPPER(D617)&amp;"' AS TIPOLOGIA_TESTE,'"&amp;E617&amp;"' AS TABELA_LT,'"&amp;F617&amp;"' AS TABELA_SIMUL,'"&amp;C617&amp;"'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"&amp;J617&amp;" INNER JOIN "&amp;K617&amp;" "&amp;L617,"SELECT '"&amp;UPPER(B617)&amp;"' AS TABELA, '"&amp;UPPER(D617)&amp;"' AS TIPOLOGIA_TESTE,'"&amp;E617&amp;"' AS TABELA_LT,'"&amp;F617&amp;"' AS TABELA_SIMUL,'"&amp;C617&amp;"'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"&amp;J617&amp;" INNER JOIN "&amp;K617&amp;" "&amp;L617))</f>
        <v>SELECT 'PROTECTION' AS TABELA, 'COERÊNCIA' AS TIPOLOGIA_TESTE,'CD_LOAN_TAPES_BCE.LT004_PROTECTION' AS TABELA_LT,'BU_LOANTAPE_WORK.LT004_PROTECTION' AS TABELA_SIMUL,'instrument_id'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instrument_id AS CAMPO_IT FROM CD_LOAN_TAPES_BCE.LT004_PROTECTION WHERE ref_date='${ref_date}' AND nome_perimetro='Individual Local' AND segmento='ESTR' AND ambito='PM' AND entidade='00100')X INNER JOIN (SELECT prtctn_id AS CHAVE_SIMUL, instrument_id AS CAMPO_SIMUL FROM BU_LOANTAPE_WORK.LT004_PROTECTION WHERE ref_date='${ref_date}' AND nome_perimetro='Individual Local' AND segmento='ESTR' AND ambito='PM' AND entidade='00100')Y ON X.CHAVE_IT=Y.CHAVE_SIMUL</v>
      </c>
      <c r="N617" s="33" t="str">
        <f t="shared" si="21"/>
        <v>UNION ALL SELECT 'PROTECTION' AS TABELA, 'COERÊNCIA' AS TIPOLOGIA_TESTE,'CD_LOAN_TAPES_BCE.LT004_PROTECTION' AS TABELA_LT,'BU_LOANTAPE_WORK.LT004_PROTECTION' AS TABELA_SIMUL,'instrument_id'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instrument_id AS CAMPO_IT FROM CD_LOAN_TAPES_BCE.LT004_PROTECTION WHERE ref_date='${ref_date}' AND nome_perimetro='Individual Local' AND segmento='ESTR' AND ambito='PM' AND entidade='00100')X INNER JOIN (SELECT prtctn_id AS CHAVE_SIMUL, instrument_id AS CAMPO_SIMUL FROM BU_LOANTAPE_WORK.LT004_PROTECTION WHERE ref_date='${ref_date}' AND nome_perimetro='Individual Local' AND segmento='ESTR' AND ambito='PM' AND entidade='00100')Y ON X.CHAVE_IT=Y.CHAVE_SIMUL</v>
      </c>
      <c r="O617" s="35" t="s">
        <v>35</v>
      </c>
    </row>
    <row r="618" spans="1:15">
      <c r="A618" s="57" t="str">
        <f t="shared" si="20"/>
        <v>Protectionprotection_allocated_value</v>
      </c>
      <c r="B618" s="32" t="s">
        <v>59</v>
      </c>
      <c r="C618" s="32" t="s">
        <v>648</v>
      </c>
      <c r="D618" s="32" t="s">
        <v>5</v>
      </c>
      <c r="E618" s="32" t="str">
        <f>+UPPER('0. Instruções'!$D$35&amp;"."&amp;VLOOKUP(B618,'0. Instruções'!$C$27:$D$32,2,FALSE))</f>
        <v>CD_LOAN_TAPES_BCE.LT004_PROTECTION</v>
      </c>
      <c r="F618" s="32" t="str">
        <f>+UPPER('0. Instruções'!$D$36&amp;"."&amp;VLOOKUP(B618,'0. Instruções'!$C$27:$E$32,3,FALSE))</f>
        <v>BU_LOANTAPE_WORK.LT004_PROTECTION</v>
      </c>
      <c r="H618" s="32"/>
      <c r="I618" s="32"/>
      <c r="J618" s="32" t="str">
        <f>IF(VLOOKUP(B618,'0. Instruções'!$C$27:$G$32,5,FALSE)=0,
"(SELECT "&amp;VLOOKUP(B618,'0. Instruções'!$C$27:$G$32,4,FALSE)&amp;" AS CHAVE_IT, "&amp;C618&amp;" AS CAMPO_IT FROM "&amp;E618&amp;" WHERE "&amp;'0. Instruções'!$D$43&amp;")X",
"(SELECT "&amp;VLOOKUP(B618,'0. Instruções'!$C$27:$G$32,4,FALSE)&amp;" AS CHAVE_IT1, "&amp;VLOOKUP(B618,'0. Instruções'!$C$27:$G$32,5,FALSE)&amp;" AS CHAVE_IT2, "&amp;C618&amp;" AS CAMPO_IT FROM "&amp;E618&amp;" WHERE "&amp;'0. Instruções'!$D$43&amp;")X")</f>
        <v>(SELECT prtctn_id AS CHAVE_IT, protection_allocated_value AS CAMPO_IT FROM CD_LOAN_TAPES_BCE.LT004_PROTECTION WHERE ref_date='${ref_date}' AND nome_perimetro='Individual Local' AND segmento='ESTR' AND ambito='PM' AND entidade='00100')X</v>
      </c>
      <c r="K618" s="32" t="str">
        <f>IF(VLOOKUP(B618,'0. Instruções'!$C$27:$G$32,5,FALSE)=0,
"(SELECT "&amp;VLOOKUP(B618,'0. Instruções'!$C$27:$G$32,4,FALSE)&amp;" AS CHAVE_SIMUL, "&amp;C618&amp;" AS CAMPO_SIMUL FROM "&amp;F618&amp;" WHERE "&amp;'0. Instruções'!$D$42&amp;")Y",
"(SELECT "&amp;VLOOKUP(B618,'0. Instruções'!$C$27:$G$32,4,FALSE)&amp;" AS CHAVE_SIMUL1, "&amp;VLOOKUP(B618,'0. Instruções'!$C$27:$G$32,5,FALSE)&amp;" AS CHAVE_SIMUL2, "&amp;C618&amp;" AS CAMPO_SIMUL FROM "&amp;F618&amp;" WHERE "&amp;'0. Instruções'!$D$42&amp;")Y")</f>
        <v>(SELECT prtctn_id AS CHAVE_SIMUL, protection_allocated_value AS CAMPO_SIMUL FROM BU_LOANTAPE_WORK.LT004_PROTECTION WHERE ref_date='${ref_date}' AND nome_perimetro='Individual Local' AND segmento='ESTR' AND ambito='PM' AND entidade='00100')Y</v>
      </c>
      <c r="L618" s="32" t="str">
        <f>IF(VLOOKUP(B618,'0. Instruções'!$C$27:$G$32,5,FALSE)=0,
"ON X.CHAVE_IT=Y.CHAVE_SIMUL",
"ON X.CHAVE_IT1=Y.CHAVE_SIMUL1 AND X.CHAVE_IT2=Y.CHAVE_SIMUL2")</f>
        <v>ON X.CHAVE_IT=Y.CHAVE_SIMUL</v>
      </c>
      <c r="M618" s="32" t="str">
        <f>+IF(D618="Coerência",+IF(LEFT(H618,5)="FLOAT","SELECT '"&amp;UPPER(B618)&amp;"' AS TABELA, '"&amp;UPPER(D618)&amp;"' AS TIPOLOGIA_TESTE,'"&amp;E618&amp;"' AS TABELA_LT,'"&amp;F618&amp;"' AS TABELA_SIMUL,'"&amp;C618&amp;"'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"&amp;J618&amp;" INNER JOIN "&amp;K618&amp;" "&amp;L618,"SELECT '"&amp;UPPER(B618)&amp;"' AS TABELA, '"&amp;UPPER(D618)&amp;"' AS TIPOLOGIA_TESTE,'"&amp;E618&amp;"' AS TABELA_LT,'"&amp;F618&amp;"' AS TABELA_SIMUL,'"&amp;C618&amp;"'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"&amp;J618&amp;" INNER JOIN "&amp;K618&amp;" "&amp;L618))</f>
        <v>SELECT 'PROTECTION' AS TABELA, 'COERÊNCIA' AS TIPOLOGIA_TESTE,'CD_LOAN_TAPES_BCE.LT004_PROTECTION' AS TABELA_LT,'BU_LOANTAPE_WORK.LT004_PROTECTION' AS TABELA_SIMUL,'protection_allocated_value'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protection_allocated_value AS CAMPO_IT FROM CD_LOAN_TAPES_BCE.LT004_PROTECTION WHERE ref_date='${ref_date}' AND nome_perimetro='Individual Local' AND segmento='ESTR' AND ambito='PM' AND entidade='00100')X INNER JOIN (SELECT prtctn_id AS CHAVE_SIMUL, protection_allocated_value AS CAMPO_SIMUL FROM BU_LOANTAPE_WORK.LT004_PROTECTION WHERE ref_date='${ref_date}' AND nome_perimetro='Individual Local' AND segmento='ESTR' AND ambito='PM' AND entidade='00100')Y ON X.CHAVE_IT=Y.CHAVE_SIMUL</v>
      </c>
      <c r="N618" s="33" t="str">
        <f t="shared" si="21"/>
        <v>UNION ALL SELECT 'PROTECTION' AS TABELA, 'COERÊNCIA' AS TIPOLOGIA_TESTE,'CD_LOAN_TAPES_BCE.LT004_PROTECTION' AS TABELA_LT,'BU_LOANTAPE_WORK.LT004_PROTECTION' AS TABELA_SIMUL,'protection_allocated_value'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protection_allocated_value AS CAMPO_IT FROM CD_LOAN_TAPES_BCE.LT004_PROTECTION WHERE ref_date='${ref_date}' AND nome_perimetro='Individual Local' AND segmento='ESTR' AND ambito='PM' AND entidade='00100')X INNER JOIN (SELECT prtctn_id AS CHAVE_SIMUL, protection_allocated_value AS CAMPO_SIMUL FROM BU_LOANTAPE_WORK.LT004_PROTECTION WHERE ref_date='${ref_date}' AND nome_perimetro='Individual Local' AND segmento='ESTR' AND ambito='PM' AND entidade='00100')Y ON X.CHAVE_IT=Y.CHAVE_SIMUL</v>
      </c>
      <c r="O618" s="35" t="s">
        <v>35</v>
      </c>
    </row>
    <row r="619" spans="1:15">
      <c r="A619" s="57" t="str">
        <f t="shared" si="20"/>
        <v>Protectionthirdparty_claims_protection</v>
      </c>
      <c r="B619" s="32" t="s">
        <v>59</v>
      </c>
      <c r="C619" s="32" t="s">
        <v>649</v>
      </c>
      <c r="D619" s="32" t="s">
        <v>5</v>
      </c>
      <c r="E619" s="32" t="str">
        <f>+UPPER('0. Instruções'!$D$35&amp;"."&amp;VLOOKUP(B619,'0. Instruções'!$C$27:$D$32,2,FALSE))</f>
        <v>CD_LOAN_TAPES_BCE.LT004_PROTECTION</v>
      </c>
      <c r="F619" s="32" t="str">
        <f>+UPPER('0. Instruções'!$D$36&amp;"."&amp;VLOOKUP(B619,'0. Instruções'!$C$27:$E$32,3,FALSE))</f>
        <v>BU_LOANTAPE_WORK.LT004_PROTECTION</v>
      </c>
      <c r="H619" s="32"/>
      <c r="I619" s="32"/>
      <c r="J619" s="32" t="str">
        <f>IF(VLOOKUP(B619,'0. Instruções'!$C$27:$G$32,5,FALSE)=0,
"(SELECT "&amp;VLOOKUP(B619,'0. Instruções'!$C$27:$G$32,4,FALSE)&amp;" AS CHAVE_IT, "&amp;C619&amp;" AS CAMPO_IT FROM "&amp;E619&amp;" WHERE "&amp;'0. Instruções'!$D$43&amp;")X",
"(SELECT "&amp;VLOOKUP(B619,'0. Instruções'!$C$27:$G$32,4,FALSE)&amp;" AS CHAVE_IT1, "&amp;VLOOKUP(B619,'0. Instruções'!$C$27:$G$32,5,FALSE)&amp;" AS CHAVE_IT2, "&amp;C619&amp;" AS CAMPO_IT FROM "&amp;E619&amp;" WHERE "&amp;'0. Instruções'!$D$43&amp;")X")</f>
        <v>(SELECT prtctn_id AS CHAVE_IT, thirdparty_claims_protection AS CAMPO_IT FROM CD_LOAN_TAPES_BCE.LT004_PROTECTION WHERE ref_date='${ref_date}' AND nome_perimetro='Individual Local' AND segmento='ESTR' AND ambito='PM' AND entidade='00100')X</v>
      </c>
      <c r="K619" s="32" t="str">
        <f>IF(VLOOKUP(B619,'0. Instruções'!$C$27:$G$32,5,FALSE)=0,
"(SELECT "&amp;VLOOKUP(B619,'0. Instruções'!$C$27:$G$32,4,FALSE)&amp;" AS CHAVE_SIMUL, "&amp;C619&amp;" AS CAMPO_SIMUL FROM "&amp;F619&amp;" WHERE "&amp;'0. Instruções'!$D$42&amp;")Y",
"(SELECT "&amp;VLOOKUP(B619,'0. Instruções'!$C$27:$G$32,4,FALSE)&amp;" AS CHAVE_SIMUL1, "&amp;VLOOKUP(B619,'0. Instruções'!$C$27:$G$32,5,FALSE)&amp;" AS CHAVE_SIMUL2, "&amp;C619&amp;" AS CAMPO_SIMUL FROM "&amp;F619&amp;" WHERE "&amp;'0. Instruções'!$D$42&amp;")Y")</f>
        <v>(SELECT prtctn_id AS CHAVE_SIMUL, thirdparty_claims_protection AS CAMPO_SIMUL FROM BU_LOANTAPE_WORK.LT004_PROTECTION WHERE ref_date='${ref_date}' AND nome_perimetro='Individual Local' AND segmento='ESTR' AND ambito='PM' AND entidade='00100')Y</v>
      </c>
      <c r="L619" s="32" t="str">
        <f>IF(VLOOKUP(B619,'0. Instruções'!$C$27:$G$32,5,FALSE)=0,
"ON X.CHAVE_IT=Y.CHAVE_SIMUL",
"ON X.CHAVE_IT1=Y.CHAVE_SIMUL1 AND X.CHAVE_IT2=Y.CHAVE_SIMUL2")</f>
        <v>ON X.CHAVE_IT=Y.CHAVE_SIMUL</v>
      </c>
      <c r="M619" s="32" t="str">
        <f>+IF(D619="Coerência",+IF(LEFT(H619,5)="FLOAT","SELECT '"&amp;UPPER(B619)&amp;"' AS TABELA, '"&amp;UPPER(D619)&amp;"' AS TIPOLOGIA_TESTE,'"&amp;E619&amp;"' AS TABELA_LT,'"&amp;F619&amp;"' AS TABELA_SIMUL,'"&amp;C619&amp;"'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"&amp;J619&amp;" INNER JOIN "&amp;K619&amp;" "&amp;L619,"SELECT '"&amp;UPPER(B619)&amp;"' AS TABELA, '"&amp;UPPER(D619)&amp;"' AS TIPOLOGIA_TESTE,'"&amp;E619&amp;"' AS TABELA_LT,'"&amp;F619&amp;"' AS TABELA_SIMUL,'"&amp;C619&amp;"'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"&amp;J619&amp;" INNER JOIN "&amp;K619&amp;" "&amp;L619))</f>
        <v>SELECT 'PROTECTION' AS TABELA, 'COERÊNCIA' AS TIPOLOGIA_TESTE,'CD_LOAN_TAPES_BCE.LT004_PROTECTION' AS TABELA_LT,'BU_LOANTAPE_WORK.LT004_PROTECTION' AS TABELA_SIMUL,'thirdparty_claims_protection'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thirdparty_claims_protection AS CAMPO_IT FROM CD_LOAN_TAPES_BCE.LT004_PROTECTION WHERE ref_date='${ref_date}' AND nome_perimetro='Individual Local' AND segmento='ESTR' AND ambito='PM' AND entidade='00100')X INNER JOIN (SELECT prtctn_id AS CHAVE_SIMUL, thirdparty_claims_protection AS CAMPO_SIMUL FROM BU_LOANTAPE_WORK.LT004_PROTECTION WHERE ref_date='${ref_date}' AND nome_perimetro='Individual Local' AND segmento='ESTR' AND ambito='PM' AND entidade='00100')Y ON X.CHAVE_IT=Y.CHAVE_SIMUL</v>
      </c>
      <c r="N619" s="33" t="str">
        <f t="shared" si="21"/>
        <v>UNION ALL SELECT 'PROTECTION' AS TABELA, 'COERÊNCIA' AS TIPOLOGIA_TESTE,'CD_LOAN_TAPES_BCE.LT004_PROTECTION' AS TABELA_LT,'BU_LOANTAPE_WORK.LT004_PROTECTION' AS TABELA_SIMUL,'thirdparty_claims_protection'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thirdparty_claims_protection AS CAMPO_IT FROM CD_LOAN_TAPES_BCE.LT004_PROTECTION WHERE ref_date='${ref_date}' AND nome_perimetro='Individual Local' AND segmento='ESTR' AND ambito='PM' AND entidade='00100')X INNER JOIN (SELECT prtctn_id AS CHAVE_SIMUL, thirdparty_claims_protection AS CAMPO_SIMUL FROM BU_LOANTAPE_WORK.LT004_PROTECTION WHERE ref_date='${ref_date}' AND nome_perimetro='Individual Local' AND segmento='ESTR' AND ambito='PM' AND entidade='00100')Y ON X.CHAVE_IT=Y.CHAVE_SIMUL</v>
      </c>
      <c r="O619" s="35" t="s">
        <v>35</v>
      </c>
    </row>
    <row r="620" spans="1:15">
      <c r="A620" s="57" t="str">
        <f t="shared" si="20"/>
        <v>Protectionamnt_cvrd_insrnc</v>
      </c>
      <c r="B620" s="32" t="s">
        <v>59</v>
      </c>
      <c r="C620" s="32" t="s">
        <v>650</v>
      </c>
      <c r="D620" s="32" t="s">
        <v>5</v>
      </c>
      <c r="E620" s="32" t="str">
        <f>+UPPER('0. Instruções'!$D$35&amp;"."&amp;VLOOKUP(B620,'0. Instruções'!$C$27:$D$32,2,FALSE))</f>
        <v>CD_LOAN_TAPES_BCE.LT004_PROTECTION</v>
      </c>
      <c r="F620" s="32" t="str">
        <f>+UPPER('0. Instruções'!$D$36&amp;"."&amp;VLOOKUP(B620,'0. Instruções'!$C$27:$E$32,3,FALSE))</f>
        <v>BU_LOANTAPE_WORK.LT004_PROTECTION</v>
      </c>
      <c r="H620" s="32"/>
      <c r="I620" s="32"/>
      <c r="J620" s="32" t="str">
        <f>IF(VLOOKUP(B620,'0. Instruções'!$C$27:$G$32,5,FALSE)=0,
"(SELECT "&amp;VLOOKUP(B620,'0. Instruções'!$C$27:$G$32,4,FALSE)&amp;" AS CHAVE_IT, "&amp;C620&amp;" AS CAMPO_IT FROM "&amp;E620&amp;" WHERE "&amp;'0. Instruções'!$D$43&amp;")X",
"(SELECT "&amp;VLOOKUP(B620,'0. Instruções'!$C$27:$G$32,4,FALSE)&amp;" AS CHAVE_IT1, "&amp;VLOOKUP(B620,'0. Instruções'!$C$27:$G$32,5,FALSE)&amp;" AS CHAVE_IT2, "&amp;C620&amp;" AS CAMPO_IT FROM "&amp;E620&amp;" WHERE "&amp;'0. Instruções'!$D$43&amp;")X")</f>
        <v>(SELECT prtctn_id AS CHAVE_IT, amnt_cvrd_insrnc AS CAMPO_IT FROM CD_LOAN_TAPES_BCE.LT004_PROTECTION WHERE ref_date='${ref_date}' AND nome_perimetro='Individual Local' AND segmento='ESTR' AND ambito='PM' AND entidade='00100')X</v>
      </c>
      <c r="K620" s="32" t="str">
        <f>IF(VLOOKUP(B620,'0. Instruções'!$C$27:$G$32,5,FALSE)=0,
"(SELECT "&amp;VLOOKUP(B620,'0. Instruções'!$C$27:$G$32,4,FALSE)&amp;" AS CHAVE_SIMUL, "&amp;C620&amp;" AS CAMPO_SIMUL FROM "&amp;F620&amp;" WHERE "&amp;'0. Instruções'!$D$42&amp;")Y",
"(SELECT "&amp;VLOOKUP(B620,'0. Instruções'!$C$27:$G$32,4,FALSE)&amp;" AS CHAVE_SIMUL1, "&amp;VLOOKUP(B620,'0. Instruções'!$C$27:$G$32,5,FALSE)&amp;" AS CHAVE_SIMUL2, "&amp;C620&amp;" AS CAMPO_SIMUL FROM "&amp;F620&amp;" WHERE "&amp;'0. Instruções'!$D$42&amp;")Y")</f>
        <v>(SELECT prtctn_id AS CHAVE_SIMUL, amnt_cvrd_insrnc AS CAMPO_SIMUL FROM BU_LOANTAPE_WORK.LT004_PROTECTION WHERE ref_date='${ref_date}' AND nome_perimetro='Individual Local' AND segmento='ESTR' AND ambito='PM' AND entidade='00100')Y</v>
      </c>
      <c r="L620" s="32" t="str">
        <f>IF(VLOOKUP(B620,'0. Instruções'!$C$27:$G$32,5,FALSE)=0,
"ON X.CHAVE_IT=Y.CHAVE_SIMUL",
"ON X.CHAVE_IT1=Y.CHAVE_SIMUL1 AND X.CHAVE_IT2=Y.CHAVE_SIMUL2")</f>
        <v>ON X.CHAVE_IT=Y.CHAVE_SIMUL</v>
      </c>
      <c r="M620" s="32" t="str">
        <f>+IF(D620="Coerência",+IF(LEFT(H620,5)="FLOAT","SELECT '"&amp;UPPER(B620)&amp;"' AS TABELA, '"&amp;UPPER(D620)&amp;"' AS TIPOLOGIA_TESTE,'"&amp;E620&amp;"' AS TABELA_LT,'"&amp;F620&amp;"' AS TABELA_SIMUL,'"&amp;C620&amp;"'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"&amp;J620&amp;" INNER JOIN "&amp;K620&amp;" "&amp;L620,"SELECT '"&amp;UPPER(B620)&amp;"' AS TABELA, '"&amp;UPPER(D620)&amp;"' AS TIPOLOGIA_TESTE,'"&amp;E620&amp;"' AS TABELA_LT,'"&amp;F620&amp;"' AS TABELA_SIMUL,'"&amp;C620&amp;"'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"&amp;J620&amp;" INNER JOIN "&amp;K620&amp;" "&amp;L620))</f>
        <v>SELECT 'PROTECTION' AS TABELA, 'COERÊNCIA' AS TIPOLOGIA_TESTE,'CD_LOAN_TAPES_BCE.LT004_PROTECTION' AS TABELA_LT,'BU_LOANTAPE_WORK.LT004_PROTECTION' AS TABELA_SIMUL,'amnt_cvrd_insrnc'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amnt_cvrd_insrnc AS CAMPO_IT FROM CD_LOAN_TAPES_BCE.LT004_PROTECTION WHERE ref_date='${ref_date}' AND nome_perimetro='Individual Local' AND segmento='ESTR' AND ambito='PM' AND entidade='00100')X INNER JOIN (SELECT prtctn_id AS CHAVE_SIMUL, amnt_cvrd_insrnc AS CAMPO_SIMUL FROM BU_LOANTAPE_WORK.LT004_PROTECTION WHERE ref_date='${ref_date}' AND nome_perimetro='Individual Local' AND segmento='ESTR' AND ambito='PM' AND entidade='00100')Y ON X.CHAVE_IT=Y.CHAVE_SIMUL</v>
      </c>
      <c r="N620" s="33" t="str">
        <f t="shared" si="21"/>
        <v>UNION ALL SELECT 'PROTECTION' AS TABELA, 'COERÊNCIA' AS TIPOLOGIA_TESTE,'CD_LOAN_TAPES_BCE.LT004_PROTECTION' AS TABELA_LT,'BU_LOANTAPE_WORK.LT004_PROTECTION' AS TABELA_SIMUL,'amnt_cvrd_insrnc'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amnt_cvrd_insrnc AS CAMPO_IT FROM CD_LOAN_TAPES_BCE.LT004_PROTECTION WHERE ref_date='${ref_date}' AND nome_perimetro='Individual Local' AND segmento='ESTR' AND ambito='PM' AND entidade='00100')X INNER JOIN (SELECT prtctn_id AS CHAVE_SIMUL, amnt_cvrd_insrnc AS CAMPO_SIMUL FROM BU_LOANTAPE_WORK.LT004_PROTECTION WHERE ref_date='${ref_date}' AND nome_perimetro='Individual Local' AND segmento='ESTR' AND ambito='PM' AND entidade='00100')Y ON X.CHAVE_IT=Y.CHAVE_SIMUL</v>
      </c>
      <c r="O620" s="35" t="s">
        <v>35</v>
      </c>
    </row>
    <row r="621" spans="1:15">
      <c r="A621" s="57" t="str">
        <f t="shared" si="20"/>
        <v>Protectionbldng_ar</v>
      </c>
      <c r="B621" s="32" t="s">
        <v>59</v>
      </c>
      <c r="C621" s="32" t="s">
        <v>651</v>
      </c>
      <c r="D621" s="32" t="s">
        <v>5</v>
      </c>
      <c r="E621" s="32" t="str">
        <f>+UPPER('0. Instruções'!$D$35&amp;"."&amp;VLOOKUP(B621,'0. Instruções'!$C$27:$D$32,2,FALSE))</f>
        <v>CD_LOAN_TAPES_BCE.LT004_PROTECTION</v>
      </c>
      <c r="F621" s="32" t="str">
        <f>+UPPER('0. Instruções'!$D$36&amp;"."&amp;VLOOKUP(B621,'0. Instruções'!$C$27:$E$32,3,FALSE))</f>
        <v>BU_LOANTAPE_WORK.LT004_PROTECTION</v>
      </c>
      <c r="H621" s="32"/>
      <c r="I621" s="32"/>
      <c r="J621" s="32" t="str">
        <f>IF(VLOOKUP(B621,'0. Instruções'!$C$27:$G$32,5,FALSE)=0,
"(SELECT "&amp;VLOOKUP(B621,'0. Instruções'!$C$27:$G$32,4,FALSE)&amp;" AS CHAVE_IT, "&amp;C621&amp;" AS CAMPO_IT FROM "&amp;E621&amp;" WHERE "&amp;'0. Instruções'!$D$43&amp;")X",
"(SELECT "&amp;VLOOKUP(B621,'0. Instruções'!$C$27:$G$32,4,FALSE)&amp;" AS CHAVE_IT1, "&amp;VLOOKUP(B621,'0. Instruções'!$C$27:$G$32,5,FALSE)&amp;" AS CHAVE_IT2, "&amp;C621&amp;" AS CAMPO_IT FROM "&amp;E621&amp;" WHERE "&amp;'0. Instruções'!$D$43&amp;")X")</f>
        <v>(SELECT prtctn_id AS CHAVE_IT, bldng_ar AS CAMPO_IT FROM CD_LOAN_TAPES_BCE.LT004_PROTECTION WHERE ref_date='${ref_date}' AND nome_perimetro='Individual Local' AND segmento='ESTR' AND ambito='PM' AND entidade='00100')X</v>
      </c>
      <c r="K621" s="32" t="str">
        <f>IF(VLOOKUP(B621,'0. Instruções'!$C$27:$G$32,5,FALSE)=0,
"(SELECT "&amp;VLOOKUP(B621,'0. Instruções'!$C$27:$G$32,4,FALSE)&amp;" AS CHAVE_SIMUL, "&amp;C621&amp;" AS CAMPO_SIMUL FROM "&amp;F621&amp;" WHERE "&amp;'0. Instruções'!$D$42&amp;")Y",
"(SELECT "&amp;VLOOKUP(B621,'0. Instruções'!$C$27:$G$32,4,FALSE)&amp;" AS CHAVE_SIMUL1, "&amp;VLOOKUP(B621,'0. Instruções'!$C$27:$G$32,5,FALSE)&amp;" AS CHAVE_SIMUL2, "&amp;C621&amp;" AS CAMPO_SIMUL FROM "&amp;F621&amp;" WHERE "&amp;'0. Instruções'!$D$42&amp;")Y")</f>
        <v>(SELECT prtctn_id AS CHAVE_SIMUL, bldng_ar AS CAMPO_SIMUL FROM BU_LOANTAPE_WORK.LT004_PROTECTION WHERE ref_date='${ref_date}' AND nome_perimetro='Individual Local' AND segmento='ESTR' AND ambito='PM' AND entidade='00100')Y</v>
      </c>
      <c r="L621" s="32" t="str">
        <f>IF(VLOOKUP(B621,'0. Instruções'!$C$27:$G$32,5,FALSE)=0,
"ON X.CHAVE_IT=Y.CHAVE_SIMUL",
"ON X.CHAVE_IT1=Y.CHAVE_SIMUL1 AND X.CHAVE_IT2=Y.CHAVE_SIMUL2")</f>
        <v>ON X.CHAVE_IT=Y.CHAVE_SIMUL</v>
      </c>
      <c r="M621" s="32" t="str">
        <f>+IF(D621="Coerência",+IF(LEFT(H621,5)="FLOAT","SELECT '"&amp;UPPER(B621)&amp;"' AS TABELA, '"&amp;UPPER(D621)&amp;"' AS TIPOLOGIA_TESTE,'"&amp;E621&amp;"' AS TABELA_LT,'"&amp;F621&amp;"' AS TABELA_SIMUL,'"&amp;C621&amp;"'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"&amp;J621&amp;" INNER JOIN "&amp;K621&amp;" "&amp;L621,"SELECT '"&amp;UPPER(B621)&amp;"' AS TABELA, '"&amp;UPPER(D621)&amp;"' AS TIPOLOGIA_TESTE,'"&amp;E621&amp;"' AS TABELA_LT,'"&amp;F621&amp;"' AS TABELA_SIMUL,'"&amp;C621&amp;"'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"&amp;J621&amp;" INNER JOIN "&amp;K621&amp;" "&amp;L621))</f>
        <v>SELECT 'PROTECTION' AS TABELA, 'COERÊNCIA' AS TIPOLOGIA_TESTE,'CD_LOAN_TAPES_BCE.LT004_PROTECTION' AS TABELA_LT,'BU_LOANTAPE_WORK.LT004_PROTECTION' AS TABELA_SIMUL,'bldng_ar'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bldng_ar AS CAMPO_IT FROM CD_LOAN_TAPES_BCE.LT004_PROTECTION WHERE ref_date='${ref_date}' AND nome_perimetro='Individual Local' AND segmento='ESTR' AND ambito='PM' AND entidade='00100')X INNER JOIN (SELECT prtctn_id AS CHAVE_SIMUL, bldng_ar AS CAMPO_SIMUL FROM BU_LOANTAPE_WORK.LT004_PROTECTION WHERE ref_date='${ref_date}' AND nome_perimetro='Individual Local' AND segmento='ESTR' AND ambito='PM' AND entidade='00100')Y ON X.CHAVE_IT=Y.CHAVE_SIMUL</v>
      </c>
      <c r="N621" s="33" t="str">
        <f t="shared" si="21"/>
        <v>UNION ALL SELECT 'PROTECTION' AS TABELA, 'COERÊNCIA' AS TIPOLOGIA_TESTE,'CD_LOAN_TAPES_BCE.LT004_PROTECTION' AS TABELA_LT,'BU_LOANTAPE_WORK.LT004_PROTECTION' AS TABELA_SIMUL,'bldng_ar'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bldng_ar AS CAMPO_IT FROM CD_LOAN_TAPES_BCE.LT004_PROTECTION WHERE ref_date='${ref_date}' AND nome_perimetro='Individual Local' AND segmento='ESTR' AND ambito='PM' AND entidade='00100')X INNER JOIN (SELECT prtctn_id AS CHAVE_SIMUL, bldng_ar AS CAMPO_SIMUL FROM BU_LOANTAPE_WORK.LT004_PROTECTION WHERE ref_date='${ref_date}' AND nome_perimetro='Individual Local' AND segmento='ESTR' AND ambito='PM' AND entidade='00100')Y ON X.CHAVE_IT=Y.CHAVE_SIMUL</v>
      </c>
      <c r="O621" s="35" t="s">
        <v>35</v>
      </c>
    </row>
    <row r="622" spans="1:15">
      <c r="A622" s="57" t="str">
        <f t="shared" si="20"/>
        <v>Protectiondt_mtrty_insrnc</v>
      </c>
      <c r="B622" s="32" t="s">
        <v>59</v>
      </c>
      <c r="C622" s="32" t="s">
        <v>652</v>
      </c>
      <c r="D622" s="32" t="s">
        <v>5</v>
      </c>
      <c r="E622" s="32" t="str">
        <f>+UPPER('0. Instruções'!$D$35&amp;"."&amp;VLOOKUP(B622,'0. Instruções'!$C$27:$D$32,2,FALSE))</f>
        <v>CD_LOAN_TAPES_BCE.LT004_PROTECTION</v>
      </c>
      <c r="F622" s="32" t="str">
        <f>+UPPER('0. Instruções'!$D$36&amp;"."&amp;VLOOKUP(B622,'0. Instruções'!$C$27:$E$32,3,FALSE))</f>
        <v>BU_LOANTAPE_WORK.LT004_PROTECTION</v>
      </c>
      <c r="H622" s="32"/>
      <c r="I622" s="32"/>
      <c r="J622" s="32" t="str">
        <f>IF(VLOOKUP(B622,'0. Instruções'!$C$27:$G$32,5,FALSE)=0,
"(SELECT "&amp;VLOOKUP(B622,'0. Instruções'!$C$27:$G$32,4,FALSE)&amp;" AS CHAVE_IT, "&amp;C622&amp;" AS CAMPO_IT FROM "&amp;E622&amp;" WHERE "&amp;'0. Instruções'!$D$43&amp;")X",
"(SELECT "&amp;VLOOKUP(B622,'0. Instruções'!$C$27:$G$32,4,FALSE)&amp;" AS CHAVE_IT1, "&amp;VLOOKUP(B622,'0. Instruções'!$C$27:$G$32,5,FALSE)&amp;" AS CHAVE_IT2, "&amp;C622&amp;" AS CAMPO_IT FROM "&amp;E622&amp;" WHERE "&amp;'0. Instruções'!$D$43&amp;")X")</f>
        <v>(SELECT prtctn_id AS CHAVE_IT, dt_mtrty_insrnc AS CAMPO_IT FROM CD_LOAN_TAPES_BCE.LT004_PROTECTION WHERE ref_date='${ref_date}' AND nome_perimetro='Individual Local' AND segmento='ESTR' AND ambito='PM' AND entidade='00100')X</v>
      </c>
      <c r="K622" s="32" t="str">
        <f>IF(VLOOKUP(B622,'0. Instruções'!$C$27:$G$32,5,FALSE)=0,
"(SELECT "&amp;VLOOKUP(B622,'0. Instruções'!$C$27:$G$32,4,FALSE)&amp;" AS CHAVE_SIMUL, "&amp;C622&amp;" AS CAMPO_SIMUL FROM "&amp;F622&amp;" WHERE "&amp;'0. Instruções'!$D$42&amp;")Y",
"(SELECT "&amp;VLOOKUP(B622,'0. Instruções'!$C$27:$G$32,4,FALSE)&amp;" AS CHAVE_SIMUL1, "&amp;VLOOKUP(B622,'0. Instruções'!$C$27:$G$32,5,FALSE)&amp;" AS CHAVE_SIMUL2, "&amp;C622&amp;" AS CAMPO_SIMUL FROM "&amp;F622&amp;" WHERE "&amp;'0. Instruções'!$D$42&amp;")Y")</f>
        <v>(SELECT prtctn_id AS CHAVE_SIMUL, dt_mtrty_insrnc AS CAMPO_SIMUL FROM BU_LOANTAPE_WORK.LT004_PROTECTION WHERE ref_date='${ref_date}' AND nome_perimetro='Individual Local' AND segmento='ESTR' AND ambito='PM' AND entidade='00100')Y</v>
      </c>
      <c r="L622" s="32" t="str">
        <f>IF(VLOOKUP(B622,'0. Instruções'!$C$27:$G$32,5,FALSE)=0,
"ON X.CHAVE_IT=Y.CHAVE_SIMUL",
"ON X.CHAVE_IT1=Y.CHAVE_SIMUL1 AND X.CHAVE_IT2=Y.CHAVE_SIMUL2")</f>
        <v>ON X.CHAVE_IT=Y.CHAVE_SIMUL</v>
      </c>
      <c r="M622" s="32" t="str">
        <f>+IF(D622="Coerência",+IF(LEFT(H622,5)="FLOAT","SELECT '"&amp;UPPER(B622)&amp;"' AS TABELA, '"&amp;UPPER(D622)&amp;"' AS TIPOLOGIA_TESTE,'"&amp;E622&amp;"' AS TABELA_LT,'"&amp;F622&amp;"' AS TABELA_SIMUL,'"&amp;C622&amp;"'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"&amp;J622&amp;" INNER JOIN "&amp;K622&amp;" "&amp;L622,"SELECT '"&amp;UPPER(B622)&amp;"' AS TABELA, '"&amp;UPPER(D622)&amp;"' AS TIPOLOGIA_TESTE,'"&amp;E622&amp;"' AS TABELA_LT,'"&amp;F622&amp;"' AS TABELA_SIMUL,'"&amp;C622&amp;"'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"&amp;J622&amp;" INNER JOIN "&amp;K622&amp;" "&amp;L622))</f>
        <v>SELECT 'PROTECTION' AS TABELA, 'COERÊNCIA' AS TIPOLOGIA_TESTE,'CD_LOAN_TAPES_BCE.LT004_PROTECTION' AS TABELA_LT,'BU_LOANTAPE_WORK.LT004_PROTECTION' AS TABELA_SIMUL,'dt_mtrty_insrnc'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dt_mtrty_insrnc AS CAMPO_IT FROM CD_LOAN_TAPES_BCE.LT004_PROTECTION WHERE ref_date='${ref_date}' AND nome_perimetro='Individual Local' AND segmento='ESTR' AND ambito='PM' AND entidade='00100')X INNER JOIN (SELECT prtctn_id AS CHAVE_SIMUL, dt_mtrty_insrnc AS CAMPO_SIMUL FROM BU_LOANTAPE_WORK.LT004_PROTECTION WHERE ref_date='${ref_date}' AND nome_perimetro='Individual Local' AND segmento='ESTR' AND ambito='PM' AND entidade='00100')Y ON X.CHAVE_IT=Y.CHAVE_SIMUL</v>
      </c>
      <c r="N622" s="33" t="str">
        <f t="shared" si="21"/>
        <v>UNION ALL SELECT 'PROTECTION' AS TABELA, 'COERÊNCIA' AS TIPOLOGIA_TESTE,'CD_LOAN_TAPES_BCE.LT004_PROTECTION' AS TABELA_LT,'BU_LOANTAPE_WORK.LT004_PROTECTION' AS TABELA_SIMUL,'dt_mtrty_insrnc'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dt_mtrty_insrnc AS CAMPO_IT FROM CD_LOAN_TAPES_BCE.LT004_PROTECTION WHERE ref_date='${ref_date}' AND nome_perimetro='Individual Local' AND segmento='ESTR' AND ambito='PM' AND entidade='00100')X INNER JOIN (SELECT prtctn_id AS CHAVE_SIMUL, dt_mtrty_insrnc AS CAMPO_SIMUL FROM BU_LOANTAPE_WORK.LT004_PROTECTION WHERE ref_date='${ref_date}' AND nome_perimetro='Individual Local' AND segmento='ESTR' AND ambito='PM' AND entidade='00100')Y ON X.CHAVE_IT=Y.CHAVE_SIMUL</v>
      </c>
      <c r="O622" s="35" t="s">
        <v>35</v>
      </c>
    </row>
    <row r="623" spans="1:15">
      <c r="A623" s="57" t="str">
        <f t="shared" si="20"/>
        <v>Protectiondt_rgstrtn</v>
      </c>
      <c r="B623" s="32" t="s">
        <v>59</v>
      </c>
      <c r="C623" s="32" t="s">
        <v>653</v>
      </c>
      <c r="D623" s="32" t="s">
        <v>5</v>
      </c>
      <c r="E623" s="32" t="str">
        <f>+UPPER('0. Instruções'!$D$35&amp;"."&amp;VLOOKUP(B623,'0. Instruções'!$C$27:$D$32,2,FALSE))</f>
        <v>CD_LOAN_TAPES_BCE.LT004_PROTECTION</v>
      </c>
      <c r="F623" s="32" t="str">
        <f>+UPPER('0. Instruções'!$D$36&amp;"."&amp;VLOOKUP(B623,'0. Instruções'!$C$27:$E$32,3,FALSE))</f>
        <v>BU_LOANTAPE_WORK.LT004_PROTECTION</v>
      </c>
      <c r="H623" s="32"/>
      <c r="I623" s="32"/>
      <c r="J623" s="32" t="str">
        <f>IF(VLOOKUP(B623,'0. Instruções'!$C$27:$G$32,5,FALSE)=0,
"(SELECT "&amp;VLOOKUP(B623,'0. Instruções'!$C$27:$G$32,4,FALSE)&amp;" AS CHAVE_IT, "&amp;C623&amp;" AS CAMPO_IT FROM "&amp;E623&amp;" WHERE "&amp;'0. Instruções'!$D$43&amp;")X",
"(SELECT "&amp;VLOOKUP(B623,'0. Instruções'!$C$27:$G$32,4,FALSE)&amp;" AS CHAVE_IT1, "&amp;VLOOKUP(B623,'0. Instruções'!$C$27:$G$32,5,FALSE)&amp;" AS CHAVE_IT2, "&amp;C623&amp;" AS CAMPO_IT FROM "&amp;E623&amp;" WHERE "&amp;'0. Instruções'!$D$43&amp;")X")</f>
        <v>(SELECT prtctn_id AS CHAVE_IT, dt_rgstrtn AS CAMPO_IT FROM CD_LOAN_TAPES_BCE.LT004_PROTECTION WHERE ref_date='${ref_date}' AND nome_perimetro='Individual Local' AND segmento='ESTR' AND ambito='PM' AND entidade='00100')X</v>
      </c>
      <c r="K623" s="32" t="str">
        <f>IF(VLOOKUP(B623,'0. Instruções'!$C$27:$G$32,5,FALSE)=0,
"(SELECT "&amp;VLOOKUP(B623,'0. Instruções'!$C$27:$G$32,4,FALSE)&amp;" AS CHAVE_SIMUL, "&amp;C623&amp;" AS CAMPO_SIMUL FROM "&amp;F623&amp;" WHERE "&amp;'0. Instruções'!$D$42&amp;")Y",
"(SELECT "&amp;VLOOKUP(B623,'0. Instruções'!$C$27:$G$32,4,FALSE)&amp;" AS CHAVE_SIMUL1, "&amp;VLOOKUP(B623,'0. Instruções'!$C$27:$G$32,5,FALSE)&amp;" AS CHAVE_SIMUL2, "&amp;C623&amp;" AS CAMPO_SIMUL FROM "&amp;F623&amp;" WHERE "&amp;'0. Instruções'!$D$42&amp;")Y")</f>
        <v>(SELECT prtctn_id AS CHAVE_SIMUL, dt_rgstrtn AS CAMPO_SIMUL FROM BU_LOANTAPE_WORK.LT004_PROTECTION WHERE ref_date='${ref_date}' AND nome_perimetro='Individual Local' AND segmento='ESTR' AND ambito='PM' AND entidade='00100')Y</v>
      </c>
      <c r="L623" s="32" t="str">
        <f>IF(VLOOKUP(B623,'0. Instruções'!$C$27:$G$32,5,FALSE)=0,
"ON X.CHAVE_IT=Y.CHAVE_SIMUL",
"ON X.CHAVE_IT1=Y.CHAVE_SIMUL1 AND X.CHAVE_IT2=Y.CHAVE_SIMUL2")</f>
        <v>ON X.CHAVE_IT=Y.CHAVE_SIMUL</v>
      </c>
      <c r="M623" s="32" t="str">
        <f>+IF(D623="Coerência",+IF(LEFT(H623,5)="FLOAT","SELECT '"&amp;UPPER(B623)&amp;"' AS TABELA, '"&amp;UPPER(D623)&amp;"' AS TIPOLOGIA_TESTE,'"&amp;E623&amp;"' AS TABELA_LT,'"&amp;F623&amp;"' AS TABELA_SIMUL,'"&amp;C623&amp;"'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"&amp;J623&amp;" INNER JOIN "&amp;K623&amp;" "&amp;L623,"SELECT '"&amp;UPPER(B623)&amp;"' AS TABELA, '"&amp;UPPER(D623)&amp;"' AS TIPOLOGIA_TESTE,'"&amp;E623&amp;"' AS TABELA_LT,'"&amp;F623&amp;"' AS TABELA_SIMUL,'"&amp;C623&amp;"'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"&amp;J623&amp;" INNER JOIN "&amp;K623&amp;" "&amp;L623))</f>
        <v>SELECT 'PROTECTION' AS TABELA, 'COERÊNCIA' AS TIPOLOGIA_TESTE,'CD_LOAN_TAPES_BCE.LT004_PROTECTION' AS TABELA_LT,'BU_LOANTAPE_WORK.LT004_PROTECTION' AS TABELA_SIMUL,'dt_rgstrtn'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dt_rgstrtn AS CAMPO_IT FROM CD_LOAN_TAPES_BCE.LT004_PROTECTION WHERE ref_date='${ref_date}' AND nome_perimetro='Individual Local' AND segmento='ESTR' AND ambito='PM' AND entidade='00100')X INNER JOIN (SELECT prtctn_id AS CHAVE_SIMUL, dt_rgstrtn AS CAMPO_SIMUL FROM BU_LOANTAPE_WORK.LT004_PROTECTION WHERE ref_date='${ref_date}' AND nome_perimetro='Individual Local' AND segmento='ESTR' AND ambito='PM' AND entidade='00100')Y ON X.CHAVE_IT=Y.CHAVE_SIMUL</v>
      </c>
      <c r="N623" s="33" t="str">
        <f t="shared" si="21"/>
        <v>UNION ALL SELECT 'PROTECTION' AS TABELA, 'COERÊNCIA' AS TIPOLOGIA_TESTE,'CD_LOAN_TAPES_BCE.LT004_PROTECTION' AS TABELA_LT,'BU_LOANTAPE_WORK.LT004_PROTECTION' AS TABELA_SIMUL,'dt_rgstrtn'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dt_rgstrtn AS CAMPO_IT FROM CD_LOAN_TAPES_BCE.LT004_PROTECTION WHERE ref_date='${ref_date}' AND nome_perimetro='Individual Local' AND segmento='ESTR' AND ambito='PM' AND entidade='00100')X INNER JOIN (SELECT prtctn_id AS CHAVE_SIMUL, dt_rgstrtn AS CAMPO_SIMUL FROM BU_LOANTAPE_WORK.LT004_PROTECTION WHERE ref_date='${ref_date}' AND nome_perimetro='Individual Local' AND segmento='ESTR' AND ambito='PM' AND entidade='00100')Y ON X.CHAVE_IT=Y.CHAVE_SIMUL</v>
      </c>
      <c r="O623" s="35" t="s">
        <v>35</v>
      </c>
    </row>
    <row r="624" spans="1:15">
      <c r="A624" s="57" t="str">
        <f t="shared" si="20"/>
        <v>Protectionepc_emssns_lbl</v>
      </c>
      <c r="B624" s="32" t="s">
        <v>59</v>
      </c>
      <c r="C624" s="32" t="s">
        <v>654</v>
      </c>
      <c r="D624" s="32" t="s">
        <v>5</v>
      </c>
      <c r="E624" s="32" t="str">
        <f>+UPPER('0. Instruções'!$D$35&amp;"."&amp;VLOOKUP(B624,'0. Instruções'!$C$27:$D$32,2,FALSE))</f>
        <v>CD_LOAN_TAPES_BCE.LT004_PROTECTION</v>
      </c>
      <c r="F624" s="32" t="str">
        <f>+UPPER('0. Instruções'!$D$36&amp;"."&amp;VLOOKUP(B624,'0. Instruções'!$C$27:$E$32,3,FALSE))</f>
        <v>BU_LOANTAPE_WORK.LT004_PROTECTION</v>
      </c>
      <c r="H624" s="32"/>
      <c r="I624" s="32"/>
      <c r="J624" s="32" t="str">
        <f>IF(VLOOKUP(B624,'0. Instruções'!$C$27:$G$32,5,FALSE)=0,
"(SELECT "&amp;VLOOKUP(B624,'0. Instruções'!$C$27:$G$32,4,FALSE)&amp;" AS CHAVE_IT, "&amp;C624&amp;" AS CAMPO_IT FROM "&amp;E624&amp;" WHERE "&amp;'0. Instruções'!$D$43&amp;")X",
"(SELECT "&amp;VLOOKUP(B624,'0. Instruções'!$C$27:$G$32,4,FALSE)&amp;" AS CHAVE_IT1, "&amp;VLOOKUP(B624,'0. Instruções'!$C$27:$G$32,5,FALSE)&amp;" AS CHAVE_IT2, "&amp;C624&amp;" AS CAMPO_IT FROM "&amp;E624&amp;" WHERE "&amp;'0. Instruções'!$D$43&amp;")X")</f>
        <v>(SELECT prtctn_id AS CHAVE_IT, epc_emssns_lbl AS CAMPO_IT FROM CD_LOAN_TAPES_BCE.LT004_PROTECTION WHERE ref_date='${ref_date}' AND nome_perimetro='Individual Local' AND segmento='ESTR' AND ambito='PM' AND entidade='00100')X</v>
      </c>
      <c r="K624" s="32" t="str">
        <f>IF(VLOOKUP(B624,'0. Instruções'!$C$27:$G$32,5,FALSE)=0,
"(SELECT "&amp;VLOOKUP(B624,'0. Instruções'!$C$27:$G$32,4,FALSE)&amp;" AS CHAVE_SIMUL, "&amp;C624&amp;" AS CAMPO_SIMUL FROM "&amp;F624&amp;" WHERE "&amp;'0. Instruções'!$D$42&amp;")Y",
"(SELECT "&amp;VLOOKUP(B624,'0. Instruções'!$C$27:$G$32,4,FALSE)&amp;" AS CHAVE_SIMUL1, "&amp;VLOOKUP(B624,'0. Instruções'!$C$27:$G$32,5,FALSE)&amp;" AS CHAVE_SIMUL2, "&amp;C624&amp;" AS CAMPO_SIMUL FROM "&amp;F624&amp;" WHERE "&amp;'0. Instruções'!$D$42&amp;")Y")</f>
        <v>(SELECT prtctn_id AS CHAVE_SIMUL, epc_emssns_lbl AS CAMPO_SIMUL FROM BU_LOANTAPE_WORK.LT004_PROTECTION WHERE ref_date='${ref_date}' AND nome_perimetro='Individual Local' AND segmento='ESTR' AND ambito='PM' AND entidade='00100')Y</v>
      </c>
      <c r="L624" s="32" t="str">
        <f>IF(VLOOKUP(B624,'0. Instruções'!$C$27:$G$32,5,FALSE)=0,
"ON X.CHAVE_IT=Y.CHAVE_SIMUL",
"ON X.CHAVE_IT1=Y.CHAVE_SIMUL1 AND X.CHAVE_IT2=Y.CHAVE_SIMUL2")</f>
        <v>ON X.CHAVE_IT=Y.CHAVE_SIMUL</v>
      </c>
      <c r="M624" s="32" t="str">
        <f>+IF(D624="Coerência",+IF(LEFT(H624,5)="FLOAT","SELECT '"&amp;UPPER(B624)&amp;"' AS TABELA, '"&amp;UPPER(D624)&amp;"' AS TIPOLOGIA_TESTE,'"&amp;E624&amp;"' AS TABELA_LT,'"&amp;F624&amp;"' AS TABELA_SIMUL,'"&amp;C624&amp;"'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"&amp;J624&amp;" INNER JOIN "&amp;K624&amp;" "&amp;L624,"SELECT '"&amp;UPPER(B624)&amp;"' AS TABELA, '"&amp;UPPER(D624)&amp;"' AS TIPOLOGIA_TESTE,'"&amp;E624&amp;"' AS TABELA_LT,'"&amp;F624&amp;"' AS TABELA_SIMUL,'"&amp;C624&amp;"'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"&amp;J624&amp;" INNER JOIN "&amp;K624&amp;" "&amp;L624))</f>
        <v>SELECT 'PROTECTION' AS TABELA, 'COERÊNCIA' AS TIPOLOGIA_TESTE,'CD_LOAN_TAPES_BCE.LT004_PROTECTION' AS TABELA_LT,'BU_LOANTAPE_WORK.LT004_PROTECTION' AS TABELA_SIMUL,'epc_emssns_lbl'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epc_emssns_lbl AS CAMPO_IT FROM CD_LOAN_TAPES_BCE.LT004_PROTECTION WHERE ref_date='${ref_date}' AND nome_perimetro='Individual Local' AND segmento='ESTR' AND ambito='PM' AND entidade='00100')X INNER JOIN (SELECT prtctn_id AS CHAVE_SIMUL, epc_emssns_lbl AS CAMPO_SIMUL FROM BU_LOANTAPE_WORK.LT004_PROTECTION WHERE ref_date='${ref_date}' AND nome_perimetro='Individual Local' AND segmento='ESTR' AND ambito='PM' AND entidade='00100')Y ON X.CHAVE_IT=Y.CHAVE_SIMUL</v>
      </c>
      <c r="N624" s="33" t="str">
        <f t="shared" si="21"/>
        <v>UNION ALL SELECT 'PROTECTION' AS TABELA, 'COERÊNCIA' AS TIPOLOGIA_TESTE,'CD_LOAN_TAPES_BCE.LT004_PROTECTION' AS TABELA_LT,'BU_LOANTAPE_WORK.LT004_PROTECTION' AS TABELA_SIMUL,'epc_emssns_lbl'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epc_emssns_lbl AS CAMPO_IT FROM CD_LOAN_TAPES_BCE.LT004_PROTECTION WHERE ref_date='${ref_date}' AND nome_perimetro='Individual Local' AND segmento='ESTR' AND ambito='PM' AND entidade='00100')X INNER JOIN (SELECT prtctn_id AS CHAVE_SIMUL, epc_emssns_lbl AS CAMPO_SIMUL FROM BU_LOANTAPE_WORK.LT004_PROTECTION WHERE ref_date='${ref_date}' AND nome_perimetro='Individual Local' AND segmento='ESTR' AND ambito='PM' AND entidade='00100')Y ON X.CHAVE_IT=Y.CHAVE_SIMUL</v>
      </c>
      <c r="O624" s="35" t="s">
        <v>35</v>
      </c>
    </row>
    <row r="625" spans="1:15">
      <c r="A625" s="57" t="str">
        <f t="shared" si="20"/>
        <v>Protectionepc_emssns_scr</v>
      </c>
      <c r="B625" s="32" t="s">
        <v>59</v>
      </c>
      <c r="C625" s="32" t="s">
        <v>655</v>
      </c>
      <c r="D625" s="32" t="s">
        <v>5</v>
      </c>
      <c r="E625" s="32" t="str">
        <f>+UPPER('0. Instruções'!$D$35&amp;"."&amp;VLOOKUP(B625,'0. Instruções'!$C$27:$D$32,2,FALSE))</f>
        <v>CD_LOAN_TAPES_BCE.LT004_PROTECTION</v>
      </c>
      <c r="F625" s="32" t="str">
        <f>+UPPER('0. Instruções'!$D$36&amp;"."&amp;VLOOKUP(B625,'0. Instruções'!$C$27:$E$32,3,FALSE))</f>
        <v>BU_LOANTAPE_WORK.LT004_PROTECTION</v>
      </c>
      <c r="H625" s="32"/>
      <c r="I625" s="32"/>
      <c r="J625" s="32" t="str">
        <f>IF(VLOOKUP(B625,'0. Instruções'!$C$27:$G$32,5,FALSE)=0,
"(SELECT "&amp;VLOOKUP(B625,'0. Instruções'!$C$27:$G$32,4,FALSE)&amp;" AS CHAVE_IT, "&amp;C625&amp;" AS CAMPO_IT FROM "&amp;E625&amp;" WHERE "&amp;'0. Instruções'!$D$43&amp;")X",
"(SELECT "&amp;VLOOKUP(B625,'0. Instruções'!$C$27:$G$32,4,FALSE)&amp;" AS CHAVE_IT1, "&amp;VLOOKUP(B625,'0. Instruções'!$C$27:$G$32,5,FALSE)&amp;" AS CHAVE_IT2, "&amp;C625&amp;" AS CAMPO_IT FROM "&amp;E625&amp;" WHERE "&amp;'0. Instruções'!$D$43&amp;")X")</f>
        <v>(SELECT prtctn_id AS CHAVE_IT, epc_emssns_scr AS CAMPO_IT FROM CD_LOAN_TAPES_BCE.LT004_PROTECTION WHERE ref_date='${ref_date}' AND nome_perimetro='Individual Local' AND segmento='ESTR' AND ambito='PM' AND entidade='00100')X</v>
      </c>
      <c r="K625" s="32" t="str">
        <f>IF(VLOOKUP(B625,'0. Instruções'!$C$27:$G$32,5,FALSE)=0,
"(SELECT "&amp;VLOOKUP(B625,'0. Instruções'!$C$27:$G$32,4,FALSE)&amp;" AS CHAVE_SIMUL, "&amp;C625&amp;" AS CAMPO_SIMUL FROM "&amp;F625&amp;" WHERE "&amp;'0. Instruções'!$D$42&amp;")Y",
"(SELECT "&amp;VLOOKUP(B625,'0. Instruções'!$C$27:$G$32,4,FALSE)&amp;" AS CHAVE_SIMUL1, "&amp;VLOOKUP(B625,'0. Instruções'!$C$27:$G$32,5,FALSE)&amp;" AS CHAVE_SIMUL2, "&amp;C625&amp;" AS CAMPO_SIMUL FROM "&amp;F625&amp;" WHERE "&amp;'0. Instruções'!$D$42&amp;")Y")</f>
        <v>(SELECT prtctn_id AS CHAVE_SIMUL, epc_emssns_scr AS CAMPO_SIMUL FROM BU_LOANTAPE_WORK.LT004_PROTECTION WHERE ref_date='${ref_date}' AND nome_perimetro='Individual Local' AND segmento='ESTR' AND ambito='PM' AND entidade='00100')Y</v>
      </c>
      <c r="L625" s="32" t="str">
        <f>IF(VLOOKUP(B625,'0. Instruções'!$C$27:$G$32,5,FALSE)=0,
"ON X.CHAVE_IT=Y.CHAVE_SIMUL",
"ON X.CHAVE_IT1=Y.CHAVE_SIMUL1 AND X.CHAVE_IT2=Y.CHAVE_SIMUL2")</f>
        <v>ON X.CHAVE_IT=Y.CHAVE_SIMUL</v>
      </c>
      <c r="M625" s="32" t="str">
        <f>+IF(D625="Coerência",+IF(LEFT(H625,5)="FLOAT","SELECT '"&amp;UPPER(B625)&amp;"' AS TABELA, '"&amp;UPPER(D625)&amp;"' AS TIPOLOGIA_TESTE,'"&amp;E625&amp;"' AS TABELA_LT,'"&amp;F625&amp;"' AS TABELA_SIMUL,'"&amp;C625&amp;"'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"&amp;J625&amp;" INNER JOIN "&amp;K625&amp;" "&amp;L625,"SELECT '"&amp;UPPER(B625)&amp;"' AS TABELA, '"&amp;UPPER(D625)&amp;"' AS TIPOLOGIA_TESTE,'"&amp;E625&amp;"' AS TABELA_LT,'"&amp;F625&amp;"' AS TABELA_SIMUL,'"&amp;C625&amp;"'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"&amp;J625&amp;" INNER JOIN "&amp;K625&amp;" "&amp;L625))</f>
        <v>SELECT 'PROTECTION' AS TABELA, 'COERÊNCIA' AS TIPOLOGIA_TESTE,'CD_LOAN_TAPES_BCE.LT004_PROTECTION' AS TABELA_LT,'BU_LOANTAPE_WORK.LT004_PROTECTION' AS TABELA_SIMUL,'epc_emssns_scr'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epc_emssns_scr AS CAMPO_IT FROM CD_LOAN_TAPES_BCE.LT004_PROTECTION WHERE ref_date='${ref_date}' AND nome_perimetro='Individual Local' AND segmento='ESTR' AND ambito='PM' AND entidade='00100')X INNER JOIN (SELECT prtctn_id AS CHAVE_SIMUL, epc_emssns_scr AS CAMPO_SIMUL FROM BU_LOANTAPE_WORK.LT004_PROTECTION WHERE ref_date='${ref_date}' AND nome_perimetro='Individual Local' AND segmento='ESTR' AND ambito='PM' AND entidade='00100')Y ON X.CHAVE_IT=Y.CHAVE_SIMUL</v>
      </c>
      <c r="N625" s="33" t="str">
        <f t="shared" si="21"/>
        <v>UNION ALL SELECT 'PROTECTION' AS TABELA, 'COERÊNCIA' AS TIPOLOGIA_TESTE,'CD_LOAN_TAPES_BCE.LT004_PROTECTION' AS TABELA_LT,'BU_LOANTAPE_WORK.LT004_PROTECTION' AS TABELA_SIMUL,'epc_emssns_scr'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epc_emssns_scr AS CAMPO_IT FROM CD_LOAN_TAPES_BCE.LT004_PROTECTION WHERE ref_date='${ref_date}' AND nome_perimetro='Individual Local' AND segmento='ESTR' AND ambito='PM' AND entidade='00100')X INNER JOIN (SELECT prtctn_id AS CHAVE_SIMUL, epc_emssns_scr AS CAMPO_SIMUL FROM BU_LOANTAPE_WORK.LT004_PROTECTION WHERE ref_date='${ref_date}' AND nome_perimetro='Individual Local' AND segmento='ESTR' AND ambito='PM' AND entidade='00100')Y ON X.CHAVE_IT=Y.CHAVE_SIMUL</v>
      </c>
      <c r="O625" s="35" t="s">
        <v>35</v>
      </c>
    </row>
    <row r="626" spans="1:15">
      <c r="A626" s="57" t="str">
        <f t="shared" si="20"/>
        <v>Protectionflg_frst_hm</v>
      </c>
      <c r="B626" s="32" t="s">
        <v>59</v>
      </c>
      <c r="C626" s="32" t="s">
        <v>656</v>
      </c>
      <c r="D626" s="32" t="s">
        <v>5</v>
      </c>
      <c r="E626" s="32" t="str">
        <f>+UPPER('0. Instruções'!$D$35&amp;"."&amp;VLOOKUP(B626,'0. Instruções'!$C$27:$D$32,2,FALSE))</f>
        <v>CD_LOAN_TAPES_BCE.LT004_PROTECTION</v>
      </c>
      <c r="F626" s="32" t="str">
        <f>+UPPER('0. Instruções'!$D$36&amp;"."&amp;VLOOKUP(B626,'0. Instruções'!$C$27:$E$32,3,FALSE))</f>
        <v>BU_LOANTAPE_WORK.LT004_PROTECTION</v>
      </c>
      <c r="H626" s="32"/>
      <c r="I626" s="32"/>
      <c r="J626" s="32" t="str">
        <f>IF(VLOOKUP(B626,'0. Instruções'!$C$27:$G$32,5,FALSE)=0,
"(SELECT "&amp;VLOOKUP(B626,'0. Instruções'!$C$27:$G$32,4,FALSE)&amp;" AS CHAVE_IT, "&amp;C626&amp;" AS CAMPO_IT FROM "&amp;E626&amp;" WHERE "&amp;'0. Instruções'!$D$43&amp;")X",
"(SELECT "&amp;VLOOKUP(B626,'0. Instruções'!$C$27:$G$32,4,FALSE)&amp;" AS CHAVE_IT1, "&amp;VLOOKUP(B626,'0. Instruções'!$C$27:$G$32,5,FALSE)&amp;" AS CHAVE_IT2, "&amp;C626&amp;" AS CAMPO_IT FROM "&amp;E626&amp;" WHERE "&amp;'0. Instruções'!$D$43&amp;")X")</f>
        <v>(SELECT prtctn_id AS CHAVE_IT, flg_frst_hm AS CAMPO_IT FROM CD_LOAN_TAPES_BCE.LT004_PROTECTION WHERE ref_date='${ref_date}' AND nome_perimetro='Individual Local' AND segmento='ESTR' AND ambito='PM' AND entidade='00100')X</v>
      </c>
      <c r="K626" s="32" t="str">
        <f>IF(VLOOKUP(B626,'0. Instruções'!$C$27:$G$32,5,FALSE)=0,
"(SELECT "&amp;VLOOKUP(B626,'0. Instruções'!$C$27:$G$32,4,FALSE)&amp;" AS CHAVE_SIMUL, "&amp;C626&amp;" AS CAMPO_SIMUL FROM "&amp;F626&amp;" WHERE "&amp;'0. Instruções'!$D$42&amp;")Y",
"(SELECT "&amp;VLOOKUP(B626,'0. Instruções'!$C$27:$G$32,4,FALSE)&amp;" AS CHAVE_SIMUL1, "&amp;VLOOKUP(B626,'0. Instruções'!$C$27:$G$32,5,FALSE)&amp;" AS CHAVE_SIMUL2, "&amp;C626&amp;" AS CAMPO_SIMUL FROM "&amp;F626&amp;" WHERE "&amp;'0. Instruções'!$D$42&amp;")Y")</f>
        <v>(SELECT prtctn_id AS CHAVE_SIMUL, flg_frst_hm AS CAMPO_SIMUL FROM BU_LOANTAPE_WORK.LT004_PROTECTION WHERE ref_date='${ref_date}' AND nome_perimetro='Individual Local' AND segmento='ESTR' AND ambito='PM' AND entidade='00100')Y</v>
      </c>
      <c r="L626" s="32" t="str">
        <f>IF(VLOOKUP(B626,'0. Instruções'!$C$27:$G$32,5,FALSE)=0,
"ON X.CHAVE_IT=Y.CHAVE_SIMUL",
"ON X.CHAVE_IT1=Y.CHAVE_SIMUL1 AND X.CHAVE_IT2=Y.CHAVE_SIMUL2")</f>
        <v>ON X.CHAVE_IT=Y.CHAVE_SIMUL</v>
      </c>
      <c r="M626" s="32" t="str">
        <f>+IF(D626="Coerência",+IF(LEFT(H626,5)="FLOAT","SELECT '"&amp;UPPER(B626)&amp;"' AS TABELA, '"&amp;UPPER(D626)&amp;"' AS TIPOLOGIA_TESTE,'"&amp;E626&amp;"' AS TABELA_LT,'"&amp;F626&amp;"' AS TABELA_SIMUL,'"&amp;C626&amp;"'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"&amp;J626&amp;" INNER JOIN "&amp;K626&amp;" "&amp;L626,"SELECT '"&amp;UPPER(B626)&amp;"' AS TABELA, '"&amp;UPPER(D626)&amp;"' AS TIPOLOGIA_TESTE,'"&amp;E626&amp;"' AS TABELA_LT,'"&amp;F626&amp;"' AS TABELA_SIMUL,'"&amp;C626&amp;"'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"&amp;J626&amp;" INNER JOIN "&amp;K626&amp;" "&amp;L626))</f>
        <v>SELECT 'PROTECTION' AS TABELA, 'COERÊNCIA' AS TIPOLOGIA_TESTE,'CD_LOAN_TAPES_BCE.LT004_PROTECTION' AS TABELA_LT,'BU_LOANTAPE_WORK.LT004_PROTECTION' AS TABELA_SIMUL,'flg_frst_hm'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flg_frst_hm AS CAMPO_IT FROM CD_LOAN_TAPES_BCE.LT004_PROTECTION WHERE ref_date='${ref_date}' AND nome_perimetro='Individual Local' AND segmento='ESTR' AND ambito='PM' AND entidade='00100')X INNER JOIN (SELECT prtctn_id AS CHAVE_SIMUL, flg_frst_hm AS CAMPO_SIMUL FROM BU_LOANTAPE_WORK.LT004_PROTECTION WHERE ref_date='${ref_date}' AND nome_perimetro='Individual Local' AND segmento='ESTR' AND ambito='PM' AND entidade='00100')Y ON X.CHAVE_IT=Y.CHAVE_SIMUL</v>
      </c>
      <c r="N626" s="33" t="str">
        <f t="shared" si="21"/>
        <v>UNION ALL SELECT 'PROTECTION' AS TABELA, 'COERÊNCIA' AS TIPOLOGIA_TESTE,'CD_LOAN_TAPES_BCE.LT004_PROTECTION' AS TABELA_LT,'BU_LOANTAPE_WORK.LT004_PROTECTION' AS TABELA_SIMUL,'flg_frst_hm'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flg_frst_hm AS CAMPO_IT FROM CD_LOAN_TAPES_BCE.LT004_PROTECTION WHERE ref_date='${ref_date}' AND nome_perimetro='Individual Local' AND segmento='ESTR' AND ambito='PM' AND entidade='00100')X INNER JOIN (SELECT prtctn_id AS CHAVE_SIMUL, flg_frst_hm AS CAMPO_SIMUL FROM BU_LOANTAPE_WORK.LT004_PROTECTION WHERE ref_date='${ref_date}' AND nome_perimetro='Individual Local' AND segmento='ESTR' AND ambito='PM' AND entidade='00100')Y ON X.CHAVE_IT=Y.CHAVE_SIMUL</v>
      </c>
      <c r="O626" s="35" t="s">
        <v>35</v>
      </c>
    </row>
    <row r="627" spans="1:15">
      <c r="A627" s="57" t="str">
        <f t="shared" si="20"/>
        <v>Protectioninsrnc_id</v>
      </c>
      <c r="B627" s="32" t="s">
        <v>59</v>
      </c>
      <c r="C627" s="32" t="s">
        <v>657</v>
      </c>
      <c r="D627" s="32" t="s">
        <v>5</v>
      </c>
      <c r="E627" s="32" t="str">
        <f>+UPPER('0. Instruções'!$D$35&amp;"."&amp;VLOOKUP(B627,'0. Instruções'!$C$27:$D$32,2,FALSE))</f>
        <v>CD_LOAN_TAPES_BCE.LT004_PROTECTION</v>
      </c>
      <c r="F627" s="32" t="str">
        <f>+UPPER('0. Instruções'!$D$36&amp;"."&amp;VLOOKUP(B627,'0. Instruções'!$C$27:$E$32,3,FALSE))</f>
        <v>BU_LOANTAPE_WORK.LT004_PROTECTION</v>
      </c>
      <c r="H627" s="32"/>
      <c r="I627" s="32"/>
      <c r="J627" s="32" t="str">
        <f>IF(VLOOKUP(B627,'0. Instruções'!$C$27:$G$32,5,FALSE)=0,
"(SELECT "&amp;VLOOKUP(B627,'0. Instruções'!$C$27:$G$32,4,FALSE)&amp;" AS CHAVE_IT, "&amp;C627&amp;" AS CAMPO_IT FROM "&amp;E627&amp;" WHERE "&amp;'0. Instruções'!$D$43&amp;")X",
"(SELECT "&amp;VLOOKUP(B627,'0. Instruções'!$C$27:$G$32,4,FALSE)&amp;" AS CHAVE_IT1, "&amp;VLOOKUP(B627,'0. Instruções'!$C$27:$G$32,5,FALSE)&amp;" AS CHAVE_IT2, "&amp;C627&amp;" AS CAMPO_IT FROM "&amp;E627&amp;" WHERE "&amp;'0. Instruções'!$D$43&amp;")X")</f>
        <v>(SELECT prtctn_id AS CHAVE_IT, insrnc_id AS CAMPO_IT FROM CD_LOAN_TAPES_BCE.LT004_PROTECTION WHERE ref_date='${ref_date}' AND nome_perimetro='Individual Local' AND segmento='ESTR' AND ambito='PM' AND entidade='00100')X</v>
      </c>
      <c r="K627" s="32" t="str">
        <f>IF(VLOOKUP(B627,'0. Instruções'!$C$27:$G$32,5,FALSE)=0,
"(SELECT "&amp;VLOOKUP(B627,'0. Instruções'!$C$27:$G$32,4,FALSE)&amp;" AS CHAVE_SIMUL, "&amp;C627&amp;" AS CAMPO_SIMUL FROM "&amp;F627&amp;" WHERE "&amp;'0. Instruções'!$D$42&amp;")Y",
"(SELECT "&amp;VLOOKUP(B627,'0. Instruções'!$C$27:$G$32,4,FALSE)&amp;" AS CHAVE_SIMUL1, "&amp;VLOOKUP(B627,'0. Instruções'!$C$27:$G$32,5,FALSE)&amp;" AS CHAVE_SIMUL2, "&amp;C627&amp;" AS CAMPO_SIMUL FROM "&amp;F627&amp;" WHERE "&amp;'0. Instruções'!$D$42&amp;")Y")</f>
        <v>(SELECT prtctn_id AS CHAVE_SIMUL, insrnc_id AS CAMPO_SIMUL FROM BU_LOANTAPE_WORK.LT004_PROTECTION WHERE ref_date='${ref_date}' AND nome_perimetro='Individual Local' AND segmento='ESTR' AND ambito='PM' AND entidade='00100')Y</v>
      </c>
      <c r="L627" s="32" t="str">
        <f>IF(VLOOKUP(B627,'0. Instruções'!$C$27:$G$32,5,FALSE)=0,
"ON X.CHAVE_IT=Y.CHAVE_SIMUL",
"ON X.CHAVE_IT1=Y.CHAVE_SIMUL1 AND X.CHAVE_IT2=Y.CHAVE_SIMUL2")</f>
        <v>ON X.CHAVE_IT=Y.CHAVE_SIMUL</v>
      </c>
      <c r="M627" s="32" t="str">
        <f>+IF(D627="Coerência",+IF(LEFT(H627,5)="FLOAT","SELECT '"&amp;UPPER(B627)&amp;"' AS TABELA, '"&amp;UPPER(D627)&amp;"' AS TIPOLOGIA_TESTE,'"&amp;E627&amp;"' AS TABELA_LT,'"&amp;F627&amp;"' AS TABELA_SIMUL,'"&amp;C627&amp;"'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"&amp;J627&amp;" INNER JOIN "&amp;K627&amp;" "&amp;L627,"SELECT '"&amp;UPPER(B627)&amp;"' AS TABELA, '"&amp;UPPER(D627)&amp;"' AS TIPOLOGIA_TESTE,'"&amp;E627&amp;"' AS TABELA_LT,'"&amp;F627&amp;"' AS TABELA_SIMUL,'"&amp;C627&amp;"'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"&amp;J627&amp;" INNER JOIN "&amp;K627&amp;" "&amp;L627))</f>
        <v>SELECT 'PROTECTION' AS TABELA, 'COERÊNCIA' AS TIPOLOGIA_TESTE,'CD_LOAN_TAPES_BCE.LT004_PROTECTION' AS TABELA_LT,'BU_LOANTAPE_WORK.LT004_PROTECTION' AS TABELA_SIMUL,'insrnc_id'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insrnc_id AS CAMPO_IT FROM CD_LOAN_TAPES_BCE.LT004_PROTECTION WHERE ref_date='${ref_date}' AND nome_perimetro='Individual Local' AND segmento='ESTR' AND ambito='PM' AND entidade='00100')X INNER JOIN (SELECT prtctn_id AS CHAVE_SIMUL, insrnc_id AS CAMPO_SIMUL FROM BU_LOANTAPE_WORK.LT004_PROTECTION WHERE ref_date='${ref_date}' AND nome_perimetro='Individual Local' AND segmento='ESTR' AND ambito='PM' AND entidade='00100')Y ON X.CHAVE_IT=Y.CHAVE_SIMUL</v>
      </c>
      <c r="N627" s="33" t="str">
        <f t="shared" si="21"/>
        <v>UNION ALL SELECT 'PROTECTION' AS TABELA, 'COERÊNCIA' AS TIPOLOGIA_TESTE,'CD_LOAN_TAPES_BCE.LT004_PROTECTION' AS TABELA_LT,'BU_LOANTAPE_WORK.LT004_PROTECTION' AS TABELA_SIMUL,'insrnc_id'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insrnc_id AS CAMPO_IT FROM CD_LOAN_TAPES_BCE.LT004_PROTECTION WHERE ref_date='${ref_date}' AND nome_perimetro='Individual Local' AND segmento='ESTR' AND ambito='PM' AND entidade='00100')X INNER JOIN (SELECT prtctn_id AS CHAVE_SIMUL, insrnc_id AS CAMPO_SIMUL FROM BU_LOANTAPE_WORK.LT004_PROTECTION WHERE ref_date='${ref_date}' AND nome_perimetro='Individual Local' AND segmento='ESTR' AND ambito='PM' AND entidade='00100')Y ON X.CHAVE_IT=Y.CHAVE_SIMUL</v>
      </c>
      <c r="O627" s="35" t="s">
        <v>35</v>
      </c>
    </row>
    <row r="628" spans="1:15">
      <c r="A628" s="57" t="str">
        <f t="shared" si="20"/>
        <v>Protectionprmry_enrgy_dmnd_nn_rnwbl</v>
      </c>
      <c r="B628" s="32" t="s">
        <v>59</v>
      </c>
      <c r="C628" s="32" t="s">
        <v>658</v>
      </c>
      <c r="D628" s="32" t="s">
        <v>5</v>
      </c>
      <c r="E628" s="32" t="str">
        <f>+UPPER('0. Instruções'!$D$35&amp;"."&amp;VLOOKUP(B628,'0. Instruções'!$C$27:$D$32,2,FALSE))</f>
        <v>CD_LOAN_TAPES_BCE.LT004_PROTECTION</v>
      </c>
      <c r="F628" s="32" t="str">
        <f>+UPPER('0. Instruções'!$D$36&amp;"."&amp;VLOOKUP(B628,'0. Instruções'!$C$27:$E$32,3,FALSE))</f>
        <v>BU_LOANTAPE_WORK.LT004_PROTECTION</v>
      </c>
      <c r="H628" s="32"/>
      <c r="I628" s="32"/>
      <c r="J628" s="32" t="str">
        <f>IF(VLOOKUP(B628,'0. Instruções'!$C$27:$G$32,5,FALSE)=0,
"(SELECT "&amp;VLOOKUP(B628,'0. Instruções'!$C$27:$G$32,4,FALSE)&amp;" AS CHAVE_IT, "&amp;C628&amp;" AS CAMPO_IT FROM "&amp;E628&amp;" WHERE "&amp;'0. Instruções'!$D$43&amp;")X",
"(SELECT "&amp;VLOOKUP(B628,'0. Instruções'!$C$27:$G$32,4,FALSE)&amp;" AS CHAVE_IT1, "&amp;VLOOKUP(B628,'0. Instruções'!$C$27:$G$32,5,FALSE)&amp;" AS CHAVE_IT2, "&amp;C628&amp;" AS CAMPO_IT FROM "&amp;E628&amp;" WHERE "&amp;'0. Instruções'!$D$43&amp;")X")</f>
        <v>(SELECT prtctn_id AS CHAVE_IT, prmry_enrgy_dmnd_nn_rnwbl AS CAMPO_IT FROM CD_LOAN_TAPES_BCE.LT004_PROTECTION WHERE ref_date='${ref_date}' AND nome_perimetro='Individual Local' AND segmento='ESTR' AND ambito='PM' AND entidade='00100')X</v>
      </c>
      <c r="K628" s="32" t="str">
        <f>IF(VLOOKUP(B628,'0. Instruções'!$C$27:$G$32,5,FALSE)=0,
"(SELECT "&amp;VLOOKUP(B628,'0. Instruções'!$C$27:$G$32,4,FALSE)&amp;" AS CHAVE_SIMUL, "&amp;C628&amp;" AS CAMPO_SIMUL FROM "&amp;F628&amp;" WHERE "&amp;'0. Instruções'!$D$42&amp;")Y",
"(SELECT "&amp;VLOOKUP(B628,'0. Instruções'!$C$27:$G$32,4,FALSE)&amp;" AS CHAVE_SIMUL1, "&amp;VLOOKUP(B628,'0. Instruções'!$C$27:$G$32,5,FALSE)&amp;" AS CHAVE_SIMUL2, "&amp;C628&amp;" AS CAMPO_SIMUL FROM "&amp;F628&amp;" WHERE "&amp;'0. Instruções'!$D$42&amp;")Y")</f>
        <v>(SELECT prtctn_id AS CHAVE_SIMUL, prmry_enrgy_dmnd_nn_rnwbl AS CAMPO_SIMUL FROM BU_LOANTAPE_WORK.LT004_PROTECTION WHERE ref_date='${ref_date}' AND nome_perimetro='Individual Local' AND segmento='ESTR' AND ambito='PM' AND entidade='00100')Y</v>
      </c>
      <c r="L628" s="32" t="str">
        <f>IF(VLOOKUP(B628,'0. Instruções'!$C$27:$G$32,5,FALSE)=0,
"ON X.CHAVE_IT=Y.CHAVE_SIMUL",
"ON X.CHAVE_IT1=Y.CHAVE_SIMUL1 AND X.CHAVE_IT2=Y.CHAVE_SIMUL2")</f>
        <v>ON X.CHAVE_IT=Y.CHAVE_SIMUL</v>
      </c>
      <c r="M628" s="32" t="str">
        <f>+IF(D628="Coerência",+IF(LEFT(H628,5)="FLOAT","SELECT '"&amp;UPPER(B628)&amp;"' AS TABELA, '"&amp;UPPER(D628)&amp;"' AS TIPOLOGIA_TESTE,'"&amp;E628&amp;"' AS TABELA_LT,'"&amp;F628&amp;"' AS TABELA_SIMUL,'"&amp;C628&amp;"'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"&amp;J628&amp;" INNER JOIN "&amp;K628&amp;" "&amp;L628,"SELECT '"&amp;UPPER(B628)&amp;"' AS TABELA, '"&amp;UPPER(D628)&amp;"' AS TIPOLOGIA_TESTE,'"&amp;E628&amp;"' AS TABELA_LT,'"&amp;F628&amp;"' AS TABELA_SIMUL,'"&amp;C628&amp;"'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"&amp;J628&amp;" INNER JOIN "&amp;K628&amp;" "&amp;L628))</f>
        <v>SELECT 'PROTECTION' AS TABELA, 'COERÊNCIA' AS TIPOLOGIA_TESTE,'CD_LOAN_TAPES_BCE.LT004_PROTECTION' AS TABELA_LT,'BU_LOANTAPE_WORK.LT004_PROTECTION' AS TABELA_SIMUL,'prmry_enrgy_dmnd_nn_rnwbl'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prmry_enrgy_dmnd_nn_rnwbl AS CAMPO_IT FROM CD_LOAN_TAPES_BCE.LT004_PROTECTION WHERE ref_date='${ref_date}' AND nome_perimetro='Individual Local' AND segmento='ESTR' AND ambito='PM' AND entidade='00100')X INNER JOIN (SELECT prtctn_id AS CHAVE_SIMUL, prmry_enrgy_dmnd_nn_rnwbl AS CAMPO_SIMUL FROM BU_LOANTAPE_WORK.LT004_PROTECTION WHERE ref_date='${ref_date}' AND nome_perimetro='Individual Local' AND segmento='ESTR' AND ambito='PM' AND entidade='00100')Y ON X.CHAVE_IT=Y.CHAVE_SIMUL</v>
      </c>
      <c r="N628" s="33" t="str">
        <f t="shared" si="21"/>
        <v>UNION ALL SELECT 'PROTECTION' AS TABELA, 'COERÊNCIA' AS TIPOLOGIA_TESTE,'CD_LOAN_TAPES_BCE.LT004_PROTECTION' AS TABELA_LT,'BU_LOANTAPE_WORK.LT004_PROTECTION' AS TABELA_SIMUL,'prmry_enrgy_dmnd_nn_rnwbl'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prmry_enrgy_dmnd_nn_rnwbl AS CAMPO_IT FROM CD_LOAN_TAPES_BCE.LT004_PROTECTION WHERE ref_date='${ref_date}' AND nome_perimetro='Individual Local' AND segmento='ESTR' AND ambito='PM' AND entidade='00100')X INNER JOIN (SELECT prtctn_id AS CHAVE_SIMUL, prmry_enrgy_dmnd_nn_rnwbl AS CAMPO_SIMUL FROM BU_LOANTAPE_WORK.LT004_PROTECTION WHERE ref_date='${ref_date}' AND nome_perimetro='Individual Local' AND segmento='ESTR' AND ambito='PM' AND entidade='00100')Y ON X.CHAVE_IT=Y.CHAVE_SIMUL</v>
      </c>
      <c r="O628" s="35" t="s">
        <v>35</v>
      </c>
    </row>
    <row r="629" spans="1:15">
      <c r="A629" s="57" t="str">
        <f t="shared" si="20"/>
        <v>Protectionprmry_enrgy_dmnd_rfrnc_vl</v>
      </c>
      <c r="B629" s="32" t="s">
        <v>59</v>
      </c>
      <c r="C629" s="32" t="s">
        <v>659</v>
      </c>
      <c r="D629" s="32" t="s">
        <v>5</v>
      </c>
      <c r="E629" s="32" t="str">
        <f>+UPPER('0. Instruções'!$D$35&amp;"."&amp;VLOOKUP(B629,'0. Instruções'!$C$27:$D$32,2,FALSE))</f>
        <v>CD_LOAN_TAPES_BCE.LT004_PROTECTION</v>
      </c>
      <c r="F629" s="32" t="str">
        <f>+UPPER('0. Instruções'!$D$36&amp;"."&amp;VLOOKUP(B629,'0. Instruções'!$C$27:$E$32,3,FALSE))</f>
        <v>BU_LOANTAPE_WORK.LT004_PROTECTION</v>
      </c>
      <c r="H629" s="32"/>
      <c r="I629" s="32"/>
      <c r="J629" s="32" t="str">
        <f>IF(VLOOKUP(B629,'0. Instruções'!$C$27:$G$32,5,FALSE)=0,
"(SELECT "&amp;VLOOKUP(B629,'0. Instruções'!$C$27:$G$32,4,FALSE)&amp;" AS CHAVE_IT, "&amp;C629&amp;" AS CAMPO_IT FROM "&amp;E629&amp;" WHERE "&amp;'0. Instruções'!$D$43&amp;")X",
"(SELECT "&amp;VLOOKUP(B629,'0. Instruções'!$C$27:$G$32,4,FALSE)&amp;" AS CHAVE_IT1, "&amp;VLOOKUP(B629,'0. Instruções'!$C$27:$G$32,5,FALSE)&amp;" AS CHAVE_IT2, "&amp;C629&amp;" AS CAMPO_IT FROM "&amp;E629&amp;" WHERE "&amp;'0. Instruções'!$D$43&amp;")X")</f>
        <v>(SELECT prtctn_id AS CHAVE_IT, prmry_enrgy_dmnd_rfrnc_vl AS CAMPO_IT FROM CD_LOAN_TAPES_BCE.LT004_PROTECTION WHERE ref_date='${ref_date}' AND nome_perimetro='Individual Local' AND segmento='ESTR' AND ambito='PM' AND entidade='00100')X</v>
      </c>
      <c r="K629" s="32" t="str">
        <f>IF(VLOOKUP(B629,'0. Instruções'!$C$27:$G$32,5,FALSE)=0,
"(SELECT "&amp;VLOOKUP(B629,'0. Instruções'!$C$27:$G$32,4,FALSE)&amp;" AS CHAVE_SIMUL, "&amp;C629&amp;" AS CAMPO_SIMUL FROM "&amp;F629&amp;" WHERE "&amp;'0. Instruções'!$D$42&amp;")Y",
"(SELECT "&amp;VLOOKUP(B629,'0. Instruções'!$C$27:$G$32,4,FALSE)&amp;" AS CHAVE_SIMUL1, "&amp;VLOOKUP(B629,'0. Instruções'!$C$27:$G$32,5,FALSE)&amp;" AS CHAVE_SIMUL2, "&amp;C629&amp;" AS CAMPO_SIMUL FROM "&amp;F629&amp;" WHERE "&amp;'0. Instruções'!$D$42&amp;")Y")</f>
        <v>(SELECT prtctn_id AS CHAVE_SIMUL, prmry_enrgy_dmnd_rfrnc_vl AS CAMPO_SIMUL FROM BU_LOANTAPE_WORK.LT004_PROTECTION WHERE ref_date='${ref_date}' AND nome_perimetro='Individual Local' AND segmento='ESTR' AND ambito='PM' AND entidade='00100')Y</v>
      </c>
      <c r="L629" s="32" t="str">
        <f>IF(VLOOKUP(B629,'0. Instruções'!$C$27:$G$32,5,FALSE)=0,
"ON X.CHAVE_IT=Y.CHAVE_SIMUL",
"ON X.CHAVE_IT1=Y.CHAVE_SIMUL1 AND X.CHAVE_IT2=Y.CHAVE_SIMUL2")</f>
        <v>ON X.CHAVE_IT=Y.CHAVE_SIMUL</v>
      </c>
      <c r="M629" s="32" t="str">
        <f>+IF(D629="Coerência",+IF(LEFT(H629,5)="FLOAT","SELECT '"&amp;UPPER(B629)&amp;"' AS TABELA, '"&amp;UPPER(D629)&amp;"' AS TIPOLOGIA_TESTE,'"&amp;E629&amp;"' AS TABELA_LT,'"&amp;F629&amp;"' AS TABELA_SIMUL,'"&amp;C629&amp;"'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"&amp;J629&amp;" INNER JOIN "&amp;K629&amp;" "&amp;L629,"SELECT '"&amp;UPPER(B629)&amp;"' AS TABELA, '"&amp;UPPER(D629)&amp;"' AS TIPOLOGIA_TESTE,'"&amp;E629&amp;"' AS TABELA_LT,'"&amp;F629&amp;"' AS TABELA_SIMUL,'"&amp;C629&amp;"'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"&amp;J629&amp;" INNER JOIN "&amp;K629&amp;" "&amp;L629))</f>
        <v>SELECT 'PROTECTION' AS TABELA, 'COERÊNCIA' AS TIPOLOGIA_TESTE,'CD_LOAN_TAPES_BCE.LT004_PROTECTION' AS TABELA_LT,'BU_LOANTAPE_WORK.LT004_PROTECTION' AS TABELA_SIMUL,'prmry_enrgy_dmnd_rfrnc_vl'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prmry_enrgy_dmnd_rfrnc_vl AS CAMPO_IT FROM CD_LOAN_TAPES_BCE.LT004_PROTECTION WHERE ref_date='${ref_date}' AND nome_perimetro='Individual Local' AND segmento='ESTR' AND ambito='PM' AND entidade='00100')X INNER JOIN (SELECT prtctn_id AS CHAVE_SIMUL, prmry_enrgy_dmnd_rfrnc_vl AS CAMPO_SIMUL FROM BU_LOANTAPE_WORK.LT004_PROTECTION WHERE ref_date='${ref_date}' AND nome_perimetro='Individual Local' AND segmento='ESTR' AND ambito='PM' AND entidade='00100')Y ON X.CHAVE_IT=Y.CHAVE_SIMUL</v>
      </c>
      <c r="N629" s="33" t="str">
        <f t="shared" si="21"/>
        <v>UNION ALL SELECT 'PROTECTION' AS TABELA, 'COERÊNCIA' AS TIPOLOGIA_TESTE,'CD_LOAN_TAPES_BCE.LT004_PROTECTION' AS TABELA_LT,'BU_LOANTAPE_WORK.LT004_PROTECTION' AS TABELA_SIMUL,'prmry_enrgy_dmnd_rfrnc_vl'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prmry_enrgy_dmnd_rfrnc_vl AS CAMPO_IT FROM CD_LOAN_TAPES_BCE.LT004_PROTECTION WHERE ref_date='${ref_date}' AND nome_perimetro='Individual Local' AND segmento='ESTR' AND ambito='PM' AND entidade='00100')X INNER JOIN (SELECT prtctn_id AS CHAVE_SIMUL, prmry_enrgy_dmnd_rfrnc_vl AS CAMPO_SIMUL FROM BU_LOANTAPE_WORK.LT004_PROTECTION WHERE ref_date='${ref_date}' AND nome_perimetro='Individual Local' AND segmento='ESTR' AND ambito='PM' AND entidade='00100')Y ON X.CHAVE_IT=Y.CHAVE_SIMUL</v>
      </c>
      <c r="O629" s="35" t="s">
        <v>35</v>
      </c>
    </row>
    <row r="630" spans="1:15">
      <c r="A630" s="57" t="str">
        <f t="shared" si="20"/>
        <v>Protectionprmry_enrgy_dmnd_ttl</v>
      </c>
      <c r="B630" s="32" t="s">
        <v>59</v>
      </c>
      <c r="C630" s="32" t="s">
        <v>660</v>
      </c>
      <c r="D630" s="32" t="s">
        <v>5</v>
      </c>
      <c r="E630" s="32" t="str">
        <f>+UPPER('0. Instruções'!$D$35&amp;"."&amp;VLOOKUP(B630,'0. Instruções'!$C$27:$D$32,2,FALSE))</f>
        <v>CD_LOAN_TAPES_BCE.LT004_PROTECTION</v>
      </c>
      <c r="F630" s="32" t="str">
        <f>+UPPER('0. Instruções'!$D$36&amp;"."&amp;VLOOKUP(B630,'0. Instruções'!$C$27:$E$32,3,FALSE))</f>
        <v>BU_LOANTAPE_WORK.LT004_PROTECTION</v>
      </c>
      <c r="H630" s="32"/>
      <c r="I630" s="32"/>
      <c r="J630" s="32" t="str">
        <f>IF(VLOOKUP(B630,'0. Instruções'!$C$27:$G$32,5,FALSE)=0,
"(SELECT "&amp;VLOOKUP(B630,'0. Instruções'!$C$27:$G$32,4,FALSE)&amp;" AS CHAVE_IT, "&amp;C630&amp;" AS CAMPO_IT FROM "&amp;E630&amp;" WHERE "&amp;'0. Instruções'!$D$43&amp;")X",
"(SELECT "&amp;VLOOKUP(B630,'0. Instruções'!$C$27:$G$32,4,FALSE)&amp;" AS CHAVE_IT1, "&amp;VLOOKUP(B630,'0. Instruções'!$C$27:$G$32,5,FALSE)&amp;" AS CHAVE_IT2, "&amp;C630&amp;" AS CAMPO_IT FROM "&amp;E630&amp;" WHERE "&amp;'0. Instruções'!$D$43&amp;")X")</f>
        <v>(SELECT prtctn_id AS CHAVE_IT, prmry_enrgy_dmnd_ttl AS CAMPO_IT FROM CD_LOAN_TAPES_BCE.LT004_PROTECTION WHERE ref_date='${ref_date}' AND nome_perimetro='Individual Local' AND segmento='ESTR' AND ambito='PM' AND entidade='00100')X</v>
      </c>
      <c r="K630" s="32" t="str">
        <f>IF(VLOOKUP(B630,'0. Instruções'!$C$27:$G$32,5,FALSE)=0,
"(SELECT "&amp;VLOOKUP(B630,'0. Instruções'!$C$27:$G$32,4,FALSE)&amp;" AS CHAVE_SIMUL, "&amp;C630&amp;" AS CAMPO_SIMUL FROM "&amp;F630&amp;" WHERE "&amp;'0. Instruções'!$D$42&amp;")Y",
"(SELECT "&amp;VLOOKUP(B630,'0. Instruções'!$C$27:$G$32,4,FALSE)&amp;" AS CHAVE_SIMUL1, "&amp;VLOOKUP(B630,'0. Instruções'!$C$27:$G$32,5,FALSE)&amp;" AS CHAVE_SIMUL2, "&amp;C630&amp;" AS CAMPO_SIMUL FROM "&amp;F630&amp;" WHERE "&amp;'0. Instruções'!$D$42&amp;")Y")</f>
        <v>(SELECT prtctn_id AS CHAVE_SIMUL, prmry_enrgy_dmnd_ttl AS CAMPO_SIMUL FROM BU_LOANTAPE_WORK.LT004_PROTECTION WHERE ref_date='${ref_date}' AND nome_perimetro='Individual Local' AND segmento='ESTR' AND ambito='PM' AND entidade='00100')Y</v>
      </c>
      <c r="L630" s="32" t="str">
        <f>IF(VLOOKUP(B630,'0. Instruções'!$C$27:$G$32,5,FALSE)=0,
"ON X.CHAVE_IT=Y.CHAVE_SIMUL",
"ON X.CHAVE_IT1=Y.CHAVE_SIMUL1 AND X.CHAVE_IT2=Y.CHAVE_SIMUL2")</f>
        <v>ON X.CHAVE_IT=Y.CHAVE_SIMUL</v>
      </c>
      <c r="M630" s="32" t="str">
        <f>+IF(D630="Coerência",+IF(LEFT(H630,5)="FLOAT","SELECT '"&amp;UPPER(B630)&amp;"' AS TABELA, '"&amp;UPPER(D630)&amp;"' AS TIPOLOGIA_TESTE,'"&amp;E630&amp;"' AS TABELA_LT,'"&amp;F630&amp;"' AS TABELA_SIMUL,'"&amp;C630&amp;"'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"&amp;J630&amp;" INNER JOIN "&amp;K630&amp;" "&amp;L630,"SELECT '"&amp;UPPER(B630)&amp;"' AS TABELA, '"&amp;UPPER(D630)&amp;"' AS TIPOLOGIA_TESTE,'"&amp;E630&amp;"' AS TABELA_LT,'"&amp;F630&amp;"' AS TABELA_SIMUL,'"&amp;C630&amp;"'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"&amp;J630&amp;" INNER JOIN "&amp;K630&amp;" "&amp;L630))</f>
        <v>SELECT 'PROTECTION' AS TABELA, 'COERÊNCIA' AS TIPOLOGIA_TESTE,'CD_LOAN_TAPES_BCE.LT004_PROTECTION' AS TABELA_LT,'BU_LOANTAPE_WORK.LT004_PROTECTION' AS TABELA_SIMUL,'prmry_enrgy_dmnd_ttl'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prmry_enrgy_dmnd_ttl AS CAMPO_IT FROM CD_LOAN_TAPES_BCE.LT004_PROTECTION WHERE ref_date='${ref_date}' AND nome_perimetro='Individual Local' AND segmento='ESTR' AND ambito='PM' AND entidade='00100')X INNER JOIN (SELECT prtctn_id AS CHAVE_SIMUL, prmry_enrgy_dmnd_ttl AS CAMPO_SIMUL FROM BU_LOANTAPE_WORK.LT004_PROTECTION WHERE ref_date='${ref_date}' AND nome_perimetro='Individual Local' AND segmento='ESTR' AND ambito='PM' AND entidade='00100')Y ON X.CHAVE_IT=Y.CHAVE_SIMUL</v>
      </c>
      <c r="N630" s="33" t="str">
        <f t="shared" si="21"/>
        <v>UNION ALL SELECT 'PROTECTION' AS TABELA, 'COERÊNCIA' AS TIPOLOGIA_TESTE,'CD_LOAN_TAPES_BCE.LT004_PROTECTION' AS TABELA_LT,'BU_LOANTAPE_WORK.LT004_PROTECTION' AS TABELA_SIMUL,'prmry_enrgy_dmnd_ttl'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prmry_enrgy_dmnd_ttl AS CAMPO_IT FROM CD_LOAN_TAPES_BCE.LT004_PROTECTION WHERE ref_date='${ref_date}' AND nome_perimetro='Individual Local' AND segmento='ESTR' AND ambito='PM' AND entidade='00100')X INNER JOIN (SELECT prtctn_id AS CHAVE_SIMUL, prmry_enrgy_dmnd_ttl AS CAMPO_SIMUL FROM BU_LOANTAPE_WORK.LT004_PROTECTION WHERE ref_date='${ref_date}' AND nome_perimetro='Individual Local' AND segmento='ESTR' AND ambito='PM' AND entidade='00100')Y ON X.CHAVE_IT=Y.CHAVE_SIMUL</v>
      </c>
      <c r="O630" s="35" t="s">
        <v>35</v>
      </c>
    </row>
    <row r="631" spans="1:15">
      <c r="A631" s="57" t="str">
        <f t="shared" si="20"/>
        <v>Protectionrl_estt_clmt_zn</v>
      </c>
      <c r="B631" s="32" t="s">
        <v>59</v>
      </c>
      <c r="C631" s="32" t="s">
        <v>661</v>
      </c>
      <c r="D631" s="32" t="s">
        <v>5</v>
      </c>
      <c r="E631" s="32" t="str">
        <f>+UPPER('0. Instruções'!$D$35&amp;"."&amp;VLOOKUP(B631,'0. Instruções'!$C$27:$D$32,2,FALSE))</f>
        <v>CD_LOAN_TAPES_BCE.LT004_PROTECTION</v>
      </c>
      <c r="F631" s="32" t="str">
        <f>+UPPER('0. Instruções'!$D$36&amp;"."&amp;VLOOKUP(B631,'0. Instruções'!$C$27:$E$32,3,FALSE))</f>
        <v>BU_LOANTAPE_WORK.LT004_PROTECTION</v>
      </c>
      <c r="H631" s="32"/>
      <c r="I631" s="32"/>
      <c r="J631" s="32" t="str">
        <f>IF(VLOOKUP(B631,'0. Instruções'!$C$27:$G$32,5,FALSE)=0,
"(SELECT "&amp;VLOOKUP(B631,'0. Instruções'!$C$27:$G$32,4,FALSE)&amp;" AS CHAVE_IT, "&amp;C631&amp;" AS CAMPO_IT FROM "&amp;E631&amp;" WHERE "&amp;'0. Instruções'!$D$43&amp;")X",
"(SELECT "&amp;VLOOKUP(B631,'0. Instruções'!$C$27:$G$32,4,FALSE)&amp;" AS CHAVE_IT1, "&amp;VLOOKUP(B631,'0. Instruções'!$C$27:$G$32,5,FALSE)&amp;" AS CHAVE_IT2, "&amp;C631&amp;" AS CAMPO_IT FROM "&amp;E631&amp;" WHERE "&amp;'0. Instruções'!$D$43&amp;")X")</f>
        <v>(SELECT prtctn_id AS CHAVE_IT, rl_estt_clmt_zn AS CAMPO_IT FROM CD_LOAN_TAPES_BCE.LT004_PROTECTION WHERE ref_date='${ref_date}' AND nome_perimetro='Individual Local' AND segmento='ESTR' AND ambito='PM' AND entidade='00100')X</v>
      </c>
      <c r="K631" s="32" t="str">
        <f>IF(VLOOKUP(B631,'0. Instruções'!$C$27:$G$32,5,FALSE)=0,
"(SELECT "&amp;VLOOKUP(B631,'0. Instruções'!$C$27:$G$32,4,FALSE)&amp;" AS CHAVE_SIMUL, "&amp;C631&amp;" AS CAMPO_SIMUL FROM "&amp;F631&amp;" WHERE "&amp;'0. Instruções'!$D$42&amp;")Y",
"(SELECT "&amp;VLOOKUP(B631,'0. Instruções'!$C$27:$G$32,4,FALSE)&amp;" AS CHAVE_SIMUL1, "&amp;VLOOKUP(B631,'0. Instruções'!$C$27:$G$32,5,FALSE)&amp;" AS CHAVE_SIMUL2, "&amp;C631&amp;" AS CAMPO_SIMUL FROM "&amp;F631&amp;" WHERE "&amp;'0. Instruções'!$D$42&amp;")Y")</f>
        <v>(SELECT prtctn_id AS CHAVE_SIMUL, rl_estt_clmt_zn AS CAMPO_SIMUL FROM BU_LOANTAPE_WORK.LT004_PROTECTION WHERE ref_date='${ref_date}' AND nome_perimetro='Individual Local' AND segmento='ESTR' AND ambito='PM' AND entidade='00100')Y</v>
      </c>
      <c r="L631" s="32" t="str">
        <f>IF(VLOOKUP(B631,'0. Instruções'!$C$27:$G$32,5,FALSE)=0,
"ON X.CHAVE_IT=Y.CHAVE_SIMUL",
"ON X.CHAVE_IT1=Y.CHAVE_SIMUL1 AND X.CHAVE_IT2=Y.CHAVE_SIMUL2")</f>
        <v>ON X.CHAVE_IT=Y.CHAVE_SIMUL</v>
      </c>
      <c r="M631" s="32" t="str">
        <f>+IF(D631="Coerência",+IF(LEFT(H631,5)="FLOAT","SELECT '"&amp;UPPER(B631)&amp;"' AS TABELA, '"&amp;UPPER(D631)&amp;"' AS TIPOLOGIA_TESTE,'"&amp;E631&amp;"' AS TABELA_LT,'"&amp;F631&amp;"' AS TABELA_SIMUL,'"&amp;C631&amp;"'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"&amp;J631&amp;" INNER JOIN "&amp;K631&amp;" "&amp;L631,"SELECT '"&amp;UPPER(B631)&amp;"' AS TABELA, '"&amp;UPPER(D631)&amp;"' AS TIPOLOGIA_TESTE,'"&amp;E631&amp;"' AS TABELA_LT,'"&amp;F631&amp;"' AS TABELA_SIMUL,'"&amp;C631&amp;"'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"&amp;J631&amp;" INNER JOIN "&amp;K631&amp;" "&amp;L631))</f>
        <v>SELECT 'PROTECTION' AS TABELA, 'COERÊNCIA' AS TIPOLOGIA_TESTE,'CD_LOAN_TAPES_BCE.LT004_PROTECTION' AS TABELA_LT,'BU_LOANTAPE_WORK.LT004_PROTECTION' AS TABELA_SIMUL,'rl_estt_clmt_zn'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rl_estt_clmt_zn AS CAMPO_IT FROM CD_LOAN_TAPES_BCE.LT004_PROTECTION WHERE ref_date='${ref_date}' AND nome_perimetro='Individual Local' AND segmento='ESTR' AND ambito='PM' AND entidade='00100')X INNER JOIN (SELECT prtctn_id AS CHAVE_SIMUL, rl_estt_clmt_zn AS CAMPO_SIMUL FROM BU_LOANTAPE_WORK.LT004_PROTECTION WHERE ref_date='${ref_date}' AND nome_perimetro='Individual Local' AND segmento='ESTR' AND ambito='PM' AND entidade='00100')Y ON X.CHAVE_IT=Y.CHAVE_SIMUL</v>
      </c>
      <c r="N631" s="33" t="str">
        <f t="shared" si="21"/>
        <v>UNION ALL SELECT 'PROTECTION' AS TABELA, 'COERÊNCIA' AS TIPOLOGIA_TESTE,'CD_LOAN_TAPES_BCE.LT004_PROTECTION' AS TABELA_LT,'BU_LOANTAPE_WORK.LT004_PROTECTION' AS TABELA_SIMUL,'rl_estt_clmt_zn'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rl_estt_clmt_zn AS CAMPO_IT FROM CD_LOAN_TAPES_BCE.LT004_PROTECTION WHERE ref_date='${ref_date}' AND nome_perimetro='Individual Local' AND segmento='ESTR' AND ambito='PM' AND entidade='00100')X INNER JOIN (SELECT prtctn_id AS CHAVE_SIMUL, rl_estt_clmt_zn AS CAMPO_SIMUL FROM BU_LOANTAPE_WORK.LT004_PROTECTION WHERE ref_date='${ref_date}' AND nome_perimetro='Individual Local' AND segmento='ESTR' AND ambito='PM' AND entidade='00100')Y ON X.CHAVE_IT=Y.CHAVE_SIMUL</v>
      </c>
      <c r="O631" s="35" t="s">
        <v>35</v>
      </c>
    </row>
    <row r="632" spans="1:15">
      <c r="A632" s="57" t="str">
        <f t="shared" si="20"/>
        <v>Protectionrl_estt_crtfctn</v>
      </c>
      <c r="B632" s="32" t="s">
        <v>59</v>
      </c>
      <c r="C632" s="32" t="s">
        <v>662</v>
      </c>
      <c r="D632" s="32" t="s">
        <v>5</v>
      </c>
      <c r="E632" s="32" t="str">
        <f>+UPPER('0. Instruções'!$D$35&amp;"."&amp;VLOOKUP(B632,'0. Instruções'!$C$27:$D$32,2,FALSE))</f>
        <v>CD_LOAN_TAPES_BCE.LT004_PROTECTION</v>
      </c>
      <c r="F632" s="32" t="str">
        <f>+UPPER('0. Instruções'!$D$36&amp;"."&amp;VLOOKUP(B632,'0. Instruções'!$C$27:$E$32,3,FALSE))</f>
        <v>BU_LOANTAPE_WORK.LT004_PROTECTION</v>
      </c>
      <c r="H632" s="32"/>
      <c r="I632" s="32"/>
      <c r="J632" s="32" t="str">
        <f>IF(VLOOKUP(B632,'0. Instruções'!$C$27:$G$32,5,FALSE)=0,
"(SELECT "&amp;VLOOKUP(B632,'0. Instruções'!$C$27:$G$32,4,FALSE)&amp;" AS CHAVE_IT, "&amp;C632&amp;" AS CAMPO_IT FROM "&amp;E632&amp;" WHERE "&amp;'0. Instruções'!$D$43&amp;")X",
"(SELECT "&amp;VLOOKUP(B632,'0. Instruções'!$C$27:$G$32,4,FALSE)&amp;" AS CHAVE_IT1, "&amp;VLOOKUP(B632,'0. Instruções'!$C$27:$G$32,5,FALSE)&amp;" AS CHAVE_IT2, "&amp;C632&amp;" AS CAMPO_IT FROM "&amp;E632&amp;" WHERE "&amp;'0. Instruções'!$D$43&amp;")X")</f>
        <v>(SELECT prtctn_id AS CHAVE_IT, rl_estt_crtfctn AS CAMPO_IT FROM CD_LOAN_TAPES_BCE.LT004_PROTECTION WHERE ref_date='${ref_date}' AND nome_perimetro='Individual Local' AND segmento='ESTR' AND ambito='PM' AND entidade='00100')X</v>
      </c>
      <c r="K632" s="32" t="str">
        <f>IF(VLOOKUP(B632,'0. Instruções'!$C$27:$G$32,5,FALSE)=0,
"(SELECT "&amp;VLOOKUP(B632,'0. Instruções'!$C$27:$G$32,4,FALSE)&amp;" AS CHAVE_SIMUL, "&amp;C632&amp;" AS CAMPO_SIMUL FROM "&amp;F632&amp;" WHERE "&amp;'0. Instruções'!$D$42&amp;")Y",
"(SELECT "&amp;VLOOKUP(B632,'0. Instruções'!$C$27:$G$32,4,FALSE)&amp;" AS CHAVE_SIMUL1, "&amp;VLOOKUP(B632,'0. Instruções'!$C$27:$G$32,5,FALSE)&amp;" AS CHAVE_SIMUL2, "&amp;C632&amp;" AS CAMPO_SIMUL FROM "&amp;F632&amp;" WHERE "&amp;'0. Instruções'!$D$42&amp;")Y")</f>
        <v>(SELECT prtctn_id AS CHAVE_SIMUL, rl_estt_crtfctn AS CAMPO_SIMUL FROM BU_LOANTAPE_WORK.LT004_PROTECTION WHERE ref_date='${ref_date}' AND nome_perimetro='Individual Local' AND segmento='ESTR' AND ambito='PM' AND entidade='00100')Y</v>
      </c>
      <c r="L632" s="32" t="str">
        <f>IF(VLOOKUP(B632,'0. Instruções'!$C$27:$G$32,5,FALSE)=0,
"ON X.CHAVE_IT=Y.CHAVE_SIMUL",
"ON X.CHAVE_IT1=Y.CHAVE_SIMUL1 AND X.CHAVE_IT2=Y.CHAVE_SIMUL2")</f>
        <v>ON X.CHAVE_IT=Y.CHAVE_SIMUL</v>
      </c>
      <c r="M632" s="32" t="str">
        <f>+IF(D632="Coerência",+IF(LEFT(H632,5)="FLOAT","SELECT '"&amp;UPPER(B632)&amp;"' AS TABELA, '"&amp;UPPER(D632)&amp;"' AS TIPOLOGIA_TESTE,'"&amp;E632&amp;"' AS TABELA_LT,'"&amp;F632&amp;"' AS TABELA_SIMUL,'"&amp;C632&amp;"'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"&amp;J632&amp;" INNER JOIN "&amp;K632&amp;" "&amp;L632,"SELECT '"&amp;UPPER(B632)&amp;"' AS TABELA, '"&amp;UPPER(D632)&amp;"' AS TIPOLOGIA_TESTE,'"&amp;E632&amp;"' AS TABELA_LT,'"&amp;F632&amp;"' AS TABELA_SIMUL,'"&amp;C632&amp;"'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"&amp;J632&amp;" INNER JOIN "&amp;K632&amp;" "&amp;L632))</f>
        <v>SELECT 'PROTECTION' AS TABELA, 'COERÊNCIA' AS TIPOLOGIA_TESTE,'CD_LOAN_TAPES_BCE.LT004_PROTECTION' AS TABELA_LT,'BU_LOANTAPE_WORK.LT004_PROTECTION' AS TABELA_SIMUL,'rl_estt_crtfctn'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rl_estt_crtfctn AS CAMPO_IT FROM CD_LOAN_TAPES_BCE.LT004_PROTECTION WHERE ref_date='${ref_date}' AND nome_perimetro='Individual Local' AND segmento='ESTR' AND ambito='PM' AND entidade='00100')X INNER JOIN (SELECT prtctn_id AS CHAVE_SIMUL, rl_estt_crtfctn AS CAMPO_SIMUL FROM BU_LOANTAPE_WORK.LT004_PROTECTION WHERE ref_date='${ref_date}' AND nome_perimetro='Individual Local' AND segmento='ESTR' AND ambito='PM' AND entidade='00100')Y ON X.CHAVE_IT=Y.CHAVE_SIMUL</v>
      </c>
      <c r="N632" s="33" t="str">
        <f t="shared" si="21"/>
        <v>UNION ALL SELECT 'PROTECTION' AS TABELA, 'COERÊNCIA' AS TIPOLOGIA_TESTE,'CD_LOAN_TAPES_BCE.LT004_PROTECTION' AS TABELA_LT,'BU_LOANTAPE_WORK.LT004_PROTECTION' AS TABELA_SIMUL,'rl_estt_crtfctn'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rl_estt_crtfctn AS CAMPO_IT FROM CD_LOAN_TAPES_BCE.LT004_PROTECTION WHERE ref_date='${ref_date}' AND nome_perimetro='Individual Local' AND segmento='ESTR' AND ambito='PM' AND entidade='00100')X INNER JOIN (SELECT prtctn_id AS CHAVE_SIMUL, rl_estt_crtfctn AS CAMPO_SIMUL FROM BU_LOANTAPE_WORK.LT004_PROTECTION WHERE ref_date='${ref_date}' AND nome_perimetro='Individual Local' AND segmento='ESTR' AND ambito='PM' AND entidade='00100')Y ON X.CHAVE_IT=Y.CHAVE_SIMUL</v>
      </c>
      <c r="O632" s="35" t="s">
        <v>35</v>
      </c>
    </row>
    <row r="633" spans="1:15">
      <c r="A633" s="57" t="str">
        <f t="shared" si="20"/>
        <v>Protectiontyp_emssns_lbl</v>
      </c>
      <c r="B633" s="32" t="s">
        <v>59</v>
      </c>
      <c r="C633" s="32" t="s">
        <v>663</v>
      </c>
      <c r="D633" s="32" t="s">
        <v>5</v>
      </c>
      <c r="E633" s="32" t="str">
        <f>+UPPER('0. Instruções'!$D$35&amp;"."&amp;VLOOKUP(B633,'0. Instruções'!$C$27:$D$32,2,FALSE))</f>
        <v>CD_LOAN_TAPES_BCE.LT004_PROTECTION</v>
      </c>
      <c r="F633" s="32" t="str">
        <f>+UPPER('0. Instruções'!$D$36&amp;"."&amp;VLOOKUP(B633,'0. Instruções'!$C$27:$E$32,3,FALSE))</f>
        <v>BU_LOANTAPE_WORK.LT004_PROTECTION</v>
      </c>
      <c r="H633" s="32"/>
      <c r="I633" s="32"/>
      <c r="J633" s="32" t="str">
        <f>IF(VLOOKUP(B633,'0. Instruções'!$C$27:$G$32,5,FALSE)=0,
"(SELECT "&amp;VLOOKUP(B633,'0. Instruções'!$C$27:$G$32,4,FALSE)&amp;" AS CHAVE_IT, "&amp;C633&amp;" AS CAMPO_IT FROM "&amp;E633&amp;" WHERE "&amp;'0. Instruções'!$D$43&amp;")X",
"(SELECT "&amp;VLOOKUP(B633,'0. Instruções'!$C$27:$G$32,4,FALSE)&amp;" AS CHAVE_IT1, "&amp;VLOOKUP(B633,'0. Instruções'!$C$27:$G$32,5,FALSE)&amp;" AS CHAVE_IT2, "&amp;C633&amp;" AS CAMPO_IT FROM "&amp;E633&amp;" WHERE "&amp;'0. Instruções'!$D$43&amp;")X")</f>
        <v>(SELECT prtctn_id AS CHAVE_IT, typ_emssns_lbl AS CAMPO_IT FROM CD_LOAN_TAPES_BCE.LT004_PROTECTION WHERE ref_date='${ref_date}' AND nome_perimetro='Individual Local' AND segmento='ESTR' AND ambito='PM' AND entidade='00100')X</v>
      </c>
      <c r="K633" s="32" t="str">
        <f>IF(VLOOKUP(B633,'0. Instruções'!$C$27:$G$32,5,FALSE)=0,
"(SELECT "&amp;VLOOKUP(B633,'0. Instruções'!$C$27:$G$32,4,FALSE)&amp;" AS CHAVE_SIMUL, "&amp;C633&amp;" AS CAMPO_SIMUL FROM "&amp;F633&amp;" WHERE "&amp;'0. Instruções'!$D$42&amp;")Y",
"(SELECT "&amp;VLOOKUP(B633,'0. Instruções'!$C$27:$G$32,4,FALSE)&amp;" AS CHAVE_SIMUL1, "&amp;VLOOKUP(B633,'0. Instruções'!$C$27:$G$32,5,FALSE)&amp;" AS CHAVE_SIMUL2, "&amp;C633&amp;" AS CAMPO_SIMUL FROM "&amp;F633&amp;" WHERE "&amp;'0. Instruções'!$D$42&amp;")Y")</f>
        <v>(SELECT prtctn_id AS CHAVE_SIMUL, typ_emssns_lbl AS CAMPO_SIMUL FROM BU_LOANTAPE_WORK.LT004_PROTECTION WHERE ref_date='${ref_date}' AND nome_perimetro='Individual Local' AND segmento='ESTR' AND ambito='PM' AND entidade='00100')Y</v>
      </c>
      <c r="L633" s="32" t="str">
        <f>IF(VLOOKUP(B633,'0. Instruções'!$C$27:$G$32,5,FALSE)=0,
"ON X.CHAVE_IT=Y.CHAVE_SIMUL",
"ON X.CHAVE_IT1=Y.CHAVE_SIMUL1 AND X.CHAVE_IT2=Y.CHAVE_SIMUL2")</f>
        <v>ON X.CHAVE_IT=Y.CHAVE_SIMUL</v>
      </c>
      <c r="M633" s="32" t="str">
        <f>+IF(D633="Coerência",+IF(LEFT(H633,5)="FLOAT","SELECT '"&amp;UPPER(B633)&amp;"' AS TABELA, '"&amp;UPPER(D633)&amp;"' AS TIPOLOGIA_TESTE,'"&amp;E633&amp;"' AS TABELA_LT,'"&amp;F633&amp;"' AS TABELA_SIMUL,'"&amp;C633&amp;"'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"&amp;J633&amp;" INNER JOIN "&amp;K633&amp;" "&amp;L633,"SELECT '"&amp;UPPER(B633)&amp;"' AS TABELA, '"&amp;UPPER(D633)&amp;"' AS TIPOLOGIA_TESTE,'"&amp;E633&amp;"' AS TABELA_LT,'"&amp;F633&amp;"' AS TABELA_SIMUL,'"&amp;C633&amp;"'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"&amp;J633&amp;" INNER JOIN "&amp;K633&amp;" "&amp;L633))</f>
        <v>SELECT 'PROTECTION' AS TABELA, 'COERÊNCIA' AS TIPOLOGIA_TESTE,'CD_LOAN_TAPES_BCE.LT004_PROTECTION' AS TABELA_LT,'BU_LOANTAPE_WORK.LT004_PROTECTION' AS TABELA_SIMUL,'typ_emssns_lbl'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typ_emssns_lbl AS CAMPO_IT FROM CD_LOAN_TAPES_BCE.LT004_PROTECTION WHERE ref_date='${ref_date}' AND nome_perimetro='Individual Local' AND segmento='ESTR' AND ambito='PM' AND entidade='00100')X INNER JOIN (SELECT prtctn_id AS CHAVE_SIMUL, typ_emssns_lbl AS CAMPO_SIMUL FROM BU_LOANTAPE_WORK.LT004_PROTECTION WHERE ref_date='${ref_date}' AND nome_perimetro='Individual Local' AND segmento='ESTR' AND ambito='PM' AND entidade='00100')Y ON X.CHAVE_IT=Y.CHAVE_SIMUL</v>
      </c>
      <c r="N633" s="33" t="str">
        <f t="shared" si="21"/>
        <v>UNION ALL SELECT 'PROTECTION' AS TABELA, 'COERÊNCIA' AS TIPOLOGIA_TESTE,'CD_LOAN_TAPES_BCE.LT004_PROTECTION' AS TABELA_LT,'BU_LOANTAPE_WORK.LT004_PROTECTION' AS TABELA_SIMUL,'typ_emssns_lbl'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typ_emssns_lbl AS CAMPO_IT FROM CD_LOAN_TAPES_BCE.LT004_PROTECTION WHERE ref_date='${ref_date}' AND nome_perimetro='Individual Local' AND segmento='ESTR' AND ambito='PM' AND entidade='00100')X INNER JOIN (SELECT prtctn_id AS CHAVE_SIMUL, typ_emssns_lbl AS CAMPO_SIMUL FROM BU_LOANTAPE_WORK.LT004_PROTECTION WHERE ref_date='${ref_date}' AND nome_perimetro='Individual Local' AND segmento='ESTR' AND ambito='PM' AND entidade='00100')Y ON X.CHAVE_IT=Y.CHAVE_SIMUL</v>
      </c>
      <c r="O633" s="35" t="s">
        <v>35</v>
      </c>
    </row>
    <row r="634" spans="1:15">
      <c r="A634" s="57" t="str">
        <f t="shared" si="20"/>
        <v>Protectiontyp_emssns_scr</v>
      </c>
      <c r="B634" s="32" t="s">
        <v>59</v>
      </c>
      <c r="C634" s="32" t="s">
        <v>664</v>
      </c>
      <c r="D634" s="32" t="s">
        <v>5</v>
      </c>
      <c r="E634" s="32" t="str">
        <f>+UPPER('0. Instruções'!$D$35&amp;"."&amp;VLOOKUP(B634,'0. Instruções'!$C$27:$D$32,2,FALSE))</f>
        <v>CD_LOAN_TAPES_BCE.LT004_PROTECTION</v>
      </c>
      <c r="F634" s="32" t="str">
        <f>+UPPER('0. Instruções'!$D$36&amp;"."&amp;VLOOKUP(B634,'0. Instruções'!$C$27:$E$32,3,FALSE))</f>
        <v>BU_LOANTAPE_WORK.LT004_PROTECTION</v>
      </c>
      <c r="H634" s="32"/>
      <c r="I634" s="32"/>
      <c r="J634" s="32" t="str">
        <f>IF(VLOOKUP(B634,'0. Instruções'!$C$27:$G$32,5,FALSE)=0,
"(SELECT "&amp;VLOOKUP(B634,'0. Instruções'!$C$27:$G$32,4,FALSE)&amp;" AS CHAVE_IT, "&amp;C634&amp;" AS CAMPO_IT FROM "&amp;E634&amp;" WHERE "&amp;'0. Instruções'!$D$43&amp;")X",
"(SELECT "&amp;VLOOKUP(B634,'0. Instruções'!$C$27:$G$32,4,FALSE)&amp;" AS CHAVE_IT1, "&amp;VLOOKUP(B634,'0. Instruções'!$C$27:$G$32,5,FALSE)&amp;" AS CHAVE_IT2, "&amp;C634&amp;" AS CAMPO_IT FROM "&amp;E634&amp;" WHERE "&amp;'0. Instruções'!$D$43&amp;")X")</f>
        <v>(SELECT prtctn_id AS CHAVE_IT, typ_emssns_scr AS CAMPO_IT FROM CD_LOAN_TAPES_BCE.LT004_PROTECTION WHERE ref_date='${ref_date}' AND nome_perimetro='Individual Local' AND segmento='ESTR' AND ambito='PM' AND entidade='00100')X</v>
      </c>
      <c r="K634" s="32" t="str">
        <f>IF(VLOOKUP(B634,'0. Instruções'!$C$27:$G$32,5,FALSE)=0,
"(SELECT "&amp;VLOOKUP(B634,'0. Instruções'!$C$27:$G$32,4,FALSE)&amp;" AS CHAVE_SIMUL, "&amp;C634&amp;" AS CAMPO_SIMUL FROM "&amp;F634&amp;" WHERE "&amp;'0. Instruções'!$D$42&amp;")Y",
"(SELECT "&amp;VLOOKUP(B634,'0. Instruções'!$C$27:$G$32,4,FALSE)&amp;" AS CHAVE_SIMUL1, "&amp;VLOOKUP(B634,'0. Instruções'!$C$27:$G$32,5,FALSE)&amp;" AS CHAVE_SIMUL2, "&amp;C634&amp;" AS CAMPO_SIMUL FROM "&amp;F634&amp;" WHERE "&amp;'0. Instruções'!$D$42&amp;")Y")</f>
        <v>(SELECT prtctn_id AS CHAVE_SIMUL, typ_emssns_scr AS CAMPO_SIMUL FROM BU_LOANTAPE_WORK.LT004_PROTECTION WHERE ref_date='${ref_date}' AND nome_perimetro='Individual Local' AND segmento='ESTR' AND ambito='PM' AND entidade='00100')Y</v>
      </c>
      <c r="L634" s="32" t="str">
        <f>IF(VLOOKUP(B634,'0. Instruções'!$C$27:$G$32,5,FALSE)=0,
"ON X.CHAVE_IT=Y.CHAVE_SIMUL",
"ON X.CHAVE_IT1=Y.CHAVE_SIMUL1 AND X.CHAVE_IT2=Y.CHAVE_SIMUL2")</f>
        <v>ON X.CHAVE_IT=Y.CHAVE_SIMUL</v>
      </c>
      <c r="M634" s="32" t="str">
        <f>+IF(D634="Coerência",+IF(LEFT(H634,5)="FLOAT","SELECT '"&amp;UPPER(B634)&amp;"' AS TABELA, '"&amp;UPPER(D634)&amp;"' AS TIPOLOGIA_TESTE,'"&amp;E634&amp;"' AS TABELA_LT,'"&amp;F634&amp;"' AS TABELA_SIMUL,'"&amp;C634&amp;"'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"&amp;J634&amp;" INNER JOIN "&amp;K634&amp;" "&amp;L634,"SELECT '"&amp;UPPER(B634)&amp;"' AS TABELA, '"&amp;UPPER(D634)&amp;"' AS TIPOLOGIA_TESTE,'"&amp;E634&amp;"' AS TABELA_LT,'"&amp;F634&amp;"' AS TABELA_SIMUL,'"&amp;C634&amp;"'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"&amp;J634&amp;" INNER JOIN "&amp;K634&amp;" "&amp;L634))</f>
        <v>SELECT 'PROTECTION' AS TABELA, 'COERÊNCIA' AS TIPOLOGIA_TESTE,'CD_LOAN_TAPES_BCE.LT004_PROTECTION' AS TABELA_LT,'BU_LOANTAPE_WORK.LT004_PROTECTION' AS TABELA_SIMUL,'typ_emssns_scr'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typ_emssns_scr AS CAMPO_IT FROM CD_LOAN_TAPES_BCE.LT004_PROTECTION WHERE ref_date='${ref_date}' AND nome_perimetro='Individual Local' AND segmento='ESTR' AND ambito='PM' AND entidade='00100')X INNER JOIN (SELECT prtctn_id AS CHAVE_SIMUL, typ_emssns_scr AS CAMPO_SIMUL FROM BU_LOANTAPE_WORK.LT004_PROTECTION WHERE ref_date='${ref_date}' AND nome_perimetro='Individual Local' AND segmento='ESTR' AND ambito='PM' AND entidade='00100')Y ON X.CHAVE_IT=Y.CHAVE_SIMUL</v>
      </c>
      <c r="N634" s="33" t="str">
        <f t="shared" si="21"/>
        <v>UNION ALL SELECT 'PROTECTION' AS TABELA, 'COERÊNCIA' AS TIPOLOGIA_TESTE,'CD_LOAN_TAPES_BCE.LT004_PROTECTION' AS TABELA_LT,'BU_LOANTAPE_WORK.LT004_PROTECTION' AS TABELA_SIMUL,'typ_emssns_scr'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typ_emssns_scr AS CAMPO_IT FROM CD_LOAN_TAPES_BCE.LT004_PROTECTION WHERE ref_date='${ref_date}' AND nome_perimetro='Individual Local' AND segmento='ESTR' AND ambito='PM' AND entidade='00100')X INNER JOIN (SELECT prtctn_id AS CHAVE_SIMUL, typ_emssns_scr AS CAMPO_SIMUL FROM BU_LOANTAPE_WORK.LT004_PROTECTION WHERE ref_date='${ref_date}' AND nome_perimetro='Individual Local' AND segmento='ESTR' AND ambito='PM' AND entidade='00100')Y ON X.CHAVE_IT=Y.CHAVE_SIMUL</v>
      </c>
      <c r="O634" s="35" t="s">
        <v>35</v>
      </c>
    </row>
    <row r="635" spans="1:15">
      <c r="A635" s="57" t="str">
        <f t="shared" si="20"/>
        <v>Protectiontyp_hzrds_insrd</v>
      </c>
      <c r="B635" s="32" t="s">
        <v>59</v>
      </c>
      <c r="C635" s="32" t="s">
        <v>665</v>
      </c>
      <c r="D635" s="32" t="s">
        <v>5</v>
      </c>
      <c r="E635" s="32" t="str">
        <f>+UPPER('0. Instruções'!$D$35&amp;"."&amp;VLOOKUP(B635,'0. Instruções'!$C$27:$D$32,2,FALSE))</f>
        <v>CD_LOAN_TAPES_BCE.LT004_PROTECTION</v>
      </c>
      <c r="F635" s="32" t="str">
        <f>+UPPER('0. Instruções'!$D$36&amp;"."&amp;VLOOKUP(B635,'0. Instruções'!$C$27:$E$32,3,FALSE))</f>
        <v>BU_LOANTAPE_WORK.LT004_PROTECTION</v>
      </c>
      <c r="H635" s="32"/>
      <c r="I635" s="32"/>
      <c r="J635" s="32" t="str">
        <f>IF(VLOOKUP(B635,'0. Instruções'!$C$27:$G$32,5,FALSE)=0,
"(SELECT "&amp;VLOOKUP(B635,'0. Instruções'!$C$27:$G$32,4,FALSE)&amp;" AS CHAVE_IT, "&amp;C635&amp;" AS CAMPO_IT FROM "&amp;E635&amp;" WHERE "&amp;'0. Instruções'!$D$43&amp;")X",
"(SELECT "&amp;VLOOKUP(B635,'0. Instruções'!$C$27:$G$32,4,FALSE)&amp;" AS CHAVE_IT1, "&amp;VLOOKUP(B635,'0. Instruções'!$C$27:$G$32,5,FALSE)&amp;" AS CHAVE_IT2, "&amp;C635&amp;" AS CAMPO_IT FROM "&amp;E635&amp;" WHERE "&amp;'0. Instruções'!$D$43&amp;")X")</f>
        <v>(SELECT prtctn_id AS CHAVE_IT, typ_hzrds_insrd AS CAMPO_IT FROM CD_LOAN_TAPES_BCE.LT004_PROTECTION WHERE ref_date='${ref_date}' AND nome_perimetro='Individual Local' AND segmento='ESTR' AND ambito='PM' AND entidade='00100')X</v>
      </c>
      <c r="K635" s="32" t="str">
        <f>IF(VLOOKUP(B635,'0. Instruções'!$C$27:$G$32,5,FALSE)=0,
"(SELECT "&amp;VLOOKUP(B635,'0. Instruções'!$C$27:$G$32,4,FALSE)&amp;" AS CHAVE_SIMUL, "&amp;C635&amp;" AS CAMPO_SIMUL FROM "&amp;F635&amp;" WHERE "&amp;'0. Instruções'!$D$42&amp;")Y",
"(SELECT "&amp;VLOOKUP(B635,'0. Instruções'!$C$27:$G$32,4,FALSE)&amp;" AS CHAVE_SIMUL1, "&amp;VLOOKUP(B635,'0. Instruções'!$C$27:$G$32,5,FALSE)&amp;" AS CHAVE_SIMUL2, "&amp;C635&amp;" AS CAMPO_SIMUL FROM "&amp;F635&amp;" WHERE "&amp;'0. Instruções'!$D$42&amp;")Y")</f>
        <v>(SELECT prtctn_id AS CHAVE_SIMUL, typ_hzrds_insrd AS CAMPO_SIMUL FROM BU_LOANTAPE_WORK.LT004_PROTECTION WHERE ref_date='${ref_date}' AND nome_perimetro='Individual Local' AND segmento='ESTR' AND ambito='PM' AND entidade='00100')Y</v>
      </c>
      <c r="L635" s="32" t="str">
        <f>IF(VLOOKUP(B635,'0. Instruções'!$C$27:$G$32,5,FALSE)=0,
"ON X.CHAVE_IT=Y.CHAVE_SIMUL",
"ON X.CHAVE_IT1=Y.CHAVE_SIMUL1 AND X.CHAVE_IT2=Y.CHAVE_SIMUL2")</f>
        <v>ON X.CHAVE_IT=Y.CHAVE_SIMUL</v>
      </c>
      <c r="M635" s="32" t="str">
        <f>+IF(D635="Coerência",+IF(LEFT(H635,5)="FLOAT","SELECT '"&amp;UPPER(B635)&amp;"' AS TABELA, '"&amp;UPPER(D635)&amp;"' AS TIPOLOGIA_TESTE,'"&amp;E635&amp;"' AS TABELA_LT,'"&amp;F635&amp;"' AS TABELA_SIMUL,'"&amp;C635&amp;"'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"&amp;J635&amp;" INNER JOIN "&amp;K635&amp;" "&amp;L635,"SELECT '"&amp;UPPER(B635)&amp;"' AS TABELA, '"&amp;UPPER(D635)&amp;"' AS TIPOLOGIA_TESTE,'"&amp;E635&amp;"' AS TABELA_LT,'"&amp;F635&amp;"' AS TABELA_SIMUL,'"&amp;C635&amp;"'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"&amp;J635&amp;" INNER JOIN "&amp;K635&amp;" "&amp;L635))</f>
        <v>SELECT 'PROTECTION' AS TABELA, 'COERÊNCIA' AS TIPOLOGIA_TESTE,'CD_LOAN_TAPES_BCE.LT004_PROTECTION' AS TABELA_LT,'BU_LOANTAPE_WORK.LT004_PROTECTION' AS TABELA_SIMUL,'typ_hzrds_insrd'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typ_hzrds_insrd AS CAMPO_IT FROM CD_LOAN_TAPES_BCE.LT004_PROTECTION WHERE ref_date='${ref_date}' AND nome_perimetro='Individual Local' AND segmento='ESTR' AND ambito='PM' AND entidade='00100')X INNER JOIN (SELECT prtctn_id AS CHAVE_SIMUL, typ_hzrds_insrd AS CAMPO_SIMUL FROM BU_LOANTAPE_WORK.LT004_PROTECTION WHERE ref_date='${ref_date}' AND nome_perimetro='Individual Local' AND segmento='ESTR' AND ambito='PM' AND entidade='00100')Y ON X.CHAVE_IT=Y.CHAVE_SIMUL</v>
      </c>
      <c r="N635" s="33" t="str">
        <f t="shared" si="21"/>
        <v>UNION ALL SELECT 'PROTECTION' AS TABELA, 'COERÊNCIA' AS TIPOLOGIA_TESTE,'CD_LOAN_TAPES_BCE.LT004_PROTECTION' AS TABELA_LT,'BU_LOANTAPE_WORK.LT004_PROTECTION' AS TABELA_SIMUL,'typ_hzrds_insrd'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typ_hzrds_insrd AS CAMPO_IT FROM CD_LOAN_TAPES_BCE.LT004_PROTECTION WHERE ref_date='${ref_date}' AND nome_perimetro='Individual Local' AND segmento='ESTR' AND ambito='PM' AND entidade='00100')X INNER JOIN (SELECT prtctn_id AS CHAVE_SIMUL, typ_hzrds_insrd AS CAMPO_SIMUL FROM BU_LOANTAPE_WORK.LT004_PROTECTION WHERE ref_date='${ref_date}' AND nome_perimetro='Individual Local' AND segmento='ESTR' AND ambito='PM' AND entidade='00100')Y ON X.CHAVE_IT=Y.CHAVE_SIMUL</v>
      </c>
      <c r="O635" s="35" t="s">
        <v>35</v>
      </c>
    </row>
    <row r="636" spans="1:15">
      <c r="A636" s="57" t="str">
        <f t="shared" si="20"/>
        <v>Protectiontyp_vhcl</v>
      </c>
      <c r="B636" s="32" t="s">
        <v>59</v>
      </c>
      <c r="C636" s="32" t="s">
        <v>666</v>
      </c>
      <c r="D636" s="32" t="s">
        <v>5</v>
      </c>
      <c r="E636" s="32" t="str">
        <f>+UPPER('0. Instruções'!$D$35&amp;"."&amp;VLOOKUP(B636,'0. Instruções'!$C$27:$D$32,2,FALSE))</f>
        <v>CD_LOAN_TAPES_BCE.LT004_PROTECTION</v>
      </c>
      <c r="F636" s="32" t="str">
        <f>+UPPER('0. Instruções'!$D$36&amp;"."&amp;VLOOKUP(B636,'0. Instruções'!$C$27:$E$32,3,FALSE))</f>
        <v>BU_LOANTAPE_WORK.LT004_PROTECTION</v>
      </c>
      <c r="H636" s="32"/>
      <c r="I636" s="32"/>
      <c r="J636" s="32" t="str">
        <f>IF(VLOOKUP(B636,'0. Instruções'!$C$27:$G$32,5,FALSE)=0,
"(SELECT "&amp;VLOOKUP(B636,'0. Instruções'!$C$27:$G$32,4,FALSE)&amp;" AS CHAVE_IT, "&amp;C636&amp;" AS CAMPO_IT FROM "&amp;E636&amp;" WHERE "&amp;'0. Instruções'!$D$43&amp;")X",
"(SELECT "&amp;VLOOKUP(B636,'0. Instruções'!$C$27:$G$32,4,FALSE)&amp;" AS CHAVE_IT1, "&amp;VLOOKUP(B636,'0. Instruções'!$C$27:$G$32,5,FALSE)&amp;" AS CHAVE_IT2, "&amp;C636&amp;" AS CAMPO_IT FROM "&amp;E636&amp;" WHERE "&amp;'0. Instruções'!$D$43&amp;")X")</f>
        <v>(SELECT prtctn_id AS CHAVE_IT, typ_vhcl AS CAMPO_IT FROM CD_LOAN_TAPES_BCE.LT004_PROTECTION WHERE ref_date='${ref_date}' AND nome_perimetro='Individual Local' AND segmento='ESTR' AND ambito='PM' AND entidade='00100')X</v>
      </c>
      <c r="K636" s="32" t="str">
        <f>IF(VLOOKUP(B636,'0. Instruções'!$C$27:$G$32,5,FALSE)=0,
"(SELECT "&amp;VLOOKUP(B636,'0. Instruções'!$C$27:$G$32,4,FALSE)&amp;" AS CHAVE_SIMUL, "&amp;C636&amp;" AS CAMPO_SIMUL FROM "&amp;F636&amp;" WHERE "&amp;'0. Instruções'!$D$42&amp;")Y",
"(SELECT "&amp;VLOOKUP(B636,'0. Instruções'!$C$27:$G$32,4,FALSE)&amp;" AS CHAVE_SIMUL1, "&amp;VLOOKUP(B636,'0. Instruções'!$C$27:$G$32,5,FALSE)&amp;" AS CHAVE_SIMUL2, "&amp;C636&amp;" AS CAMPO_SIMUL FROM "&amp;F636&amp;" WHERE "&amp;'0. Instruções'!$D$42&amp;")Y")</f>
        <v>(SELECT prtctn_id AS CHAVE_SIMUL, typ_vhcl AS CAMPO_SIMUL FROM BU_LOANTAPE_WORK.LT004_PROTECTION WHERE ref_date='${ref_date}' AND nome_perimetro='Individual Local' AND segmento='ESTR' AND ambito='PM' AND entidade='00100')Y</v>
      </c>
      <c r="L636" s="32" t="str">
        <f>IF(VLOOKUP(B636,'0. Instruções'!$C$27:$G$32,5,FALSE)=0,
"ON X.CHAVE_IT=Y.CHAVE_SIMUL",
"ON X.CHAVE_IT1=Y.CHAVE_SIMUL1 AND X.CHAVE_IT2=Y.CHAVE_SIMUL2")</f>
        <v>ON X.CHAVE_IT=Y.CHAVE_SIMUL</v>
      </c>
      <c r="M636" s="32" t="str">
        <f>+IF(D636="Coerência",+IF(LEFT(H636,5)="FLOAT","SELECT '"&amp;UPPER(B636)&amp;"' AS TABELA, '"&amp;UPPER(D636)&amp;"' AS TIPOLOGIA_TESTE,'"&amp;E636&amp;"' AS TABELA_LT,'"&amp;F636&amp;"' AS TABELA_SIMUL,'"&amp;C636&amp;"'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"&amp;J636&amp;" INNER JOIN "&amp;K636&amp;" "&amp;L636,"SELECT '"&amp;UPPER(B636)&amp;"' AS TABELA, '"&amp;UPPER(D636)&amp;"' AS TIPOLOGIA_TESTE,'"&amp;E636&amp;"' AS TABELA_LT,'"&amp;F636&amp;"' AS TABELA_SIMUL,'"&amp;C636&amp;"'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"&amp;J636&amp;" INNER JOIN "&amp;K636&amp;" "&amp;L636))</f>
        <v>SELECT 'PROTECTION' AS TABELA, 'COERÊNCIA' AS TIPOLOGIA_TESTE,'CD_LOAN_TAPES_BCE.LT004_PROTECTION' AS TABELA_LT,'BU_LOANTAPE_WORK.LT004_PROTECTION' AS TABELA_SIMUL,'typ_vhcl'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typ_vhcl AS CAMPO_IT FROM CD_LOAN_TAPES_BCE.LT004_PROTECTION WHERE ref_date='${ref_date}' AND nome_perimetro='Individual Local' AND segmento='ESTR' AND ambito='PM' AND entidade='00100')X INNER JOIN (SELECT prtctn_id AS CHAVE_SIMUL, typ_vhcl AS CAMPO_SIMUL FROM BU_LOANTAPE_WORK.LT004_PROTECTION WHERE ref_date='${ref_date}' AND nome_perimetro='Individual Local' AND segmento='ESTR' AND ambito='PM' AND entidade='00100')Y ON X.CHAVE_IT=Y.CHAVE_SIMUL</v>
      </c>
      <c r="N636" s="33" t="str">
        <f t="shared" si="21"/>
        <v>UNION ALL SELECT 'PROTECTION' AS TABELA, 'COERÊNCIA' AS TIPOLOGIA_TESTE,'CD_LOAN_TAPES_BCE.LT004_PROTECTION' AS TABELA_LT,'BU_LOANTAPE_WORK.LT004_PROTECTION' AS TABELA_SIMUL,'typ_vhcl'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typ_vhcl AS CAMPO_IT FROM CD_LOAN_TAPES_BCE.LT004_PROTECTION WHERE ref_date='${ref_date}' AND nome_perimetro='Individual Local' AND segmento='ESTR' AND ambito='PM' AND entidade='00100')X INNER JOIN (SELECT prtctn_id AS CHAVE_SIMUL, typ_vhcl AS CAMPO_SIMUL FROM BU_LOANTAPE_WORK.LT004_PROTECTION WHERE ref_date='${ref_date}' AND nome_perimetro='Individual Local' AND segmento='ESTR' AND ambito='PM' AND entidade='00100')Y ON X.CHAVE_IT=Y.CHAVE_SIMUL</v>
      </c>
      <c r="O636" s="35" t="s">
        <v>35</v>
      </c>
    </row>
    <row r="637" spans="1:15">
      <c r="A637" s="57" t="str">
        <f t="shared" si="20"/>
        <v>Protectionvhcl_emssns_lbl</v>
      </c>
      <c r="B637" s="32" t="s">
        <v>59</v>
      </c>
      <c r="C637" s="32" t="s">
        <v>667</v>
      </c>
      <c r="D637" s="32" t="s">
        <v>5</v>
      </c>
      <c r="E637" s="32" t="str">
        <f>+UPPER('0. Instruções'!$D$35&amp;"."&amp;VLOOKUP(B637,'0. Instruções'!$C$27:$D$32,2,FALSE))</f>
        <v>CD_LOAN_TAPES_BCE.LT004_PROTECTION</v>
      </c>
      <c r="F637" s="32" t="str">
        <f>+UPPER('0. Instruções'!$D$36&amp;"."&amp;VLOOKUP(B637,'0. Instruções'!$C$27:$E$32,3,FALSE))</f>
        <v>BU_LOANTAPE_WORK.LT004_PROTECTION</v>
      </c>
      <c r="H637" s="32"/>
      <c r="I637" s="32"/>
      <c r="J637" s="32" t="str">
        <f>IF(VLOOKUP(B637,'0. Instruções'!$C$27:$G$32,5,FALSE)=0,
"(SELECT "&amp;VLOOKUP(B637,'0. Instruções'!$C$27:$G$32,4,FALSE)&amp;" AS CHAVE_IT, "&amp;C637&amp;" AS CAMPO_IT FROM "&amp;E637&amp;" WHERE "&amp;'0. Instruções'!$D$43&amp;")X",
"(SELECT "&amp;VLOOKUP(B637,'0. Instruções'!$C$27:$G$32,4,FALSE)&amp;" AS CHAVE_IT1, "&amp;VLOOKUP(B637,'0. Instruções'!$C$27:$G$32,5,FALSE)&amp;" AS CHAVE_IT2, "&amp;C637&amp;" AS CAMPO_IT FROM "&amp;E637&amp;" WHERE "&amp;'0. Instruções'!$D$43&amp;")X")</f>
        <v>(SELECT prtctn_id AS CHAVE_IT, vhcl_emssns_lbl AS CAMPO_IT FROM CD_LOAN_TAPES_BCE.LT004_PROTECTION WHERE ref_date='${ref_date}' AND nome_perimetro='Individual Local' AND segmento='ESTR' AND ambito='PM' AND entidade='00100')X</v>
      </c>
      <c r="K637" s="32" t="str">
        <f>IF(VLOOKUP(B637,'0. Instruções'!$C$27:$G$32,5,FALSE)=0,
"(SELECT "&amp;VLOOKUP(B637,'0. Instruções'!$C$27:$G$32,4,FALSE)&amp;" AS CHAVE_SIMUL, "&amp;C637&amp;" AS CAMPO_SIMUL FROM "&amp;F637&amp;" WHERE "&amp;'0. Instruções'!$D$42&amp;")Y",
"(SELECT "&amp;VLOOKUP(B637,'0. Instruções'!$C$27:$G$32,4,FALSE)&amp;" AS CHAVE_SIMUL1, "&amp;VLOOKUP(B637,'0. Instruções'!$C$27:$G$32,5,FALSE)&amp;" AS CHAVE_SIMUL2, "&amp;C637&amp;" AS CAMPO_SIMUL FROM "&amp;F637&amp;" WHERE "&amp;'0. Instruções'!$D$42&amp;")Y")</f>
        <v>(SELECT prtctn_id AS CHAVE_SIMUL, vhcl_emssns_lbl AS CAMPO_SIMUL FROM BU_LOANTAPE_WORK.LT004_PROTECTION WHERE ref_date='${ref_date}' AND nome_perimetro='Individual Local' AND segmento='ESTR' AND ambito='PM' AND entidade='00100')Y</v>
      </c>
      <c r="L637" s="32" t="str">
        <f>IF(VLOOKUP(B637,'0. Instruções'!$C$27:$G$32,5,FALSE)=0,
"ON X.CHAVE_IT=Y.CHAVE_SIMUL",
"ON X.CHAVE_IT1=Y.CHAVE_SIMUL1 AND X.CHAVE_IT2=Y.CHAVE_SIMUL2")</f>
        <v>ON X.CHAVE_IT=Y.CHAVE_SIMUL</v>
      </c>
      <c r="M637" s="32" t="str">
        <f>+IF(D637="Coerência",+IF(LEFT(H637,5)="FLOAT","SELECT '"&amp;UPPER(B637)&amp;"' AS TABELA, '"&amp;UPPER(D637)&amp;"' AS TIPOLOGIA_TESTE,'"&amp;E637&amp;"' AS TABELA_LT,'"&amp;F637&amp;"' AS TABELA_SIMUL,'"&amp;C637&amp;"'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"&amp;J637&amp;" INNER JOIN "&amp;K637&amp;" "&amp;L637,"SELECT '"&amp;UPPER(B637)&amp;"' AS TABELA, '"&amp;UPPER(D637)&amp;"' AS TIPOLOGIA_TESTE,'"&amp;E637&amp;"' AS TABELA_LT,'"&amp;F637&amp;"' AS TABELA_SIMUL,'"&amp;C637&amp;"'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"&amp;J637&amp;" INNER JOIN "&amp;K637&amp;" "&amp;L637))</f>
        <v>SELECT 'PROTECTION' AS TABELA, 'COERÊNCIA' AS TIPOLOGIA_TESTE,'CD_LOAN_TAPES_BCE.LT004_PROTECTION' AS TABELA_LT,'BU_LOANTAPE_WORK.LT004_PROTECTION' AS TABELA_SIMUL,'vhcl_emssns_lbl'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vhcl_emssns_lbl AS CAMPO_IT FROM CD_LOAN_TAPES_BCE.LT004_PROTECTION WHERE ref_date='${ref_date}' AND nome_perimetro='Individual Local' AND segmento='ESTR' AND ambito='PM' AND entidade='00100')X INNER JOIN (SELECT prtctn_id AS CHAVE_SIMUL, vhcl_emssns_lbl AS CAMPO_SIMUL FROM BU_LOANTAPE_WORK.LT004_PROTECTION WHERE ref_date='${ref_date}' AND nome_perimetro='Individual Local' AND segmento='ESTR' AND ambito='PM' AND entidade='00100')Y ON X.CHAVE_IT=Y.CHAVE_SIMUL</v>
      </c>
      <c r="N637" s="33" t="str">
        <f t="shared" si="21"/>
        <v>UNION ALL SELECT 'PROTECTION' AS TABELA, 'COERÊNCIA' AS TIPOLOGIA_TESTE,'CD_LOAN_TAPES_BCE.LT004_PROTECTION' AS TABELA_LT,'BU_LOANTAPE_WORK.LT004_PROTECTION' AS TABELA_SIMUL,'vhcl_emssns_lbl'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vhcl_emssns_lbl AS CAMPO_IT FROM CD_LOAN_TAPES_BCE.LT004_PROTECTION WHERE ref_date='${ref_date}' AND nome_perimetro='Individual Local' AND segmento='ESTR' AND ambito='PM' AND entidade='00100')X INNER JOIN (SELECT prtctn_id AS CHAVE_SIMUL, vhcl_emssns_lbl AS CAMPO_SIMUL FROM BU_LOANTAPE_WORK.LT004_PROTECTION WHERE ref_date='${ref_date}' AND nome_perimetro='Individual Local' AND segmento='ESTR' AND ambito='PM' AND entidade='00100')Y ON X.CHAVE_IT=Y.CHAVE_SIMUL</v>
      </c>
      <c r="O637" s="35" t="s">
        <v>35</v>
      </c>
    </row>
    <row r="638" spans="1:15">
      <c r="A638" s="57" t="str">
        <f t="shared" si="20"/>
        <v>Protectionvhcl_emssns_scr</v>
      </c>
      <c r="B638" s="32" t="s">
        <v>59</v>
      </c>
      <c r="C638" s="32" t="s">
        <v>668</v>
      </c>
      <c r="D638" s="32" t="s">
        <v>5</v>
      </c>
      <c r="E638" s="32" t="str">
        <f>+UPPER('0. Instruções'!$D$35&amp;"."&amp;VLOOKUP(B638,'0. Instruções'!$C$27:$D$32,2,FALSE))</f>
        <v>CD_LOAN_TAPES_BCE.LT004_PROTECTION</v>
      </c>
      <c r="F638" s="32" t="str">
        <f>+UPPER('0. Instruções'!$D$36&amp;"."&amp;VLOOKUP(B638,'0. Instruções'!$C$27:$E$32,3,FALSE))</f>
        <v>BU_LOANTAPE_WORK.LT004_PROTECTION</v>
      </c>
      <c r="H638" s="32"/>
      <c r="I638" s="32"/>
      <c r="J638" s="32" t="str">
        <f>IF(VLOOKUP(B638,'0. Instruções'!$C$27:$G$32,5,FALSE)=0,
"(SELECT "&amp;VLOOKUP(B638,'0. Instruções'!$C$27:$G$32,4,FALSE)&amp;" AS CHAVE_IT, "&amp;C638&amp;" AS CAMPO_IT FROM "&amp;E638&amp;" WHERE "&amp;'0. Instruções'!$D$43&amp;")X",
"(SELECT "&amp;VLOOKUP(B638,'0. Instruções'!$C$27:$G$32,4,FALSE)&amp;" AS CHAVE_IT1, "&amp;VLOOKUP(B638,'0. Instruções'!$C$27:$G$32,5,FALSE)&amp;" AS CHAVE_IT2, "&amp;C638&amp;" AS CAMPO_IT FROM "&amp;E638&amp;" WHERE "&amp;'0. Instruções'!$D$43&amp;")X")</f>
        <v>(SELECT prtctn_id AS CHAVE_IT, vhcl_emssns_scr AS CAMPO_IT FROM CD_LOAN_TAPES_BCE.LT004_PROTECTION WHERE ref_date='${ref_date}' AND nome_perimetro='Individual Local' AND segmento='ESTR' AND ambito='PM' AND entidade='00100')X</v>
      </c>
      <c r="K638" s="32" t="str">
        <f>IF(VLOOKUP(B638,'0. Instruções'!$C$27:$G$32,5,FALSE)=0,
"(SELECT "&amp;VLOOKUP(B638,'0. Instruções'!$C$27:$G$32,4,FALSE)&amp;" AS CHAVE_SIMUL, "&amp;C638&amp;" AS CAMPO_SIMUL FROM "&amp;F638&amp;" WHERE "&amp;'0. Instruções'!$D$42&amp;")Y",
"(SELECT "&amp;VLOOKUP(B638,'0. Instruções'!$C$27:$G$32,4,FALSE)&amp;" AS CHAVE_SIMUL1, "&amp;VLOOKUP(B638,'0. Instruções'!$C$27:$G$32,5,FALSE)&amp;" AS CHAVE_SIMUL2, "&amp;C638&amp;" AS CAMPO_SIMUL FROM "&amp;F638&amp;" WHERE "&amp;'0. Instruções'!$D$42&amp;")Y")</f>
        <v>(SELECT prtctn_id AS CHAVE_SIMUL, vhcl_emssns_scr AS CAMPO_SIMUL FROM BU_LOANTAPE_WORK.LT004_PROTECTION WHERE ref_date='${ref_date}' AND nome_perimetro='Individual Local' AND segmento='ESTR' AND ambito='PM' AND entidade='00100')Y</v>
      </c>
      <c r="L638" s="32" t="str">
        <f>IF(VLOOKUP(B638,'0. Instruções'!$C$27:$G$32,5,FALSE)=0,
"ON X.CHAVE_IT=Y.CHAVE_SIMUL",
"ON X.CHAVE_IT1=Y.CHAVE_SIMUL1 AND X.CHAVE_IT2=Y.CHAVE_SIMUL2")</f>
        <v>ON X.CHAVE_IT=Y.CHAVE_SIMUL</v>
      </c>
      <c r="M638" s="32" t="str">
        <f>+IF(D638="Coerência",+IF(LEFT(H638,5)="FLOAT","SELECT '"&amp;UPPER(B638)&amp;"' AS TABELA, '"&amp;UPPER(D638)&amp;"' AS TIPOLOGIA_TESTE,'"&amp;E638&amp;"' AS TABELA_LT,'"&amp;F638&amp;"' AS TABELA_SIMUL,'"&amp;C638&amp;"'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"&amp;J638&amp;" INNER JOIN "&amp;K638&amp;" "&amp;L638,"SELECT '"&amp;UPPER(B638)&amp;"' AS TABELA, '"&amp;UPPER(D638)&amp;"' AS TIPOLOGIA_TESTE,'"&amp;E638&amp;"' AS TABELA_LT,'"&amp;F638&amp;"' AS TABELA_SIMUL,'"&amp;C638&amp;"'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"&amp;J638&amp;" INNER JOIN "&amp;K638&amp;" "&amp;L638))</f>
        <v>SELECT 'PROTECTION' AS TABELA, 'COERÊNCIA' AS TIPOLOGIA_TESTE,'CD_LOAN_TAPES_BCE.LT004_PROTECTION' AS TABELA_LT,'BU_LOANTAPE_WORK.LT004_PROTECTION' AS TABELA_SIMUL,'vhcl_emssns_scr'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vhcl_emssns_scr AS CAMPO_IT FROM CD_LOAN_TAPES_BCE.LT004_PROTECTION WHERE ref_date='${ref_date}' AND nome_perimetro='Individual Local' AND segmento='ESTR' AND ambito='PM' AND entidade='00100')X INNER JOIN (SELECT prtctn_id AS CHAVE_SIMUL, vhcl_emssns_scr AS CAMPO_SIMUL FROM BU_LOANTAPE_WORK.LT004_PROTECTION WHERE ref_date='${ref_date}' AND nome_perimetro='Individual Local' AND segmento='ESTR' AND ambito='PM' AND entidade='00100')Y ON X.CHAVE_IT=Y.CHAVE_SIMUL</v>
      </c>
      <c r="N638" s="33" t="str">
        <f t="shared" si="21"/>
        <v>UNION ALL SELECT 'PROTECTION' AS TABELA, 'COERÊNCIA' AS TIPOLOGIA_TESTE,'CD_LOAN_TAPES_BCE.LT004_PROTECTION' AS TABELA_LT,'BU_LOANTAPE_WORK.LT004_PROTECTION' AS TABELA_SIMUL,'vhcl_emssns_scr'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vhcl_emssns_scr AS CAMPO_IT FROM CD_LOAN_TAPES_BCE.LT004_PROTECTION WHERE ref_date='${ref_date}' AND nome_perimetro='Individual Local' AND segmento='ESTR' AND ambito='PM' AND entidade='00100')X INNER JOIN (SELECT prtctn_id AS CHAVE_SIMUL, vhcl_emssns_scr AS CAMPO_SIMUL FROM BU_LOANTAPE_WORK.LT004_PROTECTION WHERE ref_date='${ref_date}' AND nome_perimetro='Individual Local' AND segmento='ESTR' AND ambito='PM' AND entidade='00100')Y ON X.CHAVE_IT=Y.CHAVE_SIMUL</v>
      </c>
      <c r="O638" s="35" t="s">
        <v>35</v>
      </c>
    </row>
    <row r="639" spans="1:15">
      <c r="A639" s="57" t="str">
        <f t="shared" si="20"/>
        <v>Protectionflg_elctrc_vhcl</v>
      </c>
      <c r="B639" s="32" t="s">
        <v>59</v>
      </c>
      <c r="C639" s="32" t="s">
        <v>669</v>
      </c>
      <c r="D639" s="32" t="s">
        <v>5</v>
      </c>
      <c r="E639" s="32" t="str">
        <f>+UPPER('0. Instruções'!$D$35&amp;"."&amp;VLOOKUP(B639,'0. Instruções'!$C$27:$D$32,2,FALSE))</f>
        <v>CD_LOAN_TAPES_BCE.LT004_PROTECTION</v>
      </c>
      <c r="F639" s="32" t="str">
        <f>+UPPER('0. Instruções'!$D$36&amp;"."&amp;VLOOKUP(B639,'0. Instruções'!$C$27:$E$32,3,FALSE))</f>
        <v>BU_LOANTAPE_WORK.LT004_PROTECTION</v>
      </c>
      <c r="H639" s="32"/>
      <c r="I639" s="32"/>
      <c r="J639" s="32" t="str">
        <f>IF(VLOOKUP(B639,'0. Instruções'!$C$27:$G$32,5,FALSE)=0,
"(SELECT "&amp;VLOOKUP(B639,'0. Instruções'!$C$27:$G$32,4,FALSE)&amp;" AS CHAVE_IT, "&amp;C639&amp;" AS CAMPO_IT FROM "&amp;E639&amp;" WHERE "&amp;'0. Instruções'!$D$43&amp;")X",
"(SELECT "&amp;VLOOKUP(B639,'0. Instruções'!$C$27:$G$32,4,FALSE)&amp;" AS CHAVE_IT1, "&amp;VLOOKUP(B639,'0. Instruções'!$C$27:$G$32,5,FALSE)&amp;" AS CHAVE_IT2, "&amp;C639&amp;" AS CAMPO_IT FROM "&amp;E639&amp;" WHERE "&amp;'0. Instruções'!$D$43&amp;")X")</f>
        <v>(SELECT prtctn_id AS CHAVE_IT, flg_elctrc_vhcl AS CAMPO_IT FROM CD_LOAN_TAPES_BCE.LT004_PROTECTION WHERE ref_date='${ref_date}' AND nome_perimetro='Individual Local' AND segmento='ESTR' AND ambito='PM' AND entidade='00100')X</v>
      </c>
      <c r="K639" s="32" t="str">
        <f>IF(VLOOKUP(B639,'0. Instruções'!$C$27:$G$32,5,FALSE)=0,
"(SELECT "&amp;VLOOKUP(B639,'0. Instruções'!$C$27:$G$32,4,FALSE)&amp;" AS CHAVE_SIMUL, "&amp;C639&amp;" AS CAMPO_SIMUL FROM "&amp;F639&amp;" WHERE "&amp;'0. Instruções'!$D$42&amp;")Y",
"(SELECT "&amp;VLOOKUP(B639,'0. Instruções'!$C$27:$G$32,4,FALSE)&amp;" AS CHAVE_SIMUL1, "&amp;VLOOKUP(B639,'0. Instruções'!$C$27:$G$32,5,FALSE)&amp;" AS CHAVE_SIMUL2, "&amp;C639&amp;" AS CAMPO_SIMUL FROM "&amp;F639&amp;" WHERE "&amp;'0. Instruções'!$D$42&amp;")Y")</f>
        <v>(SELECT prtctn_id AS CHAVE_SIMUL, flg_elctrc_vhcl AS CAMPO_SIMUL FROM BU_LOANTAPE_WORK.LT004_PROTECTION WHERE ref_date='${ref_date}' AND nome_perimetro='Individual Local' AND segmento='ESTR' AND ambito='PM' AND entidade='00100')Y</v>
      </c>
      <c r="L639" s="32" t="str">
        <f>IF(VLOOKUP(B639,'0. Instruções'!$C$27:$G$32,5,FALSE)=0,
"ON X.CHAVE_IT=Y.CHAVE_SIMUL",
"ON X.CHAVE_IT1=Y.CHAVE_SIMUL1 AND X.CHAVE_IT2=Y.CHAVE_SIMUL2")</f>
        <v>ON X.CHAVE_IT=Y.CHAVE_SIMUL</v>
      </c>
      <c r="M639" s="32" t="str">
        <f>+IF(D639="Coerência",+IF(LEFT(H639,5)="FLOAT","SELECT '"&amp;UPPER(B639)&amp;"' AS TABELA, '"&amp;UPPER(D639)&amp;"' AS TIPOLOGIA_TESTE,'"&amp;E639&amp;"' AS TABELA_LT,'"&amp;F639&amp;"' AS TABELA_SIMUL,'"&amp;C639&amp;"'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"&amp;J639&amp;" INNER JOIN "&amp;K639&amp;" "&amp;L639,"SELECT '"&amp;UPPER(B639)&amp;"' AS TABELA, '"&amp;UPPER(D639)&amp;"' AS TIPOLOGIA_TESTE,'"&amp;E639&amp;"' AS TABELA_LT,'"&amp;F639&amp;"' AS TABELA_SIMUL,'"&amp;C639&amp;"'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"&amp;J639&amp;" INNER JOIN "&amp;K639&amp;" "&amp;L639))</f>
        <v>SELECT 'PROTECTION' AS TABELA, 'COERÊNCIA' AS TIPOLOGIA_TESTE,'CD_LOAN_TAPES_BCE.LT004_PROTECTION' AS TABELA_LT,'BU_LOANTAPE_WORK.LT004_PROTECTION' AS TABELA_SIMUL,'flg_elctrc_vhcl'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flg_elctrc_vhcl AS CAMPO_IT FROM CD_LOAN_TAPES_BCE.LT004_PROTECTION WHERE ref_date='${ref_date}' AND nome_perimetro='Individual Local' AND segmento='ESTR' AND ambito='PM' AND entidade='00100')X INNER JOIN (SELECT prtctn_id AS CHAVE_SIMUL, flg_elctrc_vhcl AS CAMPO_SIMUL FROM BU_LOANTAPE_WORK.LT004_PROTECTION WHERE ref_date='${ref_date}' AND nome_perimetro='Individual Local' AND segmento='ESTR' AND ambito='PM' AND entidade='00100')Y ON X.CHAVE_IT=Y.CHAVE_SIMUL</v>
      </c>
      <c r="N639" s="33" t="str">
        <f t="shared" si="21"/>
        <v>UNION ALL SELECT 'PROTECTION' AS TABELA, 'COERÊNCIA' AS TIPOLOGIA_TESTE,'CD_LOAN_TAPES_BCE.LT004_PROTECTION' AS TABELA_LT,'BU_LOANTAPE_WORK.LT004_PROTECTION' AS TABELA_SIMUL,'flg_elctrc_vhcl'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flg_elctrc_vhcl AS CAMPO_IT FROM CD_LOAN_TAPES_BCE.LT004_PROTECTION WHERE ref_date='${ref_date}' AND nome_perimetro='Individual Local' AND segmento='ESTR' AND ambito='PM' AND entidade='00100')X INNER JOIN (SELECT prtctn_id AS CHAVE_SIMUL, flg_elctrc_vhcl AS CAMPO_SIMUL FROM BU_LOANTAPE_WORK.LT004_PROTECTION WHERE ref_date='${ref_date}' AND nome_perimetro='Individual Local' AND segmento='ESTR' AND ambito='PM' AND entidade='00100')Y ON X.CHAVE_IT=Y.CHAVE_SIMUL</v>
      </c>
      <c r="O639" s="35" t="s">
        <v>35</v>
      </c>
    </row>
    <row r="640" spans="1:15">
      <c r="A640" s="57" t="str">
        <f t="shared" si="20"/>
        <v>Protectionflg_scrd</v>
      </c>
      <c r="B640" s="32" t="s">
        <v>59</v>
      </c>
      <c r="C640" s="32" t="s">
        <v>670</v>
      </c>
      <c r="D640" s="32" t="s">
        <v>5</v>
      </c>
      <c r="E640" s="32" t="str">
        <f>+UPPER('0. Instruções'!$D$35&amp;"."&amp;VLOOKUP(B640,'0. Instruções'!$C$27:$D$32,2,FALSE))</f>
        <v>CD_LOAN_TAPES_BCE.LT004_PROTECTION</v>
      </c>
      <c r="F640" s="32" t="str">
        <f>+UPPER('0. Instruções'!$D$36&amp;"."&amp;VLOOKUP(B640,'0. Instruções'!$C$27:$E$32,3,FALSE))</f>
        <v>BU_LOANTAPE_WORK.LT004_PROTECTION</v>
      </c>
      <c r="H640" s="32"/>
      <c r="I640" s="32"/>
      <c r="J640" s="32" t="str">
        <f>IF(VLOOKUP(B640,'0. Instruções'!$C$27:$G$32,5,FALSE)=0,
"(SELECT "&amp;VLOOKUP(B640,'0. Instruções'!$C$27:$G$32,4,FALSE)&amp;" AS CHAVE_IT, "&amp;C640&amp;" AS CAMPO_IT FROM "&amp;E640&amp;" WHERE "&amp;'0. Instruções'!$D$43&amp;")X",
"(SELECT "&amp;VLOOKUP(B640,'0. Instruções'!$C$27:$G$32,4,FALSE)&amp;" AS CHAVE_IT1, "&amp;VLOOKUP(B640,'0. Instruções'!$C$27:$G$32,5,FALSE)&amp;" AS CHAVE_IT2, "&amp;C640&amp;" AS CAMPO_IT FROM "&amp;E640&amp;" WHERE "&amp;'0. Instruções'!$D$43&amp;")X")</f>
        <v>(SELECT prtctn_id AS CHAVE_IT, flg_scrd AS CAMPO_IT FROM CD_LOAN_TAPES_BCE.LT004_PROTECTION WHERE ref_date='${ref_date}' AND nome_perimetro='Individual Local' AND segmento='ESTR' AND ambito='PM' AND entidade='00100')X</v>
      </c>
      <c r="K640" s="32" t="str">
        <f>IF(VLOOKUP(B640,'0. Instruções'!$C$27:$G$32,5,FALSE)=0,
"(SELECT "&amp;VLOOKUP(B640,'0. Instruções'!$C$27:$G$32,4,FALSE)&amp;" AS CHAVE_SIMUL, "&amp;C640&amp;" AS CAMPO_SIMUL FROM "&amp;F640&amp;" WHERE "&amp;'0. Instruções'!$D$42&amp;")Y",
"(SELECT "&amp;VLOOKUP(B640,'0. Instruções'!$C$27:$G$32,4,FALSE)&amp;" AS CHAVE_SIMUL1, "&amp;VLOOKUP(B640,'0. Instruções'!$C$27:$G$32,5,FALSE)&amp;" AS CHAVE_SIMUL2, "&amp;C640&amp;" AS CAMPO_SIMUL FROM "&amp;F640&amp;" WHERE "&amp;'0. Instruções'!$D$42&amp;")Y")</f>
        <v>(SELECT prtctn_id AS CHAVE_SIMUL, flg_scrd AS CAMPO_SIMUL FROM BU_LOANTAPE_WORK.LT004_PROTECTION WHERE ref_date='${ref_date}' AND nome_perimetro='Individual Local' AND segmento='ESTR' AND ambito='PM' AND entidade='00100')Y</v>
      </c>
      <c r="L640" s="32" t="str">
        <f>IF(VLOOKUP(B640,'0. Instruções'!$C$27:$G$32,5,FALSE)=0,
"ON X.CHAVE_IT=Y.CHAVE_SIMUL",
"ON X.CHAVE_IT1=Y.CHAVE_SIMUL1 AND X.CHAVE_IT2=Y.CHAVE_SIMUL2")</f>
        <v>ON X.CHAVE_IT=Y.CHAVE_SIMUL</v>
      </c>
      <c r="M640" s="32" t="str">
        <f>+IF(D640="Coerência",+IF(LEFT(H640,5)="FLOAT","SELECT '"&amp;UPPER(B640)&amp;"' AS TABELA, '"&amp;UPPER(D640)&amp;"' AS TIPOLOGIA_TESTE,'"&amp;E640&amp;"' AS TABELA_LT,'"&amp;F640&amp;"' AS TABELA_SIMUL,'"&amp;C640&amp;"'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"&amp;J640&amp;" INNER JOIN "&amp;K640&amp;" "&amp;L640,"SELECT '"&amp;UPPER(B640)&amp;"' AS TABELA, '"&amp;UPPER(D640)&amp;"' AS TIPOLOGIA_TESTE,'"&amp;E640&amp;"' AS TABELA_LT,'"&amp;F640&amp;"' AS TABELA_SIMUL,'"&amp;C640&amp;"'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"&amp;J640&amp;" INNER JOIN "&amp;K640&amp;" "&amp;L640))</f>
        <v>SELECT 'PROTECTION' AS TABELA, 'COERÊNCIA' AS TIPOLOGIA_TESTE,'CD_LOAN_TAPES_BCE.LT004_PROTECTION' AS TABELA_LT,'BU_LOANTAPE_WORK.LT004_PROTECTION' AS TABELA_SIMUL,'flg_scrd'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flg_scrd AS CAMPO_IT FROM CD_LOAN_TAPES_BCE.LT004_PROTECTION WHERE ref_date='${ref_date}' AND nome_perimetro='Individual Local' AND segmento='ESTR' AND ambito='PM' AND entidade='00100')X INNER JOIN (SELECT prtctn_id AS CHAVE_SIMUL, flg_scrd AS CAMPO_SIMUL FROM BU_LOANTAPE_WORK.LT004_PROTECTION WHERE ref_date='${ref_date}' AND nome_perimetro='Individual Local' AND segmento='ESTR' AND ambito='PM' AND entidade='00100')Y ON X.CHAVE_IT=Y.CHAVE_SIMUL</v>
      </c>
      <c r="N640" s="33" t="str">
        <f t="shared" si="21"/>
        <v>UNION ALL SELECT 'PROTECTION' AS TABELA, 'COERÊNCIA' AS TIPOLOGIA_TESTE,'CD_LOAN_TAPES_BCE.LT004_PROTECTION' AS TABELA_LT,'BU_LOANTAPE_WORK.LT004_PROTECTION' AS TABELA_SIMUL,'flg_scrd'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prtctn_id AS CHAVE_IT, flg_scrd AS CAMPO_IT FROM CD_LOAN_TAPES_BCE.LT004_PROTECTION WHERE ref_date='${ref_date}' AND nome_perimetro='Individual Local' AND segmento='ESTR' AND ambito='PM' AND entidade='00100')X INNER JOIN (SELECT prtctn_id AS CHAVE_SIMUL, flg_scrd AS CAMPO_SIMUL FROM BU_LOANTAPE_WORK.LT004_PROTECTION WHERE ref_date='${ref_date}' AND nome_perimetro='Individual Local' AND segmento='ESTR' AND ambito='PM' AND entidade='00100')Y ON X.CHAVE_IT=Y.CHAVE_SIMUL</v>
      </c>
      <c r="O640" s="35" t="s">
        <v>35</v>
      </c>
    </row>
    <row r="641" spans="1:15">
      <c r="A641" s="57" t="str">
        <f t="shared" si="20"/>
        <v>INSTR_ENTjnt_lblty_amnt</v>
      </c>
      <c r="B641" s="32" t="s">
        <v>686</v>
      </c>
      <c r="C641" s="32" t="s">
        <v>671</v>
      </c>
      <c r="D641" s="32" t="s">
        <v>5</v>
      </c>
      <c r="E641" s="32" t="str">
        <f>+UPPER('0. Instruções'!$D$35&amp;"."&amp;VLOOKUP(B641,'0. Instruções'!$C$27:$D$32,2,FALSE))</f>
        <v>CD_LOAN_TAPES_BCE.LT005_INSTR_ENT</v>
      </c>
      <c r="F641" s="32" t="str">
        <f>+UPPER('0. Instruções'!$D$36&amp;"."&amp;VLOOKUP(B641,'0. Instruções'!$C$27:$E$32,3,FALSE))</f>
        <v>BU_LOANTAPE_WORK.LT005_INSTR_ENT</v>
      </c>
      <c r="H641" s="32"/>
      <c r="I641" s="32"/>
      <c r="J641" s="32" t="str">
        <f>IF(VLOOKUP(B641,'0. Instruções'!$C$27:$G$32,5,FALSE)=0,
"(SELECT "&amp;VLOOKUP(B641,'0. Instruções'!$C$27:$G$32,4,FALSE)&amp;" AS CHAVE_IT, "&amp;C641&amp;" AS CAMPO_IT FROM "&amp;E641&amp;" WHERE "&amp;'0. Instruções'!$D$43&amp;")X",
"(SELECT "&amp;VLOOKUP(B641,'0. Instruções'!$C$27:$G$32,4,FALSE)&amp;" AS CHAVE_IT1, "&amp;VLOOKUP(B641,'0. Instruções'!$C$27:$G$32,5,FALSE)&amp;" AS CHAVE_IT2, "&amp;C641&amp;" AS CAMPO_IT FROM "&amp;E641&amp;" WHERE "&amp;'0. Instruções'!$D$43&amp;")X")</f>
        <v>(SELECT instrmnt_id AS CHAVE_IT1, entty_id AS CHAVE_IT2, jnt_lblty_amnt AS CAMPO_IT FROM CD_LOAN_TAPES_BCE.LT005_INSTR_ENT WHERE ref_date='${ref_date}' AND nome_perimetro='Individual Local' AND segmento='ESTR' AND ambito='PM' AND entidade='00100')X</v>
      </c>
      <c r="K641" s="32" t="str">
        <f>IF(VLOOKUP(B641,'0. Instruções'!$C$27:$G$32,5,FALSE)=0,
"(SELECT "&amp;VLOOKUP(B641,'0. Instruções'!$C$27:$G$32,4,FALSE)&amp;" AS CHAVE_SIMUL, "&amp;C641&amp;" AS CAMPO_SIMUL FROM "&amp;F641&amp;" WHERE "&amp;'0. Instruções'!$D$42&amp;")Y",
"(SELECT "&amp;VLOOKUP(B641,'0. Instruções'!$C$27:$G$32,4,FALSE)&amp;" AS CHAVE_SIMUL1, "&amp;VLOOKUP(B641,'0. Instruções'!$C$27:$G$32,5,FALSE)&amp;" AS CHAVE_SIMUL2, "&amp;C641&amp;" AS CAMPO_SIMUL FROM "&amp;F641&amp;" WHERE "&amp;'0. Instruções'!$D$42&amp;")Y")</f>
        <v>(SELECT instrmnt_id AS CHAVE_SIMUL1, entty_id AS CHAVE_SIMUL2, jnt_lblty_amnt AS CAMPO_SIMUL FROM BU_LOANTAPE_WORK.LT005_INSTR_ENT WHERE ref_date='${ref_date}' AND nome_perimetro='Individual Local' AND segmento='ESTR' AND ambito='PM' AND entidade='00100')Y</v>
      </c>
      <c r="L641" s="32" t="str">
        <f>IF(VLOOKUP(B641,'0. Instruções'!$C$27:$G$32,5,FALSE)=0,
"ON X.CHAVE_IT=Y.CHAVE_SIMUL",
"ON X.CHAVE_IT1=Y.CHAVE_SIMUL1 AND X.CHAVE_IT2=Y.CHAVE_SIMUL2")</f>
        <v>ON X.CHAVE_IT1=Y.CHAVE_SIMUL1 AND X.CHAVE_IT2=Y.CHAVE_SIMUL2</v>
      </c>
      <c r="M641" s="32" t="str">
        <f>+IF(D641="Coerência",+IF(LEFT(H641,5)="FLOAT","SELECT '"&amp;UPPER(B641)&amp;"' AS TABELA, '"&amp;UPPER(D641)&amp;"' AS TIPOLOGIA_TESTE,'"&amp;E641&amp;"' AS TABELA_LT,'"&amp;F641&amp;"' AS TABELA_SIMUL,'"&amp;C641&amp;"'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"&amp;J641&amp;" INNER JOIN "&amp;K641&amp;" "&amp;L641,"SELECT '"&amp;UPPER(B641)&amp;"' AS TABELA, '"&amp;UPPER(D641)&amp;"' AS TIPOLOGIA_TESTE,'"&amp;E641&amp;"' AS TABELA_LT,'"&amp;F641&amp;"' AS TABELA_SIMUL,'"&amp;C641&amp;"'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"&amp;J641&amp;" INNER JOIN "&amp;K641&amp;" "&amp;L641))</f>
        <v>SELECT 'INSTR_ENT'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ambito='PM' AND entidade='00100')X INNER JOIN (SELECT instrmnt_id AS CHAVE_SIMUL1, entty_id AS CHAVE_SIMUL2, jnt_lblty_amnt AS CAMPO_SIMUL FROM BU_LOANTAPE_WORK.LT005_INSTR_ENT WHERE ref_date='${ref_date}' AND nome_perimetro='Individual Local' AND segmento='ESTR' AND ambito='PM' AND entidade='00100')Y ON X.CHAVE_IT1=Y.CHAVE_SIMUL1 AND X.CHAVE_IT2=Y.CHAVE_SIMUL2</v>
      </c>
      <c r="N641" s="33" t="str">
        <f t="shared" si="21"/>
        <v>UNION ALL SELECT 'INSTR_ENT' AS TABELA, 'COERÊNCIA' AS TIPOLOGIA_TESTE,'CD_LOAN_TAPES_BCE.LT005_INSTR_ENT' AS TABELA_LT,'BU_LOANTAPE_WORK.LT005_INSTR_ENT' AS TABELA_SIMUL,'jnt_lblty_amnt'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jnt_lblty_amnt AS CAMPO_IT FROM CD_LOAN_TAPES_BCE.LT005_INSTR_ENT WHERE ref_date='${ref_date}' AND nome_perimetro='Individual Local' AND segmento='ESTR' AND ambito='PM' AND entidade='00100')X INNER JOIN (SELECT instrmnt_id AS CHAVE_SIMUL1, entty_id AS CHAVE_SIMUL2, jnt_lblty_amnt AS CAMPO_SIMUL FROM BU_LOANTAPE_WORK.LT005_INSTR_ENT WHERE ref_date='${ref_date}' AND nome_perimetro='Individual Local' AND segmento='ESTR' AND ambito='PM' AND entidade='00100')Y ON X.CHAVE_IT1=Y.CHAVE_SIMUL1 AND X.CHAVE_IT2=Y.CHAVE_SIMUL2</v>
      </c>
      <c r="O641" s="35" t="s">
        <v>35</v>
      </c>
    </row>
    <row r="642" spans="1:15">
      <c r="A642" s="57" t="str">
        <f t="shared" si="20"/>
        <v>INSTR_ENTadd_fld01</v>
      </c>
      <c r="B642" s="32" t="s">
        <v>686</v>
      </c>
      <c r="C642" s="32" t="s">
        <v>347</v>
      </c>
      <c r="D642" s="32" t="s">
        <v>5</v>
      </c>
      <c r="E642" s="32" t="str">
        <f>+UPPER('0. Instruções'!$D$35&amp;"."&amp;VLOOKUP(B642,'0. Instruções'!$C$27:$D$32,2,FALSE))</f>
        <v>CD_LOAN_TAPES_BCE.LT005_INSTR_ENT</v>
      </c>
      <c r="F642" s="32" t="str">
        <f>+UPPER('0. Instruções'!$D$36&amp;"."&amp;VLOOKUP(B642,'0. Instruções'!$C$27:$E$32,3,FALSE))</f>
        <v>BU_LOANTAPE_WORK.LT005_INSTR_ENT</v>
      </c>
      <c r="H642" s="32"/>
      <c r="I642" s="32"/>
      <c r="J642" s="32" t="str">
        <f>IF(VLOOKUP(B642,'0. Instruções'!$C$27:$G$32,5,FALSE)=0,
"(SELECT "&amp;VLOOKUP(B642,'0. Instruções'!$C$27:$G$32,4,FALSE)&amp;" AS CHAVE_IT, "&amp;C642&amp;" AS CAMPO_IT FROM "&amp;E642&amp;" WHERE "&amp;'0. Instruções'!$D$43&amp;")X",
"(SELECT "&amp;VLOOKUP(B642,'0. Instruções'!$C$27:$G$32,4,FALSE)&amp;" AS CHAVE_IT1, "&amp;VLOOKUP(B642,'0. Instruções'!$C$27:$G$32,5,FALSE)&amp;" AS CHAVE_IT2, "&amp;C642&amp;" AS CAMPO_IT FROM "&amp;E642&amp;" WHERE "&amp;'0. Instruções'!$D$43&amp;")X")</f>
        <v>(SELECT instrmnt_id AS CHAVE_IT1, entty_id AS CHAVE_IT2, add_fld01 AS CAMPO_IT FROM CD_LOAN_TAPES_BCE.LT005_INSTR_ENT WHERE ref_date='${ref_date}' AND nome_perimetro='Individual Local' AND segmento='ESTR' AND ambito='PM' AND entidade='00100')X</v>
      </c>
      <c r="K642" s="32" t="str">
        <f>IF(VLOOKUP(B642,'0. Instruções'!$C$27:$G$32,5,FALSE)=0,
"(SELECT "&amp;VLOOKUP(B642,'0. Instruções'!$C$27:$G$32,4,FALSE)&amp;" AS CHAVE_SIMUL, "&amp;C642&amp;" AS CAMPO_SIMUL FROM "&amp;F642&amp;" WHERE "&amp;'0. Instruções'!$D$42&amp;")Y",
"(SELECT "&amp;VLOOKUP(B642,'0. Instruções'!$C$27:$G$32,4,FALSE)&amp;" AS CHAVE_SIMUL1, "&amp;VLOOKUP(B642,'0. Instruções'!$C$27:$G$32,5,FALSE)&amp;" AS CHAVE_SIMUL2, "&amp;C642&amp;" AS CAMPO_SIMUL FROM "&amp;F642&amp;" WHERE "&amp;'0. Instruções'!$D$42&amp;")Y")</f>
        <v>(SELECT instrmnt_id AS CHAVE_SIMUL1, entty_id AS CHAVE_SIMUL2, add_fld01 AS CAMPO_SIMUL FROM BU_LOANTAPE_WORK.LT005_INSTR_ENT WHERE ref_date='${ref_date}' AND nome_perimetro='Individual Local' AND segmento='ESTR' AND ambito='PM' AND entidade='00100')Y</v>
      </c>
      <c r="L642" s="32" t="str">
        <f>IF(VLOOKUP(B642,'0. Instruções'!$C$27:$G$32,5,FALSE)=0,
"ON X.CHAVE_IT=Y.CHAVE_SIMUL",
"ON X.CHAVE_IT1=Y.CHAVE_SIMUL1 AND X.CHAVE_IT2=Y.CHAVE_SIMUL2")</f>
        <v>ON X.CHAVE_IT1=Y.CHAVE_SIMUL1 AND X.CHAVE_IT2=Y.CHAVE_SIMUL2</v>
      </c>
      <c r="M642" s="32" t="str">
        <f>+IF(D642="Coerência",+IF(LEFT(H642,5)="FLOAT","SELECT '"&amp;UPPER(B642)&amp;"' AS TABELA, '"&amp;UPPER(D642)&amp;"' AS TIPOLOGIA_TESTE,'"&amp;E642&amp;"' AS TABELA_LT,'"&amp;F642&amp;"' AS TABELA_SIMUL,'"&amp;C642&amp;"'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"&amp;J642&amp;" INNER JOIN "&amp;K642&amp;" "&amp;L642,"SELECT '"&amp;UPPER(B642)&amp;"' AS TABELA, '"&amp;UPPER(D642)&amp;"' AS TIPOLOGIA_TESTE,'"&amp;E642&amp;"' AS TABELA_LT,'"&amp;F642&amp;"' AS TABELA_SIMUL,'"&amp;C642&amp;"'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"&amp;J642&amp;" INNER JOIN "&amp;K642&amp;" "&amp;L642))</f>
        <v>SELECT 'INSTR_ENT' AS TABELA, 'COERÊNCIA' AS TIPOLOGIA_TESTE,'CD_LOAN_TAPES_BCE.LT005_INSTR_ENT' AS TABELA_LT,'BU_LOANTAPE_WORK.LT005_INSTR_ENT'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add_fld01 AS CAMPO_IT FROM CD_LOAN_TAPES_BCE.LT005_INSTR_ENT WHERE ref_date='${ref_date}' AND nome_perimetro='Individual Local' AND segmento='ESTR' AND ambito='PM' AND entidade='00100')X INNER JOIN (SELECT instrmnt_id AS CHAVE_SIMUL1, entty_id AS CHAVE_SIMUL2, add_fld01 AS CAMPO_SIMUL FROM BU_LOANTAPE_WORK.LT005_INSTR_ENT WHERE ref_date='${ref_date}' AND nome_perimetro='Individual Local' AND segmento='ESTR' AND ambito='PM' AND entidade='00100')Y ON X.CHAVE_IT1=Y.CHAVE_SIMUL1 AND X.CHAVE_IT2=Y.CHAVE_SIMUL2</v>
      </c>
      <c r="N642" s="33" t="str">
        <f t="shared" si="21"/>
        <v>UNION ALL SELECT 'INSTR_ENT' AS TABELA, 'COERÊNCIA' AS TIPOLOGIA_TESTE,'CD_LOAN_TAPES_BCE.LT005_INSTR_ENT' AS TABELA_LT,'BU_LOANTAPE_WORK.LT005_INSTR_ENT'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add_fld01 AS CAMPO_IT FROM CD_LOAN_TAPES_BCE.LT005_INSTR_ENT WHERE ref_date='${ref_date}' AND nome_perimetro='Individual Local' AND segmento='ESTR' AND ambito='PM' AND entidade='00100')X INNER JOIN (SELECT instrmnt_id AS CHAVE_SIMUL1, entty_id AS CHAVE_SIMUL2, add_fld01 AS CAMPO_SIMUL FROM BU_LOANTAPE_WORK.LT005_INSTR_ENT WHERE ref_date='${ref_date}' AND nome_perimetro='Individual Local' AND segmento='ESTR' AND ambito='PM' AND entidade='00100')Y ON X.CHAVE_IT1=Y.CHAVE_SIMUL1 AND X.CHAVE_IT2=Y.CHAVE_SIMUL2</v>
      </c>
      <c r="O642" s="35" t="s">
        <v>35</v>
      </c>
    </row>
    <row r="643" spans="1:15">
      <c r="A643" s="57" t="str">
        <f t="shared" si="20"/>
        <v>INSTR_ENTadd_fld02</v>
      </c>
      <c r="B643" s="32" t="s">
        <v>686</v>
      </c>
      <c r="C643" s="32" t="s">
        <v>348</v>
      </c>
      <c r="D643" s="32" t="s">
        <v>5</v>
      </c>
      <c r="E643" s="32" t="str">
        <f>+UPPER('0. Instruções'!$D$35&amp;"."&amp;VLOOKUP(B643,'0. Instruções'!$C$27:$D$32,2,FALSE))</f>
        <v>CD_LOAN_TAPES_BCE.LT005_INSTR_ENT</v>
      </c>
      <c r="F643" s="32" t="str">
        <f>+UPPER('0. Instruções'!$D$36&amp;"."&amp;VLOOKUP(B643,'0. Instruções'!$C$27:$E$32,3,FALSE))</f>
        <v>BU_LOANTAPE_WORK.LT005_INSTR_ENT</v>
      </c>
      <c r="H643" s="32"/>
      <c r="I643" s="32"/>
      <c r="J643" s="32" t="str">
        <f>IF(VLOOKUP(B643,'0. Instruções'!$C$27:$G$32,5,FALSE)=0,
"(SELECT "&amp;VLOOKUP(B643,'0. Instruções'!$C$27:$G$32,4,FALSE)&amp;" AS CHAVE_IT, "&amp;C643&amp;" AS CAMPO_IT FROM "&amp;E643&amp;" WHERE "&amp;'0. Instruções'!$D$43&amp;")X",
"(SELECT "&amp;VLOOKUP(B643,'0. Instruções'!$C$27:$G$32,4,FALSE)&amp;" AS CHAVE_IT1, "&amp;VLOOKUP(B643,'0. Instruções'!$C$27:$G$32,5,FALSE)&amp;" AS CHAVE_IT2, "&amp;C643&amp;" AS CAMPO_IT FROM "&amp;E643&amp;" WHERE "&amp;'0. Instruções'!$D$43&amp;")X")</f>
        <v>(SELECT instrmnt_id AS CHAVE_IT1, entty_id AS CHAVE_IT2, add_fld02 AS CAMPO_IT FROM CD_LOAN_TAPES_BCE.LT005_INSTR_ENT WHERE ref_date='${ref_date}' AND nome_perimetro='Individual Local' AND segmento='ESTR' AND ambito='PM' AND entidade='00100')X</v>
      </c>
      <c r="K643" s="32" t="str">
        <f>IF(VLOOKUP(B643,'0. Instruções'!$C$27:$G$32,5,FALSE)=0,
"(SELECT "&amp;VLOOKUP(B643,'0. Instruções'!$C$27:$G$32,4,FALSE)&amp;" AS CHAVE_SIMUL, "&amp;C643&amp;" AS CAMPO_SIMUL FROM "&amp;F643&amp;" WHERE "&amp;'0. Instruções'!$D$42&amp;")Y",
"(SELECT "&amp;VLOOKUP(B643,'0. Instruções'!$C$27:$G$32,4,FALSE)&amp;" AS CHAVE_SIMUL1, "&amp;VLOOKUP(B643,'0. Instruções'!$C$27:$G$32,5,FALSE)&amp;" AS CHAVE_SIMUL2, "&amp;C643&amp;" AS CAMPO_SIMUL FROM "&amp;F643&amp;" WHERE "&amp;'0. Instruções'!$D$42&amp;")Y")</f>
        <v>(SELECT instrmnt_id AS CHAVE_SIMUL1, entty_id AS CHAVE_SIMUL2, add_fld02 AS CAMPO_SIMUL FROM BU_LOANTAPE_WORK.LT005_INSTR_ENT WHERE ref_date='${ref_date}' AND nome_perimetro='Individual Local' AND segmento='ESTR' AND ambito='PM' AND entidade='00100')Y</v>
      </c>
      <c r="L643" s="32" t="str">
        <f>IF(VLOOKUP(B643,'0. Instruções'!$C$27:$G$32,5,FALSE)=0,
"ON X.CHAVE_IT=Y.CHAVE_SIMUL",
"ON X.CHAVE_IT1=Y.CHAVE_SIMUL1 AND X.CHAVE_IT2=Y.CHAVE_SIMUL2")</f>
        <v>ON X.CHAVE_IT1=Y.CHAVE_SIMUL1 AND X.CHAVE_IT2=Y.CHAVE_SIMUL2</v>
      </c>
      <c r="M643" s="32" t="str">
        <f>+IF(D643="Coerência",+IF(LEFT(H643,5)="FLOAT","SELECT '"&amp;UPPER(B643)&amp;"' AS TABELA, '"&amp;UPPER(D643)&amp;"' AS TIPOLOGIA_TESTE,'"&amp;E643&amp;"' AS TABELA_LT,'"&amp;F643&amp;"' AS TABELA_SIMUL,'"&amp;C643&amp;"'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"&amp;J643&amp;" INNER JOIN "&amp;K643&amp;" "&amp;L643,"SELECT '"&amp;UPPER(B643)&amp;"' AS TABELA, '"&amp;UPPER(D643)&amp;"' AS TIPOLOGIA_TESTE,'"&amp;E643&amp;"' AS TABELA_LT,'"&amp;F643&amp;"' AS TABELA_SIMUL,'"&amp;C643&amp;"'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"&amp;J643&amp;" INNER JOIN "&amp;K643&amp;" "&amp;L643))</f>
        <v>SELECT 'INSTR_ENT' AS TABELA, 'COERÊNCIA' AS TIPOLOGIA_TESTE,'CD_LOAN_TAPES_BCE.LT005_INSTR_ENT' AS TABELA_LT,'BU_LOANTAPE_WORK.LT005_INSTR_ENT'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add_fld02 AS CAMPO_IT FROM CD_LOAN_TAPES_BCE.LT005_INSTR_ENT WHERE ref_date='${ref_date}' AND nome_perimetro='Individual Local' AND segmento='ESTR' AND ambito='PM' AND entidade='00100')X INNER JOIN (SELECT instrmnt_id AS CHAVE_SIMUL1, entty_id AS CHAVE_SIMUL2, add_fld02 AS CAMPO_SIMUL FROM BU_LOANTAPE_WORK.LT005_INSTR_ENT WHERE ref_date='${ref_date}' AND nome_perimetro='Individual Local' AND segmento='ESTR' AND ambito='PM' AND entidade='00100')Y ON X.CHAVE_IT1=Y.CHAVE_SIMUL1 AND X.CHAVE_IT2=Y.CHAVE_SIMUL2</v>
      </c>
      <c r="N643" s="33" t="str">
        <f t="shared" si="21"/>
        <v>UNION ALL SELECT 'INSTR_ENT' AS TABELA, 'COERÊNCIA' AS TIPOLOGIA_TESTE,'CD_LOAN_TAPES_BCE.LT005_INSTR_ENT' AS TABELA_LT,'BU_LOANTAPE_WORK.LT005_INSTR_ENT'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add_fld02 AS CAMPO_IT FROM CD_LOAN_TAPES_BCE.LT005_INSTR_ENT WHERE ref_date='${ref_date}' AND nome_perimetro='Individual Local' AND segmento='ESTR' AND ambito='PM' AND entidade='00100')X INNER JOIN (SELECT instrmnt_id AS CHAVE_SIMUL1, entty_id AS CHAVE_SIMUL2, add_fld02 AS CAMPO_SIMUL FROM BU_LOANTAPE_WORK.LT005_INSTR_ENT WHERE ref_date='${ref_date}' AND nome_perimetro='Individual Local' AND segmento='ESTR' AND ambito='PM' AND entidade='00100')Y ON X.CHAVE_IT1=Y.CHAVE_SIMUL1 AND X.CHAVE_IT2=Y.CHAVE_SIMUL2</v>
      </c>
      <c r="O643" s="35" t="s">
        <v>35</v>
      </c>
    </row>
    <row r="644" spans="1:15">
      <c r="A644" s="57" t="str">
        <f t="shared" si="20"/>
        <v>INSTR_ENTadd_fld03</v>
      </c>
      <c r="B644" s="32" t="s">
        <v>686</v>
      </c>
      <c r="C644" s="32" t="s">
        <v>349</v>
      </c>
      <c r="D644" s="32" t="s">
        <v>5</v>
      </c>
      <c r="E644" s="32" t="str">
        <f>+UPPER('0. Instruções'!$D$35&amp;"."&amp;VLOOKUP(B644,'0. Instruções'!$C$27:$D$32,2,FALSE))</f>
        <v>CD_LOAN_TAPES_BCE.LT005_INSTR_ENT</v>
      </c>
      <c r="F644" s="32" t="str">
        <f>+UPPER('0. Instruções'!$D$36&amp;"."&amp;VLOOKUP(B644,'0. Instruções'!$C$27:$E$32,3,FALSE))</f>
        <v>BU_LOANTAPE_WORK.LT005_INSTR_ENT</v>
      </c>
      <c r="H644" s="32"/>
      <c r="I644" s="32"/>
      <c r="J644" s="32" t="str">
        <f>IF(VLOOKUP(B644,'0. Instruções'!$C$27:$G$32,5,FALSE)=0,
"(SELECT "&amp;VLOOKUP(B644,'0. Instruções'!$C$27:$G$32,4,FALSE)&amp;" AS CHAVE_IT, "&amp;C644&amp;" AS CAMPO_IT FROM "&amp;E644&amp;" WHERE "&amp;'0. Instruções'!$D$43&amp;")X",
"(SELECT "&amp;VLOOKUP(B644,'0. Instruções'!$C$27:$G$32,4,FALSE)&amp;" AS CHAVE_IT1, "&amp;VLOOKUP(B644,'0. Instruções'!$C$27:$G$32,5,FALSE)&amp;" AS CHAVE_IT2, "&amp;C644&amp;" AS CAMPO_IT FROM "&amp;E644&amp;" WHERE "&amp;'0. Instruções'!$D$43&amp;")X")</f>
        <v>(SELECT instrmnt_id AS CHAVE_IT1, entty_id AS CHAVE_IT2, add_fld03 AS CAMPO_IT FROM CD_LOAN_TAPES_BCE.LT005_INSTR_ENT WHERE ref_date='${ref_date}' AND nome_perimetro='Individual Local' AND segmento='ESTR' AND ambito='PM' AND entidade='00100')X</v>
      </c>
      <c r="K644" s="32" t="str">
        <f>IF(VLOOKUP(B644,'0. Instruções'!$C$27:$G$32,5,FALSE)=0,
"(SELECT "&amp;VLOOKUP(B644,'0. Instruções'!$C$27:$G$32,4,FALSE)&amp;" AS CHAVE_SIMUL, "&amp;C644&amp;" AS CAMPO_SIMUL FROM "&amp;F644&amp;" WHERE "&amp;'0. Instruções'!$D$42&amp;")Y",
"(SELECT "&amp;VLOOKUP(B644,'0. Instruções'!$C$27:$G$32,4,FALSE)&amp;" AS CHAVE_SIMUL1, "&amp;VLOOKUP(B644,'0. Instruções'!$C$27:$G$32,5,FALSE)&amp;" AS CHAVE_SIMUL2, "&amp;C644&amp;" AS CAMPO_SIMUL FROM "&amp;F644&amp;" WHERE "&amp;'0. Instruções'!$D$42&amp;")Y")</f>
        <v>(SELECT instrmnt_id AS CHAVE_SIMUL1, entty_id AS CHAVE_SIMUL2, add_fld03 AS CAMPO_SIMUL FROM BU_LOANTAPE_WORK.LT005_INSTR_ENT WHERE ref_date='${ref_date}' AND nome_perimetro='Individual Local' AND segmento='ESTR' AND ambito='PM' AND entidade='00100')Y</v>
      </c>
      <c r="L644" s="32" t="str">
        <f>IF(VLOOKUP(B644,'0. Instruções'!$C$27:$G$32,5,FALSE)=0,
"ON X.CHAVE_IT=Y.CHAVE_SIMUL",
"ON X.CHAVE_IT1=Y.CHAVE_SIMUL1 AND X.CHAVE_IT2=Y.CHAVE_SIMUL2")</f>
        <v>ON X.CHAVE_IT1=Y.CHAVE_SIMUL1 AND X.CHAVE_IT2=Y.CHAVE_SIMUL2</v>
      </c>
      <c r="M644" s="32" t="str">
        <f>+IF(D644="Coerência",+IF(LEFT(H644,5)="FLOAT","SELECT '"&amp;UPPER(B644)&amp;"' AS TABELA, '"&amp;UPPER(D644)&amp;"' AS TIPOLOGIA_TESTE,'"&amp;E644&amp;"' AS TABELA_LT,'"&amp;F644&amp;"' AS TABELA_SIMUL,'"&amp;C644&amp;"'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"&amp;J644&amp;" INNER JOIN "&amp;K644&amp;" "&amp;L644,"SELECT '"&amp;UPPER(B644)&amp;"' AS TABELA, '"&amp;UPPER(D644)&amp;"' AS TIPOLOGIA_TESTE,'"&amp;E644&amp;"' AS TABELA_LT,'"&amp;F644&amp;"' AS TABELA_SIMUL,'"&amp;C644&amp;"'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"&amp;J644&amp;" INNER JOIN "&amp;K644&amp;" "&amp;L644))</f>
        <v>SELECT 'INSTR_ENT' AS TABELA, 'COERÊNCIA' AS TIPOLOGIA_TESTE,'CD_LOAN_TAPES_BCE.LT005_INSTR_ENT' AS TABELA_LT,'BU_LOANTAPE_WORK.LT005_INSTR_ENT'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add_fld03 AS CAMPO_IT FROM CD_LOAN_TAPES_BCE.LT005_INSTR_ENT WHERE ref_date='${ref_date}' AND nome_perimetro='Individual Local' AND segmento='ESTR' AND ambito='PM' AND entidade='00100')X INNER JOIN (SELECT instrmnt_id AS CHAVE_SIMUL1, entty_id AS CHAVE_SIMUL2, add_fld03 AS CAMPO_SIMUL FROM BU_LOANTAPE_WORK.LT005_INSTR_ENT WHERE ref_date='${ref_date}' AND nome_perimetro='Individual Local' AND segmento='ESTR' AND ambito='PM' AND entidade='00100')Y ON X.CHAVE_IT1=Y.CHAVE_SIMUL1 AND X.CHAVE_IT2=Y.CHAVE_SIMUL2</v>
      </c>
      <c r="N644" s="33" t="str">
        <f t="shared" si="21"/>
        <v>UNION ALL SELECT 'INSTR_ENT' AS TABELA, 'COERÊNCIA' AS TIPOLOGIA_TESTE,'CD_LOAN_TAPES_BCE.LT005_INSTR_ENT' AS TABELA_LT,'BU_LOANTAPE_WORK.LT005_INSTR_ENT'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add_fld03 AS CAMPO_IT FROM CD_LOAN_TAPES_BCE.LT005_INSTR_ENT WHERE ref_date='${ref_date}' AND nome_perimetro='Individual Local' AND segmento='ESTR' AND ambito='PM' AND entidade='00100')X INNER JOIN (SELECT instrmnt_id AS CHAVE_SIMUL1, entty_id AS CHAVE_SIMUL2, add_fld03 AS CAMPO_SIMUL FROM BU_LOANTAPE_WORK.LT005_INSTR_ENT WHERE ref_date='${ref_date}' AND nome_perimetro='Individual Local' AND segmento='ESTR' AND ambito='PM' AND entidade='00100')Y ON X.CHAVE_IT1=Y.CHAVE_SIMUL1 AND X.CHAVE_IT2=Y.CHAVE_SIMUL2</v>
      </c>
      <c r="O644" s="35" t="s">
        <v>35</v>
      </c>
    </row>
    <row r="645" spans="1:15">
      <c r="A645" s="57" t="str">
        <f t="shared" si="20"/>
        <v>INSTR_ENTadd_fld04</v>
      </c>
      <c r="B645" s="32" t="s">
        <v>686</v>
      </c>
      <c r="C645" s="32" t="s">
        <v>350</v>
      </c>
      <c r="D645" s="32" t="s">
        <v>5</v>
      </c>
      <c r="E645" s="32" t="str">
        <f>+UPPER('0. Instruções'!$D$35&amp;"."&amp;VLOOKUP(B645,'0. Instruções'!$C$27:$D$32,2,FALSE))</f>
        <v>CD_LOAN_TAPES_BCE.LT005_INSTR_ENT</v>
      </c>
      <c r="F645" s="32" t="str">
        <f>+UPPER('0. Instruções'!$D$36&amp;"."&amp;VLOOKUP(B645,'0. Instruções'!$C$27:$E$32,3,FALSE))</f>
        <v>BU_LOANTAPE_WORK.LT005_INSTR_ENT</v>
      </c>
      <c r="H645" s="32"/>
      <c r="I645" s="32"/>
      <c r="J645" s="32" t="str">
        <f>IF(VLOOKUP(B645,'0. Instruções'!$C$27:$G$32,5,FALSE)=0,
"(SELECT "&amp;VLOOKUP(B645,'0. Instruções'!$C$27:$G$32,4,FALSE)&amp;" AS CHAVE_IT, "&amp;C645&amp;" AS CAMPO_IT FROM "&amp;E645&amp;" WHERE "&amp;'0. Instruções'!$D$43&amp;")X",
"(SELECT "&amp;VLOOKUP(B645,'0. Instruções'!$C$27:$G$32,4,FALSE)&amp;" AS CHAVE_IT1, "&amp;VLOOKUP(B645,'0. Instruções'!$C$27:$G$32,5,FALSE)&amp;" AS CHAVE_IT2, "&amp;C645&amp;" AS CAMPO_IT FROM "&amp;E645&amp;" WHERE "&amp;'0. Instruções'!$D$43&amp;")X")</f>
        <v>(SELECT instrmnt_id AS CHAVE_IT1, entty_id AS CHAVE_IT2, add_fld04 AS CAMPO_IT FROM CD_LOAN_TAPES_BCE.LT005_INSTR_ENT WHERE ref_date='${ref_date}' AND nome_perimetro='Individual Local' AND segmento='ESTR' AND ambito='PM' AND entidade='00100')X</v>
      </c>
      <c r="K645" s="32" t="str">
        <f>IF(VLOOKUP(B645,'0. Instruções'!$C$27:$G$32,5,FALSE)=0,
"(SELECT "&amp;VLOOKUP(B645,'0. Instruções'!$C$27:$G$32,4,FALSE)&amp;" AS CHAVE_SIMUL, "&amp;C645&amp;" AS CAMPO_SIMUL FROM "&amp;F645&amp;" WHERE "&amp;'0. Instruções'!$D$42&amp;")Y",
"(SELECT "&amp;VLOOKUP(B645,'0. Instruções'!$C$27:$G$32,4,FALSE)&amp;" AS CHAVE_SIMUL1, "&amp;VLOOKUP(B645,'0. Instruções'!$C$27:$G$32,5,FALSE)&amp;" AS CHAVE_SIMUL2, "&amp;C645&amp;" AS CAMPO_SIMUL FROM "&amp;F645&amp;" WHERE "&amp;'0. Instruções'!$D$42&amp;")Y")</f>
        <v>(SELECT instrmnt_id AS CHAVE_SIMUL1, entty_id AS CHAVE_SIMUL2, add_fld04 AS CAMPO_SIMUL FROM BU_LOANTAPE_WORK.LT005_INSTR_ENT WHERE ref_date='${ref_date}' AND nome_perimetro='Individual Local' AND segmento='ESTR' AND ambito='PM' AND entidade='00100')Y</v>
      </c>
      <c r="L645" s="32" t="str">
        <f>IF(VLOOKUP(B645,'0. Instruções'!$C$27:$G$32,5,FALSE)=0,
"ON X.CHAVE_IT=Y.CHAVE_SIMUL",
"ON X.CHAVE_IT1=Y.CHAVE_SIMUL1 AND X.CHAVE_IT2=Y.CHAVE_SIMUL2")</f>
        <v>ON X.CHAVE_IT1=Y.CHAVE_SIMUL1 AND X.CHAVE_IT2=Y.CHAVE_SIMUL2</v>
      </c>
      <c r="M645" s="32" t="str">
        <f>+IF(D645="Coerência",+IF(LEFT(H645,5)="FLOAT","SELECT '"&amp;UPPER(B645)&amp;"' AS TABELA, '"&amp;UPPER(D645)&amp;"' AS TIPOLOGIA_TESTE,'"&amp;E645&amp;"' AS TABELA_LT,'"&amp;F645&amp;"' AS TABELA_SIMUL,'"&amp;C645&amp;"'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"&amp;J645&amp;" INNER JOIN "&amp;K645&amp;" "&amp;L645,"SELECT '"&amp;UPPER(B645)&amp;"' AS TABELA, '"&amp;UPPER(D645)&amp;"' AS TIPOLOGIA_TESTE,'"&amp;E645&amp;"' AS TABELA_LT,'"&amp;F645&amp;"' AS TABELA_SIMUL,'"&amp;C645&amp;"'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"&amp;J645&amp;" INNER JOIN "&amp;K645&amp;" "&amp;L645))</f>
        <v>SELECT 'INSTR_ENT' AS TABELA, 'COERÊNCIA' AS TIPOLOGIA_TESTE,'CD_LOAN_TAPES_BCE.LT005_INSTR_ENT' AS TABELA_LT,'BU_LOANTAPE_WORK.LT005_INSTR_ENT'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add_fld04 AS CAMPO_IT FROM CD_LOAN_TAPES_BCE.LT005_INSTR_ENT WHERE ref_date='${ref_date}' AND nome_perimetro='Individual Local' AND segmento='ESTR' AND ambito='PM' AND entidade='00100')X INNER JOIN (SELECT instrmnt_id AS CHAVE_SIMUL1, entty_id AS CHAVE_SIMUL2, add_fld04 AS CAMPO_SIMUL FROM BU_LOANTAPE_WORK.LT005_INSTR_ENT WHERE ref_date='${ref_date}' AND nome_perimetro='Individual Local' AND segmento='ESTR' AND ambito='PM' AND entidade='00100')Y ON X.CHAVE_IT1=Y.CHAVE_SIMUL1 AND X.CHAVE_IT2=Y.CHAVE_SIMUL2</v>
      </c>
      <c r="N645" s="33" t="str">
        <f t="shared" si="21"/>
        <v>UNION ALL SELECT 'INSTR_ENT' AS TABELA, 'COERÊNCIA' AS TIPOLOGIA_TESTE,'CD_LOAN_TAPES_BCE.LT005_INSTR_ENT' AS TABELA_LT,'BU_LOANTAPE_WORK.LT005_INSTR_ENT'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add_fld04 AS CAMPO_IT FROM CD_LOAN_TAPES_BCE.LT005_INSTR_ENT WHERE ref_date='${ref_date}' AND nome_perimetro='Individual Local' AND segmento='ESTR' AND ambito='PM' AND entidade='00100')X INNER JOIN (SELECT instrmnt_id AS CHAVE_SIMUL1, entty_id AS CHAVE_SIMUL2, add_fld04 AS CAMPO_SIMUL FROM BU_LOANTAPE_WORK.LT005_INSTR_ENT WHERE ref_date='${ref_date}' AND nome_perimetro='Individual Local' AND segmento='ESTR' AND ambito='PM' AND entidade='00100')Y ON X.CHAVE_IT1=Y.CHAVE_SIMUL1 AND X.CHAVE_IT2=Y.CHAVE_SIMUL2</v>
      </c>
      <c r="O645" s="35" t="s">
        <v>35</v>
      </c>
    </row>
    <row r="646" spans="1:15">
      <c r="A646" s="57" t="str">
        <f t="shared" si="20"/>
        <v>INSTR_ENTadd_fld05</v>
      </c>
      <c r="B646" s="32" t="s">
        <v>686</v>
      </c>
      <c r="C646" s="32" t="s">
        <v>351</v>
      </c>
      <c r="D646" s="32" t="s">
        <v>5</v>
      </c>
      <c r="E646" s="32" t="str">
        <f>+UPPER('0. Instruções'!$D$35&amp;"."&amp;VLOOKUP(B646,'0. Instruções'!$C$27:$D$32,2,FALSE))</f>
        <v>CD_LOAN_TAPES_BCE.LT005_INSTR_ENT</v>
      </c>
      <c r="F646" s="32" t="str">
        <f>+UPPER('0. Instruções'!$D$36&amp;"."&amp;VLOOKUP(B646,'0. Instruções'!$C$27:$E$32,3,FALSE))</f>
        <v>BU_LOANTAPE_WORK.LT005_INSTR_ENT</v>
      </c>
      <c r="H646" s="32"/>
      <c r="I646" s="32"/>
      <c r="J646" s="32" t="str">
        <f>IF(VLOOKUP(B646,'0. Instruções'!$C$27:$G$32,5,FALSE)=0,
"(SELECT "&amp;VLOOKUP(B646,'0. Instruções'!$C$27:$G$32,4,FALSE)&amp;" AS CHAVE_IT, "&amp;C646&amp;" AS CAMPO_IT FROM "&amp;E646&amp;" WHERE "&amp;'0. Instruções'!$D$43&amp;")X",
"(SELECT "&amp;VLOOKUP(B646,'0. Instruções'!$C$27:$G$32,4,FALSE)&amp;" AS CHAVE_IT1, "&amp;VLOOKUP(B646,'0. Instruções'!$C$27:$G$32,5,FALSE)&amp;" AS CHAVE_IT2, "&amp;C646&amp;" AS CAMPO_IT FROM "&amp;E646&amp;" WHERE "&amp;'0. Instruções'!$D$43&amp;")X")</f>
        <v>(SELECT instrmnt_id AS CHAVE_IT1, entty_id AS CHAVE_IT2, add_fld05 AS CAMPO_IT FROM CD_LOAN_TAPES_BCE.LT005_INSTR_ENT WHERE ref_date='${ref_date}' AND nome_perimetro='Individual Local' AND segmento='ESTR' AND ambito='PM' AND entidade='00100')X</v>
      </c>
      <c r="K646" s="32" t="str">
        <f>IF(VLOOKUP(B646,'0. Instruções'!$C$27:$G$32,5,FALSE)=0,
"(SELECT "&amp;VLOOKUP(B646,'0. Instruções'!$C$27:$G$32,4,FALSE)&amp;" AS CHAVE_SIMUL, "&amp;C646&amp;" AS CAMPO_SIMUL FROM "&amp;F646&amp;" WHERE "&amp;'0. Instruções'!$D$42&amp;")Y",
"(SELECT "&amp;VLOOKUP(B646,'0. Instruções'!$C$27:$G$32,4,FALSE)&amp;" AS CHAVE_SIMUL1, "&amp;VLOOKUP(B646,'0. Instruções'!$C$27:$G$32,5,FALSE)&amp;" AS CHAVE_SIMUL2, "&amp;C646&amp;" AS CAMPO_SIMUL FROM "&amp;F646&amp;" WHERE "&amp;'0. Instruções'!$D$42&amp;")Y")</f>
        <v>(SELECT instrmnt_id AS CHAVE_SIMUL1, entty_id AS CHAVE_SIMUL2, add_fld05 AS CAMPO_SIMUL FROM BU_LOANTAPE_WORK.LT005_INSTR_ENT WHERE ref_date='${ref_date}' AND nome_perimetro='Individual Local' AND segmento='ESTR' AND ambito='PM' AND entidade='00100')Y</v>
      </c>
      <c r="L646" s="32" t="str">
        <f>IF(VLOOKUP(B646,'0. Instruções'!$C$27:$G$32,5,FALSE)=0,
"ON X.CHAVE_IT=Y.CHAVE_SIMUL",
"ON X.CHAVE_IT1=Y.CHAVE_SIMUL1 AND X.CHAVE_IT2=Y.CHAVE_SIMUL2")</f>
        <v>ON X.CHAVE_IT1=Y.CHAVE_SIMUL1 AND X.CHAVE_IT2=Y.CHAVE_SIMUL2</v>
      </c>
      <c r="M646" s="32" t="str">
        <f>+IF(D646="Coerência",+IF(LEFT(H646,5)="FLOAT","SELECT '"&amp;UPPER(B646)&amp;"' AS TABELA, '"&amp;UPPER(D646)&amp;"' AS TIPOLOGIA_TESTE,'"&amp;E646&amp;"' AS TABELA_LT,'"&amp;F646&amp;"' AS TABELA_SIMUL,'"&amp;C646&amp;"'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"&amp;J646&amp;" INNER JOIN "&amp;K646&amp;" "&amp;L646,"SELECT '"&amp;UPPER(B646)&amp;"' AS TABELA, '"&amp;UPPER(D646)&amp;"' AS TIPOLOGIA_TESTE,'"&amp;E646&amp;"' AS TABELA_LT,'"&amp;F646&amp;"' AS TABELA_SIMUL,'"&amp;C646&amp;"'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"&amp;J646&amp;" INNER JOIN "&amp;K646&amp;" "&amp;L646))</f>
        <v>SELECT 'INSTR_ENT' AS TABELA, 'COERÊNCIA' AS TIPOLOGIA_TESTE,'CD_LOAN_TAPES_BCE.LT005_INSTR_ENT' AS TABELA_LT,'BU_LOANTAPE_WORK.LT005_INSTR_ENT'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add_fld05 AS CAMPO_IT FROM CD_LOAN_TAPES_BCE.LT005_INSTR_ENT WHERE ref_date='${ref_date}' AND nome_perimetro='Individual Local' AND segmento='ESTR' AND ambito='PM' AND entidade='00100')X INNER JOIN (SELECT instrmnt_id AS CHAVE_SIMUL1, entty_id AS CHAVE_SIMUL2, add_fld05 AS CAMPO_SIMUL FROM BU_LOANTAPE_WORK.LT005_INSTR_ENT WHERE ref_date='${ref_date}' AND nome_perimetro='Individual Local' AND segmento='ESTR' AND ambito='PM' AND entidade='00100')Y ON X.CHAVE_IT1=Y.CHAVE_SIMUL1 AND X.CHAVE_IT2=Y.CHAVE_SIMUL2</v>
      </c>
      <c r="N646" s="33" t="str">
        <f t="shared" si="21"/>
        <v>UNION ALL SELECT 'INSTR_ENT' AS TABELA, 'COERÊNCIA' AS TIPOLOGIA_TESTE,'CD_LOAN_TAPES_BCE.LT005_INSTR_ENT' AS TABELA_LT,'BU_LOANTAPE_WORK.LT005_INSTR_ENT'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add_fld05 AS CAMPO_IT FROM CD_LOAN_TAPES_BCE.LT005_INSTR_ENT WHERE ref_date='${ref_date}' AND nome_perimetro='Individual Local' AND segmento='ESTR' AND ambito='PM' AND entidade='00100')X INNER JOIN (SELECT instrmnt_id AS CHAVE_SIMUL1, entty_id AS CHAVE_SIMUL2, add_fld05 AS CAMPO_SIMUL FROM BU_LOANTAPE_WORK.LT005_INSTR_ENT WHERE ref_date='${ref_date}' AND nome_perimetro='Individual Local' AND segmento='ESTR' AND ambito='PM' AND entidade='00100')Y ON X.CHAVE_IT1=Y.CHAVE_SIMUL1 AND X.CHAVE_IT2=Y.CHAVE_SIMUL2</v>
      </c>
      <c r="O646" s="35" t="s">
        <v>35</v>
      </c>
    </row>
    <row r="647" spans="1:15">
      <c r="A647" s="57" t="str">
        <f t="shared" si="20"/>
        <v>INSTR_ENTcod_soc</v>
      </c>
      <c r="B647" s="32" t="s">
        <v>686</v>
      </c>
      <c r="C647" s="32" t="s">
        <v>149</v>
      </c>
      <c r="D647" s="32" t="s">
        <v>5</v>
      </c>
      <c r="E647" s="32" t="str">
        <f>+UPPER('0. Instruções'!$D$35&amp;"."&amp;VLOOKUP(B647,'0. Instruções'!$C$27:$D$32,2,FALSE))</f>
        <v>CD_LOAN_TAPES_BCE.LT005_INSTR_ENT</v>
      </c>
      <c r="F647" s="32" t="str">
        <f>+UPPER('0. Instruções'!$D$36&amp;"."&amp;VLOOKUP(B647,'0. Instruções'!$C$27:$E$32,3,FALSE))</f>
        <v>BU_LOANTAPE_WORK.LT005_INSTR_ENT</v>
      </c>
      <c r="H647" s="32"/>
      <c r="I647" s="32"/>
      <c r="J647" s="32" t="str">
        <f>IF(VLOOKUP(B647,'0. Instruções'!$C$27:$G$32,5,FALSE)=0,
"(SELECT "&amp;VLOOKUP(B647,'0. Instruções'!$C$27:$G$32,4,FALSE)&amp;" AS CHAVE_IT, "&amp;C647&amp;" AS CAMPO_IT FROM "&amp;E647&amp;" WHERE "&amp;'0. Instruções'!$D$43&amp;")X",
"(SELECT "&amp;VLOOKUP(B647,'0. Instruções'!$C$27:$G$32,4,FALSE)&amp;" AS CHAVE_IT1, "&amp;VLOOKUP(B647,'0. Instruções'!$C$27:$G$32,5,FALSE)&amp;" AS CHAVE_IT2, "&amp;C647&amp;" AS CAMPO_IT FROM "&amp;E647&amp;" WHERE "&amp;'0. Instruções'!$D$43&amp;")X")</f>
        <v>(SELECT instrmnt_id AS CHAVE_IT1, entty_id AS CHAVE_IT2, cod_soc AS CAMPO_IT FROM CD_LOAN_TAPES_BCE.LT005_INSTR_ENT WHERE ref_date='${ref_date}' AND nome_perimetro='Individual Local' AND segmento='ESTR' AND ambito='PM' AND entidade='00100')X</v>
      </c>
      <c r="K647" s="32" t="str">
        <f>IF(VLOOKUP(B647,'0. Instruções'!$C$27:$G$32,5,FALSE)=0,
"(SELECT "&amp;VLOOKUP(B647,'0. Instruções'!$C$27:$G$32,4,FALSE)&amp;" AS CHAVE_SIMUL, "&amp;C647&amp;" AS CAMPO_SIMUL FROM "&amp;F647&amp;" WHERE "&amp;'0. Instruções'!$D$42&amp;")Y",
"(SELECT "&amp;VLOOKUP(B647,'0. Instruções'!$C$27:$G$32,4,FALSE)&amp;" AS CHAVE_SIMUL1, "&amp;VLOOKUP(B647,'0. Instruções'!$C$27:$G$32,5,FALSE)&amp;" AS CHAVE_SIMUL2, "&amp;C647&amp;" AS CAMPO_SIMUL FROM "&amp;F647&amp;" WHERE "&amp;'0. Instruções'!$D$42&amp;")Y")</f>
        <v>(SELECT instrmnt_id AS CHAVE_SIMUL1, entty_id AS CHAVE_SIMUL2, cod_soc AS CAMPO_SIMUL FROM BU_LOANTAPE_WORK.LT005_INSTR_ENT WHERE ref_date='${ref_date}' AND nome_perimetro='Individual Local' AND segmento='ESTR' AND ambito='PM' AND entidade='00100')Y</v>
      </c>
      <c r="L647" s="32" t="str">
        <f>IF(VLOOKUP(B647,'0. Instruções'!$C$27:$G$32,5,FALSE)=0,
"ON X.CHAVE_IT=Y.CHAVE_SIMUL",
"ON X.CHAVE_IT1=Y.CHAVE_SIMUL1 AND X.CHAVE_IT2=Y.CHAVE_SIMUL2")</f>
        <v>ON X.CHAVE_IT1=Y.CHAVE_SIMUL1 AND X.CHAVE_IT2=Y.CHAVE_SIMUL2</v>
      </c>
      <c r="M647" s="32" t="str">
        <f>+IF(D647="Coerência",+IF(LEFT(H647,5)="FLOAT","SELECT '"&amp;UPPER(B647)&amp;"' AS TABELA, '"&amp;UPPER(D647)&amp;"' AS TIPOLOGIA_TESTE,'"&amp;E647&amp;"' AS TABELA_LT,'"&amp;F647&amp;"' AS TABELA_SIMUL,'"&amp;C647&amp;"'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"&amp;J647&amp;" INNER JOIN "&amp;K647&amp;" "&amp;L647,"SELECT '"&amp;UPPER(B647)&amp;"' AS TABELA, '"&amp;UPPER(D647)&amp;"' AS TIPOLOGIA_TESTE,'"&amp;E647&amp;"' AS TABELA_LT,'"&amp;F647&amp;"' AS TABELA_SIMUL,'"&amp;C647&amp;"'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"&amp;J647&amp;" INNER JOIN "&amp;K647&amp;" "&amp;L647))</f>
        <v>SELECT 'INSTR_ENT'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ambito='PM' AND entidade='00100')X INNER JOIN (SELECT instrmnt_id AS CHAVE_SIMUL1, entty_id AS CHAVE_SIMUL2, cod_soc AS CAMPO_SIMUL FROM BU_LOANTAPE_WORK.LT005_INSTR_ENT WHERE ref_date='${ref_date}' AND nome_perimetro='Individual Local' AND segmento='ESTR' AND ambito='PM' AND entidade='00100')Y ON X.CHAVE_IT1=Y.CHAVE_SIMUL1 AND X.CHAVE_IT2=Y.CHAVE_SIMUL2</v>
      </c>
      <c r="N647" s="33" t="str">
        <f t="shared" si="21"/>
        <v>UNION ALL SELECT 'INSTR_ENT' AS TABELA, 'COERÊNCIA' AS TIPOLOGIA_TESTE,'CD_LOAN_TAPES_BCE.LT005_INSTR_ENT' AS TABELA_LT,'BU_LOANTAPE_WORK.LT005_INSTR_ENT'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cod_soc AS CAMPO_IT FROM CD_LOAN_TAPES_BCE.LT005_INSTR_ENT WHERE ref_date='${ref_date}' AND nome_perimetro='Individual Local' AND segmento='ESTR' AND ambito='PM' AND entidade='00100')X INNER JOIN (SELECT instrmnt_id AS CHAVE_SIMUL1, entty_id AS CHAVE_SIMUL2, cod_soc AS CAMPO_SIMUL FROM BU_LOANTAPE_WORK.LT005_INSTR_ENT WHERE ref_date='${ref_date}' AND nome_perimetro='Individual Local' AND segmento='ESTR' AND ambito='PM' AND entidade='00100')Y ON X.CHAVE_IT1=Y.CHAVE_SIMUL1 AND X.CHAVE_IT2=Y.CHAVE_SIMUL2</v>
      </c>
      <c r="O647" s="35" t="s">
        <v>35</v>
      </c>
    </row>
    <row r="648" spans="1:15">
      <c r="A648" s="57" t="str">
        <f t="shared" si="20"/>
        <v>INSTR_ENTcrelacao_cl_cnt</v>
      </c>
      <c r="B648" s="32" t="s">
        <v>686</v>
      </c>
      <c r="C648" s="32" t="s">
        <v>672</v>
      </c>
      <c r="D648" s="32" t="s">
        <v>5</v>
      </c>
      <c r="E648" s="32" t="str">
        <f>+UPPER('0. Instruções'!$D$35&amp;"."&amp;VLOOKUP(B648,'0. Instruções'!$C$27:$D$32,2,FALSE))</f>
        <v>CD_LOAN_TAPES_BCE.LT005_INSTR_ENT</v>
      </c>
      <c r="F648" s="32" t="str">
        <f>+UPPER('0. Instruções'!$D$36&amp;"."&amp;VLOOKUP(B648,'0. Instruções'!$C$27:$E$32,3,FALSE))</f>
        <v>BU_LOANTAPE_WORK.LT005_INSTR_ENT</v>
      </c>
      <c r="H648" s="32"/>
      <c r="I648" s="32"/>
      <c r="J648" s="32" t="str">
        <f>IF(VLOOKUP(B648,'0. Instruções'!$C$27:$G$32,5,FALSE)=0,
"(SELECT "&amp;VLOOKUP(B648,'0. Instruções'!$C$27:$G$32,4,FALSE)&amp;" AS CHAVE_IT, "&amp;C648&amp;" AS CAMPO_IT FROM "&amp;E648&amp;" WHERE "&amp;'0. Instruções'!$D$43&amp;")X",
"(SELECT "&amp;VLOOKUP(B648,'0. Instruções'!$C$27:$G$32,4,FALSE)&amp;" AS CHAVE_IT1, "&amp;VLOOKUP(B648,'0. Instruções'!$C$27:$G$32,5,FALSE)&amp;" AS CHAVE_IT2, "&amp;C648&amp;" AS CAMPO_IT FROM "&amp;E648&amp;" WHERE "&amp;'0. Instruções'!$D$43&amp;")X")</f>
        <v>(SELECT instrmnt_id AS CHAVE_IT1, entty_id AS CHAVE_IT2, crelacao_cl_cnt AS CAMPO_IT FROM CD_LOAN_TAPES_BCE.LT005_INSTR_ENT WHERE ref_date='${ref_date}' AND nome_perimetro='Individual Local' AND segmento='ESTR' AND ambito='PM' AND entidade='00100')X</v>
      </c>
      <c r="K648" s="32" t="str">
        <f>IF(VLOOKUP(B648,'0. Instruções'!$C$27:$G$32,5,FALSE)=0,
"(SELECT "&amp;VLOOKUP(B648,'0. Instruções'!$C$27:$G$32,4,FALSE)&amp;" AS CHAVE_SIMUL, "&amp;C648&amp;" AS CAMPO_SIMUL FROM "&amp;F648&amp;" WHERE "&amp;'0. Instruções'!$D$42&amp;")Y",
"(SELECT "&amp;VLOOKUP(B648,'0. Instruções'!$C$27:$G$32,4,FALSE)&amp;" AS CHAVE_SIMUL1, "&amp;VLOOKUP(B648,'0. Instruções'!$C$27:$G$32,5,FALSE)&amp;" AS CHAVE_SIMUL2, "&amp;C648&amp;" AS CAMPO_SIMUL FROM "&amp;F648&amp;" WHERE "&amp;'0. Instruções'!$D$42&amp;")Y")</f>
        <v>(SELECT instrmnt_id AS CHAVE_SIMUL1, entty_id AS CHAVE_SIMUL2, crelacao_cl_cnt AS CAMPO_SIMUL FROM BU_LOANTAPE_WORK.LT005_INSTR_ENT WHERE ref_date='${ref_date}' AND nome_perimetro='Individual Local' AND segmento='ESTR' AND ambito='PM' AND entidade='00100')Y</v>
      </c>
      <c r="L648" s="32" t="str">
        <f>IF(VLOOKUP(B648,'0. Instruções'!$C$27:$G$32,5,FALSE)=0,
"ON X.CHAVE_IT=Y.CHAVE_SIMUL",
"ON X.CHAVE_IT1=Y.CHAVE_SIMUL1 AND X.CHAVE_IT2=Y.CHAVE_SIMUL2")</f>
        <v>ON X.CHAVE_IT1=Y.CHAVE_SIMUL1 AND X.CHAVE_IT2=Y.CHAVE_SIMUL2</v>
      </c>
      <c r="M648" s="32" t="str">
        <f>+IF(D648="Coerência",+IF(LEFT(H648,5)="FLOAT","SELECT '"&amp;UPPER(B648)&amp;"' AS TABELA, '"&amp;UPPER(D648)&amp;"' AS TIPOLOGIA_TESTE,'"&amp;E648&amp;"' AS TABELA_LT,'"&amp;F648&amp;"' AS TABELA_SIMUL,'"&amp;C648&amp;"'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"&amp;J648&amp;" INNER JOIN "&amp;K648&amp;" "&amp;L648,"SELECT '"&amp;UPPER(B648)&amp;"' AS TABELA, '"&amp;UPPER(D648)&amp;"' AS TIPOLOGIA_TESTE,'"&amp;E648&amp;"' AS TABELA_LT,'"&amp;F648&amp;"' AS TABELA_SIMUL,'"&amp;C648&amp;"'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"&amp;J648&amp;" INNER JOIN "&amp;K648&amp;" "&amp;L648))</f>
        <v>SELECT 'INSTR_ENT'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ambito='PM' AND entidade='00100')X INNER JOIN (SELECT instrmnt_id AS CHAVE_SIMUL1, entty_id AS CHAVE_SIMUL2, crelacao_cl_cnt AS CAMPO_SIMUL FROM BU_LOANTAPE_WORK.LT005_INSTR_ENT WHERE ref_date='${ref_date}' AND nome_perimetro='Individual Local' AND segmento='ESTR' AND ambito='PM' AND entidade='00100')Y ON X.CHAVE_IT1=Y.CHAVE_SIMUL1 AND X.CHAVE_IT2=Y.CHAVE_SIMUL2</v>
      </c>
      <c r="N648" s="33" t="str">
        <f t="shared" si="21"/>
        <v>UNION ALL SELECT 'INSTR_ENT' AS TABELA, 'COERÊNCIA' AS TIPOLOGIA_TESTE,'CD_LOAN_TAPES_BCE.LT005_INSTR_ENT' AS TABELA_LT,'BU_LOANTAPE_WORK.LT005_INSTR_ENT' AS TABELA_SIMUL,'crelacao_cl_cnt'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crelacao_cl_cnt AS CAMPO_IT FROM CD_LOAN_TAPES_BCE.LT005_INSTR_ENT WHERE ref_date='${ref_date}' AND nome_perimetro='Individual Local' AND segmento='ESTR' AND ambito='PM' AND entidade='00100')X INNER JOIN (SELECT instrmnt_id AS CHAVE_SIMUL1, entty_id AS CHAVE_SIMUL2, crelacao_cl_cnt AS CAMPO_SIMUL FROM BU_LOANTAPE_WORK.LT005_INSTR_ENT WHERE ref_date='${ref_date}' AND nome_perimetro='Individual Local' AND segmento='ESTR' AND ambito='PM' AND entidade='00100')Y ON X.CHAVE_IT1=Y.CHAVE_SIMUL1 AND X.CHAVE_IT2=Y.CHAVE_SIMUL2</v>
      </c>
      <c r="O648" s="35" t="s">
        <v>35</v>
      </c>
    </row>
    <row r="649" spans="1:15">
      <c r="A649" s="57" t="str">
        <f t="shared" ref="A649:A712" si="22">+B649&amp;C649</f>
        <v>INSTR_ENTcsequencia_rel</v>
      </c>
      <c r="B649" s="32" t="s">
        <v>686</v>
      </c>
      <c r="C649" s="32" t="s">
        <v>673</v>
      </c>
      <c r="D649" s="32" t="s">
        <v>5</v>
      </c>
      <c r="E649" s="32" t="str">
        <f>+UPPER('0. Instruções'!$D$35&amp;"."&amp;VLOOKUP(B649,'0. Instruções'!$C$27:$D$32,2,FALSE))</f>
        <v>CD_LOAN_TAPES_BCE.LT005_INSTR_ENT</v>
      </c>
      <c r="F649" s="32" t="str">
        <f>+UPPER('0. Instruções'!$D$36&amp;"."&amp;VLOOKUP(B649,'0. Instruções'!$C$27:$E$32,3,FALSE))</f>
        <v>BU_LOANTAPE_WORK.LT005_INSTR_ENT</v>
      </c>
      <c r="H649" s="32"/>
      <c r="I649" s="32"/>
      <c r="J649" s="32" t="str">
        <f>IF(VLOOKUP(B649,'0. Instruções'!$C$27:$G$32,5,FALSE)=0,
"(SELECT "&amp;VLOOKUP(B649,'0. Instruções'!$C$27:$G$32,4,FALSE)&amp;" AS CHAVE_IT, "&amp;C649&amp;" AS CAMPO_IT FROM "&amp;E649&amp;" WHERE "&amp;'0. Instruções'!$D$43&amp;")X",
"(SELECT "&amp;VLOOKUP(B649,'0. Instruções'!$C$27:$G$32,4,FALSE)&amp;" AS CHAVE_IT1, "&amp;VLOOKUP(B649,'0. Instruções'!$C$27:$G$32,5,FALSE)&amp;" AS CHAVE_IT2, "&amp;C649&amp;" AS CAMPO_IT FROM "&amp;E649&amp;" WHERE "&amp;'0. Instruções'!$D$43&amp;")X")</f>
        <v>(SELECT instrmnt_id AS CHAVE_IT1, entty_id AS CHAVE_IT2, csequencia_rel AS CAMPO_IT FROM CD_LOAN_TAPES_BCE.LT005_INSTR_ENT WHERE ref_date='${ref_date}' AND nome_perimetro='Individual Local' AND segmento='ESTR' AND ambito='PM' AND entidade='00100')X</v>
      </c>
      <c r="K649" s="32" t="str">
        <f>IF(VLOOKUP(B649,'0. Instruções'!$C$27:$G$32,5,FALSE)=0,
"(SELECT "&amp;VLOOKUP(B649,'0. Instruções'!$C$27:$G$32,4,FALSE)&amp;" AS CHAVE_SIMUL, "&amp;C649&amp;" AS CAMPO_SIMUL FROM "&amp;F649&amp;" WHERE "&amp;'0. Instruções'!$D$42&amp;")Y",
"(SELECT "&amp;VLOOKUP(B649,'0. Instruções'!$C$27:$G$32,4,FALSE)&amp;" AS CHAVE_SIMUL1, "&amp;VLOOKUP(B649,'0. Instruções'!$C$27:$G$32,5,FALSE)&amp;" AS CHAVE_SIMUL2, "&amp;C649&amp;" AS CAMPO_SIMUL FROM "&amp;F649&amp;" WHERE "&amp;'0. Instruções'!$D$42&amp;")Y")</f>
        <v>(SELECT instrmnt_id AS CHAVE_SIMUL1, entty_id AS CHAVE_SIMUL2, csequencia_rel AS CAMPO_SIMUL FROM BU_LOANTAPE_WORK.LT005_INSTR_ENT WHERE ref_date='${ref_date}' AND nome_perimetro='Individual Local' AND segmento='ESTR' AND ambito='PM' AND entidade='00100')Y</v>
      </c>
      <c r="L649" s="32" t="str">
        <f>IF(VLOOKUP(B649,'0. Instruções'!$C$27:$G$32,5,FALSE)=0,
"ON X.CHAVE_IT=Y.CHAVE_SIMUL",
"ON X.CHAVE_IT1=Y.CHAVE_SIMUL1 AND X.CHAVE_IT2=Y.CHAVE_SIMUL2")</f>
        <v>ON X.CHAVE_IT1=Y.CHAVE_SIMUL1 AND X.CHAVE_IT2=Y.CHAVE_SIMUL2</v>
      </c>
      <c r="M649" s="32" t="str">
        <f>+IF(D649="Coerência",+IF(LEFT(H649,5)="FLOAT","SELECT '"&amp;UPPER(B649)&amp;"' AS TABELA, '"&amp;UPPER(D649)&amp;"' AS TIPOLOGIA_TESTE,'"&amp;E649&amp;"' AS TABELA_LT,'"&amp;F649&amp;"' AS TABELA_SIMUL,'"&amp;C649&amp;"'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"&amp;J649&amp;" INNER JOIN "&amp;K649&amp;" "&amp;L649,"SELECT '"&amp;UPPER(B649)&amp;"' AS TABELA, '"&amp;UPPER(D649)&amp;"' AS TIPOLOGIA_TESTE,'"&amp;E649&amp;"' AS TABELA_LT,'"&amp;F649&amp;"' AS TABELA_SIMUL,'"&amp;C649&amp;"'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"&amp;J649&amp;" INNER JOIN "&amp;K649&amp;" "&amp;L649))</f>
        <v>SELECT 'INSTR_ENT' AS TABELA, 'COERÊNCIA' AS TIPOLOGIA_TESTE,'CD_LOAN_TAPES_BCE.LT005_INSTR_ENT' AS TABELA_LT,'BU_LOANTAPE_WORK.LT005_INSTR_ENT' AS TABELA_SIMUL,'csequencia_rel'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csequencia_rel AS CAMPO_IT FROM CD_LOAN_TAPES_BCE.LT005_INSTR_ENT WHERE ref_date='${ref_date}' AND nome_perimetro='Individual Local' AND segmento='ESTR' AND ambito='PM' AND entidade='00100')X INNER JOIN (SELECT instrmnt_id AS CHAVE_SIMUL1, entty_id AS CHAVE_SIMUL2, csequencia_rel AS CAMPO_SIMUL FROM BU_LOANTAPE_WORK.LT005_INSTR_ENT WHERE ref_date='${ref_date}' AND nome_perimetro='Individual Local' AND segmento='ESTR' AND ambito='PM' AND entidade='00100')Y ON X.CHAVE_IT1=Y.CHAVE_SIMUL1 AND X.CHAVE_IT2=Y.CHAVE_SIMUL2</v>
      </c>
      <c r="N649" s="33" t="str">
        <f t="shared" si="21"/>
        <v>UNION ALL SELECT 'INSTR_ENT' AS TABELA, 'COERÊNCIA' AS TIPOLOGIA_TESTE,'CD_LOAN_TAPES_BCE.LT005_INSTR_ENT' AS TABELA_LT,'BU_LOANTAPE_WORK.LT005_INSTR_ENT' AS TABELA_SIMUL,'csequencia_rel'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csequencia_rel AS CAMPO_IT FROM CD_LOAN_TAPES_BCE.LT005_INSTR_ENT WHERE ref_date='${ref_date}' AND nome_perimetro='Individual Local' AND segmento='ESTR' AND ambito='PM' AND entidade='00100')X INNER JOIN (SELECT instrmnt_id AS CHAVE_SIMUL1, entty_id AS CHAVE_SIMUL2, csequencia_rel AS CAMPO_SIMUL FROM BU_LOANTAPE_WORK.LT005_INSTR_ENT WHERE ref_date='${ref_date}' AND nome_perimetro='Individual Local' AND segmento='ESTR' AND ambito='PM' AND entidade='00100')Y ON X.CHAVE_IT1=Y.CHAVE_SIMUL1 AND X.CHAVE_IT2=Y.CHAVE_SIMUL2</v>
      </c>
      <c r="O649" s="35" t="s">
        <v>35</v>
      </c>
    </row>
    <row r="650" spans="1:15">
      <c r="A650" s="57" t="str">
        <f t="shared" si="22"/>
        <v>INSTR_ENTexporta_rel</v>
      </c>
      <c r="B650" s="32" t="s">
        <v>686</v>
      </c>
      <c r="C650" s="32" t="s">
        <v>674</v>
      </c>
      <c r="D650" s="32" t="s">
        <v>5</v>
      </c>
      <c r="E650" s="32" t="str">
        <f>+UPPER('0. Instruções'!$D$35&amp;"."&amp;VLOOKUP(B650,'0. Instruções'!$C$27:$D$32,2,FALSE))</f>
        <v>CD_LOAN_TAPES_BCE.LT005_INSTR_ENT</v>
      </c>
      <c r="F650" s="32" t="str">
        <f>+UPPER('0. Instruções'!$D$36&amp;"."&amp;VLOOKUP(B650,'0. Instruções'!$C$27:$E$32,3,FALSE))</f>
        <v>BU_LOANTAPE_WORK.LT005_INSTR_ENT</v>
      </c>
      <c r="H650" s="32"/>
      <c r="I650" s="32"/>
      <c r="J650" s="32" t="str">
        <f>IF(VLOOKUP(B650,'0. Instruções'!$C$27:$G$32,5,FALSE)=0,
"(SELECT "&amp;VLOOKUP(B650,'0. Instruções'!$C$27:$G$32,4,FALSE)&amp;" AS CHAVE_IT, "&amp;C650&amp;" AS CAMPO_IT FROM "&amp;E650&amp;" WHERE "&amp;'0. Instruções'!$D$43&amp;")X",
"(SELECT "&amp;VLOOKUP(B650,'0. Instruções'!$C$27:$G$32,4,FALSE)&amp;" AS CHAVE_IT1, "&amp;VLOOKUP(B650,'0. Instruções'!$C$27:$G$32,5,FALSE)&amp;" AS CHAVE_IT2, "&amp;C650&amp;" AS CAMPO_IT FROM "&amp;E650&amp;" WHERE "&amp;'0. Instruções'!$D$43&amp;")X")</f>
        <v>(SELECT instrmnt_id AS CHAVE_IT1, entty_id AS CHAVE_IT2, exporta_rel AS CAMPO_IT FROM CD_LOAN_TAPES_BCE.LT005_INSTR_ENT WHERE ref_date='${ref_date}' AND nome_perimetro='Individual Local' AND segmento='ESTR' AND ambito='PM' AND entidade='00100')X</v>
      </c>
      <c r="K650" s="32" t="str">
        <f>IF(VLOOKUP(B650,'0. Instruções'!$C$27:$G$32,5,FALSE)=0,
"(SELECT "&amp;VLOOKUP(B650,'0. Instruções'!$C$27:$G$32,4,FALSE)&amp;" AS CHAVE_SIMUL, "&amp;C650&amp;" AS CAMPO_SIMUL FROM "&amp;F650&amp;" WHERE "&amp;'0. Instruções'!$D$42&amp;")Y",
"(SELECT "&amp;VLOOKUP(B650,'0. Instruções'!$C$27:$G$32,4,FALSE)&amp;" AS CHAVE_SIMUL1, "&amp;VLOOKUP(B650,'0. Instruções'!$C$27:$G$32,5,FALSE)&amp;" AS CHAVE_SIMUL2, "&amp;C650&amp;" AS CAMPO_SIMUL FROM "&amp;F650&amp;" WHERE "&amp;'0. Instruções'!$D$42&amp;")Y")</f>
        <v>(SELECT instrmnt_id AS CHAVE_SIMUL1, entty_id AS CHAVE_SIMUL2, exporta_rel AS CAMPO_SIMUL FROM BU_LOANTAPE_WORK.LT005_INSTR_ENT WHERE ref_date='${ref_date}' AND nome_perimetro='Individual Local' AND segmento='ESTR' AND ambito='PM' AND entidade='00100')Y</v>
      </c>
      <c r="L650" s="32" t="str">
        <f>IF(VLOOKUP(B650,'0. Instruções'!$C$27:$G$32,5,FALSE)=0,
"ON X.CHAVE_IT=Y.CHAVE_SIMUL",
"ON X.CHAVE_IT1=Y.CHAVE_SIMUL1 AND X.CHAVE_IT2=Y.CHAVE_SIMUL2")</f>
        <v>ON X.CHAVE_IT1=Y.CHAVE_SIMUL1 AND X.CHAVE_IT2=Y.CHAVE_SIMUL2</v>
      </c>
      <c r="M650" s="32" t="str">
        <f>+IF(D650="Coerência",+IF(LEFT(H650,5)="FLOAT","SELECT '"&amp;UPPER(B650)&amp;"' AS TABELA, '"&amp;UPPER(D650)&amp;"' AS TIPOLOGIA_TESTE,'"&amp;E650&amp;"' AS TABELA_LT,'"&amp;F650&amp;"' AS TABELA_SIMUL,'"&amp;C650&amp;"'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"&amp;J650&amp;" INNER JOIN "&amp;K650&amp;" "&amp;L650,"SELECT '"&amp;UPPER(B650)&amp;"' AS TABELA, '"&amp;UPPER(D650)&amp;"' AS TIPOLOGIA_TESTE,'"&amp;E650&amp;"' AS TABELA_LT,'"&amp;F650&amp;"' AS TABELA_SIMUL,'"&amp;C650&amp;"'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"&amp;J650&amp;" INNER JOIN "&amp;K650&amp;" "&amp;L650))</f>
        <v>SELECT 'INSTR_ENT'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ambito='PM' AND entidade='00100')X INNER JOIN (SELECT instrmnt_id AS CHAVE_SIMUL1, entty_id AS CHAVE_SIMUL2, exporta_rel AS CAMPO_SIMUL FROM BU_LOANTAPE_WORK.LT005_INSTR_ENT WHERE ref_date='${ref_date}' AND nome_perimetro='Individual Local' AND segmento='ESTR' AND ambito='PM' AND entidade='00100')Y ON X.CHAVE_IT1=Y.CHAVE_SIMUL1 AND X.CHAVE_IT2=Y.CHAVE_SIMUL2</v>
      </c>
      <c r="N650" s="33" t="str">
        <f t="shared" si="21"/>
        <v>UNION ALL SELECT 'INSTR_ENT' AS TABELA, 'COERÊNCIA' AS TIPOLOGIA_TESTE,'CD_LOAN_TAPES_BCE.LT005_INSTR_ENT' AS TABELA_LT,'BU_LOANTAPE_WORK.LT005_INSTR_ENT' AS TABELA_SIMUL,'exporta_rel'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exporta_rel AS CAMPO_IT FROM CD_LOAN_TAPES_BCE.LT005_INSTR_ENT WHERE ref_date='${ref_date}' AND nome_perimetro='Individual Local' AND segmento='ESTR' AND ambito='PM' AND entidade='00100')X INNER JOIN (SELECT instrmnt_id AS CHAVE_SIMUL1, entty_id AS CHAVE_SIMUL2, exporta_rel AS CAMPO_SIMUL FROM BU_LOANTAPE_WORK.LT005_INSTR_ENT WHERE ref_date='${ref_date}' AND nome_perimetro='Individual Local' AND segmento='ESTR' AND ambito='PM' AND entidade='00100')Y ON X.CHAVE_IT1=Y.CHAVE_SIMUL1 AND X.CHAVE_IT2=Y.CHAVE_SIMUL2</v>
      </c>
      <c r="O650" s="35" t="s">
        <v>35</v>
      </c>
    </row>
    <row r="651" spans="1:15">
      <c r="A651" s="57" t="str">
        <f t="shared" si="22"/>
        <v>INSTR_ENTmn_entty_id</v>
      </c>
      <c r="B651" s="32" t="s">
        <v>686</v>
      </c>
      <c r="C651" s="32" t="s">
        <v>72</v>
      </c>
      <c r="D651" s="32" t="s">
        <v>5</v>
      </c>
      <c r="E651" s="32" t="str">
        <f>+UPPER('0. Instruções'!$D$35&amp;"."&amp;VLOOKUP(B651,'0. Instruções'!$C$27:$D$32,2,FALSE))</f>
        <v>CD_LOAN_TAPES_BCE.LT005_INSTR_ENT</v>
      </c>
      <c r="F651" s="32" t="str">
        <f>+UPPER('0. Instruções'!$D$36&amp;"."&amp;VLOOKUP(B651,'0. Instruções'!$C$27:$E$32,3,FALSE))</f>
        <v>BU_LOANTAPE_WORK.LT005_INSTR_ENT</v>
      </c>
      <c r="H651" s="32"/>
      <c r="I651" s="32"/>
      <c r="J651" s="32" t="str">
        <f>IF(VLOOKUP(B651,'0. Instruções'!$C$27:$G$32,5,FALSE)=0,
"(SELECT "&amp;VLOOKUP(B651,'0. Instruções'!$C$27:$G$32,4,FALSE)&amp;" AS CHAVE_IT, "&amp;C651&amp;" AS CAMPO_IT FROM "&amp;E651&amp;" WHERE "&amp;'0. Instruções'!$D$43&amp;")X",
"(SELECT "&amp;VLOOKUP(B651,'0. Instruções'!$C$27:$G$32,4,FALSE)&amp;" AS CHAVE_IT1, "&amp;VLOOKUP(B651,'0. Instruções'!$C$27:$G$32,5,FALSE)&amp;" AS CHAVE_IT2, "&amp;C651&amp;" AS CAMPO_IT FROM "&amp;E651&amp;" WHERE "&amp;'0. Instruções'!$D$43&amp;")X")</f>
        <v>(SELECT instrmnt_id AS CHAVE_IT1, entty_id AS CHAVE_IT2, mn_entty_id AS CAMPO_IT FROM CD_LOAN_TAPES_BCE.LT005_INSTR_ENT WHERE ref_date='${ref_date}' AND nome_perimetro='Individual Local' AND segmento='ESTR' AND ambito='PM' AND entidade='00100')X</v>
      </c>
      <c r="K651" s="32" t="str">
        <f>IF(VLOOKUP(B651,'0. Instruções'!$C$27:$G$32,5,FALSE)=0,
"(SELECT "&amp;VLOOKUP(B651,'0. Instruções'!$C$27:$G$32,4,FALSE)&amp;" AS CHAVE_SIMUL, "&amp;C651&amp;" AS CAMPO_SIMUL FROM "&amp;F651&amp;" WHERE "&amp;'0. Instruções'!$D$42&amp;")Y",
"(SELECT "&amp;VLOOKUP(B651,'0. Instruções'!$C$27:$G$32,4,FALSE)&amp;" AS CHAVE_SIMUL1, "&amp;VLOOKUP(B651,'0. Instruções'!$C$27:$G$32,5,FALSE)&amp;" AS CHAVE_SIMUL2, "&amp;C651&amp;" AS CAMPO_SIMUL FROM "&amp;F651&amp;" WHERE "&amp;'0. Instruções'!$D$42&amp;")Y")</f>
        <v>(SELECT instrmnt_id AS CHAVE_SIMUL1, entty_id AS CHAVE_SIMUL2, mn_entty_id AS CAMPO_SIMUL FROM BU_LOANTAPE_WORK.LT005_INSTR_ENT WHERE ref_date='${ref_date}' AND nome_perimetro='Individual Local' AND segmento='ESTR' AND ambito='PM' AND entidade='00100')Y</v>
      </c>
      <c r="L651" s="32" t="str">
        <f>IF(VLOOKUP(B651,'0. Instruções'!$C$27:$G$32,5,FALSE)=0,
"ON X.CHAVE_IT=Y.CHAVE_SIMUL",
"ON X.CHAVE_IT1=Y.CHAVE_SIMUL1 AND X.CHAVE_IT2=Y.CHAVE_SIMUL2")</f>
        <v>ON X.CHAVE_IT1=Y.CHAVE_SIMUL1 AND X.CHAVE_IT2=Y.CHAVE_SIMUL2</v>
      </c>
      <c r="M651" s="32" t="str">
        <f>+IF(D651="Coerência",+IF(LEFT(H651,5)="FLOAT","SELECT '"&amp;UPPER(B651)&amp;"' AS TABELA, '"&amp;UPPER(D651)&amp;"' AS TIPOLOGIA_TESTE,'"&amp;E651&amp;"' AS TABELA_LT,'"&amp;F651&amp;"' AS TABELA_SIMUL,'"&amp;C651&amp;"'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"&amp;J651&amp;" INNER JOIN "&amp;K651&amp;" "&amp;L651,"SELECT '"&amp;UPPER(B651)&amp;"' AS TABELA, '"&amp;UPPER(D651)&amp;"' AS TIPOLOGIA_TESTE,'"&amp;E651&amp;"' AS TABELA_LT,'"&amp;F651&amp;"' AS TABELA_SIMUL,'"&amp;C651&amp;"'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"&amp;J651&amp;" INNER JOIN "&amp;K651&amp;" "&amp;L651))</f>
        <v>SELECT 'INSTR_ENT'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ambito='PM' AND entidade='00100')X INNER JOIN (SELECT instrmnt_id AS CHAVE_SIMUL1, entty_id AS CHAVE_SIMUL2, mn_entty_id AS CAMPO_SIMUL FROM BU_LOANTAPE_WORK.LT005_INSTR_ENT WHERE ref_date='${ref_date}' AND nome_perimetro='Individual Local' AND segmento='ESTR' AND ambito='PM' AND entidade='00100')Y ON X.CHAVE_IT1=Y.CHAVE_SIMUL1 AND X.CHAVE_IT2=Y.CHAVE_SIMUL2</v>
      </c>
      <c r="N651" s="33" t="str">
        <f t="shared" si="21"/>
        <v>UNION ALL SELECT 'INSTR_ENT' AS TABELA, 'COERÊNCIA' AS TIPOLOGIA_TESTE,'CD_LOAN_TAPES_BCE.LT005_INSTR_ENT' AS TABELA_LT,'BU_LOANTAPE_WORK.LT005_INSTR_ENT' AS TABELA_SIMUL,'mn_entty_id'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mn_entty_id AS CAMPO_IT FROM CD_LOAN_TAPES_BCE.LT005_INSTR_ENT WHERE ref_date='${ref_date}' AND nome_perimetro='Individual Local' AND segmento='ESTR' AND ambito='PM' AND entidade='00100')X INNER JOIN (SELECT instrmnt_id AS CHAVE_SIMUL1, entty_id AS CHAVE_SIMUL2, mn_entty_id AS CAMPO_SIMUL FROM BU_LOANTAPE_WORK.LT005_INSTR_ENT WHERE ref_date='${ref_date}' AND nome_perimetro='Individual Local' AND segmento='ESTR' AND ambito='PM' AND entidade='00100')Y ON X.CHAVE_IT1=Y.CHAVE_SIMUL1 AND X.CHAVE_IT2=Y.CHAVE_SIMUL2</v>
      </c>
      <c r="O651" s="35" t="s">
        <v>35</v>
      </c>
    </row>
    <row r="652" spans="1:15">
      <c r="A652" s="57" t="str">
        <f t="shared" si="22"/>
        <v>INSTR_ENTcounterparty_role</v>
      </c>
      <c r="B652" s="32" t="s">
        <v>686</v>
      </c>
      <c r="C652" s="32" t="s">
        <v>591</v>
      </c>
      <c r="D652" s="32" t="s">
        <v>5</v>
      </c>
      <c r="E652" s="32" t="str">
        <f>+UPPER('0. Instruções'!$D$35&amp;"."&amp;VLOOKUP(B652,'0. Instruções'!$C$27:$D$32,2,FALSE))</f>
        <v>CD_LOAN_TAPES_BCE.LT005_INSTR_ENT</v>
      </c>
      <c r="F652" s="32" t="str">
        <f>+UPPER('0. Instruções'!$D$36&amp;"."&amp;VLOOKUP(B652,'0. Instruções'!$C$27:$E$32,3,FALSE))</f>
        <v>BU_LOANTAPE_WORK.LT005_INSTR_ENT</v>
      </c>
      <c r="H652" s="32"/>
      <c r="I652" s="32"/>
      <c r="J652" s="32" t="str">
        <f>IF(VLOOKUP(B652,'0. Instruções'!$C$27:$G$32,5,FALSE)=0,
"(SELECT "&amp;VLOOKUP(B652,'0. Instruções'!$C$27:$G$32,4,FALSE)&amp;" AS CHAVE_IT, "&amp;C652&amp;" AS CAMPO_IT FROM "&amp;E652&amp;" WHERE "&amp;'0. Instruções'!$D$43&amp;")X",
"(SELECT "&amp;VLOOKUP(B652,'0. Instruções'!$C$27:$G$32,4,FALSE)&amp;" AS CHAVE_IT1, "&amp;VLOOKUP(B652,'0. Instruções'!$C$27:$G$32,5,FALSE)&amp;" AS CHAVE_IT2, "&amp;C652&amp;" AS CAMPO_IT FROM "&amp;E652&amp;" WHERE "&amp;'0. Instruções'!$D$43&amp;")X")</f>
        <v>(SELECT instrmnt_id AS CHAVE_IT1, entty_id AS CHAVE_IT2, counterparty_role AS CAMPO_IT FROM CD_LOAN_TAPES_BCE.LT005_INSTR_ENT WHERE ref_date='${ref_date}' AND nome_perimetro='Individual Local' AND segmento='ESTR' AND ambito='PM' AND entidade='00100')X</v>
      </c>
      <c r="K652" s="32" t="str">
        <f>IF(VLOOKUP(B652,'0. Instruções'!$C$27:$G$32,5,FALSE)=0,
"(SELECT "&amp;VLOOKUP(B652,'0. Instruções'!$C$27:$G$32,4,FALSE)&amp;" AS CHAVE_SIMUL, "&amp;C652&amp;" AS CAMPO_SIMUL FROM "&amp;F652&amp;" WHERE "&amp;'0. Instruções'!$D$42&amp;")Y",
"(SELECT "&amp;VLOOKUP(B652,'0. Instruções'!$C$27:$G$32,4,FALSE)&amp;" AS CHAVE_SIMUL1, "&amp;VLOOKUP(B652,'0. Instruções'!$C$27:$G$32,5,FALSE)&amp;" AS CHAVE_SIMUL2, "&amp;C652&amp;" AS CAMPO_SIMUL FROM "&amp;F652&amp;" WHERE "&amp;'0. Instruções'!$D$42&amp;")Y")</f>
        <v>(SELECT instrmnt_id AS CHAVE_SIMUL1, entty_id AS CHAVE_SIMUL2, counterparty_role AS CAMPO_SIMUL FROM BU_LOANTAPE_WORK.LT005_INSTR_ENT WHERE ref_date='${ref_date}' AND nome_perimetro='Individual Local' AND segmento='ESTR' AND ambito='PM' AND entidade='00100')Y</v>
      </c>
      <c r="L652" s="32" t="str">
        <f>IF(VLOOKUP(B652,'0. Instruções'!$C$27:$G$32,5,FALSE)=0,
"ON X.CHAVE_IT=Y.CHAVE_SIMUL",
"ON X.CHAVE_IT1=Y.CHAVE_SIMUL1 AND X.CHAVE_IT2=Y.CHAVE_SIMUL2")</f>
        <v>ON X.CHAVE_IT1=Y.CHAVE_SIMUL1 AND X.CHAVE_IT2=Y.CHAVE_SIMUL2</v>
      </c>
      <c r="M652" s="32" t="str">
        <f>+IF(D652="Coerência",+IF(LEFT(H652,5)="FLOAT","SELECT '"&amp;UPPER(B652)&amp;"' AS TABELA, '"&amp;UPPER(D652)&amp;"' AS TIPOLOGIA_TESTE,'"&amp;E652&amp;"' AS TABELA_LT,'"&amp;F652&amp;"' AS TABELA_SIMUL,'"&amp;C652&amp;"'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"&amp;J652&amp;" INNER JOIN "&amp;K652&amp;" "&amp;L652,"SELECT '"&amp;UPPER(B652)&amp;"' AS TABELA, '"&amp;UPPER(D652)&amp;"' AS TIPOLOGIA_TESTE,'"&amp;E652&amp;"' AS TABELA_LT,'"&amp;F652&amp;"' AS TABELA_SIMUL,'"&amp;C652&amp;"'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"&amp;J652&amp;" INNER JOIN "&amp;K652&amp;" "&amp;L652))</f>
        <v>SELECT 'INSTR_ENT'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ambito='PM' AND entidade='00100')X INNER JOIN (SELECT instrmnt_id AS CHAVE_SIMUL1, entty_id AS CHAVE_SIMUL2, counterparty_role AS CAMPO_SIMUL FROM BU_LOANTAPE_WORK.LT005_INSTR_ENT WHERE ref_date='${ref_date}' AND nome_perimetro='Individual Local' AND segmento='ESTR' AND ambito='PM' AND entidade='00100')Y ON X.CHAVE_IT1=Y.CHAVE_SIMUL1 AND X.CHAVE_IT2=Y.CHAVE_SIMUL2</v>
      </c>
      <c r="N652" s="33" t="str">
        <f t="shared" si="21"/>
        <v>UNION ALL SELECT 'INSTR_ENT' AS TABELA, 'COERÊNCIA' AS TIPOLOGIA_TESTE,'CD_LOAN_TAPES_BCE.LT005_INSTR_ENT' AS TABELA_LT,'BU_LOANTAPE_WORK.LT005_INSTR_ENT' AS TABELA_SIMUL,'counterparty_role'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counterparty_role AS CAMPO_IT FROM CD_LOAN_TAPES_BCE.LT005_INSTR_ENT WHERE ref_date='${ref_date}' AND nome_perimetro='Individual Local' AND segmento='ESTR' AND ambito='PM' AND entidade='00100')X INNER JOIN (SELECT instrmnt_id AS CHAVE_SIMUL1, entty_id AS CHAVE_SIMUL2, counterparty_role AS CAMPO_SIMUL FROM BU_LOANTAPE_WORK.LT005_INSTR_ENT WHERE ref_date='${ref_date}' AND nome_perimetro='Individual Local' AND segmento='ESTR' AND ambito='PM' AND entidade='00100')Y ON X.CHAVE_IT1=Y.CHAVE_SIMUL1 AND X.CHAVE_IT2=Y.CHAVE_SIMUL2</v>
      </c>
      <c r="O652" s="35" t="s">
        <v>35</v>
      </c>
    </row>
    <row r="653" spans="1:15">
      <c r="A653" s="57" t="str">
        <f t="shared" si="22"/>
        <v>INSTR_ENTaccrd_intrst_instrmnt</v>
      </c>
      <c r="B653" s="32" t="s">
        <v>686</v>
      </c>
      <c r="C653" s="32" t="s">
        <v>290</v>
      </c>
      <c r="D653" s="32" t="s">
        <v>5</v>
      </c>
      <c r="E653" s="32" t="str">
        <f>+UPPER('0. Instruções'!$D$35&amp;"."&amp;VLOOKUP(B653,'0. Instruções'!$C$27:$D$32,2,FALSE))</f>
        <v>CD_LOAN_TAPES_BCE.LT005_INSTR_ENT</v>
      </c>
      <c r="F653" s="32" t="str">
        <f>+UPPER('0. Instruções'!$D$36&amp;"."&amp;VLOOKUP(B653,'0. Instruções'!$C$27:$E$32,3,FALSE))</f>
        <v>BU_LOANTAPE_WORK.LT005_INSTR_ENT</v>
      </c>
      <c r="H653" s="32"/>
      <c r="I653" s="32"/>
      <c r="J653" s="32" t="str">
        <f>IF(VLOOKUP(B653,'0. Instruções'!$C$27:$G$32,5,FALSE)=0,
"(SELECT "&amp;VLOOKUP(B653,'0. Instruções'!$C$27:$G$32,4,FALSE)&amp;" AS CHAVE_IT, "&amp;C653&amp;" AS CAMPO_IT FROM "&amp;E653&amp;" WHERE "&amp;'0. Instruções'!$D$43&amp;")X",
"(SELECT "&amp;VLOOKUP(B653,'0. Instruções'!$C$27:$G$32,4,FALSE)&amp;" AS CHAVE_IT1, "&amp;VLOOKUP(B653,'0. Instruções'!$C$27:$G$32,5,FALSE)&amp;" AS CHAVE_IT2, "&amp;C653&amp;" AS CAMPO_IT FROM "&amp;E653&amp;" WHERE "&amp;'0. Instruções'!$D$43&amp;")X")</f>
        <v>(SELECT instrmnt_id AS CHAVE_IT1, entty_id AS CHAVE_IT2, accrd_intrst_instrmnt AS CAMPO_IT FROM CD_LOAN_TAPES_BCE.LT005_INSTR_ENT WHERE ref_date='${ref_date}' AND nome_perimetro='Individual Local' AND segmento='ESTR' AND ambito='PM' AND entidade='00100')X</v>
      </c>
      <c r="K653" s="32" t="str">
        <f>IF(VLOOKUP(B653,'0. Instruções'!$C$27:$G$32,5,FALSE)=0,
"(SELECT "&amp;VLOOKUP(B653,'0. Instruções'!$C$27:$G$32,4,FALSE)&amp;" AS CHAVE_SIMUL, "&amp;C653&amp;" AS CAMPO_SIMUL FROM "&amp;F653&amp;" WHERE "&amp;'0. Instruções'!$D$42&amp;")Y",
"(SELECT "&amp;VLOOKUP(B653,'0. Instruções'!$C$27:$G$32,4,FALSE)&amp;" AS CHAVE_SIMUL1, "&amp;VLOOKUP(B653,'0. Instruções'!$C$27:$G$32,5,FALSE)&amp;" AS CHAVE_SIMUL2, "&amp;C653&amp;" AS CAMPO_SIMUL FROM "&amp;F653&amp;" WHERE "&amp;'0. Instruções'!$D$42&amp;")Y")</f>
        <v>(SELECT instrmnt_id AS CHAVE_SIMUL1, entty_id AS CHAVE_SIMUL2, accrd_intrst_instrmnt AS CAMPO_SIMUL FROM BU_LOANTAPE_WORK.LT005_INSTR_ENT WHERE ref_date='${ref_date}' AND nome_perimetro='Individual Local' AND segmento='ESTR' AND ambito='PM' AND entidade='00100')Y</v>
      </c>
      <c r="L653" s="32" t="str">
        <f>IF(VLOOKUP(B653,'0. Instruções'!$C$27:$G$32,5,FALSE)=0,
"ON X.CHAVE_IT=Y.CHAVE_SIMUL",
"ON X.CHAVE_IT1=Y.CHAVE_SIMUL1 AND X.CHAVE_IT2=Y.CHAVE_SIMUL2")</f>
        <v>ON X.CHAVE_IT1=Y.CHAVE_SIMUL1 AND X.CHAVE_IT2=Y.CHAVE_SIMUL2</v>
      </c>
      <c r="M653" s="32" t="str">
        <f>+IF(D653="Coerência",+IF(LEFT(H653,5)="FLOAT","SELECT '"&amp;UPPER(B653)&amp;"' AS TABELA, '"&amp;UPPER(D653)&amp;"' AS TIPOLOGIA_TESTE,'"&amp;E653&amp;"' AS TABELA_LT,'"&amp;F653&amp;"' AS TABELA_SIMUL,'"&amp;C653&amp;"'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"&amp;J653&amp;" INNER JOIN "&amp;K653&amp;" "&amp;L653,"SELECT '"&amp;UPPER(B653)&amp;"' AS TABELA, '"&amp;UPPER(D653)&amp;"' AS TIPOLOGIA_TESTE,'"&amp;E653&amp;"' AS TABELA_LT,'"&amp;F653&amp;"' AS TABELA_SIMUL,'"&amp;C653&amp;"'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"&amp;J653&amp;" INNER JOIN "&amp;K653&amp;" "&amp;L653))</f>
        <v>SELECT 'INSTR_ENT' AS TABELA, 'COERÊNCIA' AS TIPOLOGIA_TESTE,'CD_LOAN_TAPES_BCE.LT005_INSTR_ENT' AS TABELA_LT,'BU_LOANTAPE_WORK.LT005_INSTR_ENT'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accrd_intrst_instrmnt AS CAMPO_IT FROM CD_LOAN_TAPES_BCE.LT005_INSTR_ENT WHERE ref_date='${ref_date}' AND nome_perimetro='Individual Local' AND segmento='ESTR' AND ambito='PM' AND entidade='00100')X INNER JOIN (SELECT instrmnt_id AS CHAVE_SIMUL1, entty_id AS CHAVE_SIMUL2, accrd_intrst_instrmnt AS CAMPO_SIMUL FROM BU_LOANTAPE_WORK.LT005_INSTR_ENT WHERE ref_date='${ref_date}' AND nome_perimetro='Individual Local' AND segmento='ESTR' AND ambito='PM' AND entidade='00100')Y ON X.CHAVE_IT1=Y.CHAVE_SIMUL1 AND X.CHAVE_IT2=Y.CHAVE_SIMUL2</v>
      </c>
      <c r="N653" s="33" t="str">
        <f t="shared" si="21"/>
        <v>UNION ALL SELECT 'INSTR_ENT' AS TABELA, 'COERÊNCIA' AS TIPOLOGIA_TESTE,'CD_LOAN_TAPES_BCE.LT005_INSTR_ENT' AS TABELA_LT,'BU_LOANTAPE_WORK.LT005_INSTR_ENT' AS TABELA_SIMUL,'accrd_intrst_instrmnt'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accrd_intrst_instrmnt AS CAMPO_IT FROM CD_LOAN_TAPES_BCE.LT005_INSTR_ENT WHERE ref_date='${ref_date}' AND nome_perimetro='Individual Local' AND segmento='ESTR' AND ambito='PM' AND entidade='00100')X INNER JOIN (SELECT instrmnt_id AS CHAVE_SIMUL1, entty_id AS CHAVE_SIMUL2, accrd_intrst_instrmnt AS CAMPO_SIMUL FROM BU_LOANTAPE_WORK.LT005_INSTR_ENT WHERE ref_date='${ref_date}' AND nome_perimetro='Individual Local' AND segmento='ESTR' AND ambito='PM' AND entidade='00100')Y ON X.CHAVE_IT1=Y.CHAVE_SIMUL1 AND X.CHAVE_IT2=Y.CHAVE_SIMUL2</v>
      </c>
      <c r="O653" s="35" t="s">
        <v>35</v>
      </c>
    </row>
    <row r="654" spans="1:15">
      <c r="A654" s="57" t="str">
        <f t="shared" si="22"/>
        <v>INSTR_ENTotstndng_prncpl_amnt</v>
      </c>
      <c r="B654" s="32" t="s">
        <v>686</v>
      </c>
      <c r="C654" s="32" t="s">
        <v>675</v>
      </c>
      <c r="D654" s="32" t="s">
        <v>5</v>
      </c>
      <c r="E654" s="32" t="str">
        <f>+UPPER('0. Instruções'!$D$35&amp;"."&amp;VLOOKUP(B654,'0. Instruções'!$C$27:$D$32,2,FALSE))</f>
        <v>CD_LOAN_TAPES_BCE.LT005_INSTR_ENT</v>
      </c>
      <c r="F654" s="32" t="str">
        <f>+UPPER('0. Instruções'!$D$36&amp;"."&amp;VLOOKUP(B654,'0. Instruções'!$C$27:$E$32,3,FALSE))</f>
        <v>BU_LOANTAPE_WORK.LT005_INSTR_ENT</v>
      </c>
      <c r="H654" s="32"/>
      <c r="I654" s="32"/>
      <c r="J654" s="32" t="str">
        <f>IF(VLOOKUP(B654,'0. Instruções'!$C$27:$G$32,5,FALSE)=0,
"(SELECT "&amp;VLOOKUP(B654,'0. Instruções'!$C$27:$G$32,4,FALSE)&amp;" AS CHAVE_IT, "&amp;C654&amp;" AS CAMPO_IT FROM "&amp;E654&amp;" WHERE "&amp;'0. Instruções'!$D$43&amp;")X",
"(SELECT "&amp;VLOOKUP(B654,'0. Instruções'!$C$27:$G$32,4,FALSE)&amp;" AS CHAVE_IT1, "&amp;VLOOKUP(B654,'0. Instruções'!$C$27:$G$32,5,FALSE)&amp;" AS CHAVE_IT2, "&amp;C654&amp;" AS CAMPO_IT FROM "&amp;E654&amp;" WHERE "&amp;'0. Instruções'!$D$43&amp;")X")</f>
        <v>(SELECT instrmnt_id AS CHAVE_IT1, entty_id AS CHAVE_IT2, otstndng_prncpl_amnt AS CAMPO_IT FROM CD_LOAN_TAPES_BCE.LT005_INSTR_ENT WHERE ref_date='${ref_date}' AND nome_perimetro='Individual Local' AND segmento='ESTR' AND ambito='PM' AND entidade='00100')X</v>
      </c>
      <c r="K654" s="32" t="str">
        <f>IF(VLOOKUP(B654,'0. Instruções'!$C$27:$G$32,5,FALSE)=0,
"(SELECT "&amp;VLOOKUP(B654,'0. Instruções'!$C$27:$G$32,4,FALSE)&amp;" AS CHAVE_SIMUL, "&amp;C654&amp;" AS CAMPO_SIMUL FROM "&amp;F654&amp;" WHERE "&amp;'0. Instruções'!$D$42&amp;")Y",
"(SELECT "&amp;VLOOKUP(B654,'0. Instruções'!$C$27:$G$32,4,FALSE)&amp;" AS CHAVE_SIMUL1, "&amp;VLOOKUP(B654,'0. Instruções'!$C$27:$G$32,5,FALSE)&amp;" AS CHAVE_SIMUL2, "&amp;C654&amp;" AS CAMPO_SIMUL FROM "&amp;F654&amp;" WHERE "&amp;'0. Instruções'!$D$42&amp;")Y")</f>
        <v>(SELECT instrmnt_id AS CHAVE_SIMUL1, entty_id AS CHAVE_SIMUL2, otstndng_prncpl_amnt AS CAMPO_SIMUL FROM BU_LOANTAPE_WORK.LT005_INSTR_ENT WHERE ref_date='${ref_date}' AND nome_perimetro='Individual Local' AND segmento='ESTR' AND ambito='PM' AND entidade='00100')Y</v>
      </c>
      <c r="L654" s="32" t="str">
        <f>IF(VLOOKUP(B654,'0. Instruções'!$C$27:$G$32,5,FALSE)=0,
"ON X.CHAVE_IT=Y.CHAVE_SIMUL",
"ON X.CHAVE_IT1=Y.CHAVE_SIMUL1 AND X.CHAVE_IT2=Y.CHAVE_SIMUL2")</f>
        <v>ON X.CHAVE_IT1=Y.CHAVE_SIMUL1 AND X.CHAVE_IT2=Y.CHAVE_SIMUL2</v>
      </c>
      <c r="M654" s="32" t="str">
        <f>+IF(D654="Coerência",+IF(LEFT(H654,5)="FLOAT","SELECT '"&amp;UPPER(B654)&amp;"' AS TABELA, '"&amp;UPPER(D654)&amp;"' AS TIPOLOGIA_TESTE,'"&amp;E654&amp;"' AS TABELA_LT,'"&amp;F654&amp;"' AS TABELA_SIMUL,'"&amp;C654&amp;"'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"&amp;J654&amp;" INNER JOIN "&amp;K654&amp;" "&amp;L654,"SELECT '"&amp;UPPER(B654)&amp;"' AS TABELA, '"&amp;UPPER(D654)&amp;"' AS TIPOLOGIA_TESTE,'"&amp;E654&amp;"' AS TABELA_LT,'"&amp;F654&amp;"' AS TABELA_SIMUL,'"&amp;C654&amp;"'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"&amp;J654&amp;" INNER JOIN "&amp;K654&amp;" "&amp;L654))</f>
        <v>SELECT 'INSTR_ENT' AS TABELA, 'COERÊNCIA' AS TIPOLOGIA_TESTE,'CD_LOAN_TAPES_BCE.LT005_INSTR_ENT' AS TABELA_LT,'BU_LOANTAPE_WORK.LT005_INSTR_ENT' AS TABELA_SIMUL,'otstndng_prncpl_amnt'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otstndng_prncpl_amnt AS CAMPO_IT FROM CD_LOAN_TAPES_BCE.LT005_INSTR_ENT WHERE ref_date='${ref_date}' AND nome_perimetro='Individual Local' AND segmento='ESTR' AND ambito='PM' AND entidade='00100')X INNER JOIN (SELECT instrmnt_id AS CHAVE_SIMUL1, entty_id AS CHAVE_SIMUL2, otstndng_prncpl_amnt AS CAMPO_SIMUL FROM BU_LOANTAPE_WORK.LT005_INSTR_ENT WHERE ref_date='${ref_date}' AND nome_perimetro='Individual Local' AND segmento='ESTR' AND ambito='PM' AND entidade='00100')Y ON X.CHAVE_IT1=Y.CHAVE_SIMUL1 AND X.CHAVE_IT2=Y.CHAVE_SIMUL2</v>
      </c>
      <c r="N654" s="33" t="str">
        <f t="shared" si="21"/>
        <v>UNION ALL SELECT 'INSTR_ENT' AS TABELA, 'COERÊNCIA' AS TIPOLOGIA_TESTE,'CD_LOAN_TAPES_BCE.LT005_INSTR_ENT' AS TABELA_LT,'BU_LOANTAPE_WORK.LT005_INSTR_ENT' AS TABELA_SIMUL,'otstndng_prncpl_amnt'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otstndng_prncpl_amnt AS CAMPO_IT FROM CD_LOAN_TAPES_BCE.LT005_INSTR_ENT WHERE ref_date='${ref_date}' AND nome_perimetro='Individual Local' AND segmento='ESTR' AND ambito='PM' AND entidade='00100')X INNER JOIN (SELECT instrmnt_id AS CHAVE_SIMUL1, entty_id AS CHAVE_SIMUL2, otstndng_prncpl_amnt AS CAMPO_SIMUL FROM BU_LOANTAPE_WORK.LT005_INSTR_ENT WHERE ref_date='${ref_date}' AND nome_perimetro='Individual Local' AND segmento='ESTR' AND ambito='PM' AND entidade='00100')Y ON X.CHAVE_IT1=Y.CHAVE_SIMUL1 AND X.CHAVE_IT2=Y.CHAVE_SIMUL2</v>
      </c>
      <c r="O654" s="35" t="s">
        <v>35</v>
      </c>
    </row>
    <row r="655" spans="1:15">
      <c r="A655" s="57" t="str">
        <f t="shared" si="22"/>
        <v>INSTR_ENTprtn_amnt_rprtng_entty</v>
      </c>
      <c r="B655" s="32" t="s">
        <v>686</v>
      </c>
      <c r="C655" s="32" t="s">
        <v>676</v>
      </c>
      <c r="D655" s="32" t="s">
        <v>5</v>
      </c>
      <c r="E655" s="32" t="str">
        <f>+UPPER('0. Instruções'!$D$35&amp;"."&amp;VLOOKUP(B655,'0. Instruções'!$C$27:$D$32,2,FALSE))</f>
        <v>CD_LOAN_TAPES_BCE.LT005_INSTR_ENT</v>
      </c>
      <c r="F655" s="32" t="str">
        <f>+UPPER('0. Instruções'!$D$36&amp;"."&amp;VLOOKUP(B655,'0. Instruções'!$C$27:$E$32,3,FALSE))</f>
        <v>BU_LOANTAPE_WORK.LT005_INSTR_ENT</v>
      </c>
      <c r="H655" s="32"/>
      <c r="I655" s="32"/>
      <c r="J655" s="32" t="str">
        <f>IF(VLOOKUP(B655,'0. Instruções'!$C$27:$G$32,5,FALSE)=0,
"(SELECT "&amp;VLOOKUP(B655,'0. Instruções'!$C$27:$G$32,4,FALSE)&amp;" AS CHAVE_IT, "&amp;C655&amp;" AS CAMPO_IT FROM "&amp;E655&amp;" WHERE "&amp;'0. Instruções'!$D$43&amp;")X",
"(SELECT "&amp;VLOOKUP(B655,'0. Instruções'!$C$27:$G$32,4,FALSE)&amp;" AS CHAVE_IT1, "&amp;VLOOKUP(B655,'0. Instruções'!$C$27:$G$32,5,FALSE)&amp;" AS CHAVE_IT2, "&amp;C655&amp;" AS CAMPO_IT FROM "&amp;E655&amp;" WHERE "&amp;'0. Instruções'!$D$43&amp;")X")</f>
        <v>(SELECT instrmnt_id AS CHAVE_IT1, entty_id AS CHAVE_IT2, prtn_amnt_rprtng_entty AS CAMPO_IT FROM CD_LOAN_TAPES_BCE.LT005_INSTR_ENT WHERE ref_date='${ref_date}' AND nome_perimetro='Individual Local' AND segmento='ESTR' AND ambito='PM' AND entidade='00100')X</v>
      </c>
      <c r="K655" s="32" t="str">
        <f>IF(VLOOKUP(B655,'0. Instruções'!$C$27:$G$32,5,FALSE)=0,
"(SELECT "&amp;VLOOKUP(B655,'0. Instruções'!$C$27:$G$32,4,FALSE)&amp;" AS CHAVE_SIMUL, "&amp;C655&amp;" AS CAMPO_SIMUL FROM "&amp;F655&amp;" WHERE "&amp;'0. Instruções'!$D$42&amp;")Y",
"(SELECT "&amp;VLOOKUP(B655,'0. Instruções'!$C$27:$G$32,4,FALSE)&amp;" AS CHAVE_SIMUL1, "&amp;VLOOKUP(B655,'0. Instruções'!$C$27:$G$32,5,FALSE)&amp;" AS CHAVE_SIMUL2, "&amp;C655&amp;" AS CAMPO_SIMUL FROM "&amp;F655&amp;" WHERE "&amp;'0. Instruções'!$D$42&amp;")Y")</f>
        <v>(SELECT instrmnt_id AS CHAVE_SIMUL1, entty_id AS CHAVE_SIMUL2, prtn_amnt_rprtng_entty AS CAMPO_SIMUL FROM BU_LOANTAPE_WORK.LT005_INSTR_ENT WHERE ref_date='${ref_date}' AND nome_perimetro='Individual Local' AND segmento='ESTR' AND ambito='PM' AND entidade='00100')Y</v>
      </c>
      <c r="L655" s="32" t="str">
        <f>IF(VLOOKUP(B655,'0. Instruções'!$C$27:$G$32,5,FALSE)=0,
"ON X.CHAVE_IT=Y.CHAVE_SIMUL",
"ON X.CHAVE_IT1=Y.CHAVE_SIMUL1 AND X.CHAVE_IT2=Y.CHAVE_SIMUL2")</f>
        <v>ON X.CHAVE_IT1=Y.CHAVE_SIMUL1 AND X.CHAVE_IT2=Y.CHAVE_SIMUL2</v>
      </c>
      <c r="M655" s="32" t="str">
        <f>+IF(D655="Coerência",+IF(LEFT(H655,5)="FLOAT","SELECT '"&amp;UPPER(B655)&amp;"' AS TABELA, '"&amp;UPPER(D655)&amp;"' AS TIPOLOGIA_TESTE,'"&amp;E655&amp;"' AS TABELA_LT,'"&amp;F655&amp;"' AS TABELA_SIMUL,'"&amp;C655&amp;"'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"&amp;J655&amp;" INNER JOIN "&amp;K655&amp;" "&amp;L655,"SELECT '"&amp;UPPER(B655)&amp;"' AS TABELA, '"&amp;UPPER(D655)&amp;"' AS TIPOLOGIA_TESTE,'"&amp;E655&amp;"' AS TABELA_LT,'"&amp;F655&amp;"' AS TABELA_SIMUL,'"&amp;C655&amp;"'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"&amp;J655&amp;" INNER JOIN "&amp;K655&amp;" "&amp;L655))</f>
        <v>SELECT 'INSTR_ENT' AS TABELA, 'COERÊNCIA' AS TIPOLOGIA_TESTE,'CD_LOAN_TAPES_BCE.LT005_INSTR_ENT' AS TABELA_LT,'BU_LOANTAPE_WORK.LT005_INSTR_ENT' AS TABELA_SIMUL,'prtn_amnt_rprtng_entty'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prtn_amnt_rprtng_entty AS CAMPO_IT FROM CD_LOAN_TAPES_BCE.LT005_INSTR_ENT WHERE ref_date='${ref_date}' AND nome_perimetro='Individual Local' AND segmento='ESTR' AND ambito='PM' AND entidade='00100')X INNER JOIN (SELECT instrmnt_id AS CHAVE_SIMUL1, entty_id AS CHAVE_SIMUL2, prtn_amnt_rprtng_entty AS CAMPO_SIMUL FROM BU_LOANTAPE_WORK.LT005_INSTR_ENT WHERE ref_date='${ref_date}' AND nome_perimetro='Individual Local' AND segmento='ESTR' AND ambito='PM' AND entidade='00100')Y ON X.CHAVE_IT1=Y.CHAVE_SIMUL1 AND X.CHAVE_IT2=Y.CHAVE_SIMUL2</v>
      </c>
      <c r="N655" s="33" t="str">
        <f t="shared" si="21"/>
        <v>UNION ALL SELECT 'INSTR_ENT' AS TABELA, 'COERÊNCIA' AS TIPOLOGIA_TESTE,'CD_LOAN_TAPES_BCE.LT005_INSTR_ENT' AS TABELA_LT,'BU_LOANTAPE_WORK.LT005_INSTR_ENT' AS TABELA_SIMUL,'prtn_amnt_rprtng_entty'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entty_id AS CHAVE_IT2, prtn_amnt_rprtng_entty AS CAMPO_IT FROM CD_LOAN_TAPES_BCE.LT005_INSTR_ENT WHERE ref_date='${ref_date}' AND nome_perimetro='Individual Local' AND segmento='ESTR' AND ambito='PM' AND entidade='00100')X INNER JOIN (SELECT instrmnt_id AS CHAVE_SIMUL1, entty_id AS CHAVE_SIMUL2, prtn_amnt_rprtng_entty AS CAMPO_SIMUL FROM BU_LOANTAPE_WORK.LT005_INSTR_ENT WHERE ref_date='${ref_date}' AND nome_perimetro='Individual Local' AND segmento='ESTR' AND ambito='PM' AND entidade='00100')Y ON X.CHAVE_IT1=Y.CHAVE_SIMUL1 AND X.CHAVE_IT2=Y.CHAVE_SIMUL2</v>
      </c>
      <c r="O655" s="35" t="s">
        <v>35</v>
      </c>
    </row>
    <row r="656" spans="1:15">
      <c r="A656" s="57" t="str">
        <f t="shared" si="22"/>
        <v>INSTR_PROTprtctn_allctd_vl</v>
      </c>
      <c r="B656" s="32" t="s">
        <v>687</v>
      </c>
      <c r="C656" s="32" t="s">
        <v>199</v>
      </c>
      <c r="D656" s="32" t="s">
        <v>5</v>
      </c>
      <c r="E656" s="32" t="str">
        <f>+UPPER('0. Instruções'!$D$35&amp;"."&amp;VLOOKUP(B656,'0. Instruções'!$C$27:$D$32,2,FALSE))</f>
        <v>CD_LOAN_TAPES_BCE.LT006_INSTR_PROT</v>
      </c>
      <c r="F656" s="32" t="str">
        <f>+UPPER('0. Instruções'!$D$36&amp;"."&amp;VLOOKUP(B656,'0. Instruções'!$C$27:$E$32,3,FALSE))</f>
        <v>BU_LOANTAPE_WORK.LT006_INSTR_PROT</v>
      </c>
      <c r="H656" s="32"/>
      <c r="I656" s="32"/>
      <c r="J656" s="32" t="str">
        <f>IF(VLOOKUP(B656,'0. Instruções'!$C$27:$G$32,5,FALSE)=0,
"(SELECT "&amp;VLOOKUP(B656,'0. Instruções'!$C$27:$G$32,4,FALSE)&amp;" AS CHAVE_IT, "&amp;C656&amp;" AS CAMPO_IT FROM "&amp;E656&amp;" WHERE "&amp;'0. Instruções'!$D$43&amp;")X",
"(SELECT "&amp;VLOOKUP(B656,'0. Instruções'!$C$27:$G$32,4,FALSE)&amp;" AS CHAVE_IT1, "&amp;VLOOKUP(B656,'0. Instruções'!$C$27:$G$32,5,FALSE)&amp;" AS CHAVE_IT2, "&amp;C656&amp;" AS CAMPO_IT FROM "&amp;E656&amp;" WHERE "&amp;'0. Instruções'!$D$43&amp;")X")</f>
        <v>(SELECT instrmnt_id AS CHAVE_IT1, prtctn_id AS CHAVE_IT2, prtctn_allctd_vl AS CAMPO_IT FROM CD_LOAN_TAPES_BCE.LT006_INSTR_PROT WHERE ref_date='${ref_date}' AND nome_perimetro='Individual Local' AND segmento='ESTR' AND ambito='PM' AND entidade='00100')X</v>
      </c>
      <c r="K656" s="32" t="str">
        <f>IF(VLOOKUP(B656,'0. Instruções'!$C$27:$G$32,5,FALSE)=0,
"(SELECT "&amp;VLOOKUP(B656,'0. Instruções'!$C$27:$G$32,4,FALSE)&amp;" AS CHAVE_SIMUL, "&amp;C656&amp;" AS CAMPO_SIMUL FROM "&amp;F656&amp;" WHERE "&amp;'0. Instruções'!$D$42&amp;")Y",
"(SELECT "&amp;VLOOKUP(B656,'0. Instruções'!$C$27:$G$32,4,FALSE)&amp;" AS CHAVE_SIMUL1, "&amp;VLOOKUP(B656,'0. Instruções'!$C$27:$G$32,5,FALSE)&amp;" AS CHAVE_SIMUL2, "&amp;C656&amp;" AS CAMPO_SIMUL FROM "&amp;F656&amp;" WHERE "&amp;'0. Instruções'!$D$42&amp;")Y")</f>
        <v>(SELECT instrmnt_id AS CHAVE_SIMUL1, prtctn_id AS CHAVE_SIMUL2, prtctn_allctd_vl AS CAMPO_SIMUL FROM BU_LOANTAPE_WORK.LT006_INSTR_PROT WHERE ref_date='${ref_date}' AND nome_perimetro='Individual Local' AND segmento='ESTR' AND ambito='PM' AND entidade='00100')Y</v>
      </c>
      <c r="L656" s="32" t="str">
        <f>IF(VLOOKUP(B656,'0. Instruções'!$C$27:$G$32,5,FALSE)=0,
"ON X.CHAVE_IT=Y.CHAVE_SIMUL",
"ON X.CHAVE_IT1=Y.CHAVE_SIMUL1 AND X.CHAVE_IT2=Y.CHAVE_SIMUL2")</f>
        <v>ON X.CHAVE_IT1=Y.CHAVE_SIMUL1 AND X.CHAVE_IT2=Y.CHAVE_SIMUL2</v>
      </c>
      <c r="M656" s="32" t="str">
        <f>+IF(D656="Coerência",+IF(LEFT(H656,5)="FLOAT","SELECT '"&amp;UPPER(B656)&amp;"' AS TABELA, '"&amp;UPPER(D656)&amp;"' AS TIPOLOGIA_TESTE,'"&amp;E656&amp;"' AS TABELA_LT,'"&amp;F656&amp;"' AS TABELA_SIMUL,'"&amp;C656&amp;"'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"&amp;J656&amp;" INNER JOIN "&amp;K656&amp;" "&amp;L656,"SELECT '"&amp;UPPER(B656)&amp;"' AS TABELA, '"&amp;UPPER(D656)&amp;"' AS TIPOLOGIA_TESTE,'"&amp;E656&amp;"' AS TABELA_LT,'"&amp;F656&amp;"' AS TABELA_SIMUL,'"&amp;C656&amp;"'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"&amp;J656&amp;" INNER JOIN "&amp;K656&amp;" "&amp;L656))</f>
        <v>SELECT 'INSTR_PROT'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ambito='PM' AND entidade='00100')X INNER JOIN (SELECT instrmnt_id AS CHAVE_SIMUL1, prtctn_id AS CHAVE_SIMUL2, prtctn_allctd_vl AS CAMPO_SIMUL FROM BU_LOANTAPE_WORK.LT006_INSTR_PROT WHERE ref_date='${ref_date}' AND nome_perimetro='Individual Local' AND segmento='ESTR' AND ambito='PM' AND entidade='00100')Y ON X.CHAVE_IT1=Y.CHAVE_SIMUL1 AND X.CHAVE_IT2=Y.CHAVE_SIMUL2</v>
      </c>
      <c r="N656" s="33" t="str">
        <f t="shared" si="21"/>
        <v>UNION ALL SELECT 'INSTR_PROT' AS TABELA, 'COERÊNCIA' AS TIPOLOGIA_TESTE,'CD_LOAN_TAPES_BCE.LT006_INSTR_PROT' AS TABELA_LT,'BU_LOANTAPE_WORK.LT006_INSTR_PROT' AS TABELA_SIMUL,'prtctn_allctd_vl'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prtctn_allctd_vl AS CAMPO_IT FROM CD_LOAN_TAPES_BCE.LT006_INSTR_PROT WHERE ref_date='${ref_date}' AND nome_perimetro='Individual Local' AND segmento='ESTR' AND ambito='PM' AND entidade='00100')X INNER JOIN (SELECT instrmnt_id AS CHAVE_SIMUL1, prtctn_id AS CHAVE_SIMUL2, prtctn_allctd_vl AS CAMPO_SIMUL FROM BU_LOANTAPE_WORK.LT006_INSTR_PROT WHERE ref_date='${ref_date}' AND nome_perimetro='Individual Local' AND segmento='ESTR' AND ambito='PM' AND entidade='00100')Y ON X.CHAVE_IT1=Y.CHAVE_SIMUL1 AND X.CHAVE_IT2=Y.CHAVE_SIMUL2</v>
      </c>
      <c r="O656" s="35" t="s">
        <v>35</v>
      </c>
    </row>
    <row r="657" spans="1:15">
      <c r="A657" s="57" t="str">
        <f t="shared" si="22"/>
        <v>INSTR_PROTthrd_prty_prrty_clms</v>
      </c>
      <c r="B657" s="32" t="s">
        <v>687</v>
      </c>
      <c r="C657" s="32" t="s">
        <v>677</v>
      </c>
      <c r="D657" s="32" t="s">
        <v>5</v>
      </c>
      <c r="E657" s="32" t="str">
        <f>+UPPER('0. Instruções'!$D$35&amp;"."&amp;VLOOKUP(B657,'0. Instruções'!$C$27:$D$32,2,FALSE))</f>
        <v>CD_LOAN_TAPES_BCE.LT006_INSTR_PROT</v>
      </c>
      <c r="F657" s="32" t="str">
        <f>+UPPER('0. Instruções'!$D$36&amp;"."&amp;VLOOKUP(B657,'0. Instruções'!$C$27:$E$32,3,FALSE))</f>
        <v>BU_LOANTAPE_WORK.LT006_INSTR_PROT</v>
      </c>
      <c r="H657" s="32"/>
      <c r="I657" s="32"/>
      <c r="J657" s="32" t="str">
        <f>IF(VLOOKUP(B657,'0. Instruções'!$C$27:$G$32,5,FALSE)=0,
"(SELECT "&amp;VLOOKUP(B657,'0. Instruções'!$C$27:$G$32,4,FALSE)&amp;" AS CHAVE_IT, "&amp;C657&amp;" AS CAMPO_IT FROM "&amp;E657&amp;" WHERE "&amp;'0. Instruções'!$D$43&amp;")X",
"(SELECT "&amp;VLOOKUP(B657,'0. Instruções'!$C$27:$G$32,4,FALSE)&amp;" AS CHAVE_IT1, "&amp;VLOOKUP(B657,'0. Instruções'!$C$27:$G$32,5,FALSE)&amp;" AS CHAVE_IT2, "&amp;C657&amp;" AS CAMPO_IT FROM "&amp;E657&amp;" WHERE "&amp;'0. Instruções'!$D$43&amp;")X")</f>
        <v>(SELECT instrmnt_id AS CHAVE_IT1, prtctn_id AS CHAVE_IT2, thrd_prty_prrty_clms AS CAMPO_IT FROM CD_LOAN_TAPES_BCE.LT006_INSTR_PROT WHERE ref_date='${ref_date}' AND nome_perimetro='Individual Local' AND segmento='ESTR' AND ambito='PM' AND entidade='00100')X</v>
      </c>
      <c r="K657" s="32" t="str">
        <f>IF(VLOOKUP(B657,'0. Instruções'!$C$27:$G$32,5,FALSE)=0,
"(SELECT "&amp;VLOOKUP(B657,'0. Instruções'!$C$27:$G$32,4,FALSE)&amp;" AS CHAVE_SIMUL, "&amp;C657&amp;" AS CAMPO_SIMUL FROM "&amp;F657&amp;" WHERE "&amp;'0. Instruções'!$D$42&amp;")Y",
"(SELECT "&amp;VLOOKUP(B657,'0. Instruções'!$C$27:$G$32,4,FALSE)&amp;" AS CHAVE_SIMUL1, "&amp;VLOOKUP(B657,'0. Instruções'!$C$27:$G$32,5,FALSE)&amp;" AS CHAVE_SIMUL2, "&amp;C657&amp;" AS CAMPO_SIMUL FROM "&amp;F657&amp;" WHERE "&amp;'0. Instruções'!$D$42&amp;")Y")</f>
        <v>(SELECT instrmnt_id AS CHAVE_SIMUL1, prtctn_id AS CHAVE_SIMUL2, thrd_prty_prrty_clms AS CAMPO_SIMUL FROM BU_LOANTAPE_WORK.LT006_INSTR_PROT WHERE ref_date='${ref_date}' AND nome_perimetro='Individual Local' AND segmento='ESTR' AND ambito='PM' AND entidade='00100')Y</v>
      </c>
      <c r="L657" s="32" t="str">
        <f>IF(VLOOKUP(B657,'0. Instruções'!$C$27:$G$32,5,FALSE)=0,
"ON X.CHAVE_IT=Y.CHAVE_SIMUL",
"ON X.CHAVE_IT1=Y.CHAVE_SIMUL1 AND X.CHAVE_IT2=Y.CHAVE_SIMUL2")</f>
        <v>ON X.CHAVE_IT1=Y.CHAVE_SIMUL1 AND X.CHAVE_IT2=Y.CHAVE_SIMUL2</v>
      </c>
      <c r="M657" s="32" t="str">
        <f>+IF(D657="Coerência",+IF(LEFT(H657,5)="FLOAT","SELECT '"&amp;UPPER(B657)&amp;"' AS TABELA, '"&amp;UPPER(D657)&amp;"' AS TIPOLOGIA_TESTE,'"&amp;E657&amp;"' AS TABELA_LT,'"&amp;F657&amp;"' AS TABELA_SIMUL,'"&amp;C657&amp;"'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"&amp;J657&amp;" INNER JOIN "&amp;K657&amp;" "&amp;L657,"SELECT '"&amp;UPPER(B657)&amp;"' AS TABELA, '"&amp;UPPER(D657)&amp;"' AS TIPOLOGIA_TESTE,'"&amp;E657&amp;"' AS TABELA_LT,'"&amp;F657&amp;"' AS TABELA_SIMUL,'"&amp;C657&amp;"'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"&amp;J657&amp;" INNER JOIN "&amp;K657&amp;" "&amp;L657))</f>
        <v>SELECT 'INSTR_PROT' AS TABELA, 'COERÊNCIA' AS TIPOLOGIA_TESTE,'CD_LOAN_TAPES_BCE.LT006_INSTR_PROT' AS TABELA_LT,'BU_LOANTAPE_WORK.LT006_INSTR_PROT' AS TABELA_SIMUL,'thrd_prty_prrty_clms'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thrd_prty_prrty_clms AS CAMPO_IT FROM CD_LOAN_TAPES_BCE.LT006_INSTR_PROT WHERE ref_date='${ref_date}' AND nome_perimetro='Individual Local' AND segmento='ESTR' AND ambito='PM' AND entidade='00100')X INNER JOIN (SELECT instrmnt_id AS CHAVE_SIMUL1, prtctn_id AS CHAVE_SIMUL2, thrd_prty_prrty_clms AS CAMPO_SIMUL FROM BU_LOANTAPE_WORK.LT006_INSTR_PROT WHERE ref_date='${ref_date}' AND nome_perimetro='Individual Local' AND segmento='ESTR' AND ambito='PM' AND entidade='00100')Y ON X.CHAVE_IT1=Y.CHAVE_SIMUL1 AND X.CHAVE_IT2=Y.CHAVE_SIMUL2</v>
      </c>
      <c r="N657" s="33" t="str">
        <f t="shared" si="21"/>
        <v>UNION ALL SELECT 'INSTR_PROT' AS TABELA, 'COERÊNCIA' AS TIPOLOGIA_TESTE,'CD_LOAN_TAPES_BCE.LT006_INSTR_PROT' AS TABELA_LT,'BU_LOANTAPE_WORK.LT006_INSTR_PROT' AS TABELA_SIMUL,'thrd_prty_prrty_clms'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thrd_prty_prrty_clms AS CAMPO_IT FROM CD_LOAN_TAPES_BCE.LT006_INSTR_PROT WHERE ref_date='${ref_date}' AND nome_perimetro='Individual Local' AND segmento='ESTR' AND ambito='PM' AND entidade='00100')X INNER JOIN (SELECT instrmnt_id AS CHAVE_SIMUL1, prtctn_id AS CHAVE_SIMUL2, thrd_prty_prrty_clms AS CAMPO_SIMUL FROM BU_LOANTAPE_WORK.LT006_INSTR_PROT WHERE ref_date='${ref_date}' AND nome_perimetro='Individual Local' AND segmento='ESTR' AND ambito='PM' AND entidade='00100')Y ON X.CHAVE_IT1=Y.CHAVE_SIMUL1 AND X.CHAVE_IT2=Y.CHAVE_SIMUL2</v>
      </c>
      <c r="O657" s="35" t="s">
        <v>35</v>
      </c>
    </row>
    <row r="658" spans="1:15">
      <c r="A658" s="57" t="str">
        <f t="shared" si="22"/>
        <v>INSTR_PROTtyp_rltn</v>
      </c>
      <c r="B658" s="32" t="s">
        <v>687</v>
      </c>
      <c r="C658" s="32" t="s">
        <v>678</v>
      </c>
      <c r="D658" s="32" t="s">
        <v>5</v>
      </c>
      <c r="E658" s="32" t="str">
        <f>+UPPER('0. Instruções'!$D$35&amp;"."&amp;VLOOKUP(B658,'0. Instruções'!$C$27:$D$32,2,FALSE))</f>
        <v>CD_LOAN_TAPES_BCE.LT006_INSTR_PROT</v>
      </c>
      <c r="F658" s="32" t="str">
        <f>+UPPER('0. Instruções'!$D$36&amp;"."&amp;VLOOKUP(B658,'0. Instruções'!$C$27:$E$32,3,FALSE))</f>
        <v>BU_LOANTAPE_WORK.LT006_INSTR_PROT</v>
      </c>
      <c r="H658" s="32"/>
      <c r="I658" s="32"/>
      <c r="J658" s="32" t="str">
        <f>IF(VLOOKUP(B658,'0. Instruções'!$C$27:$G$32,5,FALSE)=0,
"(SELECT "&amp;VLOOKUP(B658,'0. Instruções'!$C$27:$G$32,4,FALSE)&amp;" AS CHAVE_IT, "&amp;C658&amp;" AS CAMPO_IT FROM "&amp;E658&amp;" WHERE "&amp;'0. Instruções'!$D$43&amp;")X",
"(SELECT "&amp;VLOOKUP(B658,'0. Instruções'!$C$27:$G$32,4,FALSE)&amp;" AS CHAVE_IT1, "&amp;VLOOKUP(B658,'0. Instruções'!$C$27:$G$32,5,FALSE)&amp;" AS CHAVE_IT2, "&amp;C658&amp;" AS CAMPO_IT FROM "&amp;E658&amp;" WHERE "&amp;'0. Instruções'!$D$43&amp;")X")</f>
        <v>(SELECT instrmnt_id AS CHAVE_IT1, prtctn_id AS CHAVE_IT2, typ_rltn AS CAMPO_IT FROM CD_LOAN_TAPES_BCE.LT006_INSTR_PROT WHERE ref_date='${ref_date}' AND nome_perimetro='Individual Local' AND segmento='ESTR' AND ambito='PM' AND entidade='00100')X</v>
      </c>
      <c r="K658" s="32" t="str">
        <f>IF(VLOOKUP(B658,'0. Instruções'!$C$27:$G$32,5,FALSE)=0,
"(SELECT "&amp;VLOOKUP(B658,'0. Instruções'!$C$27:$G$32,4,FALSE)&amp;" AS CHAVE_SIMUL, "&amp;C658&amp;" AS CAMPO_SIMUL FROM "&amp;F658&amp;" WHERE "&amp;'0. Instruções'!$D$42&amp;")Y",
"(SELECT "&amp;VLOOKUP(B658,'0. Instruções'!$C$27:$G$32,4,FALSE)&amp;" AS CHAVE_SIMUL1, "&amp;VLOOKUP(B658,'0. Instruções'!$C$27:$G$32,5,FALSE)&amp;" AS CHAVE_SIMUL2, "&amp;C658&amp;" AS CAMPO_SIMUL FROM "&amp;F658&amp;" WHERE "&amp;'0. Instruções'!$D$42&amp;")Y")</f>
        <v>(SELECT instrmnt_id AS CHAVE_SIMUL1, prtctn_id AS CHAVE_SIMUL2, typ_rltn AS CAMPO_SIMUL FROM BU_LOANTAPE_WORK.LT006_INSTR_PROT WHERE ref_date='${ref_date}' AND nome_perimetro='Individual Local' AND segmento='ESTR' AND ambito='PM' AND entidade='00100')Y</v>
      </c>
      <c r="L658" s="32" t="str">
        <f>IF(VLOOKUP(B658,'0. Instruções'!$C$27:$G$32,5,FALSE)=0,
"ON X.CHAVE_IT=Y.CHAVE_SIMUL",
"ON X.CHAVE_IT1=Y.CHAVE_SIMUL1 AND X.CHAVE_IT2=Y.CHAVE_SIMUL2")</f>
        <v>ON X.CHAVE_IT1=Y.CHAVE_SIMUL1 AND X.CHAVE_IT2=Y.CHAVE_SIMUL2</v>
      </c>
      <c r="M658" s="32" t="str">
        <f>+IF(D658="Coerência",+IF(LEFT(H658,5)="FLOAT","SELECT '"&amp;UPPER(B658)&amp;"' AS TABELA, '"&amp;UPPER(D658)&amp;"' AS TIPOLOGIA_TESTE,'"&amp;E658&amp;"' AS TABELA_LT,'"&amp;F658&amp;"' AS TABELA_SIMUL,'"&amp;C658&amp;"'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"&amp;J658&amp;" INNER JOIN "&amp;K658&amp;" "&amp;L658,"SELECT '"&amp;UPPER(B658)&amp;"' AS TABELA, '"&amp;UPPER(D658)&amp;"' AS TIPOLOGIA_TESTE,'"&amp;E658&amp;"' AS TABELA_LT,'"&amp;F658&amp;"' AS TABELA_SIMUL,'"&amp;C658&amp;"'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"&amp;J658&amp;" INNER JOIN "&amp;K658&amp;" "&amp;L658))</f>
        <v>SELECT 'INSTR_PROT' AS TABELA, 'COERÊNCIA' AS TIPOLOGIA_TESTE,'CD_LOAN_TAPES_BCE.LT006_INSTR_PROT' AS TABELA_LT,'BU_LOANTAPE_WORK.LT006_INSTR_PROT' AS TABELA_SIMUL,'typ_rltn'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typ_rltn AS CAMPO_IT FROM CD_LOAN_TAPES_BCE.LT006_INSTR_PROT WHERE ref_date='${ref_date}' AND nome_perimetro='Individual Local' AND segmento='ESTR' AND ambito='PM' AND entidade='00100')X INNER JOIN (SELECT instrmnt_id AS CHAVE_SIMUL1, prtctn_id AS CHAVE_SIMUL2, typ_rltn AS CAMPO_SIMUL FROM BU_LOANTAPE_WORK.LT006_INSTR_PROT WHERE ref_date='${ref_date}' AND nome_perimetro='Individual Local' AND segmento='ESTR' AND ambito='PM' AND entidade='00100')Y ON X.CHAVE_IT1=Y.CHAVE_SIMUL1 AND X.CHAVE_IT2=Y.CHAVE_SIMUL2</v>
      </c>
      <c r="N658" s="33" t="str">
        <f t="shared" si="21"/>
        <v>UNION ALL SELECT 'INSTR_PROT' AS TABELA, 'COERÊNCIA' AS TIPOLOGIA_TESTE,'CD_LOAN_TAPES_BCE.LT006_INSTR_PROT' AS TABELA_LT,'BU_LOANTAPE_WORK.LT006_INSTR_PROT' AS TABELA_SIMUL,'typ_rltn'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typ_rltn AS CAMPO_IT FROM CD_LOAN_TAPES_BCE.LT006_INSTR_PROT WHERE ref_date='${ref_date}' AND nome_perimetro='Individual Local' AND segmento='ESTR' AND ambito='PM' AND entidade='00100')X INNER JOIN (SELECT instrmnt_id AS CHAVE_SIMUL1, prtctn_id AS CHAVE_SIMUL2, typ_rltn AS CAMPO_SIMUL FROM BU_LOANTAPE_WORK.LT006_INSTR_PROT WHERE ref_date='${ref_date}' AND nome_perimetro='Individual Local' AND segmento='ESTR' AND ambito='PM' AND entidade='00100')Y ON X.CHAVE_IT1=Y.CHAVE_SIMUL1 AND X.CHAVE_IT2=Y.CHAVE_SIMUL2</v>
      </c>
      <c r="O658" s="35" t="s">
        <v>35</v>
      </c>
    </row>
    <row r="659" spans="1:15">
      <c r="A659" s="57" t="str">
        <f t="shared" si="22"/>
        <v>INSTR_PROTgrp_spprt</v>
      </c>
      <c r="B659" s="32" t="s">
        <v>687</v>
      </c>
      <c r="C659" s="32" t="s">
        <v>679</v>
      </c>
      <c r="D659" s="32" t="s">
        <v>5</v>
      </c>
      <c r="E659" s="32" t="str">
        <f>+UPPER('0. Instruções'!$D$35&amp;"."&amp;VLOOKUP(B659,'0. Instruções'!$C$27:$D$32,2,FALSE))</f>
        <v>CD_LOAN_TAPES_BCE.LT006_INSTR_PROT</v>
      </c>
      <c r="F659" s="32" t="str">
        <f>+UPPER('0. Instruções'!$D$36&amp;"."&amp;VLOOKUP(B659,'0. Instruções'!$C$27:$E$32,3,FALSE))</f>
        <v>BU_LOANTAPE_WORK.LT006_INSTR_PROT</v>
      </c>
      <c r="H659" s="32"/>
      <c r="I659" s="32"/>
      <c r="J659" s="32" t="str">
        <f>IF(VLOOKUP(B659,'0. Instruções'!$C$27:$G$32,5,FALSE)=0,
"(SELECT "&amp;VLOOKUP(B659,'0. Instruções'!$C$27:$G$32,4,FALSE)&amp;" AS CHAVE_IT, "&amp;C659&amp;" AS CAMPO_IT FROM "&amp;E659&amp;" WHERE "&amp;'0. Instruções'!$D$43&amp;")X",
"(SELECT "&amp;VLOOKUP(B659,'0. Instruções'!$C$27:$G$32,4,FALSE)&amp;" AS CHAVE_IT1, "&amp;VLOOKUP(B659,'0. Instruções'!$C$27:$G$32,5,FALSE)&amp;" AS CHAVE_IT2, "&amp;C659&amp;" AS CAMPO_IT FROM "&amp;E659&amp;" WHERE "&amp;'0. Instruções'!$D$43&amp;")X")</f>
        <v>(SELECT instrmnt_id AS CHAVE_IT1, prtctn_id AS CHAVE_IT2, grp_spprt AS CAMPO_IT FROM CD_LOAN_TAPES_BCE.LT006_INSTR_PROT WHERE ref_date='${ref_date}' AND nome_perimetro='Individual Local' AND segmento='ESTR' AND ambito='PM' AND entidade='00100')X</v>
      </c>
      <c r="K659" s="32" t="str">
        <f>IF(VLOOKUP(B659,'0. Instruções'!$C$27:$G$32,5,FALSE)=0,
"(SELECT "&amp;VLOOKUP(B659,'0. Instruções'!$C$27:$G$32,4,FALSE)&amp;" AS CHAVE_SIMUL, "&amp;C659&amp;" AS CAMPO_SIMUL FROM "&amp;F659&amp;" WHERE "&amp;'0. Instruções'!$D$42&amp;")Y",
"(SELECT "&amp;VLOOKUP(B659,'0. Instruções'!$C$27:$G$32,4,FALSE)&amp;" AS CHAVE_SIMUL1, "&amp;VLOOKUP(B659,'0. Instruções'!$C$27:$G$32,5,FALSE)&amp;" AS CHAVE_SIMUL2, "&amp;C659&amp;" AS CAMPO_SIMUL FROM "&amp;F659&amp;" WHERE "&amp;'0. Instruções'!$D$42&amp;")Y")</f>
        <v>(SELECT instrmnt_id AS CHAVE_SIMUL1, prtctn_id AS CHAVE_SIMUL2, grp_spprt AS CAMPO_SIMUL FROM BU_LOANTAPE_WORK.LT006_INSTR_PROT WHERE ref_date='${ref_date}' AND nome_perimetro='Individual Local' AND segmento='ESTR' AND ambito='PM' AND entidade='00100')Y</v>
      </c>
      <c r="L659" s="32" t="str">
        <f>IF(VLOOKUP(B659,'0. Instruções'!$C$27:$G$32,5,FALSE)=0,
"ON X.CHAVE_IT=Y.CHAVE_SIMUL",
"ON X.CHAVE_IT1=Y.CHAVE_SIMUL1 AND X.CHAVE_IT2=Y.CHAVE_SIMUL2")</f>
        <v>ON X.CHAVE_IT1=Y.CHAVE_SIMUL1 AND X.CHAVE_IT2=Y.CHAVE_SIMUL2</v>
      </c>
      <c r="M659" s="32" t="str">
        <f>+IF(D659="Coerência",+IF(LEFT(H659,5)="FLOAT","SELECT '"&amp;UPPER(B659)&amp;"' AS TABELA, '"&amp;UPPER(D659)&amp;"' AS TIPOLOGIA_TESTE,'"&amp;E659&amp;"' AS TABELA_LT,'"&amp;F659&amp;"' AS TABELA_SIMUL,'"&amp;C659&amp;"'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"&amp;J659&amp;" INNER JOIN "&amp;K659&amp;" "&amp;L659,"SELECT '"&amp;UPPER(B659)&amp;"' AS TABELA, '"&amp;UPPER(D659)&amp;"' AS TIPOLOGIA_TESTE,'"&amp;E659&amp;"' AS TABELA_LT,'"&amp;F659&amp;"' AS TABELA_SIMUL,'"&amp;C659&amp;"'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"&amp;J659&amp;" INNER JOIN "&amp;K659&amp;" "&amp;L659))</f>
        <v>SELECT 'INSTR_PROT' AS TABELA, 'COERÊNCIA' AS TIPOLOGIA_TESTE,'CD_LOAN_TAPES_BCE.LT006_INSTR_PROT' AS TABELA_LT,'BU_LOANTAPE_WORK.LT006_INSTR_PROT' AS TABELA_SIMUL,'grp_spprt'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grp_spprt AS CAMPO_IT FROM CD_LOAN_TAPES_BCE.LT006_INSTR_PROT WHERE ref_date='${ref_date}' AND nome_perimetro='Individual Local' AND segmento='ESTR' AND ambito='PM' AND entidade='00100')X INNER JOIN (SELECT instrmnt_id AS CHAVE_SIMUL1, prtctn_id AS CHAVE_SIMUL2, grp_spprt AS CAMPO_SIMUL FROM BU_LOANTAPE_WORK.LT006_INSTR_PROT WHERE ref_date='${ref_date}' AND nome_perimetro='Individual Local' AND segmento='ESTR' AND ambito='PM' AND entidade='00100')Y ON X.CHAVE_IT1=Y.CHAVE_SIMUL1 AND X.CHAVE_IT2=Y.CHAVE_SIMUL2</v>
      </c>
      <c r="N659" s="33" t="str">
        <f t="shared" si="21"/>
        <v>UNION ALL SELECT 'INSTR_PROT' AS TABELA, 'COERÊNCIA' AS TIPOLOGIA_TESTE,'CD_LOAN_TAPES_BCE.LT006_INSTR_PROT' AS TABELA_LT,'BU_LOANTAPE_WORK.LT006_INSTR_PROT' AS TABELA_SIMUL,'grp_spprt'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grp_spprt AS CAMPO_IT FROM CD_LOAN_TAPES_BCE.LT006_INSTR_PROT WHERE ref_date='${ref_date}' AND nome_perimetro='Individual Local' AND segmento='ESTR' AND ambito='PM' AND entidade='00100')X INNER JOIN (SELECT instrmnt_id AS CHAVE_SIMUL1, prtctn_id AS CHAVE_SIMUL2, grp_spprt AS CAMPO_SIMUL FROM BU_LOANTAPE_WORK.LT006_INSTR_PROT WHERE ref_date='${ref_date}' AND nome_perimetro='Individual Local' AND segmento='ESTR' AND ambito='PM' AND entidade='00100')Y ON X.CHAVE_IT1=Y.CHAVE_SIMUL1 AND X.CHAVE_IT2=Y.CHAVE_SIMUL2</v>
      </c>
      <c r="O659" s="35" t="s">
        <v>35</v>
      </c>
    </row>
    <row r="660" spans="1:15">
      <c r="A660" s="57" t="str">
        <f t="shared" si="22"/>
        <v>INSTR_PROTadd_fld01</v>
      </c>
      <c r="B660" s="32" t="s">
        <v>687</v>
      </c>
      <c r="C660" s="32" t="s">
        <v>347</v>
      </c>
      <c r="D660" s="32" t="s">
        <v>5</v>
      </c>
      <c r="E660" s="32" t="str">
        <f>+UPPER('0. Instruções'!$D$35&amp;"."&amp;VLOOKUP(B660,'0. Instruções'!$C$27:$D$32,2,FALSE))</f>
        <v>CD_LOAN_TAPES_BCE.LT006_INSTR_PROT</v>
      </c>
      <c r="F660" s="32" t="str">
        <f>+UPPER('0. Instruções'!$D$36&amp;"."&amp;VLOOKUP(B660,'0. Instruções'!$C$27:$E$32,3,FALSE))</f>
        <v>BU_LOANTAPE_WORK.LT006_INSTR_PROT</v>
      </c>
      <c r="H660" s="32"/>
      <c r="I660" s="32"/>
      <c r="J660" s="32" t="str">
        <f>IF(VLOOKUP(B660,'0. Instruções'!$C$27:$G$32,5,FALSE)=0,
"(SELECT "&amp;VLOOKUP(B660,'0. Instruções'!$C$27:$G$32,4,FALSE)&amp;" AS CHAVE_IT, "&amp;C660&amp;" AS CAMPO_IT FROM "&amp;E660&amp;" WHERE "&amp;'0. Instruções'!$D$43&amp;")X",
"(SELECT "&amp;VLOOKUP(B660,'0. Instruções'!$C$27:$G$32,4,FALSE)&amp;" AS CHAVE_IT1, "&amp;VLOOKUP(B660,'0. Instruções'!$C$27:$G$32,5,FALSE)&amp;" AS CHAVE_IT2, "&amp;C660&amp;" AS CAMPO_IT FROM "&amp;E660&amp;" WHERE "&amp;'0. Instruções'!$D$43&amp;")X")</f>
        <v>(SELECT instrmnt_id AS CHAVE_IT1, prtctn_id AS CHAVE_IT2, add_fld01 AS CAMPO_IT FROM CD_LOAN_TAPES_BCE.LT006_INSTR_PROT WHERE ref_date='${ref_date}' AND nome_perimetro='Individual Local' AND segmento='ESTR' AND ambito='PM' AND entidade='00100')X</v>
      </c>
      <c r="K660" s="32" t="str">
        <f>IF(VLOOKUP(B660,'0. Instruções'!$C$27:$G$32,5,FALSE)=0,
"(SELECT "&amp;VLOOKUP(B660,'0. Instruções'!$C$27:$G$32,4,FALSE)&amp;" AS CHAVE_SIMUL, "&amp;C660&amp;" AS CAMPO_SIMUL FROM "&amp;F660&amp;" WHERE "&amp;'0. Instruções'!$D$42&amp;")Y",
"(SELECT "&amp;VLOOKUP(B660,'0. Instruções'!$C$27:$G$32,4,FALSE)&amp;" AS CHAVE_SIMUL1, "&amp;VLOOKUP(B660,'0. Instruções'!$C$27:$G$32,5,FALSE)&amp;" AS CHAVE_SIMUL2, "&amp;C660&amp;" AS CAMPO_SIMUL FROM "&amp;F660&amp;" WHERE "&amp;'0. Instruções'!$D$42&amp;")Y")</f>
        <v>(SELECT instrmnt_id AS CHAVE_SIMUL1, prtctn_id AS CHAVE_SIMUL2, add_fld01 AS CAMPO_SIMUL FROM BU_LOANTAPE_WORK.LT006_INSTR_PROT WHERE ref_date='${ref_date}' AND nome_perimetro='Individual Local' AND segmento='ESTR' AND ambito='PM' AND entidade='00100')Y</v>
      </c>
      <c r="L660" s="32" t="str">
        <f>IF(VLOOKUP(B660,'0. Instruções'!$C$27:$G$32,5,FALSE)=0,
"ON X.CHAVE_IT=Y.CHAVE_SIMUL",
"ON X.CHAVE_IT1=Y.CHAVE_SIMUL1 AND X.CHAVE_IT2=Y.CHAVE_SIMUL2")</f>
        <v>ON X.CHAVE_IT1=Y.CHAVE_SIMUL1 AND X.CHAVE_IT2=Y.CHAVE_SIMUL2</v>
      </c>
      <c r="M660" s="32" t="str">
        <f>+IF(D660="Coerência",+IF(LEFT(H660,5)="FLOAT","SELECT '"&amp;UPPER(B660)&amp;"' AS TABELA, '"&amp;UPPER(D660)&amp;"' AS TIPOLOGIA_TESTE,'"&amp;E660&amp;"' AS TABELA_LT,'"&amp;F660&amp;"' AS TABELA_SIMUL,'"&amp;C660&amp;"'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"&amp;J660&amp;" INNER JOIN "&amp;K660&amp;" "&amp;L660,"SELECT '"&amp;UPPER(B660)&amp;"' AS TABELA, '"&amp;UPPER(D660)&amp;"' AS TIPOLOGIA_TESTE,'"&amp;E660&amp;"' AS TABELA_LT,'"&amp;F660&amp;"' AS TABELA_SIMUL,'"&amp;C660&amp;"'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"&amp;J660&amp;" INNER JOIN "&amp;K660&amp;" "&amp;L660))</f>
        <v>SELECT 'INSTR_PROT' AS TABELA, 'COERÊNCIA' AS TIPOLOGIA_TESTE,'CD_LOAN_TAPES_BCE.LT006_INSTR_PROT' AS TABELA_LT,'BU_LOANTAPE_WORK.LT006_INSTR_PROT'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add_fld01 AS CAMPO_IT FROM CD_LOAN_TAPES_BCE.LT006_INSTR_PROT WHERE ref_date='${ref_date}' AND nome_perimetro='Individual Local' AND segmento='ESTR' AND ambito='PM' AND entidade='00100')X INNER JOIN (SELECT instrmnt_id AS CHAVE_SIMUL1, prtctn_id AS CHAVE_SIMUL2, add_fld01 AS CAMPO_SIMUL FROM BU_LOANTAPE_WORK.LT006_INSTR_PROT WHERE ref_date='${ref_date}' AND nome_perimetro='Individual Local' AND segmento='ESTR' AND ambito='PM' AND entidade='00100')Y ON X.CHAVE_IT1=Y.CHAVE_SIMUL1 AND X.CHAVE_IT2=Y.CHAVE_SIMUL2</v>
      </c>
      <c r="N660" s="33" t="str">
        <f t="shared" si="21"/>
        <v>UNION ALL SELECT 'INSTR_PROT' AS TABELA, 'COERÊNCIA' AS TIPOLOGIA_TESTE,'CD_LOAN_TAPES_BCE.LT006_INSTR_PROT' AS TABELA_LT,'BU_LOANTAPE_WORK.LT006_INSTR_PROT' AS TABELA_SIMUL,'add_fld01'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add_fld01 AS CAMPO_IT FROM CD_LOAN_TAPES_BCE.LT006_INSTR_PROT WHERE ref_date='${ref_date}' AND nome_perimetro='Individual Local' AND segmento='ESTR' AND ambito='PM' AND entidade='00100')X INNER JOIN (SELECT instrmnt_id AS CHAVE_SIMUL1, prtctn_id AS CHAVE_SIMUL2, add_fld01 AS CAMPO_SIMUL FROM BU_LOANTAPE_WORK.LT006_INSTR_PROT WHERE ref_date='${ref_date}' AND nome_perimetro='Individual Local' AND segmento='ESTR' AND ambito='PM' AND entidade='00100')Y ON X.CHAVE_IT1=Y.CHAVE_SIMUL1 AND X.CHAVE_IT2=Y.CHAVE_SIMUL2</v>
      </c>
      <c r="O660" s="35" t="s">
        <v>35</v>
      </c>
    </row>
    <row r="661" spans="1:15">
      <c r="A661" s="57" t="str">
        <f t="shared" si="22"/>
        <v>INSTR_PROTadd_fld02</v>
      </c>
      <c r="B661" s="32" t="s">
        <v>687</v>
      </c>
      <c r="C661" s="32" t="s">
        <v>348</v>
      </c>
      <c r="D661" s="32" t="s">
        <v>5</v>
      </c>
      <c r="E661" s="32" t="str">
        <f>+UPPER('0. Instruções'!$D$35&amp;"."&amp;VLOOKUP(B661,'0. Instruções'!$C$27:$D$32,2,FALSE))</f>
        <v>CD_LOAN_TAPES_BCE.LT006_INSTR_PROT</v>
      </c>
      <c r="F661" s="32" t="str">
        <f>+UPPER('0. Instruções'!$D$36&amp;"."&amp;VLOOKUP(B661,'0. Instruções'!$C$27:$E$32,3,FALSE))</f>
        <v>BU_LOANTAPE_WORK.LT006_INSTR_PROT</v>
      </c>
      <c r="H661" s="32"/>
      <c r="I661" s="32"/>
      <c r="J661" s="32" t="str">
        <f>IF(VLOOKUP(B661,'0. Instruções'!$C$27:$G$32,5,FALSE)=0,
"(SELECT "&amp;VLOOKUP(B661,'0. Instruções'!$C$27:$G$32,4,FALSE)&amp;" AS CHAVE_IT, "&amp;C661&amp;" AS CAMPO_IT FROM "&amp;E661&amp;" WHERE "&amp;'0. Instruções'!$D$43&amp;")X",
"(SELECT "&amp;VLOOKUP(B661,'0. Instruções'!$C$27:$G$32,4,FALSE)&amp;" AS CHAVE_IT1, "&amp;VLOOKUP(B661,'0. Instruções'!$C$27:$G$32,5,FALSE)&amp;" AS CHAVE_IT2, "&amp;C661&amp;" AS CAMPO_IT FROM "&amp;E661&amp;" WHERE "&amp;'0. Instruções'!$D$43&amp;")X")</f>
        <v>(SELECT instrmnt_id AS CHAVE_IT1, prtctn_id AS CHAVE_IT2, add_fld02 AS CAMPO_IT FROM CD_LOAN_TAPES_BCE.LT006_INSTR_PROT WHERE ref_date='${ref_date}' AND nome_perimetro='Individual Local' AND segmento='ESTR' AND ambito='PM' AND entidade='00100')X</v>
      </c>
      <c r="K661" s="32" t="str">
        <f>IF(VLOOKUP(B661,'0. Instruções'!$C$27:$G$32,5,FALSE)=0,
"(SELECT "&amp;VLOOKUP(B661,'0. Instruções'!$C$27:$G$32,4,FALSE)&amp;" AS CHAVE_SIMUL, "&amp;C661&amp;" AS CAMPO_SIMUL FROM "&amp;F661&amp;" WHERE "&amp;'0. Instruções'!$D$42&amp;")Y",
"(SELECT "&amp;VLOOKUP(B661,'0. Instruções'!$C$27:$G$32,4,FALSE)&amp;" AS CHAVE_SIMUL1, "&amp;VLOOKUP(B661,'0. Instruções'!$C$27:$G$32,5,FALSE)&amp;" AS CHAVE_SIMUL2, "&amp;C661&amp;" AS CAMPO_SIMUL FROM "&amp;F661&amp;" WHERE "&amp;'0. Instruções'!$D$42&amp;")Y")</f>
        <v>(SELECT instrmnt_id AS CHAVE_SIMUL1, prtctn_id AS CHAVE_SIMUL2, add_fld02 AS CAMPO_SIMUL FROM BU_LOANTAPE_WORK.LT006_INSTR_PROT WHERE ref_date='${ref_date}' AND nome_perimetro='Individual Local' AND segmento='ESTR' AND ambito='PM' AND entidade='00100')Y</v>
      </c>
      <c r="L661" s="32" t="str">
        <f>IF(VLOOKUP(B661,'0. Instruções'!$C$27:$G$32,5,FALSE)=0,
"ON X.CHAVE_IT=Y.CHAVE_SIMUL",
"ON X.CHAVE_IT1=Y.CHAVE_SIMUL1 AND X.CHAVE_IT2=Y.CHAVE_SIMUL2")</f>
        <v>ON X.CHAVE_IT1=Y.CHAVE_SIMUL1 AND X.CHAVE_IT2=Y.CHAVE_SIMUL2</v>
      </c>
      <c r="M661" s="32" t="str">
        <f>+IF(D661="Coerência",+IF(LEFT(H661,5)="FLOAT","SELECT '"&amp;UPPER(B661)&amp;"' AS TABELA, '"&amp;UPPER(D661)&amp;"' AS TIPOLOGIA_TESTE,'"&amp;E661&amp;"' AS TABELA_LT,'"&amp;F661&amp;"' AS TABELA_SIMUL,'"&amp;C661&amp;"'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"&amp;J661&amp;" INNER JOIN "&amp;K661&amp;" "&amp;L661,"SELECT '"&amp;UPPER(B661)&amp;"' AS TABELA, '"&amp;UPPER(D661)&amp;"' AS TIPOLOGIA_TESTE,'"&amp;E661&amp;"' AS TABELA_LT,'"&amp;F661&amp;"' AS TABELA_SIMUL,'"&amp;C661&amp;"'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"&amp;J661&amp;" INNER JOIN "&amp;K661&amp;" "&amp;L661))</f>
        <v>SELECT 'INSTR_PROT' AS TABELA, 'COERÊNCIA' AS TIPOLOGIA_TESTE,'CD_LOAN_TAPES_BCE.LT006_INSTR_PROT' AS TABELA_LT,'BU_LOANTAPE_WORK.LT006_INSTR_PROT'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add_fld02 AS CAMPO_IT FROM CD_LOAN_TAPES_BCE.LT006_INSTR_PROT WHERE ref_date='${ref_date}' AND nome_perimetro='Individual Local' AND segmento='ESTR' AND ambito='PM' AND entidade='00100')X INNER JOIN (SELECT instrmnt_id AS CHAVE_SIMUL1, prtctn_id AS CHAVE_SIMUL2, add_fld02 AS CAMPO_SIMUL FROM BU_LOANTAPE_WORK.LT006_INSTR_PROT WHERE ref_date='${ref_date}' AND nome_perimetro='Individual Local' AND segmento='ESTR' AND ambito='PM' AND entidade='00100')Y ON X.CHAVE_IT1=Y.CHAVE_SIMUL1 AND X.CHAVE_IT2=Y.CHAVE_SIMUL2</v>
      </c>
      <c r="N661" s="33" t="str">
        <f t="shared" si="21"/>
        <v>UNION ALL SELECT 'INSTR_PROT' AS TABELA, 'COERÊNCIA' AS TIPOLOGIA_TESTE,'CD_LOAN_TAPES_BCE.LT006_INSTR_PROT' AS TABELA_LT,'BU_LOANTAPE_WORK.LT006_INSTR_PROT' AS TABELA_SIMUL,'add_fld02'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add_fld02 AS CAMPO_IT FROM CD_LOAN_TAPES_BCE.LT006_INSTR_PROT WHERE ref_date='${ref_date}' AND nome_perimetro='Individual Local' AND segmento='ESTR' AND ambito='PM' AND entidade='00100')X INNER JOIN (SELECT instrmnt_id AS CHAVE_SIMUL1, prtctn_id AS CHAVE_SIMUL2, add_fld02 AS CAMPO_SIMUL FROM BU_LOANTAPE_WORK.LT006_INSTR_PROT WHERE ref_date='${ref_date}' AND nome_perimetro='Individual Local' AND segmento='ESTR' AND ambito='PM' AND entidade='00100')Y ON X.CHAVE_IT1=Y.CHAVE_SIMUL1 AND X.CHAVE_IT2=Y.CHAVE_SIMUL2</v>
      </c>
      <c r="O661" s="35" t="s">
        <v>35</v>
      </c>
    </row>
    <row r="662" spans="1:15">
      <c r="A662" s="57" t="str">
        <f t="shared" si="22"/>
        <v>INSTR_PROTadd_fld03</v>
      </c>
      <c r="B662" s="32" t="s">
        <v>687</v>
      </c>
      <c r="C662" s="32" t="s">
        <v>349</v>
      </c>
      <c r="D662" s="32" t="s">
        <v>5</v>
      </c>
      <c r="E662" s="32" t="str">
        <f>+UPPER('0. Instruções'!$D$35&amp;"."&amp;VLOOKUP(B662,'0. Instruções'!$C$27:$D$32,2,FALSE))</f>
        <v>CD_LOAN_TAPES_BCE.LT006_INSTR_PROT</v>
      </c>
      <c r="F662" s="32" t="str">
        <f>+UPPER('0. Instruções'!$D$36&amp;"."&amp;VLOOKUP(B662,'0. Instruções'!$C$27:$E$32,3,FALSE))</f>
        <v>BU_LOANTAPE_WORK.LT006_INSTR_PROT</v>
      </c>
      <c r="H662" s="32"/>
      <c r="I662" s="32"/>
      <c r="J662" s="32" t="str">
        <f>IF(VLOOKUP(B662,'0. Instruções'!$C$27:$G$32,5,FALSE)=0,
"(SELECT "&amp;VLOOKUP(B662,'0. Instruções'!$C$27:$G$32,4,FALSE)&amp;" AS CHAVE_IT, "&amp;C662&amp;" AS CAMPO_IT FROM "&amp;E662&amp;" WHERE "&amp;'0. Instruções'!$D$43&amp;")X",
"(SELECT "&amp;VLOOKUP(B662,'0. Instruções'!$C$27:$G$32,4,FALSE)&amp;" AS CHAVE_IT1, "&amp;VLOOKUP(B662,'0. Instruções'!$C$27:$G$32,5,FALSE)&amp;" AS CHAVE_IT2, "&amp;C662&amp;" AS CAMPO_IT FROM "&amp;E662&amp;" WHERE "&amp;'0. Instruções'!$D$43&amp;")X")</f>
        <v>(SELECT instrmnt_id AS CHAVE_IT1, prtctn_id AS CHAVE_IT2, add_fld03 AS CAMPO_IT FROM CD_LOAN_TAPES_BCE.LT006_INSTR_PROT WHERE ref_date='${ref_date}' AND nome_perimetro='Individual Local' AND segmento='ESTR' AND ambito='PM' AND entidade='00100')X</v>
      </c>
      <c r="K662" s="32" t="str">
        <f>IF(VLOOKUP(B662,'0. Instruções'!$C$27:$G$32,5,FALSE)=0,
"(SELECT "&amp;VLOOKUP(B662,'0. Instruções'!$C$27:$G$32,4,FALSE)&amp;" AS CHAVE_SIMUL, "&amp;C662&amp;" AS CAMPO_SIMUL FROM "&amp;F662&amp;" WHERE "&amp;'0. Instruções'!$D$42&amp;")Y",
"(SELECT "&amp;VLOOKUP(B662,'0. Instruções'!$C$27:$G$32,4,FALSE)&amp;" AS CHAVE_SIMUL1, "&amp;VLOOKUP(B662,'0. Instruções'!$C$27:$G$32,5,FALSE)&amp;" AS CHAVE_SIMUL2, "&amp;C662&amp;" AS CAMPO_SIMUL FROM "&amp;F662&amp;" WHERE "&amp;'0. Instruções'!$D$42&amp;")Y")</f>
        <v>(SELECT instrmnt_id AS CHAVE_SIMUL1, prtctn_id AS CHAVE_SIMUL2, add_fld03 AS CAMPO_SIMUL FROM BU_LOANTAPE_WORK.LT006_INSTR_PROT WHERE ref_date='${ref_date}' AND nome_perimetro='Individual Local' AND segmento='ESTR' AND ambito='PM' AND entidade='00100')Y</v>
      </c>
      <c r="L662" s="32" t="str">
        <f>IF(VLOOKUP(B662,'0. Instruções'!$C$27:$G$32,5,FALSE)=0,
"ON X.CHAVE_IT=Y.CHAVE_SIMUL",
"ON X.CHAVE_IT1=Y.CHAVE_SIMUL1 AND X.CHAVE_IT2=Y.CHAVE_SIMUL2")</f>
        <v>ON X.CHAVE_IT1=Y.CHAVE_SIMUL1 AND X.CHAVE_IT2=Y.CHAVE_SIMUL2</v>
      </c>
      <c r="M662" s="32" t="str">
        <f>+IF(D662="Coerência",+IF(LEFT(H662,5)="FLOAT","SELECT '"&amp;UPPER(B662)&amp;"' AS TABELA, '"&amp;UPPER(D662)&amp;"' AS TIPOLOGIA_TESTE,'"&amp;E662&amp;"' AS TABELA_LT,'"&amp;F662&amp;"' AS TABELA_SIMUL,'"&amp;C662&amp;"'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"&amp;J662&amp;" INNER JOIN "&amp;K662&amp;" "&amp;L662,"SELECT '"&amp;UPPER(B662)&amp;"' AS TABELA, '"&amp;UPPER(D662)&amp;"' AS TIPOLOGIA_TESTE,'"&amp;E662&amp;"' AS TABELA_LT,'"&amp;F662&amp;"' AS TABELA_SIMUL,'"&amp;C662&amp;"'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"&amp;J662&amp;" INNER JOIN "&amp;K662&amp;" "&amp;L662))</f>
        <v>SELECT 'INSTR_PROT' AS TABELA, 'COERÊNCIA' AS TIPOLOGIA_TESTE,'CD_LOAN_TAPES_BCE.LT006_INSTR_PROT' AS TABELA_LT,'BU_LOANTAPE_WORK.LT006_INSTR_PROT'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add_fld03 AS CAMPO_IT FROM CD_LOAN_TAPES_BCE.LT006_INSTR_PROT WHERE ref_date='${ref_date}' AND nome_perimetro='Individual Local' AND segmento='ESTR' AND ambito='PM' AND entidade='00100')X INNER JOIN (SELECT instrmnt_id AS CHAVE_SIMUL1, prtctn_id AS CHAVE_SIMUL2, add_fld03 AS CAMPO_SIMUL FROM BU_LOANTAPE_WORK.LT006_INSTR_PROT WHERE ref_date='${ref_date}' AND nome_perimetro='Individual Local' AND segmento='ESTR' AND ambito='PM' AND entidade='00100')Y ON X.CHAVE_IT1=Y.CHAVE_SIMUL1 AND X.CHAVE_IT2=Y.CHAVE_SIMUL2</v>
      </c>
      <c r="N662" s="33" t="str">
        <f t="shared" si="21"/>
        <v>UNION ALL SELECT 'INSTR_PROT' AS TABELA, 'COERÊNCIA' AS TIPOLOGIA_TESTE,'CD_LOAN_TAPES_BCE.LT006_INSTR_PROT' AS TABELA_LT,'BU_LOANTAPE_WORK.LT006_INSTR_PROT' AS TABELA_SIMUL,'add_fld03'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add_fld03 AS CAMPO_IT FROM CD_LOAN_TAPES_BCE.LT006_INSTR_PROT WHERE ref_date='${ref_date}' AND nome_perimetro='Individual Local' AND segmento='ESTR' AND ambito='PM' AND entidade='00100')X INNER JOIN (SELECT instrmnt_id AS CHAVE_SIMUL1, prtctn_id AS CHAVE_SIMUL2, add_fld03 AS CAMPO_SIMUL FROM BU_LOANTAPE_WORK.LT006_INSTR_PROT WHERE ref_date='${ref_date}' AND nome_perimetro='Individual Local' AND segmento='ESTR' AND ambito='PM' AND entidade='00100')Y ON X.CHAVE_IT1=Y.CHAVE_SIMUL1 AND X.CHAVE_IT2=Y.CHAVE_SIMUL2</v>
      </c>
      <c r="O662" s="35" t="s">
        <v>35</v>
      </c>
    </row>
    <row r="663" spans="1:15">
      <c r="A663" s="57" t="str">
        <f t="shared" si="22"/>
        <v>INSTR_PROTadd_fld04</v>
      </c>
      <c r="B663" s="32" t="s">
        <v>687</v>
      </c>
      <c r="C663" s="32" t="s">
        <v>350</v>
      </c>
      <c r="D663" s="32" t="s">
        <v>5</v>
      </c>
      <c r="E663" s="32" t="str">
        <f>+UPPER('0. Instruções'!$D$35&amp;"."&amp;VLOOKUP(B663,'0. Instruções'!$C$27:$D$32,2,FALSE))</f>
        <v>CD_LOAN_TAPES_BCE.LT006_INSTR_PROT</v>
      </c>
      <c r="F663" s="32" t="str">
        <f>+UPPER('0. Instruções'!$D$36&amp;"."&amp;VLOOKUP(B663,'0. Instruções'!$C$27:$E$32,3,FALSE))</f>
        <v>BU_LOANTAPE_WORK.LT006_INSTR_PROT</v>
      </c>
      <c r="H663" s="32"/>
      <c r="I663" s="32"/>
      <c r="J663" s="32" t="str">
        <f>IF(VLOOKUP(B663,'0. Instruções'!$C$27:$G$32,5,FALSE)=0,
"(SELECT "&amp;VLOOKUP(B663,'0. Instruções'!$C$27:$G$32,4,FALSE)&amp;" AS CHAVE_IT, "&amp;C663&amp;" AS CAMPO_IT FROM "&amp;E663&amp;" WHERE "&amp;'0. Instruções'!$D$43&amp;")X",
"(SELECT "&amp;VLOOKUP(B663,'0. Instruções'!$C$27:$G$32,4,FALSE)&amp;" AS CHAVE_IT1, "&amp;VLOOKUP(B663,'0. Instruções'!$C$27:$G$32,5,FALSE)&amp;" AS CHAVE_IT2, "&amp;C663&amp;" AS CAMPO_IT FROM "&amp;E663&amp;" WHERE "&amp;'0. Instruções'!$D$43&amp;")X")</f>
        <v>(SELECT instrmnt_id AS CHAVE_IT1, prtctn_id AS CHAVE_IT2, add_fld04 AS CAMPO_IT FROM CD_LOAN_TAPES_BCE.LT006_INSTR_PROT WHERE ref_date='${ref_date}' AND nome_perimetro='Individual Local' AND segmento='ESTR' AND ambito='PM' AND entidade='00100')X</v>
      </c>
      <c r="K663" s="32" t="str">
        <f>IF(VLOOKUP(B663,'0. Instruções'!$C$27:$G$32,5,FALSE)=0,
"(SELECT "&amp;VLOOKUP(B663,'0. Instruções'!$C$27:$G$32,4,FALSE)&amp;" AS CHAVE_SIMUL, "&amp;C663&amp;" AS CAMPO_SIMUL FROM "&amp;F663&amp;" WHERE "&amp;'0. Instruções'!$D$42&amp;")Y",
"(SELECT "&amp;VLOOKUP(B663,'0. Instruções'!$C$27:$G$32,4,FALSE)&amp;" AS CHAVE_SIMUL1, "&amp;VLOOKUP(B663,'0. Instruções'!$C$27:$G$32,5,FALSE)&amp;" AS CHAVE_SIMUL2, "&amp;C663&amp;" AS CAMPO_SIMUL FROM "&amp;F663&amp;" WHERE "&amp;'0. Instruções'!$D$42&amp;")Y")</f>
        <v>(SELECT instrmnt_id AS CHAVE_SIMUL1, prtctn_id AS CHAVE_SIMUL2, add_fld04 AS CAMPO_SIMUL FROM BU_LOANTAPE_WORK.LT006_INSTR_PROT WHERE ref_date='${ref_date}' AND nome_perimetro='Individual Local' AND segmento='ESTR' AND ambito='PM' AND entidade='00100')Y</v>
      </c>
      <c r="L663" s="32" t="str">
        <f>IF(VLOOKUP(B663,'0. Instruções'!$C$27:$G$32,5,FALSE)=0,
"ON X.CHAVE_IT=Y.CHAVE_SIMUL",
"ON X.CHAVE_IT1=Y.CHAVE_SIMUL1 AND X.CHAVE_IT2=Y.CHAVE_SIMUL2")</f>
        <v>ON X.CHAVE_IT1=Y.CHAVE_SIMUL1 AND X.CHAVE_IT2=Y.CHAVE_SIMUL2</v>
      </c>
      <c r="M663" s="32" t="str">
        <f>+IF(D663="Coerência",+IF(LEFT(H663,5)="FLOAT","SELECT '"&amp;UPPER(B663)&amp;"' AS TABELA, '"&amp;UPPER(D663)&amp;"' AS TIPOLOGIA_TESTE,'"&amp;E663&amp;"' AS TABELA_LT,'"&amp;F663&amp;"' AS TABELA_SIMUL,'"&amp;C663&amp;"'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"&amp;J663&amp;" INNER JOIN "&amp;K663&amp;" "&amp;L663,"SELECT '"&amp;UPPER(B663)&amp;"' AS TABELA, '"&amp;UPPER(D663)&amp;"' AS TIPOLOGIA_TESTE,'"&amp;E663&amp;"' AS TABELA_LT,'"&amp;F663&amp;"' AS TABELA_SIMUL,'"&amp;C663&amp;"'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"&amp;J663&amp;" INNER JOIN "&amp;K663&amp;" "&amp;L663))</f>
        <v>SELECT 'INSTR_PROT' AS TABELA, 'COERÊNCIA' AS TIPOLOGIA_TESTE,'CD_LOAN_TAPES_BCE.LT006_INSTR_PROT' AS TABELA_LT,'BU_LOANTAPE_WORK.LT006_INSTR_PROT'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add_fld04 AS CAMPO_IT FROM CD_LOAN_TAPES_BCE.LT006_INSTR_PROT WHERE ref_date='${ref_date}' AND nome_perimetro='Individual Local' AND segmento='ESTR' AND ambito='PM' AND entidade='00100')X INNER JOIN (SELECT instrmnt_id AS CHAVE_SIMUL1, prtctn_id AS CHAVE_SIMUL2, add_fld04 AS CAMPO_SIMUL FROM BU_LOANTAPE_WORK.LT006_INSTR_PROT WHERE ref_date='${ref_date}' AND nome_perimetro='Individual Local' AND segmento='ESTR' AND ambito='PM' AND entidade='00100')Y ON X.CHAVE_IT1=Y.CHAVE_SIMUL1 AND X.CHAVE_IT2=Y.CHAVE_SIMUL2</v>
      </c>
      <c r="N663" s="33" t="str">
        <f t="shared" si="21"/>
        <v>UNION ALL SELECT 'INSTR_PROT' AS TABELA, 'COERÊNCIA' AS TIPOLOGIA_TESTE,'CD_LOAN_TAPES_BCE.LT006_INSTR_PROT' AS TABELA_LT,'BU_LOANTAPE_WORK.LT006_INSTR_PROT' AS TABELA_SIMUL,'add_fld04'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add_fld04 AS CAMPO_IT FROM CD_LOAN_TAPES_BCE.LT006_INSTR_PROT WHERE ref_date='${ref_date}' AND nome_perimetro='Individual Local' AND segmento='ESTR' AND ambito='PM' AND entidade='00100')X INNER JOIN (SELECT instrmnt_id AS CHAVE_SIMUL1, prtctn_id AS CHAVE_SIMUL2, add_fld04 AS CAMPO_SIMUL FROM BU_LOANTAPE_WORK.LT006_INSTR_PROT WHERE ref_date='${ref_date}' AND nome_perimetro='Individual Local' AND segmento='ESTR' AND ambito='PM' AND entidade='00100')Y ON X.CHAVE_IT1=Y.CHAVE_SIMUL1 AND X.CHAVE_IT2=Y.CHAVE_SIMUL2</v>
      </c>
      <c r="O663" s="35" t="s">
        <v>35</v>
      </c>
    </row>
    <row r="664" spans="1:15">
      <c r="A664" s="57" t="str">
        <f t="shared" si="22"/>
        <v>INSTR_PROTadd_fld05</v>
      </c>
      <c r="B664" s="32" t="s">
        <v>687</v>
      </c>
      <c r="C664" s="32" t="s">
        <v>351</v>
      </c>
      <c r="D664" s="32" t="s">
        <v>5</v>
      </c>
      <c r="E664" s="32" t="str">
        <f>+UPPER('0. Instruções'!$D$35&amp;"."&amp;VLOOKUP(B664,'0. Instruções'!$C$27:$D$32,2,FALSE))</f>
        <v>CD_LOAN_TAPES_BCE.LT006_INSTR_PROT</v>
      </c>
      <c r="F664" s="32" t="str">
        <f>+UPPER('0. Instruções'!$D$36&amp;"."&amp;VLOOKUP(B664,'0. Instruções'!$C$27:$E$32,3,FALSE))</f>
        <v>BU_LOANTAPE_WORK.LT006_INSTR_PROT</v>
      </c>
      <c r="H664" s="32"/>
      <c r="I664" s="32"/>
      <c r="J664" s="32" t="str">
        <f>IF(VLOOKUP(B664,'0. Instruções'!$C$27:$G$32,5,FALSE)=0,
"(SELECT "&amp;VLOOKUP(B664,'0. Instruções'!$C$27:$G$32,4,FALSE)&amp;" AS CHAVE_IT, "&amp;C664&amp;" AS CAMPO_IT FROM "&amp;E664&amp;" WHERE "&amp;'0. Instruções'!$D$43&amp;")X",
"(SELECT "&amp;VLOOKUP(B664,'0. Instruções'!$C$27:$G$32,4,FALSE)&amp;" AS CHAVE_IT1, "&amp;VLOOKUP(B664,'0. Instruções'!$C$27:$G$32,5,FALSE)&amp;" AS CHAVE_IT2, "&amp;C664&amp;" AS CAMPO_IT FROM "&amp;E664&amp;" WHERE "&amp;'0. Instruções'!$D$43&amp;")X")</f>
        <v>(SELECT instrmnt_id AS CHAVE_IT1, prtctn_id AS CHAVE_IT2, add_fld05 AS CAMPO_IT FROM CD_LOAN_TAPES_BCE.LT006_INSTR_PROT WHERE ref_date='${ref_date}' AND nome_perimetro='Individual Local' AND segmento='ESTR' AND ambito='PM' AND entidade='00100')X</v>
      </c>
      <c r="K664" s="32" t="str">
        <f>IF(VLOOKUP(B664,'0. Instruções'!$C$27:$G$32,5,FALSE)=0,
"(SELECT "&amp;VLOOKUP(B664,'0. Instruções'!$C$27:$G$32,4,FALSE)&amp;" AS CHAVE_SIMUL, "&amp;C664&amp;" AS CAMPO_SIMUL FROM "&amp;F664&amp;" WHERE "&amp;'0. Instruções'!$D$42&amp;")Y",
"(SELECT "&amp;VLOOKUP(B664,'0. Instruções'!$C$27:$G$32,4,FALSE)&amp;" AS CHAVE_SIMUL1, "&amp;VLOOKUP(B664,'0. Instruções'!$C$27:$G$32,5,FALSE)&amp;" AS CHAVE_SIMUL2, "&amp;C664&amp;" AS CAMPO_SIMUL FROM "&amp;F664&amp;" WHERE "&amp;'0. Instruções'!$D$42&amp;")Y")</f>
        <v>(SELECT instrmnt_id AS CHAVE_SIMUL1, prtctn_id AS CHAVE_SIMUL2, add_fld05 AS CAMPO_SIMUL FROM BU_LOANTAPE_WORK.LT006_INSTR_PROT WHERE ref_date='${ref_date}' AND nome_perimetro='Individual Local' AND segmento='ESTR' AND ambito='PM' AND entidade='00100')Y</v>
      </c>
      <c r="L664" s="32" t="str">
        <f>IF(VLOOKUP(B664,'0. Instruções'!$C$27:$G$32,5,FALSE)=0,
"ON X.CHAVE_IT=Y.CHAVE_SIMUL",
"ON X.CHAVE_IT1=Y.CHAVE_SIMUL1 AND X.CHAVE_IT2=Y.CHAVE_SIMUL2")</f>
        <v>ON X.CHAVE_IT1=Y.CHAVE_SIMUL1 AND X.CHAVE_IT2=Y.CHAVE_SIMUL2</v>
      </c>
      <c r="M664" s="32" t="str">
        <f>+IF(D664="Coerência",+IF(LEFT(H664,5)="FLOAT","SELECT '"&amp;UPPER(B664)&amp;"' AS TABELA, '"&amp;UPPER(D664)&amp;"' AS TIPOLOGIA_TESTE,'"&amp;E664&amp;"' AS TABELA_LT,'"&amp;F664&amp;"' AS TABELA_SIMUL,'"&amp;C664&amp;"'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"&amp;J664&amp;" INNER JOIN "&amp;K664&amp;" "&amp;L664,"SELECT '"&amp;UPPER(B664)&amp;"' AS TABELA, '"&amp;UPPER(D664)&amp;"' AS TIPOLOGIA_TESTE,'"&amp;E664&amp;"' AS TABELA_LT,'"&amp;F664&amp;"' AS TABELA_SIMUL,'"&amp;C664&amp;"'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"&amp;J664&amp;" INNER JOIN "&amp;K664&amp;" "&amp;L664))</f>
        <v>SELECT 'INSTR_PROT' AS TABELA, 'COERÊNCIA' AS TIPOLOGIA_TESTE,'CD_LOAN_TAPES_BCE.LT006_INSTR_PROT' AS TABELA_LT,'BU_LOANTAPE_WORK.LT006_INSTR_PROT'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add_fld05 AS CAMPO_IT FROM CD_LOAN_TAPES_BCE.LT006_INSTR_PROT WHERE ref_date='${ref_date}' AND nome_perimetro='Individual Local' AND segmento='ESTR' AND ambito='PM' AND entidade='00100')X INNER JOIN (SELECT instrmnt_id AS CHAVE_SIMUL1, prtctn_id AS CHAVE_SIMUL2, add_fld05 AS CAMPO_SIMUL FROM BU_LOANTAPE_WORK.LT006_INSTR_PROT WHERE ref_date='${ref_date}' AND nome_perimetro='Individual Local' AND segmento='ESTR' AND ambito='PM' AND entidade='00100')Y ON X.CHAVE_IT1=Y.CHAVE_SIMUL1 AND X.CHAVE_IT2=Y.CHAVE_SIMUL2</v>
      </c>
      <c r="N664" s="33" t="str">
        <f t="shared" si="21"/>
        <v>UNION ALL SELECT 'INSTR_PROT' AS TABELA, 'COERÊNCIA' AS TIPOLOGIA_TESTE,'CD_LOAN_TAPES_BCE.LT006_INSTR_PROT' AS TABELA_LT,'BU_LOANTAPE_WORK.LT006_INSTR_PROT' AS TABELA_SIMUL,'add_fld05'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add_fld05 AS CAMPO_IT FROM CD_LOAN_TAPES_BCE.LT006_INSTR_PROT WHERE ref_date='${ref_date}' AND nome_perimetro='Individual Local' AND segmento='ESTR' AND ambito='PM' AND entidade='00100')X INNER JOIN (SELECT instrmnt_id AS CHAVE_SIMUL1, prtctn_id AS CHAVE_SIMUL2, add_fld05 AS CAMPO_SIMUL FROM BU_LOANTAPE_WORK.LT006_INSTR_PROT WHERE ref_date='${ref_date}' AND nome_perimetro='Individual Local' AND segmento='ESTR' AND ambito='PM' AND entidade='00100')Y ON X.CHAVE_IT1=Y.CHAVE_SIMUL1 AND X.CHAVE_IT2=Y.CHAVE_SIMUL2</v>
      </c>
      <c r="O664" s="35" t="s">
        <v>35</v>
      </c>
    </row>
    <row r="665" spans="1:15">
      <c r="A665" s="57" t="str">
        <f t="shared" si="22"/>
        <v>INSTR_PROTcod_soc</v>
      </c>
      <c r="B665" s="32" t="s">
        <v>687</v>
      </c>
      <c r="C665" s="32" t="s">
        <v>149</v>
      </c>
      <c r="D665" s="32" t="s">
        <v>5</v>
      </c>
      <c r="E665" s="32" t="str">
        <f>+UPPER('0. Instruções'!$D$35&amp;"."&amp;VLOOKUP(B665,'0. Instruções'!$C$27:$D$32,2,FALSE))</f>
        <v>CD_LOAN_TAPES_BCE.LT006_INSTR_PROT</v>
      </c>
      <c r="F665" s="32" t="str">
        <f>+UPPER('0. Instruções'!$D$36&amp;"."&amp;VLOOKUP(B665,'0. Instruções'!$C$27:$E$32,3,FALSE))</f>
        <v>BU_LOANTAPE_WORK.LT006_INSTR_PROT</v>
      </c>
      <c r="H665" s="32"/>
      <c r="I665" s="32"/>
      <c r="J665" s="32" t="str">
        <f>IF(VLOOKUP(B665,'0. Instruções'!$C$27:$G$32,5,FALSE)=0,
"(SELECT "&amp;VLOOKUP(B665,'0. Instruções'!$C$27:$G$32,4,FALSE)&amp;" AS CHAVE_IT, "&amp;C665&amp;" AS CAMPO_IT FROM "&amp;E665&amp;" WHERE "&amp;'0. Instruções'!$D$43&amp;")X",
"(SELECT "&amp;VLOOKUP(B665,'0. Instruções'!$C$27:$G$32,4,FALSE)&amp;" AS CHAVE_IT1, "&amp;VLOOKUP(B665,'0. Instruções'!$C$27:$G$32,5,FALSE)&amp;" AS CHAVE_IT2, "&amp;C665&amp;" AS CAMPO_IT FROM "&amp;E665&amp;" WHERE "&amp;'0. Instruções'!$D$43&amp;")X")</f>
        <v>(SELECT instrmnt_id AS CHAVE_IT1, prtctn_id AS CHAVE_IT2, cod_soc AS CAMPO_IT FROM CD_LOAN_TAPES_BCE.LT006_INSTR_PROT WHERE ref_date='${ref_date}' AND nome_perimetro='Individual Local' AND segmento='ESTR' AND ambito='PM' AND entidade='00100')X</v>
      </c>
      <c r="K665" s="32" t="str">
        <f>IF(VLOOKUP(B665,'0. Instruções'!$C$27:$G$32,5,FALSE)=0,
"(SELECT "&amp;VLOOKUP(B665,'0. Instruções'!$C$27:$G$32,4,FALSE)&amp;" AS CHAVE_SIMUL, "&amp;C665&amp;" AS CAMPO_SIMUL FROM "&amp;F665&amp;" WHERE "&amp;'0. Instruções'!$D$42&amp;")Y",
"(SELECT "&amp;VLOOKUP(B665,'0. Instruções'!$C$27:$G$32,4,FALSE)&amp;" AS CHAVE_SIMUL1, "&amp;VLOOKUP(B665,'0. Instruções'!$C$27:$G$32,5,FALSE)&amp;" AS CHAVE_SIMUL2, "&amp;C665&amp;" AS CAMPO_SIMUL FROM "&amp;F665&amp;" WHERE "&amp;'0. Instruções'!$D$42&amp;")Y")</f>
        <v>(SELECT instrmnt_id AS CHAVE_SIMUL1, prtctn_id AS CHAVE_SIMUL2, cod_soc AS CAMPO_SIMUL FROM BU_LOANTAPE_WORK.LT006_INSTR_PROT WHERE ref_date='${ref_date}' AND nome_perimetro='Individual Local' AND segmento='ESTR' AND ambito='PM' AND entidade='00100')Y</v>
      </c>
      <c r="L665" s="32" t="str">
        <f>IF(VLOOKUP(B665,'0. Instruções'!$C$27:$G$32,5,FALSE)=0,
"ON X.CHAVE_IT=Y.CHAVE_SIMUL",
"ON X.CHAVE_IT1=Y.CHAVE_SIMUL1 AND X.CHAVE_IT2=Y.CHAVE_SIMUL2")</f>
        <v>ON X.CHAVE_IT1=Y.CHAVE_SIMUL1 AND X.CHAVE_IT2=Y.CHAVE_SIMUL2</v>
      </c>
      <c r="M665" s="32" t="str">
        <f>+IF(D665="Coerência",+IF(LEFT(H665,5)="FLOAT","SELECT '"&amp;UPPER(B665)&amp;"' AS TABELA, '"&amp;UPPER(D665)&amp;"' AS TIPOLOGIA_TESTE,'"&amp;E665&amp;"' AS TABELA_LT,'"&amp;F665&amp;"' AS TABELA_SIMUL,'"&amp;C665&amp;"' AS CAMPO, "&amp;_xlfn._LONGTEXT("'${ref_date}' AS REF_DATE, COUNT(*) AS NUM_REG, SUM(IF((ABS(COALESCE(CAST(X.CAMPO_IT AS DECIMAL(18,6)),0)-COALESCE(CAST(Y.CAMPO_SIMUL AS DECIMAL(18,6)),0))&gt;0.000001) OR (X.CAMPO_IT IS NULL AND Y.CAMPO_SIMUL IS NOT NULL ) OR (X.CAMPO_IT IS NOT NULL AND Y.C","AMPO_SIMUL IS NULL),1,0)) AS NUM_REG_DIF,'")&amp;MAX('3. Resultados'!K:K)+1&amp;"' AS ID_EXEC, CURRENT_TIMESTAMP() AS TIME_EXEC FROM "&amp;J665&amp;" INNER JOIN "&amp;K665&amp;" "&amp;L665,"SELECT '"&amp;UPPER(B665)&amp;"' AS TABELA, '"&amp;UPPER(D665)&amp;"' AS TIPOLOGIA_TESTE,'"&amp;E665&amp;"' AS TABELA_LT,'"&amp;F665&amp;"' AS TABELA_SIMUL,'"&amp;C665&amp;"' AS CAMPO, "&amp;_xlfn._LONGTEXT("'${ref_date}' AS REF_DATE, COUNT(*) AS NUM_REG, SUM(IF(COALESCE(CAST(X.CAMPO_IT AS STRING),'')&lt;&gt;COALESCE(CAST(Y.CAMPO_SIMUL AS STRING),'') OR (X.CAMPO_IT IS NULL AND Y.CAMPO_SIMUL IS NOT NULL ) OR (X.CAMPO_IT IS NOT NULL AND Y.CAMPO_SIMUL IS NULL),1,0)) A","S NUM_REG_DIF,'")&amp;MAX('3. Resultados'!L:L)+1&amp;"' AS ID_EXEC, CURRENT_TIMESTAMP() AS TIME_EXEC FROM "&amp;J665&amp;" INNER JOIN "&amp;K665&amp;" "&amp;L665))</f>
        <v>SELECT 'INSTR_PROT' AS TABELA, 'COERÊNCIA' AS TIPOLOGIA_TESTE,'CD_LOAN_TAPES_BCE.LT006_INSTR_PROT' AS TABELA_LT,'BU_LOANTAPE_WORK.LT006_INSTR_PROT'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cod_soc AS CAMPO_IT FROM CD_LOAN_TAPES_BCE.LT006_INSTR_PROT WHERE ref_date='${ref_date}' AND nome_perimetro='Individual Local' AND segmento='ESTR' AND ambito='PM' AND entidade='00100')X INNER JOIN (SELECT instrmnt_id AS CHAVE_SIMUL1, prtctn_id AS CHAVE_SIMUL2, cod_soc AS CAMPO_SIMUL FROM BU_LOANTAPE_WORK.LT006_INSTR_PROT WHERE ref_date='${ref_date}' AND nome_perimetro='Individual Local' AND segmento='ESTR' AND ambito='PM' AND entidade='00100')Y ON X.CHAVE_IT1=Y.CHAVE_SIMUL1 AND X.CHAVE_IT2=Y.CHAVE_SIMUL2</v>
      </c>
      <c r="N665" s="33" t="str">
        <f t="shared" si="21"/>
        <v>UNION ALL SELECT 'INSTR_PROT' AS TABELA, 'COERÊNCIA' AS TIPOLOGIA_TESTE,'CD_LOAN_TAPES_BCE.LT006_INSTR_PROT' AS TABELA_LT,'BU_LOANTAPE_WORK.LT006_INSTR_PROT' AS TABELA_SIMUL,'cod_soc' AS CAMPO, '${ref_date}' AS REF_DATE, COUNT(*) AS NUM_REG, SUM(IF(COALESCE(CAST(X.CAMPO_IT AS STRING),'')&lt;&gt;COALESCE(CAST(Y.CAMPO_SIMUL AS STRING),'') OR (X.CAMPO_IT IS NULL AND Y.CAMPO_SIMUL IS NOT NULL ) OR (X.CAMPO_IT IS NOT NULL AND Y.CAMPO_SIMUL IS NULL),1,0)) AS NUM_REG_DIF,'1' AS ID_EXEC, CURRENT_TIMESTAMP() AS TIME_EXEC FROM (SELECT instrmnt_id AS CHAVE_IT1, prtctn_id AS CHAVE_IT2, cod_soc AS CAMPO_IT FROM CD_LOAN_TAPES_BCE.LT006_INSTR_PROT WHERE ref_date='${ref_date}' AND nome_perimetro='Individual Local' AND segmento='ESTR' AND ambito='PM' AND entidade='00100')X INNER JOIN (SELECT instrmnt_id AS CHAVE_SIMUL1, prtctn_id AS CHAVE_SIMUL2, cod_soc AS CAMPO_SIMUL FROM BU_LOANTAPE_WORK.LT006_INSTR_PROT WHERE ref_date='${ref_date}' AND nome_perimetro='Individual Local' AND segmento='ESTR' AND ambito='PM' AND entidade='00100')Y ON X.CHAVE_IT1=Y.CHAVE_SIMUL1 AND X.CHAVE_IT2=Y.CHAVE_SIMUL2</v>
      </c>
      <c r="O665" s="35" t="s">
        <v>35</v>
      </c>
    </row>
    <row r="666" spans="1:15"/>
    <row r="667" spans="1:15"/>
    <row r="668" spans="1:15"/>
    <row r="669" spans="1:15"/>
    <row r="670" spans="1:15"/>
    <row r="671" spans="1:15"/>
    <row r="672" spans="1:15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</sheetData>
  <autoFilter ref="B8:N38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48559"/>
  <sheetViews>
    <sheetView showGridLines="0" tabSelected="1" zoomScale="80" zoomScaleNormal="80" workbookViewId="0">
      <selection activeCell="C24" sqref="C24"/>
    </sheetView>
  </sheetViews>
  <sheetFormatPr defaultColWidth="0" defaultRowHeight="14"/>
  <cols>
    <col min="1" max="2" width="2" style="2" customWidth="1"/>
    <col min="3" max="12" width="28.36328125" style="2" customWidth="1"/>
    <col min="13" max="13" width="3.6328125" style="2" customWidth="1"/>
    <col min="14" max="14" width="13.90625" style="2" hidden="1" customWidth="1"/>
    <col min="15" max="15" width="12.08984375" style="2" hidden="1" customWidth="1"/>
    <col min="16" max="40" width="0" style="2" hidden="1" customWidth="1"/>
    <col min="41" max="16384" width="9.0898437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5" thickBot="1">
      <c r="A6" s="28"/>
      <c r="B6" s="28"/>
      <c r="C6" s="29" t="s">
        <v>688</v>
      </c>
      <c r="D6" s="29"/>
      <c r="E6" s="30"/>
      <c r="F6" s="30"/>
      <c r="G6" s="30"/>
      <c r="H6" s="30"/>
      <c r="I6" s="30"/>
      <c r="J6" s="30"/>
      <c r="K6" s="30"/>
      <c r="L6" s="30"/>
      <c r="M6" s="28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58"/>
      <c r="C8" s="16" t="s">
        <v>0</v>
      </c>
      <c r="D8" s="16" t="s">
        <v>3</v>
      </c>
      <c r="E8" s="16" t="s">
        <v>42</v>
      </c>
      <c r="F8" s="16" t="s">
        <v>2</v>
      </c>
      <c r="G8" s="16" t="s">
        <v>6</v>
      </c>
      <c r="H8" s="16" t="s">
        <v>37</v>
      </c>
      <c r="I8" s="16" t="s">
        <v>41</v>
      </c>
      <c r="J8" s="16" t="s">
        <v>38</v>
      </c>
      <c r="K8" s="16" t="s">
        <v>40</v>
      </c>
      <c r="L8" s="16" t="s">
        <v>39</v>
      </c>
      <c r="M8" s="4"/>
      <c r="N8" s="4"/>
    </row>
    <row r="9" spans="1:30" ht="14.5">
      <c r="A9" s="57" t="str">
        <f>+C9&amp;G9&amp;H9&amp;D9</f>
        <v>UNIV_OPERmsaldo_final2025-11-30COERÊNCIA</v>
      </c>
      <c r="B9" s="57" t="str">
        <f>+C9&amp;G9&amp;H9&amp;D9&amp;K9</f>
        <v>UNIV_OPERmsaldo_final2025-11-30COERÊNCIA1</v>
      </c>
      <c r="C9" s="82" t="s">
        <v>204</v>
      </c>
      <c r="D9" s="82" t="s">
        <v>695</v>
      </c>
      <c r="E9" s="82" t="s">
        <v>696</v>
      </c>
      <c r="F9" s="82" t="s">
        <v>697</v>
      </c>
      <c r="G9" s="82" t="s">
        <v>206</v>
      </c>
      <c r="H9" s="82" t="s">
        <v>698</v>
      </c>
      <c r="I9" s="82">
        <v>6259282</v>
      </c>
      <c r="J9" s="82">
        <v>12</v>
      </c>
      <c r="K9" s="89">
        <v>1</v>
      </c>
      <c r="L9" s="82" t="s">
        <v>699</v>
      </c>
      <c r="M9" s="4"/>
      <c r="N9" s="15"/>
    </row>
    <row r="10" spans="1:30" ht="14.5">
      <c r="A10" s="57" t="str">
        <f t="shared" ref="A10:A19" si="0">+C10&amp;G10&amp;H10&amp;D10</f>
        <v>UNIV_OPERcarteira_contabilistica2025-11-30COERÊNCIA</v>
      </c>
      <c r="B10" s="57" t="str">
        <f t="shared" ref="B10:B19" si="1">+C10&amp;G10&amp;H10&amp;D10&amp;K10</f>
        <v>UNIV_OPERcarteira_contabilistica2025-11-30COERÊNCIA1</v>
      </c>
      <c r="C10" s="82" t="s">
        <v>204</v>
      </c>
      <c r="D10" s="82" t="s">
        <v>695</v>
      </c>
      <c r="E10" s="82" t="s">
        <v>696</v>
      </c>
      <c r="F10" s="82" t="s">
        <v>697</v>
      </c>
      <c r="G10" s="82" t="s">
        <v>207</v>
      </c>
      <c r="H10" s="82" t="s">
        <v>698</v>
      </c>
      <c r="I10" s="82">
        <v>6259282</v>
      </c>
      <c r="J10" s="82">
        <v>0</v>
      </c>
      <c r="K10" s="89">
        <v>1</v>
      </c>
      <c r="L10" s="82" t="s">
        <v>699</v>
      </c>
      <c r="M10" s="4"/>
    </row>
    <row r="11" spans="1:30" ht="14.5">
      <c r="A11" s="57" t="str">
        <f t="shared" si="0"/>
        <v>UNIV_OPERinstrumento_financeiro2025-11-30COERÊNCIA</v>
      </c>
      <c r="B11" s="57" t="str">
        <f t="shared" si="1"/>
        <v>UNIV_OPERinstrumento_financeiro2025-11-30COERÊNCIA1</v>
      </c>
      <c r="C11" s="82" t="s">
        <v>204</v>
      </c>
      <c r="D11" s="82" t="s">
        <v>695</v>
      </c>
      <c r="E11" s="82" t="s">
        <v>696</v>
      </c>
      <c r="F11" s="82" t="s">
        <v>697</v>
      </c>
      <c r="G11" s="82" t="s">
        <v>208</v>
      </c>
      <c r="H11" s="82" t="s">
        <v>698</v>
      </c>
      <c r="I11" s="82">
        <v>6259282</v>
      </c>
      <c r="J11" s="82">
        <v>0</v>
      </c>
      <c r="K11" s="89">
        <v>1</v>
      </c>
      <c r="L11" s="82" t="s">
        <v>699</v>
      </c>
      <c r="M11" s="4"/>
    </row>
    <row r="12" spans="1:30" ht="14.5">
      <c r="A12" s="57" t="str">
        <f t="shared" si="0"/>
        <v>UNIV_OPERcontraparte2025-11-30COERÊNCIA</v>
      </c>
      <c r="B12" s="57" t="str">
        <f t="shared" si="1"/>
        <v>UNIV_OPERcontraparte2025-11-30COERÊNCIA1</v>
      </c>
      <c r="C12" s="82" t="s">
        <v>204</v>
      </c>
      <c r="D12" s="82" t="s">
        <v>695</v>
      </c>
      <c r="E12" s="82" t="s">
        <v>696</v>
      </c>
      <c r="F12" s="82" t="s">
        <v>697</v>
      </c>
      <c r="G12" s="82" t="s">
        <v>209</v>
      </c>
      <c r="H12" s="82" t="s">
        <v>698</v>
      </c>
      <c r="I12" s="82">
        <v>6259282</v>
      </c>
      <c r="J12" s="82">
        <v>0</v>
      </c>
      <c r="K12" s="89">
        <v>1</v>
      </c>
      <c r="L12" s="82" t="s">
        <v>699</v>
      </c>
      <c r="M12" s="4"/>
    </row>
    <row r="13" spans="1:30" ht="14.5">
      <c r="A13" s="57" t="str">
        <f t="shared" si="0"/>
        <v>UNIV_OPERcontraparte_i2025-11-30COERÊNCIA</v>
      </c>
      <c r="B13" s="57" t="str">
        <f t="shared" si="1"/>
        <v>UNIV_OPERcontraparte_i2025-11-30COERÊNCIA1</v>
      </c>
      <c r="C13" s="82" t="s">
        <v>204</v>
      </c>
      <c r="D13" s="82" t="s">
        <v>695</v>
      </c>
      <c r="E13" s="82" t="s">
        <v>696</v>
      </c>
      <c r="F13" s="82" t="s">
        <v>697</v>
      </c>
      <c r="G13" s="82" t="s">
        <v>210</v>
      </c>
      <c r="H13" s="82" t="s">
        <v>698</v>
      </c>
      <c r="I13" s="82">
        <v>6259282</v>
      </c>
      <c r="J13" s="82">
        <v>0</v>
      </c>
      <c r="K13" s="89">
        <v>1</v>
      </c>
      <c r="L13" s="82" t="s">
        <v>699</v>
      </c>
      <c r="M13" s="4"/>
    </row>
    <row r="14" spans="1:30" ht="14.5">
      <c r="A14" s="57" t="str">
        <f t="shared" ref="A14" si="2">+C14&amp;G14&amp;H14&amp;D14</f>
        <v>UNIV_OPERproduto2025-11-30COERÊNCIA</v>
      </c>
      <c r="B14" s="57" t="str">
        <f t="shared" ref="B14" si="3">+C14&amp;G14&amp;H14&amp;D14&amp;K14</f>
        <v>UNIV_OPERproduto2025-11-30COERÊNCIA1</v>
      </c>
      <c r="C14" s="82" t="s">
        <v>204</v>
      </c>
      <c r="D14" s="82" t="s">
        <v>695</v>
      </c>
      <c r="E14" s="82" t="s">
        <v>696</v>
      </c>
      <c r="F14" s="82" t="s">
        <v>697</v>
      </c>
      <c r="G14" s="82" t="s">
        <v>211</v>
      </c>
      <c r="H14" s="82" t="s">
        <v>698</v>
      </c>
      <c r="I14" s="82">
        <v>6259282</v>
      </c>
      <c r="J14" s="82">
        <v>0</v>
      </c>
      <c r="K14" s="89">
        <v>1</v>
      </c>
      <c r="L14" s="82" t="s">
        <v>699</v>
      </c>
      <c r="M14" s="4"/>
    </row>
    <row r="15" spans="1:30" ht="14.5">
      <c r="A15" s="57" t="str">
        <f t="shared" si="0"/>
        <v>UNIV_OPERtipo_conta2025-11-30COERÊNCIA</v>
      </c>
      <c r="B15" s="57" t="str">
        <f t="shared" si="1"/>
        <v>UNIV_OPERtipo_conta2025-11-30COERÊNCIA1</v>
      </c>
      <c r="C15" s="82" t="s">
        <v>204</v>
      </c>
      <c r="D15" s="82" t="s">
        <v>695</v>
      </c>
      <c r="E15" s="82" t="s">
        <v>696</v>
      </c>
      <c r="F15" s="82" t="s">
        <v>697</v>
      </c>
      <c r="G15" s="82" t="s">
        <v>212</v>
      </c>
      <c r="H15" s="82" t="s">
        <v>698</v>
      </c>
      <c r="I15" s="82">
        <v>6259282</v>
      </c>
      <c r="J15" s="82">
        <v>0</v>
      </c>
      <c r="K15" s="89">
        <v>1</v>
      </c>
      <c r="L15" s="82" t="s">
        <v>699</v>
      </c>
    </row>
    <row r="16" spans="1:30" ht="14.5">
      <c r="A16" s="57" t="str">
        <f t="shared" si="0"/>
        <v>UNIV_OPERbruto_imparidade2025-11-30COERÊNCIA</v>
      </c>
      <c r="B16" s="57" t="str">
        <f t="shared" si="1"/>
        <v>UNIV_OPERbruto_imparidade2025-11-30COERÊNCIA1</v>
      </c>
      <c r="C16" s="82" t="s">
        <v>204</v>
      </c>
      <c r="D16" s="82" t="s">
        <v>695</v>
      </c>
      <c r="E16" s="82" t="s">
        <v>696</v>
      </c>
      <c r="F16" s="82" t="s">
        <v>697</v>
      </c>
      <c r="G16" s="82" t="s">
        <v>213</v>
      </c>
      <c r="H16" s="82" t="s">
        <v>698</v>
      </c>
      <c r="I16" s="82">
        <v>6259282</v>
      </c>
      <c r="J16" s="82">
        <v>0</v>
      </c>
      <c r="K16" s="89">
        <v>1</v>
      </c>
      <c r="L16" s="82" t="s">
        <v>699</v>
      </c>
    </row>
    <row r="17" spans="1:12" ht="14.5">
      <c r="A17" s="57" t="str">
        <f t="shared" si="0"/>
        <v>UNIV_OPERcomposicao_valor2025-11-30COERÊNCIA</v>
      </c>
      <c r="B17" s="57" t="str">
        <f t="shared" si="1"/>
        <v>UNIV_OPERcomposicao_valor2025-11-30COERÊNCIA1</v>
      </c>
      <c r="C17" s="82" t="s">
        <v>204</v>
      </c>
      <c r="D17" s="82" t="s">
        <v>695</v>
      </c>
      <c r="E17" s="82" t="s">
        <v>696</v>
      </c>
      <c r="F17" s="82" t="s">
        <v>697</v>
      </c>
      <c r="G17" s="82" t="s">
        <v>214</v>
      </c>
      <c r="H17" s="82" t="s">
        <v>698</v>
      </c>
      <c r="I17" s="82">
        <v>6259282</v>
      </c>
      <c r="J17" s="82">
        <v>0</v>
      </c>
      <c r="K17" s="89">
        <v>1</v>
      </c>
      <c r="L17" s="82" t="s">
        <v>699</v>
      </c>
    </row>
    <row r="18" spans="1:12" ht="14.5">
      <c r="A18" s="57" t="str">
        <f t="shared" si="0"/>
        <v>UNIV_OPERcolateral2025-11-30COERÊNCIA</v>
      </c>
      <c r="B18" s="57" t="str">
        <f t="shared" si="1"/>
        <v>UNIV_OPERcolateral2025-11-30COERÊNCIA1</v>
      </c>
      <c r="C18" s="82" t="s">
        <v>204</v>
      </c>
      <c r="D18" s="82" t="s">
        <v>695</v>
      </c>
      <c r="E18" s="82" t="s">
        <v>696</v>
      </c>
      <c r="F18" s="82" t="s">
        <v>697</v>
      </c>
      <c r="G18" s="82" t="s">
        <v>215</v>
      </c>
      <c r="H18" s="82" t="s">
        <v>698</v>
      </c>
      <c r="I18" s="82">
        <v>6259282</v>
      </c>
      <c r="J18" s="82">
        <v>0</v>
      </c>
      <c r="K18" s="89">
        <v>1</v>
      </c>
      <c r="L18" s="82" t="s">
        <v>699</v>
      </c>
    </row>
    <row r="19" spans="1:12" ht="14.5">
      <c r="A19" s="57" t="str">
        <f t="shared" si="0"/>
        <v>UNIV_OPERflag_poci2025-11-30COERÊNCIA</v>
      </c>
      <c r="B19" s="57" t="str">
        <f t="shared" si="1"/>
        <v>UNIV_OPERflag_poci2025-11-30COERÊNCIA1</v>
      </c>
      <c r="C19" s="82" t="s">
        <v>204</v>
      </c>
      <c r="D19" s="82" t="s">
        <v>695</v>
      </c>
      <c r="E19" s="82" t="s">
        <v>696</v>
      </c>
      <c r="F19" s="82" t="s">
        <v>697</v>
      </c>
      <c r="G19" s="82" t="s">
        <v>216</v>
      </c>
      <c r="H19" s="82" t="s">
        <v>698</v>
      </c>
      <c r="I19" s="82">
        <v>6259282</v>
      </c>
      <c r="J19" s="82">
        <v>0</v>
      </c>
      <c r="K19" s="89">
        <v>1</v>
      </c>
      <c r="L19" s="82" t="s">
        <v>699</v>
      </c>
    </row>
    <row r="20" spans="1:12" ht="14.5">
      <c r="A20" s="57" t="str">
        <f t="shared" ref="A20:A62" si="4">+C20&amp;G20&amp;H20&amp;D20</f>
        <v>UNIV_OPERpurpose_code2025-11-30COERÊNCIA</v>
      </c>
      <c r="B20" s="57" t="str">
        <f t="shared" ref="B20:B62" si="5">+C20&amp;G20&amp;H20&amp;D20&amp;K20</f>
        <v>UNIV_OPERpurpose_code2025-11-30COERÊNCIA1</v>
      </c>
      <c r="C20" s="82" t="s">
        <v>204</v>
      </c>
      <c r="D20" s="82" t="s">
        <v>695</v>
      </c>
      <c r="E20" s="82" t="s">
        <v>696</v>
      </c>
      <c r="F20" s="82" t="s">
        <v>697</v>
      </c>
      <c r="G20" s="82" t="s">
        <v>217</v>
      </c>
      <c r="H20" s="82" t="s">
        <v>698</v>
      </c>
      <c r="I20" s="82">
        <v>6259282</v>
      </c>
      <c r="J20" s="82">
        <v>0</v>
      </c>
      <c r="K20" s="89">
        <v>1</v>
      </c>
      <c r="L20" s="82" t="s">
        <v>699</v>
      </c>
    </row>
    <row r="21" spans="1:12" ht="14.5">
      <c r="A21" s="57" t="str">
        <f t="shared" si="4"/>
        <v>UNIV_OPERcod_empr_pme2025-11-30COERÊNCIA</v>
      </c>
      <c r="B21" s="57" t="str">
        <f t="shared" si="5"/>
        <v>UNIV_OPERcod_empr_pme2025-11-30COERÊNCIA1</v>
      </c>
      <c r="C21" s="82" t="s">
        <v>204</v>
      </c>
      <c r="D21" s="82" t="s">
        <v>695</v>
      </c>
      <c r="E21" s="82" t="s">
        <v>696</v>
      </c>
      <c r="F21" s="82" t="s">
        <v>697</v>
      </c>
      <c r="G21" s="82" t="s">
        <v>218</v>
      </c>
      <c r="H21" s="82" t="s">
        <v>698</v>
      </c>
      <c r="I21" s="82">
        <v>6259282</v>
      </c>
      <c r="J21" s="82">
        <v>0</v>
      </c>
      <c r="K21" s="89">
        <v>1</v>
      </c>
      <c r="L21" s="82" t="s">
        <v>699</v>
      </c>
    </row>
    <row r="22" spans="1:12" ht="14.5">
      <c r="A22" s="57" t="str">
        <f t="shared" si="4"/>
        <v>UNIV_OPERstage2025-11-30COERÊNCIA</v>
      </c>
      <c r="B22" s="57" t="str">
        <f t="shared" si="5"/>
        <v>UNIV_OPERstage2025-11-30COERÊNCIA1</v>
      </c>
      <c r="C22" s="82" t="s">
        <v>204</v>
      </c>
      <c r="D22" s="82" t="s">
        <v>695</v>
      </c>
      <c r="E22" s="82" t="s">
        <v>696</v>
      </c>
      <c r="F22" s="82" t="s">
        <v>697</v>
      </c>
      <c r="G22" s="82" t="s">
        <v>219</v>
      </c>
      <c r="H22" s="82" t="s">
        <v>698</v>
      </c>
      <c r="I22" s="82">
        <v>6259282</v>
      </c>
      <c r="J22" s="82">
        <v>0</v>
      </c>
      <c r="K22" s="89">
        <v>1</v>
      </c>
      <c r="L22" s="82" t="s">
        <v>699</v>
      </c>
    </row>
    <row r="23" spans="1:12" ht="14.5">
      <c r="A23" s="57" t="str">
        <f t="shared" si="4"/>
        <v>UNIV_OPERstage_atual2025-11-30COERÊNCIA</v>
      </c>
      <c r="B23" s="57" t="str">
        <f t="shared" si="5"/>
        <v>UNIV_OPERstage_atual2025-11-30COERÊNCIA1</v>
      </c>
      <c r="C23" s="82" t="s">
        <v>204</v>
      </c>
      <c r="D23" s="82" t="s">
        <v>695</v>
      </c>
      <c r="E23" s="82" t="s">
        <v>696</v>
      </c>
      <c r="F23" s="82" t="s">
        <v>697</v>
      </c>
      <c r="G23" s="82" t="s">
        <v>220</v>
      </c>
      <c r="H23" s="82" t="s">
        <v>698</v>
      </c>
      <c r="I23" s="82">
        <v>6259282</v>
      </c>
      <c r="J23" s="82">
        <v>0</v>
      </c>
      <c r="K23" s="89">
        <v>1</v>
      </c>
      <c r="L23" s="82" t="s">
        <v>699</v>
      </c>
    </row>
    <row r="24" spans="1:12" ht="14.5">
      <c r="A24" s="57" t="str">
        <f t="shared" si="4"/>
        <v/>
      </c>
      <c r="B24" s="57" t="str">
        <f t="shared" si="5"/>
        <v/>
      </c>
      <c r="C24" s="82"/>
      <c r="D24" s="82"/>
      <c r="E24" s="82"/>
      <c r="F24" s="82"/>
      <c r="G24" s="82"/>
      <c r="H24" s="82"/>
      <c r="I24" s="82"/>
      <c r="J24" s="82"/>
      <c r="K24" s="89"/>
      <c r="L24" s="82"/>
    </row>
    <row r="25" spans="1:12" ht="14.5">
      <c r="A25" s="57" t="str">
        <f t="shared" si="4"/>
        <v/>
      </c>
      <c r="B25" s="57" t="str">
        <f t="shared" si="5"/>
        <v/>
      </c>
      <c r="C25" s="82"/>
      <c r="D25" s="82"/>
      <c r="E25" s="82"/>
      <c r="F25" s="82"/>
      <c r="G25" s="82"/>
      <c r="H25" s="82"/>
      <c r="I25" s="82"/>
      <c r="J25" s="82"/>
      <c r="K25" s="89"/>
      <c r="L25" s="82"/>
    </row>
    <row r="26" spans="1:12" ht="14.5">
      <c r="A26" s="57" t="str">
        <f t="shared" si="4"/>
        <v/>
      </c>
      <c r="B26" s="57" t="str">
        <f t="shared" si="5"/>
        <v/>
      </c>
      <c r="C26" s="82"/>
      <c r="D26" s="82"/>
      <c r="E26" s="82"/>
      <c r="F26" s="82"/>
      <c r="G26" s="82"/>
      <c r="H26" s="82"/>
      <c r="I26" s="82"/>
      <c r="J26" s="82"/>
      <c r="K26" s="89"/>
      <c r="L26" s="82"/>
    </row>
    <row r="27" spans="1:12" ht="14.5">
      <c r="A27" s="57" t="str">
        <f t="shared" si="4"/>
        <v/>
      </c>
      <c r="B27" s="57" t="str">
        <f t="shared" si="5"/>
        <v/>
      </c>
      <c r="C27" s="82"/>
      <c r="D27" s="82"/>
      <c r="E27" s="82"/>
      <c r="F27" s="82"/>
      <c r="G27" s="82"/>
      <c r="H27" s="82"/>
      <c r="I27" s="82"/>
      <c r="J27" s="82"/>
      <c r="K27" s="89"/>
      <c r="L27" s="82"/>
    </row>
    <row r="28" spans="1:12" ht="14.5">
      <c r="A28" s="57" t="str">
        <f t="shared" si="4"/>
        <v/>
      </c>
      <c r="B28" s="57" t="str">
        <f t="shared" si="5"/>
        <v/>
      </c>
      <c r="C28" s="82"/>
      <c r="D28" s="82"/>
      <c r="E28" s="82"/>
      <c r="F28" s="82"/>
      <c r="G28" s="82"/>
      <c r="H28" s="82"/>
      <c r="I28" s="82"/>
      <c r="J28" s="82"/>
      <c r="K28" s="89"/>
      <c r="L28" s="82"/>
    </row>
    <row r="29" spans="1:12" ht="14.5">
      <c r="A29" s="57" t="str">
        <f t="shared" si="4"/>
        <v/>
      </c>
      <c r="B29" s="57" t="str">
        <f t="shared" si="5"/>
        <v/>
      </c>
      <c r="C29" s="82"/>
      <c r="D29" s="82"/>
      <c r="E29" s="82"/>
      <c r="F29" s="82"/>
      <c r="G29" s="82"/>
      <c r="H29" s="82"/>
      <c r="I29" s="82"/>
      <c r="J29" s="82"/>
      <c r="K29" s="89"/>
      <c r="L29" s="82"/>
    </row>
    <row r="30" spans="1:12" ht="14.5">
      <c r="A30" s="57" t="str">
        <f t="shared" si="4"/>
        <v/>
      </c>
      <c r="B30" s="57" t="str">
        <f t="shared" si="5"/>
        <v/>
      </c>
      <c r="C30" s="82"/>
      <c r="D30" s="82"/>
      <c r="E30" s="82"/>
      <c r="F30" s="82"/>
      <c r="G30" s="82"/>
      <c r="H30" s="82"/>
      <c r="I30" s="82"/>
      <c r="J30" s="82"/>
      <c r="K30" s="89"/>
      <c r="L30" s="82"/>
    </row>
    <row r="31" spans="1:12" ht="14.5">
      <c r="A31" s="57" t="str">
        <f t="shared" si="4"/>
        <v/>
      </c>
      <c r="B31" s="57" t="str">
        <f t="shared" si="5"/>
        <v/>
      </c>
      <c r="C31" s="82"/>
      <c r="D31" s="82"/>
      <c r="E31" s="82"/>
      <c r="F31" s="82"/>
      <c r="G31" s="82"/>
      <c r="H31" s="82"/>
      <c r="I31" s="82"/>
      <c r="J31" s="82"/>
      <c r="K31" s="89"/>
      <c r="L31" s="82"/>
    </row>
    <row r="32" spans="1:12" ht="14.5">
      <c r="A32" s="57" t="str">
        <f t="shared" si="4"/>
        <v/>
      </c>
      <c r="B32" s="57" t="str">
        <f t="shared" si="5"/>
        <v/>
      </c>
      <c r="C32" s="82"/>
      <c r="D32" s="82"/>
      <c r="E32" s="82"/>
      <c r="F32" s="82"/>
      <c r="G32" s="82"/>
      <c r="H32" s="82"/>
      <c r="I32" s="82"/>
      <c r="J32" s="82"/>
      <c r="K32" s="89"/>
      <c r="L32" s="82"/>
    </row>
    <row r="33" spans="1:12" ht="14.5">
      <c r="A33" s="57" t="str">
        <f t="shared" si="4"/>
        <v/>
      </c>
      <c r="B33" s="57" t="str">
        <f t="shared" si="5"/>
        <v/>
      </c>
      <c r="C33" s="82"/>
      <c r="D33" s="82"/>
      <c r="E33" s="82"/>
      <c r="F33" s="82"/>
      <c r="G33" s="82"/>
      <c r="H33" s="82"/>
      <c r="I33" s="82"/>
      <c r="J33" s="82"/>
      <c r="K33" s="89"/>
      <c r="L33" s="82"/>
    </row>
    <row r="34" spans="1:12" ht="14.5">
      <c r="A34" s="57" t="str">
        <f t="shared" si="4"/>
        <v/>
      </c>
      <c r="B34" s="57" t="str">
        <f t="shared" si="5"/>
        <v/>
      </c>
      <c r="C34" s="82"/>
      <c r="D34" s="82"/>
      <c r="E34" s="82"/>
      <c r="F34" s="82"/>
      <c r="G34" s="82"/>
      <c r="H34" s="82"/>
      <c r="I34" s="82"/>
      <c r="J34" s="82"/>
      <c r="K34" s="89"/>
      <c r="L34" s="82"/>
    </row>
    <row r="35" spans="1:12" ht="14.5">
      <c r="A35" s="57" t="str">
        <f t="shared" si="4"/>
        <v/>
      </c>
      <c r="B35" s="57" t="str">
        <f t="shared" si="5"/>
        <v/>
      </c>
      <c r="C35" s="82"/>
      <c r="D35" s="82"/>
      <c r="E35" s="82"/>
      <c r="F35" s="82"/>
      <c r="G35" s="82"/>
      <c r="H35" s="82"/>
      <c r="I35" s="82"/>
      <c r="J35" s="82"/>
      <c r="K35" s="89"/>
      <c r="L35" s="82"/>
    </row>
    <row r="36" spans="1:12" ht="14.5">
      <c r="A36" s="57" t="str">
        <f t="shared" si="4"/>
        <v/>
      </c>
      <c r="B36" s="57" t="str">
        <f t="shared" si="5"/>
        <v/>
      </c>
      <c r="C36" s="82"/>
      <c r="D36" s="82"/>
      <c r="E36" s="82"/>
      <c r="F36" s="82"/>
      <c r="G36" s="82"/>
      <c r="H36" s="82"/>
      <c r="I36" s="82"/>
      <c r="J36" s="82"/>
      <c r="K36" s="89"/>
      <c r="L36" s="82"/>
    </row>
    <row r="37" spans="1:12" ht="14.5">
      <c r="A37" s="57" t="str">
        <f t="shared" si="4"/>
        <v/>
      </c>
      <c r="B37" s="57" t="str">
        <f t="shared" si="5"/>
        <v/>
      </c>
      <c r="C37" s="82"/>
      <c r="D37" s="82"/>
      <c r="E37" s="82"/>
      <c r="F37" s="82"/>
      <c r="G37" s="82"/>
      <c r="H37" s="82"/>
      <c r="I37" s="82"/>
      <c r="J37" s="82"/>
      <c r="K37" s="89"/>
      <c r="L37" s="82"/>
    </row>
    <row r="38" spans="1:12" ht="14.5">
      <c r="A38" s="57" t="str">
        <f t="shared" si="4"/>
        <v/>
      </c>
      <c r="B38" s="57" t="str">
        <f t="shared" si="5"/>
        <v/>
      </c>
      <c r="C38" s="82"/>
      <c r="D38" s="82"/>
      <c r="E38" s="82"/>
      <c r="F38" s="82"/>
      <c r="G38" s="82"/>
      <c r="H38" s="82"/>
      <c r="I38" s="82"/>
      <c r="J38" s="82"/>
      <c r="K38" s="89"/>
      <c r="L38" s="82"/>
    </row>
    <row r="39" spans="1:12" ht="14.5">
      <c r="A39" s="57" t="str">
        <f t="shared" si="4"/>
        <v/>
      </c>
      <c r="B39" s="57" t="str">
        <f t="shared" si="5"/>
        <v/>
      </c>
      <c r="C39" s="82"/>
      <c r="D39" s="82"/>
      <c r="E39" s="82"/>
      <c r="F39" s="82"/>
      <c r="G39" s="82"/>
      <c r="H39" s="82"/>
      <c r="I39" s="82"/>
      <c r="J39" s="82"/>
      <c r="K39" s="89"/>
      <c r="L39" s="82"/>
    </row>
    <row r="40" spans="1:12" ht="14.5">
      <c r="A40" s="57" t="str">
        <f t="shared" si="4"/>
        <v/>
      </c>
      <c r="B40" s="57" t="str">
        <f t="shared" si="5"/>
        <v/>
      </c>
      <c r="C40" s="82"/>
      <c r="D40" s="82"/>
      <c r="E40" s="82"/>
      <c r="F40" s="82"/>
      <c r="G40" s="82"/>
      <c r="H40" s="82"/>
      <c r="I40" s="82"/>
      <c r="J40" s="82"/>
      <c r="K40" s="89"/>
      <c r="L40" s="82"/>
    </row>
    <row r="41" spans="1:12" ht="14.5">
      <c r="A41" s="57" t="str">
        <f t="shared" si="4"/>
        <v/>
      </c>
      <c r="B41" s="57" t="str">
        <f t="shared" si="5"/>
        <v/>
      </c>
      <c r="C41" s="82"/>
      <c r="D41" s="82"/>
      <c r="E41" s="82"/>
      <c r="F41" s="82"/>
      <c r="G41" s="82"/>
      <c r="H41" s="82"/>
      <c r="I41" s="82"/>
      <c r="J41" s="82"/>
      <c r="K41" s="89"/>
      <c r="L41" s="82"/>
    </row>
    <row r="42" spans="1:12" ht="14.5">
      <c r="A42" s="57" t="str">
        <f t="shared" si="4"/>
        <v/>
      </c>
      <c r="B42" s="57" t="str">
        <f t="shared" si="5"/>
        <v/>
      </c>
      <c r="C42" s="82"/>
      <c r="D42" s="82"/>
      <c r="E42" s="82"/>
      <c r="F42" s="82"/>
      <c r="G42" s="82"/>
      <c r="H42" s="82"/>
      <c r="I42" s="82"/>
      <c r="J42" s="82"/>
      <c r="K42" s="89"/>
      <c r="L42" s="82"/>
    </row>
    <row r="43" spans="1:12" ht="14.5">
      <c r="A43" s="57" t="str">
        <f t="shared" si="4"/>
        <v/>
      </c>
      <c r="B43" s="57" t="str">
        <f t="shared" si="5"/>
        <v/>
      </c>
      <c r="C43" s="82"/>
      <c r="D43" s="82"/>
      <c r="E43" s="82"/>
      <c r="F43" s="82"/>
      <c r="G43" s="82"/>
      <c r="H43" s="82"/>
      <c r="I43" s="82"/>
      <c r="J43" s="82"/>
      <c r="K43" s="89"/>
      <c r="L43" s="82"/>
    </row>
    <row r="44" spans="1:12" ht="14.5">
      <c r="A44" s="57" t="str">
        <f t="shared" si="4"/>
        <v/>
      </c>
      <c r="B44" s="57" t="str">
        <f t="shared" si="5"/>
        <v/>
      </c>
      <c r="C44" s="82"/>
      <c r="D44" s="82"/>
      <c r="E44" s="82"/>
      <c r="F44" s="82"/>
      <c r="G44" s="82"/>
      <c r="H44" s="82"/>
      <c r="I44" s="82"/>
      <c r="J44" s="82"/>
      <c r="K44" s="89"/>
      <c r="L44" s="82"/>
    </row>
    <row r="45" spans="1:12" ht="14.5">
      <c r="A45" s="57" t="str">
        <f t="shared" si="4"/>
        <v/>
      </c>
      <c r="B45" s="57" t="str">
        <f t="shared" si="5"/>
        <v/>
      </c>
      <c r="C45" s="82"/>
      <c r="D45" s="82"/>
      <c r="E45" s="82"/>
      <c r="F45" s="82"/>
      <c r="G45" s="82"/>
      <c r="H45" s="82"/>
      <c r="I45" s="82"/>
      <c r="J45" s="82"/>
      <c r="K45" s="89"/>
      <c r="L45" s="82"/>
    </row>
    <row r="46" spans="1:12" ht="14.5">
      <c r="A46" s="57" t="str">
        <f t="shared" si="4"/>
        <v/>
      </c>
      <c r="B46" s="57" t="str">
        <f t="shared" si="5"/>
        <v/>
      </c>
      <c r="C46" s="82"/>
      <c r="D46" s="82"/>
      <c r="E46" s="82"/>
      <c r="F46" s="82"/>
      <c r="G46" s="82"/>
      <c r="H46" s="82"/>
      <c r="I46" s="82"/>
      <c r="J46" s="82"/>
      <c r="K46" s="89"/>
      <c r="L46" s="82"/>
    </row>
    <row r="47" spans="1:12" ht="14.5">
      <c r="A47" s="57" t="str">
        <f t="shared" si="4"/>
        <v/>
      </c>
      <c r="B47" s="57" t="str">
        <f t="shared" si="5"/>
        <v/>
      </c>
      <c r="C47" s="82"/>
      <c r="D47" s="82"/>
      <c r="E47" s="82"/>
      <c r="F47" s="82"/>
      <c r="G47" s="82"/>
      <c r="H47" s="82"/>
      <c r="I47" s="82"/>
      <c r="J47" s="82"/>
      <c r="K47" s="89"/>
      <c r="L47" s="82"/>
    </row>
    <row r="48" spans="1:12" ht="14.5">
      <c r="A48" s="57" t="str">
        <f t="shared" si="4"/>
        <v/>
      </c>
      <c r="B48" s="57" t="str">
        <f t="shared" si="5"/>
        <v/>
      </c>
      <c r="C48" s="82"/>
      <c r="D48" s="82"/>
      <c r="E48" s="82"/>
      <c r="F48" s="82"/>
      <c r="G48" s="82"/>
      <c r="H48" s="82"/>
      <c r="I48" s="82"/>
      <c r="J48" s="82"/>
      <c r="K48" s="89"/>
      <c r="L48" s="82"/>
    </row>
    <row r="49" spans="1:12" ht="14.5">
      <c r="A49" s="57" t="str">
        <f t="shared" si="4"/>
        <v/>
      </c>
      <c r="B49" s="57" t="str">
        <f t="shared" si="5"/>
        <v/>
      </c>
      <c r="C49" s="82"/>
      <c r="D49" s="82"/>
      <c r="E49" s="82"/>
      <c r="F49" s="82"/>
      <c r="G49" s="82"/>
      <c r="H49" s="82"/>
      <c r="I49" s="82"/>
      <c r="J49" s="82"/>
      <c r="K49" s="89"/>
      <c r="L49" s="82"/>
    </row>
    <row r="50" spans="1:12" ht="14.5">
      <c r="A50" s="57" t="str">
        <f t="shared" si="4"/>
        <v/>
      </c>
      <c r="B50" s="57" t="str">
        <f t="shared" si="5"/>
        <v/>
      </c>
      <c r="C50" s="82"/>
      <c r="D50" s="82"/>
      <c r="E50" s="82"/>
      <c r="F50" s="82"/>
      <c r="G50" s="82"/>
      <c r="H50" s="82"/>
      <c r="I50" s="82"/>
      <c r="J50" s="82"/>
      <c r="K50" s="89"/>
      <c r="L50" s="82"/>
    </row>
    <row r="51" spans="1:12" ht="14.5">
      <c r="A51" s="57" t="str">
        <f t="shared" si="4"/>
        <v/>
      </c>
      <c r="B51" s="57" t="str">
        <f t="shared" si="5"/>
        <v/>
      </c>
      <c r="C51" s="82"/>
      <c r="D51" s="82"/>
      <c r="E51" s="82"/>
      <c r="F51" s="82"/>
      <c r="G51" s="82"/>
      <c r="H51" s="82"/>
      <c r="I51" s="82"/>
      <c r="J51" s="82"/>
      <c r="K51" s="89"/>
      <c r="L51" s="82"/>
    </row>
    <row r="52" spans="1:12" ht="14.5">
      <c r="A52" s="57" t="str">
        <f t="shared" si="4"/>
        <v/>
      </c>
      <c r="B52" s="57" t="str">
        <f t="shared" si="5"/>
        <v/>
      </c>
      <c r="C52" s="82"/>
      <c r="D52" s="82"/>
      <c r="E52" s="82"/>
      <c r="F52" s="82"/>
      <c r="G52" s="82"/>
      <c r="H52" s="82"/>
      <c r="I52" s="82"/>
      <c r="J52" s="82"/>
      <c r="K52" s="89"/>
      <c r="L52" s="82"/>
    </row>
    <row r="53" spans="1:12" ht="14.5">
      <c r="A53" s="57" t="str">
        <f t="shared" si="4"/>
        <v/>
      </c>
      <c r="B53" s="57" t="str">
        <f t="shared" si="5"/>
        <v/>
      </c>
      <c r="C53" s="82"/>
      <c r="D53" s="82"/>
      <c r="E53" s="82"/>
      <c r="F53" s="82"/>
      <c r="G53" s="82"/>
      <c r="H53" s="82"/>
      <c r="I53" s="82"/>
      <c r="J53" s="82"/>
      <c r="K53" s="89"/>
      <c r="L53" s="82"/>
    </row>
    <row r="54" spans="1:12" ht="14.5">
      <c r="A54" s="57" t="str">
        <f t="shared" si="4"/>
        <v/>
      </c>
      <c r="B54" s="57" t="str">
        <f t="shared" si="5"/>
        <v/>
      </c>
      <c r="C54" s="82"/>
      <c r="D54" s="82"/>
      <c r="E54" s="82"/>
      <c r="F54" s="82"/>
      <c r="G54" s="82"/>
      <c r="H54" s="82"/>
      <c r="I54" s="82"/>
      <c r="J54" s="82"/>
      <c r="K54" s="89"/>
      <c r="L54" s="82"/>
    </row>
    <row r="55" spans="1:12" ht="14.5">
      <c r="A55" s="57" t="str">
        <f t="shared" si="4"/>
        <v/>
      </c>
      <c r="B55" s="57" t="str">
        <f t="shared" si="5"/>
        <v/>
      </c>
      <c r="C55" s="82"/>
      <c r="D55" s="82"/>
      <c r="E55" s="82"/>
      <c r="F55" s="82"/>
      <c r="G55" s="82"/>
      <c r="H55" s="82"/>
      <c r="I55" s="82"/>
      <c r="J55" s="82"/>
      <c r="K55" s="89"/>
      <c r="L55" s="82"/>
    </row>
    <row r="56" spans="1:12" ht="14.5">
      <c r="A56" s="57" t="str">
        <f t="shared" si="4"/>
        <v/>
      </c>
      <c r="B56" s="57" t="str">
        <f t="shared" si="5"/>
        <v/>
      </c>
      <c r="C56" s="82"/>
      <c r="D56" s="82"/>
      <c r="E56" s="82"/>
      <c r="F56" s="82"/>
      <c r="G56" s="82"/>
      <c r="H56" s="82"/>
      <c r="I56" s="82"/>
      <c r="J56" s="82"/>
      <c r="K56" s="89"/>
      <c r="L56" s="82"/>
    </row>
    <row r="57" spans="1:12" ht="14.5">
      <c r="A57" s="57" t="str">
        <f t="shared" si="4"/>
        <v/>
      </c>
      <c r="B57" s="57" t="str">
        <f t="shared" si="5"/>
        <v/>
      </c>
      <c r="C57" s="82"/>
      <c r="D57" s="82"/>
      <c r="E57" s="82"/>
      <c r="F57" s="82"/>
      <c r="G57" s="82"/>
      <c r="H57" s="82"/>
      <c r="I57" s="82"/>
      <c r="J57" s="82"/>
      <c r="K57" s="89"/>
      <c r="L57" s="82"/>
    </row>
    <row r="58" spans="1:12" ht="14.5">
      <c r="A58" s="57" t="str">
        <f t="shared" si="4"/>
        <v/>
      </c>
      <c r="B58" s="57" t="str">
        <f t="shared" si="5"/>
        <v/>
      </c>
      <c r="C58" s="82"/>
      <c r="D58" s="82"/>
      <c r="E58" s="82"/>
      <c r="F58" s="82"/>
      <c r="G58" s="82"/>
      <c r="H58" s="82"/>
      <c r="I58" s="82"/>
      <c r="J58" s="82"/>
      <c r="K58" s="89"/>
      <c r="L58" s="82"/>
    </row>
    <row r="59" spans="1:12" ht="14.5">
      <c r="A59" s="57" t="str">
        <f t="shared" si="4"/>
        <v/>
      </c>
      <c r="B59" s="57" t="str">
        <f t="shared" si="5"/>
        <v/>
      </c>
      <c r="C59" s="82"/>
      <c r="D59" s="82"/>
      <c r="E59" s="82"/>
      <c r="F59" s="82"/>
      <c r="G59" s="82"/>
      <c r="H59" s="82"/>
      <c r="I59" s="82"/>
      <c r="J59" s="82"/>
      <c r="K59" s="89"/>
      <c r="L59" s="82"/>
    </row>
    <row r="60" spans="1:12" ht="14.5">
      <c r="A60" s="57" t="str">
        <f t="shared" si="4"/>
        <v/>
      </c>
      <c r="B60" s="57" t="str">
        <f t="shared" si="5"/>
        <v/>
      </c>
      <c r="C60" s="82"/>
      <c r="D60" s="82"/>
      <c r="E60" s="82"/>
      <c r="F60" s="82"/>
      <c r="G60" s="82"/>
      <c r="H60" s="82"/>
      <c r="I60" s="82"/>
      <c r="J60" s="82"/>
      <c r="K60" s="89"/>
      <c r="L60" s="82"/>
    </row>
    <row r="61" spans="1:12" ht="14.5">
      <c r="A61" s="57" t="str">
        <f t="shared" si="4"/>
        <v/>
      </c>
      <c r="B61" s="57" t="str">
        <f t="shared" si="5"/>
        <v/>
      </c>
      <c r="C61" s="82"/>
      <c r="D61" s="82"/>
      <c r="E61" s="82"/>
      <c r="F61" s="82"/>
      <c r="G61" s="82"/>
      <c r="H61" s="82"/>
      <c r="I61" s="82"/>
      <c r="J61" s="82"/>
      <c r="K61" s="89"/>
      <c r="L61" s="82"/>
    </row>
    <row r="62" spans="1:12" ht="14.5">
      <c r="A62" s="57" t="str">
        <f t="shared" si="4"/>
        <v/>
      </c>
      <c r="B62" s="57" t="str">
        <f t="shared" si="5"/>
        <v/>
      </c>
      <c r="C62" s="82"/>
      <c r="D62" s="82"/>
      <c r="E62" s="82"/>
      <c r="F62" s="82"/>
      <c r="G62" s="82"/>
      <c r="H62" s="82"/>
      <c r="I62" s="82"/>
      <c r="J62" s="82"/>
      <c r="K62" s="89"/>
      <c r="L62" s="82"/>
    </row>
    <row r="63" spans="1:12" ht="14.5">
      <c r="A63" s="57" t="str">
        <f t="shared" ref="A63:A126" si="6">+C63&amp;G63&amp;H63&amp;D63</f>
        <v/>
      </c>
      <c r="B63" s="57" t="str">
        <f t="shared" ref="B63:B126" si="7">+C63&amp;G63&amp;H63&amp;D63&amp;K63</f>
        <v/>
      </c>
      <c r="C63" s="82"/>
      <c r="D63" s="82"/>
      <c r="E63" s="82"/>
      <c r="F63" s="82"/>
      <c r="G63" s="82"/>
      <c r="H63" s="82"/>
      <c r="I63" s="82"/>
      <c r="J63" s="82"/>
      <c r="K63" s="89"/>
      <c r="L63" s="82"/>
    </row>
    <row r="64" spans="1:12" ht="14.5">
      <c r="A64" s="57" t="str">
        <f t="shared" si="6"/>
        <v/>
      </c>
      <c r="B64" s="57" t="str">
        <f t="shared" si="7"/>
        <v/>
      </c>
      <c r="C64" s="82"/>
      <c r="D64" s="82"/>
      <c r="E64" s="82"/>
      <c r="F64" s="82"/>
      <c r="G64" s="82"/>
      <c r="H64" s="82"/>
      <c r="I64" s="82"/>
      <c r="J64" s="82"/>
      <c r="K64" s="89"/>
      <c r="L64" s="82"/>
    </row>
    <row r="65" spans="1:12" ht="14.5">
      <c r="A65" s="57" t="str">
        <f t="shared" si="6"/>
        <v/>
      </c>
      <c r="B65" s="57" t="str">
        <f t="shared" si="7"/>
        <v/>
      </c>
      <c r="C65" s="82"/>
      <c r="D65" s="82"/>
      <c r="E65" s="82"/>
      <c r="F65" s="82"/>
      <c r="G65" s="82"/>
      <c r="H65" s="82"/>
      <c r="I65" s="82"/>
      <c r="J65" s="82"/>
      <c r="K65" s="89"/>
      <c r="L65" s="82"/>
    </row>
    <row r="66" spans="1:12" ht="14.5">
      <c r="A66" s="57" t="str">
        <f t="shared" si="6"/>
        <v/>
      </c>
      <c r="B66" s="57" t="str">
        <f t="shared" si="7"/>
        <v/>
      </c>
      <c r="C66" s="82"/>
      <c r="D66" s="82"/>
      <c r="E66" s="82"/>
      <c r="F66" s="82"/>
      <c r="G66" s="82"/>
      <c r="H66" s="82"/>
      <c r="I66" s="82"/>
      <c r="J66" s="82"/>
      <c r="K66" s="89"/>
      <c r="L66" s="82"/>
    </row>
    <row r="67" spans="1:12" ht="14.5">
      <c r="A67" s="57" t="str">
        <f t="shared" si="6"/>
        <v/>
      </c>
      <c r="B67" s="57" t="str">
        <f t="shared" si="7"/>
        <v/>
      </c>
      <c r="C67" s="82"/>
      <c r="D67" s="82"/>
      <c r="E67" s="82"/>
      <c r="F67" s="82"/>
      <c r="G67" s="82"/>
      <c r="H67" s="82"/>
      <c r="I67" s="82"/>
      <c r="J67" s="82"/>
      <c r="K67" s="89"/>
      <c r="L67" s="82"/>
    </row>
    <row r="68" spans="1:12" ht="14.5">
      <c r="A68" s="57" t="str">
        <f t="shared" si="6"/>
        <v/>
      </c>
      <c r="B68" s="57" t="str">
        <f t="shared" si="7"/>
        <v/>
      </c>
      <c r="C68" s="82"/>
      <c r="D68" s="82"/>
      <c r="E68" s="82"/>
      <c r="F68" s="82"/>
      <c r="G68" s="82"/>
      <c r="H68" s="82"/>
      <c r="I68" s="82"/>
      <c r="J68" s="82"/>
      <c r="K68" s="89"/>
      <c r="L68" s="82"/>
    </row>
    <row r="69" spans="1:12" ht="14.5">
      <c r="A69" s="57" t="str">
        <f t="shared" si="6"/>
        <v/>
      </c>
      <c r="B69" s="57" t="str">
        <f t="shared" si="7"/>
        <v/>
      </c>
      <c r="C69" s="82"/>
      <c r="D69" s="82"/>
      <c r="E69" s="82"/>
      <c r="F69" s="82"/>
      <c r="G69" s="82"/>
      <c r="H69" s="82"/>
      <c r="I69" s="82"/>
      <c r="J69" s="82"/>
      <c r="K69" s="89"/>
      <c r="L69" s="82"/>
    </row>
    <row r="70" spans="1:12" ht="14.5">
      <c r="A70" s="57" t="str">
        <f t="shared" si="6"/>
        <v/>
      </c>
      <c r="B70" s="57" t="str">
        <f t="shared" si="7"/>
        <v/>
      </c>
      <c r="C70" s="82"/>
      <c r="D70" s="82"/>
      <c r="E70" s="82"/>
      <c r="F70" s="82"/>
      <c r="G70" s="82"/>
      <c r="H70" s="82"/>
      <c r="I70" s="82"/>
      <c r="J70" s="82"/>
      <c r="K70" s="89"/>
      <c r="L70" s="82"/>
    </row>
    <row r="71" spans="1:12" ht="14.5">
      <c r="A71" s="57" t="str">
        <f t="shared" si="6"/>
        <v/>
      </c>
      <c r="B71" s="57" t="str">
        <f t="shared" si="7"/>
        <v/>
      </c>
      <c r="C71" s="82"/>
      <c r="D71" s="82"/>
      <c r="E71" s="82"/>
      <c r="F71" s="82"/>
      <c r="G71" s="82"/>
      <c r="H71" s="82"/>
      <c r="I71" s="82"/>
      <c r="J71" s="82"/>
      <c r="K71" s="89"/>
      <c r="L71" s="82"/>
    </row>
    <row r="72" spans="1:12" ht="14.5">
      <c r="A72" s="57" t="str">
        <f t="shared" si="6"/>
        <v/>
      </c>
      <c r="B72" s="57" t="str">
        <f t="shared" si="7"/>
        <v/>
      </c>
      <c r="C72" s="82"/>
      <c r="D72" s="82"/>
      <c r="E72" s="82"/>
      <c r="F72" s="82"/>
      <c r="G72" s="82"/>
      <c r="H72" s="82"/>
      <c r="I72" s="82"/>
      <c r="J72" s="82"/>
      <c r="K72" s="89"/>
      <c r="L72" s="82"/>
    </row>
    <row r="73" spans="1:12" ht="14.5">
      <c r="A73" s="57" t="str">
        <f t="shared" si="6"/>
        <v/>
      </c>
      <c r="B73" s="57" t="str">
        <f t="shared" si="7"/>
        <v/>
      </c>
      <c r="C73" s="82"/>
      <c r="D73" s="82"/>
      <c r="E73" s="82"/>
      <c r="F73" s="82"/>
      <c r="G73" s="82"/>
      <c r="H73" s="82"/>
      <c r="I73" s="82"/>
      <c r="J73" s="82"/>
      <c r="K73" s="89"/>
      <c r="L73" s="82"/>
    </row>
    <row r="74" spans="1:12" ht="14.5">
      <c r="A74" s="57" t="str">
        <f t="shared" si="6"/>
        <v/>
      </c>
      <c r="B74" s="57" t="str">
        <f t="shared" si="7"/>
        <v/>
      </c>
      <c r="C74" s="82"/>
      <c r="D74" s="82"/>
      <c r="E74" s="82"/>
      <c r="F74" s="82"/>
      <c r="G74" s="82"/>
      <c r="H74" s="82"/>
      <c r="I74" s="82"/>
      <c r="J74" s="82"/>
      <c r="K74" s="89"/>
      <c r="L74" s="82"/>
    </row>
    <row r="75" spans="1:12" ht="14.5">
      <c r="A75" s="57" t="str">
        <f t="shared" si="6"/>
        <v/>
      </c>
      <c r="B75" s="57" t="str">
        <f t="shared" si="7"/>
        <v/>
      </c>
      <c r="C75" s="82"/>
      <c r="D75" s="82"/>
      <c r="E75" s="82"/>
      <c r="F75" s="82"/>
      <c r="G75" s="82"/>
      <c r="H75" s="82"/>
      <c r="I75" s="82"/>
      <c r="J75" s="82"/>
      <c r="K75" s="89"/>
      <c r="L75" s="82"/>
    </row>
    <row r="76" spans="1:12" ht="14.5">
      <c r="A76" s="57" t="str">
        <f t="shared" si="6"/>
        <v/>
      </c>
      <c r="B76" s="57" t="str">
        <f t="shared" si="7"/>
        <v/>
      </c>
      <c r="C76" s="82"/>
      <c r="D76" s="82"/>
      <c r="E76" s="82"/>
      <c r="F76" s="82"/>
      <c r="G76" s="82"/>
      <c r="H76" s="82"/>
      <c r="I76" s="82"/>
      <c r="J76" s="82"/>
      <c r="K76" s="89"/>
      <c r="L76" s="82"/>
    </row>
    <row r="77" spans="1:12" ht="14.5">
      <c r="A77" s="57" t="str">
        <f t="shared" si="6"/>
        <v/>
      </c>
      <c r="B77" s="57" t="str">
        <f t="shared" si="7"/>
        <v/>
      </c>
      <c r="C77" s="82"/>
      <c r="D77" s="82"/>
      <c r="E77" s="82"/>
      <c r="F77" s="82"/>
      <c r="G77" s="82"/>
      <c r="H77" s="82"/>
      <c r="I77" s="82"/>
      <c r="J77" s="82"/>
      <c r="K77" s="89"/>
      <c r="L77" s="82"/>
    </row>
    <row r="78" spans="1:12" ht="14.5">
      <c r="A78" s="57" t="str">
        <f t="shared" si="6"/>
        <v/>
      </c>
      <c r="B78" s="57" t="str">
        <f t="shared" si="7"/>
        <v/>
      </c>
      <c r="C78" s="82"/>
      <c r="D78" s="82"/>
      <c r="E78" s="82"/>
      <c r="F78" s="82"/>
      <c r="G78" s="82"/>
      <c r="H78" s="82"/>
      <c r="I78" s="82"/>
      <c r="J78" s="82"/>
      <c r="K78" s="89"/>
      <c r="L78" s="82"/>
    </row>
    <row r="79" spans="1:12" ht="14.5">
      <c r="A79" s="57" t="str">
        <f t="shared" si="6"/>
        <v/>
      </c>
      <c r="B79" s="57" t="str">
        <f t="shared" si="7"/>
        <v/>
      </c>
      <c r="C79" s="82"/>
      <c r="D79" s="82"/>
      <c r="E79" s="82"/>
      <c r="F79" s="82"/>
      <c r="G79" s="82"/>
      <c r="H79" s="82"/>
      <c r="I79" s="82"/>
      <c r="J79" s="82"/>
      <c r="K79" s="89"/>
      <c r="L79" s="82"/>
    </row>
    <row r="80" spans="1:12" ht="14.5">
      <c r="A80" s="57" t="str">
        <f t="shared" si="6"/>
        <v/>
      </c>
      <c r="B80" s="57" t="str">
        <f t="shared" si="7"/>
        <v/>
      </c>
      <c r="C80" s="82"/>
      <c r="D80" s="82"/>
      <c r="E80" s="82"/>
      <c r="F80" s="82"/>
      <c r="G80" s="82"/>
      <c r="H80" s="82"/>
      <c r="I80" s="82"/>
      <c r="J80" s="82"/>
      <c r="K80" s="89"/>
      <c r="L80" s="82"/>
    </row>
    <row r="81" spans="1:12" ht="14.5">
      <c r="A81" s="57" t="str">
        <f t="shared" si="6"/>
        <v/>
      </c>
      <c r="B81" s="57" t="str">
        <f t="shared" si="7"/>
        <v/>
      </c>
      <c r="C81" s="82"/>
      <c r="D81" s="82"/>
      <c r="E81" s="82"/>
      <c r="F81" s="82"/>
      <c r="G81" s="82"/>
      <c r="H81" s="82"/>
      <c r="I81" s="82"/>
      <c r="J81" s="82"/>
      <c r="K81" s="89"/>
      <c r="L81" s="82"/>
    </row>
    <row r="82" spans="1:12" ht="14.5">
      <c r="A82" s="57" t="str">
        <f t="shared" si="6"/>
        <v/>
      </c>
      <c r="B82" s="57" t="str">
        <f t="shared" si="7"/>
        <v/>
      </c>
      <c r="C82" s="82"/>
      <c r="D82" s="82"/>
      <c r="E82" s="82"/>
      <c r="F82" s="82"/>
      <c r="G82" s="82"/>
      <c r="H82" s="82"/>
      <c r="I82" s="82"/>
      <c r="J82" s="82"/>
      <c r="K82" s="89"/>
      <c r="L82" s="82"/>
    </row>
    <row r="83" spans="1:12" ht="14.5">
      <c r="A83" s="57" t="str">
        <f t="shared" si="6"/>
        <v/>
      </c>
      <c r="B83" s="57" t="str">
        <f t="shared" si="7"/>
        <v/>
      </c>
      <c r="C83" s="82"/>
      <c r="D83" s="82"/>
      <c r="E83" s="82"/>
      <c r="F83" s="82"/>
      <c r="G83" s="82"/>
      <c r="H83" s="82"/>
      <c r="I83" s="82"/>
      <c r="J83" s="82"/>
      <c r="K83" s="89"/>
      <c r="L83" s="82"/>
    </row>
    <row r="84" spans="1:12" ht="14.5">
      <c r="A84" s="57" t="str">
        <f t="shared" si="6"/>
        <v/>
      </c>
      <c r="B84" s="57" t="str">
        <f t="shared" si="7"/>
        <v/>
      </c>
      <c r="C84" s="82"/>
      <c r="D84" s="82"/>
      <c r="E84" s="82"/>
      <c r="F84" s="82"/>
      <c r="G84" s="82"/>
      <c r="H84" s="82"/>
      <c r="I84" s="82"/>
      <c r="J84" s="82"/>
      <c r="K84" s="89"/>
      <c r="L84" s="82"/>
    </row>
    <row r="85" spans="1:12" ht="14.5">
      <c r="A85" s="57" t="str">
        <f t="shared" si="6"/>
        <v/>
      </c>
      <c r="B85" s="57" t="str">
        <f t="shared" si="7"/>
        <v/>
      </c>
      <c r="C85" s="82"/>
      <c r="D85" s="82"/>
      <c r="E85" s="82"/>
      <c r="F85" s="82"/>
      <c r="G85" s="82"/>
      <c r="H85" s="82"/>
      <c r="I85" s="82"/>
      <c r="J85" s="82"/>
      <c r="K85" s="89"/>
      <c r="L85" s="82"/>
    </row>
    <row r="86" spans="1:12" ht="14.5">
      <c r="A86" s="57" t="str">
        <f t="shared" si="6"/>
        <v/>
      </c>
      <c r="B86" s="57" t="str">
        <f t="shared" si="7"/>
        <v/>
      </c>
      <c r="C86" s="82"/>
      <c r="D86" s="82"/>
      <c r="E86" s="82"/>
      <c r="F86" s="82"/>
      <c r="G86" s="82"/>
      <c r="H86" s="82"/>
      <c r="I86" s="82"/>
      <c r="J86" s="82"/>
      <c r="K86" s="89"/>
      <c r="L86" s="82"/>
    </row>
    <row r="87" spans="1:12" ht="14.5">
      <c r="A87" s="57" t="str">
        <f t="shared" si="6"/>
        <v/>
      </c>
      <c r="B87" s="57" t="str">
        <f t="shared" si="7"/>
        <v/>
      </c>
      <c r="C87" s="82"/>
      <c r="D87" s="82"/>
      <c r="E87" s="82"/>
      <c r="F87" s="82"/>
      <c r="G87" s="82"/>
      <c r="H87" s="82"/>
      <c r="I87" s="82"/>
      <c r="J87" s="82"/>
      <c r="K87" s="89"/>
      <c r="L87" s="82"/>
    </row>
    <row r="88" spans="1:12" ht="14.5">
      <c r="A88" s="57" t="str">
        <f t="shared" si="6"/>
        <v/>
      </c>
      <c r="B88" s="57" t="str">
        <f t="shared" si="7"/>
        <v/>
      </c>
      <c r="C88" s="82"/>
      <c r="D88" s="82"/>
      <c r="E88" s="82"/>
      <c r="F88" s="82"/>
      <c r="G88" s="82"/>
      <c r="H88" s="82"/>
      <c r="I88" s="82"/>
      <c r="J88" s="82"/>
      <c r="K88" s="89"/>
      <c r="L88" s="82"/>
    </row>
    <row r="89" spans="1:12" ht="14.5">
      <c r="A89" s="57" t="str">
        <f t="shared" si="6"/>
        <v/>
      </c>
      <c r="B89" s="57" t="str">
        <f t="shared" si="7"/>
        <v/>
      </c>
      <c r="C89" s="82"/>
      <c r="D89" s="82"/>
      <c r="E89" s="82"/>
      <c r="F89" s="82"/>
      <c r="G89" s="82"/>
      <c r="H89" s="82"/>
      <c r="I89" s="82"/>
      <c r="J89" s="82"/>
      <c r="K89" s="89"/>
      <c r="L89" s="82"/>
    </row>
    <row r="90" spans="1:12" ht="14.5">
      <c r="A90" s="57" t="str">
        <f t="shared" si="6"/>
        <v/>
      </c>
      <c r="B90" s="57" t="str">
        <f t="shared" si="7"/>
        <v/>
      </c>
      <c r="C90" s="82"/>
      <c r="D90" s="82"/>
      <c r="E90" s="82"/>
      <c r="F90" s="82"/>
      <c r="G90" s="82"/>
      <c r="H90" s="82"/>
      <c r="I90" s="82"/>
      <c r="J90" s="82"/>
      <c r="K90" s="89"/>
      <c r="L90" s="82"/>
    </row>
    <row r="91" spans="1:12" ht="14.5">
      <c r="A91" s="57" t="str">
        <f t="shared" si="6"/>
        <v/>
      </c>
      <c r="B91" s="57" t="str">
        <f t="shared" si="7"/>
        <v/>
      </c>
      <c r="C91" s="82"/>
      <c r="D91" s="82"/>
      <c r="E91" s="82"/>
      <c r="F91" s="82"/>
      <c r="G91" s="82"/>
      <c r="H91" s="82"/>
      <c r="I91" s="82"/>
      <c r="J91" s="82"/>
      <c r="K91" s="89"/>
      <c r="L91" s="82"/>
    </row>
    <row r="92" spans="1:12" ht="14.5">
      <c r="A92" s="57" t="str">
        <f t="shared" si="6"/>
        <v/>
      </c>
      <c r="B92" s="57" t="str">
        <f t="shared" si="7"/>
        <v/>
      </c>
      <c r="C92" s="82"/>
      <c r="D92" s="82"/>
      <c r="E92" s="82"/>
      <c r="F92" s="82"/>
      <c r="G92" s="82"/>
      <c r="H92" s="82"/>
      <c r="I92" s="82"/>
      <c r="J92" s="82"/>
      <c r="K92" s="89"/>
      <c r="L92" s="82"/>
    </row>
    <row r="93" spans="1:12" ht="14.5">
      <c r="A93" s="57" t="str">
        <f t="shared" si="6"/>
        <v/>
      </c>
      <c r="B93" s="57" t="str">
        <f t="shared" si="7"/>
        <v/>
      </c>
      <c r="C93" s="82"/>
      <c r="D93" s="82"/>
      <c r="E93" s="82"/>
      <c r="F93" s="82"/>
      <c r="G93" s="82"/>
      <c r="H93" s="82"/>
      <c r="I93" s="82"/>
      <c r="J93" s="82"/>
      <c r="K93" s="89"/>
      <c r="L93" s="82"/>
    </row>
    <row r="94" spans="1:12" ht="14.5">
      <c r="A94" s="57" t="str">
        <f t="shared" si="6"/>
        <v/>
      </c>
      <c r="B94" s="57" t="str">
        <f t="shared" si="7"/>
        <v/>
      </c>
      <c r="C94" s="82"/>
      <c r="D94" s="82"/>
      <c r="E94" s="82"/>
      <c r="F94" s="82"/>
      <c r="G94" s="82"/>
      <c r="H94" s="82"/>
      <c r="I94" s="82"/>
      <c r="J94" s="82"/>
      <c r="K94" s="89"/>
      <c r="L94" s="82"/>
    </row>
    <row r="95" spans="1:12" ht="14.5">
      <c r="A95" s="57" t="str">
        <f t="shared" si="6"/>
        <v/>
      </c>
      <c r="B95" s="57" t="str">
        <f t="shared" si="7"/>
        <v/>
      </c>
      <c r="C95" s="82"/>
      <c r="D95" s="82"/>
      <c r="E95" s="82"/>
      <c r="F95" s="82"/>
      <c r="G95" s="82"/>
      <c r="H95" s="82"/>
      <c r="I95" s="82"/>
      <c r="J95" s="82"/>
      <c r="K95" s="89"/>
      <c r="L95" s="82"/>
    </row>
    <row r="96" spans="1:12" ht="14.5">
      <c r="A96" s="57" t="str">
        <f t="shared" si="6"/>
        <v/>
      </c>
      <c r="B96" s="57" t="str">
        <f t="shared" si="7"/>
        <v/>
      </c>
      <c r="C96" s="82"/>
      <c r="D96" s="82"/>
      <c r="E96" s="82"/>
      <c r="F96" s="82"/>
      <c r="G96" s="82"/>
      <c r="H96" s="82"/>
      <c r="I96" s="82"/>
      <c r="J96" s="82"/>
      <c r="K96" s="89"/>
      <c r="L96" s="82"/>
    </row>
    <row r="97" spans="1:12" ht="14.5">
      <c r="A97" s="57" t="str">
        <f t="shared" si="6"/>
        <v/>
      </c>
      <c r="B97" s="57" t="str">
        <f t="shared" si="7"/>
        <v/>
      </c>
      <c r="C97" s="82"/>
      <c r="D97" s="82"/>
      <c r="E97" s="82"/>
      <c r="F97" s="82"/>
      <c r="G97" s="82"/>
      <c r="H97" s="82"/>
      <c r="I97" s="82"/>
      <c r="J97" s="82"/>
      <c r="K97" s="89"/>
      <c r="L97" s="82"/>
    </row>
    <row r="98" spans="1:12" ht="14.5">
      <c r="A98" s="57" t="str">
        <f t="shared" si="6"/>
        <v/>
      </c>
      <c r="B98" s="57" t="str">
        <f t="shared" si="7"/>
        <v/>
      </c>
      <c r="C98" s="82"/>
      <c r="D98" s="82"/>
      <c r="E98" s="82"/>
      <c r="F98" s="82"/>
      <c r="G98" s="82"/>
      <c r="H98" s="82"/>
      <c r="I98" s="82"/>
      <c r="J98" s="82"/>
      <c r="K98" s="89"/>
      <c r="L98" s="82"/>
    </row>
    <row r="99" spans="1:12" ht="14.5">
      <c r="A99" s="57" t="str">
        <f t="shared" si="6"/>
        <v/>
      </c>
      <c r="B99" s="57" t="str">
        <f t="shared" si="7"/>
        <v/>
      </c>
      <c r="C99" s="82"/>
      <c r="D99" s="82"/>
      <c r="E99" s="82"/>
      <c r="F99" s="82"/>
      <c r="G99" s="82"/>
      <c r="H99" s="82"/>
      <c r="I99" s="82"/>
      <c r="J99" s="82"/>
      <c r="K99" s="89"/>
      <c r="L99" s="82"/>
    </row>
    <row r="100" spans="1:12" ht="14.5">
      <c r="A100" s="57" t="str">
        <f t="shared" si="6"/>
        <v/>
      </c>
      <c r="B100" s="57" t="str">
        <f t="shared" si="7"/>
        <v/>
      </c>
      <c r="C100" s="82"/>
      <c r="D100" s="82"/>
      <c r="E100" s="82"/>
      <c r="F100" s="82"/>
      <c r="G100" s="82"/>
      <c r="H100" s="82"/>
      <c r="I100" s="82"/>
      <c r="J100" s="82"/>
      <c r="K100" s="89"/>
      <c r="L100" s="82"/>
    </row>
    <row r="101" spans="1:12" ht="14.5">
      <c r="A101" s="57" t="str">
        <f t="shared" si="6"/>
        <v/>
      </c>
      <c r="B101" s="57" t="str">
        <f t="shared" si="7"/>
        <v/>
      </c>
      <c r="C101" s="82"/>
      <c r="D101" s="82"/>
      <c r="E101" s="82"/>
      <c r="F101" s="82"/>
      <c r="G101" s="82"/>
      <c r="H101" s="82"/>
      <c r="I101" s="82"/>
      <c r="J101" s="82"/>
      <c r="K101" s="89"/>
      <c r="L101" s="82"/>
    </row>
    <row r="102" spans="1:12" ht="14.5">
      <c r="A102" s="57" t="str">
        <f t="shared" si="6"/>
        <v/>
      </c>
      <c r="B102" s="57" t="str">
        <f t="shared" si="7"/>
        <v/>
      </c>
      <c r="C102" s="82"/>
      <c r="D102" s="82"/>
      <c r="E102" s="82"/>
      <c r="F102" s="82"/>
      <c r="G102" s="82"/>
      <c r="H102" s="82"/>
      <c r="I102" s="82"/>
      <c r="J102" s="82"/>
      <c r="K102" s="89"/>
      <c r="L102" s="82"/>
    </row>
    <row r="103" spans="1:12" ht="14.5">
      <c r="A103" s="57" t="str">
        <f t="shared" si="6"/>
        <v/>
      </c>
      <c r="B103" s="57" t="str">
        <f t="shared" si="7"/>
        <v/>
      </c>
      <c r="C103" s="82"/>
      <c r="D103" s="82"/>
      <c r="E103" s="82"/>
      <c r="F103" s="82"/>
      <c r="G103" s="82"/>
      <c r="H103" s="82"/>
      <c r="I103" s="82"/>
      <c r="J103" s="82"/>
      <c r="K103" s="89"/>
      <c r="L103" s="82"/>
    </row>
    <row r="104" spans="1:12" ht="14.5">
      <c r="A104" s="57" t="str">
        <f t="shared" si="6"/>
        <v/>
      </c>
      <c r="B104" s="57" t="str">
        <f t="shared" si="7"/>
        <v/>
      </c>
      <c r="C104" s="82"/>
      <c r="D104" s="82"/>
      <c r="E104" s="82"/>
      <c r="F104" s="82"/>
      <c r="G104" s="82"/>
      <c r="H104" s="82"/>
      <c r="I104" s="82"/>
      <c r="J104" s="82"/>
      <c r="K104" s="89"/>
      <c r="L104" s="82"/>
    </row>
    <row r="105" spans="1:12" ht="14.5">
      <c r="A105" s="57" t="str">
        <f t="shared" si="6"/>
        <v/>
      </c>
      <c r="B105" s="57" t="str">
        <f t="shared" si="7"/>
        <v/>
      </c>
      <c r="C105" s="82"/>
      <c r="D105" s="82"/>
      <c r="E105" s="82"/>
      <c r="F105" s="82"/>
      <c r="G105" s="82"/>
      <c r="H105" s="82"/>
      <c r="I105" s="82"/>
      <c r="J105" s="82"/>
      <c r="K105" s="89"/>
      <c r="L105" s="82"/>
    </row>
    <row r="106" spans="1:12" ht="14.5">
      <c r="A106" s="57" t="str">
        <f t="shared" si="6"/>
        <v/>
      </c>
      <c r="B106" s="57" t="str">
        <f t="shared" si="7"/>
        <v/>
      </c>
      <c r="C106" s="82"/>
      <c r="D106" s="82"/>
      <c r="E106" s="82"/>
      <c r="F106" s="82"/>
      <c r="G106" s="82"/>
      <c r="H106" s="82"/>
      <c r="I106" s="82"/>
      <c r="J106" s="82"/>
      <c r="K106" s="89"/>
      <c r="L106" s="82"/>
    </row>
    <row r="107" spans="1:12" ht="14.5">
      <c r="A107" s="57" t="str">
        <f t="shared" si="6"/>
        <v/>
      </c>
      <c r="B107" s="57" t="str">
        <f t="shared" si="7"/>
        <v/>
      </c>
      <c r="C107" s="82"/>
      <c r="D107" s="82"/>
      <c r="E107" s="82"/>
      <c r="F107" s="82"/>
      <c r="G107" s="82"/>
      <c r="H107" s="82"/>
      <c r="I107" s="82"/>
      <c r="J107" s="82"/>
      <c r="K107" s="89"/>
      <c r="L107" s="82"/>
    </row>
    <row r="108" spans="1:12" ht="14.5">
      <c r="A108" s="57" t="str">
        <f t="shared" si="6"/>
        <v/>
      </c>
      <c r="B108" s="57" t="str">
        <f t="shared" si="7"/>
        <v/>
      </c>
      <c r="C108" s="82"/>
      <c r="D108" s="82"/>
      <c r="E108" s="82"/>
      <c r="F108" s="82"/>
      <c r="G108" s="82"/>
      <c r="H108" s="82"/>
      <c r="I108" s="82"/>
      <c r="J108" s="82"/>
      <c r="K108" s="89"/>
      <c r="L108" s="82"/>
    </row>
    <row r="109" spans="1:12" ht="14.5">
      <c r="A109" s="57" t="str">
        <f t="shared" si="6"/>
        <v/>
      </c>
      <c r="B109" s="57" t="str">
        <f t="shared" si="7"/>
        <v/>
      </c>
      <c r="C109" s="82"/>
      <c r="D109" s="82"/>
      <c r="E109" s="82"/>
      <c r="F109" s="82"/>
      <c r="G109" s="82"/>
      <c r="H109" s="82"/>
      <c r="I109" s="82"/>
      <c r="J109" s="82"/>
      <c r="K109" s="89"/>
      <c r="L109" s="82"/>
    </row>
    <row r="110" spans="1:12" ht="14.5">
      <c r="A110" s="57" t="str">
        <f t="shared" si="6"/>
        <v/>
      </c>
      <c r="B110" s="57" t="str">
        <f t="shared" si="7"/>
        <v/>
      </c>
      <c r="C110" s="82"/>
      <c r="D110" s="82"/>
      <c r="E110" s="82"/>
      <c r="F110" s="82"/>
      <c r="G110" s="82"/>
      <c r="H110" s="82"/>
      <c r="I110" s="82"/>
      <c r="J110" s="82"/>
      <c r="K110" s="89"/>
      <c r="L110" s="82"/>
    </row>
    <row r="111" spans="1:12" ht="14.5">
      <c r="A111" s="57" t="str">
        <f t="shared" si="6"/>
        <v/>
      </c>
      <c r="B111" s="57" t="str">
        <f t="shared" si="7"/>
        <v/>
      </c>
      <c r="C111" s="82"/>
      <c r="D111" s="82"/>
      <c r="E111" s="82"/>
      <c r="F111" s="82"/>
      <c r="G111" s="82"/>
      <c r="H111" s="82"/>
      <c r="I111" s="82"/>
      <c r="J111" s="82"/>
      <c r="K111" s="89"/>
      <c r="L111" s="82"/>
    </row>
    <row r="112" spans="1:12" ht="14.5">
      <c r="A112" s="57" t="str">
        <f t="shared" si="6"/>
        <v/>
      </c>
      <c r="B112" s="57" t="str">
        <f t="shared" si="7"/>
        <v/>
      </c>
      <c r="C112" s="82"/>
      <c r="D112" s="82"/>
      <c r="E112" s="82"/>
      <c r="F112" s="82"/>
      <c r="G112" s="82"/>
      <c r="H112" s="82"/>
      <c r="I112" s="82"/>
      <c r="J112" s="82"/>
      <c r="K112" s="89"/>
      <c r="L112" s="82"/>
    </row>
    <row r="113" spans="1:12" ht="14.5">
      <c r="A113" s="57" t="str">
        <f t="shared" si="6"/>
        <v/>
      </c>
      <c r="B113" s="57" t="str">
        <f t="shared" si="7"/>
        <v/>
      </c>
      <c r="C113" s="82"/>
      <c r="D113" s="82"/>
      <c r="E113" s="82"/>
      <c r="F113" s="82"/>
      <c r="G113" s="82"/>
      <c r="H113" s="82"/>
      <c r="I113" s="82"/>
      <c r="J113" s="82"/>
      <c r="K113" s="89"/>
      <c r="L113" s="82"/>
    </row>
    <row r="114" spans="1:12" ht="14.5">
      <c r="A114" s="57" t="str">
        <f t="shared" si="6"/>
        <v/>
      </c>
      <c r="B114" s="57" t="str">
        <f t="shared" si="7"/>
        <v/>
      </c>
      <c r="C114" s="82"/>
      <c r="D114" s="82"/>
      <c r="E114" s="82"/>
      <c r="F114" s="82"/>
      <c r="G114" s="82"/>
      <c r="H114" s="82"/>
      <c r="I114" s="82"/>
      <c r="J114" s="82"/>
      <c r="K114" s="89"/>
      <c r="L114" s="82"/>
    </row>
    <row r="115" spans="1:12" ht="14.5">
      <c r="A115" s="57" t="str">
        <f t="shared" si="6"/>
        <v/>
      </c>
      <c r="B115" s="57" t="str">
        <f t="shared" si="7"/>
        <v/>
      </c>
      <c r="C115" s="82"/>
      <c r="D115" s="82"/>
      <c r="E115" s="82"/>
      <c r="F115" s="82"/>
      <c r="G115" s="82"/>
      <c r="H115" s="82"/>
      <c r="I115" s="82"/>
      <c r="J115" s="82"/>
      <c r="K115" s="89"/>
      <c r="L115" s="82"/>
    </row>
    <row r="116" spans="1:12" ht="14.5">
      <c r="A116" s="57" t="str">
        <f t="shared" si="6"/>
        <v/>
      </c>
      <c r="B116" s="57" t="str">
        <f t="shared" si="7"/>
        <v/>
      </c>
      <c r="C116" s="82"/>
      <c r="D116" s="82"/>
      <c r="E116" s="82"/>
      <c r="F116" s="82"/>
      <c r="G116" s="82"/>
      <c r="H116" s="82"/>
      <c r="I116" s="82"/>
      <c r="J116" s="82"/>
      <c r="K116" s="89"/>
      <c r="L116" s="82"/>
    </row>
    <row r="117" spans="1:12" ht="14.5">
      <c r="A117" s="57" t="str">
        <f t="shared" si="6"/>
        <v/>
      </c>
      <c r="B117" s="57" t="str">
        <f t="shared" si="7"/>
        <v/>
      </c>
      <c r="C117" s="82"/>
      <c r="D117" s="82"/>
      <c r="E117" s="82"/>
      <c r="F117" s="82"/>
      <c r="G117" s="82"/>
      <c r="H117" s="82"/>
      <c r="I117" s="82"/>
      <c r="J117" s="82"/>
      <c r="K117" s="89"/>
      <c r="L117" s="82"/>
    </row>
    <row r="118" spans="1:12" ht="14.5">
      <c r="A118" s="57" t="str">
        <f t="shared" si="6"/>
        <v/>
      </c>
      <c r="B118" s="57" t="str">
        <f t="shared" si="7"/>
        <v/>
      </c>
      <c r="C118" s="82"/>
      <c r="D118" s="82"/>
      <c r="E118" s="82"/>
      <c r="F118" s="82"/>
      <c r="G118" s="82"/>
      <c r="H118" s="82"/>
      <c r="I118" s="82"/>
      <c r="J118" s="82"/>
      <c r="K118" s="89"/>
      <c r="L118" s="82"/>
    </row>
    <row r="119" spans="1:12" ht="14.5">
      <c r="A119" s="57" t="str">
        <f t="shared" si="6"/>
        <v/>
      </c>
      <c r="B119" s="57" t="str">
        <f t="shared" si="7"/>
        <v/>
      </c>
      <c r="C119" s="82"/>
      <c r="D119" s="82"/>
      <c r="E119" s="82"/>
      <c r="F119" s="82"/>
      <c r="G119" s="82"/>
      <c r="H119" s="82"/>
      <c r="I119" s="82"/>
      <c r="J119" s="82"/>
      <c r="K119" s="89"/>
      <c r="L119" s="82"/>
    </row>
    <row r="120" spans="1:12" ht="14.5">
      <c r="A120" s="57" t="str">
        <f t="shared" si="6"/>
        <v/>
      </c>
      <c r="B120" s="57" t="str">
        <f t="shared" si="7"/>
        <v/>
      </c>
      <c r="C120" s="82"/>
      <c r="D120" s="82"/>
      <c r="E120" s="82"/>
      <c r="F120" s="82"/>
      <c r="G120" s="82"/>
      <c r="H120" s="82"/>
      <c r="I120" s="82"/>
      <c r="J120" s="82"/>
      <c r="K120" s="89"/>
      <c r="L120" s="82"/>
    </row>
    <row r="121" spans="1:12" ht="14.5">
      <c r="A121" s="57" t="str">
        <f t="shared" si="6"/>
        <v/>
      </c>
      <c r="B121" s="57" t="str">
        <f t="shared" si="7"/>
        <v/>
      </c>
      <c r="C121" s="82"/>
      <c r="D121" s="82"/>
      <c r="E121" s="82"/>
      <c r="F121" s="82"/>
      <c r="G121" s="82"/>
      <c r="H121" s="82"/>
      <c r="I121" s="82"/>
      <c r="J121" s="82"/>
      <c r="K121" s="89"/>
      <c r="L121" s="82"/>
    </row>
    <row r="122" spans="1:12" ht="14.5">
      <c r="A122" s="57" t="str">
        <f t="shared" si="6"/>
        <v/>
      </c>
      <c r="B122" s="57" t="str">
        <f t="shared" si="7"/>
        <v/>
      </c>
      <c r="C122" s="82"/>
      <c r="D122" s="82"/>
      <c r="E122" s="82"/>
      <c r="F122" s="82"/>
      <c r="G122" s="82"/>
      <c r="H122" s="82"/>
      <c r="I122" s="82"/>
      <c r="J122" s="82"/>
      <c r="K122" s="89"/>
      <c r="L122" s="82"/>
    </row>
    <row r="123" spans="1:12" ht="14.5">
      <c r="A123" s="57" t="str">
        <f t="shared" si="6"/>
        <v/>
      </c>
      <c r="B123" s="57" t="str">
        <f t="shared" si="7"/>
        <v/>
      </c>
      <c r="C123" s="82"/>
      <c r="D123" s="82"/>
      <c r="E123" s="82"/>
      <c r="F123" s="82"/>
      <c r="G123" s="82"/>
      <c r="H123" s="82"/>
      <c r="I123" s="82"/>
      <c r="J123" s="82"/>
      <c r="K123" s="89"/>
      <c r="L123" s="82"/>
    </row>
    <row r="124" spans="1:12" ht="14.5">
      <c r="A124" s="57" t="str">
        <f t="shared" si="6"/>
        <v/>
      </c>
      <c r="B124" s="57" t="str">
        <f t="shared" si="7"/>
        <v/>
      </c>
      <c r="C124" s="82"/>
      <c r="D124" s="82"/>
      <c r="E124" s="82"/>
      <c r="F124" s="82"/>
      <c r="G124" s="82"/>
      <c r="H124" s="82"/>
      <c r="I124" s="82"/>
      <c r="J124" s="82"/>
      <c r="K124" s="89"/>
      <c r="L124" s="82"/>
    </row>
    <row r="125" spans="1:12" ht="14.5">
      <c r="A125" s="57" t="str">
        <f t="shared" si="6"/>
        <v/>
      </c>
      <c r="B125" s="57" t="str">
        <f t="shared" si="7"/>
        <v/>
      </c>
      <c r="C125" s="82"/>
      <c r="D125" s="82"/>
      <c r="E125" s="82"/>
      <c r="F125" s="82"/>
      <c r="G125" s="82"/>
      <c r="H125" s="82"/>
      <c r="I125" s="82"/>
      <c r="J125" s="82"/>
      <c r="K125" s="89"/>
      <c r="L125" s="82"/>
    </row>
    <row r="126" spans="1:12" ht="14.5">
      <c r="A126" s="57" t="str">
        <f t="shared" si="6"/>
        <v/>
      </c>
      <c r="B126" s="57" t="str">
        <f t="shared" si="7"/>
        <v/>
      </c>
      <c r="C126" s="82"/>
      <c r="D126" s="82"/>
      <c r="E126" s="82"/>
      <c r="F126" s="82"/>
      <c r="G126" s="82"/>
      <c r="H126" s="82"/>
      <c r="I126" s="82"/>
      <c r="J126" s="82"/>
      <c r="K126" s="89"/>
      <c r="L126" s="82"/>
    </row>
    <row r="127" spans="1:12" ht="14.5">
      <c r="A127" s="57" t="str">
        <f t="shared" ref="A127:A190" si="8">+C127&amp;G127&amp;H127&amp;D127</f>
        <v/>
      </c>
      <c r="B127" s="57" t="str">
        <f t="shared" ref="B127:B190" si="9">+C127&amp;G127&amp;H127&amp;D127&amp;K127</f>
        <v/>
      </c>
      <c r="C127" s="82"/>
      <c r="D127" s="82"/>
      <c r="E127" s="82"/>
      <c r="F127" s="82"/>
      <c r="G127" s="82"/>
      <c r="H127" s="82"/>
      <c r="I127" s="82"/>
      <c r="J127" s="82"/>
      <c r="K127" s="89"/>
      <c r="L127" s="82"/>
    </row>
    <row r="128" spans="1:12" ht="14.5">
      <c r="A128" s="57" t="str">
        <f t="shared" si="8"/>
        <v/>
      </c>
      <c r="B128" s="57" t="str">
        <f t="shared" si="9"/>
        <v/>
      </c>
      <c r="C128" s="82"/>
      <c r="D128" s="82"/>
      <c r="E128" s="82"/>
      <c r="F128" s="82"/>
      <c r="G128" s="82"/>
      <c r="H128" s="82"/>
      <c r="I128" s="82"/>
      <c r="J128" s="82"/>
      <c r="K128" s="89"/>
      <c r="L128" s="82"/>
    </row>
    <row r="129" spans="1:12" ht="14.5">
      <c r="A129" s="57" t="str">
        <f t="shared" si="8"/>
        <v/>
      </c>
      <c r="B129" s="57" t="str">
        <f t="shared" si="9"/>
        <v/>
      </c>
      <c r="C129" s="82"/>
      <c r="D129" s="82"/>
      <c r="E129" s="82"/>
      <c r="F129" s="82"/>
      <c r="G129" s="82"/>
      <c r="H129" s="82"/>
      <c r="I129" s="82"/>
      <c r="J129" s="82"/>
      <c r="K129" s="89"/>
      <c r="L129" s="82"/>
    </row>
    <row r="130" spans="1:12" ht="14.5">
      <c r="A130" s="57" t="str">
        <f t="shared" si="8"/>
        <v/>
      </c>
      <c r="B130" s="57" t="str">
        <f t="shared" si="9"/>
        <v/>
      </c>
      <c r="C130" s="82"/>
      <c r="D130" s="82"/>
      <c r="E130" s="82"/>
      <c r="F130" s="82"/>
      <c r="G130" s="82"/>
      <c r="H130" s="82"/>
      <c r="I130" s="82"/>
      <c r="J130" s="82"/>
      <c r="K130" s="89"/>
      <c r="L130" s="82"/>
    </row>
    <row r="131" spans="1:12" ht="14.5">
      <c r="A131" s="57" t="str">
        <f t="shared" si="8"/>
        <v/>
      </c>
      <c r="B131" s="57" t="str">
        <f t="shared" si="9"/>
        <v/>
      </c>
      <c r="C131" s="82"/>
      <c r="D131" s="82"/>
      <c r="E131" s="82"/>
      <c r="F131" s="82"/>
      <c r="G131" s="82"/>
      <c r="H131" s="82"/>
      <c r="I131" s="82"/>
      <c r="J131" s="82"/>
      <c r="K131" s="89"/>
      <c r="L131" s="82"/>
    </row>
    <row r="132" spans="1:12" ht="14.5">
      <c r="A132" s="57" t="str">
        <f t="shared" si="8"/>
        <v/>
      </c>
      <c r="B132" s="57" t="str">
        <f t="shared" si="9"/>
        <v/>
      </c>
      <c r="C132" s="82"/>
      <c r="D132" s="82"/>
      <c r="E132" s="82"/>
      <c r="F132" s="82"/>
      <c r="G132" s="82"/>
      <c r="H132" s="82"/>
      <c r="I132" s="82"/>
      <c r="J132" s="82"/>
      <c r="K132" s="89"/>
      <c r="L132" s="82"/>
    </row>
    <row r="133" spans="1:12" ht="14.5">
      <c r="A133" s="57" t="str">
        <f t="shared" si="8"/>
        <v/>
      </c>
      <c r="B133" s="57" t="str">
        <f t="shared" si="9"/>
        <v/>
      </c>
      <c r="C133" s="82"/>
      <c r="D133" s="82"/>
      <c r="E133" s="82"/>
      <c r="F133" s="82"/>
      <c r="G133" s="82"/>
      <c r="H133" s="82"/>
      <c r="I133" s="82"/>
      <c r="J133" s="82"/>
      <c r="K133" s="89"/>
      <c r="L133" s="82"/>
    </row>
    <row r="134" spans="1:12" ht="14.5">
      <c r="A134" s="57" t="str">
        <f t="shared" si="8"/>
        <v/>
      </c>
      <c r="B134" s="57" t="str">
        <f t="shared" si="9"/>
        <v/>
      </c>
      <c r="C134" s="82"/>
      <c r="D134" s="82"/>
      <c r="E134" s="82"/>
      <c r="F134" s="82"/>
      <c r="G134" s="82"/>
      <c r="H134" s="82"/>
      <c r="I134" s="82"/>
      <c r="J134" s="82"/>
      <c r="K134" s="89"/>
      <c r="L134" s="82"/>
    </row>
    <row r="135" spans="1:12" ht="14.5">
      <c r="A135" s="57" t="str">
        <f t="shared" si="8"/>
        <v/>
      </c>
      <c r="B135" s="57" t="str">
        <f t="shared" si="9"/>
        <v/>
      </c>
      <c r="C135" s="82"/>
      <c r="D135" s="82"/>
      <c r="E135" s="82"/>
      <c r="F135" s="82"/>
      <c r="G135" s="82"/>
      <c r="H135" s="82"/>
      <c r="I135" s="82"/>
      <c r="J135" s="82"/>
      <c r="K135" s="89"/>
      <c r="L135" s="82"/>
    </row>
    <row r="136" spans="1:12" ht="14.5">
      <c r="A136" s="57" t="str">
        <f t="shared" si="8"/>
        <v/>
      </c>
      <c r="B136" s="57" t="str">
        <f t="shared" si="9"/>
        <v/>
      </c>
      <c r="C136" s="82"/>
      <c r="D136" s="82"/>
      <c r="E136" s="82"/>
      <c r="F136" s="82"/>
      <c r="G136" s="82"/>
      <c r="H136" s="82"/>
      <c r="I136" s="82"/>
      <c r="J136" s="82"/>
      <c r="K136" s="89"/>
      <c r="L136" s="82"/>
    </row>
    <row r="137" spans="1:12" ht="14.5">
      <c r="A137" s="57" t="str">
        <f t="shared" si="8"/>
        <v/>
      </c>
      <c r="B137" s="57" t="str">
        <f t="shared" si="9"/>
        <v/>
      </c>
      <c r="C137" s="82"/>
      <c r="D137" s="82"/>
      <c r="E137" s="82"/>
      <c r="F137" s="82"/>
      <c r="G137" s="82"/>
      <c r="H137" s="82"/>
      <c r="I137" s="82"/>
      <c r="J137" s="82"/>
      <c r="K137" s="89"/>
      <c r="L137" s="82"/>
    </row>
    <row r="138" spans="1:12" ht="14.5">
      <c r="A138" s="57" t="str">
        <f t="shared" si="8"/>
        <v/>
      </c>
      <c r="B138" s="57" t="str">
        <f t="shared" si="9"/>
        <v/>
      </c>
      <c r="C138" s="82"/>
      <c r="D138" s="82"/>
      <c r="E138" s="82"/>
      <c r="F138" s="82"/>
      <c r="G138" s="82"/>
      <c r="H138" s="82"/>
      <c r="I138" s="82"/>
      <c r="J138" s="82"/>
      <c r="K138" s="89"/>
      <c r="L138" s="82"/>
    </row>
    <row r="139" spans="1:12" ht="14.5">
      <c r="A139" s="57" t="str">
        <f t="shared" si="8"/>
        <v/>
      </c>
      <c r="B139" s="57" t="str">
        <f t="shared" si="9"/>
        <v/>
      </c>
      <c r="C139" s="82"/>
      <c r="D139" s="82"/>
      <c r="E139" s="82"/>
      <c r="F139" s="82"/>
      <c r="G139" s="82"/>
      <c r="H139" s="82"/>
      <c r="I139" s="82"/>
      <c r="J139" s="82"/>
      <c r="K139" s="89"/>
      <c r="L139" s="82"/>
    </row>
    <row r="140" spans="1:12" ht="14.5">
      <c r="A140" s="57" t="str">
        <f t="shared" si="8"/>
        <v/>
      </c>
      <c r="B140" s="57" t="str">
        <f t="shared" si="9"/>
        <v/>
      </c>
      <c r="C140" s="82"/>
      <c r="D140" s="82"/>
      <c r="E140" s="82"/>
      <c r="F140" s="82"/>
      <c r="G140" s="82"/>
      <c r="H140" s="82"/>
      <c r="I140" s="82"/>
      <c r="J140" s="82"/>
      <c r="K140" s="89"/>
      <c r="L140" s="82"/>
    </row>
    <row r="141" spans="1:12" ht="14.5">
      <c r="A141" s="57" t="str">
        <f t="shared" si="8"/>
        <v/>
      </c>
      <c r="B141" s="57" t="str">
        <f t="shared" si="9"/>
        <v/>
      </c>
      <c r="C141" s="82"/>
      <c r="D141" s="82"/>
      <c r="E141" s="82"/>
      <c r="F141" s="82"/>
      <c r="G141" s="82"/>
      <c r="H141" s="82"/>
      <c r="I141" s="82"/>
      <c r="J141" s="82"/>
      <c r="K141" s="89"/>
      <c r="L141" s="82"/>
    </row>
    <row r="142" spans="1:12" ht="14.5">
      <c r="A142" s="57" t="str">
        <f t="shared" si="8"/>
        <v/>
      </c>
      <c r="B142" s="57" t="str">
        <f t="shared" si="9"/>
        <v/>
      </c>
      <c r="C142" s="82"/>
      <c r="D142" s="82"/>
      <c r="E142" s="82"/>
      <c r="F142" s="82"/>
      <c r="G142" s="82"/>
      <c r="H142" s="82"/>
      <c r="I142" s="82"/>
      <c r="J142" s="82"/>
      <c r="K142" s="89"/>
      <c r="L142" s="82"/>
    </row>
    <row r="143" spans="1:12" ht="14.5">
      <c r="A143" s="57" t="str">
        <f t="shared" si="8"/>
        <v/>
      </c>
      <c r="B143" s="57" t="str">
        <f t="shared" si="9"/>
        <v/>
      </c>
      <c r="C143" s="82"/>
      <c r="D143" s="82"/>
      <c r="E143" s="82"/>
      <c r="F143" s="82"/>
      <c r="G143" s="82"/>
      <c r="H143" s="82"/>
      <c r="I143" s="82"/>
      <c r="J143" s="82"/>
      <c r="K143" s="89"/>
      <c r="L143" s="82"/>
    </row>
    <row r="144" spans="1:12" ht="14.5">
      <c r="A144" s="57" t="str">
        <f t="shared" si="8"/>
        <v/>
      </c>
      <c r="B144" s="57" t="str">
        <f t="shared" si="9"/>
        <v/>
      </c>
      <c r="C144" s="82"/>
      <c r="D144" s="82"/>
      <c r="E144" s="82"/>
      <c r="F144" s="82"/>
      <c r="G144" s="82"/>
      <c r="H144" s="82"/>
      <c r="I144" s="82"/>
      <c r="J144" s="82"/>
      <c r="K144" s="89"/>
      <c r="L144" s="82"/>
    </row>
    <row r="145" spans="1:12" ht="14.5">
      <c r="A145" s="57" t="str">
        <f t="shared" si="8"/>
        <v/>
      </c>
      <c r="B145" s="57" t="str">
        <f t="shared" si="9"/>
        <v/>
      </c>
      <c r="C145" s="82"/>
      <c r="D145" s="82"/>
      <c r="E145" s="82"/>
      <c r="F145" s="82"/>
      <c r="G145" s="82"/>
      <c r="H145" s="82"/>
      <c r="I145" s="82"/>
      <c r="J145" s="82"/>
      <c r="K145" s="89"/>
      <c r="L145" s="82"/>
    </row>
    <row r="146" spans="1:12" ht="14.5">
      <c r="A146" s="57" t="str">
        <f t="shared" si="8"/>
        <v/>
      </c>
      <c r="B146" s="57" t="str">
        <f t="shared" si="9"/>
        <v/>
      </c>
      <c r="C146" s="82"/>
      <c r="D146" s="82"/>
      <c r="E146" s="82"/>
      <c r="F146" s="82"/>
      <c r="G146" s="82"/>
      <c r="H146" s="82"/>
      <c r="I146" s="82"/>
      <c r="J146" s="82"/>
      <c r="K146" s="89"/>
      <c r="L146" s="82"/>
    </row>
    <row r="147" spans="1:12" ht="14.5">
      <c r="A147" s="57" t="str">
        <f t="shared" si="8"/>
        <v/>
      </c>
      <c r="B147" s="57" t="str">
        <f t="shared" si="9"/>
        <v/>
      </c>
      <c r="C147" s="82"/>
      <c r="D147" s="82"/>
      <c r="E147" s="82"/>
      <c r="F147" s="82"/>
      <c r="G147" s="82"/>
      <c r="H147" s="82"/>
      <c r="I147" s="82"/>
      <c r="J147" s="82"/>
      <c r="K147" s="89"/>
      <c r="L147" s="82"/>
    </row>
    <row r="148" spans="1:12" ht="14.5">
      <c r="A148" s="57" t="str">
        <f t="shared" si="8"/>
        <v/>
      </c>
      <c r="B148" s="57" t="str">
        <f t="shared" si="9"/>
        <v/>
      </c>
      <c r="C148" s="82"/>
      <c r="D148" s="82"/>
      <c r="E148" s="82"/>
      <c r="F148" s="82"/>
      <c r="G148" s="82"/>
      <c r="H148" s="82"/>
      <c r="I148" s="82"/>
      <c r="J148" s="82"/>
      <c r="K148" s="89"/>
      <c r="L148" s="82"/>
    </row>
    <row r="149" spans="1:12" ht="14.5">
      <c r="A149" s="57" t="str">
        <f t="shared" si="8"/>
        <v/>
      </c>
      <c r="B149" s="57" t="str">
        <f t="shared" si="9"/>
        <v/>
      </c>
      <c r="C149" s="82"/>
      <c r="D149" s="82"/>
      <c r="E149" s="82"/>
      <c r="F149" s="82"/>
      <c r="G149" s="82"/>
      <c r="H149" s="82"/>
      <c r="I149" s="82"/>
      <c r="J149" s="82"/>
      <c r="K149" s="89"/>
      <c r="L149" s="82"/>
    </row>
    <row r="150" spans="1:12" ht="14.5">
      <c r="A150" s="57" t="str">
        <f t="shared" si="8"/>
        <v/>
      </c>
      <c r="B150" s="57" t="str">
        <f t="shared" si="9"/>
        <v/>
      </c>
      <c r="C150" s="82"/>
      <c r="D150" s="82"/>
      <c r="E150" s="82"/>
      <c r="F150" s="82"/>
      <c r="G150" s="82"/>
      <c r="H150" s="82"/>
      <c r="I150" s="82"/>
      <c r="J150" s="82"/>
      <c r="K150" s="89"/>
      <c r="L150" s="82"/>
    </row>
    <row r="151" spans="1:12" ht="14.5">
      <c r="A151" s="57" t="str">
        <f t="shared" si="8"/>
        <v/>
      </c>
      <c r="B151" s="57" t="str">
        <f t="shared" si="9"/>
        <v/>
      </c>
      <c r="C151" s="82"/>
      <c r="D151" s="82"/>
      <c r="E151" s="82"/>
      <c r="F151" s="82"/>
      <c r="G151" s="82"/>
      <c r="H151" s="82"/>
      <c r="I151" s="82"/>
      <c r="J151" s="82"/>
      <c r="K151" s="89"/>
      <c r="L151" s="82"/>
    </row>
    <row r="152" spans="1:12" ht="14.5">
      <c r="A152" s="57" t="str">
        <f t="shared" si="8"/>
        <v/>
      </c>
      <c r="B152" s="57" t="str">
        <f t="shared" si="9"/>
        <v/>
      </c>
      <c r="C152" s="82"/>
      <c r="D152" s="82"/>
      <c r="E152" s="82"/>
      <c r="F152" s="82"/>
      <c r="G152" s="82"/>
      <c r="H152" s="82"/>
      <c r="I152" s="82"/>
      <c r="J152" s="82"/>
      <c r="K152" s="89"/>
      <c r="L152" s="82"/>
    </row>
    <row r="153" spans="1:12" ht="14.5">
      <c r="A153" s="57" t="str">
        <f t="shared" si="8"/>
        <v/>
      </c>
      <c r="B153" s="57" t="str">
        <f t="shared" si="9"/>
        <v/>
      </c>
      <c r="C153" s="82"/>
      <c r="D153" s="82"/>
      <c r="E153" s="82"/>
      <c r="F153" s="82"/>
      <c r="G153" s="82"/>
      <c r="H153" s="82"/>
      <c r="I153" s="82"/>
      <c r="J153" s="82"/>
      <c r="K153" s="89"/>
      <c r="L153" s="82"/>
    </row>
    <row r="154" spans="1:12" ht="14.5">
      <c r="A154" s="57" t="str">
        <f t="shared" si="8"/>
        <v/>
      </c>
      <c r="B154" s="57" t="str">
        <f t="shared" si="9"/>
        <v/>
      </c>
      <c r="C154" s="82"/>
      <c r="D154" s="82"/>
      <c r="E154" s="82"/>
      <c r="F154" s="82"/>
      <c r="G154" s="82"/>
      <c r="H154" s="82"/>
      <c r="I154" s="82"/>
      <c r="J154" s="82"/>
      <c r="K154" s="89"/>
      <c r="L154" s="82"/>
    </row>
    <row r="155" spans="1:12" ht="14.5">
      <c r="A155" s="57" t="str">
        <f t="shared" si="8"/>
        <v/>
      </c>
      <c r="B155" s="57" t="str">
        <f t="shared" si="9"/>
        <v/>
      </c>
      <c r="C155" s="82"/>
      <c r="D155" s="82"/>
      <c r="E155" s="82"/>
      <c r="F155" s="82"/>
      <c r="G155" s="82"/>
      <c r="H155" s="82"/>
      <c r="I155" s="82"/>
      <c r="J155" s="82"/>
      <c r="K155" s="89"/>
      <c r="L155" s="82"/>
    </row>
    <row r="156" spans="1:12" ht="14.5">
      <c r="A156" s="57" t="str">
        <f t="shared" si="8"/>
        <v/>
      </c>
      <c r="B156" s="57" t="str">
        <f t="shared" si="9"/>
        <v/>
      </c>
      <c r="C156" s="82"/>
      <c r="D156" s="82"/>
      <c r="E156" s="82"/>
      <c r="F156" s="82"/>
      <c r="G156" s="82"/>
      <c r="H156" s="82"/>
      <c r="I156" s="82"/>
      <c r="J156" s="82"/>
      <c r="K156" s="89"/>
      <c r="L156" s="82"/>
    </row>
    <row r="157" spans="1:12" ht="14.5">
      <c r="A157" s="57" t="str">
        <f t="shared" si="8"/>
        <v/>
      </c>
      <c r="B157" s="57" t="str">
        <f t="shared" si="9"/>
        <v/>
      </c>
      <c r="C157" s="82"/>
      <c r="D157" s="82"/>
      <c r="E157" s="82"/>
      <c r="F157" s="82"/>
      <c r="G157" s="82"/>
      <c r="H157" s="82"/>
      <c r="I157" s="82"/>
      <c r="J157" s="82"/>
      <c r="K157" s="89"/>
      <c r="L157" s="82"/>
    </row>
    <row r="158" spans="1:12" ht="14.5">
      <c r="A158" s="57" t="str">
        <f t="shared" si="8"/>
        <v/>
      </c>
      <c r="B158" s="57" t="str">
        <f t="shared" si="9"/>
        <v/>
      </c>
      <c r="C158" s="82"/>
      <c r="D158" s="82"/>
      <c r="E158" s="82"/>
      <c r="F158" s="82"/>
      <c r="G158" s="82"/>
      <c r="H158" s="82"/>
      <c r="I158" s="82"/>
      <c r="J158" s="82"/>
      <c r="K158" s="89"/>
      <c r="L158" s="82"/>
    </row>
    <row r="159" spans="1:12" ht="14.5">
      <c r="A159" s="57" t="str">
        <f t="shared" si="8"/>
        <v/>
      </c>
      <c r="B159" s="57" t="str">
        <f t="shared" si="9"/>
        <v/>
      </c>
      <c r="C159" s="82"/>
      <c r="D159" s="82"/>
      <c r="E159" s="82"/>
      <c r="F159" s="82"/>
      <c r="G159" s="82"/>
      <c r="H159" s="82"/>
      <c r="I159" s="82"/>
      <c r="J159" s="82"/>
      <c r="K159" s="89"/>
      <c r="L159" s="82"/>
    </row>
    <row r="160" spans="1:12" ht="14.5">
      <c r="A160" s="57" t="str">
        <f t="shared" si="8"/>
        <v/>
      </c>
      <c r="B160" s="57" t="str">
        <f t="shared" si="9"/>
        <v/>
      </c>
      <c r="C160" s="82"/>
      <c r="D160" s="82"/>
      <c r="E160" s="82"/>
      <c r="F160" s="82"/>
      <c r="G160" s="82"/>
      <c r="H160" s="82"/>
      <c r="I160" s="82"/>
      <c r="J160" s="82"/>
      <c r="K160" s="89"/>
      <c r="L160" s="82"/>
    </row>
    <row r="161" spans="1:12" ht="14.5">
      <c r="A161" s="57" t="str">
        <f t="shared" si="8"/>
        <v/>
      </c>
      <c r="B161" s="57" t="str">
        <f t="shared" si="9"/>
        <v/>
      </c>
      <c r="C161" s="82"/>
      <c r="D161" s="82"/>
      <c r="E161" s="82"/>
      <c r="F161" s="82"/>
      <c r="G161" s="82"/>
      <c r="H161" s="82"/>
      <c r="I161" s="82"/>
      <c r="J161" s="82"/>
      <c r="K161" s="89"/>
      <c r="L161" s="82"/>
    </row>
    <row r="162" spans="1:12" ht="14.5">
      <c r="A162" s="57" t="str">
        <f t="shared" si="8"/>
        <v/>
      </c>
      <c r="B162" s="57" t="str">
        <f t="shared" si="9"/>
        <v/>
      </c>
      <c r="C162" s="82"/>
      <c r="D162" s="82"/>
      <c r="E162" s="82"/>
      <c r="F162" s="82"/>
      <c r="G162" s="82"/>
      <c r="H162" s="82"/>
      <c r="I162" s="82"/>
      <c r="J162" s="82"/>
      <c r="K162" s="89"/>
      <c r="L162" s="82"/>
    </row>
    <row r="163" spans="1:12" ht="14.5">
      <c r="A163" s="57" t="str">
        <f t="shared" si="8"/>
        <v/>
      </c>
      <c r="B163" s="57" t="str">
        <f t="shared" si="9"/>
        <v/>
      </c>
      <c r="C163" s="82"/>
      <c r="D163" s="82"/>
      <c r="E163" s="82"/>
      <c r="F163" s="82"/>
      <c r="G163" s="82"/>
      <c r="H163" s="82"/>
      <c r="I163" s="82"/>
      <c r="J163" s="82"/>
      <c r="K163" s="89"/>
      <c r="L163" s="82"/>
    </row>
    <row r="164" spans="1:12" ht="14.5">
      <c r="A164" s="57" t="str">
        <f t="shared" si="8"/>
        <v/>
      </c>
      <c r="B164" s="57" t="str">
        <f t="shared" si="9"/>
        <v/>
      </c>
      <c r="C164" s="82"/>
      <c r="D164" s="82"/>
      <c r="E164" s="82"/>
      <c r="F164" s="82"/>
      <c r="G164" s="82"/>
      <c r="H164" s="82"/>
      <c r="I164" s="82"/>
      <c r="J164" s="82"/>
      <c r="K164" s="89"/>
      <c r="L164" s="82"/>
    </row>
    <row r="165" spans="1:12" ht="14.5">
      <c r="A165" s="57" t="str">
        <f t="shared" si="8"/>
        <v/>
      </c>
      <c r="B165" s="57" t="str">
        <f t="shared" si="9"/>
        <v/>
      </c>
      <c r="C165" s="82"/>
      <c r="D165" s="82"/>
      <c r="E165" s="82"/>
      <c r="F165" s="82"/>
      <c r="G165" s="82"/>
      <c r="H165" s="82"/>
      <c r="I165" s="82"/>
      <c r="J165" s="82"/>
      <c r="K165" s="89"/>
      <c r="L165" s="82"/>
    </row>
    <row r="166" spans="1:12" ht="14.5">
      <c r="A166" s="57" t="str">
        <f t="shared" si="8"/>
        <v/>
      </c>
      <c r="B166" s="57" t="str">
        <f t="shared" si="9"/>
        <v/>
      </c>
      <c r="C166" s="82"/>
      <c r="D166" s="82"/>
      <c r="E166" s="82"/>
      <c r="F166" s="82"/>
      <c r="G166" s="82"/>
      <c r="H166" s="82"/>
      <c r="I166" s="82"/>
      <c r="J166" s="82"/>
      <c r="K166" s="89"/>
      <c r="L166" s="82"/>
    </row>
    <row r="167" spans="1:12" ht="14.5">
      <c r="A167" s="57" t="str">
        <f t="shared" si="8"/>
        <v/>
      </c>
      <c r="B167" s="57" t="str">
        <f t="shared" si="9"/>
        <v/>
      </c>
      <c r="C167" s="82"/>
      <c r="D167" s="82"/>
      <c r="E167" s="82"/>
      <c r="F167" s="82"/>
      <c r="G167" s="82"/>
      <c r="H167" s="82"/>
      <c r="I167" s="82"/>
      <c r="J167" s="82"/>
      <c r="K167" s="89"/>
      <c r="L167" s="82"/>
    </row>
    <row r="168" spans="1:12" ht="14.5">
      <c r="A168" s="57" t="str">
        <f t="shared" si="8"/>
        <v/>
      </c>
      <c r="B168" s="57" t="str">
        <f t="shared" si="9"/>
        <v/>
      </c>
      <c r="C168" s="82"/>
      <c r="D168" s="82"/>
      <c r="E168" s="82"/>
      <c r="F168" s="82"/>
      <c r="G168" s="82"/>
      <c r="H168" s="82"/>
      <c r="I168" s="82"/>
      <c r="J168" s="82"/>
      <c r="K168" s="89"/>
      <c r="L168" s="82"/>
    </row>
    <row r="169" spans="1:12" ht="14.5">
      <c r="A169" s="57" t="str">
        <f t="shared" si="8"/>
        <v/>
      </c>
      <c r="B169" s="57" t="str">
        <f t="shared" si="9"/>
        <v/>
      </c>
      <c r="C169" s="82"/>
      <c r="D169" s="82"/>
      <c r="E169" s="82"/>
      <c r="F169" s="82"/>
      <c r="G169" s="82"/>
      <c r="H169" s="82"/>
      <c r="I169" s="82"/>
      <c r="J169" s="82"/>
      <c r="K169" s="89"/>
      <c r="L169" s="82"/>
    </row>
    <row r="170" spans="1:12" ht="14.5">
      <c r="A170" s="57" t="str">
        <f t="shared" si="8"/>
        <v/>
      </c>
      <c r="B170" s="57" t="str">
        <f t="shared" si="9"/>
        <v/>
      </c>
      <c r="C170" s="82"/>
      <c r="D170" s="82"/>
      <c r="E170" s="82"/>
      <c r="F170" s="82"/>
      <c r="G170" s="82"/>
      <c r="H170" s="82"/>
      <c r="I170" s="82"/>
      <c r="J170" s="82"/>
      <c r="K170" s="89"/>
      <c r="L170" s="82"/>
    </row>
    <row r="171" spans="1:12" ht="14.5">
      <c r="A171" s="57" t="str">
        <f t="shared" si="8"/>
        <v/>
      </c>
      <c r="B171" s="57" t="str">
        <f t="shared" si="9"/>
        <v/>
      </c>
      <c r="C171" s="82"/>
      <c r="D171" s="82"/>
      <c r="E171" s="82"/>
      <c r="F171" s="82"/>
      <c r="G171" s="82"/>
      <c r="H171" s="82"/>
      <c r="I171" s="82"/>
      <c r="J171" s="82"/>
      <c r="K171" s="89"/>
      <c r="L171" s="82"/>
    </row>
    <row r="172" spans="1:12" ht="14.5">
      <c r="A172" s="57" t="str">
        <f t="shared" si="8"/>
        <v/>
      </c>
      <c r="B172" s="57" t="str">
        <f t="shared" si="9"/>
        <v/>
      </c>
      <c r="C172" s="82"/>
      <c r="D172" s="82"/>
      <c r="E172" s="82"/>
      <c r="F172" s="82"/>
      <c r="G172" s="82"/>
      <c r="H172" s="82"/>
      <c r="I172" s="82"/>
      <c r="J172" s="82"/>
      <c r="K172" s="89"/>
      <c r="L172" s="82"/>
    </row>
    <row r="173" spans="1:12" ht="14.5">
      <c r="A173" s="57" t="str">
        <f t="shared" si="8"/>
        <v/>
      </c>
      <c r="B173" s="57" t="str">
        <f t="shared" si="9"/>
        <v/>
      </c>
      <c r="C173" s="82"/>
      <c r="D173" s="82"/>
      <c r="E173" s="82"/>
      <c r="F173" s="82"/>
      <c r="G173" s="82"/>
      <c r="H173" s="82"/>
      <c r="I173" s="82"/>
      <c r="J173" s="82"/>
      <c r="K173" s="89"/>
      <c r="L173" s="82"/>
    </row>
    <row r="174" spans="1:12" ht="14.5">
      <c r="A174" s="57" t="str">
        <f t="shared" si="8"/>
        <v/>
      </c>
      <c r="B174" s="57" t="str">
        <f t="shared" si="9"/>
        <v/>
      </c>
      <c r="C174" s="82"/>
      <c r="D174" s="82"/>
      <c r="E174" s="82"/>
      <c r="F174" s="82"/>
      <c r="G174" s="82"/>
      <c r="H174" s="82"/>
      <c r="I174" s="82"/>
      <c r="J174" s="82"/>
      <c r="K174" s="89"/>
      <c r="L174" s="82"/>
    </row>
    <row r="175" spans="1:12" ht="14.5">
      <c r="A175" s="57" t="str">
        <f t="shared" si="8"/>
        <v/>
      </c>
      <c r="B175" s="57" t="str">
        <f t="shared" si="9"/>
        <v/>
      </c>
      <c r="C175" s="82"/>
      <c r="D175" s="82"/>
      <c r="E175" s="82"/>
      <c r="F175" s="82"/>
      <c r="G175" s="82"/>
      <c r="H175" s="82"/>
      <c r="I175" s="82"/>
      <c r="J175" s="82"/>
      <c r="K175" s="89"/>
      <c r="L175" s="82"/>
    </row>
    <row r="176" spans="1:12" ht="14.5">
      <c r="A176" s="57" t="str">
        <f t="shared" si="8"/>
        <v/>
      </c>
      <c r="B176" s="57" t="str">
        <f t="shared" si="9"/>
        <v/>
      </c>
      <c r="C176" s="82"/>
      <c r="D176" s="82"/>
      <c r="E176" s="82"/>
      <c r="F176" s="82"/>
      <c r="G176" s="82"/>
      <c r="H176" s="82"/>
      <c r="I176" s="82"/>
      <c r="J176" s="82"/>
      <c r="K176" s="89"/>
      <c r="L176" s="82"/>
    </row>
    <row r="177" spans="1:12" ht="14.5">
      <c r="A177" s="57" t="str">
        <f t="shared" si="8"/>
        <v/>
      </c>
      <c r="B177" s="57" t="str">
        <f t="shared" si="9"/>
        <v/>
      </c>
      <c r="C177" s="82"/>
      <c r="D177" s="82"/>
      <c r="E177" s="82"/>
      <c r="F177" s="82"/>
      <c r="G177" s="82"/>
      <c r="H177" s="82"/>
      <c r="I177" s="82"/>
      <c r="J177" s="82"/>
      <c r="K177" s="89"/>
      <c r="L177" s="82"/>
    </row>
    <row r="178" spans="1:12" ht="14.5">
      <c r="A178" s="57" t="str">
        <f t="shared" si="8"/>
        <v/>
      </c>
      <c r="B178" s="57" t="str">
        <f t="shared" si="9"/>
        <v/>
      </c>
      <c r="C178" s="82"/>
      <c r="D178" s="82"/>
      <c r="E178" s="82"/>
      <c r="F178" s="82"/>
      <c r="G178" s="82"/>
      <c r="H178" s="82"/>
      <c r="I178" s="82"/>
      <c r="J178" s="82"/>
      <c r="K178" s="89"/>
      <c r="L178" s="82"/>
    </row>
    <row r="179" spans="1:12" ht="14.5">
      <c r="A179" s="57" t="str">
        <f t="shared" si="8"/>
        <v/>
      </c>
      <c r="B179" s="57" t="str">
        <f t="shared" si="9"/>
        <v/>
      </c>
      <c r="C179" s="82"/>
      <c r="D179" s="82"/>
      <c r="E179" s="82"/>
      <c r="F179" s="82"/>
      <c r="G179" s="82"/>
      <c r="H179" s="82"/>
      <c r="I179" s="82"/>
      <c r="J179" s="82"/>
      <c r="K179" s="89"/>
      <c r="L179" s="82"/>
    </row>
    <row r="180" spans="1:12" ht="14.5">
      <c r="A180" s="57" t="str">
        <f t="shared" si="8"/>
        <v/>
      </c>
      <c r="B180" s="57" t="str">
        <f t="shared" si="9"/>
        <v/>
      </c>
      <c r="C180" s="82"/>
      <c r="D180" s="82"/>
      <c r="E180" s="82"/>
      <c r="F180" s="82"/>
      <c r="G180" s="82"/>
      <c r="H180" s="82"/>
      <c r="I180" s="82"/>
      <c r="J180" s="82"/>
      <c r="K180" s="89"/>
      <c r="L180" s="82"/>
    </row>
    <row r="181" spans="1:12" ht="14.5">
      <c r="A181" s="57" t="str">
        <f t="shared" si="8"/>
        <v/>
      </c>
      <c r="B181" s="57" t="str">
        <f t="shared" si="9"/>
        <v/>
      </c>
      <c r="C181" s="82"/>
      <c r="D181" s="82"/>
      <c r="E181" s="82"/>
      <c r="F181" s="82"/>
      <c r="G181" s="82"/>
      <c r="H181" s="82"/>
      <c r="I181" s="82"/>
      <c r="J181" s="82"/>
      <c r="K181" s="89"/>
      <c r="L181" s="82"/>
    </row>
    <row r="182" spans="1:12" ht="14.5">
      <c r="A182" s="57" t="str">
        <f t="shared" si="8"/>
        <v/>
      </c>
      <c r="B182" s="57" t="str">
        <f t="shared" si="9"/>
        <v/>
      </c>
      <c r="C182" s="82"/>
      <c r="D182" s="82"/>
      <c r="E182" s="82"/>
      <c r="F182" s="82"/>
      <c r="G182" s="82"/>
      <c r="H182" s="82"/>
      <c r="I182" s="82"/>
      <c r="J182" s="82"/>
      <c r="K182" s="89"/>
      <c r="L182" s="82"/>
    </row>
    <row r="183" spans="1:12" ht="14.5">
      <c r="A183" s="57" t="str">
        <f t="shared" si="8"/>
        <v/>
      </c>
      <c r="B183" s="57" t="str">
        <f t="shared" si="9"/>
        <v/>
      </c>
      <c r="C183" s="82"/>
      <c r="D183" s="82"/>
      <c r="E183" s="82"/>
      <c r="F183" s="82"/>
      <c r="G183" s="82"/>
      <c r="H183" s="82"/>
      <c r="I183" s="82"/>
      <c r="J183" s="82"/>
      <c r="K183" s="89"/>
      <c r="L183" s="82"/>
    </row>
    <row r="184" spans="1:12" ht="14.5">
      <c r="A184" s="57" t="str">
        <f t="shared" si="8"/>
        <v/>
      </c>
      <c r="B184" s="57" t="str">
        <f t="shared" si="9"/>
        <v/>
      </c>
      <c r="C184" s="82"/>
      <c r="D184" s="82"/>
      <c r="E184" s="82"/>
      <c r="F184" s="82"/>
      <c r="G184" s="82"/>
      <c r="H184" s="82"/>
      <c r="I184" s="82"/>
      <c r="J184" s="82"/>
      <c r="K184" s="89"/>
      <c r="L184" s="82"/>
    </row>
    <row r="185" spans="1:12" ht="14.5">
      <c r="A185" s="57" t="str">
        <f t="shared" si="8"/>
        <v/>
      </c>
      <c r="B185" s="57" t="str">
        <f t="shared" si="9"/>
        <v/>
      </c>
      <c r="C185" s="82"/>
      <c r="D185" s="82"/>
      <c r="E185" s="82"/>
      <c r="F185" s="82"/>
      <c r="G185" s="82"/>
      <c r="H185" s="82"/>
      <c r="I185" s="82"/>
      <c r="J185" s="82"/>
      <c r="K185" s="89"/>
      <c r="L185" s="82"/>
    </row>
    <row r="186" spans="1:12" ht="14.5">
      <c r="A186" s="57" t="str">
        <f t="shared" si="8"/>
        <v/>
      </c>
      <c r="B186" s="57" t="str">
        <f t="shared" si="9"/>
        <v/>
      </c>
      <c r="C186" s="82"/>
      <c r="D186" s="82"/>
      <c r="E186" s="82"/>
      <c r="F186" s="82"/>
      <c r="G186" s="82"/>
      <c r="H186" s="82"/>
      <c r="I186" s="82"/>
      <c r="J186" s="82"/>
      <c r="K186" s="89"/>
      <c r="L186" s="82"/>
    </row>
    <row r="187" spans="1:12" ht="14.5">
      <c r="A187" s="57" t="str">
        <f t="shared" si="8"/>
        <v/>
      </c>
      <c r="B187" s="57" t="str">
        <f t="shared" si="9"/>
        <v/>
      </c>
      <c r="C187" s="82"/>
      <c r="D187" s="82"/>
      <c r="E187" s="82"/>
      <c r="F187" s="82"/>
      <c r="G187" s="82"/>
      <c r="H187" s="82"/>
      <c r="I187" s="82"/>
      <c r="J187" s="82"/>
      <c r="K187" s="89"/>
      <c r="L187" s="82"/>
    </row>
    <row r="188" spans="1:12" ht="14.5">
      <c r="A188" s="57" t="str">
        <f t="shared" si="8"/>
        <v/>
      </c>
      <c r="B188" s="57" t="str">
        <f t="shared" si="9"/>
        <v/>
      </c>
      <c r="C188" s="82"/>
      <c r="D188" s="82"/>
      <c r="E188" s="82"/>
      <c r="F188" s="82"/>
      <c r="G188" s="82"/>
      <c r="H188" s="82"/>
      <c r="I188" s="82"/>
      <c r="J188" s="82"/>
      <c r="K188" s="89"/>
      <c r="L188" s="82"/>
    </row>
    <row r="189" spans="1:12" ht="14.5">
      <c r="A189" s="57" t="str">
        <f t="shared" si="8"/>
        <v/>
      </c>
      <c r="B189" s="57" t="str">
        <f t="shared" si="9"/>
        <v/>
      </c>
      <c r="C189" s="82"/>
      <c r="D189" s="82"/>
      <c r="E189" s="82"/>
      <c r="F189" s="82"/>
      <c r="G189" s="82"/>
      <c r="H189" s="82"/>
      <c r="I189" s="82"/>
      <c r="J189" s="82"/>
      <c r="K189" s="89"/>
      <c r="L189" s="82"/>
    </row>
    <row r="190" spans="1:12" ht="14.5">
      <c r="A190" s="57" t="str">
        <f t="shared" si="8"/>
        <v/>
      </c>
      <c r="B190" s="57" t="str">
        <f t="shared" si="9"/>
        <v/>
      </c>
      <c r="C190" s="82"/>
      <c r="D190" s="82"/>
      <c r="E190" s="82"/>
      <c r="F190" s="82"/>
      <c r="G190" s="82"/>
      <c r="H190" s="82"/>
      <c r="I190" s="82"/>
      <c r="J190" s="82"/>
      <c r="K190" s="89"/>
      <c r="L190" s="82"/>
    </row>
    <row r="191" spans="1:12" ht="14.5">
      <c r="A191" s="57" t="str">
        <f t="shared" ref="A191:A228" si="10">+C191&amp;G191&amp;H191&amp;D191</f>
        <v/>
      </c>
      <c r="B191" s="57" t="str">
        <f t="shared" ref="B191:B228" si="11">+C191&amp;G191&amp;H191&amp;D191&amp;K191</f>
        <v/>
      </c>
      <c r="C191" s="82"/>
      <c r="D191" s="82"/>
      <c r="E191" s="82"/>
      <c r="F191" s="82"/>
      <c r="G191" s="82"/>
      <c r="H191" s="82"/>
      <c r="I191" s="82"/>
      <c r="J191" s="82"/>
      <c r="K191" s="89"/>
      <c r="L191" s="82"/>
    </row>
    <row r="192" spans="1:12" ht="14.5">
      <c r="A192" s="57" t="str">
        <f t="shared" si="10"/>
        <v/>
      </c>
      <c r="B192" s="57" t="str">
        <f t="shared" si="11"/>
        <v/>
      </c>
      <c r="C192" s="82"/>
      <c r="D192" s="82"/>
      <c r="E192" s="82"/>
      <c r="F192" s="82"/>
      <c r="G192" s="82"/>
      <c r="H192" s="82"/>
      <c r="I192" s="82"/>
      <c r="J192" s="82"/>
      <c r="K192" s="89"/>
      <c r="L192" s="82"/>
    </row>
    <row r="193" spans="1:12" ht="14.5">
      <c r="A193" s="57" t="str">
        <f t="shared" si="10"/>
        <v/>
      </c>
      <c r="B193" s="57" t="str">
        <f t="shared" si="11"/>
        <v/>
      </c>
      <c r="C193" s="82"/>
      <c r="D193" s="82"/>
      <c r="E193" s="82"/>
      <c r="F193" s="82"/>
      <c r="G193" s="82"/>
      <c r="H193" s="82"/>
      <c r="I193" s="82"/>
      <c r="J193" s="82"/>
      <c r="K193" s="89"/>
      <c r="L193" s="82"/>
    </row>
    <row r="194" spans="1:12" ht="14.5">
      <c r="A194" s="57" t="str">
        <f t="shared" si="10"/>
        <v/>
      </c>
      <c r="B194" s="57" t="str">
        <f t="shared" si="11"/>
        <v/>
      </c>
      <c r="C194" s="82"/>
      <c r="D194" s="82"/>
      <c r="E194" s="82"/>
      <c r="F194" s="82"/>
      <c r="G194" s="82"/>
      <c r="H194" s="82"/>
      <c r="I194" s="82"/>
      <c r="J194" s="82"/>
      <c r="K194" s="89"/>
      <c r="L194" s="82"/>
    </row>
    <row r="195" spans="1:12" ht="14.5">
      <c r="A195" s="57" t="str">
        <f t="shared" si="10"/>
        <v/>
      </c>
      <c r="B195" s="57" t="str">
        <f t="shared" si="11"/>
        <v/>
      </c>
      <c r="C195" s="82"/>
      <c r="D195" s="82"/>
      <c r="E195" s="82"/>
      <c r="F195" s="82"/>
      <c r="G195" s="82"/>
      <c r="H195" s="82"/>
      <c r="I195" s="82"/>
      <c r="J195" s="82"/>
      <c r="K195" s="89"/>
      <c r="L195" s="82"/>
    </row>
    <row r="196" spans="1:12" ht="14.5">
      <c r="A196" s="57" t="str">
        <f t="shared" si="10"/>
        <v/>
      </c>
      <c r="B196" s="57" t="str">
        <f t="shared" si="11"/>
        <v/>
      </c>
      <c r="C196" s="82"/>
      <c r="D196" s="82"/>
      <c r="E196" s="82"/>
      <c r="F196" s="82"/>
      <c r="G196" s="82"/>
      <c r="H196" s="82"/>
      <c r="I196" s="82"/>
      <c r="J196" s="82"/>
      <c r="K196" s="89"/>
      <c r="L196" s="82"/>
    </row>
    <row r="197" spans="1:12" ht="14.5">
      <c r="A197" s="57" t="str">
        <f t="shared" si="10"/>
        <v/>
      </c>
      <c r="B197" s="57" t="str">
        <f t="shared" si="11"/>
        <v/>
      </c>
      <c r="C197" s="82"/>
      <c r="D197" s="82"/>
      <c r="E197" s="82"/>
      <c r="F197" s="82"/>
      <c r="G197" s="82"/>
      <c r="H197" s="82"/>
      <c r="I197" s="82"/>
      <c r="J197" s="82"/>
      <c r="K197" s="89"/>
      <c r="L197" s="82"/>
    </row>
    <row r="198" spans="1:12" ht="14.5">
      <c r="A198" s="57" t="str">
        <f t="shared" si="10"/>
        <v/>
      </c>
      <c r="B198" s="57" t="str">
        <f t="shared" si="11"/>
        <v/>
      </c>
      <c r="C198" s="82"/>
      <c r="D198" s="82"/>
      <c r="E198" s="82"/>
      <c r="F198" s="82"/>
      <c r="G198" s="82"/>
      <c r="H198" s="82"/>
      <c r="I198" s="82"/>
      <c r="J198" s="82"/>
      <c r="K198" s="89"/>
      <c r="L198" s="82"/>
    </row>
    <row r="199" spans="1:12" ht="14.5">
      <c r="A199" s="57" t="str">
        <f t="shared" si="10"/>
        <v/>
      </c>
      <c r="B199" s="57" t="str">
        <f t="shared" si="11"/>
        <v/>
      </c>
      <c r="C199" s="82"/>
      <c r="D199" s="82"/>
      <c r="E199" s="82"/>
      <c r="F199" s="82"/>
      <c r="G199" s="82"/>
      <c r="H199" s="82"/>
      <c r="I199" s="82"/>
      <c r="J199" s="82"/>
      <c r="K199" s="89"/>
      <c r="L199" s="82"/>
    </row>
    <row r="200" spans="1:12" ht="14.5">
      <c r="A200" s="57" t="str">
        <f t="shared" si="10"/>
        <v/>
      </c>
      <c r="B200" s="57" t="str">
        <f t="shared" si="11"/>
        <v/>
      </c>
      <c r="C200" s="82"/>
      <c r="D200" s="82"/>
      <c r="E200" s="82"/>
      <c r="F200" s="82"/>
      <c r="G200" s="82"/>
      <c r="H200" s="82"/>
      <c r="I200" s="82"/>
      <c r="J200" s="82"/>
      <c r="K200" s="89"/>
      <c r="L200" s="82"/>
    </row>
    <row r="201" spans="1:12" ht="14.5">
      <c r="A201" s="57" t="str">
        <f t="shared" si="10"/>
        <v/>
      </c>
      <c r="B201" s="57" t="str">
        <f t="shared" si="11"/>
        <v/>
      </c>
      <c r="C201" s="82"/>
      <c r="D201" s="82"/>
      <c r="E201" s="82"/>
      <c r="F201" s="82"/>
      <c r="G201" s="82"/>
      <c r="H201" s="82"/>
      <c r="I201" s="82"/>
      <c r="J201" s="82"/>
      <c r="K201" s="89"/>
      <c r="L201" s="82"/>
    </row>
    <row r="202" spans="1:12" ht="14.5">
      <c r="A202" s="57" t="str">
        <f t="shared" si="10"/>
        <v/>
      </c>
      <c r="B202" s="57" t="str">
        <f t="shared" si="11"/>
        <v/>
      </c>
      <c r="C202" s="82"/>
      <c r="D202" s="82"/>
      <c r="E202" s="82"/>
      <c r="F202" s="82"/>
      <c r="G202" s="82"/>
      <c r="H202" s="82"/>
      <c r="I202" s="82"/>
      <c r="J202" s="82"/>
      <c r="K202" s="89"/>
      <c r="L202" s="82"/>
    </row>
    <row r="203" spans="1:12" ht="14.5">
      <c r="A203" s="57" t="str">
        <f t="shared" si="10"/>
        <v/>
      </c>
      <c r="B203" s="57" t="str">
        <f t="shared" si="11"/>
        <v/>
      </c>
      <c r="C203" s="82"/>
      <c r="D203" s="82"/>
      <c r="E203" s="82"/>
      <c r="F203" s="82"/>
      <c r="G203" s="82"/>
      <c r="H203" s="82"/>
      <c r="I203" s="82"/>
      <c r="J203" s="82"/>
      <c r="K203" s="89"/>
      <c r="L203" s="82"/>
    </row>
    <row r="204" spans="1:12" ht="14.5">
      <c r="A204" s="57" t="str">
        <f t="shared" si="10"/>
        <v/>
      </c>
      <c r="B204" s="57" t="str">
        <f t="shared" si="11"/>
        <v/>
      </c>
      <c r="C204" s="82"/>
      <c r="D204" s="82"/>
      <c r="E204" s="82"/>
      <c r="F204" s="82"/>
      <c r="G204" s="82"/>
      <c r="H204" s="82"/>
      <c r="I204" s="82"/>
      <c r="J204" s="82"/>
      <c r="K204" s="89"/>
      <c r="L204" s="82"/>
    </row>
    <row r="205" spans="1:12" ht="14.5">
      <c r="A205" s="57" t="str">
        <f t="shared" si="10"/>
        <v/>
      </c>
      <c r="B205" s="57" t="str">
        <f t="shared" si="11"/>
        <v/>
      </c>
      <c r="C205" s="82"/>
      <c r="D205" s="82"/>
      <c r="E205" s="82"/>
      <c r="F205" s="82"/>
      <c r="G205" s="82"/>
      <c r="H205" s="82"/>
      <c r="I205" s="82"/>
      <c r="J205" s="82"/>
      <c r="K205" s="89"/>
      <c r="L205" s="82"/>
    </row>
    <row r="206" spans="1:12" ht="14.5">
      <c r="A206" s="57" t="str">
        <f t="shared" si="10"/>
        <v/>
      </c>
      <c r="B206" s="57" t="str">
        <f t="shared" si="11"/>
        <v/>
      </c>
      <c r="C206" s="82"/>
      <c r="D206" s="82"/>
      <c r="E206" s="82"/>
      <c r="F206" s="82"/>
      <c r="G206" s="82"/>
      <c r="H206" s="82"/>
      <c r="I206" s="82"/>
      <c r="J206" s="82"/>
      <c r="K206" s="89"/>
      <c r="L206" s="82"/>
    </row>
    <row r="207" spans="1:12" ht="14.5">
      <c r="A207" s="57" t="str">
        <f t="shared" si="10"/>
        <v/>
      </c>
      <c r="B207" s="57" t="str">
        <f t="shared" si="11"/>
        <v/>
      </c>
      <c r="C207" s="82"/>
      <c r="D207" s="82"/>
      <c r="E207" s="82"/>
      <c r="F207" s="82"/>
      <c r="G207" s="82"/>
      <c r="H207" s="82"/>
      <c r="I207" s="82"/>
      <c r="J207" s="82"/>
      <c r="K207" s="89"/>
      <c r="L207" s="82"/>
    </row>
    <row r="208" spans="1:12" ht="14.5">
      <c r="A208" s="57" t="str">
        <f t="shared" si="10"/>
        <v/>
      </c>
      <c r="B208" s="57" t="str">
        <f t="shared" si="11"/>
        <v/>
      </c>
      <c r="C208" s="82"/>
      <c r="D208" s="82"/>
      <c r="E208" s="82"/>
      <c r="F208" s="82"/>
      <c r="G208" s="82"/>
      <c r="H208" s="82"/>
      <c r="I208" s="82"/>
      <c r="J208" s="82"/>
      <c r="K208" s="89"/>
      <c r="L208" s="82"/>
    </row>
    <row r="209" spans="1:12" ht="14.5">
      <c r="A209" s="57" t="str">
        <f t="shared" si="10"/>
        <v/>
      </c>
      <c r="B209" s="57" t="str">
        <f t="shared" si="11"/>
        <v/>
      </c>
      <c r="C209" s="82"/>
      <c r="D209" s="82"/>
      <c r="E209" s="82"/>
      <c r="F209" s="82"/>
      <c r="G209" s="82"/>
      <c r="H209" s="82"/>
      <c r="I209" s="82"/>
      <c r="J209" s="82"/>
      <c r="K209" s="89"/>
      <c r="L209" s="82"/>
    </row>
    <row r="210" spans="1:12" ht="14.5">
      <c r="A210" s="57" t="str">
        <f t="shared" si="10"/>
        <v/>
      </c>
      <c r="B210" s="57" t="str">
        <f t="shared" si="11"/>
        <v/>
      </c>
      <c r="C210" s="82"/>
      <c r="D210" s="82"/>
      <c r="E210" s="82"/>
      <c r="F210" s="82"/>
      <c r="G210" s="82"/>
      <c r="H210" s="82"/>
      <c r="I210" s="82"/>
      <c r="J210" s="82"/>
      <c r="K210" s="89"/>
      <c r="L210" s="82"/>
    </row>
    <row r="211" spans="1:12" ht="14.5">
      <c r="A211" s="57" t="str">
        <f t="shared" si="10"/>
        <v/>
      </c>
      <c r="B211" s="57" t="str">
        <f t="shared" si="11"/>
        <v/>
      </c>
      <c r="C211" s="82"/>
      <c r="D211" s="82"/>
      <c r="E211" s="82"/>
      <c r="F211" s="82"/>
      <c r="G211" s="82"/>
      <c r="H211" s="82"/>
      <c r="I211" s="82"/>
      <c r="J211" s="82"/>
      <c r="K211" s="89"/>
      <c r="L211" s="82"/>
    </row>
    <row r="212" spans="1:12" ht="14.5">
      <c r="A212" s="57" t="str">
        <f t="shared" si="10"/>
        <v/>
      </c>
      <c r="B212" s="57" t="str">
        <f t="shared" si="11"/>
        <v/>
      </c>
      <c r="C212" s="82"/>
      <c r="D212" s="82"/>
      <c r="E212" s="82"/>
      <c r="F212" s="82"/>
      <c r="G212" s="82"/>
      <c r="H212" s="82"/>
      <c r="I212" s="82"/>
      <c r="J212" s="82"/>
      <c r="K212" s="89"/>
      <c r="L212" s="82"/>
    </row>
    <row r="213" spans="1:12" ht="14.5">
      <c r="A213" s="57" t="str">
        <f t="shared" si="10"/>
        <v/>
      </c>
      <c r="B213" s="57" t="str">
        <f t="shared" si="11"/>
        <v/>
      </c>
      <c r="C213" s="82"/>
      <c r="D213" s="82"/>
      <c r="E213" s="82"/>
      <c r="F213" s="82"/>
      <c r="G213" s="82"/>
      <c r="H213" s="82"/>
      <c r="I213" s="82"/>
      <c r="J213" s="82"/>
      <c r="K213" s="89"/>
      <c r="L213" s="82"/>
    </row>
    <row r="214" spans="1:12" ht="14.5">
      <c r="A214" s="57" t="str">
        <f t="shared" si="10"/>
        <v/>
      </c>
      <c r="B214" s="57" t="str">
        <f t="shared" si="11"/>
        <v/>
      </c>
      <c r="C214" s="82"/>
      <c r="D214" s="82"/>
      <c r="E214" s="82"/>
      <c r="F214" s="82"/>
      <c r="G214" s="82"/>
      <c r="H214" s="82"/>
      <c r="I214" s="82"/>
      <c r="J214" s="82"/>
      <c r="K214" s="89"/>
      <c r="L214" s="82"/>
    </row>
    <row r="215" spans="1:12" ht="14.5">
      <c r="A215" s="57" t="str">
        <f t="shared" si="10"/>
        <v/>
      </c>
      <c r="B215" s="57" t="str">
        <f t="shared" si="11"/>
        <v/>
      </c>
      <c r="C215" s="82"/>
      <c r="D215" s="82"/>
      <c r="E215" s="82"/>
      <c r="F215" s="82"/>
      <c r="G215" s="82"/>
      <c r="H215" s="82"/>
      <c r="I215" s="82"/>
      <c r="J215" s="82"/>
      <c r="K215" s="89"/>
      <c r="L215" s="82"/>
    </row>
    <row r="216" spans="1:12" ht="14.5">
      <c r="A216" s="57" t="str">
        <f t="shared" si="10"/>
        <v/>
      </c>
      <c r="B216" s="57" t="str">
        <f t="shared" si="11"/>
        <v/>
      </c>
      <c r="C216" s="82"/>
      <c r="D216" s="82"/>
      <c r="E216" s="82"/>
      <c r="F216" s="82"/>
      <c r="G216" s="82"/>
      <c r="H216" s="82"/>
      <c r="I216" s="82"/>
      <c r="J216" s="82"/>
      <c r="K216" s="89"/>
      <c r="L216" s="82"/>
    </row>
    <row r="217" spans="1:12" ht="14.5">
      <c r="A217" s="57" t="str">
        <f t="shared" si="10"/>
        <v/>
      </c>
      <c r="B217" s="57" t="str">
        <f t="shared" si="11"/>
        <v/>
      </c>
      <c r="C217" s="82"/>
      <c r="D217" s="82"/>
      <c r="E217" s="82"/>
      <c r="F217" s="82"/>
      <c r="G217" s="82"/>
      <c r="H217" s="82"/>
      <c r="I217" s="82"/>
      <c r="J217" s="82"/>
      <c r="K217" s="89"/>
      <c r="L217" s="82"/>
    </row>
    <row r="218" spans="1:12" ht="14.5">
      <c r="A218" s="57" t="str">
        <f t="shared" si="10"/>
        <v/>
      </c>
      <c r="B218" s="57" t="str">
        <f t="shared" si="11"/>
        <v/>
      </c>
      <c r="C218" s="82"/>
      <c r="D218" s="82"/>
      <c r="E218" s="82"/>
      <c r="F218" s="82"/>
      <c r="G218" s="82"/>
      <c r="H218" s="82"/>
      <c r="I218" s="82"/>
      <c r="J218" s="82"/>
      <c r="K218" s="89"/>
      <c r="L218" s="82"/>
    </row>
    <row r="219" spans="1:12" ht="14.5">
      <c r="A219" s="57" t="str">
        <f t="shared" si="10"/>
        <v/>
      </c>
      <c r="B219" s="57" t="str">
        <f t="shared" si="11"/>
        <v/>
      </c>
      <c r="C219" s="82"/>
      <c r="D219" s="82"/>
      <c r="E219" s="82"/>
      <c r="F219" s="82"/>
      <c r="G219" s="82"/>
      <c r="H219" s="82"/>
      <c r="I219" s="82"/>
      <c r="J219" s="82"/>
      <c r="K219" s="89"/>
      <c r="L219" s="82"/>
    </row>
    <row r="220" spans="1:12" ht="14.5">
      <c r="A220" s="57" t="str">
        <f t="shared" si="10"/>
        <v/>
      </c>
      <c r="B220" s="57" t="str">
        <f t="shared" si="11"/>
        <v/>
      </c>
      <c r="C220" s="82"/>
      <c r="D220" s="82"/>
      <c r="E220" s="82"/>
      <c r="F220" s="82"/>
      <c r="G220" s="82"/>
      <c r="H220" s="82"/>
      <c r="I220" s="82"/>
      <c r="J220" s="82"/>
      <c r="K220" s="89"/>
      <c r="L220" s="82"/>
    </row>
    <row r="221" spans="1:12" ht="14.5">
      <c r="A221" s="57" t="str">
        <f t="shared" si="10"/>
        <v/>
      </c>
      <c r="B221" s="57" t="str">
        <f t="shared" si="11"/>
        <v/>
      </c>
      <c r="C221" s="82"/>
      <c r="D221" s="82"/>
      <c r="E221" s="82"/>
      <c r="F221" s="82"/>
      <c r="G221" s="82"/>
      <c r="H221" s="82"/>
      <c r="I221" s="82"/>
      <c r="J221" s="82"/>
      <c r="K221" s="89"/>
      <c r="L221" s="82"/>
    </row>
    <row r="222" spans="1:12" ht="14.5">
      <c r="A222" s="57" t="str">
        <f t="shared" si="10"/>
        <v/>
      </c>
      <c r="B222" s="57" t="str">
        <f t="shared" si="11"/>
        <v/>
      </c>
      <c r="C222" s="82"/>
      <c r="D222" s="82"/>
      <c r="E222" s="82"/>
      <c r="F222" s="82"/>
      <c r="G222" s="82"/>
      <c r="H222" s="82"/>
      <c r="I222" s="82"/>
      <c r="J222" s="82"/>
      <c r="K222" s="89"/>
      <c r="L222" s="82"/>
    </row>
    <row r="223" spans="1:12" ht="14.5">
      <c r="A223" s="57" t="str">
        <f t="shared" si="10"/>
        <v/>
      </c>
      <c r="B223" s="57" t="str">
        <f t="shared" si="11"/>
        <v/>
      </c>
      <c r="C223" s="82"/>
      <c r="D223" s="82"/>
      <c r="E223" s="82"/>
      <c r="F223" s="82"/>
      <c r="G223" s="82"/>
      <c r="H223" s="82"/>
      <c r="I223" s="82"/>
      <c r="J223" s="82"/>
      <c r="K223" s="89"/>
      <c r="L223" s="82"/>
    </row>
    <row r="224" spans="1:12" ht="14.5">
      <c r="A224" s="57" t="str">
        <f t="shared" si="10"/>
        <v/>
      </c>
      <c r="B224" s="57" t="str">
        <f t="shared" si="11"/>
        <v/>
      </c>
      <c r="C224" s="82"/>
      <c r="D224" s="82"/>
      <c r="E224" s="82"/>
      <c r="F224" s="82"/>
      <c r="G224" s="82"/>
      <c r="H224" s="82"/>
      <c r="I224" s="82"/>
      <c r="J224" s="82"/>
      <c r="K224" s="89"/>
      <c r="L224" s="82"/>
    </row>
    <row r="225" spans="1:12" ht="14.5">
      <c r="A225" s="57" t="str">
        <f t="shared" si="10"/>
        <v/>
      </c>
      <c r="B225" s="57" t="str">
        <f t="shared" si="11"/>
        <v/>
      </c>
      <c r="C225" s="82"/>
      <c r="D225" s="82"/>
      <c r="E225" s="82"/>
      <c r="F225" s="82"/>
      <c r="G225" s="82"/>
      <c r="H225" s="82"/>
      <c r="I225" s="82"/>
      <c r="J225" s="82"/>
      <c r="K225" s="89"/>
      <c r="L225" s="82"/>
    </row>
    <row r="226" spans="1:12" ht="14.5">
      <c r="A226" s="57" t="str">
        <f t="shared" si="10"/>
        <v/>
      </c>
      <c r="B226" s="57" t="str">
        <f t="shared" si="11"/>
        <v/>
      </c>
      <c r="C226" s="82"/>
      <c r="D226" s="82"/>
      <c r="E226" s="82"/>
      <c r="F226" s="82"/>
      <c r="G226" s="82"/>
      <c r="H226" s="82"/>
      <c r="I226" s="82"/>
      <c r="J226" s="82"/>
      <c r="K226" s="89"/>
      <c r="L226" s="82"/>
    </row>
    <row r="227" spans="1:12" ht="14.5">
      <c r="A227" s="57" t="str">
        <f t="shared" si="10"/>
        <v/>
      </c>
      <c r="B227" s="57" t="str">
        <f t="shared" si="11"/>
        <v/>
      </c>
      <c r="C227" s="82"/>
      <c r="D227" s="82"/>
      <c r="E227" s="82"/>
      <c r="F227" s="82"/>
      <c r="G227" s="82"/>
      <c r="H227" s="82"/>
      <c r="I227" s="82"/>
      <c r="J227" s="82"/>
      <c r="K227" s="89"/>
      <c r="L227" s="82"/>
    </row>
    <row r="228" spans="1:12" ht="14.5">
      <c r="A228" s="57" t="str">
        <f t="shared" si="10"/>
        <v/>
      </c>
      <c r="B228" s="57" t="str">
        <f t="shared" si="11"/>
        <v/>
      </c>
      <c r="C228" s="82"/>
      <c r="D228" s="82"/>
      <c r="E228" s="82"/>
      <c r="F228" s="82"/>
      <c r="G228" s="82"/>
      <c r="H228" s="82"/>
      <c r="I228" s="82"/>
      <c r="J228" s="82"/>
      <c r="K228" s="89"/>
      <c r="L228" s="82"/>
    </row>
    <row r="229" spans="1:12" ht="14.5">
      <c r="A229" s="2" t="str">
        <f t="shared" ref="A229:A292" si="12">+C229&amp;G229&amp;H229&amp;D229</f>
        <v/>
      </c>
      <c r="B229" s="2" t="str">
        <f t="shared" ref="B229:B292" si="13">+C229&amp;G229&amp;H229&amp;D229&amp;K229</f>
        <v/>
      </c>
      <c r="C229" s="82"/>
      <c r="D229" s="82"/>
      <c r="E229" s="82"/>
      <c r="F229" s="82"/>
      <c r="G229" s="82"/>
      <c r="H229" s="82"/>
      <c r="I229" s="82"/>
      <c r="J229" s="82"/>
      <c r="K229" s="89"/>
      <c r="L229" s="82"/>
    </row>
    <row r="230" spans="1:12" ht="14.5">
      <c r="A230" s="2" t="str">
        <f t="shared" si="12"/>
        <v/>
      </c>
      <c r="B230" s="2" t="str">
        <f t="shared" si="13"/>
        <v/>
      </c>
      <c r="C230" s="82"/>
      <c r="D230" s="82"/>
      <c r="E230" s="82"/>
      <c r="F230" s="82"/>
      <c r="G230" s="82"/>
      <c r="H230" s="82"/>
      <c r="I230" s="82"/>
      <c r="J230" s="82"/>
      <c r="K230" s="89"/>
      <c r="L230" s="82"/>
    </row>
    <row r="231" spans="1:12" ht="14.5">
      <c r="A231" s="2" t="str">
        <f t="shared" si="12"/>
        <v/>
      </c>
      <c r="B231" s="2" t="str">
        <f t="shared" si="13"/>
        <v/>
      </c>
      <c r="C231" s="82"/>
      <c r="D231" s="82"/>
      <c r="E231" s="82"/>
      <c r="F231" s="82"/>
      <c r="G231" s="82"/>
      <c r="H231" s="82"/>
      <c r="I231" s="82"/>
      <c r="J231" s="82"/>
      <c r="K231" s="89"/>
      <c r="L231" s="82"/>
    </row>
    <row r="232" spans="1:12" ht="14.5">
      <c r="A232" s="2" t="str">
        <f t="shared" si="12"/>
        <v/>
      </c>
      <c r="B232" s="2" t="str">
        <f t="shared" si="13"/>
        <v/>
      </c>
      <c r="C232" s="82"/>
      <c r="D232" s="82"/>
      <c r="E232" s="82"/>
      <c r="F232" s="82"/>
      <c r="G232" s="82"/>
      <c r="H232" s="82"/>
      <c r="I232" s="82"/>
      <c r="J232" s="82"/>
      <c r="K232" s="89"/>
      <c r="L232" s="82"/>
    </row>
    <row r="233" spans="1:12" ht="14.5">
      <c r="A233" s="2" t="str">
        <f t="shared" si="12"/>
        <v/>
      </c>
      <c r="B233" s="2" t="str">
        <f t="shared" si="13"/>
        <v/>
      </c>
      <c r="C233" s="82"/>
      <c r="D233" s="82"/>
      <c r="E233" s="82"/>
      <c r="F233" s="82"/>
      <c r="G233" s="82"/>
      <c r="H233" s="82"/>
      <c r="I233" s="82"/>
      <c r="J233" s="82"/>
      <c r="K233" s="89"/>
      <c r="L233" s="82"/>
    </row>
    <row r="234" spans="1:12" ht="14.5">
      <c r="A234" s="2" t="str">
        <f t="shared" si="12"/>
        <v/>
      </c>
      <c r="B234" s="2" t="str">
        <f t="shared" si="13"/>
        <v/>
      </c>
      <c r="C234" s="82"/>
      <c r="D234" s="82"/>
      <c r="E234" s="82"/>
      <c r="F234" s="82"/>
      <c r="G234" s="82"/>
      <c r="H234" s="82"/>
      <c r="I234" s="82"/>
      <c r="J234" s="82"/>
      <c r="K234" s="89"/>
      <c r="L234" s="82"/>
    </row>
    <row r="235" spans="1:12" ht="14.5">
      <c r="A235" s="2" t="str">
        <f t="shared" si="12"/>
        <v/>
      </c>
      <c r="B235" s="2" t="str">
        <f t="shared" si="13"/>
        <v/>
      </c>
      <c r="C235" s="82"/>
      <c r="D235" s="82"/>
      <c r="E235" s="82"/>
      <c r="F235" s="82"/>
      <c r="G235" s="82"/>
      <c r="H235" s="82"/>
      <c r="I235" s="82"/>
      <c r="J235" s="82"/>
      <c r="K235" s="89"/>
      <c r="L235" s="82"/>
    </row>
    <row r="236" spans="1:12" ht="14.5">
      <c r="A236" s="2" t="str">
        <f t="shared" si="12"/>
        <v/>
      </c>
      <c r="B236" s="2" t="str">
        <f t="shared" si="13"/>
        <v/>
      </c>
      <c r="C236" s="82"/>
      <c r="D236" s="82"/>
      <c r="E236" s="82"/>
      <c r="F236" s="82"/>
      <c r="G236" s="82"/>
      <c r="H236" s="82"/>
      <c r="I236" s="82"/>
      <c r="J236" s="82"/>
      <c r="K236" s="89"/>
      <c r="L236" s="82"/>
    </row>
    <row r="237" spans="1:12" ht="14.5">
      <c r="A237" s="2" t="str">
        <f t="shared" si="12"/>
        <v/>
      </c>
      <c r="B237" s="2" t="str">
        <f t="shared" si="13"/>
        <v/>
      </c>
      <c r="C237" s="82"/>
      <c r="D237" s="82"/>
      <c r="E237" s="82"/>
      <c r="F237" s="82"/>
      <c r="G237" s="82"/>
      <c r="H237" s="82"/>
      <c r="I237" s="82"/>
      <c r="J237" s="82"/>
      <c r="K237" s="89"/>
      <c r="L237" s="82"/>
    </row>
    <row r="238" spans="1:12" ht="14.5">
      <c r="A238" s="2" t="str">
        <f t="shared" si="12"/>
        <v/>
      </c>
      <c r="B238" s="2" t="str">
        <f t="shared" si="13"/>
        <v/>
      </c>
      <c r="C238" s="82"/>
      <c r="D238" s="82"/>
      <c r="E238" s="82"/>
      <c r="F238" s="82"/>
      <c r="G238" s="82"/>
      <c r="H238" s="82"/>
      <c r="I238" s="82"/>
      <c r="J238" s="82"/>
      <c r="K238" s="89"/>
      <c r="L238" s="82"/>
    </row>
    <row r="239" spans="1:12" ht="14.5">
      <c r="A239" s="2" t="str">
        <f t="shared" si="12"/>
        <v/>
      </c>
      <c r="B239" s="2" t="str">
        <f t="shared" si="13"/>
        <v/>
      </c>
      <c r="C239" s="82"/>
      <c r="D239" s="82"/>
      <c r="E239" s="82"/>
      <c r="F239" s="82"/>
      <c r="G239" s="82"/>
      <c r="H239" s="82"/>
      <c r="I239" s="82"/>
      <c r="J239" s="82"/>
      <c r="K239" s="89"/>
      <c r="L239" s="82"/>
    </row>
    <row r="240" spans="1:12" ht="14.5">
      <c r="A240" s="2" t="str">
        <f t="shared" si="12"/>
        <v/>
      </c>
      <c r="B240" s="2" t="str">
        <f t="shared" si="13"/>
        <v/>
      </c>
      <c r="C240" s="82"/>
      <c r="D240" s="82"/>
      <c r="E240" s="82"/>
      <c r="F240" s="82"/>
      <c r="G240" s="82"/>
      <c r="H240" s="82"/>
      <c r="I240" s="82"/>
      <c r="J240" s="82"/>
      <c r="K240" s="89"/>
      <c r="L240" s="82"/>
    </row>
    <row r="241" spans="1:12" ht="14.5">
      <c r="A241" s="2" t="str">
        <f t="shared" si="12"/>
        <v/>
      </c>
      <c r="B241" s="2" t="str">
        <f t="shared" si="13"/>
        <v/>
      </c>
      <c r="C241" s="82"/>
      <c r="D241" s="82"/>
      <c r="E241" s="82"/>
      <c r="F241" s="82"/>
      <c r="G241" s="82"/>
      <c r="H241" s="82"/>
      <c r="I241" s="82"/>
      <c r="J241" s="82"/>
      <c r="K241" s="89"/>
      <c r="L241" s="82"/>
    </row>
    <row r="242" spans="1:12" ht="14.5">
      <c r="A242" s="2" t="str">
        <f t="shared" si="12"/>
        <v/>
      </c>
      <c r="B242" s="2" t="str">
        <f t="shared" si="13"/>
        <v/>
      </c>
      <c r="C242" s="82"/>
      <c r="D242" s="82"/>
      <c r="E242" s="82"/>
      <c r="F242" s="82"/>
      <c r="G242" s="82"/>
      <c r="H242" s="82"/>
      <c r="I242" s="82"/>
      <c r="J242" s="82"/>
      <c r="K242" s="89"/>
      <c r="L242" s="82"/>
    </row>
    <row r="243" spans="1:12" ht="14.5">
      <c r="A243" s="2" t="str">
        <f t="shared" si="12"/>
        <v/>
      </c>
      <c r="B243" s="2" t="str">
        <f t="shared" si="13"/>
        <v/>
      </c>
      <c r="C243" s="82"/>
      <c r="D243" s="82"/>
      <c r="E243" s="82"/>
      <c r="F243" s="82"/>
      <c r="G243" s="82"/>
      <c r="H243" s="82"/>
      <c r="I243" s="82"/>
      <c r="J243" s="82"/>
      <c r="K243" s="89"/>
      <c r="L243" s="82"/>
    </row>
    <row r="244" spans="1:12" ht="14.5">
      <c r="A244" s="2" t="str">
        <f t="shared" si="12"/>
        <v/>
      </c>
      <c r="B244" s="2" t="str">
        <f t="shared" si="13"/>
        <v/>
      </c>
      <c r="C244" s="82"/>
      <c r="D244" s="82"/>
      <c r="E244" s="82"/>
      <c r="F244" s="82"/>
      <c r="G244" s="82"/>
      <c r="H244" s="82"/>
      <c r="I244" s="82"/>
      <c r="J244" s="82"/>
      <c r="K244" s="89"/>
      <c r="L244" s="82"/>
    </row>
    <row r="245" spans="1:12" ht="14.5">
      <c r="A245" s="2" t="str">
        <f t="shared" si="12"/>
        <v/>
      </c>
      <c r="B245" s="2" t="str">
        <f t="shared" si="13"/>
        <v/>
      </c>
      <c r="C245" s="82"/>
      <c r="D245" s="82"/>
      <c r="E245" s="82"/>
      <c r="F245" s="82"/>
      <c r="G245" s="82"/>
      <c r="H245" s="82"/>
      <c r="I245" s="82"/>
      <c r="J245" s="82"/>
      <c r="K245" s="89"/>
      <c r="L245" s="82"/>
    </row>
    <row r="246" spans="1:12" ht="14.5">
      <c r="A246" s="2" t="str">
        <f t="shared" si="12"/>
        <v/>
      </c>
      <c r="B246" s="2" t="str">
        <f t="shared" si="13"/>
        <v/>
      </c>
      <c r="C246" s="82"/>
      <c r="D246" s="82"/>
      <c r="E246" s="82"/>
      <c r="F246" s="82"/>
      <c r="G246" s="82"/>
      <c r="H246" s="82"/>
      <c r="I246" s="82"/>
      <c r="J246" s="82"/>
      <c r="K246" s="89"/>
      <c r="L246" s="82"/>
    </row>
    <row r="247" spans="1:12" ht="14.5">
      <c r="A247" s="2" t="str">
        <f t="shared" si="12"/>
        <v/>
      </c>
      <c r="B247" s="2" t="str">
        <f t="shared" si="13"/>
        <v/>
      </c>
      <c r="C247" s="82"/>
      <c r="D247" s="82"/>
      <c r="E247" s="82"/>
      <c r="F247" s="82"/>
      <c r="G247" s="82"/>
      <c r="H247" s="82"/>
      <c r="I247" s="82"/>
      <c r="J247" s="82"/>
      <c r="K247" s="89"/>
      <c r="L247" s="82"/>
    </row>
    <row r="248" spans="1:12" ht="14.5">
      <c r="A248" s="2" t="str">
        <f t="shared" si="12"/>
        <v/>
      </c>
      <c r="B248" s="2" t="str">
        <f t="shared" si="13"/>
        <v/>
      </c>
      <c r="C248" s="82"/>
      <c r="D248" s="82"/>
      <c r="E248" s="82"/>
      <c r="F248" s="82"/>
      <c r="G248" s="82"/>
      <c r="H248" s="82"/>
      <c r="I248" s="82"/>
      <c r="J248" s="82"/>
      <c r="K248" s="89"/>
      <c r="L248" s="82"/>
    </row>
    <row r="249" spans="1:12" ht="14.5">
      <c r="A249" s="2" t="str">
        <f t="shared" si="12"/>
        <v/>
      </c>
      <c r="B249" s="2" t="str">
        <f t="shared" si="13"/>
        <v/>
      </c>
      <c r="C249" s="82"/>
      <c r="D249" s="82"/>
      <c r="E249" s="82"/>
      <c r="F249" s="82"/>
      <c r="G249" s="82"/>
      <c r="H249" s="82"/>
      <c r="I249" s="82"/>
      <c r="J249" s="82"/>
      <c r="K249" s="89"/>
      <c r="L249" s="82"/>
    </row>
    <row r="250" spans="1:12" ht="14.5">
      <c r="A250" s="2" t="str">
        <f t="shared" si="12"/>
        <v/>
      </c>
      <c r="B250" s="2" t="str">
        <f t="shared" si="13"/>
        <v/>
      </c>
      <c r="C250" s="82"/>
      <c r="D250" s="82"/>
      <c r="E250" s="82"/>
      <c r="F250" s="82"/>
      <c r="G250" s="82"/>
      <c r="H250" s="82"/>
      <c r="I250" s="82"/>
      <c r="J250" s="82"/>
      <c r="K250" s="89"/>
      <c r="L250" s="82"/>
    </row>
    <row r="251" spans="1:12" ht="14.5">
      <c r="A251" s="2" t="str">
        <f t="shared" si="12"/>
        <v/>
      </c>
      <c r="B251" s="2" t="str">
        <f t="shared" si="13"/>
        <v/>
      </c>
      <c r="C251" s="82"/>
      <c r="D251" s="82"/>
      <c r="E251" s="82"/>
      <c r="F251" s="82"/>
      <c r="G251" s="82"/>
      <c r="H251" s="82"/>
      <c r="I251" s="82"/>
      <c r="J251" s="82"/>
      <c r="K251" s="89"/>
      <c r="L251" s="82"/>
    </row>
    <row r="252" spans="1:12" ht="14.5">
      <c r="A252" s="2" t="str">
        <f t="shared" si="12"/>
        <v/>
      </c>
      <c r="B252" s="2" t="str">
        <f t="shared" si="13"/>
        <v/>
      </c>
      <c r="C252" s="82"/>
      <c r="D252" s="82"/>
      <c r="E252" s="82"/>
      <c r="F252" s="82"/>
      <c r="G252" s="82"/>
      <c r="H252" s="82"/>
      <c r="I252" s="82"/>
      <c r="J252" s="82"/>
      <c r="K252" s="89"/>
      <c r="L252" s="82"/>
    </row>
    <row r="253" spans="1:12" ht="14.5">
      <c r="A253" s="2" t="str">
        <f t="shared" si="12"/>
        <v/>
      </c>
      <c r="B253" s="2" t="str">
        <f t="shared" si="13"/>
        <v/>
      </c>
      <c r="C253" s="82"/>
      <c r="D253" s="82"/>
      <c r="E253" s="82"/>
      <c r="F253" s="82"/>
      <c r="G253" s="82"/>
      <c r="H253" s="82"/>
      <c r="I253" s="82"/>
      <c r="J253" s="82"/>
      <c r="K253" s="89"/>
      <c r="L253" s="82"/>
    </row>
    <row r="254" spans="1:12" ht="14.5">
      <c r="A254" s="2" t="str">
        <f t="shared" si="12"/>
        <v/>
      </c>
      <c r="B254" s="2" t="str">
        <f t="shared" si="13"/>
        <v/>
      </c>
      <c r="C254" s="82"/>
      <c r="D254" s="82"/>
      <c r="E254" s="82"/>
      <c r="F254" s="82"/>
      <c r="G254" s="82"/>
      <c r="H254" s="82"/>
      <c r="I254" s="82"/>
      <c r="J254" s="82"/>
      <c r="K254" s="89"/>
      <c r="L254" s="82"/>
    </row>
    <row r="255" spans="1:12" ht="14.5">
      <c r="A255" s="2" t="str">
        <f t="shared" si="12"/>
        <v/>
      </c>
      <c r="B255" s="2" t="str">
        <f t="shared" si="13"/>
        <v/>
      </c>
      <c r="C255" s="82"/>
      <c r="D255" s="82"/>
      <c r="E255" s="82"/>
      <c r="F255" s="82"/>
      <c r="G255" s="82"/>
      <c r="H255" s="82"/>
      <c r="I255" s="82"/>
      <c r="J255" s="82"/>
      <c r="K255" s="89"/>
      <c r="L255" s="82"/>
    </row>
    <row r="256" spans="1:12" ht="14.5">
      <c r="A256" s="2" t="str">
        <f t="shared" si="12"/>
        <v/>
      </c>
      <c r="B256" s="2" t="str">
        <f t="shared" si="13"/>
        <v/>
      </c>
      <c r="C256" s="82"/>
      <c r="D256" s="82"/>
      <c r="E256" s="82"/>
      <c r="F256" s="82"/>
      <c r="G256" s="82"/>
      <c r="H256" s="82"/>
      <c r="I256" s="82"/>
      <c r="J256" s="82"/>
      <c r="K256" s="89"/>
      <c r="L256" s="82"/>
    </row>
    <row r="257" spans="1:12" ht="14.5">
      <c r="A257" s="2" t="str">
        <f t="shared" si="12"/>
        <v/>
      </c>
      <c r="B257" s="2" t="str">
        <f t="shared" si="13"/>
        <v/>
      </c>
      <c r="C257" s="82"/>
      <c r="D257" s="82"/>
      <c r="E257" s="82"/>
      <c r="F257" s="82"/>
      <c r="G257" s="82"/>
      <c r="H257" s="82"/>
      <c r="I257" s="82"/>
      <c r="J257" s="82"/>
      <c r="K257" s="89"/>
      <c r="L257" s="82"/>
    </row>
    <row r="258" spans="1:12" ht="14.5">
      <c r="A258" s="2" t="str">
        <f t="shared" si="12"/>
        <v/>
      </c>
      <c r="B258" s="2" t="str">
        <f t="shared" si="13"/>
        <v/>
      </c>
      <c r="C258" s="82"/>
      <c r="D258" s="82"/>
      <c r="E258" s="82"/>
      <c r="F258" s="82"/>
      <c r="G258" s="82"/>
      <c r="H258" s="82"/>
      <c r="I258" s="82"/>
      <c r="J258" s="82"/>
      <c r="K258" s="89"/>
      <c r="L258" s="82"/>
    </row>
    <row r="259" spans="1:12" ht="14.5">
      <c r="A259" s="2" t="str">
        <f t="shared" si="12"/>
        <v/>
      </c>
      <c r="B259" s="2" t="str">
        <f t="shared" si="13"/>
        <v/>
      </c>
      <c r="C259" s="82"/>
      <c r="D259" s="82"/>
      <c r="E259" s="82"/>
      <c r="F259" s="82"/>
      <c r="G259" s="82"/>
      <c r="H259" s="82"/>
      <c r="I259" s="82"/>
      <c r="J259" s="82"/>
      <c r="K259" s="89"/>
      <c r="L259" s="82"/>
    </row>
    <row r="260" spans="1:12" ht="14.5">
      <c r="A260" s="2" t="str">
        <f t="shared" si="12"/>
        <v/>
      </c>
      <c r="B260" s="2" t="str">
        <f t="shared" si="13"/>
        <v/>
      </c>
      <c r="C260" s="82"/>
      <c r="D260" s="82"/>
      <c r="E260" s="82"/>
      <c r="F260" s="82"/>
      <c r="G260" s="82"/>
      <c r="H260" s="82"/>
      <c r="I260" s="82"/>
      <c r="J260" s="82"/>
      <c r="K260" s="89"/>
      <c r="L260" s="82"/>
    </row>
    <row r="261" spans="1:12" ht="14.5">
      <c r="A261" s="2" t="str">
        <f t="shared" si="12"/>
        <v/>
      </c>
      <c r="B261" s="2" t="str">
        <f t="shared" si="13"/>
        <v/>
      </c>
      <c r="C261" s="82"/>
      <c r="D261" s="82"/>
      <c r="E261" s="82"/>
      <c r="F261" s="82"/>
      <c r="G261" s="82"/>
      <c r="H261" s="82"/>
      <c r="I261" s="82"/>
      <c r="J261" s="82"/>
      <c r="K261" s="89"/>
      <c r="L261" s="82"/>
    </row>
    <row r="262" spans="1:12" ht="14.5">
      <c r="A262" s="2" t="str">
        <f t="shared" si="12"/>
        <v/>
      </c>
      <c r="B262" s="2" t="str">
        <f t="shared" si="13"/>
        <v/>
      </c>
      <c r="C262" s="82"/>
      <c r="D262" s="82"/>
      <c r="E262" s="82"/>
      <c r="F262" s="82"/>
      <c r="G262" s="82"/>
      <c r="H262" s="82"/>
      <c r="I262" s="82"/>
      <c r="J262" s="82"/>
      <c r="K262" s="89"/>
      <c r="L262" s="82"/>
    </row>
    <row r="263" spans="1:12" ht="14.5">
      <c r="A263" s="2" t="str">
        <f t="shared" si="12"/>
        <v/>
      </c>
      <c r="B263" s="2" t="str">
        <f t="shared" si="13"/>
        <v/>
      </c>
      <c r="C263" s="82"/>
      <c r="D263" s="82"/>
      <c r="E263" s="82"/>
      <c r="F263" s="82"/>
      <c r="G263" s="82"/>
      <c r="H263" s="82"/>
      <c r="I263" s="82"/>
      <c r="J263" s="82"/>
      <c r="K263" s="89"/>
      <c r="L263" s="82"/>
    </row>
    <row r="264" spans="1:12" ht="14.5">
      <c r="A264" s="2" t="str">
        <f t="shared" si="12"/>
        <v/>
      </c>
      <c r="B264" s="2" t="str">
        <f t="shared" si="13"/>
        <v/>
      </c>
      <c r="C264" s="82"/>
      <c r="D264" s="82"/>
      <c r="E264" s="82"/>
      <c r="F264" s="82"/>
      <c r="G264" s="82"/>
      <c r="H264" s="82"/>
      <c r="I264" s="82"/>
      <c r="J264" s="82"/>
      <c r="K264" s="89"/>
      <c r="L264" s="82"/>
    </row>
    <row r="265" spans="1:12" ht="14.5">
      <c r="A265" s="2" t="str">
        <f t="shared" si="12"/>
        <v/>
      </c>
      <c r="B265" s="2" t="str">
        <f t="shared" si="13"/>
        <v/>
      </c>
      <c r="C265" s="82"/>
      <c r="D265" s="82"/>
      <c r="E265" s="82"/>
      <c r="F265" s="82"/>
      <c r="G265" s="82"/>
      <c r="H265" s="82"/>
      <c r="I265" s="82"/>
      <c r="J265" s="82"/>
      <c r="K265" s="89"/>
      <c r="L265" s="82"/>
    </row>
    <row r="266" spans="1:12" ht="14.5">
      <c r="A266" s="2" t="str">
        <f t="shared" si="12"/>
        <v/>
      </c>
      <c r="B266" s="2" t="str">
        <f t="shared" si="13"/>
        <v/>
      </c>
      <c r="C266" s="82"/>
      <c r="D266" s="82"/>
      <c r="E266" s="82"/>
      <c r="F266" s="82"/>
      <c r="G266" s="82"/>
      <c r="H266" s="82"/>
      <c r="I266" s="82"/>
      <c r="J266" s="82"/>
      <c r="K266" s="89"/>
      <c r="L266" s="82"/>
    </row>
    <row r="267" spans="1:12" ht="14.5">
      <c r="A267" s="2" t="str">
        <f t="shared" si="12"/>
        <v/>
      </c>
      <c r="B267" s="2" t="str">
        <f t="shared" si="13"/>
        <v/>
      </c>
      <c r="C267" s="82"/>
      <c r="D267" s="82"/>
      <c r="E267" s="82"/>
      <c r="F267" s="82"/>
      <c r="G267" s="82"/>
      <c r="H267" s="82"/>
      <c r="I267" s="82"/>
      <c r="J267" s="82"/>
      <c r="K267" s="89"/>
      <c r="L267" s="82"/>
    </row>
    <row r="268" spans="1:12" ht="14.5">
      <c r="A268" s="2" t="str">
        <f t="shared" si="12"/>
        <v/>
      </c>
      <c r="B268" s="2" t="str">
        <f t="shared" si="13"/>
        <v/>
      </c>
      <c r="C268" s="82"/>
      <c r="D268" s="82"/>
      <c r="E268" s="82"/>
      <c r="F268" s="82"/>
      <c r="G268" s="82"/>
      <c r="H268" s="82"/>
      <c r="I268" s="82"/>
      <c r="J268" s="82"/>
      <c r="K268" s="89"/>
      <c r="L268" s="82"/>
    </row>
    <row r="269" spans="1:12" ht="14.5">
      <c r="A269" s="2" t="str">
        <f t="shared" si="12"/>
        <v/>
      </c>
      <c r="B269" s="2" t="str">
        <f t="shared" si="13"/>
        <v/>
      </c>
      <c r="C269" s="82"/>
      <c r="D269" s="82"/>
      <c r="E269" s="82"/>
      <c r="F269" s="82"/>
      <c r="G269" s="82"/>
      <c r="H269" s="82"/>
      <c r="I269" s="82"/>
      <c r="J269" s="82"/>
      <c r="K269" s="89"/>
      <c r="L269" s="82"/>
    </row>
    <row r="270" spans="1:12" ht="14.5">
      <c r="A270" s="2" t="str">
        <f t="shared" si="12"/>
        <v/>
      </c>
      <c r="B270" s="2" t="str">
        <f t="shared" si="13"/>
        <v/>
      </c>
      <c r="C270" s="82"/>
      <c r="D270" s="82"/>
      <c r="E270" s="82"/>
      <c r="F270" s="82"/>
      <c r="G270" s="82"/>
      <c r="H270" s="82"/>
      <c r="I270" s="82"/>
      <c r="J270" s="82"/>
      <c r="K270" s="89"/>
      <c r="L270" s="82"/>
    </row>
    <row r="271" spans="1:12" ht="14.5">
      <c r="A271" s="2" t="str">
        <f t="shared" si="12"/>
        <v/>
      </c>
      <c r="B271" s="2" t="str">
        <f t="shared" si="13"/>
        <v/>
      </c>
      <c r="C271" s="82"/>
      <c r="D271" s="82"/>
      <c r="E271" s="82"/>
      <c r="F271" s="82"/>
      <c r="G271" s="82"/>
      <c r="H271" s="82"/>
      <c r="I271" s="82"/>
      <c r="J271" s="82"/>
      <c r="K271" s="89"/>
      <c r="L271" s="82"/>
    </row>
    <row r="272" spans="1:12" ht="14.5">
      <c r="A272" s="2" t="str">
        <f t="shared" si="12"/>
        <v/>
      </c>
      <c r="B272" s="2" t="str">
        <f t="shared" si="13"/>
        <v/>
      </c>
      <c r="C272" s="82"/>
      <c r="D272" s="82"/>
      <c r="E272" s="82"/>
      <c r="F272" s="82"/>
      <c r="G272" s="82"/>
      <c r="H272" s="82"/>
      <c r="I272" s="82"/>
      <c r="J272" s="82"/>
      <c r="K272" s="89"/>
      <c r="L272" s="82"/>
    </row>
    <row r="273" spans="1:12" ht="14.5">
      <c r="A273" s="2" t="str">
        <f t="shared" si="12"/>
        <v/>
      </c>
      <c r="B273" s="2" t="str">
        <f t="shared" si="13"/>
        <v/>
      </c>
      <c r="C273" s="82"/>
      <c r="D273" s="82"/>
      <c r="E273" s="82"/>
      <c r="F273" s="82"/>
      <c r="G273" s="82"/>
      <c r="H273" s="82"/>
      <c r="I273" s="82"/>
      <c r="J273" s="82"/>
      <c r="K273" s="89"/>
      <c r="L273" s="82"/>
    </row>
    <row r="274" spans="1:12" ht="14.5">
      <c r="A274" s="2" t="str">
        <f t="shared" si="12"/>
        <v/>
      </c>
      <c r="B274" s="2" t="str">
        <f t="shared" si="13"/>
        <v/>
      </c>
      <c r="C274" s="82"/>
      <c r="D274" s="82"/>
      <c r="E274" s="82"/>
      <c r="F274" s="82"/>
      <c r="G274" s="82"/>
      <c r="H274" s="82"/>
      <c r="I274" s="82"/>
      <c r="J274" s="82"/>
      <c r="K274" s="89"/>
      <c r="L274" s="82"/>
    </row>
    <row r="275" spans="1:12" ht="14.5">
      <c r="A275" s="2" t="str">
        <f t="shared" si="12"/>
        <v/>
      </c>
      <c r="B275" s="2" t="str">
        <f t="shared" si="13"/>
        <v/>
      </c>
      <c r="C275" s="82"/>
      <c r="D275" s="82"/>
      <c r="E275" s="82"/>
      <c r="F275" s="82"/>
      <c r="G275" s="82"/>
      <c r="H275" s="82"/>
      <c r="I275" s="82"/>
      <c r="J275" s="82"/>
      <c r="K275" s="89"/>
      <c r="L275" s="82"/>
    </row>
    <row r="276" spans="1:12" ht="14.5">
      <c r="A276" s="2" t="str">
        <f t="shared" si="12"/>
        <v/>
      </c>
      <c r="B276" s="2" t="str">
        <f t="shared" si="13"/>
        <v/>
      </c>
      <c r="C276" s="82"/>
      <c r="D276" s="82"/>
      <c r="E276" s="82"/>
      <c r="F276" s="82"/>
      <c r="G276" s="82"/>
      <c r="H276" s="82"/>
      <c r="I276" s="82"/>
      <c r="J276" s="82"/>
      <c r="K276" s="89"/>
      <c r="L276" s="82"/>
    </row>
    <row r="277" spans="1:12" ht="14.5">
      <c r="A277" s="2" t="str">
        <f t="shared" si="12"/>
        <v/>
      </c>
      <c r="B277" s="2" t="str">
        <f t="shared" si="13"/>
        <v/>
      </c>
      <c r="C277" s="82"/>
      <c r="D277" s="82"/>
      <c r="E277" s="82"/>
      <c r="F277" s="82"/>
      <c r="G277" s="82"/>
      <c r="H277" s="82"/>
      <c r="I277" s="82"/>
      <c r="J277" s="82"/>
      <c r="K277" s="89"/>
      <c r="L277" s="82"/>
    </row>
    <row r="278" spans="1:12" ht="14.5">
      <c r="A278" s="2" t="str">
        <f t="shared" si="12"/>
        <v/>
      </c>
      <c r="B278" s="2" t="str">
        <f t="shared" si="13"/>
        <v/>
      </c>
      <c r="C278" s="82"/>
      <c r="D278" s="82"/>
      <c r="E278" s="82"/>
      <c r="F278" s="82"/>
      <c r="G278" s="82"/>
      <c r="H278" s="82"/>
      <c r="I278" s="82"/>
      <c r="J278" s="82"/>
      <c r="K278" s="89"/>
      <c r="L278" s="82"/>
    </row>
    <row r="279" spans="1:12" ht="14.5">
      <c r="A279" s="2" t="str">
        <f t="shared" si="12"/>
        <v/>
      </c>
      <c r="B279" s="2" t="str">
        <f t="shared" si="13"/>
        <v/>
      </c>
      <c r="C279" s="82"/>
      <c r="D279" s="82"/>
      <c r="E279" s="82"/>
      <c r="F279" s="82"/>
      <c r="G279" s="82"/>
      <c r="H279" s="82"/>
      <c r="I279" s="82"/>
      <c r="J279" s="82"/>
      <c r="K279" s="89"/>
      <c r="L279" s="82"/>
    </row>
    <row r="280" spans="1:12" ht="14.5">
      <c r="A280" s="2" t="str">
        <f t="shared" si="12"/>
        <v/>
      </c>
      <c r="B280" s="2" t="str">
        <f t="shared" si="13"/>
        <v/>
      </c>
      <c r="C280" s="82"/>
      <c r="D280" s="82"/>
      <c r="E280" s="82"/>
      <c r="F280" s="82"/>
      <c r="G280" s="82"/>
      <c r="H280" s="82"/>
      <c r="I280" s="82"/>
      <c r="J280" s="82"/>
      <c r="K280" s="89"/>
      <c r="L280" s="82"/>
    </row>
    <row r="281" spans="1:12" ht="14.5">
      <c r="A281" s="2" t="str">
        <f t="shared" si="12"/>
        <v/>
      </c>
      <c r="B281" s="2" t="str">
        <f t="shared" si="13"/>
        <v/>
      </c>
      <c r="C281" s="82"/>
      <c r="D281" s="82"/>
      <c r="E281" s="82"/>
      <c r="F281" s="82"/>
      <c r="G281" s="82"/>
      <c r="H281" s="82"/>
      <c r="I281" s="82"/>
      <c r="J281" s="82"/>
      <c r="K281" s="89"/>
      <c r="L281" s="82"/>
    </row>
    <row r="282" spans="1:12" ht="14.5">
      <c r="A282" s="2" t="str">
        <f t="shared" si="12"/>
        <v/>
      </c>
      <c r="B282" s="2" t="str">
        <f t="shared" si="13"/>
        <v/>
      </c>
      <c r="C282" s="82"/>
      <c r="D282" s="82"/>
      <c r="E282" s="82"/>
      <c r="F282" s="82"/>
      <c r="G282" s="82"/>
      <c r="H282" s="82"/>
      <c r="I282" s="82"/>
      <c r="J282" s="82"/>
      <c r="K282" s="89"/>
      <c r="L282" s="82"/>
    </row>
    <row r="283" spans="1:12" ht="14.5">
      <c r="A283" s="2" t="str">
        <f t="shared" si="12"/>
        <v/>
      </c>
      <c r="B283" s="2" t="str">
        <f t="shared" si="13"/>
        <v/>
      </c>
      <c r="C283" s="82"/>
      <c r="D283" s="82"/>
      <c r="E283" s="82"/>
      <c r="F283" s="82"/>
      <c r="G283" s="82"/>
      <c r="H283" s="82"/>
      <c r="I283" s="82"/>
      <c r="J283" s="82"/>
      <c r="K283" s="89"/>
      <c r="L283" s="82"/>
    </row>
    <row r="284" spans="1:12" ht="14.5">
      <c r="A284" s="2" t="str">
        <f t="shared" si="12"/>
        <v/>
      </c>
      <c r="B284" s="2" t="str">
        <f t="shared" si="13"/>
        <v/>
      </c>
      <c r="C284" s="82"/>
      <c r="D284" s="82"/>
      <c r="E284" s="82"/>
      <c r="F284" s="82"/>
      <c r="G284" s="82"/>
      <c r="H284" s="82"/>
      <c r="I284" s="82"/>
      <c r="J284" s="82"/>
      <c r="K284" s="89"/>
      <c r="L284" s="82"/>
    </row>
    <row r="285" spans="1:12" ht="14.5">
      <c r="A285" s="2" t="str">
        <f t="shared" si="12"/>
        <v/>
      </c>
      <c r="B285" s="2" t="str">
        <f t="shared" si="13"/>
        <v/>
      </c>
      <c r="C285" s="82"/>
      <c r="D285" s="82"/>
      <c r="E285" s="82"/>
      <c r="F285" s="82"/>
      <c r="G285" s="82"/>
      <c r="H285" s="82"/>
      <c r="I285" s="82"/>
      <c r="J285" s="82"/>
      <c r="K285" s="89"/>
      <c r="L285" s="82"/>
    </row>
    <row r="286" spans="1:12" ht="14.5">
      <c r="A286" s="2" t="str">
        <f t="shared" si="12"/>
        <v/>
      </c>
      <c r="B286" s="2" t="str">
        <f t="shared" si="13"/>
        <v/>
      </c>
      <c r="C286" s="82"/>
      <c r="D286" s="82"/>
      <c r="E286" s="82"/>
      <c r="F286" s="82"/>
      <c r="G286" s="82"/>
      <c r="H286" s="82"/>
      <c r="I286" s="82"/>
      <c r="J286" s="82"/>
      <c r="K286" s="89"/>
      <c r="L286" s="82"/>
    </row>
    <row r="287" spans="1:12" ht="14.5">
      <c r="A287" s="2" t="str">
        <f t="shared" si="12"/>
        <v/>
      </c>
      <c r="B287" s="2" t="str">
        <f t="shared" si="13"/>
        <v/>
      </c>
      <c r="C287" s="82"/>
      <c r="D287" s="82"/>
      <c r="E287" s="82"/>
      <c r="F287" s="82"/>
      <c r="G287" s="82"/>
      <c r="H287" s="82"/>
      <c r="I287" s="82"/>
      <c r="J287" s="82"/>
      <c r="K287" s="89"/>
      <c r="L287" s="82"/>
    </row>
    <row r="288" spans="1:12" ht="14.5">
      <c r="A288" s="2" t="str">
        <f t="shared" si="12"/>
        <v/>
      </c>
      <c r="B288" s="2" t="str">
        <f t="shared" si="13"/>
        <v/>
      </c>
      <c r="C288" s="82"/>
      <c r="D288" s="82"/>
      <c r="E288" s="82"/>
      <c r="F288" s="82"/>
      <c r="G288" s="82"/>
      <c r="H288" s="82"/>
      <c r="I288" s="82"/>
      <c r="J288" s="82"/>
      <c r="K288" s="89"/>
      <c r="L288" s="82"/>
    </row>
    <row r="289" spans="1:12" ht="14.5">
      <c r="A289" s="2" t="str">
        <f t="shared" si="12"/>
        <v/>
      </c>
      <c r="B289" s="2" t="str">
        <f t="shared" si="13"/>
        <v/>
      </c>
      <c r="C289" s="82"/>
      <c r="D289" s="82"/>
      <c r="E289" s="82"/>
      <c r="F289" s="82"/>
      <c r="G289" s="82"/>
      <c r="H289" s="82"/>
      <c r="I289" s="82"/>
      <c r="J289" s="82"/>
      <c r="K289" s="89"/>
      <c r="L289" s="82"/>
    </row>
    <row r="290" spans="1:12" ht="14.5">
      <c r="A290" s="2" t="str">
        <f t="shared" si="12"/>
        <v/>
      </c>
      <c r="B290" s="2" t="str">
        <f t="shared" si="13"/>
        <v/>
      </c>
      <c r="C290" s="82"/>
      <c r="D290" s="82"/>
      <c r="E290" s="82"/>
      <c r="F290" s="82"/>
      <c r="G290" s="82"/>
      <c r="H290" s="82"/>
      <c r="I290" s="82"/>
      <c r="J290" s="82"/>
      <c r="K290" s="89"/>
      <c r="L290" s="82"/>
    </row>
    <row r="291" spans="1:12" ht="14.5">
      <c r="A291" s="2" t="str">
        <f t="shared" si="12"/>
        <v/>
      </c>
      <c r="B291" s="2" t="str">
        <f t="shared" si="13"/>
        <v/>
      </c>
      <c r="C291" s="82"/>
      <c r="D291" s="82"/>
      <c r="E291" s="82"/>
      <c r="F291" s="82"/>
      <c r="G291" s="82"/>
      <c r="H291" s="82"/>
      <c r="I291" s="82"/>
      <c r="J291" s="82"/>
      <c r="K291" s="89"/>
      <c r="L291" s="82"/>
    </row>
    <row r="292" spans="1:12" ht="14.5">
      <c r="A292" s="2" t="str">
        <f t="shared" si="12"/>
        <v/>
      </c>
      <c r="B292" s="2" t="str">
        <f t="shared" si="13"/>
        <v/>
      </c>
      <c r="C292" s="82"/>
      <c r="D292" s="82"/>
      <c r="E292" s="82"/>
      <c r="F292" s="82"/>
      <c r="G292" s="82"/>
      <c r="H292" s="82"/>
      <c r="I292" s="82"/>
      <c r="J292" s="82"/>
      <c r="K292" s="89"/>
      <c r="L292" s="82"/>
    </row>
    <row r="293" spans="1:12" ht="14.5">
      <c r="A293" s="2" t="str">
        <f t="shared" ref="A293:A308" si="14">+C293&amp;G293&amp;H293&amp;D293</f>
        <v/>
      </c>
      <c r="B293" s="2" t="str">
        <f t="shared" ref="B293:B308" si="15">+C293&amp;G293&amp;H293&amp;D293&amp;K293</f>
        <v/>
      </c>
      <c r="C293" s="82"/>
      <c r="D293" s="82"/>
      <c r="E293" s="82"/>
      <c r="F293" s="82"/>
      <c r="G293" s="82"/>
      <c r="H293" s="82"/>
      <c r="I293" s="82"/>
      <c r="J293" s="82"/>
      <c r="K293" s="89"/>
      <c r="L293" s="82"/>
    </row>
    <row r="294" spans="1:12" ht="14.5">
      <c r="A294" s="2" t="str">
        <f t="shared" si="14"/>
        <v/>
      </c>
      <c r="B294" s="2" t="str">
        <f t="shared" si="15"/>
        <v/>
      </c>
      <c r="C294" s="82"/>
      <c r="D294" s="82"/>
      <c r="E294" s="82"/>
      <c r="F294" s="82"/>
      <c r="G294" s="82"/>
      <c r="H294" s="82"/>
      <c r="I294" s="82"/>
      <c r="J294" s="82"/>
      <c r="K294" s="89"/>
      <c r="L294" s="82"/>
    </row>
    <row r="295" spans="1:12" ht="14.5">
      <c r="A295" s="2" t="str">
        <f t="shared" si="14"/>
        <v/>
      </c>
      <c r="B295" s="2" t="str">
        <f t="shared" si="15"/>
        <v/>
      </c>
      <c r="C295" s="82"/>
      <c r="D295" s="82"/>
      <c r="E295" s="82"/>
      <c r="F295" s="82"/>
      <c r="G295" s="82"/>
      <c r="H295" s="82"/>
      <c r="I295" s="82"/>
      <c r="J295" s="82"/>
      <c r="K295" s="89"/>
      <c r="L295" s="82"/>
    </row>
    <row r="296" spans="1:12" ht="14.5">
      <c r="A296" s="2" t="str">
        <f t="shared" si="14"/>
        <v/>
      </c>
      <c r="B296" s="2" t="str">
        <f t="shared" si="15"/>
        <v/>
      </c>
      <c r="C296" s="82"/>
      <c r="D296" s="82"/>
      <c r="E296" s="82"/>
      <c r="F296" s="82"/>
      <c r="G296" s="82"/>
      <c r="H296" s="82"/>
      <c r="I296" s="82"/>
      <c r="J296" s="82"/>
      <c r="K296" s="89"/>
      <c r="L296" s="82"/>
    </row>
    <row r="297" spans="1:12" ht="14.5">
      <c r="A297" s="2" t="str">
        <f t="shared" si="14"/>
        <v/>
      </c>
      <c r="B297" s="2" t="str">
        <f t="shared" si="15"/>
        <v/>
      </c>
      <c r="C297" s="82"/>
      <c r="D297" s="82"/>
      <c r="E297" s="82"/>
      <c r="F297" s="82"/>
      <c r="G297" s="82"/>
      <c r="H297" s="82"/>
      <c r="I297" s="82"/>
      <c r="J297" s="82"/>
      <c r="K297" s="89"/>
      <c r="L297" s="82"/>
    </row>
    <row r="298" spans="1:12" ht="14.5">
      <c r="A298" s="2" t="str">
        <f t="shared" si="14"/>
        <v/>
      </c>
      <c r="B298" s="2" t="str">
        <f t="shared" si="15"/>
        <v/>
      </c>
      <c r="C298" s="82"/>
      <c r="D298" s="82"/>
      <c r="E298" s="82"/>
      <c r="F298" s="82"/>
      <c r="G298" s="82"/>
      <c r="H298" s="82"/>
      <c r="I298" s="82"/>
      <c r="J298" s="82"/>
      <c r="K298" s="89"/>
      <c r="L298" s="82"/>
    </row>
    <row r="299" spans="1:12" ht="14.5">
      <c r="A299" s="2" t="str">
        <f t="shared" si="14"/>
        <v/>
      </c>
      <c r="B299" s="2" t="str">
        <f t="shared" si="15"/>
        <v/>
      </c>
      <c r="C299" s="82"/>
      <c r="D299" s="82"/>
      <c r="E299" s="82"/>
      <c r="F299" s="82"/>
      <c r="G299" s="82"/>
      <c r="H299" s="82"/>
      <c r="I299" s="82"/>
      <c r="J299" s="82"/>
      <c r="K299" s="89"/>
      <c r="L299" s="82"/>
    </row>
    <row r="300" spans="1:12" ht="14.5">
      <c r="A300" s="2" t="str">
        <f t="shared" si="14"/>
        <v/>
      </c>
      <c r="B300" s="2" t="str">
        <f t="shared" si="15"/>
        <v/>
      </c>
      <c r="C300" s="82"/>
      <c r="D300" s="82"/>
      <c r="E300" s="82"/>
      <c r="F300" s="82"/>
      <c r="G300" s="82"/>
      <c r="H300" s="82"/>
      <c r="I300" s="82"/>
      <c r="J300" s="82"/>
      <c r="K300" s="89"/>
      <c r="L300" s="82"/>
    </row>
    <row r="301" spans="1:12" ht="14.5">
      <c r="A301" s="2" t="str">
        <f t="shared" si="14"/>
        <v/>
      </c>
      <c r="B301" s="2" t="str">
        <f t="shared" si="15"/>
        <v/>
      </c>
      <c r="C301" s="82"/>
      <c r="D301" s="82"/>
      <c r="E301" s="82"/>
      <c r="F301" s="82"/>
      <c r="G301" s="82"/>
      <c r="H301" s="82"/>
      <c r="I301" s="82"/>
      <c r="J301" s="82"/>
      <c r="K301" s="89"/>
      <c r="L301" s="82"/>
    </row>
    <row r="302" spans="1:12" ht="14.5">
      <c r="A302" s="2" t="str">
        <f t="shared" si="14"/>
        <v/>
      </c>
      <c r="B302" s="2" t="str">
        <f t="shared" si="15"/>
        <v/>
      </c>
      <c r="C302" s="82"/>
      <c r="D302" s="82"/>
      <c r="E302" s="82"/>
      <c r="F302" s="82"/>
      <c r="G302" s="82"/>
      <c r="H302" s="82"/>
      <c r="I302" s="82"/>
      <c r="J302" s="82"/>
      <c r="K302" s="89"/>
      <c r="L302" s="82"/>
    </row>
    <row r="303" spans="1:12" ht="14.5">
      <c r="A303" s="2" t="str">
        <f t="shared" si="14"/>
        <v/>
      </c>
      <c r="B303" s="2" t="str">
        <f t="shared" si="15"/>
        <v/>
      </c>
      <c r="C303" s="82"/>
      <c r="D303" s="82"/>
      <c r="E303" s="82"/>
      <c r="F303" s="82"/>
      <c r="G303" s="82"/>
      <c r="H303" s="82"/>
      <c r="I303" s="82"/>
      <c r="J303" s="82"/>
      <c r="K303" s="89"/>
      <c r="L303" s="82"/>
    </row>
    <row r="304" spans="1:12" ht="14.5">
      <c r="A304" s="2" t="str">
        <f t="shared" si="14"/>
        <v/>
      </c>
      <c r="B304" s="2" t="str">
        <f t="shared" si="15"/>
        <v/>
      </c>
      <c r="C304" s="82"/>
      <c r="D304" s="82"/>
      <c r="E304" s="82"/>
      <c r="F304" s="82"/>
      <c r="G304" s="82"/>
      <c r="H304" s="82"/>
      <c r="I304" s="82"/>
      <c r="J304" s="82"/>
      <c r="K304" s="89"/>
      <c r="L304" s="82"/>
    </row>
    <row r="305" spans="1:12" ht="14.5">
      <c r="A305" s="2" t="str">
        <f t="shared" si="14"/>
        <v/>
      </c>
      <c r="B305" s="2" t="str">
        <f t="shared" si="15"/>
        <v/>
      </c>
      <c r="C305" s="82"/>
      <c r="D305" s="82"/>
      <c r="E305" s="82"/>
      <c r="F305" s="82"/>
      <c r="G305" s="82"/>
      <c r="H305" s="82"/>
      <c r="I305" s="82"/>
      <c r="J305" s="82"/>
      <c r="K305" s="89"/>
      <c r="L305" s="82"/>
    </row>
    <row r="306" spans="1:12" ht="14.5">
      <c r="A306" s="2" t="str">
        <f t="shared" si="14"/>
        <v/>
      </c>
      <c r="B306" s="2" t="str">
        <f t="shared" si="15"/>
        <v/>
      </c>
      <c r="C306" s="82"/>
      <c r="D306" s="82"/>
      <c r="E306" s="82"/>
      <c r="F306" s="82"/>
      <c r="G306" s="82"/>
      <c r="H306" s="82"/>
      <c r="I306" s="82"/>
      <c r="J306" s="82"/>
      <c r="K306" s="89"/>
      <c r="L306" s="82"/>
    </row>
    <row r="307" spans="1:12" ht="14.5">
      <c r="A307" s="2" t="str">
        <f t="shared" si="14"/>
        <v/>
      </c>
      <c r="B307" s="2" t="str">
        <f t="shared" si="15"/>
        <v/>
      </c>
      <c r="C307" s="82"/>
      <c r="D307" s="82"/>
      <c r="E307" s="82"/>
      <c r="F307" s="82"/>
      <c r="G307" s="82"/>
      <c r="H307" s="82"/>
      <c r="I307" s="82"/>
      <c r="J307" s="82"/>
      <c r="K307" s="89"/>
      <c r="L307" s="82"/>
    </row>
    <row r="308" spans="1:12" ht="14.5">
      <c r="A308" s="2" t="str">
        <f t="shared" si="14"/>
        <v/>
      </c>
      <c r="B308" s="2" t="str">
        <f t="shared" si="15"/>
        <v/>
      </c>
      <c r="C308" s="82"/>
      <c r="D308" s="82"/>
      <c r="E308" s="82"/>
      <c r="F308" s="82"/>
      <c r="G308" s="82"/>
      <c r="H308" s="82"/>
      <c r="I308" s="82"/>
      <c r="J308" s="82"/>
      <c r="K308" s="89"/>
      <c r="L308" s="82"/>
    </row>
    <row r="309" spans="1:12" ht="14.5">
      <c r="A309" s="2" t="str">
        <f t="shared" ref="A309:A372" si="16">+C309&amp;G309&amp;H309&amp;D309</f>
        <v/>
      </c>
      <c r="B309" s="2" t="str">
        <f t="shared" ref="B309:B372" si="17">+C309&amp;G309&amp;H309&amp;D309&amp;K309</f>
        <v/>
      </c>
      <c r="C309" s="82"/>
      <c r="D309" s="82"/>
      <c r="E309" s="82"/>
      <c r="F309" s="82"/>
      <c r="G309" s="82"/>
      <c r="H309" s="82"/>
      <c r="I309" s="82"/>
      <c r="J309" s="82"/>
      <c r="K309" s="89"/>
      <c r="L309" s="82"/>
    </row>
    <row r="310" spans="1:12" ht="14.5">
      <c r="A310" s="2" t="str">
        <f t="shared" si="16"/>
        <v/>
      </c>
      <c r="B310" s="2" t="str">
        <f t="shared" si="17"/>
        <v/>
      </c>
      <c r="C310" s="82"/>
      <c r="D310" s="82"/>
      <c r="E310" s="82"/>
      <c r="F310" s="82"/>
      <c r="G310" s="82"/>
      <c r="H310" s="82"/>
      <c r="I310" s="82"/>
      <c r="J310" s="82"/>
      <c r="K310" s="89"/>
      <c r="L310" s="82"/>
    </row>
    <row r="311" spans="1:12" ht="14.5">
      <c r="A311" s="2" t="str">
        <f t="shared" si="16"/>
        <v/>
      </c>
      <c r="B311" s="2" t="str">
        <f t="shared" si="17"/>
        <v/>
      </c>
      <c r="C311" s="82"/>
      <c r="D311" s="82"/>
      <c r="E311" s="82"/>
      <c r="F311" s="82"/>
      <c r="G311" s="82"/>
      <c r="H311" s="82"/>
      <c r="I311" s="82"/>
      <c r="J311" s="82"/>
      <c r="K311" s="89"/>
      <c r="L311" s="82"/>
    </row>
    <row r="312" spans="1:12" ht="14.5">
      <c r="A312" s="2" t="str">
        <f t="shared" si="16"/>
        <v/>
      </c>
      <c r="B312" s="2" t="str">
        <f t="shared" si="17"/>
        <v/>
      </c>
      <c r="C312" s="82"/>
      <c r="D312" s="82"/>
      <c r="E312" s="82"/>
      <c r="F312" s="82"/>
      <c r="G312" s="82"/>
      <c r="H312" s="82"/>
      <c r="I312" s="82"/>
      <c r="J312" s="82"/>
      <c r="K312" s="89"/>
      <c r="L312" s="82"/>
    </row>
    <row r="313" spans="1:12" ht="14.5">
      <c r="A313" s="2" t="str">
        <f t="shared" si="16"/>
        <v/>
      </c>
      <c r="B313" s="2" t="str">
        <f t="shared" si="17"/>
        <v/>
      </c>
      <c r="C313" s="82"/>
      <c r="D313" s="82"/>
      <c r="E313" s="82"/>
      <c r="F313" s="82"/>
      <c r="G313" s="82"/>
      <c r="H313" s="82"/>
      <c r="I313" s="82"/>
      <c r="J313" s="82"/>
      <c r="K313" s="89"/>
      <c r="L313" s="82"/>
    </row>
    <row r="314" spans="1:12" ht="14.5">
      <c r="A314" s="2" t="str">
        <f t="shared" si="16"/>
        <v/>
      </c>
      <c r="B314" s="2" t="str">
        <f t="shared" si="17"/>
        <v/>
      </c>
      <c r="C314" s="82"/>
      <c r="D314" s="82"/>
      <c r="E314" s="82"/>
      <c r="F314" s="82"/>
      <c r="G314" s="82"/>
      <c r="H314" s="82"/>
      <c r="I314" s="82"/>
      <c r="J314" s="82"/>
      <c r="K314" s="89"/>
      <c r="L314" s="82"/>
    </row>
    <row r="315" spans="1:12" ht="14.5">
      <c r="A315" s="2" t="str">
        <f t="shared" si="16"/>
        <v/>
      </c>
      <c r="B315" s="2" t="str">
        <f t="shared" si="17"/>
        <v/>
      </c>
      <c r="C315" s="82"/>
      <c r="D315" s="82"/>
      <c r="E315" s="82"/>
      <c r="F315" s="82"/>
      <c r="G315" s="82"/>
      <c r="H315" s="82"/>
      <c r="I315" s="82"/>
      <c r="J315" s="82"/>
      <c r="K315" s="89"/>
      <c r="L315" s="82"/>
    </row>
    <row r="316" spans="1:12" ht="14.5">
      <c r="A316" s="2" t="str">
        <f t="shared" si="16"/>
        <v/>
      </c>
      <c r="B316" s="2" t="str">
        <f t="shared" si="17"/>
        <v/>
      </c>
      <c r="C316" s="82"/>
      <c r="D316" s="82"/>
      <c r="E316" s="82"/>
      <c r="F316" s="82"/>
      <c r="G316" s="82"/>
      <c r="H316" s="82"/>
      <c r="I316" s="82"/>
      <c r="J316" s="82"/>
      <c r="K316" s="89"/>
      <c r="L316" s="82"/>
    </row>
    <row r="317" spans="1:12" ht="14.5">
      <c r="A317" s="2" t="str">
        <f t="shared" si="16"/>
        <v/>
      </c>
      <c r="B317" s="2" t="str">
        <f t="shared" si="17"/>
        <v/>
      </c>
      <c r="C317" s="82"/>
      <c r="D317" s="82"/>
      <c r="E317" s="82"/>
      <c r="F317" s="82"/>
      <c r="G317" s="82"/>
      <c r="H317" s="82"/>
      <c r="I317" s="82"/>
      <c r="J317" s="82"/>
      <c r="K317" s="89"/>
      <c r="L317" s="82"/>
    </row>
    <row r="318" spans="1:12" ht="14.5">
      <c r="A318" s="2" t="str">
        <f t="shared" si="16"/>
        <v/>
      </c>
      <c r="B318" s="2" t="str">
        <f t="shared" si="17"/>
        <v/>
      </c>
      <c r="C318" s="82"/>
      <c r="D318" s="82"/>
      <c r="E318" s="82"/>
      <c r="F318" s="82"/>
      <c r="G318" s="82"/>
      <c r="H318" s="82"/>
      <c r="I318" s="82"/>
      <c r="J318" s="82"/>
      <c r="K318" s="89"/>
      <c r="L318" s="82"/>
    </row>
    <row r="319" spans="1:12" ht="14.5">
      <c r="A319" s="2" t="str">
        <f t="shared" si="16"/>
        <v/>
      </c>
      <c r="B319" s="2" t="str">
        <f t="shared" si="17"/>
        <v/>
      </c>
      <c r="C319" s="82"/>
      <c r="D319" s="82"/>
      <c r="E319" s="82"/>
      <c r="F319" s="82"/>
      <c r="G319" s="82"/>
      <c r="H319" s="82"/>
      <c r="I319" s="82"/>
      <c r="J319" s="82"/>
      <c r="K319" s="89"/>
      <c r="L319" s="82"/>
    </row>
    <row r="320" spans="1:12" ht="14.5">
      <c r="A320" s="2" t="str">
        <f t="shared" si="16"/>
        <v/>
      </c>
      <c r="B320" s="2" t="str">
        <f t="shared" si="17"/>
        <v/>
      </c>
      <c r="C320" s="82"/>
      <c r="D320" s="82"/>
      <c r="E320" s="82"/>
      <c r="F320" s="82"/>
      <c r="G320" s="82"/>
      <c r="H320" s="82"/>
      <c r="I320" s="82"/>
      <c r="J320" s="82"/>
      <c r="K320" s="89"/>
      <c r="L320" s="82"/>
    </row>
    <row r="321" spans="1:12" ht="14.5">
      <c r="A321" s="2" t="str">
        <f t="shared" si="16"/>
        <v/>
      </c>
      <c r="B321" s="2" t="str">
        <f t="shared" si="17"/>
        <v/>
      </c>
      <c r="C321" s="82"/>
      <c r="D321" s="82"/>
      <c r="E321" s="82"/>
      <c r="F321" s="82"/>
      <c r="G321" s="82"/>
      <c r="H321" s="82"/>
      <c r="I321" s="82"/>
      <c r="J321" s="82"/>
      <c r="K321" s="89"/>
      <c r="L321" s="82"/>
    </row>
    <row r="322" spans="1:12" ht="14.5">
      <c r="A322" s="2" t="str">
        <f t="shared" si="16"/>
        <v/>
      </c>
      <c r="B322" s="2" t="str">
        <f t="shared" si="17"/>
        <v/>
      </c>
      <c r="C322" s="82"/>
      <c r="D322" s="82"/>
      <c r="E322" s="82"/>
      <c r="F322" s="82"/>
      <c r="G322" s="82"/>
      <c r="H322" s="82"/>
      <c r="I322" s="82"/>
      <c r="J322" s="82"/>
      <c r="K322" s="89"/>
      <c r="L322" s="82"/>
    </row>
    <row r="323" spans="1:12" ht="14.5">
      <c r="A323" s="2" t="str">
        <f t="shared" si="16"/>
        <v/>
      </c>
      <c r="B323" s="2" t="str">
        <f t="shared" si="17"/>
        <v/>
      </c>
      <c r="C323" s="82"/>
      <c r="D323" s="82"/>
      <c r="E323" s="82"/>
      <c r="F323" s="82"/>
      <c r="G323" s="82"/>
      <c r="H323" s="82"/>
      <c r="I323" s="82"/>
      <c r="J323" s="82"/>
      <c r="K323" s="89"/>
      <c r="L323" s="82"/>
    </row>
    <row r="324" spans="1:12" ht="14.5">
      <c r="A324" s="2" t="str">
        <f t="shared" si="16"/>
        <v/>
      </c>
      <c r="B324" s="2" t="str">
        <f t="shared" si="17"/>
        <v/>
      </c>
      <c r="C324" s="82"/>
      <c r="D324" s="82"/>
      <c r="E324" s="82"/>
      <c r="F324" s="82"/>
      <c r="G324" s="82"/>
      <c r="H324" s="82"/>
      <c r="I324" s="82"/>
      <c r="J324" s="82"/>
      <c r="K324" s="89"/>
      <c r="L324" s="82"/>
    </row>
    <row r="325" spans="1:12" ht="14.5">
      <c r="A325" s="2" t="str">
        <f t="shared" si="16"/>
        <v/>
      </c>
      <c r="B325" s="2" t="str">
        <f t="shared" si="17"/>
        <v/>
      </c>
      <c r="C325" s="82"/>
      <c r="D325" s="82"/>
      <c r="E325" s="82"/>
      <c r="F325" s="82"/>
      <c r="G325" s="82"/>
      <c r="H325" s="82"/>
      <c r="I325" s="82"/>
      <c r="J325" s="82"/>
      <c r="K325" s="89"/>
      <c r="L325" s="82"/>
    </row>
    <row r="326" spans="1:12" ht="14.5">
      <c r="A326" s="2" t="str">
        <f t="shared" si="16"/>
        <v/>
      </c>
      <c r="B326" s="2" t="str">
        <f t="shared" si="17"/>
        <v/>
      </c>
      <c r="C326" s="82"/>
      <c r="D326" s="82"/>
      <c r="E326" s="82"/>
      <c r="F326" s="82"/>
      <c r="G326" s="82"/>
      <c r="H326" s="82"/>
      <c r="I326" s="82"/>
      <c r="J326" s="82"/>
      <c r="K326" s="89"/>
      <c r="L326" s="82"/>
    </row>
    <row r="327" spans="1:12" ht="14.5">
      <c r="A327" s="2" t="str">
        <f t="shared" si="16"/>
        <v/>
      </c>
      <c r="B327" s="2" t="str">
        <f t="shared" si="17"/>
        <v/>
      </c>
      <c r="C327" s="82"/>
      <c r="D327" s="82"/>
      <c r="E327" s="82"/>
      <c r="F327" s="82"/>
      <c r="G327" s="82"/>
      <c r="H327" s="82"/>
      <c r="I327" s="82"/>
      <c r="J327" s="82"/>
      <c r="K327" s="89"/>
      <c r="L327" s="82"/>
    </row>
    <row r="328" spans="1:12" ht="14.5">
      <c r="A328" s="2" t="str">
        <f t="shared" si="16"/>
        <v/>
      </c>
      <c r="B328" s="2" t="str">
        <f t="shared" si="17"/>
        <v/>
      </c>
      <c r="C328" s="82"/>
      <c r="D328" s="82"/>
      <c r="E328" s="82"/>
      <c r="F328" s="82"/>
      <c r="G328" s="82"/>
      <c r="H328" s="82"/>
      <c r="I328" s="82"/>
      <c r="J328" s="82"/>
      <c r="K328" s="89"/>
      <c r="L328" s="82"/>
    </row>
    <row r="329" spans="1:12" ht="14.5">
      <c r="A329" s="2" t="str">
        <f t="shared" si="16"/>
        <v/>
      </c>
      <c r="B329" s="2" t="str">
        <f t="shared" si="17"/>
        <v/>
      </c>
      <c r="C329" s="82"/>
      <c r="D329" s="82"/>
      <c r="E329" s="82"/>
      <c r="F329" s="82"/>
      <c r="G329" s="82"/>
      <c r="H329" s="82"/>
      <c r="I329" s="82"/>
      <c r="J329" s="82"/>
      <c r="K329" s="89"/>
      <c r="L329" s="82"/>
    </row>
    <row r="330" spans="1:12" ht="14.5">
      <c r="A330" s="2" t="str">
        <f t="shared" si="16"/>
        <v/>
      </c>
      <c r="B330" s="2" t="str">
        <f t="shared" si="17"/>
        <v/>
      </c>
      <c r="C330" s="82"/>
      <c r="D330" s="82"/>
      <c r="E330" s="82"/>
      <c r="F330" s="82"/>
      <c r="G330" s="82"/>
      <c r="H330" s="82"/>
      <c r="I330" s="82"/>
      <c r="J330" s="82"/>
      <c r="K330" s="89"/>
      <c r="L330" s="82"/>
    </row>
    <row r="331" spans="1:12" ht="14.5">
      <c r="A331" s="2" t="str">
        <f t="shared" si="16"/>
        <v/>
      </c>
      <c r="B331" s="2" t="str">
        <f t="shared" si="17"/>
        <v/>
      </c>
      <c r="C331" s="82"/>
      <c r="D331" s="82"/>
      <c r="E331" s="82"/>
      <c r="F331" s="82"/>
      <c r="G331" s="82"/>
      <c r="H331" s="82"/>
      <c r="I331" s="82"/>
      <c r="J331" s="82"/>
      <c r="K331" s="89"/>
      <c r="L331" s="82"/>
    </row>
    <row r="332" spans="1:12" ht="14.5">
      <c r="A332" s="2" t="str">
        <f t="shared" si="16"/>
        <v/>
      </c>
      <c r="B332" s="2" t="str">
        <f t="shared" si="17"/>
        <v/>
      </c>
      <c r="C332" s="82"/>
      <c r="D332" s="82"/>
      <c r="E332" s="82"/>
      <c r="F332" s="82"/>
      <c r="G332" s="82"/>
      <c r="H332" s="82"/>
      <c r="I332" s="82"/>
      <c r="J332" s="82"/>
      <c r="K332" s="89"/>
      <c r="L332" s="82"/>
    </row>
    <row r="333" spans="1:12" ht="14.5">
      <c r="A333" s="2" t="str">
        <f t="shared" si="16"/>
        <v/>
      </c>
      <c r="B333" s="2" t="str">
        <f t="shared" si="17"/>
        <v/>
      </c>
      <c r="C333" s="82"/>
      <c r="D333" s="82"/>
      <c r="E333" s="82"/>
      <c r="F333" s="82"/>
      <c r="G333" s="82"/>
      <c r="H333" s="82"/>
      <c r="I333" s="82"/>
      <c r="J333" s="82"/>
      <c r="K333" s="89"/>
      <c r="L333" s="82"/>
    </row>
    <row r="334" spans="1:12" ht="14.5">
      <c r="A334" s="2" t="str">
        <f t="shared" si="16"/>
        <v/>
      </c>
      <c r="B334" s="2" t="str">
        <f t="shared" si="17"/>
        <v/>
      </c>
      <c r="C334" s="82"/>
      <c r="D334" s="82"/>
      <c r="E334" s="82"/>
      <c r="F334" s="82"/>
      <c r="G334" s="82"/>
      <c r="H334" s="82"/>
      <c r="I334" s="82"/>
      <c r="J334" s="82"/>
      <c r="K334" s="89"/>
      <c r="L334" s="82"/>
    </row>
    <row r="335" spans="1:12" ht="14.5">
      <c r="A335" s="2" t="str">
        <f t="shared" si="16"/>
        <v/>
      </c>
      <c r="B335" s="2" t="str">
        <f t="shared" si="17"/>
        <v/>
      </c>
      <c r="C335" s="82"/>
      <c r="D335" s="82"/>
      <c r="E335" s="82"/>
      <c r="F335" s="82"/>
      <c r="G335" s="82"/>
      <c r="H335" s="82"/>
      <c r="I335" s="82"/>
      <c r="J335" s="82"/>
      <c r="K335" s="89"/>
      <c r="L335" s="82"/>
    </row>
    <row r="336" spans="1:12" ht="14.5">
      <c r="A336" s="2" t="str">
        <f t="shared" si="16"/>
        <v/>
      </c>
      <c r="B336" s="2" t="str">
        <f t="shared" si="17"/>
        <v/>
      </c>
      <c r="C336" s="82"/>
      <c r="D336" s="82"/>
      <c r="E336" s="82"/>
      <c r="F336" s="82"/>
      <c r="G336" s="82"/>
      <c r="H336" s="82"/>
      <c r="I336" s="82"/>
      <c r="J336" s="82"/>
      <c r="K336" s="89"/>
      <c r="L336" s="82"/>
    </row>
    <row r="337" spans="1:12" ht="14.5">
      <c r="A337" s="2" t="str">
        <f t="shared" si="16"/>
        <v/>
      </c>
      <c r="B337" s="2" t="str">
        <f t="shared" si="17"/>
        <v/>
      </c>
      <c r="C337" s="82"/>
      <c r="D337" s="82"/>
      <c r="E337" s="82"/>
      <c r="F337" s="82"/>
      <c r="G337" s="82"/>
      <c r="H337" s="82"/>
      <c r="I337" s="82"/>
      <c r="J337" s="82"/>
      <c r="K337" s="89"/>
      <c r="L337" s="82"/>
    </row>
    <row r="338" spans="1:12" ht="14.5">
      <c r="A338" s="2" t="str">
        <f t="shared" si="16"/>
        <v/>
      </c>
      <c r="B338" s="2" t="str">
        <f t="shared" si="17"/>
        <v/>
      </c>
      <c r="C338" s="82"/>
      <c r="D338" s="82"/>
      <c r="E338" s="82"/>
      <c r="F338" s="82"/>
      <c r="G338" s="82"/>
      <c r="H338" s="82"/>
      <c r="I338" s="82"/>
      <c r="J338" s="82"/>
      <c r="K338" s="89"/>
      <c r="L338" s="82"/>
    </row>
    <row r="339" spans="1:12" ht="14.5">
      <c r="A339" s="2" t="str">
        <f t="shared" si="16"/>
        <v/>
      </c>
      <c r="B339" s="2" t="str">
        <f t="shared" si="17"/>
        <v/>
      </c>
      <c r="C339" s="82"/>
      <c r="D339" s="82"/>
      <c r="E339" s="82"/>
      <c r="F339" s="82"/>
      <c r="G339" s="82"/>
      <c r="H339" s="82"/>
      <c r="I339" s="82"/>
      <c r="J339" s="82"/>
      <c r="K339" s="89"/>
      <c r="L339" s="82"/>
    </row>
    <row r="340" spans="1:12" ht="14.5">
      <c r="A340" s="2" t="str">
        <f t="shared" si="16"/>
        <v/>
      </c>
      <c r="B340" s="2" t="str">
        <f t="shared" si="17"/>
        <v/>
      </c>
      <c r="C340" s="82"/>
      <c r="D340" s="82"/>
      <c r="E340" s="82"/>
      <c r="F340" s="82"/>
      <c r="G340" s="82"/>
      <c r="H340" s="82"/>
      <c r="I340" s="82"/>
      <c r="J340" s="82"/>
      <c r="K340" s="89"/>
      <c r="L340" s="82"/>
    </row>
    <row r="341" spans="1:12" ht="14.5">
      <c r="A341" s="2" t="str">
        <f t="shared" si="16"/>
        <v/>
      </c>
      <c r="B341" s="2" t="str">
        <f t="shared" si="17"/>
        <v/>
      </c>
      <c r="C341" s="82"/>
      <c r="D341" s="82"/>
      <c r="E341" s="82"/>
      <c r="F341" s="82"/>
      <c r="G341" s="82"/>
      <c r="H341" s="82"/>
      <c r="I341" s="82"/>
      <c r="J341" s="82"/>
      <c r="K341" s="89"/>
      <c r="L341" s="82"/>
    </row>
    <row r="342" spans="1:12" ht="14.5">
      <c r="A342" s="2" t="str">
        <f t="shared" si="16"/>
        <v/>
      </c>
      <c r="B342" s="2" t="str">
        <f t="shared" si="17"/>
        <v/>
      </c>
      <c r="C342" s="82"/>
      <c r="D342" s="82"/>
      <c r="E342" s="82"/>
      <c r="F342" s="82"/>
      <c r="G342" s="82"/>
      <c r="H342" s="82"/>
      <c r="I342" s="82"/>
      <c r="J342" s="82"/>
      <c r="K342" s="89"/>
      <c r="L342" s="82"/>
    </row>
    <row r="343" spans="1:12" ht="14.5">
      <c r="A343" s="2" t="str">
        <f t="shared" si="16"/>
        <v/>
      </c>
      <c r="B343" s="2" t="str">
        <f t="shared" si="17"/>
        <v/>
      </c>
      <c r="C343" s="82"/>
      <c r="D343" s="82"/>
      <c r="E343" s="82"/>
      <c r="F343" s="82"/>
      <c r="G343" s="82"/>
      <c r="H343" s="82"/>
      <c r="I343" s="82"/>
      <c r="J343" s="82"/>
      <c r="K343" s="89"/>
      <c r="L343" s="82"/>
    </row>
    <row r="344" spans="1:12" ht="14.5">
      <c r="A344" s="2" t="str">
        <f t="shared" si="16"/>
        <v/>
      </c>
      <c r="B344" s="2" t="str">
        <f t="shared" si="17"/>
        <v/>
      </c>
      <c r="C344" s="82"/>
      <c r="D344" s="82"/>
      <c r="E344" s="82"/>
      <c r="F344" s="82"/>
      <c r="G344" s="82"/>
      <c r="H344" s="82"/>
      <c r="I344" s="82"/>
      <c r="J344" s="82"/>
      <c r="K344" s="89"/>
      <c r="L344" s="82"/>
    </row>
    <row r="345" spans="1:12" ht="14.5">
      <c r="A345" s="2" t="str">
        <f t="shared" si="16"/>
        <v/>
      </c>
      <c r="B345" s="2" t="str">
        <f t="shared" si="17"/>
        <v/>
      </c>
      <c r="C345" s="82"/>
      <c r="D345" s="82"/>
      <c r="E345" s="82"/>
      <c r="F345" s="82"/>
      <c r="G345" s="82"/>
      <c r="H345" s="82"/>
      <c r="I345" s="82"/>
      <c r="J345" s="82"/>
      <c r="K345" s="89"/>
      <c r="L345" s="82"/>
    </row>
    <row r="346" spans="1:12" ht="14.5">
      <c r="A346" s="2" t="str">
        <f t="shared" si="16"/>
        <v/>
      </c>
      <c r="B346" s="2" t="str">
        <f t="shared" si="17"/>
        <v/>
      </c>
      <c r="C346" s="82"/>
      <c r="D346" s="82"/>
      <c r="E346" s="82"/>
      <c r="F346" s="82"/>
      <c r="G346" s="82"/>
      <c r="H346" s="82"/>
      <c r="I346" s="82"/>
      <c r="J346" s="82"/>
      <c r="K346" s="89"/>
      <c r="L346" s="82"/>
    </row>
    <row r="347" spans="1:12" ht="14.5">
      <c r="A347" s="2" t="str">
        <f t="shared" si="16"/>
        <v/>
      </c>
      <c r="B347" s="2" t="str">
        <f t="shared" si="17"/>
        <v/>
      </c>
      <c r="C347" s="82"/>
      <c r="D347" s="82"/>
      <c r="E347" s="82"/>
      <c r="F347" s="82"/>
      <c r="G347" s="82"/>
      <c r="H347" s="82"/>
      <c r="I347" s="82"/>
      <c r="J347" s="82"/>
      <c r="K347" s="89"/>
      <c r="L347" s="82"/>
    </row>
    <row r="348" spans="1:12" ht="14.5">
      <c r="A348" s="2" t="str">
        <f t="shared" si="16"/>
        <v/>
      </c>
      <c r="B348" s="2" t="str">
        <f t="shared" si="17"/>
        <v/>
      </c>
      <c r="C348" s="82"/>
      <c r="D348" s="82"/>
      <c r="E348" s="82"/>
      <c r="F348" s="82"/>
      <c r="G348" s="82"/>
      <c r="H348" s="82"/>
      <c r="I348" s="82"/>
      <c r="J348" s="82"/>
      <c r="K348" s="89"/>
      <c r="L348" s="82"/>
    </row>
    <row r="349" spans="1:12" ht="14.5">
      <c r="A349" s="2" t="str">
        <f t="shared" si="16"/>
        <v/>
      </c>
      <c r="B349" s="2" t="str">
        <f t="shared" si="17"/>
        <v/>
      </c>
      <c r="C349" s="82"/>
      <c r="D349" s="82"/>
      <c r="E349" s="82"/>
      <c r="F349" s="82"/>
      <c r="G349" s="82"/>
      <c r="H349" s="82"/>
      <c r="I349" s="82"/>
      <c r="J349" s="82"/>
      <c r="K349" s="89"/>
      <c r="L349" s="82"/>
    </row>
    <row r="350" spans="1:12" ht="14.5">
      <c r="A350" s="2" t="str">
        <f t="shared" si="16"/>
        <v/>
      </c>
      <c r="B350" s="2" t="str">
        <f t="shared" si="17"/>
        <v/>
      </c>
      <c r="C350" s="82"/>
      <c r="D350" s="82"/>
      <c r="E350" s="82"/>
      <c r="F350" s="82"/>
      <c r="G350" s="82"/>
      <c r="H350" s="82"/>
      <c r="I350" s="82"/>
      <c r="J350" s="82"/>
      <c r="K350" s="89"/>
      <c r="L350" s="82"/>
    </row>
    <row r="351" spans="1:12" ht="14.5">
      <c r="A351" s="2" t="str">
        <f t="shared" si="16"/>
        <v/>
      </c>
      <c r="B351" s="2" t="str">
        <f t="shared" si="17"/>
        <v/>
      </c>
      <c r="C351" s="82"/>
      <c r="D351" s="82"/>
      <c r="E351" s="82"/>
      <c r="F351" s="82"/>
      <c r="G351" s="82"/>
      <c r="H351" s="82"/>
      <c r="I351" s="82"/>
      <c r="J351" s="82"/>
      <c r="K351" s="89"/>
      <c r="L351" s="82"/>
    </row>
    <row r="352" spans="1:12" ht="14.5">
      <c r="A352" s="2" t="str">
        <f t="shared" si="16"/>
        <v/>
      </c>
      <c r="B352" s="2" t="str">
        <f t="shared" si="17"/>
        <v/>
      </c>
      <c r="C352" s="82"/>
      <c r="D352" s="82"/>
      <c r="E352" s="82"/>
      <c r="F352" s="82"/>
      <c r="G352" s="82"/>
      <c r="H352" s="82"/>
      <c r="I352" s="82"/>
      <c r="J352" s="82"/>
      <c r="K352" s="89"/>
      <c r="L352" s="82"/>
    </row>
    <row r="353" spans="1:12" ht="14.5">
      <c r="A353" s="2" t="str">
        <f t="shared" si="16"/>
        <v/>
      </c>
      <c r="B353" s="2" t="str">
        <f t="shared" si="17"/>
        <v/>
      </c>
      <c r="C353" s="82"/>
      <c r="D353" s="82"/>
      <c r="E353" s="82"/>
      <c r="F353" s="82"/>
      <c r="G353" s="82"/>
      <c r="H353" s="82"/>
      <c r="I353" s="82"/>
      <c r="J353" s="82"/>
      <c r="K353" s="89"/>
      <c r="L353" s="82"/>
    </row>
    <row r="354" spans="1:12" ht="14.5">
      <c r="A354" s="2" t="str">
        <f t="shared" si="16"/>
        <v/>
      </c>
      <c r="B354" s="2" t="str">
        <f t="shared" si="17"/>
        <v/>
      </c>
      <c r="C354" s="82"/>
      <c r="D354" s="82"/>
      <c r="E354" s="82"/>
      <c r="F354" s="82"/>
      <c r="G354" s="82"/>
      <c r="H354" s="82"/>
      <c r="I354" s="82"/>
      <c r="J354" s="82"/>
      <c r="K354" s="89"/>
      <c r="L354" s="82"/>
    </row>
    <row r="355" spans="1:12" ht="14.5">
      <c r="A355" s="2" t="str">
        <f t="shared" si="16"/>
        <v/>
      </c>
      <c r="B355" s="2" t="str">
        <f t="shared" si="17"/>
        <v/>
      </c>
      <c r="C355" s="82"/>
      <c r="D355" s="82"/>
      <c r="E355" s="82"/>
      <c r="F355" s="82"/>
      <c r="G355" s="82"/>
      <c r="H355" s="82"/>
      <c r="I355" s="82"/>
      <c r="J355" s="82"/>
      <c r="K355" s="89"/>
      <c r="L355" s="82"/>
    </row>
    <row r="356" spans="1:12" ht="14.5">
      <c r="A356" s="2" t="str">
        <f t="shared" si="16"/>
        <v/>
      </c>
      <c r="B356" s="2" t="str">
        <f t="shared" si="17"/>
        <v/>
      </c>
      <c r="C356" s="82"/>
      <c r="D356" s="82"/>
      <c r="E356" s="82"/>
      <c r="F356" s="82"/>
      <c r="G356" s="82"/>
      <c r="H356" s="82"/>
      <c r="I356" s="82"/>
      <c r="J356" s="82"/>
      <c r="K356" s="89"/>
      <c r="L356" s="82"/>
    </row>
    <row r="357" spans="1:12" ht="14.5">
      <c r="A357" s="2" t="str">
        <f t="shared" si="16"/>
        <v/>
      </c>
      <c r="B357" s="2" t="str">
        <f t="shared" si="17"/>
        <v/>
      </c>
      <c r="C357" s="82"/>
      <c r="D357" s="82"/>
      <c r="E357" s="82"/>
      <c r="F357" s="82"/>
      <c r="G357" s="82"/>
      <c r="H357" s="82"/>
      <c r="I357" s="82"/>
      <c r="J357" s="82"/>
      <c r="K357" s="89"/>
      <c r="L357" s="82"/>
    </row>
    <row r="358" spans="1:12" ht="14.5">
      <c r="A358" s="2" t="str">
        <f t="shared" si="16"/>
        <v/>
      </c>
      <c r="B358" s="2" t="str">
        <f t="shared" si="17"/>
        <v/>
      </c>
      <c r="C358" s="82"/>
      <c r="D358" s="82"/>
      <c r="E358" s="82"/>
      <c r="F358" s="82"/>
      <c r="G358" s="82"/>
      <c r="H358" s="82"/>
      <c r="I358" s="82"/>
      <c r="J358" s="82"/>
      <c r="K358" s="89"/>
      <c r="L358" s="82"/>
    </row>
    <row r="359" spans="1:12" ht="14.5">
      <c r="A359" s="2" t="str">
        <f t="shared" si="16"/>
        <v/>
      </c>
      <c r="B359" s="2" t="str">
        <f t="shared" si="17"/>
        <v/>
      </c>
      <c r="C359" s="82"/>
      <c r="D359" s="82"/>
      <c r="E359" s="82"/>
      <c r="F359" s="82"/>
      <c r="G359" s="82"/>
      <c r="H359" s="82"/>
      <c r="I359" s="82"/>
      <c r="J359" s="82"/>
      <c r="K359" s="89"/>
      <c r="L359" s="82"/>
    </row>
    <row r="360" spans="1:12" ht="14.5">
      <c r="A360" s="2" t="str">
        <f t="shared" si="16"/>
        <v/>
      </c>
      <c r="B360" s="2" t="str">
        <f t="shared" si="17"/>
        <v/>
      </c>
      <c r="C360" s="82"/>
      <c r="D360" s="82"/>
      <c r="E360" s="82"/>
      <c r="F360" s="82"/>
      <c r="G360" s="82"/>
      <c r="H360" s="82"/>
      <c r="I360" s="82"/>
      <c r="J360" s="82"/>
      <c r="K360" s="89"/>
      <c r="L360" s="82"/>
    </row>
    <row r="361" spans="1:12" ht="14.5">
      <c r="A361" s="2" t="str">
        <f t="shared" si="16"/>
        <v/>
      </c>
      <c r="B361" s="2" t="str">
        <f t="shared" si="17"/>
        <v/>
      </c>
      <c r="C361" s="82"/>
      <c r="D361" s="82"/>
      <c r="E361" s="82"/>
      <c r="F361" s="82"/>
      <c r="G361" s="82"/>
      <c r="H361" s="82"/>
      <c r="I361" s="82"/>
      <c r="J361" s="82"/>
      <c r="K361" s="89"/>
      <c r="L361" s="82"/>
    </row>
    <row r="362" spans="1:12" ht="14.5">
      <c r="A362" s="2" t="str">
        <f t="shared" si="16"/>
        <v/>
      </c>
      <c r="B362" s="2" t="str">
        <f t="shared" si="17"/>
        <v/>
      </c>
      <c r="C362" s="82"/>
      <c r="D362" s="82"/>
      <c r="E362" s="82"/>
      <c r="F362" s="82"/>
      <c r="G362" s="82"/>
      <c r="H362" s="82"/>
      <c r="I362" s="82"/>
      <c r="J362" s="82"/>
      <c r="K362" s="89"/>
      <c r="L362" s="82"/>
    </row>
    <row r="363" spans="1:12" ht="14.5">
      <c r="A363" s="2" t="str">
        <f t="shared" si="16"/>
        <v/>
      </c>
      <c r="B363" s="2" t="str">
        <f t="shared" si="17"/>
        <v/>
      </c>
      <c r="C363" s="82"/>
      <c r="D363" s="82"/>
      <c r="E363" s="82"/>
      <c r="F363" s="82"/>
      <c r="G363" s="82"/>
      <c r="H363" s="82"/>
      <c r="I363" s="82"/>
      <c r="J363" s="82"/>
      <c r="K363" s="89"/>
      <c r="L363" s="82"/>
    </row>
    <row r="364" spans="1:12" ht="14.5">
      <c r="A364" s="2" t="str">
        <f t="shared" si="16"/>
        <v/>
      </c>
      <c r="B364" s="2" t="str">
        <f t="shared" si="17"/>
        <v/>
      </c>
      <c r="C364" s="82"/>
      <c r="D364" s="82"/>
      <c r="E364" s="82"/>
      <c r="F364" s="82"/>
      <c r="G364" s="82"/>
      <c r="H364" s="82"/>
      <c r="I364" s="82"/>
      <c r="J364" s="82"/>
      <c r="K364" s="89"/>
      <c r="L364" s="82"/>
    </row>
    <row r="365" spans="1:12" ht="14.5">
      <c r="A365" s="2" t="str">
        <f t="shared" si="16"/>
        <v/>
      </c>
      <c r="B365" s="2" t="str">
        <f t="shared" si="17"/>
        <v/>
      </c>
      <c r="C365" s="82"/>
      <c r="D365" s="82"/>
      <c r="E365" s="82"/>
      <c r="F365" s="82"/>
      <c r="G365" s="82"/>
      <c r="H365" s="82"/>
      <c r="I365" s="82"/>
      <c r="J365" s="82"/>
      <c r="K365" s="89"/>
      <c r="L365" s="82"/>
    </row>
    <row r="366" spans="1:12" ht="14.5">
      <c r="A366" s="2" t="str">
        <f t="shared" si="16"/>
        <v/>
      </c>
      <c r="B366" s="2" t="str">
        <f t="shared" si="17"/>
        <v/>
      </c>
      <c r="C366" s="82"/>
      <c r="D366" s="82"/>
      <c r="E366" s="82"/>
      <c r="F366" s="82"/>
      <c r="G366" s="82"/>
      <c r="H366" s="82"/>
      <c r="I366" s="82"/>
      <c r="J366" s="82"/>
      <c r="K366" s="89"/>
      <c r="L366" s="82"/>
    </row>
    <row r="367" spans="1:12" ht="14.5">
      <c r="A367" s="2" t="str">
        <f t="shared" si="16"/>
        <v/>
      </c>
      <c r="B367" s="2" t="str">
        <f t="shared" si="17"/>
        <v/>
      </c>
      <c r="C367" s="82"/>
      <c r="D367" s="82"/>
      <c r="E367" s="82"/>
      <c r="F367" s="82"/>
      <c r="G367" s="82"/>
      <c r="H367" s="82"/>
      <c r="I367" s="82"/>
      <c r="J367" s="82"/>
      <c r="K367" s="89"/>
      <c r="L367" s="82"/>
    </row>
    <row r="368" spans="1:12" ht="14.5">
      <c r="A368" s="2" t="str">
        <f t="shared" si="16"/>
        <v/>
      </c>
      <c r="B368" s="2" t="str">
        <f t="shared" si="17"/>
        <v/>
      </c>
      <c r="C368" s="82"/>
      <c r="D368" s="82"/>
      <c r="E368" s="82"/>
      <c r="F368" s="82"/>
      <c r="G368" s="82"/>
      <c r="H368" s="82"/>
      <c r="I368" s="82"/>
      <c r="J368" s="82"/>
      <c r="K368" s="89"/>
      <c r="L368" s="82"/>
    </row>
    <row r="369" spans="1:12" ht="14.5">
      <c r="A369" s="2" t="str">
        <f t="shared" si="16"/>
        <v/>
      </c>
      <c r="B369" s="2" t="str">
        <f t="shared" si="17"/>
        <v/>
      </c>
      <c r="C369" s="82"/>
      <c r="D369" s="82"/>
      <c r="E369" s="82"/>
      <c r="F369" s="82"/>
      <c r="G369" s="82"/>
      <c r="H369" s="82"/>
      <c r="I369" s="82"/>
      <c r="J369" s="82"/>
      <c r="K369" s="89"/>
      <c r="L369" s="82"/>
    </row>
    <row r="370" spans="1:12" ht="14.5">
      <c r="A370" s="2" t="str">
        <f t="shared" si="16"/>
        <v/>
      </c>
      <c r="B370" s="2" t="str">
        <f t="shared" si="17"/>
        <v/>
      </c>
      <c r="C370" s="82"/>
      <c r="D370" s="82"/>
      <c r="E370" s="82"/>
      <c r="F370" s="82"/>
      <c r="G370" s="82"/>
      <c r="H370" s="82"/>
      <c r="I370" s="82"/>
      <c r="J370" s="82"/>
      <c r="K370" s="89"/>
      <c r="L370" s="82"/>
    </row>
    <row r="371" spans="1:12" ht="14.5">
      <c r="A371" s="2" t="str">
        <f t="shared" si="16"/>
        <v/>
      </c>
      <c r="B371" s="2" t="str">
        <f t="shared" si="17"/>
        <v/>
      </c>
      <c r="C371" s="82"/>
      <c r="D371" s="82"/>
      <c r="E371" s="82"/>
      <c r="F371" s="82"/>
      <c r="G371" s="82"/>
      <c r="H371" s="82"/>
      <c r="I371" s="82"/>
      <c r="J371" s="82"/>
      <c r="K371" s="89"/>
      <c r="L371" s="82"/>
    </row>
    <row r="372" spans="1:12" ht="14.5">
      <c r="A372" s="2" t="str">
        <f t="shared" si="16"/>
        <v/>
      </c>
      <c r="B372" s="2" t="str">
        <f t="shared" si="17"/>
        <v/>
      </c>
      <c r="C372" s="82"/>
      <c r="D372" s="82"/>
      <c r="E372" s="82"/>
      <c r="F372" s="82"/>
      <c r="G372" s="82"/>
      <c r="H372" s="82"/>
      <c r="I372" s="82"/>
      <c r="J372" s="82"/>
      <c r="K372" s="89"/>
      <c r="L372" s="82"/>
    </row>
    <row r="373" spans="1:12" ht="14.5">
      <c r="A373" s="2" t="str">
        <f t="shared" ref="A373:A436" si="18">+C373&amp;G373&amp;H373&amp;D373</f>
        <v/>
      </c>
      <c r="B373" s="2" t="str">
        <f t="shared" ref="B373:B436" si="19">+C373&amp;G373&amp;H373&amp;D373&amp;K373</f>
        <v/>
      </c>
      <c r="C373" s="82"/>
      <c r="D373" s="82"/>
      <c r="E373" s="82"/>
      <c r="F373" s="82"/>
      <c r="G373" s="82"/>
      <c r="H373" s="82"/>
      <c r="I373" s="82"/>
      <c r="J373" s="82"/>
      <c r="K373" s="89"/>
      <c r="L373" s="82"/>
    </row>
    <row r="374" spans="1:12" ht="14.5">
      <c r="A374" s="2" t="str">
        <f t="shared" si="18"/>
        <v/>
      </c>
      <c r="B374" s="2" t="str">
        <f t="shared" si="19"/>
        <v/>
      </c>
      <c r="C374" s="82"/>
      <c r="D374" s="82"/>
      <c r="E374" s="82"/>
      <c r="F374" s="82"/>
      <c r="G374" s="82"/>
      <c r="H374" s="82"/>
      <c r="I374" s="82"/>
      <c r="J374" s="82"/>
      <c r="K374" s="89"/>
      <c r="L374" s="82"/>
    </row>
    <row r="375" spans="1:12" ht="14.5">
      <c r="A375" s="2" t="str">
        <f t="shared" si="18"/>
        <v/>
      </c>
      <c r="B375" s="2" t="str">
        <f t="shared" si="19"/>
        <v/>
      </c>
      <c r="C375" s="82"/>
      <c r="D375" s="82"/>
      <c r="E375" s="82"/>
      <c r="F375" s="82"/>
      <c r="G375" s="82"/>
      <c r="H375" s="82"/>
      <c r="I375" s="82"/>
      <c r="J375" s="82"/>
      <c r="K375" s="89"/>
      <c r="L375" s="82"/>
    </row>
    <row r="376" spans="1:12" ht="14.5">
      <c r="A376" s="2" t="str">
        <f t="shared" si="18"/>
        <v/>
      </c>
      <c r="B376" s="2" t="str">
        <f t="shared" si="19"/>
        <v/>
      </c>
      <c r="C376" s="82"/>
      <c r="D376" s="82"/>
      <c r="E376" s="82"/>
      <c r="F376" s="82"/>
      <c r="G376" s="82"/>
      <c r="H376" s="82"/>
      <c r="I376" s="82"/>
      <c r="J376" s="82"/>
      <c r="K376" s="89"/>
      <c r="L376" s="82"/>
    </row>
    <row r="377" spans="1:12" ht="14.5">
      <c r="A377" s="2" t="str">
        <f t="shared" si="18"/>
        <v/>
      </c>
      <c r="B377" s="2" t="str">
        <f t="shared" si="19"/>
        <v/>
      </c>
      <c r="C377" s="82"/>
      <c r="D377" s="82"/>
      <c r="E377" s="82"/>
      <c r="F377" s="82"/>
      <c r="G377" s="82"/>
      <c r="H377" s="82"/>
      <c r="I377" s="82"/>
      <c r="J377" s="82"/>
      <c r="K377" s="89"/>
      <c r="L377" s="82"/>
    </row>
    <row r="378" spans="1:12" ht="14.5">
      <c r="A378" s="2" t="str">
        <f t="shared" si="18"/>
        <v/>
      </c>
      <c r="B378" s="2" t="str">
        <f t="shared" si="19"/>
        <v/>
      </c>
      <c r="C378" s="82"/>
      <c r="D378" s="82"/>
      <c r="E378" s="82"/>
      <c r="F378" s="82"/>
      <c r="G378" s="82"/>
      <c r="H378" s="82"/>
      <c r="I378" s="82"/>
      <c r="J378" s="82"/>
      <c r="K378" s="89"/>
      <c r="L378" s="82"/>
    </row>
    <row r="379" spans="1:12" ht="14.5">
      <c r="A379" s="2" t="str">
        <f t="shared" si="18"/>
        <v/>
      </c>
      <c r="B379" s="2" t="str">
        <f t="shared" si="19"/>
        <v/>
      </c>
      <c r="C379" s="82"/>
      <c r="D379" s="82"/>
      <c r="E379" s="82"/>
      <c r="F379" s="82"/>
      <c r="G379" s="82"/>
      <c r="H379" s="82"/>
      <c r="I379" s="82"/>
      <c r="J379" s="82"/>
      <c r="K379" s="89"/>
      <c r="L379" s="82"/>
    </row>
    <row r="380" spans="1:12" ht="14.5">
      <c r="A380" s="2" t="str">
        <f t="shared" si="18"/>
        <v/>
      </c>
      <c r="B380" s="2" t="str">
        <f t="shared" si="19"/>
        <v/>
      </c>
      <c r="C380" s="82"/>
      <c r="D380" s="82"/>
      <c r="E380" s="82"/>
      <c r="F380" s="82"/>
      <c r="G380" s="82"/>
      <c r="H380" s="82"/>
      <c r="I380" s="82"/>
      <c r="J380" s="82"/>
      <c r="K380" s="89"/>
      <c r="L380" s="82"/>
    </row>
    <row r="381" spans="1:12" ht="14.5">
      <c r="A381" s="2" t="str">
        <f t="shared" si="18"/>
        <v/>
      </c>
      <c r="B381" s="2" t="str">
        <f t="shared" si="19"/>
        <v/>
      </c>
      <c r="C381" s="82"/>
      <c r="D381" s="82"/>
      <c r="E381" s="82"/>
      <c r="F381" s="82"/>
      <c r="G381" s="82"/>
      <c r="H381" s="82"/>
      <c r="I381" s="82"/>
      <c r="J381" s="82"/>
      <c r="K381" s="89"/>
      <c r="L381" s="82"/>
    </row>
    <row r="382" spans="1:12" ht="14.5">
      <c r="A382" s="2" t="str">
        <f t="shared" si="18"/>
        <v/>
      </c>
      <c r="B382" s="2" t="str">
        <f t="shared" si="19"/>
        <v/>
      </c>
      <c r="C382" s="82"/>
      <c r="D382" s="82"/>
      <c r="E382" s="82"/>
      <c r="F382" s="82"/>
      <c r="G382" s="82"/>
      <c r="H382" s="82"/>
      <c r="I382" s="82"/>
      <c r="J382" s="82"/>
      <c r="K382" s="89"/>
      <c r="L382" s="82"/>
    </row>
    <row r="383" spans="1:12" ht="14.5">
      <c r="A383" s="2" t="str">
        <f t="shared" si="18"/>
        <v/>
      </c>
      <c r="B383" s="2" t="str">
        <f t="shared" si="19"/>
        <v/>
      </c>
      <c r="C383" s="82"/>
      <c r="D383" s="82"/>
      <c r="E383" s="82"/>
      <c r="F383" s="82"/>
      <c r="G383" s="82"/>
      <c r="H383" s="82"/>
      <c r="I383" s="82"/>
      <c r="J383" s="82"/>
      <c r="K383" s="89"/>
      <c r="L383" s="82"/>
    </row>
    <row r="384" spans="1:12" ht="14.5">
      <c r="A384" s="2" t="str">
        <f t="shared" si="18"/>
        <v/>
      </c>
      <c r="B384" s="2" t="str">
        <f t="shared" si="19"/>
        <v/>
      </c>
      <c r="C384" s="82"/>
      <c r="D384" s="82"/>
      <c r="E384" s="82"/>
      <c r="F384" s="82"/>
      <c r="G384" s="82"/>
      <c r="H384" s="82"/>
      <c r="I384" s="82"/>
      <c r="J384" s="82"/>
      <c r="K384" s="89"/>
      <c r="L384" s="82"/>
    </row>
    <row r="385" spans="1:12" ht="14.5">
      <c r="A385" s="2" t="str">
        <f t="shared" si="18"/>
        <v/>
      </c>
      <c r="B385" s="2" t="str">
        <f t="shared" si="19"/>
        <v/>
      </c>
      <c r="C385" s="82"/>
      <c r="D385" s="82"/>
      <c r="E385" s="82"/>
      <c r="F385" s="82"/>
      <c r="G385" s="82"/>
      <c r="H385" s="82"/>
      <c r="I385" s="82"/>
      <c r="J385" s="82"/>
      <c r="K385" s="89"/>
      <c r="L385" s="82"/>
    </row>
    <row r="386" spans="1:12" ht="14.5">
      <c r="A386" s="2" t="str">
        <f t="shared" si="18"/>
        <v/>
      </c>
      <c r="B386" s="2" t="str">
        <f t="shared" si="19"/>
        <v/>
      </c>
      <c r="C386" s="82"/>
      <c r="D386" s="82"/>
      <c r="E386" s="82"/>
      <c r="F386" s="82"/>
      <c r="G386" s="82"/>
      <c r="H386" s="82"/>
      <c r="I386" s="82"/>
      <c r="J386" s="82"/>
      <c r="K386" s="89"/>
      <c r="L386" s="82"/>
    </row>
    <row r="387" spans="1:12" ht="14.5">
      <c r="A387" s="2" t="str">
        <f t="shared" si="18"/>
        <v/>
      </c>
      <c r="B387" s="2" t="str">
        <f t="shared" si="19"/>
        <v/>
      </c>
      <c r="C387" s="82"/>
      <c r="D387" s="82"/>
      <c r="E387" s="82"/>
      <c r="F387" s="82"/>
      <c r="G387" s="82"/>
      <c r="H387" s="82"/>
      <c r="I387" s="82"/>
      <c r="J387" s="82"/>
      <c r="K387" s="89"/>
      <c r="L387" s="82"/>
    </row>
    <row r="388" spans="1:12" ht="14.5">
      <c r="A388" s="2" t="str">
        <f t="shared" si="18"/>
        <v/>
      </c>
      <c r="B388" s="2" t="str">
        <f t="shared" si="19"/>
        <v/>
      </c>
      <c r="C388" s="82"/>
      <c r="D388" s="82"/>
      <c r="E388" s="82"/>
      <c r="F388" s="82"/>
      <c r="G388" s="82"/>
      <c r="H388" s="82"/>
      <c r="I388" s="82"/>
      <c r="J388" s="82"/>
      <c r="K388" s="89"/>
      <c r="L388" s="82"/>
    </row>
    <row r="389" spans="1:12" ht="14.5">
      <c r="A389" s="2" t="str">
        <f t="shared" si="18"/>
        <v/>
      </c>
      <c r="B389" s="2" t="str">
        <f t="shared" si="19"/>
        <v/>
      </c>
      <c r="C389" s="82"/>
      <c r="D389" s="82"/>
      <c r="E389" s="82"/>
      <c r="F389" s="82"/>
      <c r="G389" s="82"/>
      <c r="H389" s="82"/>
      <c r="I389" s="82"/>
      <c r="J389" s="82"/>
      <c r="K389" s="89"/>
      <c r="L389" s="82"/>
    </row>
    <row r="390" spans="1:12" ht="14.5">
      <c r="A390" s="2" t="str">
        <f t="shared" si="18"/>
        <v/>
      </c>
      <c r="B390" s="2" t="str">
        <f t="shared" si="19"/>
        <v/>
      </c>
      <c r="C390" s="82"/>
      <c r="D390" s="82"/>
      <c r="E390" s="82"/>
      <c r="F390" s="82"/>
      <c r="G390" s="82"/>
      <c r="H390" s="82"/>
      <c r="I390" s="82"/>
      <c r="J390" s="82"/>
      <c r="K390" s="89"/>
      <c r="L390" s="82"/>
    </row>
    <row r="391" spans="1:12" ht="14.5">
      <c r="A391" s="2" t="str">
        <f t="shared" si="18"/>
        <v/>
      </c>
      <c r="B391" s="2" t="str">
        <f t="shared" si="19"/>
        <v/>
      </c>
      <c r="C391" s="82"/>
      <c r="D391" s="82"/>
      <c r="E391" s="82"/>
      <c r="F391" s="82"/>
      <c r="G391" s="82"/>
      <c r="H391" s="82"/>
      <c r="I391" s="82"/>
      <c r="J391" s="82"/>
      <c r="K391" s="89"/>
      <c r="L391" s="82"/>
    </row>
    <row r="392" spans="1:12" ht="14.5">
      <c r="A392" s="2" t="str">
        <f t="shared" si="18"/>
        <v/>
      </c>
      <c r="B392" s="2" t="str">
        <f t="shared" si="19"/>
        <v/>
      </c>
      <c r="C392" s="82"/>
      <c r="D392" s="82"/>
      <c r="E392" s="82"/>
      <c r="F392" s="82"/>
      <c r="G392" s="82"/>
      <c r="H392" s="82"/>
      <c r="I392" s="82"/>
      <c r="J392" s="82"/>
      <c r="K392" s="89"/>
      <c r="L392" s="82"/>
    </row>
    <row r="393" spans="1:12" ht="14.5">
      <c r="A393" s="2" t="str">
        <f t="shared" si="18"/>
        <v/>
      </c>
      <c r="B393" s="2" t="str">
        <f t="shared" si="19"/>
        <v/>
      </c>
      <c r="C393" s="82"/>
      <c r="D393" s="82"/>
      <c r="E393" s="82"/>
      <c r="F393" s="82"/>
      <c r="G393" s="82"/>
      <c r="H393" s="82"/>
      <c r="I393" s="82"/>
      <c r="J393" s="82"/>
      <c r="K393" s="89"/>
      <c r="L393" s="82"/>
    </row>
    <row r="394" spans="1:12" ht="14.5">
      <c r="A394" s="2" t="str">
        <f t="shared" si="18"/>
        <v/>
      </c>
      <c r="B394" s="2" t="str">
        <f t="shared" si="19"/>
        <v/>
      </c>
      <c r="C394" s="82"/>
      <c r="D394" s="82"/>
      <c r="E394" s="82"/>
      <c r="F394" s="82"/>
      <c r="G394" s="82"/>
      <c r="H394" s="82"/>
      <c r="I394" s="82"/>
      <c r="J394" s="82"/>
      <c r="K394" s="89"/>
      <c r="L394" s="82"/>
    </row>
    <row r="395" spans="1:12" ht="14.5">
      <c r="A395" s="2" t="str">
        <f t="shared" si="18"/>
        <v/>
      </c>
      <c r="B395" s="2" t="str">
        <f t="shared" si="19"/>
        <v/>
      </c>
      <c r="C395" s="82"/>
      <c r="D395" s="82"/>
      <c r="E395" s="82"/>
      <c r="F395" s="82"/>
      <c r="G395" s="82"/>
      <c r="H395" s="82"/>
      <c r="I395" s="82"/>
      <c r="J395" s="82"/>
      <c r="K395" s="89"/>
      <c r="L395" s="82"/>
    </row>
    <row r="396" spans="1:12" ht="14.5">
      <c r="A396" s="2" t="str">
        <f t="shared" si="18"/>
        <v/>
      </c>
      <c r="B396" s="2" t="str">
        <f t="shared" si="19"/>
        <v/>
      </c>
      <c r="C396" s="82"/>
      <c r="D396" s="82"/>
      <c r="E396" s="82"/>
      <c r="F396" s="82"/>
      <c r="G396" s="82"/>
      <c r="H396" s="82"/>
      <c r="I396" s="82"/>
      <c r="J396" s="82"/>
      <c r="K396" s="89"/>
      <c r="L396" s="82"/>
    </row>
    <row r="397" spans="1:12" ht="14.5">
      <c r="A397" s="2" t="str">
        <f t="shared" si="18"/>
        <v/>
      </c>
      <c r="B397" s="2" t="str">
        <f t="shared" si="19"/>
        <v/>
      </c>
      <c r="C397" s="82"/>
      <c r="D397" s="82"/>
      <c r="E397" s="82"/>
      <c r="F397" s="82"/>
      <c r="G397" s="82"/>
      <c r="H397" s="82"/>
      <c r="I397" s="82"/>
      <c r="J397" s="82"/>
      <c r="K397" s="89"/>
      <c r="L397" s="82"/>
    </row>
    <row r="398" spans="1:12" ht="14.5">
      <c r="A398" s="2" t="str">
        <f t="shared" si="18"/>
        <v/>
      </c>
      <c r="B398" s="2" t="str">
        <f t="shared" si="19"/>
        <v/>
      </c>
      <c r="C398" s="82"/>
      <c r="D398" s="82"/>
      <c r="E398" s="82"/>
      <c r="F398" s="82"/>
      <c r="G398" s="82"/>
      <c r="H398" s="82"/>
      <c r="I398" s="82"/>
      <c r="J398" s="82"/>
      <c r="K398" s="89"/>
      <c r="L398" s="82"/>
    </row>
    <row r="399" spans="1:12" ht="14.5">
      <c r="A399" s="2" t="str">
        <f t="shared" si="18"/>
        <v/>
      </c>
      <c r="B399" s="2" t="str">
        <f t="shared" si="19"/>
        <v/>
      </c>
      <c r="C399" s="82"/>
      <c r="D399" s="82"/>
      <c r="E399" s="82"/>
      <c r="F399" s="82"/>
      <c r="G399" s="82"/>
      <c r="H399" s="82"/>
      <c r="I399" s="82"/>
      <c r="J399" s="82"/>
      <c r="K399" s="89"/>
      <c r="L399" s="82"/>
    </row>
    <row r="400" spans="1:12" ht="14.5">
      <c r="A400" s="2" t="str">
        <f t="shared" si="18"/>
        <v/>
      </c>
      <c r="B400" s="2" t="str">
        <f t="shared" si="19"/>
        <v/>
      </c>
      <c r="C400" s="82"/>
      <c r="D400" s="82"/>
      <c r="E400" s="82"/>
      <c r="F400" s="82"/>
      <c r="G400" s="82"/>
      <c r="H400" s="82"/>
      <c r="I400" s="82"/>
      <c r="J400" s="82"/>
      <c r="K400" s="89"/>
      <c r="L400" s="82"/>
    </row>
    <row r="401" spans="1:12" ht="14.5">
      <c r="A401" s="2" t="str">
        <f t="shared" si="18"/>
        <v/>
      </c>
      <c r="B401" s="2" t="str">
        <f t="shared" si="19"/>
        <v/>
      </c>
      <c r="C401" s="82"/>
      <c r="D401" s="82"/>
      <c r="E401" s="82"/>
      <c r="F401" s="82"/>
      <c r="G401" s="82"/>
      <c r="H401" s="82"/>
      <c r="I401" s="82"/>
      <c r="J401" s="82"/>
      <c r="K401" s="89"/>
      <c r="L401" s="82"/>
    </row>
    <row r="402" spans="1:12" ht="14.5">
      <c r="A402" s="2" t="str">
        <f t="shared" si="18"/>
        <v/>
      </c>
      <c r="B402" s="2" t="str">
        <f t="shared" si="19"/>
        <v/>
      </c>
      <c r="C402" s="82"/>
      <c r="D402" s="82"/>
      <c r="E402" s="82"/>
      <c r="F402" s="82"/>
      <c r="G402" s="82"/>
      <c r="H402" s="82"/>
      <c r="I402" s="82"/>
      <c r="J402" s="82"/>
      <c r="K402" s="89"/>
      <c r="L402" s="82"/>
    </row>
    <row r="403" spans="1:12" ht="14.5">
      <c r="A403" s="2" t="str">
        <f t="shared" si="18"/>
        <v/>
      </c>
      <c r="B403" s="2" t="str">
        <f t="shared" si="19"/>
        <v/>
      </c>
      <c r="C403" s="82"/>
      <c r="D403" s="82"/>
      <c r="E403" s="82"/>
      <c r="F403" s="82"/>
      <c r="G403" s="82"/>
      <c r="H403" s="82"/>
      <c r="I403" s="82"/>
      <c r="J403" s="82"/>
      <c r="K403" s="89"/>
      <c r="L403" s="82"/>
    </row>
    <row r="404" spans="1:12" ht="14.5">
      <c r="A404" s="2" t="str">
        <f t="shared" si="18"/>
        <v/>
      </c>
      <c r="B404" s="2" t="str">
        <f t="shared" si="19"/>
        <v/>
      </c>
      <c r="C404" s="82"/>
      <c r="D404" s="82"/>
      <c r="E404" s="82"/>
      <c r="F404" s="82"/>
      <c r="G404" s="82"/>
      <c r="H404" s="82"/>
      <c r="I404" s="82"/>
      <c r="J404" s="82"/>
      <c r="K404" s="89"/>
      <c r="L404" s="82"/>
    </row>
    <row r="405" spans="1:12" ht="14.5">
      <c r="A405" s="2" t="str">
        <f t="shared" si="18"/>
        <v/>
      </c>
      <c r="B405" s="2" t="str">
        <f t="shared" si="19"/>
        <v/>
      </c>
      <c r="C405" s="82"/>
      <c r="D405" s="82"/>
      <c r="E405" s="82"/>
      <c r="F405" s="82"/>
      <c r="G405" s="82"/>
      <c r="H405" s="82"/>
      <c r="I405" s="82"/>
      <c r="J405" s="82"/>
      <c r="K405" s="89"/>
      <c r="L405" s="82"/>
    </row>
    <row r="406" spans="1:12" ht="14.5">
      <c r="A406" s="2" t="str">
        <f t="shared" si="18"/>
        <v/>
      </c>
      <c r="B406" s="2" t="str">
        <f t="shared" si="19"/>
        <v/>
      </c>
      <c r="C406" s="82"/>
      <c r="D406" s="82"/>
      <c r="E406" s="82"/>
      <c r="F406" s="82"/>
      <c r="G406" s="82"/>
      <c r="H406" s="82"/>
      <c r="I406" s="82"/>
      <c r="J406" s="82"/>
      <c r="K406" s="89"/>
      <c r="L406" s="82"/>
    </row>
    <row r="407" spans="1:12" ht="14.5">
      <c r="A407" s="2" t="str">
        <f t="shared" si="18"/>
        <v/>
      </c>
      <c r="B407" s="2" t="str">
        <f t="shared" si="19"/>
        <v/>
      </c>
      <c r="C407" s="82"/>
      <c r="D407" s="82"/>
      <c r="E407" s="82"/>
      <c r="F407" s="82"/>
      <c r="G407" s="82"/>
      <c r="H407" s="82"/>
      <c r="I407" s="82"/>
      <c r="J407" s="82"/>
      <c r="K407" s="89"/>
      <c r="L407" s="82"/>
    </row>
    <row r="408" spans="1:12" ht="14.5">
      <c r="A408" s="2" t="str">
        <f t="shared" si="18"/>
        <v/>
      </c>
      <c r="B408" s="2" t="str">
        <f t="shared" si="19"/>
        <v/>
      </c>
      <c r="C408" s="82"/>
      <c r="D408" s="82"/>
      <c r="E408" s="82"/>
      <c r="F408" s="82"/>
      <c r="G408" s="82"/>
      <c r="H408" s="82"/>
      <c r="I408" s="82"/>
      <c r="J408" s="82"/>
      <c r="K408" s="89"/>
      <c r="L408" s="82"/>
    </row>
    <row r="409" spans="1:12" ht="14.5">
      <c r="A409" s="2" t="str">
        <f t="shared" si="18"/>
        <v/>
      </c>
      <c r="B409" s="2" t="str">
        <f t="shared" si="19"/>
        <v/>
      </c>
      <c r="C409" s="82"/>
      <c r="D409" s="82"/>
      <c r="E409" s="82"/>
      <c r="F409" s="82"/>
      <c r="G409" s="82"/>
      <c r="H409" s="82"/>
      <c r="I409" s="82"/>
      <c r="J409" s="82"/>
      <c r="K409" s="89"/>
      <c r="L409" s="82"/>
    </row>
    <row r="410" spans="1:12" ht="14.5">
      <c r="A410" s="2" t="str">
        <f t="shared" si="18"/>
        <v/>
      </c>
      <c r="B410" s="2" t="str">
        <f t="shared" si="19"/>
        <v/>
      </c>
      <c r="C410" s="82"/>
      <c r="D410" s="82"/>
      <c r="E410" s="82"/>
      <c r="F410" s="82"/>
      <c r="G410" s="82"/>
      <c r="H410" s="82"/>
      <c r="I410" s="82"/>
      <c r="J410" s="82"/>
      <c r="K410" s="89"/>
      <c r="L410" s="82"/>
    </row>
    <row r="411" spans="1:12" ht="14.5">
      <c r="A411" s="2" t="str">
        <f t="shared" si="18"/>
        <v/>
      </c>
      <c r="B411" s="2" t="str">
        <f t="shared" si="19"/>
        <v/>
      </c>
      <c r="C411" s="82"/>
      <c r="D411" s="82"/>
      <c r="E411" s="82"/>
      <c r="F411" s="82"/>
      <c r="G411" s="82"/>
      <c r="H411" s="82"/>
      <c r="I411" s="82"/>
      <c r="J411" s="82"/>
      <c r="K411" s="89"/>
      <c r="L411" s="82"/>
    </row>
    <row r="412" spans="1:12" ht="14.5">
      <c r="A412" s="2" t="str">
        <f t="shared" si="18"/>
        <v/>
      </c>
      <c r="B412" s="2" t="str">
        <f t="shared" si="19"/>
        <v/>
      </c>
      <c r="C412" s="82"/>
      <c r="D412" s="82"/>
      <c r="E412" s="82"/>
      <c r="F412" s="82"/>
      <c r="G412" s="82"/>
      <c r="H412" s="82"/>
      <c r="I412" s="82"/>
      <c r="J412" s="82"/>
      <c r="K412" s="89"/>
      <c r="L412" s="82"/>
    </row>
    <row r="413" spans="1:12" ht="14.5">
      <c r="A413" s="2" t="str">
        <f t="shared" si="18"/>
        <v/>
      </c>
      <c r="B413" s="2" t="str">
        <f t="shared" si="19"/>
        <v/>
      </c>
      <c r="C413" s="82"/>
      <c r="D413" s="82"/>
      <c r="E413" s="82"/>
      <c r="F413" s="82"/>
      <c r="G413" s="82"/>
      <c r="H413" s="82"/>
      <c r="I413" s="82"/>
      <c r="J413" s="82"/>
      <c r="K413" s="89"/>
      <c r="L413" s="82"/>
    </row>
    <row r="414" spans="1:12" ht="14.5">
      <c r="A414" s="2" t="str">
        <f t="shared" si="18"/>
        <v/>
      </c>
      <c r="B414" s="2" t="str">
        <f t="shared" si="19"/>
        <v/>
      </c>
      <c r="C414" s="82"/>
      <c r="D414" s="82"/>
      <c r="E414" s="82"/>
      <c r="F414" s="82"/>
      <c r="G414" s="82"/>
      <c r="H414" s="82"/>
      <c r="I414" s="82"/>
      <c r="J414" s="82"/>
      <c r="K414" s="89"/>
      <c r="L414" s="82"/>
    </row>
    <row r="415" spans="1:12" ht="14.5">
      <c r="A415" s="2" t="str">
        <f t="shared" si="18"/>
        <v/>
      </c>
      <c r="B415" s="2" t="str">
        <f t="shared" si="19"/>
        <v/>
      </c>
      <c r="C415" s="82"/>
      <c r="D415" s="82"/>
      <c r="E415" s="82"/>
      <c r="F415" s="82"/>
      <c r="G415" s="82"/>
      <c r="H415" s="82"/>
      <c r="I415" s="82"/>
      <c r="J415" s="82"/>
      <c r="K415" s="89"/>
      <c r="L415" s="82"/>
    </row>
    <row r="416" spans="1:12" ht="14.5">
      <c r="A416" s="2" t="str">
        <f t="shared" si="18"/>
        <v/>
      </c>
      <c r="B416" s="2" t="str">
        <f t="shared" si="19"/>
        <v/>
      </c>
      <c r="C416" s="82"/>
      <c r="D416" s="82"/>
      <c r="E416" s="82"/>
      <c r="F416" s="82"/>
      <c r="G416" s="82"/>
      <c r="H416" s="82"/>
      <c r="I416" s="82"/>
      <c r="J416" s="82"/>
      <c r="K416" s="89"/>
      <c r="L416" s="82"/>
    </row>
    <row r="417" spans="1:12" ht="14.5">
      <c r="A417" s="2" t="str">
        <f t="shared" si="18"/>
        <v/>
      </c>
      <c r="B417" s="2" t="str">
        <f t="shared" si="19"/>
        <v/>
      </c>
      <c r="C417" s="82"/>
      <c r="D417" s="82"/>
      <c r="E417" s="82"/>
      <c r="F417" s="82"/>
      <c r="G417" s="82"/>
      <c r="H417" s="82"/>
      <c r="I417" s="82"/>
      <c r="J417" s="82"/>
      <c r="K417" s="89"/>
      <c r="L417" s="82"/>
    </row>
    <row r="418" spans="1:12" ht="14.5">
      <c r="A418" s="2" t="str">
        <f t="shared" si="18"/>
        <v/>
      </c>
      <c r="B418" s="2" t="str">
        <f t="shared" si="19"/>
        <v/>
      </c>
      <c r="C418" s="82"/>
      <c r="D418" s="82"/>
      <c r="E418" s="82"/>
      <c r="F418" s="82"/>
      <c r="G418" s="82"/>
      <c r="H418" s="82"/>
      <c r="I418" s="82"/>
      <c r="J418" s="82"/>
      <c r="K418" s="89"/>
      <c r="L418" s="82"/>
    </row>
    <row r="419" spans="1:12" ht="14.5">
      <c r="A419" s="2" t="str">
        <f t="shared" si="18"/>
        <v/>
      </c>
      <c r="B419" s="2" t="str">
        <f t="shared" si="19"/>
        <v/>
      </c>
      <c r="C419" s="82"/>
      <c r="D419" s="82"/>
      <c r="E419" s="82"/>
      <c r="F419" s="82"/>
      <c r="G419" s="82"/>
      <c r="H419" s="82"/>
      <c r="I419" s="82"/>
      <c r="J419" s="82"/>
      <c r="K419" s="89"/>
      <c r="L419" s="82"/>
    </row>
    <row r="420" spans="1:12" ht="14.5">
      <c r="A420" s="2" t="str">
        <f t="shared" si="18"/>
        <v/>
      </c>
      <c r="B420" s="2" t="str">
        <f t="shared" si="19"/>
        <v/>
      </c>
      <c r="C420" s="82"/>
      <c r="D420" s="82"/>
      <c r="E420" s="82"/>
      <c r="F420" s="82"/>
      <c r="G420" s="82"/>
      <c r="H420" s="82"/>
      <c r="I420" s="82"/>
      <c r="J420" s="82"/>
      <c r="K420" s="89"/>
      <c r="L420" s="82"/>
    </row>
    <row r="421" spans="1:12" ht="14.5">
      <c r="A421" s="2" t="str">
        <f t="shared" si="18"/>
        <v/>
      </c>
      <c r="B421" s="2" t="str">
        <f t="shared" si="19"/>
        <v/>
      </c>
      <c r="C421" s="82"/>
      <c r="D421" s="82"/>
      <c r="E421" s="82"/>
      <c r="F421" s="82"/>
      <c r="G421" s="82"/>
      <c r="H421" s="82"/>
      <c r="I421" s="82"/>
      <c r="J421" s="82"/>
      <c r="K421" s="89"/>
      <c r="L421" s="82"/>
    </row>
    <row r="422" spans="1:12" ht="14.5">
      <c r="A422" s="2" t="str">
        <f t="shared" si="18"/>
        <v/>
      </c>
      <c r="B422" s="2" t="str">
        <f t="shared" si="19"/>
        <v/>
      </c>
      <c r="C422" s="82"/>
      <c r="D422" s="82"/>
      <c r="E422" s="82"/>
      <c r="F422" s="82"/>
      <c r="G422" s="82"/>
      <c r="H422" s="82"/>
      <c r="I422" s="82"/>
      <c r="J422" s="82"/>
      <c r="K422" s="89"/>
      <c r="L422" s="82"/>
    </row>
    <row r="423" spans="1:12" ht="14.5">
      <c r="A423" s="2" t="str">
        <f t="shared" si="18"/>
        <v/>
      </c>
      <c r="B423" s="2" t="str">
        <f t="shared" si="19"/>
        <v/>
      </c>
      <c r="C423" s="82"/>
      <c r="D423" s="82"/>
      <c r="E423" s="82"/>
      <c r="F423" s="82"/>
      <c r="G423" s="82"/>
      <c r="H423" s="82"/>
      <c r="I423" s="82"/>
      <c r="J423" s="82"/>
      <c r="K423" s="89"/>
      <c r="L423" s="82"/>
    </row>
    <row r="424" spans="1:12" ht="14.5">
      <c r="A424" s="2" t="str">
        <f t="shared" si="18"/>
        <v/>
      </c>
      <c r="B424" s="2" t="str">
        <f t="shared" si="19"/>
        <v/>
      </c>
      <c r="C424" s="82"/>
      <c r="D424" s="82"/>
      <c r="E424" s="82"/>
      <c r="F424" s="82"/>
      <c r="G424" s="82"/>
      <c r="H424" s="82"/>
      <c r="I424" s="82"/>
      <c r="J424" s="82"/>
      <c r="K424" s="89"/>
      <c r="L424" s="82"/>
    </row>
    <row r="425" spans="1:12" ht="14.5">
      <c r="A425" s="2" t="str">
        <f t="shared" si="18"/>
        <v/>
      </c>
      <c r="B425" s="2" t="str">
        <f t="shared" si="19"/>
        <v/>
      </c>
      <c r="C425" s="82"/>
      <c r="D425" s="82"/>
      <c r="E425" s="82"/>
      <c r="F425" s="82"/>
      <c r="G425" s="82"/>
      <c r="H425" s="82"/>
      <c r="I425" s="82"/>
      <c r="J425" s="82"/>
      <c r="K425" s="89"/>
      <c r="L425" s="82"/>
    </row>
    <row r="426" spans="1:12" ht="14.5">
      <c r="A426" s="2" t="str">
        <f t="shared" si="18"/>
        <v/>
      </c>
      <c r="B426" s="2" t="str">
        <f t="shared" si="19"/>
        <v/>
      </c>
      <c r="C426" s="82"/>
      <c r="D426" s="82"/>
      <c r="E426" s="82"/>
      <c r="F426" s="82"/>
      <c r="G426" s="82"/>
      <c r="H426" s="82"/>
      <c r="I426" s="82"/>
      <c r="J426" s="82"/>
      <c r="K426" s="89"/>
      <c r="L426" s="82"/>
    </row>
    <row r="427" spans="1:12" ht="14.5">
      <c r="A427" s="2" t="str">
        <f t="shared" si="18"/>
        <v/>
      </c>
      <c r="B427" s="2" t="str">
        <f t="shared" si="19"/>
        <v/>
      </c>
      <c r="C427" s="82"/>
      <c r="D427" s="82"/>
      <c r="E427" s="82"/>
      <c r="F427" s="82"/>
      <c r="G427" s="82"/>
      <c r="H427" s="82"/>
      <c r="I427" s="82"/>
      <c r="J427" s="82"/>
      <c r="K427" s="89"/>
      <c r="L427" s="82"/>
    </row>
    <row r="428" spans="1:12" ht="14.5">
      <c r="A428" s="2" t="str">
        <f t="shared" si="18"/>
        <v/>
      </c>
      <c r="B428" s="2" t="str">
        <f t="shared" si="19"/>
        <v/>
      </c>
      <c r="C428" s="82"/>
      <c r="D428" s="82"/>
      <c r="E428" s="82"/>
      <c r="F428" s="82"/>
      <c r="G428" s="82"/>
      <c r="H428" s="82"/>
      <c r="I428" s="82"/>
      <c r="J428" s="82"/>
      <c r="K428" s="89"/>
      <c r="L428" s="82"/>
    </row>
    <row r="429" spans="1:12" ht="14.5">
      <c r="A429" s="2" t="str">
        <f t="shared" si="18"/>
        <v/>
      </c>
      <c r="B429" s="2" t="str">
        <f t="shared" si="19"/>
        <v/>
      </c>
      <c r="C429" s="82"/>
      <c r="D429" s="82"/>
      <c r="E429" s="82"/>
      <c r="F429" s="82"/>
      <c r="G429" s="82"/>
      <c r="H429" s="82"/>
      <c r="I429" s="82"/>
      <c r="J429" s="82"/>
      <c r="K429" s="89"/>
      <c r="L429" s="82"/>
    </row>
    <row r="430" spans="1:12" ht="14.5">
      <c r="A430" s="2" t="str">
        <f t="shared" si="18"/>
        <v/>
      </c>
      <c r="B430" s="2" t="str">
        <f t="shared" si="19"/>
        <v/>
      </c>
      <c r="C430" s="82"/>
      <c r="D430" s="82"/>
      <c r="E430" s="82"/>
      <c r="F430" s="82"/>
      <c r="G430" s="82"/>
      <c r="H430" s="82"/>
      <c r="I430" s="82"/>
      <c r="J430" s="82"/>
      <c r="K430" s="89"/>
      <c r="L430" s="82"/>
    </row>
    <row r="431" spans="1:12" ht="14.5">
      <c r="A431" s="2" t="str">
        <f t="shared" si="18"/>
        <v/>
      </c>
      <c r="B431" s="2" t="str">
        <f t="shared" si="19"/>
        <v/>
      </c>
      <c r="C431" s="82"/>
      <c r="D431" s="82"/>
      <c r="E431" s="82"/>
      <c r="F431" s="82"/>
      <c r="G431" s="82"/>
      <c r="H431" s="82"/>
      <c r="I431" s="82"/>
      <c r="J431" s="82"/>
      <c r="K431" s="89"/>
      <c r="L431" s="82"/>
    </row>
    <row r="432" spans="1:12" ht="14.5">
      <c r="A432" s="2" t="str">
        <f t="shared" si="18"/>
        <v/>
      </c>
      <c r="B432" s="2" t="str">
        <f t="shared" si="19"/>
        <v/>
      </c>
      <c r="C432" s="82"/>
      <c r="D432" s="82"/>
      <c r="E432" s="82"/>
      <c r="F432" s="82"/>
      <c r="G432" s="82"/>
      <c r="H432" s="82"/>
      <c r="I432" s="82"/>
      <c r="J432" s="82"/>
      <c r="K432" s="89"/>
      <c r="L432" s="82"/>
    </row>
    <row r="433" spans="1:12" ht="14.5">
      <c r="A433" s="2" t="str">
        <f t="shared" si="18"/>
        <v/>
      </c>
      <c r="B433" s="2" t="str">
        <f t="shared" si="19"/>
        <v/>
      </c>
      <c r="C433" s="82"/>
      <c r="D433" s="82"/>
      <c r="E433" s="82"/>
      <c r="F433" s="82"/>
      <c r="G433" s="82"/>
      <c r="H433" s="82"/>
      <c r="I433" s="82"/>
      <c r="J433" s="82"/>
      <c r="K433" s="89"/>
      <c r="L433" s="82"/>
    </row>
    <row r="434" spans="1:12" ht="14.5">
      <c r="A434" s="2" t="str">
        <f t="shared" si="18"/>
        <v/>
      </c>
      <c r="B434" s="2" t="str">
        <f t="shared" si="19"/>
        <v/>
      </c>
      <c r="C434" s="82"/>
      <c r="D434" s="82"/>
      <c r="E434" s="82"/>
      <c r="F434" s="82"/>
      <c r="G434" s="82"/>
      <c r="H434" s="82"/>
      <c r="I434" s="82"/>
      <c r="J434" s="82"/>
      <c r="K434" s="89"/>
      <c r="L434" s="82"/>
    </row>
    <row r="435" spans="1:12" ht="14.5">
      <c r="A435" s="2" t="str">
        <f t="shared" si="18"/>
        <v/>
      </c>
      <c r="B435" s="2" t="str">
        <f t="shared" si="19"/>
        <v/>
      </c>
      <c r="C435" s="82"/>
      <c r="D435" s="82"/>
      <c r="E435" s="82"/>
      <c r="F435" s="82"/>
      <c r="G435" s="82"/>
      <c r="H435" s="82"/>
      <c r="I435" s="82"/>
      <c r="J435" s="82"/>
      <c r="K435" s="89"/>
      <c r="L435" s="82"/>
    </row>
    <row r="436" spans="1:12" ht="14.5">
      <c r="A436" s="2" t="str">
        <f t="shared" si="18"/>
        <v/>
      </c>
      <c r="B436" s="2" t="str">
        <f t="shared" si="19"/>
        <v/>
      </c>
      <c r="C436" s="82"/>
      <c r="D436" s="82"/>
      <c r="E436" s="82"/>
      <c r="F436" s="82"/>
      <c r="G436" s="82"/>
      <c r="H436" s="82"/>
      <c r="I436" s="82"/>
      <c r="J436" s="82"/>
      <c r="K436" s="89"/>
      <c r="L436" s="82"/>
    </row>
    <row r="437" spans="1:12" ht="14.5">
      <c r="A437" s="2" t="str">
        <f t="shared" ref="A437:A500" si="20">+C437&amp;G437&amp;H437&amp;D437</f>
        <v/>
      </c>
      <c r="B437" s="2" t="str">
        <f t="shared" ref="B437:B500" si="21">+C437&amp;G437&amp;H437&amp;D437&amp;K437</f>
        <v/>
      </c>
      <c r="C437" s="82"/>
      <c r="D437" s="82"/>
      <c r="E437" s="82"/>
      <c r="F437" s="82"/>
      <c r="G437" s="82"/>
      <c r="H437" s="82"/>
      <c r="I437" s="82"/>
      <c r="J437" s="82"/>
      <c r="K437" s="89"/>
      <c r="L437" s="82"/>
    </row>
    <row r="438" spans="1:12" ht="14.5">
      <c r="A438" s="2" t="str">
        <f t="shared" si="20"/>
        <v/>
      </c>
      <c r="B438" s="2" t="str">
        <f t="shared" si="21"/>
        <v/>
      </c>
      <c r="C438" s="82"/>
      <c r="D438" s="82"/>
      <c r="E438" s="82"/>
      <c r="F438" s="82"/>
      <c r="G438" s="82"/>
      <c r="H438" s="82"/>
      <c r="I438" s="82"/>
      <c r="J438" s="82"/>
      <c r="K438" s="89"/>
      <c r="L438" s="82"/>
    </row>
    <row r="439" spans="1:12" ht="14.5">
      <c r="A439" s="2" t="str">
        <f t="shared" si="20"/>
        <v/>
      </c>
      <c r="B439" s="2" t="str">
        <f t="shared" si="21"/>
        <v/>
      </c>
      <c r="C439" s="82"/>
      <c r="D439" s="82"/>
      <c r="E439" s="82"/>
      <c r="F439" s="82"/>
      <c r="G439" s="82"/>
      <c r="H439" s="82"/>
      <c r="I439" s="82"/>
      <c r="J439" s="82"/>
      <c r="K439" s="89"/>
      <c r="L439" s="82"/>
    </row>
    <row r="440" spans="1:12" ht="14.5">
      <c r="A440" s="2" t="str">
        <f t="shared" si="20"/>
        <v/>
      </c>
      <c r="B440" s="2" t="str">
        <f t="shared" si="21"/>
        <v/>
      </c>
      <c r="C440" s="82"/>
      <c r="D440" s="82"/>
      <c r="E440" s="82"/>
      <c r="F440" s="82"/>
      <c r="G440" s="82"/>
      <c r="H440" s="82"/>
      <c r="I440" s="82"/>
      <c r="J440" s="82"/>
      <c r="K440" s="89"/>
      <c r="L440" s="82"/>
    </row>
    <row r="441" spans="1:12" ht="14.5">
      <c r="A441" s="2" t="str">
        <f t="shared" si="20"/>
        <v/>
      </c>
      <c r="B441" s="2" t="str">
        <f t="shared" si="21"/>
        <v/>
      </c>
      <c r="C441" s="82"/>
      <c r="D441" s="82"/>
      <c r="E441" s="82"/>
      <c r="F441" s="82"/>
      <c r="G441" s="82"/>
      <c r="H441" s="82"/>
      <c r="I441" s="82"/>
      <c r="J441" s="82"/>
      <c r="K441" s="89"/>
      <c r="L441" s="82"/>
    </row>
    <row r="442" spans="1:12" ht="14.5">
      <c r="A442" s="2" t="str">
        <f t="shared" si="20"/>
        <v/>
      </c>
      <c r="B442" s="2" t="str">
        <f t="shared" si="21"/>
        <v/>
      </c>
      <c r="C442" s="82"/>
      <c r="D442" s="82"/>
      <c r="E442" s="82"/>
      <c r="F442" s="82"/>
      <c r="G442" s="82"/>
      <c r="H442" s="82"/>
      <c r="I442" s="82"/>
      <c r="J442" s="82"/>
      <c r="K442" s="89"/>
      <c r="L442" s="82"/>
    </row>
    <row r="443" spans="1:12" ht="14.5">
      <c r="A443" s="2" t="str">
        <f t="shared" si="20"/>
        <v/>
      </c>
      <c r="B443" s="2" t="str">
        <f t="shared" si="21"/>
        <v/>
      </c>
      <c r="C443" s="82"/>
      <c r="D443" s="82"/>
      <c r="E443" s="82"/>
      <c r="F443" s="82"/>
      <c r="G443" s="82"/>
      <c r="H443" s="82"/>
      <c r="I443" s="82"/>
      <c r="J443" s="82"/>
      <c r="K443" s="89"/>
      <c r="L443" s="82"/>
    </row>
    <row r="444" spans="1:12" ht="14.5">
      <c r="A444" s="2" t="str">
        <f t="shared" si="20"/>
        <v/>
      </c>
      <c r="B444" s="2" t="str">
        <f t="shared" si="21"/>
        <v/>
      </c>
      <c r="C444" s="82"/>
      <c r="D444" s="82"/>
      <c r="E444" s="82"/>
      <c r="F444" s="82"/>
      <c r="G444" s="82"/>
      <c r="H444" s="82"/>
      <c r="I444" s="82"/>
      <c r="J444" s="82"/>
      <c r="K444" s="89"/>
      <c r="L444" s="82"/>
    </row>
    <row r="445" spans="1:12" ht="14.5">
      <c r="A445" s="2" t="str">
        <f t="shared" si="20"/>
        <v/>
      </c>
      <c r="B445" s="2" t="str">
        <f t="shared" si="21"/>
        <v/>
      </c>
      <c r="C445" s="82"/>
      <c r="D445" s="82"/>
      <c r="E445" s="82"/>
      <c r="F445" s="82"/>
      <c r="G445" s="82"/>
      <c r="H445" s="82"/>
      <c r="I445" s="82"/>
      <c r="J445" s="82"/>
      <c r="K445" s="89"/>
      <c r="L445" s="82"/>
    </row>
    <row r="446" spans="1:12" ht="14.5">
      <c r="A446" s="2" t="str">
        <f t="shared" si="20"/>
        <v/>
      </c>
      <c r="B446" s="2" t="str">
        <f t="shared" si="21"/>
        <v/>
      </c>
      <c r="C446" s="82"/>
      <c r="D446" s="82"/>
      <c r="E446" s="82"/>
      <c r="F446" s="82"/>
      <c r="G446" s="82"/>
      <c r="H446" s="82"/>
      <c r="I446" s="82"/>
      <c r="J446" s="82"/>
      <c r="K446" s="89"/>
      <c r="L446" s="82"/>
    </row>
    <row r="447" spans="1:12" ht="14.5">
      <c r="A447" s="2" t="str">
        <f t="shared" si="20"/>
        <v/>
      </c>
      <c r="B447" s="2" t="str">
        <f t="shared" si="21"/>
        <v/>
      </c>
      <c r="C447" s="82"/>
      <c r="D447" s="82"/>
      <c r="E447" s="82"/>
      <c r="F447" s="82"/>
      <c r="G447" s="82"/>
      <c r="H447" s="82"/>
      <c r="I447" s="82"/>
      <c r="J447" s="82"/>
      <c r="K447" s="89"/>
      <c r="L447" s="82"/>
    </row>
    <row r="448" spans="1:12" ht="14.5">
      <c r="A448" s="2" t="str">
        <f t="shared" si="20"/>
        <v/>
      </c>
      <c r="B448" s="2" t="str">
        <f t="shared" si="21"/>
        <v/>
      </c>
      <c r="C448" s="82"/>
      <c r="D448" s="82"/>
      <c r="E448" s="82"/>
      <c r="F448" s="82"/>
      <c r="G448" s="82"/>
      <c r="H448" s="82"/>
      <c r="I448" s="82"/>
      <c r="J448" s="82"/>
      <c r="K448" s="89"/>
      <c r="L448" s="82"/>
    </row>
    <row r="449" spans="1:12" ht="14.5">
      <c r="A449" s="2" t="str">
        <f t="shared" si="20"/>
        <v/>
      </c>
      <c r="B449" s="2" t="str">
        <f t="shared" si="21"/>
        <v/>
      </c>
      <c r="C449" s="82"/>
      <c r="D449" s="82"/>
      <c r="E449" s="82"/>
      <c r="F449" s="82"/>
      <c r="G449" s="82"/>
      <c r="H449" s="82"/>
      <c r="I449" s="82"/>
      <c r="J449" s="82"/>
      <c r="K449" s="89"/>
      <c r="L449" s="82"/>
    </row>
    <row r="450" spans="1:12" ht="14.5">
      <c r="A450" s="2" t="str">
        <f t="shared" si="20"/>
        <v/>
      </c>
      <c r="B450" s="2" t="str">
        <f t="shared" si="21"/>
        <v/>
      </c>
      <c r="C450" s="82"/>
      <c r="D450" s="82"/>
      <c r="E450" s="82"/>
      <c r="F450" s="82"/>
      <c r="G450" s="82"/>
      <c r="H450" s="82"/>
      <c r="I450" s="82"/>
      <c r="J450" s="82"/>
      <c r="K450" s="89"/>
      <c r="L450" s="82"/>
    </row>
    <row r="451" spans="1:12" ht="14.5">
      <c r="A451" s="2" t="str">
        <f t="shared" si="20"/>
        <v/>
      </c>
      <c r="B451" s="2" t="str">
        <f t="shared" si="21"/>
        <v/>
      </c>
      <c r="C451" s="82"/>
      <c r="D451" s="82"/>
      <c r="E451" s="82"/>
      <c r="F451" s="82"/>
      <c r="G451" s="82"/>
      <c r="H451" s="82"/>
      <c r="I451" s="82"/>
      <c r="J451" s="82"/>
      <c r="K451" s="89"/>
      <c r="L451" s="82"/>
    </row>
    <row r="452" spans="1:12" ht="14.5">
      <c r="A452" s="2" t="str">
        <f t="shared" si="20"/>
        <v/>
      </c>
      <c r="B452" s="2" t="str">
        <f t="shared" si="21"/>
        <v/>
      </c>
      <c r="C452" s="82"/>
      <c r="D452" s="82"/>
      <c r="E452" s="82"/>
      <c r="F452" s="82"/>
      <c r="G452" s="82"/>
      <c r="H452" s="82"/>
      <c r="I452" s="82"/>
      <c r="J452" s="82"/>
      <c r="K452" s="89"/>
      <c r="L452" s="82"/>
    </row>
    <row r="453" spans="1:12" ht="14.5">
      <c r="A453" s="2" t="str">
        <f t="shared" si="20"/>
        <v/>
      </c>
      <c r="B453" s="2" t="str">
        <f t="shared" si="21"/>
        <v/>
      </c>
      <c r="C453" s="82"/>
      <c r="D453" s="82"/>
      <c r="E453" s="82"/>
      <c r="F453" s="82"/>
      <c r="G453" s="82"/>
      <c r="H453" s="82"/>
      <c r="I453" s="82"/>
      <c r="J453" s="82"/>
      <c r="K453" s="89"/>
      <c r="L453" s="82"/>
    </row>
    <row r="454" spans="1:12" ht="14.5">
      <c r="A454" s="2" t="str">
        <f t="shared" si="20"/>
        <v/>
      </c>
      <c r="B454" s="2" t="str">
        <f t="shared" si="21"/>
        <v/>
      </c>
      <c r="C454" s="82"/>
      <c r="D454" s="82"/>
      <c r="E454" s="82"/>
      <c r="F454" s="82"/>
      <c r="G454" s="82"/>
      <c r="H454" s="82"/>
      <c r="I454" s="82"/>
      <c r="J454" s="82"/>
      <c r="K454" s="89"/>
      <c r="L454" s="82"/>
    </row>
    <row r="455" spans="1:12" ht="14.5">
      <c r="A455" s="2" t="str">
        <f t="shared" si="20"/>
        <v/>
      </c>
      <c r="B455" s="2" t="str">
        <f t="shared" si="21"/>
        <v/>
      </c>
      <c r="C455" s="82"/>
      <c r="D455" s="82"/>
      <c r="E455" s="82"/>
      <c r="F455" s="82"/>
      <c r="G455" s="82"/>
      <c r="H455" s="82"/>
      <c r="I455" s="82"/>
      <c r="J455" s="82"/>
      <c r="K455" s="89"/>
      <c r="L455" s="82"/>
    </row>
    <row r="456" spans="1:12" ht="14.5">
      <c r="A456" s="2" t="str">
        <f t="shared" si="20"/>
        <v/>
      </c>
      <c r="B456" s="2" t="str">
        <f t="shared" si="21"/>
        <v/>
      </c>
      <c r="C456" s="82"/>
      <c r="D456" s="82"/>
      <c r="E456" s="82"/>
      <c r="F456" s="82"/>
      <c r="G456" s="82"/>
      <c r="H456" s="82"/>
      <c r="I456" s="82"/>
      <c r="J456" s="82"/>
      <c r="K456" s="89"/>
      <c r="L456" s="82"/>
    </row>
    <row r="457" spans="1:12" ht="14.5">
      <c r="A457" s="2" t="str">
        <f t="shared" si="20"/>
        <v/>
      </c>
      <c r="B457" s="2" t="str">
        <f t="shared" si="21"/>
        <v/>
      </c>
      <c r="C457" s="82"/>
      <c r="D457" s="82"/>
      <c r="E457" s="82"/>
      <c r="F457" s="82"/>
      <c r="G457" s="82"/>
      <c r="H457" s="82"/>
      <c r="I457" s="82"/>
      <c r="J457" s="82"/>
      <c r="K457" s="89"/>
      <c r="L457" s="82"/>
    </row>
    <row r="458" spans="1:12" ht="14.5">
      <c r="A458" s="2" t="str">
        <f t="shared" si="20"/>
        <v/>
      </c>
      <c r="B458" s="2" t="str">
        <f t="shared" si="21"/>
        <v/>
      </c>
      <c r="C458" s="82"/>
      <c r="D458" s="82"/>
      <c r="E458" s="82"/>
      <c r="F458" s="82"/>
      <c r="G458" s="82"/>
      <c r="H458" s="82"/>
      <c r="I458" s="82"/>
      <c r="J458" s="82"/>
      <c r="K458" s="89"/>
      <c r="L458" s="82"/>
    </row>
    <row r="459" spans="1:12" ht="14.5">
      <c r="A459" s="2" t="str">
        <f t="shared" si="20"/>
        <v/>
      </c>
      <c r="B459" s="2" t="str">
        <f t="shared" si="21"/>
        <v/>
      </c>
      <c r="C459" s="82"/>
      <c r="D459" s="82"/>
      <c r="E459" s="82"/>
      <c r="F459" s="82"/>
      <c r="G459" s="82"/>
      <c r="H459" s="82"/>
      <c r="I459" s="82"/>
      <c r="J459" s="82"/>
      <c r="K459" s="89"/>
      <c r="L459" s="82"/>
    </row>
    <row r="460" spans="1:12" ht="14.5">
      <c r="A460" s="2" t="str">
        <f t="shared" si="20"/>
        <v/>
      </c>
      <c r="B460" s="2" t="str">
        <f t="shared" si="21"/>
        <v/>
      </c>
      <c r="C460" s="82"/>
      <c r="D460" s="82"/>
      <c r="E460" s="82"/>
      <c r="F460" s="82"/>
      <c r="G460" s="82"/>
      <c r="H460" s="82"/>
      <c r="I460" s="82"/>
      <c r="J460" s="82"/>
      <c r="K460" s="89"/>
      <c r="L460" s="82"/>
    </row>
    <row r="461" spans="1:12" ht="14.5">
      <c r="A461" s="2" t="str">
        <f t="shared" si="20"/>
        <v/>
      </c>
      <c r="B461" s="2" t="str">
        <f t="shared" si="21"/>
        <v/>
      </c>
      <c r="C461" s="82"/>
      <c r="D461" s="82"/>
      <c r="E461" s="82"/>
      <c r="F461" s="82"/>
      <c r="G461" s="82"/>
      <c r="H461" s="82"/>
      <c r="I461" s="82"/>
      <c r="J461" s="82"/>
      <c r="K461" s="89"/>
      <c r="L461" s="82"/>
    </row>
    <row r="462" spans="1:12" ht="14.5">
      <c r="A462" s="2" t="str">
        <f t="shared" si="20"/>
        <v/>
      </c>
      <c r="B462" s="2" t="str">
        <f t="shared" si="21"/>
        <v/>
      </c>
      <c r="C462" s="82"/>
      <c r="D462" s="82"/>
      <c r="E462" s="82"/>
      <c r="F462" s="82"/>
      <c r="G462" s="82"/>
      <c r="H462" s="82"/>
      <c r="I462" s="82"/>
      <c r="J462" s="82"/>
      <c r="K462" s="89"/>
      <c r="L462" s="82"/>
    </row>
    <row r="463" spans="1:12" ht="14.5">
      <c r="A463" s="2" t="str">
        <f t="shared" si="20"/>
        <v/>
      </c>
      <c r="B463" s="2" t="str">
        <f t="shared" si="21"/>
        <v/>
      </c>
      <c r="C463" s="82"/>
      <c r="D463" s="82"/>
      <c r="E463" s="82"/>
      <c r="F463" s="82"/>
      <c r="G463" s="82"/>
      <c r="H463" s="82"/>
      <c r="I463" s="82"/>
      <c r="J463" s="82"/>
      <c r="K463" s="89"/>
      <c r="L463" s="82"/>
    </row>
    <row r="464" spans="1:12" ht="14.5">
      <c r="A464" s="2" t="str">
        <f t="shared" si="20"/>
        <v/>
      </c>
      <c r="B464" s="2" t="str">
        <f t="shared" si="21"/>
        <v/>
      </c>
      <c r="C464" s="82"/>
      <c r="D464" s="82"/>
      <c r="E464" s="82"/>
      <c r="F464" s="82"/>
      <c r="G464" s="82"/>
      <c r="H464" s="82"/>
      <c r="I464" s="82"/>
      <c r="J464" s="82"/>
      <c r="K464" s="89"/>
      <c r="L464" s="82"/>
    </row>
    <row r="465" spans="1:12" ht="14.5">
      <c r="A465" s="2" t="str">
        <f t="shared" si="20"/>
        <v/>
      </c>
      <c r="B465" s="2" t="str">
        <f t="shared" si="21"/>
        <v/>
      </c>
      <c r="C465" s="82"/>
      <c r="D465" s="82"/>
      <c r="E465" s="82"/>
      <c r="F465" s="82"/>
      <c r="G465" s="82"/>
      <c r="H465" s="82"/>
      <c r="I465" s="82"/>
      <c r="J465" s="82"/>
      <c r="K465" s="89"/>
      <c r="L465" s="82"/>
    </row>
    <row r="466" spans="1:12" ht="14.5">
      <c r="A466" s="2" t="str">
        <f t="shared" si="20"/>
        <v/>
      </c>
      <c r="B466" s="2" t="str">
        <f t="shared" si="21"/>
        <v/>
      </c>
      <c r="C466" s="82"/>
      <c r="D466" s="82"/>
      <c r="E466" s="82"/>
      <c r="F466" s="82"/>
      <c r="G466" s="82"/>
      <c r="H466" s="82"/>
      <c r="I466" s="82"/>
      <c r="J466" s="82"/>
      <c r="K466" s="89"/>
      <c r="L466" s="82"/>
    </row>
    <row r="467" spans="1:12" ht="14.5">
      <c r="A467" s="2" t="str">
        <f t="shared" si="20"/>
        <v/>
      </c>
      <c r="B467" s="2" t="str">
        <f t="shared" si="21"/>
        <v/>
      </c>
      <c r="C467" s="82"/>
      <c r="D467" s="82"/>
      <c r="E467" s="82"/>
      <c r="F467" s="82"/>
      <c r="G467" s="82"/>
      <c r="H467" s="82"/>
      <c r="I467" s="82"/>
      <c r="J467" s="82"/>
      <c r="K467" s="89"/>
      <c r="L467" s="82"/>
    </row>
    <row r="468" spans="1:12" ht="14.5">
      <c r="A468" s="2" t="str">
        <f t="shared" si="20"/>
        <v/>
      </c>
      <c r="B468" s="2" t="str">
        <f t="shared" si="21"/>
        <v/>
      </c>
      <c r="C468" s="82"/>
      <c r="D468" s="82"/>
      <c r="E468" s="82"/>
      <c r="F468" s="82"/>
      <c r="G468" s="82"/>
      <c r="H468" s="82"/>
      <c r="I468" s="82"/>
      <c r="J468" s="82"/>
      <c r="K468" s="89"/>
      <c r="L468" s="82"/>
    </row>
    <row r="469" spans="1:12" ht="14.5">
      <c r="A469" s="2" t="str">
        <f t="shared" si="20"/>
        <v/>
      </c>
      <c r="B469" s="2" t="str">
        <f t="shared" si="21"/>
        <v/>
      </c>
      <c r="C469" s="82"/>
      <c r="D469" s="82"/>
      <c r="E469" s="82"/>
      <c r="F469" s="82"/>
      <c r="G469" s="82"/>
      <c r="H469" s="82"/>
      <c r="I469" s="82"/>
      <c r="J469" s="82"/>
      <c r="K469" s="89"/>
      <c r="L469" s="82"/>
    </row>
    <row r="470" spans="1:12" ht="14.5">
      <c r="A470" s="2" t="str">
        <f t="shared" si="20"/>
        <v/>
      </c>
      <c r="B470" s="2" t="str">
        <f t="shared" si="21"/>
        <v/>
      </c>
      <c r="C470" s="82"/>
      <c r="D470" s="82"/>
      <c r="E470" s="82"/>
      <c r="F470" s="82"/>
      <c r="G470" s="82"/>
      <c r="H470" s="82"/>
      <c r="I470" s="82"/>
      <c r="J470" s="82"/>
      <c r="K470" s="89"/>
      <c r="L470" s="82"/>
    </row>
    <row r="471" spans="1:12" ht="14.5">
      <c r="A471" s="2" t="str">
        <f t="shared" si="20"/>
        <v/>
      </c>
      <c r="B471" s="2" t="str">
        <f t="shared" si="21"/>
        <v/>
      </c>
      <c r="C471" s="82"/>
      <c r="D471" s="82"/>
      <c r="E471" s="82"/>
      <c r="F471" s="82"/>
      <c r="G471" s="82"/>
      <c r="H471" s="82"/>
      <c r="I471" s="82"/>
      <c r="J471" s="82"/>
      <c r="K471" s="89"/>
      <c r="L471" s="82"/>
    </row>
    <row r="472" spans="1:12" ht="14.5">
      <c r="A472" s="2" t="str">
        <f t="shared" si="20"/>
        <v/>
      </c>
      <c r="B472" s="2" t="str">
        <f t="shared" si="21"/>
        <v/>
      </c>
      <c r="C472" s="82"/>
      <c r="D472" s="82"/>
      <c r="E472" s="82"/>
      <c r="F472" s="82"/>
      <c r="G472" s="82"/>
      <c r="H472" s="82"/>
      <c r="I472" s="82"/>
      <c r="J472" s="82"/>
      <c r="K472" s="89"/>
      <c r="L472" s="82"/>
    </row>
    <row r="473" spans="1:12" ht="14.5">
      <c r="A473" s="2" t="str">
        <f t="shared" si="20"/>
        <v/>
      </c>
      <c r="B473" s="2" t="str">
        <f t="shared" si="21"/>
        <v/>
      </c>
      <c r="C473" s="82"/>
      <c r="D473" s="82"/>
      <c r="E473" s="82"/>
      <c r="F473" s="82"/>
      <c r="G473" s="82"/>
      <c r="H473" s="82"/>
      <c r="I473" s="82"/>
      <c r="J473" s="82"/>
      <c r="K473" s="89"/>
      <c r="L473" s="82"/>
    </row>
    <row r="474" spans="1:12" ht="14.5">
      <c r="A474" s="2" t="str">
        <f t="shared" si="20"/>
        <v/>
      </c>
      <c r="B474" s="2" t="str">
        <f t="shared" si="21"/>
        <v/>
      </c>
      <c r="C474" s="82"/>
      <c r="D474" s="82"/>
      <c r="E474" s="82"/>
      <c r="F474" s="82"/>
      <c r="G474" s="82"/>
      <c r="H474" s="82"/>
      <c r="I474" s="82"/>
      <c r="J474" s="82"/>
      <c r="K474" s="89"/>
      <c r="L474" s="82"/>
    </row>
    <row r="475" spans="1:12" ht="14.5">
      <c r="A475" s="2" t="str">
        <f t="shared" si="20"/>
        <v/>
      </c>
      <c r="B475" s="2" t="str">
        <f t="shared" si="21"/>
        <v/>
      </c>
      <c r="C475" s="82"/>
      <c r="D475" s="82"/>
      <c r="E475" s="82"/>
      <c r="F475" s="82"/>
      <c r="G475" s="82"/>
      <c r="H475" s="82"/>
      <c r="I475" s="82"/>
      <c r="J475" s="82"/>
      <c r="K475" s="89"/>
      <c r="L475" s="82"/>
    </row>
    <row r="476" spans="1:12" ht="14.5">
      <c r="A476" s="2" t="str">
        <f t="shared" si="20"/>
        <v/>
      </c>
      <c r="B476" s="2" t="str">
        <f t="shared" si="21"/>
        <v/>
      </c>
      <c r="C476" s="82"/>
      <c r="D476" s="82"/>
      <c r="E476" s="82"/>
      <c r="F476" s="82"/>
      <c r="G476" s="82"/>
      <c r="H476" s="82"/>
      <c r="I476" s="82"/>
      <c r="J476" s="82"/>
      <c r="K476" s="89"/>
      <c r="L476" s="82"/>
    </row>
    <row r="477" spans="1:12" ht="14.5">
      <c r="A477" s="2" t="str">
        <f t="shared" si="20"/>
        <v/>
      </c>
      <c r="B477" s="2" t="str">
        <f t="shared" si="21"/>
        <v/>
      </c>
      <c r="C477" s="82"/>
      <c r="D477" s="82"/>
      <c r="E477" s="82"/>
      <c r="F477" s="82"/>
      <c r="G477" s="82"/>
      <c r="H477" s="82"/>
      <c r="I477" s="82"/>
      <c r="J477" s="82"/>
      <c r="K477" s="89"/>
      <c r="L477" s="82"/>
    </row>
    <row r="478" spans="1:12" ht="14.5">
      <c r="A478" s="2" t="str">
        <f t="shared" si="20"/>
        <v/>
      </c>
      <c r="B478" s="2" t="str">
        <f t="shared" si="21"/>
        <v/>
      </c>
      <c r="C478" s="82"/>
      <c r="D478" s="82"/>
      <c r="E478" s="82"/>
      <c r="F478" s="82"/>
      <c r="G478" s="82"/>
      <c r="H478" s="82"/>
      <c r="I478" s="82"/>
      <c r="J478" s="82"/>
      <c r="K478" s="89"/>
      <c r="L478" s="82"/>
    </row>
    <row r="479" spans="1:12" ht="14.5">
      <c r="A479" s="2" t="str">
        <f t="shared" si="20"/>
        <v/>
      </c>
      <c r="B479" s="2" t="str">
        <f t="shared" si="21"/>
        <v/>
      </c>
      <c r="C479" s="82"/>
      <c r="D479" s="82"/>
      <c r="E479" s="82"/>
      <c r="F479" s="82"/>
      <c r="G479" s="82"/>
      <c r="H479" s="82"/>
      <c r="I479" s="82"/>
      <c r="J479" s="82"/>
      <c r="K479" s="89"/>
      <c r="L479" s="82"/>
    </row>
    <row r="480" spans="1:12" ht="14.5">
      <c r="A480" s="2" t="str">
        <f t="shared" si="20"/>
        <v/>
      </c>
      <c r="B480" s="2" t="str">
        <f t="shared" si="21"/>
        <v/>
      </c>
      <c r="C480" s="82"/>
      <c r="D480" s="82"/>
      <c r="E480" s="82"/>
      <c r="F480" s="82"/>
      <c r="G480" s="82"/>
      <c r="H480" s="82"/>
      <c r="I480" s="82"/>
      <c r="J480" s="82"/>
      <c r="K480" s="89"/>
      <c r="L480" s="82"/>
    </row>
    <row r="481" spans="1:12" ht="14.5">
      <c r="A481" s="2" t="str">
        <f t="shared" si="20"/>
        <v/>
      </c>
      <c r="B481" s="2" t="str">
        <f t="shared" si="21"/>
        <v/>
      </c>
      <c r="C481" s="82"/>
      <c r="D481" s="82"/>
      <c r="E481" s="82"/>
      <c r="F481" s="82"/>
      <c r="G481" s="82"/>
      <c r="H481" s="82"/>
      <c r="I481" s="82"/>
      <c r="J481" s="82"/>
      <c r="K481" s="89"/>
      <c r="L481" s="82"/>
    </row>
    <row r="482" spans="1:12" ht="14.5">
      <c r="A482" s="2" t="str">
        <f t="shared" si="20"/>
        <v/>
      </c>
      <c r="B482" s="2" t="str">
        <f t="shared" si="21"/>
        <v/>
      </c>
      <c r="C482" s="82"/>
      <c r="D482" s="82"/>
      <c r="E482" s="82"/>
      <c r="F482" s="82"/>
      <c r="G482" s="82"/>
      <c r="H482" s="82"/>
      <c r="I482" s="82"/>
      <c r="J482" s="82"/>
      <c r="K482" s="89"/>
      <c r="L482" s="82"/>
    </row>
    <row r="483" spans="1:12" ht="14.5">
      <c r="A483" s="2" t="str">
        <f t="shared" si="20"/>
        <v/>
      </c>
      <c r="B483" s="2" t="str">
        <f t="shared" si="21"/>
        <v/>
      </c>
      <c r="C483" s="82"/>
      <c r="D483" s="82"/>
      <c r="E483" s="82"/>
      <c r="F483" s="82"/>
      <c r="G483" s="82"/>
      <c r="H483" s="82"/>
      <c r="I483" s="82"/>
      <c r="J483" s="82"/>
      <c r="K483" s="89"/>
      <c r="L483" s="82"/>
    </row>
    <row r="484" spans="1:12" ht="14.5">
      <c r="A484" s="2" t="str">
        <f t="shared" si="20"/>
        <v/>
      </c>
      <c r="B484" s="2" t="str">
        <f t="shared" si="21"/>
        <v/>
      </c>
      <c r="C484" s="82"/>
      <c r="D484" s="82"/>
      <c r="E484" s="82"/>
      <c r="F484" s="82"/>
      <c r="G484" s="82"/>
      <c r="H484" s="82"/>
      <c r="I484" s="82"/>
      <c r="J484" s="82"/>
      <c r="K484" s="89"/>
      <c r="L484" s="82"/>
    </row>
    <row r="485" spans="1:12" ht="14.5">
      <c r="A485" s="2" t="str">
        <f t="shared" si="20"/>
        <v/>
      </c>
      <c r="B485" s="2" t="str">
        <f t="shared" si="21"/>
        <v/>
      </c>
      <c r="C485" s="82"/>
      <c r="D485" s="82"/>
      <c r="E485" s="82"/>
      <c r="F485" s="82"/>
      <c r="G485" s="82"/>
      <c r="H485" s="82"/>
      <c r="I485" s="82"/>
      <c r="J485" s="82"/>
      <c r="K485" s="89"/>
      <c r="L485" s="82"/>
    </row>
    <row r="486" spans="1:12" ht="14.5">
      <c r="A486" s="2" t="str">
        <f t="shared" si="20"/>
        <v/>
      </c>
      <c r="B486" s="2" t="str">
        <f t="shared" si="21"/>
        <v/>
      </c>
      <c r="C486" s="82"/>
      <c r="D486" s="82"/>
      <c r="E486" s="82"/>
      <c r="F486" s="82"/>
      <c r="G486" s="82"/>
      <c r="H486" s="82"/>
      <c r="I486" s="82"/>
      <c r="J486" s="82"/>
      <c r="K486" s="89"/>
      <c r="L486" s="82"/>
    </row>
    <row r="487" spans="1:12" ht="14.5">
      <c r="A487" s="2" t="str">
        <f t="shared" si="20"/>
        <v/>
      </c>
      <c r="B487" s="2" t="str">
        <f t="shared" si="21"/>
        <v/>
      </c>
      <c r="C487" s="82"/>
      <c r="D487" s="82"/>
      <c r="E487" s="82"/>
      <c r="F487" s="82"/>
      <c r="G487" s="82"/>
      <c r="H487" s="82"/>
      <c r="I487" s="82"/>
      <c r="J487" s="82"/>
      <c r="K487" s="89"/>
      <c r="L487" s="82"/>
    </row>
    <row r="488" spans="1:12" ht="14.5">
      <c r="A488" s="2" t="str">
        <f t="shared" si="20"/>
        <v/>
      </c>
      <c r="B488" s="2" t="str">
        <f t="shared" si="21"/>
        <v/>
      </c>
      <c r="C488" s="82"/>
      <c r="D488" s="82"/>
      <c r="E488" s="82"/>
      <c r="F488" s="82"/>
      <c r="G488" s="82"/>
      <c r="H488" s="82"/>
      <c r="I488" s="82"/>
      <c r="J488" s="82"/>
      <c r="K488" s="89"/>
      <c r="L488" s="82"/>
    </row>
    <row r="489" spans="1:12" ht="14.5">
      <c r="A489" s="2" t="str">
        <f t="shared" si="20"/>
        <v/>
      </c>
      <c r="B489" s="2" t="str">
        <f t="shared" si="21"/>
        <v/>
      </c>
      <c r="C489" s="82"/>
      <c r="D489" s="82"/>
      <c r="E489" s="82"/>
      <c r="F489" s="82"/>
      <c r="G489" s="82"/>
      <c r="H489" s="82"/>
      <c r="I489" s="82"/>
      <c r="J489" s="82"/>
      <c r="K489" s="89"/>
      <c r="L489" s="82"/>
    </row>
    <row r="490" spans="1:12" ht="14.5">
      <c r="A490" s="2" t="str">
        <f t="shared" si="20"/>
        <v/>
      </c>
      <c r="B490" s="2" t="str">
        <f t="shared" si="21"/>
        <v/>
      </c>
      <c r="C490" s="82"/>
      <c r="D490" s="82"/>
      <c r="E490" s="82"/>
      <c r="F490" s="82"/>
      <c r="G490" s="82"/>
      <c r="H490" s="82"/>
      <c r="I490" s="82"/>
      <c r="J490" s="82"/>
      <c r="K490" s="89"/>
      <c r="L490" s="82"/>
    </row>
    <row r="491" spans="1:12" ht="14.5">
      <c r="A491" s="2" t="str">
        <f t="shared" si="20"/>
        <v/>
      </c>
      <c r="B491" s="2" t="str">
        <f t="shared" si="21"/>
        <v/>
      </c>
      <c r="C491" s="82"/>
      <c r="D491" s="82"/>
      <c r="E491" s="82"/>
      <c r="F491" s="82"/>
      <c r="G491" s="82"/>
      <c r="H491" s="82"/>
      <c r="I491" s="82"/>
      <c r="J491" s="82"/>
      <c r="K491" s="89"/>
      <c r="L491" s="82"/>
    </row>
    <row r="492" spans="1:12" ht="14.5">
      <c r="A492" s="2" t="str">
        <f t="shared" si="20"/>
        <v/>
      </c>
      <c r="B492" s="2" t="str">
        <f t="shared" si="21"/>
        <v/>
      </c>
      <c r="C492" s="82"/>
      <c r="D492" s="82"/>
      <c r="E492" s="82"/>
      <c r="F492" s="82"/>
      <c r="G492" s="82"/>
      <c r="H492" s="82"/>
      <c r="I492" s="82"/>
      <c r="J492" s="82"/>
      <c r="K492" s="89"/>
      <c r="L492" s="82"/>
    </row>
    <row r="493" spans="1:12" ht="14.5">
      <c r="A493" s="2" t="str">
        <f t="shared" si="20"/>
        <v/>
      </c>
      <c r="B493" s="2" t="str">
        <f t="shared" si="21"/>
        <v/>
      </c>
      <c r="C493" s="82"/>
      <c r="D493" s="82"/>
      <c r="E493" s="82"/>
      <c r="F493" s="82"/>
      <c r="G493" s="82"/>
      <c r="H493" s="82"/>
      <c r="I493" s="82"/>
      <c r="J493" s="82"/>
      <c r="K493" s="89"/>
      <c r="L493" s="82"/>
    </row>
    <row r="494" spans="1:12" ht="14.5">
      <c r="A494" s="2" t="str">
        <f t="shared" si="20"/>
        <v/>
      </c>
      <c r="B494" s="2" t="str">
        <f t="shared" si="21"/>
        <v/>
      </c>
      <c r="C494" s="82"/>
      <c r="D494" s="82"/>
      <c r="E494" s="82"/>
      <c r="F494" s="82"/>
      <c r="G494" s="82"/>
      <c r="H494" s="82"/>
      <c r="I494" s="82"/>
      <c r="J494" s="82"/>
      <c r="K494" s="89"/>
      <c r="L494" s="82"/>
    </row>
    <row r="495" spans="1:12" ht="14.5">
      <c r="A495" s="2" t="str">
        <f t="shared" si="20"/>
        <v/>
      </c>
      <c r="B495" s="2" t="str">
        <f t="shared" si="21"/>
        <v/>
      </c>
      <c r="C495" s="82"/>
      <c r="D495" s="82"/>
      <c r="E495" s="82"/>
      <c r="F495" s="82"/>
      <c r="G495" s="82"/>
      <c r="H495" s="82"/>
      <c r="I495" s="82"/>
      <c r="J495" s="82"/>
      <c r="K495" s="89"/>
      <c r="L495" s="82"/>
    </row>
    <row r="496" spans="1:12" ht="14.5">
      <c r="A496" s="2" t="str">
        <f t="shared" si="20"/>
        <v/>
      </c>
      <c r="B496" s="2" t="str">
        <f t="shared" si="21"/>
        <v/>
      </c>
      <c r="C496" s="82"/>
      <c r="D496" s="82"/>
      <c r="E496" s="82"/>
      <c r="F496" s="82"/>
      <c r="G496" s="82"/>
      <c r="H496" s="82"/>
      <c r="I496" s="82"/>
      <c r="J496" s="82"/>
      <c r="K496" s="89"/>
      <c r="L496" s="82"/>
    </row>
    <row r="497" spans="1:12" ht="14.5">
      <c r="A497" s="2" t="str">
        <f t="shared" si="20"/>
        <v/>
      </c>
      <c r="B497" s="2" t="str">
        <f t="shared" si="21"/>
        <v/>
      </c>
      <c r="C497" s="82"/>
      <c r="D497" s="82"/>
      <c r="E497" s="82"/>
      <c r="F497" s="82"/>
      <c r="G497" s="82"/>
      <c r="H497" s="82"/>
      <c r="I497" s="82"/>
      <c r="J497" s="82"/>
      <c r="K497" s="89"/>
      <c r="L497" s="82"/>
    </row>
    <row r="498" spans="1:12" ht="14.5">
      <c r="A498" s="2" t="str">
        <f t="shared" si="20"/>
        <v/>
      </c>
      <c r="B498" s="2" t="str">
        <f t="shared" si="21"/>
        <v/>
      </c>
      <c r="C498" s="82"/>
      <c r="D498" s="82"/>
      <c r="E498" s="82"/>
      <c r="F498" s="82"/>
      <c r="G498" s="82"/>
      <c r="H498" s="82"/>
      <c r="I498" s="82"/>
      <c r="J498" s="82"/>
      <c r="K498" s="89"/>
      <c r="L498" s="82"/>
    </row>
    <row r="499" spans="1:12" ht="14.5">
      <c r="A499" s="2" t="str">
        <f t="shared" si="20"/>
        <v/>
      </c>
      <c r="B499" s="2" t="str">
        <f t="shared" si="21"/>
        <v/>
      </c>
      <c r="C499" s="82"/>
      <c r="D499" s="82"/>
      <c r="E499" s="82"/>
      <c r="F499" s="82"/>
      <c r="G499" s="82"/>
      <c r="H499" s="82"/>
      <c r="I499" s="82"/>
      <c r="J499" s="82"/>
      <c r="K499" s="89"/>
      <c r="L499" s="82"/>
    </row>
    <row r="500" spans="1:12" ht="14.5">
      <c r="A500" s="2" t="str">
        <f t="shared" si="20"/>
        <v/>
      </c>
      <c r="B500" s="2" t="str">
        <f t="shared" si="21"/>
        <v/>
      </c>
      <c r="C500" s="82"/>
      <c r="D500" s="82"/>
      <c r="E500" s="82"/>
      <c r="F500" s="82"/>
      <c r="G500" s="82"/>
      <c r="H500" s="82"/>
      <c r="I500" s="82"/>
      <c r="J500" s="82"/>
      <c r="K500" s="89"/>
      <c r="L500" s="82"/>
    </row>
    <row r="501" spans="1:12" ht="14.5">
      <c r="A501" s="2" t="str">
        <f t="shared" ref="A501:A564" si="22">+C501&amp;G501&amp;H501&amp;D501</f>
        <v/>
      </c>
      <c r="B501" s="2" t="str">
        <f t="shared" ref="B501:B564" si="23">+C501&amp;G501&amp;H501&amp;D501&amp;K501</f>
        <v/>
      </c>
      <c r="C501" s="82"/>
      <c r="D501" s="82"/>
      <c r="E501" s="82"/>
      <c r="F501" s="82"/>
      <c r="G501" s="82"/>
      <c r="H501" s="82"/>
      <c r="I501" s="82"/>
      <c r="J501" s="82"/>
      <c r="K501" s="89"/>
      <c r="L501" s="82"/>
    </row>
    <row r="502" spans="1:12" ht="14.5">
      <c r="A502" s="2" t="str">
        <f t="shared" si="22"/>
        <v/>
      </c>
      <c r="B502" s="2" t="str">
        <f t="shared" si="23"/>
        <v/>
      </c>
      <c r="C502" s="82"/>
      <c r="D502" s="82"/>
      <c r="E502" s="82"/>
      <c r="F502" s="82"/>
      <c r="G502" s="82"/>
      <c r="H502" s="82"/>
      <c r="I502" s="82"/>
      <c r="J502" s="82"/>
      <c r="K502" s="89"/>
      <c r="L502" s="82"/>
    </row>
    <row r="503" spans="1:12" ht="14.5">
      <c r="A503" s="2" t="str">
        <f t="shared" si="22"/>
        <v/>
      </c>
      <c r="B503" s="2" t="str">
        <f t="shared" si="23"/>
        <v/>
      </c>
      <c r="C503" s="82"/>
      <c r="D503" s="82"/>
      <c r="E503" s="82"/>
      <c r="F503" s="82"/>
      <c r="G503" s="82"/>
      <c r="H503" s="82"/>
      <c r="I503" s="82"/>
      <c r="J503" s="82"/>
      <c r="K503" s="89"/>
      <c r="L503" s="82"/>
    </row>
    <row r="504" spans="1:12" ht="14.5">
      <c r="A504" s="2" t="str">
        <f t="shared" si="22"/>
        <v/>
      </c>
      <c r="B504" s="2" t="str">
        <f t="shared" si="23"/>
        <v/>
      </c>
      <c r="C504" s="82"/>
      <c r="D504" s="82"/>
      <c r="E504" s="82"/>
      <c r="F504" s="82"/>
      <c r="G504" s="82"/>
      <c r="H504" s="82"/>
      <c r="I504" s="82"/>
      <c r="J504" s="82"/>
      <c r="K504" s="89"/>
      <c r="L504" s="82"/>
    </row>
    <row r="505" spans="1:12" ht="14.5">
      <c r="A505" s="2" t="str">
        <f t="shared" si="22"/>
        <v/>
      </c>
      <c r="B505" s="2" t="str">
        <f t="shared" si="23"/>
        <v/>
      </c>
      <c r="C505" s="82"/>
      <c r="D505" s="82"/>
      <c r="E505" s="82"/>
      <c r="F505" s="82"/>
      <c r="G505" s="82"/>
      <c r="H505" s="82"/>
      <c r="I505" s="82"/>
      <c r="J505" s="82"/>
      <c r="K505" s="89"/>
      <c r="L505" s="82"/>
    </row>
    <row r="506" spans="1:12" ht="14.5">
      <c r="A506" s="2" t="str">
        <f t="shared" si="22"/>
        <v/>
      </c>
      <c r="B506" s="2" t="str">
        <f t="shared" si="23"/>
        <v/>
      </c>
      <c r="C506" s="82"/>
      <c r="D506" s="82"/>
      <c r="E506" s="82"/>
      <c r="F506" s="82"/>
      <c r="G506" s="82"/>
      <c r="H506" s="82"/>
      <c r="I506" s="82"/>
      <c r="J506" s="82"/>
      <c r="K506" s="89"/>
      <c r="L506" s="82"/>
    </row>
    <row r="507" spans="1:12" ht="14.5">
      <c r="A507" s="2" t="str">
        <f t="shared" si="22"/>
        <v/>
      </c>
      <c r="B507" s="2" t="str">
        <f t="shared" si="23"/>
        <v/>
      </c>
      <c r="C507" s="82"/>
      <c r="D507" s="82"/>
      <c r="E507" s="82"/>
      <c r="F507" s="82"/>
      <c r="G507" s="82"/>
      <c r="H507" s="82"/>
      <c r="I507" s="82"/>
      <c r="J507" s="82"/>
      <c r="K507" s="89"/>
      <c r="L507" s="82"/>
    </row>
    <row r="508" spans="1:12" ht="14.5">
      <c r="A508" s="2" t="str">
        <f t="shared" si="22"/>
        <v/>
      </c>
      <c r="B508" s="2" t="str">
        <f t="shared" si="23"/>
        <v/>
      </c>
      <c r="C508" s="82"/>
      <c r="D508" s="82"/>
      <c r="E508" s="82"/>
      <c r="F508" s="82"/>
      <c r="G508" s="82"/>
      <c r="H508" s="82"/>
      <c r="I508" s="82"/>
      <c r="J508" s="82"/>
      <c r="K508" s="89"/>
      <c r="L508" s="82"/>
    </row>
    <row r="509" spans="1:12" ht="14.5">
      <c r="A509" s="2" t="str">
        <f t="shared" si="22"/>
        <v/>
      </c>
      <c r="B509" s="2" t="str">
        <f t="shared" si="23"/>
        <v/>
      </c>
      <c r="C509" s="82"/>
      <c r="D509" s="82"/>
      <c r="E509" s="82"/>
      <c r="F509" s="82"/>
      <c r="G509" s="82"/>
      <c r="H509" s="82"/>
      <c r="I509" s="82"/>
      <c r="J509" s="82"/>
      <c r="K509" s="89"/>
      <c r="L509" s="82"/>
    </row>
    <row r="510" spans="1:12" ht="14.5">
      <c r="A510" s="2" t="str">
        <f t="shared" si="22"/>
        <v/>
      </c>
      <c r="B510" s="2" t="str">
        <f t="shared" si="23"/>
        <v/>
      </c>
      <c r="C510" s="82"/>
      <c r="D510" s="82"/>
      <c r="E510" s="82"/>
      <c r="F510" s="82"/>
      <c r="G510" s="82"/>
      <c r="H510" s="82"/>
      <c r="I510" s="82"/>
      <c r="J510" s="82"/>
      <c r="K510" s="89"/>
      <c r="L510" s="82"/>
    </row>
    <row r="511" spans="1:12" ht="14.5">
      <c r="A511" s="2" t="str">
        <f t="shared" si="22"/>
        <v/>
      </c>
      <c r="B511" s="2" t="str">
        <f t="shared" si="23"/>
        <v/>
      </c>
      <c r="C511" s="82"/>
      <c r="D511" s="82"/>
      <c r="E511" s="82"/>
      <c r="F511" s="82"/>
      <c r="G511" s="82"/>
      <c r="H511" s="82"/>
      <c r="I511" s="82"/>
      <c r="J511" s="82"/>
      <c r="K511" s="89"/>
      <c r="L511" s="82"/>
    </row>
    <row r="512" spans="1:12" ht="14.5">
      <c r="A512" s="2" t="str">
        <f t="shared" si="22"/>
        <v/>
      </c>
      <c r="B512" s="2" t="str">
        <f t="shared" si="23"/>
        <v/>
      </c>
      <c r="C512" s="82"/>
      <c r="D512" s="82"/>
      <c r="E512" s="82"/>
      <c r="F512" s="82"/>
      <c r="G512" s="82"/>
      <c r="H512" s="82"/>
      <c r="I512" s="82"/>
      <c r="J512" s="82"/>
      <c r="K512" s="89"/>
      <c r="L512" s="82"/>
    </row>
    <row r="513" spans="1:12" ht="14.5">
      <c r="A513" s="2" t="str">
        <f t="shared" si="22"/>
        <v/>
      </c>
      <c r="B513" s="2" t="str">
        <f t="shared" si="23"/>
        <v/>
      </c>
      <c r="C513" s="82"/>
      <c r="D513" s="82"/>
      <c r="E513" s="82"/>
      <c r="F513" s="82"/>
      <c r="G513" s="82"/>
      <c r="H513" s="82"/>
      <c r="I513" s="82"/>
      <c r="J513" s="82"/>
      <c r="K513" s="89"/>
      <c r="L513" s="82"/>
    </row>
    <row r="514" spans="1:12" ht="14.5">
      <c r="A514" s="2" t="str">
        <f t="shared" si="22"/>
        <v/>
      </c>
      <c r="B514" s="2" t="str">
        <f t="shared" si="23"/>
        <v/>
      </c>
      <c r="C514" s="82"/>
      <c r="D514" s="82"/>
      <c r="E514" s="82"/>
      <c r="F514" s="82"/>
      <c r="G514" s="82"/>
      <c r="H514" s="82"/>
      <c r="I514" s="82"/>
      <c r="J514" s="82"/>
      <c r="K514" s="89"/>
      <c r="L514" s="82"/>
    </row>
    <row r="515" spans="1:12" ht="14.5">
      <c r="A515" s="2" t="str">
        <f t="shared" si="22"/>
        <v/>
      </c>
      <c r="B515" s="2" t="str">
        <f t="shared" si="23"/>
        <v/>
      </c>
      <c r="C515" s="82"/>
      <c r="D515" s="82"/>
      <c r="E515" s="82"/>
      <c r="F515" s="82"/>
      <c r="G515" s="82"/>
      <c r="H515" s="82"/>
      <c r="I515" s="82"/>
      <c r="J515" s="82"/>
      <c r="K515" s="89"/>
      <c r="L515" s="82"/>
    </row>
    <row r="516" spans="1:12" ht="14.5">
      <c r="A516" s="2" t="str">
        <f t="shared" si="22"/>
        <v/>
      </c>
      <c r="B516" s="2" t="str">
        <f t="shared" si="23"/>
        <v/>
      </c>
      <c r="C516" s="82"/>
      <c r="D516" s="82"/>
      <c r="E516" s="82"/>
      <c r="F516" s="82"/>
      <c r="G516" s="82"/>
      <c r="H516" s="82"/>
      <c r="I516" s="82"/>
      <c r="J516" s="82"/>
      <c r="K516" s="89"/>
      <c r="L516" s="82"/>
    </row>
    <row r="517" spans="1:12" ht="14.5">
      <c r="A517" s="2" t="str">
        <f t="shared" si="22"/>
        <v/>
      </c>
      <c r="B517" s="2" t="str">
        <f t="shared" si="23"/>
        <v/>
      </c>
      <c r="C517" s="82"/>
      <c r="D517" s="82"/>
      <c r="E517" s="82"/>
      <c r="F517" s="82"/>
      <c r="G517" s="82"/>
      <c r="H517" s="82"/>
      <c r="I517" s="82"/>
      <c r="J517" s="82"/>
      <c r="K517" s="89"/>
      <c r="L517" s="82"/>
    </row>
    <row r="518" spans="1:12" ht="14.5">
      <c r="A518" s="2" t="str">
        <f t="shared" si="22"/>
        <v/>
      </c>
      <c r="B518" s="2" t="str">
        <f t="shared" si="23"/>
        <v/>
      </c>
      <c r="C518" s="82"/>
      <c r="D518" s="82"/>
      <c r="E518" s="82"/>
      <c r="F518" s="82"/>
      <c r="G518" s="82"/>
      <c r="H518" s="82"/>
      <c r="I518" s="82"/>
      <c r="J518" s="82"/>
      <c r="K518" s="89"/>
      <c r="L518" s="82"/>
    </row>
    <row r="519" spans="1:12" ht="14.5">
      <c r="A519" s="2" t="str">
        <f t="shared" si="22"/>
        <v/>
      </c>
      <c r="B519" s="2" t="str">
        <f t="shared" si="23"/>
        <v/>
      </c>
      <c r="C519" s="82"/>
      <c r="D519" s="82"/>
      <c r="E519" s="82"/>
      <c r="F519" s="82"/>
      <c r="G519" s="82"/>
      <c r="H519" s="82"/>
      <c r="I519" s="82"/>
      <c r="J519" s="82"/>
      <c r="K519" s="89"/>
      <c r="L519" s="82"/>
    </row>
    <row r="520" spans="1:12" ht="14.5">
      <c r="A520" s="2" t="str">
        <f t="shared" si="22"/>
        <v/>
      </c>
      <c r="B520" s="2" t="str">
        <f t="shared" si="23"/>
        <v/>
      </c>
      <c r="C520" s="82"/>
      <c r="D520" s="82"/>
      <c r="E520" s="82"/>
      <c r="F520" s="82"/>
      <c r="G520" s="82"/>
      <c r="H520" s="82"/>
      <c r="I520" s="82"/>
      <c r="J520" s="82"/>
      <c r="K520" s="89"/>
      <c r="L520" s="82"/>
    </row>
    <row r="521" spans="1:12" ht="14.5">
      <c r="A521" s="2" t="str">
        <f t="shared" si="22"/>
        <v/>
      </c>
      <c r="B521" s="2" t="str">
        <f t="shared" si="23"/>
        <v/>
      </c>
      <c r="C521" s="82"/>
      <c r="D521" s="82"/>
      <c r="E521" s="82"/>
      <c r="F521" s="82"/>
      <c r="G521" s="82"/>
      <c r="H521" s="82"/>
      <c r="I521" s="82"/>
      <c r="J521" s="82"/>
      <c r="K521" s="89"/>
      <c r="L521" s="82"/>
    </row>
    <row r="522" spans="1:12" ht="14.5">
      <c r="A522" s="2" t="str">
        <f t="shared" si="22"/>
        <v/>
      </c>
      <c r="B522" s="2" t="str">
        <f t="shared" si="23"/>
        <v/>
      </c>
      <c r="C522" s="82"/>
      <c r="D522" s="82"/>
      <c r="E522" s="82"/>
      <c r="F522" s="82"/>
      <c r="G522" s="82"/>
      <c r="H522" s="82"/>
      <c r="I522" s="82"/>
      <c r="J522" s="82"/>
      <c r="K522" s="89"/>
      <c r="L522" s="82"/>
    </row>
    <row r="523" spans="1:12" ht="14.5">
      <c r="A523" s="2" t="str">
        <f t="shared" si="22"/>
        <v/>
      </c>
      <c r="B523" s="2" t="str">
        <f t="shared" si="23"/>
        <v/>
      </c>
      <c r="C523" s="82"/>
      <c r="D523" s="82"/>
      <c r="E523" s="82"/>
      <c r="F523" s="82"/>
      <c r="G523" s="82"/>
      <c r="H523" s="82"/>
      <c r="I523" s="82"/>
      <c r="J523" s="82"/>
      <c r="K523" s="89"/>
      <c r="L523" s="82"/>
    </row>
    <row r="524" spans="1:12" ht="14.5">
      <c r="A524" s="2" t="str">
        <f t="shared" si="22"/>
        <v/>
      </c>
      <c r="B524" s="2" t="str">
        <f t="shared" si="23"/>
        <v/>
      </c>
      <c r="C524" s="82"/>
      <c r="D524" s="82"/>
      <c r="E524" s="82"/>
      <c r="F524" s="82"/>
      <c r="G524" s="82"/>
      <c r="H524" s="82"/>
      <c r="I524" s="82"/>
      <c r="J524" s="82"/>
      <c r="K524" s="89"/>
      <c r="L524" s="82"/>
    </row>
    <row r="525" spans="1:12" ht="14.5">
      <c r="A525" s="2" t="str">
        <f t="shared" si="22"/>
        <v/>
      </c>
      <c r="B525" s="2" t="str">
        <f t="shared" si="23"/>
        <v/>
      </c>
      <c r="C525" s="82"/>
      <c r="D525" s="82"/>
      <c r="E525" s="82"/>
      <c r="F525" s="82"/>
      <c r="G525" s="82"/>
      <c r="H525" s="82"/>
      <c r="I525" s="82"/>
      <c r="J525" s="82"/>
      <c r="K525" s="89"/>
      <c r="L525" s="82"/>
    </row>
    <row r="526" spans="1:12" ht="14.5">
      <c r="A526" s="2" t="str">
        <f t="shared" si="22"/>
        <v/>
      </c>
      <c r="B526" s="2" t="str">
        <f t="shared" si="23"/>
        <v/>
      </c>
      <c r="C526" s="82"/>
      <c r="D526" s="82"/>
      <c r="E526" s="82"/>
      <c r="F526" s="82"/>
      <c r="G526" s="82"/>
      <c r="H526" s="82"/>
      <c r="I526" s="82"/>
      <c r="J526" s="82"/>
      <c r="K526" s="89"/>
      <c r="L526" s="82"/>
    </row>
    <row r="527" spans="1:12" ht="14.5">
      <c r="A527" s="2" t="str">
        <f t="shared" si="22"/>
        <v/>
      </c>
      <c r="B527" s="2" t="str">
        <f t="shared" si="23"/>
        <v/>
      </c>
      <c r="C527" s="82"/>
      <c r="D527" s="82"/>
      <c r="E527" s="82"/>
      <c r="F527" s="82"/>
      <c r="G527" s="82"/>
      <c r="H527" s="82"/>
      <c r="I527" s="82"/>
      <c r="J527" s="82"/>
      <c r="K527" s="89"/>
      <c r="L527" s="82"/>
    </row>
    <row r="528" spans="1:12" ht="14.5">
      <c r="A528" s="2" t="str">
        <f t="shared" si="22"/>
        <v/>
      </c>
      <c r="B528" s="2" t="str">
        <f t="shared" si="23"/>
        <v/>
      </c>
      <c r="C528" s="82"/>
      <c r="D528" s="82"/>
      <c r="E528" s="82"/>
      <c r="F528" s="82"/>
      <c r="G528" s="82"/>
      <c r="H528" s="82"/>
      <c r="I528" s="82"/>
      <c r="J528" s="82"/>
      <c r="K528" s="89"/>
      <c r="L528" s="82"/>
    </row>
    <row r="529" spans="1:12" ht="14.5">
      <c r="A529" s="2" t="str">
        <f t="shared" si="22"/>
        <v/>
      </c>
      <c r="B529" s="2" t="str">
        <f t="shared" si="23"/>
        <v/>
      </c>
      <c r="C529" s="82"/>
      <c r="D529" s="82"/>
      <c r="E529" s="82"/>
      <c r="F529" s="82"/>
      <c r="G529" s="82"/>
      <c r="H529" s="82"/>
      <c r="I529" s="82"/>
      <c r="J529" s="82"/>
      <c r="K529" s="89"/>
      <c r="L529" s="82"/>
    </row>
    <row r="530" spans="1:12" ht="14.5">
      <c r="A530" s="2" t="str">
        <f t="shared" si="22"/>
        <v/>
      </c>
      <c r="B530" s="2" t="str">
        <f t="shared" si="23"/>
        <v/>
      </c>
      <c r="C530" s="82"/>
      <c r="D530" s="82"/>
      <c r="E530" s="82"/>
      <c r="F530" s="82"/>
      <c r="G530" s="82"/>
      <c r="H530" s="82"/>
      <c r="I530" s="82"/>
      <c r="J530" s="82"/>
      <c r="K530" s="89"/>
      <c r="L530" s="82"/>
    </row>
    <row r="531" spans="1:12" ht="14.5">
      <c r="A531" s="2" t="str">
        <f t="shared" si="22"/>
        <v/>
      </c>
      <c r="B531" s="2" t="str">
        <f t="shared" si="23"/>
        <v/>
      </c>
      <c r="C531" s="82"/>
      <c r="D531" s="82"/>
      <c r="E531" s="82"/>
      <c r="F531" s="82"/>
      <c r="G531" s="82"/>
      <c r="H531" s="82"/>
      <c r="I531" s="82"/>
      <c r="J531" s="82"/>
      <c r="K531" s="89"/>
      <c r="L531" s="82"/>
    </row>
    <row r="532" spans="1:12" ht="14.5">
      <c r="A532" s="2" t="str">
        <f t="shared" si="22"/>
        <v/>
      </c>
      <c r="B532" s="2" t="str">
        <f t="shared" si="23"/>
        <v/>
      </c>
      <c r="C532" s="82"/>
      <c r="D532" s="82"/>
      <c r="E532" s="82"/>
      <c r="F532" s="82"/>
      <c r="G532" s="82"/>
      <c r="H532" s="82"/>
      <c r="I532" s="82"/>
      <c r="J532" s="82"/>
      <c r="K532" s="89"/>
      <c r="L532" s="82"/>
    </row>
    <row r="533" spans="1:12" ht="14.5">
      <c r="A533" s="2" t="str">
        <f t="shared" si="22"/>
        <v/>
      </c>
      <c r="B533" s="2" t="str">
        <f t="shared" si="23"/>
        <v/>
      </c>
      <c r="C533" s="82"/>
      <c r="D533" s="82"/>
      <c r="E533" s="82"/>
      <c r="F533" s="82"/>
      <c r="G533" s="82"/>
      <c r="H533" s="82"/>
      <c r="I533" s="82"/>
      <c r="J533" s="82"/>
      <c r="K533" s="89"/>
      <c r="L533" s="82"/>
    </row>
    <row r="534" spans="1:12" ht="14.5">
      <c r="A534" s="2" t="str">
        <f t="shared" si="22"/>
        <v/>
      </c>
      <c r="B534" s="2" t="str">
        <f t="shared" si="23"/>
        <v/>
      </c>
      <c r="C534" s="82"/>
      <c r="D534" s="82"/>
      <c r="E534" s="82"/>
      <c r="F534" s="82"/>
      <c r="G534" s="82"/>
      <c r="H534" s="82"/>
      <c r="I534" s="82"/>
      <c r="J534" s="82"/>
      <c r="K534" s="89"/>
      <c r="L534" s="82"/>
    </row>
    <row r="535" spans="1:12" ht="14.5">
      <c r="A535" s="2" t="str">
        <f t="shared" si="22"/>
        <v/>
      </c>
      <c r="B535" s="2" t="str">
        <f t="shared" si="23"/>
        <v/>
      </c>
      <c r="C535" s="82"/>
      <c r="D535" s="82"/>
      <c r="E535" s="82"/>
      <c r="F535" s="82"/>
      <c r="G535" s="82"/>
      <c r="H535" s="82"/>
      <c r="I535" s="82"/>
      <c r="J535" s="82"/>
      <c r="K535" s="89"/>
      <c r="L535" s="82"/>
    </row>
    <row r="536" spans="1:12" ht="14.5">
      <c r="A536" s="2" t="str">
        <f t="shared" si="22"/>
        <v/>
      </c>
      <c r="B536" s="2" t="str">
        <f t="shared" si="23"/>
        <v/>
      </c>
      <c r="C536" s="82"/>
      <c r="D536" s="82"/>
      <c r="E536" s="82"/>
      <c r="F536" s="82"/>
      <c r="G536" s="82"/>
      <c r="H536" s="82"/>
      <c r="I536" s="82"/>
      <c r="J536" s="82"/>
      <c r="K536" s="89"/>
      <c r="L536" s="82"/>
    </row>
    <row r="537" spans="1:12" ht="14.5">
      <c r="A537" s="2" t="str">
        <f t="shared" si="22"/>
        <v/>
      </c>
      <c r="B537" s="2" t="str">
        <f t="shared" si="23"/>
        <v/>
      </c>
      <c r="C537" s="82"/>
      <c r="D537" s="82"/>
      <c r="E537" s="82"/>
      <c r="F537" s="82"/>
      <c r="G537" s="82"/>
      <c r="H537" s="82"/>
      <c r="I537" s="82"/>
      <c r="J537" s="82"/>
      <c r="K537" s="89"/>
      <c r="L537" s="82"/>
    </row>
    <row r="538" spans="1:12" ht="14.5">
      <c r="A538" s="2" t="str">
        <f t="shared" si="22"/>
        <v/>
      </c>
      <c r="B538" s="2" t="str">
        <f t="shared" si="23"/>
        <v/>
      </c>
      <c r="C538" s="82"/>
      <c r="D538" s="82"/>
      <c r="E538" s="82"/>
      <c r="F538" s="82"/>
      <c r="G538" s="82"/>
      <c r="H538" s="82"/>
      <c r="I538" s="82"/>
      <c r="J538" s="82"/>
      <c r="K538" s="89"/>
      <c r="L538" s="82"/>
    </row>
    <row r="539" spans="1:12" ht="14.5">
      <c r="A539" s="2" t="str">
        <f t="shared" si="22"/>
        <v/>
      </c>
      <c r="B539" s="2" t="str">
        <f t="shared" si="23"/>
        <v/>
      </c>
      <c r="C539" s="82"/>
      <c r="D539" s="82"/>
      <c r="E539" s="82"/>
      <c r="F539" s="82"/>
      <c r="G539" s="82"/>
      <c r="H539" s="82"/>
      <c r="I539" s="82"/>
      <c r="J539" s="82"/>
      <c r="K539" s="89"/>
      <c r="L539" s="82"/>
    </row>
    <row r="540" spans="1:12" ht="14.5">
      <c r="A540" s="2" t="str">
        <f t="shared" si="22"/>
        <v/>
      </c>
      <c r="B540" s="2" t="str">
        <f t="shared" si="23"/>
        <v/>
      </c>
      <c r="C540" s="82"/>
      <c r="D540" s="82"/>
      <c r="E540" s="82"/>
      <c r="F540" s="82"/>
      <c r="G540" s="82"/>
      <c r="H540" s="82"/>
      <c r="I540" s="82"/>
      <c r="J540" s="82"/>
      <c r="K540" s="89"/>
      <c r="L540" s="82"/>
    </row>
    <row r="541" spans="1:12" ht="14.5">
      <c r="A541" s="2" t="str">
        <f t="shared" si="22"/>
        <v/>
      </c>
      <c r="B541" s="2" t="str">
        <f t="shared" si="23"/>
        <v/>
      </c>
      <c r="C541" s="82"/>
      <c r="D541" s="82"/>
      <c r="E541" s="82"/>
      <c r="F541" s="82"/>
      <c r="G541" s="82"/>
      <c r="H541" s="82"/>
      <c r="I541" s="82"/>
      <c r="J541" s="82"/>
      <c r="K541" s="89"/>
      <c r="L541" s="82"/>
    </row>
    <row r="542" spans="1:12" ht="14.5">
      <c r="A542" s="2" t="str">
        <f t="shared" si="22"/>
        <v/>
      </c>
      <c r="B542" s="2" t="str">
        <f t="shared" si="23"/>
        <v/>
      </c>
      <c r="C542" s="82"/>
      <c r="D542" s="82"/>
      <c r="E542" s="82"/>
      <c r="F542" s="82"/>
      <c r="G542" s="82"/>
      <c r="H542" s="82"/>
      <c r="I542" s="82"/>
      <c r="J542" s="82"/>
      <c r="K542" s="89"/>
      <c r="L542" s="82"/>
    </row>
    <row r="543" spans="1:12" ht="14.5">
      <c r="A543" s="2" t="str">
        <f t="shared" si="22"/>
        <v/>
      </c>
      <c r="B543" s="2" t="str">
        <f t="shared" si="23"/>
        <v/>
      </c>
      <c r="C543" s="82"/>
      <c r="D543" s="82"/>
      <c r="E543" s="82"/>
      <c r="F543" s="82"/>
      <c r="G543" s="82"/>
      <c r="H543" s="82"/>
      <c r="I543" s="82"/>
      <c r="J543" s="82"/>
      <c r="K543" s="89"/>
      <c r="L543" s="82"/>
    </row>
    <row r="544" spans="1:12" ht="14.5">
      <c r="A544" s="2" t="str">
        <f t="shared" si="22"/>
        <v/>
      </c>
      <c r="B544" s="2" t="str">
        <f t="shared" si="23"/>
        <v/>
      </c>
      <c r="C544" s="82"/>
      <c r="D544" s="82"/>
      <c r="E544" s="82"/>
      <c r="F544" s="82"/>
      <c r="G544" s="82"/>
      <c r="H544" s="82"/>
      <c r="I544" s="82"/>
      <c r="J544" s="82"/>
      <c r="K544" s="89"/>
      <c r="L544" s="82"/>
    </row>
    <row r="545" spans="1:12" ht="14.5">
      <c r="A545" s="2" t="str">
        <f t="shared" si="22"/>
        <v/>
      </c>
      <c r="B545" s="2" t="str">
        <f t="shared" si="23"/>
        <v/>
      </c>
      <c r="C545" s="82"/>
      <c r="D545" s="82"/>
      <c r="E545" s="82"/>
      <c r="F545" s="82"/>
      <c r="G545" s="82"/>
      <c r="H545" s="82"/>
      <c r="I545" s="82"/>
      <c r="J545" s="82"/>
      <c r="K545" s="89"/>
      <c r="L545" s="82"/>
    </row>
    <row r="546" spans="1:12" ht="14.5">
      <c r="A546" s="2" t="str">
        <f t="shared" si="22"/>
        <v/>
      </c>
      <c r="B546" s="2" t="str">
        <f t="shared" si="23"/>
        <v/>
      </c>
      <c r="C546" s="82"/>
      <c r="D546" s="82"/>
      <c r="E546" s="82"/>
      <c r="F546" s="82"/>
      <c r="G546" s="82"/>
      <c r="H546" s="82"/>
      <c r="I546" s="82"/>
      <c r="J546" s="82"/>
      <c r="K546" s="89"/>
      <c r="L546" s="82"/>
    </row>
    <row r="547" spans="1:12" ht="14.5">
      <c r="A547" s="2" t="str">
        <f t="shared" si="22"/>
        <v/>
      </c>
      <c r="B547" s="2" t="str">
        <f t="shared" si="23"/>
        <v/>
      </c>
      <c r="C547" s="82"/>
      <c r="D547" s="82"/>
      <c r="E547" s="82"/>
      <c r="F547" s="82"/>
      <c r="G547" s="82"/>
      <c r="H547" s="82"/>
      <c r="I547" s="82"/>
      <c r="J547" s="82"/>
      <c r="K547" s="89"/>
      <c r="L547" s="82"/>
    </row>
    <row r="548" spans="1:12" ht="14.5">
      <c r="A548" s="2" t="str">
        <f t="shared" si="22"/>
        <v/>
      </c>
      <c r="B548" s="2" t="str">
        <f t="shared" si="23"/>
        <v/>
      </c>
      <c r="C548" s="82"/>
      <c r="D548" s="82"/>
      <c r="E548" s="82"/>
      <c r="F548" s="82"/>
      <c r="G548" s="82"/>
      <c r="H548" s="82"/>
      <c r="I548" s="82"/>
      <c r="J548" s="82"/>
      <c r="K548" s="89"/>
      <c r="L548" s="82"/>
    </row>
    <row r="549" spans="1:12" ht="14.5">
      <c r="A549" s="2" t="str">
        <f t="shared" si="22"/>
        <v/>
      </c>
      <c r="B549" s="2" t="str">
        <f t="shared" si="23"/>
        <v/>
      </c>
      <c r="C549" s="82"/>
      <c r="D549" s="82"/>
      <c r="E549" s="82"/>
      <c r="F549" s="82"/>
      <c r="G549" s="82"/>
      <c r="H549" s="82"/>
      <c r="I549" s="82"/>
      <c r="J549" s="82"/>
      <c r="K549" s="89"/>
      <c r="L549" s="82"/>
    </row>
    <row r="550" spans="1:12" ht="14.5">
      <c r="A550" s="2" t="str">
        <f t="shared" si="22"/>
        <v/>
      </c>
      <c r="B550" s="2" t="str">
        <f t="shared" si="23"/>
        <v/>
      </c>
      <c r="C550" s="82"/>
      <c r="D550" s="82"/>
      <c r="E550" s="82"/>
      <c r="F550" s="82"/>
      <c r="G550" s="82"/>
      <c r="H550" s="82"/>
      <c r="I550" s="82"/>
      <c r="J550" s="82"/>
      <c r="K550" s="89"/>
      <c r="L550" s="82"/>
    </row>
    <row r="551" spans="1:12" ht="14.5">
      <c r="A551" s="2" t="str">
        <f t="shared" si="22"/>
        <v/>
      </c>
      <c r="B551" s="2" t="str">
        <f t="shared" si="23"/>
        <v/>
      </c>
      <c r="C551" s="82"/>
      <c r="D551" s="82"/>
      <c r="E551" s="82"/>
      <c r="F551" s="82"/>
      <c r="G551" s="82"/>
      <c r="H551" s="82"/>
      <c r="I551" s="82"/>
      <c r="J551" s="82"/>
      <c r="K551" s="89"/>
      <c r="L551" s="82"/>
    </row>
    <row r="552" spans="1:12" ht="14.5">
      <c r="A552" s="2" t="str">
        <f t="shared" si="22"/>
        <v/>
      </c>
      <c r="B552" s="2" t="str">
        <f t="shared" si="23"/>
        <v/>
      </c>
      <c r="C552" s="82"/>
      <c r="D552" s="82"/>
      <c r="E552" s="82"/>
      <c r="F552" s="82"/>
      <c r="G552" s="82"/>
      <c r="H552" s="82"/>
      <c r="I552" s="82"/>
      <c r="J552" s="82"/>
      <c r="K552" s="89"/>
      <c r="L552" s="82"/>
    </row>
    <row r="553" spans="1:12" ht="14.5">
      <c r="A553" s="2" t="str">
        <f t="shared" si="22"/>
        <v/>
      </c>
      <c r="B553" s="2" t="str">
        <f t="shared" si="23"/>
        <v/>
      </c>
      <c r="C553" s="82"/>
      <c r="D553" s="82"/>
      <c r="E553" s="82"/>
      <c r="F553" s="82"/>
      <c r="G553" s="82"/>
      <c r="H553" s="82"/>
      <c r="I553" s="82"/>
      <c r="J553" s="82"/>
      <c r="K553" s="89"/>
      <c r="L553" s="82"/>
    </row>
    <row r="554" spans="1:12" ht="14.5">
      <c r="A554" s="2" t="str">
        <f t="shared" si="22"/>
        <v/>
      </c>
      <c r="B554" s="2" t="str">
        <f t="shared" si="23"/>
        <v/>
      </c>
      <c r="C554" s="82"/>
      <c r="D554" s="82"/>
      <c r="E554" s="82"/>
      <c r="F554" s="82"/>
      <c r="G554" s="82"/>
      <c r="H554" s="82"/>
      <c r="I554" s="82"/>
      <c r="J554" s="82"/>
      <c r="K554" s="89"/>
      <c r="L554" s="82"/>
    </row>
    <row r="555" spans="1:12" ht="14.5">
      <c r="A555" s="2" t="str">
        <f t="shared" si="22"/>
        <v/>
      </c>
      <c r="B555" s="2" t="str">
        <f t="shared" si="23"/>
        <v/>
      </c>
      <c r="C555" s="82"/>
      <c r="D555" s="82"/>
      <c r="E555" s="82"/>
      <c r="F555" s="82"/>
      <c r="G555" s="82"/>
      <c r="H555" s="82"/>
      <c r="I555" s="82"/>
      <c r="J555" s="82"/>
      <c r="K555" s="89"/>
      <c r="L555" s="82"/>
    </row>
    <row r="556" spans="1:12" ht="14.5">
      <c r="A556" s="2" t="str">
        <f t="shared" si="22"/>
        <v/>
      </c>
      <c r="B556" s="2" t="str">
        <f t="shared" si="23"/>
        <v/>
      </c>
      <c r="C556" s="82"/>
      <c r="D556" s="82"/>
      <c r="E556" s="82"/>
      <c r="F556" s="82"/>
      <c r="G556" s="82"/>
      <c r="H556" s="82"/>
      <c r="I556" s="82"/>
      <c r="J556" s="82"/>
      <c r="K556" s="89"/>
      <c r="L556" s="82"/>
    </row>
    <row r="557" spans="1:12" ht="14.5">
      <c r="A557" s="2" t="str">
        <f t="shared" si="22"/>
        <v/>
      </c>
      <c r="B557" s="2" t="str">
        <f t="shared" si="23"/>
        <v/>
      </c>
      <c r="C557" s="82"/>
      <c r="D557" s="82"/>
      <c r="E557" s="82"/>
      <c r="F557" s="82"/>
      <c r="G557" s="82"/>
      <c r="H557" s="82"/>
      <c r="I557" s="82"/>
      <c r="J557" s="82"/>
      <c r="K557" s="89"/>
      <c r="L557" s="82"/>
    </row>
    <row r="558" spans="1:12" ht="14.5">
      <c r="A558" s="2" t="str">
        <f t="shared" si="22"/>
        <v/>
      </c>
      <c r="B558" s="2" t="str">
        <f t="shared" si="23"/>
        <v/>
      </c>
      <c r="C558" s="82"/>
      <c r="D558" s="82"/>
      <c r="E558" s="82"/>
      <c r="F558" s="82"/>
      <c r="G558" s="82"/>
      <c r="H558" s="82"/>
      <c r="I558" s="82"/>
      <c r="J558" s="82"/>
      <c r="K558" s="89"/>
      <c r="L558" s="82"/>
    </row>
    <row r="559" spans="1:12" ht="14.5">
      <c r="A559" s="2" t="str">
        <f t="shared" si="22"/>
        <v/>
      </c>
      <c r="B559" s="2" t="str">
        <f t="shared" si="23"/>
        <v/>
      </c>
      <c r="C559" s="82"/>
      <c r="D559" s="82"/>
      <c r="E559" s="82"/>
      <c r="F559" s="82"/>
      <c r="G559" s="82"/>
      <c r="H559" s="82"/>
      <c r="I559" s="82"/>
      <c r="J559" s="82"/>
      <c r="K559" s="89"/>
      <c r="L559" s="82"/>
    </row>
    <row r="560" spans="1:12" ht="14.5">
      <c r="A560" s="2" t="str">
        <f t="shared" si="22"/>
        <v/>
      </c>
      <c r="B560" s="2" t="str">
        <f t="shared" si="23"/>
        <v/>
      </c>
      <c r="C560" s="82"/>
      <c r="D560" s="82"/>
      <c r="E560" s="82"/>
      <c r="F560" s="82"/>
      <c r="G560" s="82"/>
      <c r="H560" s="82"/>
      <c r="I560" s="82"/>
      <c r="J560" s="82"/>
      <c r="K560" s="89"/>
      <c r="L560" s="82"/>
    </row>
    <row r="561" spans="1:12" ht="14.5">
      <c r="A561" s="2" t="str">
        <f t="shared" si="22"/>
        <v/>
      </c>
      <c r="B561" s="2" t="str">
        <f t="shared" si="23"/>
        <v/>
      </c>
      <c r="C561" s="82"/>
      <c r="D561" s="82"/>
      <c r="E561" s="82"/>
      <c r="F561" s="82"/>
      <c r="G561" s="82"/>
      <c r="H561" s="82"/>
      <c r="I561" s="82"/>
      <c r="J561" s="82"/>
      <c r="K561" s="89"/>
      <c r="L561" s="82"/>
    </row>
    <row r="562" spans="1:12" ht="14.5">
      <c r="A562" s="2" t="str">
        <f t="shared" si="22"/>
        <v/>
      </c>
      <c r="B562" s="2" t="str">
        <f t="shared" si="23"/>
        <v/>
      </c>
      <c r="C562" s="82"/>
      <c r="D562" s="82"/>
      <c r="E562" s="82"/>
      <c r="F562" s="82"/>
      <c r="G562" s="82"/>
      <c r="H562" s="82"/>
      <c r="I562" s="82"/>
      <c r="J562" s="82"/>
      <c r="K562" s="89"/>
      <c r="L562" s="82"/>
    </row>
    <row r="563" spans="1:12" ht="14.5">
      <c r="A563" s="2" t="str">
        <f t="shared" si="22"/>
        <v/>
      </c>
      <c r="B563" s="2" t="str">
        <f t="shared" si="23"/>
        <v/>
      </c>
      <c r="C563" s="82"/>
      <c r="D563" s="82"/>
      <c r="E563" s="82"/>
      <c r="F563" s="82"/>
      <c r="G563" s="82"/>
      <c r="H563" s="82"/>
      <c r="I563" s="82"/>
      <c r="J563" s="82"/>
      <c r="K563" s="89"/>
      <c r="L563" s="82"/>
    </row>
    <row r="564" spans="1:12" ht="14.5">
      <c r="A564" s="2" t="str">
        <f t="shared" si="22"/>
        <v/>
      </c>
      <c r="B564" s="2" t="str">
        <f t="shared" si="23"/>
        <v/>
      </c>
      <c r="C564" s="82"/>
      <c r="D564" s="82"/>
      <c r="E564" s="82"/>
      <c r="F564" s="82"/>
      <c r="G564" s="82"/>
      <c r="H564" s="82"/>
      <c r="I564" s="82"/>
      <c r="J564" s="82"/>
      <c r="K564" s="89"/>
      <c r="L564" s="82"/>
    </row>
    <row r="565" spans="1:12" ht="14.5">
      <c r="A565" s="2" t="str">
        <f t="shared" ref="A565:A628" si="24">+C565&amp;G565&amp;H565&amp;D565</f>
        <v/>
      </c>
      <c r="B565" s="2" t="str">
        <f t="shared" ref="B565:B628" si="25">+C565&amp;G565&amp;H565&amp;D565&amp;K565</f>
        <v/>
      </c>
      <c r="C565" s="82"/>
      <c r="D565" s="82"/>
      <c r="E565" s="82"/>
      <c r="F565" s="82"/>
      <c r="G565" s="82"/>
      <c r="H565" s="82"/>
      <c r="I565" s="82"/>
      <c r="J565" s="82"/>
      <c r="K565" s="89"/>
      <c r="L565" s="82"/>
    </row>
    <row r="566" spans="1:12" ht="14.5">
      <c r="A566" s="2" t="str">
        <f t="shared" si="24"/>
        <v/>
      </c>
      <c r="B566" s="2" t="str">
        <f t="shared" si="25"/>
        <v/>
      </c>
      <c r="C566" s="82"/>
      <c r="D566" s="82"/>
      <c r="E566" s="82"/>
      <c r="F566" s="82"/>
      <c r="G566" s="82"/>
      <c r="H566" s="82"/>
      <c r="I566" s="82"/>
      <c r="J566" s="82"/>
      <c r="K566" s="89"/>
      <c r="L566" s="82"/>
    </row>
    <row r="567" spans="1:12" ht="14.5">
      <c r="A567" s="2" t="str">
        <f t="shared" si="24"/>
        <v/>
      </c>
      <c r="B567" s="2" t="str">
        <f t="shared" si="25"/>
        <v/>
      </c>
      <c r="C567" s="82"/>
      <c r="D567" s="82"/>
      <c r="E567" s="82"/>
      <c r="F567" s="82"/>
      <c r="G567" s="82"/>
      <c r="H567" s="82"/>
      <c r="I567" s="82"/>
      <c r="J567" s="82"/>
      <c r="K567" s="89"/>
      <c r="L567" s="82"/>
    </row>
    <row r="568" spans="1:12" ht="14.5">
      <c r="A568" s="2" t="str">
        <f t="shared" si="24"/>
        <v/>
      </c>
      <c r="B568" s="2" t="str">
        <f t="shared" si="25"/>
        <v/>
      </c>
      <c r="C568" s="82"/>
      <c r="D568" s="82"/>
      <c r="E568" s="82"/>
      <c r="F568" s="82"/>
      <c r="G568" s="82"/>
      <c r="H568" s="82"/>
      <c r="I568" s="82"/>
      <c r="J568" s="82"/>
      <c r="K568" s="89"/>
      <c r="L568" s="82"/>
    </row>
    <row r="569" spans="1:12" ht="14.5">
      <c r="A569" s="2" t="str">
        <f t="shared" si="24"/>
        <v/>
      </c>
      <c r="B569" s="2" t="str">
        <f t="shared" si="25"/>
        <v/>
      </c>
      <c r="C569" s="82"/>
      <c r="D569" s="82"/>
      <c r="E569" s="82"/>
      <c r="F569" s="82"/>
      <c r="G569" s="82"/>
      <c r="H569" s="82"/>
      <c r="I569" s="82"/>
      <c r="J569" s="82"/>
      <c r="K569" s="89"/>
      <c r="L569" s="82"/>
    </row>
    <row r="570" spans="1:12" ht="14.5">
      <c r="A570" s="2" t="str">
        <f t="shared" si="24"/>
        <v/>
      </c>
      <c r="B570" s="2" t="str">
        <f t="shared" si="25"/>
        <v/>
      </c>
      <c r="C570" s="82"/>
      <c r="D570" s="82"/>
      <c r="E570" s="82"/>
      <c r="F570" s="82"/>
      <c r="G570" s="82"/>
      <c r="H570" s="82"/>
      <c r="I570" s="82"/>
      <c r="J570" s="82"/>
      <c r="K570" s="89"/>
      <c r="L570" s="82"/>
    </row>
    <row r="571" spans="1:12" ht="14.5">
      <c r="A571" s="2" t="str">
        <f t="shared" si="24"/>
        <v/>
      </c>
      <c r="B571" s="2" t="str">
        <f t="shared" si="25"/>
        <v/>
      </c>
      <c r="C571" s="82"/>
      <c r="D571" s="82"/>
      <c r="E571" s="82"/>
      <c r="F571" s="82"/>
      <c r="G571" s="82"/>
      <c r="H571" s="82"/>
      <c r="I571" s="82"/>
      <c r="J571" s="82"/>
      <c r="K571" s="89"/>
      <c r="L571" s="82"/>
    </row>
    <row r="572" spans="1:12" ht="14.5">
      <c r="A572" s="2" t="str">
        <f t="shared" si="24"/>
        <v/>
      </c>
      <c r="B572" s="2" t="str">
        <f t="shared" si="25"/>
        <v/>
      </c>
      <c r="C572" s="82"/>
      <c r="D572" s="82"/>
      <c r="E572" s="82"/>
      <c r="F572" s="82"/>
      <c r="G572" s="82"/>
      <c r="H572" s="82"/>
      <c r="I572" s="82"/>
      <c r="J572" s="82"/>
      <c r="K572" s="89"/>
      <c r="L572" s="82"/>
    </row>
    <row r="573" spans="1:12" ht="14.5">
      <c r="A573" s="2" t="str">
        <f t="shared" si="24"/>
        <v/>
      </c>
      <c r="B573" s="2" t="str">
        <f t="shared" si="25"/>
        <v/>
      </c>
      <c r="C573" s="82"/>
      <c r="D573" s="82"/>
      <c r="E573" s="82"/>
      <c r="F573" s="82"/>
      <c r="G573" s="82"/>
      <c r="H573" s="82"/>
      <c r="I573" s="82"/>
      <c r="J573" s="82"/>
      <c r="K573" s="89"/>
      <c r="L573" s="82"/>
    </row>
    <row r="574" spans="1:12" ht="14.5">
      <c r="A574" s="2" t="str">
        <f t="shared" si="24"/>
        <v/>
      </c>
      <c r="B574" s="2" t="str">
        <f t="shared" si="25"/>
        <v/>
      </c>
      <c r="C574" s="82"/>
      <c r="D574" s="82"/>
      <c r="E574" s="82"/>
      <c r="F574" s="82"/>
      <c r="G574" s="82"/>
      <c r="H574" s="82"/>
      <c r="I574" s="82"/>
      <c r="J574" s="82"/>
      <c r="K574" s="89"/>
      <c r="L574" s="82"/>
    </row>
    <row r="575" spans="1:12" ht="14.5">
      <c r="A575" s="2" t="str">
        <f t="shared" si="24"/>
        <v/>
      </c>
      <c r="B575" s="2" t="str">
        <f t="shared" si="25"/>
        <v/>
      </c>
      <c r="C575" s="82"/>
      <c r="D575" s="82"/>
      <c r="E575" s="82"/>
      <c r="F575" s="82"/>
      <c r="G575" s="82"/>
      <c r="H575" s="82"/>
      <c r="I575" s="82"/>
      <c r="J575" s="82"/>
      <c r="K575" s="89"/>
      <c r="L575" s="82"/>
    </row>
    <row r="576" spans="1:12" ht="14.5">
      <c r="A576" s="2" t="str">
        <f t="shared" si="24"/>
        <v/>
      </c>
      <c r="B576" s="2" t="str">
        <f t="shared" si="25"/>
        <v/>
      </c>
      <c r="C576" s="82"/>
      <c r="D576" s="82"/>
      <c r="E576" s="82"/>
      <c r="F576" s="82"/>
      <c r="G576" s="82"/>
      <c r="H576" s="82"/>
      <c r="I576" s="82"/>
      <c r="J576" s="82"/>
      <c r="K576" s="89"/>
      <c r="L576" s="82"/>
    </row>
    <row r="577" spans="1:12" ht="14.5">
      <c r="A577" s="2" t="str">
        <f t="shared" si="24"/>
        <v/>
      </c>
      <c r="B577" s="2" t="str">
        <f t="shared" si="25"/>
        <v/>
      </c>
      <c r="C577" s="82"/>
      <c r="D577" s="82"/>
      <c r="E577" s="82"/>
      <c r="F577" s="82"/>
      <c r="G577" s="82"/>
      <c r="H577" s="82"/>
      <c r="I577" s="82"/>
      <c r="J577" s="82"/>
      <c r="K577" s="89"/>
      <c r="L577" s="82"/>
    </row>
    <row r="578" spans="1:12" ht="14.5">
      <c r="A578" s="2" t="str">
        <f t="shared" si="24"/>
        <v/>
      </c>
      <c r="B578" s="2" t="str">
        <f t="shared" si="25"/>
        <v/>
      </c>
      <c r="C578" s="82"/>
      <c r="D578" s="82"/>
      <c r="E578" s="82"/>
      <c r="F578" s="82"/>
      <c r="G578" s="82"/>
      <c r="H578" s="82"/>
      <c r="I578" s="82"/>
      <c r="J578" s="82"/>
      <c r="K578" s="89"/>
      <c r="L578" s="82"/>
    </row>
    <row r="579" spans="1:12" ht="14.5">
      <c r="A579" s="2" t="str">
        <f t="shared" si="24"/>
        <v/>
      </c>
      <c r="B579" s="2" t="str">
        <f t="shared" si="25"/>
        <v/>
      </c>
      <c r="C579" s="82"/>
      <c r="D579" s="82"/>
      <c r="E579" s="82"/>
      <c r="F579" s="82"/>
      <c r="G579" s="82"/>
      <c r="H579" s="82"/>
      <c r="I579" s="82"/>
      <c r="J579" s="82"/>
      <c r="K579" s="89"/>
      <c r="L579" s="82"/>
    </row>
    <row r="580" spans="1:12" ht="14.5">
      <c r="A580" s="2" t="str">
        <f t="shared" si="24"/>
        <v/>
      </c>
      <c r="B580" s="2" t="str">
        <f t="shared" si="25"/>
        <v/>
      </c>
      <c r="C580" s="82"/>
      <c r="D580" s="82"/>
      <c r="E580" s="82"/>
      <c r="F580" s="82"/>
      <c r="G580" s="82"/>
      <c r="H580" s="82"/>
      <c r="I580" s="82"/>
      <c r="J580" s="82"/>
      <c r="K580" s="89"/>
      <c r="L580" s="82"/>
    </row>
    <row r="581" spans="1:12" ht="14.5">
      <c r="A581" s="2" t="str">
        <f t="shared" si="24"/>
        <v/>
      </c>
      <c r="B581" s="2" t="str">
        <f t="shared" si="25"/>
        <v/>
      </c>
      <c r="C581" s="82"/>
      <c r="D581" s="82"/>
      <c r="E581" s="82"/>
      <c r="F581" s="82"/>
      <c r="G581" s="82"/>
      <c r="H581" s="82"/>
      <c r="I581" s="82"/>
      <c r="J581" s="82"/>
      <c r="K581" s="89"/>
      <c r="L581" s="82"/>
    </row>
    <row r="582" spans="1:12" ht="14.5">
      <c r="A582" s="2" t="str">
        <f t="shared" si="24"/>
        <v/>
      </c>
      <c r="B582" s="2" t="str">
        <f t="shared" si="25"/>
        <v/>
      </c>
      <c r="C582" s="82"/>
      <c r="D582" s="82"/>
      <c r="E582" s="82"/>
      <c r="F582" s="82"/>
      <c r="G582" s="82"/>
      <c r="H582" s="82"/>
      <c r="I582" s="82"/>
      <c r="J582" s="82"/>
      <c r="K582" s="89"/>
      <c r="L582" s="82"/>
    </row>
    <row r="583" spans="1:12" ht="14.5">
      <c r="A583" s="2" t="str">
        <f t="shared" si="24"/>
        <v/>
      </c>
      <c r="B583" s="2" t="str">
        <f t="shared" si="25"/>
        <v/>
      </c>
      <c r="C583" s="82"/>
      <c r="D583" s="82"/>
      <c r="E583" s="82"/>
      <c r="F583" s="82"/>
      <c r="G583" s="82"/>
      <c r="H583" s="82"/>
      <c r="I583" s="82"/>
      <c r="J583" s="82"/>
      <c r="K583" s="89"/>
      <c r="L583" s="82"/>
    </row>
    <row r="584" spans="1:12" ht="14.5">
      <c r="A584" s="2" t="str">
        <f t="shared" si="24"/>
        <v/>
      </c>
      <c r="B584" s="2" t="str">
        <f t="shared" si="25"/>
        <v/>
      </c>
      <c r="C584" s="82"/>
      <c r="D584" s="82"/>
      <c r="E584" s="82"/>
      <c r="F584" s="82"/>
      <c r="G584" s="82"/>
      <c r="H584" s="82"/>
      <c r="I584" s="82"/>
      <c r="J584" s="82"/>
      <c r="K584" s="89"/>
      <c r="L584" s="82"/>
    </row>
    <row r="585" spans="1:12" ht="14.5">
      <c r="A585" s="2" t="str">
        <f t="shared" si="24"/>
        <v/>
      </c>
      <c r="B585" s="2" t="str">
        <f t="shared" si="25"/>
        <v/>
      </c>
      <c r="C585" s="82"/>
      <c r="D585" s="82"/>
      <c r="E585" s="82"/>
      <c r="F585" s="82"/>
      <c r="G585" s="82"/>
      <c r="H585" s="82"/>
      <c r="I585" s="82"/>
      <c r="J585" s="82"/>
      <c r="K585" s="89"/>
      <c r="L585" s="82"/>
    </row>
    <row r="586" spans="1:12" ht="14.5">
      <c r="A586" s="2" t="str">
        <f t="shared" si="24"/>
        <v/>
      </c>
      <c r="B586" s="2" t="str">
        <f t="shared" si="25"/>
        <v/>
      </c>
      <c r="C586" s="82"/>
      <c r="D586" s="82"/>
      <c r="E586" s="82"/>
      <c r="F586" s="82"/>
      <c r="G586" s="82"/>
      <c r="H586" s="82"/>
      <c r="I586" s="82"/>
      <c r="J586" s="82"/>
      <c r="K586" s="89"/>
      <c r="L586" s="82"/>
    </row>
    <row r="587" spans="1:12" ht="14.5">
      <c r="A587" s="2" t="str">
        <f t="shared" si="24"/>
        <v/>
      </c>
      <c r="B587" s="2" t="str">
        <f t="shared" si="25"/>
        <v/>
      </c>
      <c r="C587" s="82"/>
      <c r="D587" s="82"/>
      <c r="E587" s="82"/>
      <c r="F587" s="82"/>
      <c r="G587" s="82"/>
      <c r="H587" s="82"/>
      <c r="I587" s="82"/>
      <c r="J587" s="82"/>
      <c r="K587" s="89"/>
      <c r="L587" s="82"/>
    </row>
    <row r="588" spans="1:12" ht="14.5">
      <c r="A588" s="2" t="str">
        <f t="shared" si="24"/>
        <v/>
      </c>
      <c r="B588" s="2" t="str">
        <f t="shared" si="25"/>
        <v/>
      </c>
      <c r="C588" s="82"/>
      <c r="D588" s="82"/>
      <c r="E588" s="82"/>
      <c r="F588" s="82"/>
      <c r="G588" s="82"/>
      <c r="H588" s="82"/>
      <c r="I588" s="82"/>
      <c r="J588" s="82"/>
      <c r="K588" s="89"/>
      <c r="L588" s="82"/>
    </row>
    <row r="589" spans="1:12" ht="14.5">
      <c r="A589" s="2" t="str">
        <f t="shared" si="24"/>
        <v/>
      </c>
      <c r="B589" s="2" t="str">
        <f t="shared" si="25"/>
        <v/>
      </c>
      <c r="C589" s="82"/>
      <c r="D589" s="82"/>
      <c r="E589" s="82"/>
      <c r="F589" s="82"/>
      <c r="G589" s="82"/>
      <c r="H589" s="82"/>
      <c r="I589" s="82"/>
      <c r="J589" s="82"/>
      <c r="K589" s="89"/>
      <c r="L589" s="82"/>
    </row>
    <row r="590" spans="1:12" ht="14.5">
      <c r="A590" s="2" t="str">
        <f t="shared" si="24"/>
        <v/>
      </c>
      <c r="B590" s="2" t="str">
        <f t="shared" si="25"/>
        <v/>
      </c>
      <c r="C590" s="82"/>
      <c r="D590" s="82"/>
      <c r="E590" s="82"/>
      <c r="F590" s="82"/>
      <c r="G590" s="82"/>
      <c r="H590" s="82"/>
      <c r="I590" s="82"/>
      <c r="J590" s="82"/>
      <c r="K590" s="89"/>
      <c r="L590" s="82"/>
    </row>
    <row r="591" spans="1:12" ht="14.5">
      <c r="A591" s="2" t="str">
        <f t="shared" si="24"/>
        <v/>
      </c>
      <c r="B591" s="2" t="str">
        <f t="shared" si="25"/>
        <v/>
      </c>
      <c r="C591" s="82"/>
      <c r="D591" s="82"/>
      <c r="E591" s="82"/>
      <c r="F591" s="82"/>
      <c r="G591" s="82"/>
      <c r="H591" s="82"/>
      <c r="I591" s="82"/>
      <c r="J591" s="82"/>
      <c r="K591" s="89"/>
      <c r="L591" s="82"/>
    </row>
    <row r="592" spans="1:12" ht="14.5">
      <c r="A592" s="2" t="str">
        <f t="shared" si="24"/>
        <v/>
      </c>
      <c r="B592" s="2" t="str">
        <f t="shared" si="25"/>
        <v/>
      </c>
      <c r="C592" s="82"/>
      <c r="D592" s="82"/>
      <c r="E592" s="82"/>
      <c r="F592" s="82"/>
      <c r="G592" s="82"/>
      <c r="H592" s="82"/>
      <c r="I592" s="82"/>
      <c r="J592" s="82"/>
      <c r="K592" s="89"/>
      <c r="L592" s="82"/>
    </row>
    <row r="593" spans="1:12" ht="14.5">
      <c r="A593" s="2" t="str">
        <f t="shared" si="24"/>
        <v/>
      </c>
      <c r="B593" s="2" t="str">
        <f t="shared" si="25"/>
        <v/>
      </c>
      <c r="C593" s="82"/>
      <c r="D593" s="82"/>
      <c r="E593" s="82"/>
      <c r="F593" s="82"/>
      <c r="G593" s="82"/>
      <c r="H593" s="82"/>
      <c r="I593" s="82"/>
      <c r="J593" s="82"/>
      <c r="K593" s="89"/>
      <c r="L593" s="82"/>
    </row>
    <row r="594" spans="1:12" ht="14.5">
      <c r="A594" s="2" t="str">
        <f t="shared" si="24"/>
        <v/>
      </c>
      <c r="B594" s="2" t="str">
        <f t="shared" si="25"/>
        <v/>
      </c>
      <c r="C594" s="82"/>
      <c r="D594" s="82"/>
      <c r="E594" s="82"/>
      <c r="F594" s="82"/>
      <c r="G594" s="82"/>
      <c r="H594" s="82"/>
      <c r="I594" s="82"/>
      <c r="J594" s="82"/>
      <c r="K594" s="89"/>
      <c r="L594" s="82"/>
    </row>
    <row r="595" spans="1:12" ht="14.5">
      <c r="A595" s="2" t="str">
        <f t="shared" si="24"/>
        <v/>
      </c>
      <c r="B595" s="2" t="str">
        <f t="shared" si="25"/>
        <v/>
      </c>
      <c r="C595" s="82"/>
      <c r="D595" s="82"/>
      <c r="E595" s="82"/>
      <c r="F595" s="82"/>
      <c r="G595" s="82"/>
      <c r="H595" s="82"/>
      <c r="I595" s="82"/>
      <c r="J595" s="82"/>
      <c r="K595" s="89"/>
      <c r="L595" s="82"/>
    </row>
    <row r="596" spans="1:12" ht="14.5">
      <c r="A596" s="2" t="str">
        <f t="shared" si="24"/>
        <v/>
      </c>
      <c r="B596" s="2" t="str">
        <f t="shared" si="25"/>
        <v/>
      </c>
      <c r="C596" s="82"/>
      <c r="D596" s="82"/>
      <c r="E596" s="82"/>
      <c r="F596" s="82"/>
      <c r="G596" s="82"/>
      <c r="H596" s="82"/>
      <c r="I596" s="82"/>
      <c r="J596" s="82"/>
      <c r="K596" s="89"/>
      <c r="L596" s="82"/>
    </row>
    <row r="597" spans="1:12" ht="14.5">
      <c r="A597" s="2" t="str">
        <f t="shared" si="24"/>
        <v/>
      </c>
      <c r="B597" s="2" t="str">
        <f t="shared" si="25"/>
        <v/>
      </c>
      <c r="C597" s="82"/>
      <c r="D597" s="82"/>
      <c r="E597" s="82"/>
      <c r="F597" s="82"/>
      <c r="G597" s="82"/>
      <c r="H597" s="82"/>
      <c r="I597" s="82"/>
      <c r="J597" s="82"/>
      <c r="K597" s="89"/>
      <c r="L597" s="82"/>
    </row>
    <row r="598" spans="1:12" ht="14.5">
      <c r="A598" s="2" t="str">
        <f t="shared" si="24"/>
        <v/>
      </c>
      <c r="B598" s="2" t="str">
        <f t="shared" si="25"/>
        <v/>
      </c>
      <c r="C598" s="82"/>
      <c r="D598" s="82"/>
      <c r="E598" s="82"/>
      <c r="F598" s="82"/>
      <c r="G598" s="82"/>
      <c r="H598" s="82"/>
      <c r="I598" s="82"/>
      <c r="J598" s="82"/>
      <c r="K598" s="89"/>
      <c r="L598" s="82"/>
    </row>
    <row r="599" spans="1:12" ht="14.5">
      <c r="A599" s="2" t="str">
        <f t="shared" si="24"/>
        <v/>
      </c>
      <c r="B599" s="2" t="str">
        <f t="shared" si="25"/>
        <v/>
      </c>
      <c r="C599" s="82"/>
      <c r="D599" s="82"/>
      <c r="E599" s="82"/>
      <c r="F599" s="82"/>
      <c r="G599" s="82"/>
      <c r="H599" s="82"/>
      <c r="I599" s="82"/>
      <c r="J599" s="82"/>
      <c r="K599" s="89"/>
      <c r="L599" s="82"/>
    </row>
    <row r="600" spans="1:12" ht="14.5">
      <c r="A600" s="2" t="str">
        <f t="shared" si="24"/>
        <v/>
      </c>
      <c r="B600" s="2" t="str">
        <f t="shared" si="25"/>
        <v/>
      </c>
      <c r="C600" s="82"/>
      <c r="D600" s="82"/>
      <c r="E600" s="82"/>
      <c r="F600" s="82"/>
      <c r="G600" s="82"/>
      <c r="H600" s="82"/>
      <c r="I600" s="82"/>
      <c r="J600" s="82"/>
      <c r="K600" s="89"/>
      <c r="L600" s="82"/>
    </row>
    <row r="601" spans="1:12" ht="14.5">
      <c r="A601" s="2" t="str">
        <f t="shared" si="24"/>
        <v/>
      </c>
      <c r="B601" s="2" t="str">
        <f t="shared" si="25"/>
        <v/>
      </c>
      <c r="C601" s="82"/>
      <c r="D601" s="82"/>
      <c r="E601" s="82"/>
      <c r="F601" s="82"/>
      <c r="G601" s="82"/>
      <c r="H601" s="82"/>
      <c r="I601" s="82"/>
      <c r="J601" s="82"/>
      <c r="K601" s="89"/>
      <c r="L601" s="82"/>
    </row>
    <row r="602" spans="1:12" ht="14.5">
      <c r="A602" s="2" t="str">
        <f t="shared" si="24"/>
        <v/>
      </c>
      <c r="B602" s="2" t="str">
        <f t="shared" si="25"/>
        <v/>
      </c>
      <c r="C602" s="82"/>
      <c r="D602" s="82"/>
      <c r="E602" s="82"/>
      <c r="F602" s="82"/>
      <c r="G602" s="82"/>
      <c r="H602" s="82"/>
      <c r="I602" s="82"/>
      <c r="J602" s="82"/>
      <c r="K602" s="89"/>
      <c r="L602" s="82"/>
    </row>
    <row r="603" spans="1:12" ht="14.5">
      <c r="A603" s="2" t="str">
        <f t="shared" si="24"/>
        <v/>
      </c>
      <c r="B603" s="2" t="str">
        <f t="shared" si="25"/>
        <v/>
      </c>
      <c r="C603" s="82"/>
      <c r="D603" s="82"/>
      <c r="E603" s="82"/>
      <c r="F603" s="82"/>
      <c r="G603" s="82"/>
      <c r="H603" s="82"/>
      <c r="I603" s="82"/>
      <c r="J603" s="82"/>
      <c r="K603" s="89"/>
      <c r="L603" s="82"/>
    </row>
    <row r="604" spans="1:12" ht="14.5">
      <c r="A604" s="2" t="str">
        <f t="shared" si="24"/>
        <v/>
      </c>
      <c r="B604" s="2" t="str">
        <f t="shared" si="25"/>
        <v/>
      </c>
      <c r="C604" s="82"/>
      <c r="D604" s="82"/>
      <c r="E604" s="82"/>
      <c r="F604" s="82"/>
      <c r="G604" s="82"/>
      <c r="H604" s="82"/>
      <c r="I604" s="82"/>
      <c r="J604" s="82"/>
      <c r="K604" s="89"/>
      <c r="L604" s="82"/>
    </row>
    <row r="605" spans="1:12" ht="14.5">
      <c r="A605" s="2" t="str">
        <f t="shared" si="24"/>
        <v/>
      </c>
      <c r="B605" s="2" t="str">
        <f t="shared" si="25"/>
        <v/>
      </c>
      <c r="C605" s="82"/>
      <c r="D605" s="82"/>
      <c r="E605" s="82"/>
      <c r="F605" s="82"/>
      <c r="G605" s="82"/>
      <c r="H605" s="82"/>
      <c r="I605" s="82"/>
      <c r="J605" s="82"/>
      <c r="K605" s="89"/>
      <c r="L605" s="82"/>
    </row>
    <row r="606" spans="1:12" ht="14.5">
      <c r="A606" s="2" t="str">
        <f t="shared" si="24"/>
        <v/>
      </c>
      <c r="B606" s="2" t="str">
        <f t="shared" si="25"/>
        <v/>
      </c>
      <c r="C606" s="82"/>
      <c r="D606" s="82"/>
      <c r="E606" s="82"/>
      <c r="F606" s="82"/>
      <c r="G606" s="82"/>
      <c r="H606" s="82"/>
      <c r="I606" s="82"/>
      <c r="J606" s="82"/>
      <c r="K606" s="89"/>
      <c r="L606" s="82"/>
    </row>
    <row r="607" spans="1:12" ht="14.5">
      <c r="A607" s="2" t="str">
        <f t="shared" si="24"/>
        <v/>
      </c>
      <c r="B607" s="2" t="str">
        <f t="shared" si="25"/>
        <v/>
      </c>
      <c r="C607" s="82"/>
      <c r="D607" s="82"/>
      <c r="E607" s="82"/>
      <c r="F607" s="82"/>
      <c r="G607" s="82"/>
      <c r="H607" s="82"/>
      <c r="I607" s="82"/>
      <c r="J607" s="82"/>
      <c r="K607" s="89"/>
      <c r="L607" s="82"/>
    </row>
    <row r="608" spans="1:12" ht="14.5">
      <c r="A608" s="2" t="str">
        <f t="shared" si="24"/>
        <v/>
      </c>
      <c r="B608" s="2" t="str">
        <f t="shared" si="25"/>
        <v/>
      </c>
      <c r="C608" s="82"/>
      <c r="D608" s="82"/>
      <c r="E608" s="82"/>
      <c r="F608" s="82"/>
      <c r="G608" s="82"/>
      <c r="H608" s="82"/>
      <c r="I608" s="82"/>
      <c r="J608" s="82"/>
      <c r="K608" s="89"/>
      <c r="L608" s="82"/>
    </row>
    <row r="609" spans="1:12" ht="14.5">
      <c r="A609" s="2" t="str">
        <f t="shared" si="24"/>
        <v/>
      </c>
      <c r="B609" s="2" t="str">
        <f t="shared" si="25"/>
        <v/>
      </c>
      <c r="C609" s="82"/>
      <c r="D609" s="82"/>
      <c r="E609" s="82"/>
      <c r="F609" s="82"/>
      <c r="G609" s="82"/>
      <c r="H609" s="82"/>
      <c r="I609" s="82"/>
      <c r="J609" s="82"/>
      <c r="K609" s="89"/>
      <c r="L609" s="82"/>
    </row>
    <row r="610" spans="1:12" ht="14.5">
      <c r="A610" s="2" t="str">
        <f t="shared" si="24"/>
        <v/>
      </c>
      <c r="B610" s="2" t="str">
        <f t="shared" si="25"/>
        <v/>
      </c>
      <c r="C610" s="82"/>
      <c r="D610" s="82"/>
      <c r="E610" s="82"/>
      <c r="F610" s="82"/>
      <c r="G610" s="82"/>
      <c r="H610" s="82"/>
      <c r="I610" s="82"/>
      <c r="J610" s="82"/>
      <c r="K610" s="89"/>
      <c r="L610" s="82"/>
    </row>
    <row r="611" spans="1:12" ht="14.5">
      <c r="A611" s="2" t="str">
        <f t="shared" si="24"/>
        <v/>
      </c>
      <c r="B611" s="2" t="str">
        <f t="shared" si="25"/>
        <v/>
      </c>
      <c r="C611" s="82"/>
      <c r="D611" s="82"/>
      <c r="E611" s="82"/>
      <c r="F611" s="82"/>
      <c r="G611" s="82"/>
      <c r="H611" s="82"/>
      <c r="I611" s="82"/>
      <c r="J611" s="82"/>
      <c r="K611" s="89"/>
      <c r="L611" s="82"/>
    </row>
    <row r="612" spans="1:12" ht="14.5">
      <c r="A612" s="2" t="str">
        <f t="shared" si="24"/>
        <v/>
      </c>
      <c r="B612" s="2" t="str">
        <f t="shared" si="25"/>
        <v/>
      </c>
      <c r="C612" s="82"/>
      <c r="D612" s="82"/>
      <c r="E612" s="82"/>
      <c r="F612" s="82"/>
      <c r="G612" s="82"/>
      <c r="H612" s="82"/>
      <c r="I612" s="82"/>
      <c r="J612" s="82"/>
      <c r="K612" s="89"/>
      <c r="L612" s="82"/>
    </row>
    <row r="613" spans="1:12" ht="14.5">
      <c r="A613" s="2" t="str">
        <f t="shared" si="24"/>
        <v/>
      </c>
      <c r="B613" s="2" t="str">
        <f t="shared" si="25"/>
        <v/>
      </c>
      <c r="C613" s="82"/>
      <c r="D613" s="82"/>
      <c r="E613" s="82"/>
      <c r="F613" s="82"/>
      <c r="G613" s="82"/>
      <c r="H613" s="82"/>
      <c r="I613" s="82"/>
      <c r="J613" s="82"/>
      <c r="K613" s="89"/>
      <c r="L613" s="82"/>
    </row>
    <row r="614" spans="1:12" ht="14.5">
      <c r="A614" s="2" t="str">
        <f t="shared" si="24"/>
        <v/>
      </c>
      <c r="B614" s="2" t="str">
        <f t="shared" si="25"/>
        <v/>
      </c>
      <c r="C614" s="82"/>
      <c r="D614" s="82"/>
      <c r="E614" s="82"/>
      <c r="F614" s="82"/>
      <c r="G614" s="82"/>
      <c r="H614" s="82"/>
      <c r="I614" s="82"/>
      <c r="J614" s="82"/>
      <c r="K614" s="89"/>
      <c r="L614" s="82"/>
    </row>
    <row r="615" spans="1:12" ht="14.5">
      <c r="A615" s="2" t="str">
        <f t="shared" si="24"/>
        <v/>
      </c>
      <c r="B615" s="2" t="str">
        <f t="shared" si="25"/>
        <v/>
      </c>
      <c r="C615" s="82"/>
      <c r="D615" s="82"/>
      <c r="E615" s="82"/>
      <c r="F615" s="82"/>
      <c r="G615" s="82"/>
      <c r="H615" s="82"/>
      <c r="I615" s="82"/>
      <c r="J615" s="82"/>
      <c r="K615" s="89"/>
      <c r="L615" s="82"/>
    </row>
    <row r="616" spans="1:12" ht="14.5">
      <c r="A616" s="2" t="str">
        <f t="shared" si="24"/>
        <v/>
      </c>
      <c r="B616" s="2" t="str">
        <f t="shared" si="25"/>
        <v/>
      </c>
      <c r="C616" s="82"/>
      <c r="D616" s="82"/>
      <c r="E616" s="82"/>
      <c r="F616" s="82"/>
      <c r="G616" s="82"/>
      <c r="H616" s="82"/>
      <c r="I616" s="82"/>
      <c r="J616" s="82"/>
      <c r="K616" s="89"/>
      <c r="L616" s="82"/>
    </row>
    <row r="617" spans="1:12" ht="14.5">
      <c r="A617" s="2" t="str">
        <f t="shared" si="24"/>
        <v/>
      </c>
      <c r="B617" s="2" t="str">
        <f t="shared" si="25"/>
        <v/>
      </c>
      <c r="C617" s="82"/>
      <c r="D617" s="82"/>
      <c r="E617" s="82"/>
      <c r="F617" s="82"/>
      <c r="G617" s="82"/>
      <c r="H617" s="82"/>
      <c r="I617" s="82"/>
      <c r="J617" s="82"/>
      <c r="K617" s="89"/>
      <c r="L617" s="82"/>
    </row>
    <row r="618" spans="1:12" ht="14.5">
      <c r="A618" s="2" t="str">
        <f t="shared" si="24"/>
        <v/>
      </c>
      <c r="B618" s="2" t="str">
        <f t="shared" si="25"/>
        <v/>
      </c>
      <c r="C618" s="82"/>
      <c r="D618" s="82"/>
      <c r="E618" s="82"/>
      <c r="F618" s="82"/>
      <c r="G618" s="82"/>
      <c r="H618" s="82"/>
      <c r="I618" s="82"/>
      <c r="J618" s="82"/>
      <c r="K618" s="89"/>
      <c r="L618" s="82"/>
    </row>
    <row r="619" spans="1:12" ht="14.5">
      <c r="A619" s="2" t="str">
        <f t="shared" si="24"/>
        <v/>
      </c>
      <c r="B619" s="2" t="str">
        <f t="shared" si="25"/>
        <v/>
      </c>
      <c r="C619" s="82"/>
      <c r="D619" s="82"/>
      <c r="E619" s="82"/>
      <c r="F619" s="82"/>
      <c r="G619" s="82"/>
      <c r="H619" s="82"/>
      <c r="I619" s="82"/>
      <c r="J619" s="82"/>
      <c r="K619" s="89"/>
      <c r="L619" s="82"/>
    </row>
    <row r="620" spans="1:12" ht="14.5">
      <c r="A620" s="2" t="str">
        <f t="shared" si="24"/>
        <v/>
      </c>
      <c r="B620" s="2" t="str">
        <f t="shared" si="25"/>
        <v/>
      </c>
      <c r="C620" s="82"/>
      <c r="D620" s="82"/>
      <c r="E620" s="82"/>
      <c r="F620" s="82"/>
      <c r="G620" s="82"/>
      <c r="H620" s="82"/>
      <c r="I620" s="82"/>
      <c r="J620" s="82"/>
      <c r="K620" s="89"/>
      <c r="L620" s="82"/>
    </row>
    <row r="621" spans="1:12" ht="14.5">
      <c r="A621" s="2" t="str">
        <f t="shared" si="24"/>
        <v/>
      </c>
      <c r="B621" s="2" t="str">
        <f t="shared" si="25"/>
        <v/>
      </c>
      <c r="C621" s="82"/>
      <c r="D621" s="82"/>
      <c r="E621" s="82"/>
      <c r="F621" s="82"/>
      <c r="G621" s="82"/>
      <c r="H621" s="82"/>
      <c r="I621" s="82"/>
      <c r="J621" s="82"/>
      <c r="K621" s="89"/>
      <c r="L621" s="82"/>
    </row>
    <row r="622" spans="1:12" ht="14.5">
      <c r="A622" s="2" t="str">
        <f t="shared" si="24"/>
        <v/>
      </c>
      <c r="B622" s="2" t="str">
        <f t="shared" si="25"/>
        <v/>
      </c>
      <c r="C622" s="82"/>
      <c r="D622" s="82"/>
      <c r="E622" s="82"/>
      <c r="F622" s="82"/>
      <c r="G622" s="82"/>
      <c r="H622" s="82"/>
      <c r="I622" s="82"/>
      <c r="J622" s="82"/>
      <c r="K622" s="89"/>
      <c r="L622" s="82"/>
    </row>
    <row r="623" spans="1:12" ht="14.5">
      <c r="A623" s="2" t="str">
        <f t="shared" si="24"/>
        <v/>
      </c>
      <c r="B623" s="2" t="str">
        <f t="shared" si="25"/>
        <v/>
      </c>
      <c r="C623" s="82"/>
      <c r="D623" s="82"/>
      <c r="E623" s="82"/>
      <c r="F623" s="82"/>
      <c r="G623" s="82"/>
      <c r="H623" s="82"/>
      <c r="I623" s="82"/>
      <c r="J623" s="82"/>
      <c r="K623" s="89"/>
      <c r="L623" s="82"/>
    </row>
    <row r="624" spans="1:12" ht="14.5">
      <c r="A624" s="2" t="str">
        <f t="shared" si="24"/>
        <v/>
      </c>
      <c r="B624" s="2" t="str">
        <f t="shared" si="25"/>
        <v/>
      </c>
      <c r="C624" s="82"/>
      <c r="D624" s="82"/>
      <c r="E624" s="82"/>
      <c r="F624" s="82"/>
      <c r="G624" s="82"/>
      <c r="H624" s="82"/>
      <c r="I624" s="82"/>
      <c r="J624" s="82"/>
      <c r="K624" s="89"/>
      <c r="L624" s="82"/>
    </row>
    <row r="625" spans="1:12" ht="14.5">
      <c r="A625" s="2" t="str">
        <f t="shared" si="24"/>
        <v/>
      </c>
      <c r="B625" s="2" t="str">
        <f t="shared" si="25"/>
        <v/>
      </c>
      <c r="C625" s="82"/>
      <c r="D625" s="82"/>
      <c r="E625" s="82"/>
      <c r="F625" s="82"/>
      <c r="G625" s="82"/>
      <c r="H625" s="82"/>
      <c r="I625" s="82"/>
      <c r="J625" s="82"/>
      <c r="K625" s="89"/>
      <c r="L625" s="82"/>
    </row>
    <row r="626" spans="1:12" ht="14.5">
      <c r="A626" s="2" t="str">
        <f t="shared" si="24"/>
        <v/>
      </c>
      <c r="B626" s="2" t="str">
        <f t="shared" si="25"/>
        <v/>
      </c>
      <c r="C626" s="82"/>
      <c r="D626" s="82"/>
      <c r="E626" s="82"/>
      <c r="F626" s="82"/>
      <c r="G626" s="82"/>
      <c r="H626" s="82"/>
      <c r="I626" s="82"/>
      <c r="J626" s="82"/>
      <c r="K626" s="89"/>
      <c r="L626" s="82"/>
    </row>
    <row r="627" spans="1:12" ht="14.5">
      <c r="A627" s="2" t="str">
        <f t="shared" si="24"/>
        <v/>
      </c>
      <c r="B627" s="2" t="str">
        <f t="shared" si="25"/>
        <v/>
      </c>
      <c r="C627" s="82"/>
      <c r="D627" s="82"/>
      <c r="E627" s="82"/>
      <c r="F627" s="82"/>
      <c r="G627" s="82"/>
      <c r="H627" s="82"/>
      <c r="I627" s="82"/>
      <c r="J627" s="82"/>
      <c r="K627" s="89"/>
      <c r="L627" s="82"/>
    </row>
    <row r="628" spans="1:12" ht="14.5">
      <c r="A628" s="2" t="str">
        <f t="shared" si="24"/>
        <v/>
      </c>
      <c r="B628" s="2" t="str">
        <f t="shared" si="25"/>
        <v/>
      </c>
      <c r="C628" s="82"/>
      <c r="D628" s="82"/>
      <c r="E628" s="82"/>
      <c r="F628" s="82"/>
      <c r="G628" s="82"/>
      <c r="H628" s="82"/>
      <c r="I628" s="82"/>
      <c r="J628" s="82"/>
      <c r="K628" s="89"/>
      <c r="L628" s="82"/>
    </row>
    <row r="629" spans="1:12" ht="14.5">
      <c r="A629" s="2" t="str">
        <f t="shared" ref="A629:A692" si="26">+C629&amp;G629&amp;H629&amp;D629</f>
        <v/>
      </c>
      <c r="B629" s="2" t="str">
        <f t="shared" ref="B629:B692" si="27">+C629&amp;G629&amp;H629&amp;D629&amp;K629</f>
        <v/>
      </c>
      <c r="C629" s="82"/>
      <c r="D629" s="82"/>
      <c r="E629" s="82"/>
      <c r="F629" s="82"/>
      <c r="G629" s="82"/>
      <c r="H629" s="82"/>
      <c r="I629" s="82"/>
      <c r="J629" s="82"/>
      <c r="K629" s="89"/>
      <c r="L629" s="82"/>
    </row>
    <row r="630" spans="1:12" ht="14.5">
      <c r="A630" s="2" t="str">
        <f t="shared" si="26"/>
        <v/>
      </c>
      <c r="B630" s="2" t="str">
        <f t="shared" si="27"/>
        <v/>
      </c>
      <c r="C630" s="82"/>
      <c r="D630" s="82"/>
      <c r="E630" s="82"/>
      <c r="F630" s="82"/>
      <c r="G630" s="82"/>
      <c r="H630" s="82"/>
      <c r="I630" s="82"/>
      <c r="J630" s="82"/>
      <c r="K630" s="89"/>
      <c r="L630" s="82"/>
    </row>
    <row r="631" spans="1:12" ht="14.5">
      <c r="A631" s="2" t="str">
        <f t="shared" si="26"/>
        <v/>
      </c>
      <c r="B631" s="2" t="str">
        <f t="shared" si="27"/>
        <v/>
      </c>
      <c r="C631" s="82"/>
      <c r="D631" s="82"/>
      <c r="E631" s="82"/>
      <c r="F631" s="82"/>
      <c r="G631" s="82"/>
      <c r="H631" s="82"/>
      <c r="I631" s="82"/>
      <c r="J631" s="82"/>
      <c r="K631" s="89"/>
      <c r="L631" s="82"/>
    </row>
    <row r="632" spans="1:12" ht="14.5">
      <c r="A632" s="2" t="str">
        <f t="shared" si="26"/>
        <v/>
      </c>
      <c r="B632" s="2" t="str">
        <f t="shared" si="27"/>
        <v/>
      </c>
      <c r="C632" s="82"/>
      <c r="D632" s="82"/>
      <c r="E632" s="82"/>
      <c r="F632" s="82"/>
      <c r="G632" s="82"/>
      <c r="H632" s="82"/>
      <c r="I632" s="82"/>
      <c r="J632" s="82"/>
      <c r="K632" s="89"/>
      <c r="L632" s="82"/>
    </row>
    <row r="633" spans="1:12" ht="14.5">
      <c r="A633" s="2" t="str">
        <f t="shared" si="26"/>
        <v/>
      </c>
      <c r="B633" s="2" t="str">
        <f t="shared" si="27"/>
        <v/>
      </c>
      <c r="C633" s="82"/>
      <c r="D633" s="82"/>
      <c r="E633" s="82"/>
      <c r="F633" s="82"/>
      <c r="G633" s="82"/>
      <c r="H633" s="82"/>
      <c r="I633" s="82"/>
      <c r="J633" s="82"/>
      <c r="K633" s="89"/>
      <c r="L633" s="82"/>
    </row>
    <row r="634" spans="1:12" ht="14.5">
      <c r="A634" s="2" t="str">
        <f t="shared" si="26"/>
        <v/>
      </c>
      <c r="B634" s="2" t="str">
        <f t="shared" si="27"/>
        <v/>
      </c>
      <c r="C634" s="82"/>
      <c r="D634" s="82"/>
      <c r="E634" s="82"/>
      <c r="F634" s="82"/>
      <c r="G634" s="82"/>
      <c r="H634" s="82"/>
      <c r="I634" s="82"/>
      <c r="J634" s="82"/>
      <c r="K634" s="89"/>
      <c r="L634" s="82"/>
    </row>
    <row r="635" spans="1:12" ht="14.5">
      <c r="A635" s="2" t="str">
        <f t="shared" si="26"/>
        <v/>
      </c>
      <c r="B635" s="2" t="str">
        <f t="shared" si="27"/>
        <v/>
      </c>
      <c r="C635" s="82"/>
      <c r="D635" s="82"/>
      <c r="E635" s="82"/>
      <c r="F635" s="82"/>
      <c r="G635" s="82"/>
      <c r="H635" s="82"/>
      <c r="I635" s="82"/>
      <c r="J635" s="82"/>
      <c r="K635" s="89"/>
      <c r="L635" s="82"/>
    </row>
    <row r="636" spans="1:12" ht="14.5">
      <c r="A636" s="2" t="str">
        <f t="shared" si="26"/>
        <v/>
      </c>
      <c r="B636" s="2" t="str">
        <f t="shared" si="27"/>
        <v/>
      </c>
      <c r="C636" s="82"/>
      <c r="D636" s="82"/>
      <c r="E636" s="82"/>
      <c r="F636" s="82"/>
      <c r="G636" s="82"/>
      <c r="H636" s="82"/>
      <c r="I636" s="82"/>
      <c r="J636" s="82"/>
      <c r="K636" s="89"/>
      <c r="L636" s="82"/>
    </row>
    <row r="637" spans="1:12" ht="14.5">
      <c r="A637" s="2" t="str">
        <f t="shared" si="26"/>
        <v/>
      </c>
      <c r="B637" s="2" t="str">
        <f t="shared" si="27"/>
        <v/>
      </c>
      <c r="C637" s="82"/>
      <c r="D637" s="82"/>
      <c r="E637" s="82"/>
      <c r="F637" s="82"/>
      <c r="G637" s="82"/>
      <c r="H637" s="82"/>
      <c r="I637" s="82"/>
      <c r="J637" s="82"/>
      <c r="K637" s="89"/>
      <c r="L637" s="82"/>
    </row>
    <row r="638" spans="1:12" ht="14.5">
      <c r="A638" s="2" t="str">
        <f t="shared" si="26"/>
        <v/>
      </c>
      <c r="B638" s="2" t="str">
        <f t="shared" si="27"/>
        <v/>
      </c>
      <c r="C638" s="82"/>
      <c r="D638" s="82"/>
      <c r="E638" s="82"/>
      <c r="F638" s="82"/>
      <c r="G638" s="82"/>
      <c r="H638" s="82"/>
      <c r="I638" s="82"/>
      <c r="J638" s="82"/>
      <c r="K638" s="89"/>
      <c r="L638" s="82"/>
    </row>
    <row r="639" spans="1:12" ht="14.5">
      <c r="A639" s="2" t="str">
        <f t="shared" si="26"/>
        <v/>
      </c>
      <c r="B639" s="2" t="str">
        <f t="shared" si="27"/>
        <v/>
      </c>
      <c r="C639" s="82"/>
      <c r="D639" s="82"/>
      <c r="E639" s="82"/>
      <c r="F639" s="82"/>
      <c r="G639" s="82"/>
      <c r="H639" s="82"/>
      <c r="I639" s="82"/>
      <c r="J639" s="82"/>
      <c r="K639" s="89"/>
      <c r="L639" s="82"/>
    </row>
    <row r="640" spans="1:12" ht="14.5">
      <c r="A640" s="2" t="str">
        <f t="shared" si="26"/>
        <v/>
      </c>
      <c r="B640" s="2" t="str">
        <f t="shared" si="27"/>
        <v/>
      </c>
      <c r="C640" s="82"/>
      <c r="D640" s="82"/>
      <c r="E640" s="82"/>
      <c r="F640" s="82"/>
      <c r="G640" s="82"/>
      <c r="H640" s="82"/>
      <c r="I640" s="82"/>
      <c r="J640" s="82"/>
      <c r="K640" s="89"/>
      <c r="L640" s="82"/>
    </row>
    <row r="641" spans="1:12" ht="14.5">
      <c r="A641" s="2" t="str">
        <f t="shared" si="26"/>
        <v/>
      </c>
      <c r="B641" s="2" t="str">
        <f t="shared" si="27"/>
        <v/>
      </c>
      <c r="C641" s="82"/>
      <c r="D641" s="82"/>
      <c r="E641" s="82"/>
      <c r="F641" s="82"/>
      <c r="G641" s="82"/>
      <c r="H641" s="82"/>
      <c r="I641" s="82"/>
      <c r="J641" s="82"/>
      <c r="K641" s="89"/>
      <c r="L641" s="82"/>
    </row>
    <row r="642" spans="1:12" ht="14.5">
      <c r="A642" s="2" t="str">
        <f t="shared" si="26"/>
        <v/>
      </c>
      <c r="B642" s="2" t="str">
        <f t="shared" si="27"/>
        <v/>
      </c>
      <c r="C642" s="82"/>
      <c r="D642" s="82"/>
      <c r="E642" s="82"/>
      <c r="F642" s="82"/>
      <c r="G642" s="82"/>
      <c r="H642" s="82"/>
      <c r="I642" s="82"/>
      <c r="J642" s="82"/>
      <c r="K642" s="89"/>
      <c r="L642" s="82"/>
    </row>
    <row r="643" spans="1:12" ht="14.5">
      <c r="A643" s="2" t="str">
        <f t="shared" si="26"/>
        <v/>
      </c>
      <c r="B643" s="2" t="str">
        <f t="shared" si="27"/>
        <v/>
      </c>
      <c r="C643" s="82"/>
      <c r="D643" s="82"/>
      <c r="E643" s="82"/>
      <c r="F643" s="82"/>
      <c r="G643" s="82"/>
      <c r="H643" s="82"/>
      <c r="I643" s="82"/>
      <c r="J643" s="82"/>
      <c r="K643" s="89"/>
      <c r="L643" s="82"/>
    </row>
    <row r="644" spans="1:12" ht="14.5">
      <c r="A644" s="2" t="str">
        <f t="shared" si="26"/>
        <v/>
      </c>
      <c r="B644" s="2" t="str">
        <f t="shared" si="27"/>
        <v/>
      </c>
      <c r="C644" s="82"/>
      <c r="D644" s="82"/>
      <c r="E644" s="82"/>
      <c r="F644" s="82"/>
      <c r="G644" s="82"/>
      <c r="H644" s="82"/>
      <c r="I644" s="82"/>
      <c r="J644" s="82"/>
      <c r="K644" s="89"/>
      <c r="L644" s="82"/>
    </row>
    <row r="645" spans="1:12" ht="14.5">
      <c r="A645" s="2" t="str">
        <f t="shared" si="26"/>
        <v/>
      </c>
      <c r="B645" s="2" t="str">
        <f t="shared" si="27"/>
        <v/>
      </c>
      <c r="C645" s="82"/>
      <c r="D645" s="82"/>
      <c r="E645" s="82"/>
      <c r="F645" s="82"/>
      <c r="G645" s="82"/>
      <c r="H645" s="82"/>
      <c r="I645" s="82"/>
      <c r="J645" s="82"/>
      <c r="K645" s="89"/>
      <c r="L645" s="82"/>
    </row>
    <row r="646" spans="1:12" ht="14.5">
      <c r="A646" s="2" t="str">
        <f t="shared" si="26"/>
        <v/>
      </c>
      <c r="B646" s="2" t="str">
        <f t="shared" si="27"/>
        <v/>
      </c>
      <c r="C646" s="82"/>
      <c r="D646" s="82"/>
      <c r="E646" s="82"/>
      <c r="F646" s="82"/>
      <c r="G646" s="82"/>
      <c r="H646" s="82"/>
      <c r="I646" s="82"/>
      <c r="J646" s="82"/>
      <c r="K646" s="89"/>
      <c r="L646" s="82"/>
    </row>
    <row r="647" spans="1:12" ht="14.5">
      <c r="A647" s="2" t="str">
        <f t="shared" si="26"/>
        <v/>
      </c>
      <c r="B647" s="2" t="str">
        <f t="shared" si="27"/>
        <v/>
      </c>
      <c r="C647" s="82"/>
      <c r="D647" s="82"/>
      <c r="E647" s="82"/>
      <c r="F647" s="82"/>
      <c r="G647" s="82"/>
      <c r="H647" s="82"/>
      <c r="I647" s="82"/>
      <c r="J647" s="82"/>
      <c r="K647" s="89"/>
      <c r="L647" s="82"/>
    </row>
    <row r="648" spans="1:12" ht="14.5">
      <c r="A648" s="2" t="str">
        <f t="shared" si="26"/>
        <v/>
      </c>
      <c r="B648" s="2" t="str">
        <f t="shared" si="27"/>
        <v/>
      </c>
      <c r="C648" s="82"/>
      <c r="D648" s="82"/>
      <c r="E648" s="82"/>
      <c r="F648" s="82"/>
      <c r="G648" s="82"/>
      <c r="H648" s="82"/>
      <c r="I648" s="82"/>
      <c r="J648" s="82"/>
      <c r="K648" s="89"/>
      <c r="L648" s="82"/>
    </row>
    <row r="649" spans="1:12" ht="14.5">
      <c r="A649" s="2" t="str">
        <f t="shared" si="26"/>
        <v/>
      </c>
      <c r="B649" s="2" t="str">
        <f t="shared" si="27"/>
        <v/>
      </c>
      <c r="C649" s="82"/>
      <c r="D649" s="82"/>
      <c r="E649" s="82"/>
      <c r="F649" s="82"/>
      <c r="G649" s="82"/>
      <c r="H649" s="82"/>
      <c r="I649" s="82"/>
      <c r="J649" s="82"/>
      <c r="K649" s="89"/>
      <c r="L649" s="82"/>
    </row>
    <row r="650" spans="1:12" ht="14.5">
      <c r="A650" s="2" t="str">
        <f t="shared" si="26"/>
        <v/>
      </c>
      <c r="B650" s="2" t="str">
        <f t="shared" si="27"/>
        <v/>
      </c>
      <c r="C650" s="82"/>
      <c r="D650" s="82"/>
      <c r="E650" s="82"/>
      <c r="F650" s="82"/>
      <c r="G650" s="82"/>
      <c r="H650" s="82"/>
      <c r="I650" s="82"/>
      <c r="J650" s="82"/>
      <c r="K650" s="89"/>
      <c r="L650" s="82"/>
    </row>
    <row r="651" spans="1:12" ht="14.5">
      <c r="A651" s="2" t="str">
        <f t="shared" si="26"/>
        <v/>
      </c>
      <c r="B651" s="2" t="str">
        <f t="shared" si="27"/>
        <v/>
      </c>
      <c r="C651" s="82"/>
      <c r="D651" s="82"/>
      <c r="E651" s="82"/>
      <c r="F651" s="82"/>
      <c r="G651" s="82"/>
      <c r="H651" s="82"/>
      <c r="I651" s="82"/>
      <c r="J651" s="82"/>
      <c r="K651" s="89"/>
      <c r="L651" s="82"/>
    </row>
    <row r="652" spans="1:12" ht="14.5">
      <c r="A652" s="2" t="str">
        <f t="shared" si="26"/>
        <v/>
      </c>
      <c r="B652" s="2" t="str">
        <f t="shared" si="27"/>
        <v/>
      </c>
      <c r="C652" s="82"/>
      <c r="D652" s="82"/>
      <c r="E652" s="82"/>
      <c r="F652" s="82"/>
      <c r="G652" s="82"/>
      <c r="H652" s="82"/>
      <c r="I652" s="82"/>
      <c r="J652" s="82"/>
      <c r="K652" s="89"/>
      <c r="L652" s="82"/>
    </row>
    <row r="653" spans="1:12" ht="14.5">
      <c r="A653" s="2" t="str">
        <f t="shared" si="26"/>
        <v/>
      </c>
      <c r="B653" s="2" t="str">
        <f t="shared" si="27"/>
        <v/>
      </c>
      <c r="C653" s="82"/>
      <c r="D653" s="82"/>
      <c r="E653" s="82"/>
      <c r="F653" s="82"/>
      <c r="G653" s="82"/>
      <c r="H653" s="82"/>
      <c r="I653" s="82"/>
      <c r="J653" s="82"/>
      <c r="K653" s="89"/>
      <c r="L653" s="82"/>
    </row>
    <row r="654" spans="1:12" ht="14.5">
      <c r="A654" s="2" t="str">
        <f t="shared" si="26"/>
        <v/>
      </c>
      <c r="B654" s="2" t="str">
        <f t="shared" si="27"/>
        <v/>
      </c>
      <c r="C654" s="82"/>
      <c r="D654" s="82"/>
      <c r="E654" s="82"/>
      <c r="F654" s="82"/>
      <c r="G654" s="82"/>
      <c r="H654" s="82"/>
      <c r="I654" s="82"/>
      <c r="J654" s="82"/>
      <c r="K654" s="89"/>
      <c r="L654" s="82"/>
    </row>
    <row r="655" spans="1:12" ht="14.5">
      <c r="A655" s="2" t="str">
        <f t="shared" si="26"/>
        <v/>
      </c>
      <c r="B655" s="2" t="str">
        <f t="shared" si="27"/>
        <v/>
      </c>
      <c r="C655" s="82"/>
      <c r="D655" s="82"/>
      <c r="E655" s="82"/>
      <c r="F655" s="82"/>
      <c r="G655" s="82"/>
      <c r="H655" s="82"/>
      <c r="I655" s="82"/>
      <c r="J655" s="82"/>
      <c r="K655" s="89"/>
      <c r="L655" s="82"/>
    </row>
    <row r="656" spans="1:12" ht="14.5">
      <c r="A656" s="2" t="str">
        <f t="shared" si="26"/>
        <v/>
      </c>
      <c r="B656" s="2" t="str">
        <f t="shared" si="27"/>
        <v/>
      </c>
      <c r="C656" s="82"/>
      <c r="D656" s="82"/>
      <c r="E656" s="82"/>
      <c r="F656" s="82"/>
      <c r="G656" s="82"/>
      <c r="H656" s="82"/>
      <c r="I656" s="82"/>
      <c r="J656" s="82"/>
      <c r="K656" s="89"/>
      <c r="L656" s="82"/>
    </row>
    <row r="657" spans="1:12" ht="14.5">
      <c r="A657" s="2" t="str">
        <f t="shared" si="26"/>
        <v/>
      </c>
      <c r="B657" s="2" t="str">
        <f t="shared" si="27"/>
        <v/>
      </c>
      <c r="C657" s="82"/>
      <c r="D657" s="82"/>
      <c r="E657" s="82"/>
      <c r="F657" s="82"/>
      <c r="G657" s="82"/>
      <c r="H657" s="82"/>
      <c r="I657" s="82"/>
      <c r="J657" s="82"/>
      <c r="K657" s="89"/>
      <c r="L657" s="82"/>
    </row>
    <row r="658" spans="1:12" ht="14.5">
      <c r="A658" s="2" t="str">
        <f t="shared" si="26"/>
        <v/>
      </c>
      <c r="B658" s="2" t="str">
        <f t="shared" si="27"/>
        <v/>
      </c>
      <c r="C658" s="82"/>
      <c r="D658" s="82"/>
      <c r="E658" s="82"/>
      <c r="F658" s="82"/>
      <c r="G658" s="82"/>
      <c r="H658" s="82"/>
      <c r="I658" s="82"/>
      <c r="J658" s="82"/>
      <c r="K658" s="89"/>
      <c r="L658" s="82"/>
    </row>
    <row r="659" spans="1:12" ht="14.5">
      <c r="A659" s="2" t="str">
        <f t="shared" si="26"/>
        <v/>
      </c>
      <c r="B659" s="2" t="str">
        <f t="shared" si="27"/>
        <v/>
      </c>
      <c r="C659" s="82"/>
      <c r="D659" s="82"/>
      <c r="E659" s="82"/>
      <c r="F659" s="82"/>
      <c r="G659" s="82"/>
      <c r="H659" s="82"/>
      <c r="I659" s="82"/>
      <c r="J659" s="82"/>
      <c r="K659" s="89"/>
      <c r="L659" s="82"/>
    </row>
    <row r="660" spans="1:12" ht="14.5">
      <c r="A660" s="2" t="str">
        <f t="shared" si="26"/>
        <v/>
      </c>
      <c r="B660" s="2" t="str">
        <f t="shared" si="27"/>
        <v/>
      </c>
      <c r="C660" s="82"/>
      <c r="D660" s="82"/>
      <c r="E660" s="82"/>
      <c r="F660" s="82"/>
      <c r="G660" s="82"/>
      <c r="H660" s="82"/>
      <c r="I660" s="82"/>
      <c r="J660" s="82"/>
      <c r="K660" s="89"/>
      <c r="L660" s="82"/>
    </row>
    <row r="661" spans="1:12" ht="14.5">
      <c r="A661" s="2" t="str">
        <f t="shared" si="26"/>
        <v/>
      </c>
      <c r="B661" s="2" t="str">
        <f t="shared" si="27"/>
        <v/>
      </c>
      <c r="C661" s="82"/>
      <c r="D661" s="82"/>
      <c r="E661" s="82"/>
      <c r="F661" s="82"/>
      <c r="G661" s="82"/>
      <c r="H661" s="82"/>
      <c r="I661" s="82"/>
      <c r="J661" s="82"/>
      <c r="K661" s="89"/>
      <c r="L661" s="82"/>
    </row>
    <row r="662" spans="1:12" ht="14.5">
      <c r="A662" s="2" t="str">
        <f t="shared" si="26"/>
        <v/>
      </c>
      <c r="B662" s="2" t="str">
        <f t="shared" si="27"/>
        <v/>
      </c>
      <c r="C662" s="82"/>
      <c r="D662" s="82"/>
      <c r="E662" s="82"/>
      <c r="F662" s="82"/>
      <c r="G662" s="82"/>
      <c r="H662" s="82"/>
      <c r="I662" s="82"/>
      <c r="J662" s="82"/>
      <c r="K662" s="89"/>
      <c r="L662" s="82"/>
    </row>
    <row r="663" spans="1:12" ht="14.5">
      <c r="A663" s="2" t="str">
        <f t="shared" si="26"/>
        <v/>
      </c>
      <c r="B663" s="2" t="str">
        <f t="shared" si="27"/>
        <v/>
      </c>
      <c r="C663" s="82"/>
      <c r="D663" s="82"/>
      <c r="E663" s="82"/>
      <c r="F663" s="82"/>
      <c r="G663" s="82"/>
      <c r="H663" s="82"/>
      <c r="I663" s="82"/>
      <c r="J663" s="82"/>
      <c r="K663" s="89"/>
      <c r="L663" s="82"/>
    </row>
    <row r="664" spans="1:12" ht="14.5">
      <c r="A664" s="2" t="str">
        <f t="shared" si="26"/>
        <v/>
      </c>
      <c r="B664" s="2" t="str">
        <f t="shared" si="27"/>
        <v/>
      </c>
      <c r="C664" s="82"/>
      <c r="D664" s="82"/>
      <c r="E664" s="82"/>
      <c r="F664" s="82"/>
      <c r="G664" s="82"/>
      <c r="H664" s="82"/>
      <c r="I664" s="82"/>
      <c r="J664" s="82"/>
      <c r="K664" s="89"/>
      <c r="L664" s="82"/>
    </row>
    <row r="665" spans="1:12" ht="14.5">
      <c r="A665" s="2" t="str">
        <f t="shared" si="26"/>
        <v/>
      </c>
      <c r="B665" s="2" t="str">
        <f t="shared" si="27"/>
        <v/>
      </c>
      <c r="C665" s="82"/>
      <c r="D665" s="82"/>
      <c r="E665" s="82"/>
      <c r="F665" s="82"/>
      <c r="G665" s="82"/>
      <c r="H665" s="82"/>
      <c r="I665" s="82"/>
      <c r="J665" s="82"/>
      <c r="K665" s="89"/>
      <c r="L665" s="82"/>
    </row>
    <row r="666" spans="1:12" ht="14.5">
      <c r="A666" s="2" t="str">
        <f t="shared" si="26"/>
        <v/>
      </c>
      <c r="B666" s="2" t="str">
        <f t="shared" si="27"/>
        <v/>
      </c>
      <c r="C666" s="82"/>
      <c r="D666" s="82"/>
      <c r="E666" s="82"/>
      <c r="F666" s="82"/>
      <c r="G666" s="82"/>
      <c r="H666" s="82"/>
      <c r="I666" s="82"/>
      <c r="J666" s="82"/>
      <c r="K666" s="89"/>
      <c r="L666" s="82"/>
    </row>
    <row r="667" spans="1:12" ht="14.5">
      <c r="A667" s="2" t="str">
        <f t="shared" si="26"/>
        <v/>
      </c>
      <c r="B667" s="2" t="str">
        <f t="shared" si="27"/>
        <v/>
      </c>
      <c r="C667" s="82"/>
      <c r="D667" s="82"/>
      <c r="E667" s="82"/>
      <c r="F667" s="82"/>
      <c r="G667" s="82"/>
      <c r="H667" s="82"/>
      <c r="I667" s="82"/>
      <c r="J667" s="82"/>
      <c r="K667" s="89"/>
      <c r="L667" s="82"/>
    </row>
    <row r="668" spans="1:12" ht="14.5">
      <c r="A668" s="2" t="str">
        <f t="shared" si="26"/>
        <v/>
      </c>
      <c r="B668" s="2" t="str">
        <f t="shared" si="27"/>
        <v/>
      </c>
      <c r="C668" s="82"/>
      <c r="D668" s="82"/>
      <c r="E668" s="82"/>
      <c r="F668" s="82"/>
      <c r="G668" s="82"/>
      <c r="H668" s="82"/>
      <c r="I668" s="82"/>
      <c r="J668" s="82"/>
      <c r="K668" s="89"/>
      <c r="L668" s="82"/>
    </row>
    <row r="669" spans="1:12" ht="14.5">
      <c r="A669" s="2" t="str">
        <f t="shared" si="26"/>
        <v/>
      </c>
      <c r="B669" s="2" t="str">
        <f t="shared" si="27"/>
        <v/>
      </c>
      <c r="C669" s="82"/>
      <c r="D669" s="82"/>
      <c r="E669" s="82"/>
      <c r="F669" s="82"/>
      <c r="G669" s="82"/>
      <c r="H669" s="82"/>
      <c r="I669" s="82"/>
      <c r="J669" s="82"/>
      <c r="K669" s="89"/>
      <c r="L669" s="82"/>
    </row>
    <row r="670" spans="1:12" ht="14.5">
      <c r="A670" s="2" t="str">
        <f t="shared" si="26"/>
        <v/>
      </c>
      <c r="B670" s="2" t="str">
        <f t="shared" si="27"/>
        <v/>
      </c>
      <c r="C670" s="82"/>
      <c r="D670" s="82"/>
      <c r="E670" s="82"/>
      <c r="F670" s="82"/>
      <c r="G670" s="82"/>
      <c r="H670" s="82"/>
      <c r="I670" s="82"/>
      <c r="J670" s="82"/>
      <c r="K670" s="89"/>
      <c r="L670" s="82"/>
    </row>
    <row r="671" spans="1:12" ht="14.5">
      <c r="A671" s="2" t="str">
        <f t="shared" si="26"/>
        <v/>
      </c>
      <c r="B671" s="2" t="str">
        <f t="shared" si="27"/>
        <v/>
      </c>
      <c r="C671" s="82"/>
      <c r="D671" s="82"/>
      <c r="E671" s="82"/>
      <c r="F671" s="82"/>
      <c r="G671" s="82"/>
      <c r="H671" s="82"/>
      <c r="I671" s="82"/>
      <c r="J671" s="82"/>
      <c r="K671" s="89"/>
      <c r="L671" s="82"/>
    </row>
    <row r="672" spans="1:12" ht="14.5">
      <c r="A672" s="2" t="str">
        <f t="shared" si="26"/>
        <v/>
      </c>
      <c r="B672" s="2" t="str">
        <f t="shared" si="27"/>
        <v/>
      </c>
      <c r="C672" s="82"/>
      <c r="D672" s="82"/>
      <c r="E672" s="82"/>
      <c r="F672" s="82"/>
      <c r="G672" s="82"/>
      <c r="H672" s="82"/>
      <c r="I672" s="82"/>
      <c r="J672" s="82"/>
      <c r="K672" s="89"/>
      <c r="L672" s="82"/>
    </row>
    <row r="673" spans="1:12" ht="14.5">
      <c r="A673" s="2" t="str">
        <f t="shared" si="26"/>
        <v/>
      </c>
      <c r="B673" s="2" t="str">
        <f t="shared" si="27"/>
        <v/>
      </c>
      <c r="C673" s="82"/>
      <c r="D673" s="82"/>
      <c r="E673" s="82"/>
      <c r="F673" s="82"/>
      <c r="G673" s="82"/>
      <c r="H673" s="82"/>
      <c r="I673" s="82"/>
      <c r="J673" s="82"/>
      <c r="K673" s="89"/>
      <c r="L673" s="82"/>
    </row>
    <row r="674" spans="1:12" ht="14.5">
      <c r="A674" s="2" t="str">
        <f t="shared" si="26"/>
        <v/>
      </c>
      <c r="B674" s="2" t="str">
        <f t="shared" si="27"/>
        <v/>
      </c>
      <c r="C674" s="82"/>
      <c r="D674" s="82"/>
      <c r="E674" s="82"/>
      <c r="F674" s="82"/>
      <c r="G674" s="82"/>
      <c r="H674" s="82"/>
      <c r="I674" s="82"/>
      <c r="J674" s="82"/>
      <c r="K674" s="89"/>
      <c r="L674" s="82"/>
    </row>
    <row r="675" spans="1:12" ht="14.5">
      <c r="A675" s="2" t="str">
        <f t="shared" si="26"/>
        <v/>
      </c>
      <c r="B675" s="2" t="str">
        <f t="shared" si="27"/>
        <v/>
      </c>
      <c r="C675" s="82"/>
      <c r="D675" s="82"/>
      <c r="E675" s="82"/>
      <c r="F675" s="82"/>
      <c r="G675" s="82"/>
      <c r="H675" s="82"/>
      <c r="I675" s="82"/>
      <c r="J675" s="82"/>
      <c r="K675" s="89"/>
      <c r="L675" s="82"/>
    </row>
    <row r="676" spans="1:12" ht="14.5">
      <c r="A676" s="2" t="str">
        <f t="shared" si="26"/>
        <v/>
      </c>
      <c r="B676" s="2" t="str">
        <f t="shared" si="27"/>
        <v/>
      </c>
      <c r="C676" s="82"/>
      <c r="D676" s="82"/>
      <c r="E676" s="82"/>
      <c r="F676" s="82"/>
      <c r="G676" s="82"/>
      <c r="H676" s="82"/>
      <c r="I676" s="82"/>
      <c r="J676" s="82"/>
      <c r="K676" s="89"/>
      <c r="L676" s="82"/>
    </row>
    <row r="677" spans="1:12" ht="14.5">
      <c r="A677" s="2" t="str">
        <f t="shared" si="26"/>
        <v/>
      </c>
      <c r="B677" s="2" t="str">
        <f t="shared" si="27"/>
        <v/>
      </c>
      <c r="C677" s="82"/>
      <c r="D677" s="82"/>
      <c r="E677" s="82"/>
      <c r="F677" s="82"/>
      <c r="G677" s="82"/>
      <c r="H677" s="82"/>
      <c r="I677" s="82"/>
      <c r="J677" s="82"/>
      <c r="K677" s="89"/>
      <c r="L677" s="82"/>
    </row>
    <row r="678" spans="1:12" ht="14.5">
      <c r="A678" s="2" t="str">
        <f t="shared" si="26"/>
        <v/>
      </c>
      <c r="B678" s="2" t="str">
        <f t="shared" si="27"/>
        <v/>
      </c>
      <c r="C678" s="82"/>
      <c r="D678" s="82"/>
      <c r="E678" s="82"/>
      <c r="F678" s="82"/>
      <c r="G678" s="82"/>
      <c r="H678" s="82"/>
      <c r="I678" s="82"/>
      <c r="J678" s="82"/>
      <c r="K678" s="89"/>
      <c r="L678" s="82"/>
    </row>
    <row r="679" spans="1:12" ht="14.5">
      <c r="A679" s="2" t="str">
        <f t="shared" si="26"/>
        <v/>
      </c>
      <c r="B679" s="2" t="str">
        <f t="shared" si="27"/>
        <v/>
      </c>
      <c r="C679" s="82"/>
      <c r="D679" s="82"/>
      <c r="E679" s="82"/>
      <c r="F679" s="82"/>
      <c r="G679" s="82"/>
      <c r="H679" s="82"/>
      <c r="I679" s="82"/>
      <c r="J679" s="82"/>
      <c r="K679" s="89"/>
      <c r="L679" s="82"/>
    </row>
    <row r="680" spans="1:12" ht="14.5">
      <c r="A680" s="2" t="str">
        <f t="shared" si="26"/>
        <v/>
      </c>
      <c r="B680" s="2" t="str">
        <f t="shared" si="27"/>
        <v/>
      </c>
      <c r="C680" s="82"/>
      <c r="D680" s="82"/>
      <c r="E680" s="82"/>
      <c r="F680" s="82"/>
      <c r="G680" s="82"/>
      <c r="H680" s="82"/>
      <c r="I680" s="82"/>
      <c r="J680" s="82"/>
      <c r="K680" s="89"/>
      <c r="L680" s="82"/>
    </row>
    <row r="681" spans="1:12" ht="14.5">
      <c r="A681" s="2" t="str">
        <f t="shared" si="26"/>
        <v/>
      </c>
      <c r="B681" s="2" t="str">
        <f t="shared" si="27"/>
        <v/>
      </c>
      <c r="C681" s="82"/>
      <c r="D681" s="82"/>
      <c r="E681" s="82"/>
      <c r="F681" s="82"/>
      <c r="G681" s="82"/>
      <c r="H681" s="82"/>
      <c r="I681" s="82"/>
      <c r="J681" s="82"/>
      <c r="K681" s="89"/>
      <c r="L681" s="82"/>
    </row>
    <row r="682" spans="1:12" ht="14.5">
      <c r="A682" s="2" t="str">
        <f t="shared" si="26"/>
        <v/>
      </c>
      <c r="B682" s="2" t="str">
        <f t="shared" si="27"/>
        <v/>
      </c>
      <c r="C682" s="82"/>
      <c r="D682" s="82"/>
      <c r="E682" s="82"/>
      <c r="F682" s="82"/>
      <c r="G682" s="82"/>
      <c r="H682" s="82"/>
      <c r="I682" s="82"/>
      <c r="J682" s="82"/>
      <c r="K682" s="89"/>
      <c r="L682" s="82"/>
    </row>
    <row r="683" spans="1:12" ht="14.5">
      <c r="A683" s="2" t="str">
        <f t="shared" si="26"/>
        <v/>
      </c>
      <c r="B683" s="2" t="str">
        <f t="shared" si="27"/>
        <v/>
      </c>
      <c r="C683" s="82"/>
      <c r="D683" s="82"/>
      <c r="E683" s="82"/>
      <c r="F683" s="82"/>
      <c r="G683" s="82"/>
      <c r="H683" s="82"/>
      <c r="I683" s="82"/>
      <c r="J683" s="82"/>
      <c r="K683" s="89"/>
      <c r="L683" s="82"/>
    </row>
    <row r="684" spans="1:12" ht="14.5">
      <c r="A684" s="2" t="str">
        <f t="shared" si="26"/>
        <v/>
      </c>
      <c r="B684" s="2" t="str">
        <f t="shared" si="27"/>
        <v/>
      </c>
      <c r="C684" s="82"/>
      <c r="D684" s="82"/>
      <c r="E684" s="82"/>
      <c r="F684" s="82"/>
      <c r="G684" s="82"/>
      <c r="H684" s="82"/>
      <c r="I684" s="82"/>
      <c r="J684" s="82"/>
      <c r="K684" s="89"/>
      <c r="L684" s="82"/>
    </row>
    <row r="685" spans="1:12" ht="14.5">
      <c r="A685" s="2" t="str">
        <f t="shared" si="26"/>
        <v/>
      </c>
      <c r="B685" s="2" t="str">
        <f t="shared" si="27"/>
        <v/>
      </c>
      <c r="C685" s="82"/>
      <c r="D685" s="82"/>
      <c r="E685" s="82"/>
      <c r="F685" s="82"/>
      <c r="G685" s="82"/>
      <c r="H685" s="82"/>
      <c r="I685" s="82"/>
      <c r="J685" s="82"/>
      <c r="K685" s="89"/>
      <c r="L685" s="82"/>
    </row>
    <row r="686" spans="1:12">
      <c r="A686" s="2" t="str">
        <f t="shared" si="26"/>
        <v/>
      </c>
      <c r="B686" s="2" t="str">
        <f t="shared" si="27"/>
        <v/>
      </c>
    </row>
    <row r="687" spans="1:12">
      <c r="A687" s="2" t="str">
        <f t="shared" si="26"/>
        <v/>
      </c>
      <c r="B687" s="2" t="str">
        <f t="shared" si="27"/>
        <v/>
      </c>
    </row>
    <row r="688" spans="1:12">
      <c r="A688" s="2" t="str">
        <f t="shared" si="26"/>
        <v/>
      </c>
      <c r="B688" s="2" t="str">
        <f t="shared" si="27"/>
        <v/>
      </c>
    </row>
    <row r="689" spans="1:2">
      <c r="A689" s="2" t="str">
        <f t="shared" si="26"/>
        <v/>
      </c>
      <c r="B689" s="2" t="str">
        <f t="shared" si="27"/>
        <v/>
      </c>
    </row>
    <row r="690" spans="1:2">
      <c r="A690" s="2" t="str">
        <f t="shared" si="26"/>
        <v/>
      </c>
      <c r="B690" s="2" t="str">
        <f t="shared" si="27"/>
        <v/>
      </c>
    </row>
    <row r="691" spans="1:2">
      <c r="A691" s="2" t="str">
        <f t="shared" si="26"/>
        <v/>
      </c>
      <c r="B691" s="2" t="str">
        <f t="shared" si="27"/>
        <v/>
      </c>
    </row>
    <row r="692" spans="1:2">
      <c r="A692" s="2" t="str">
        <f t="shared" si="26"/>
        <v/>
      </c>
      <c r="B692" s="2" t="str">
        <f t="shared" si="27"/>
        <v/>
      </c>
    </row>
    <row r="693" spans="1:2">
      <c r="A693" s="2" t="str">
        <f t="shared" ref="A693:A700" si="28">+C693&amp;G693&amp;H693&amp;D693</f>
        <v/>
      </c>
      <c r="B693" s="2" t="str">
        <f t="shared" ref="B693:B700" si="29">+C693&amp;G693&amp;H693&amp;D693&amp;K693</f>
        <v/>
      </c>
    </row>
    <row r="694" spans="1:2">
      <c r="A694" s="2" t="str">
        <f t="shared" si="28"/>
        <v/>
      </c>
      <c r="B694" s="2" t="str">
        <f t="shared" si="29"/>
        <v/>
      </c>
    </row>
    <row r="695" spans="1:2">
      <c r="A695" s="2" t="str">
        <f t="shared" si="28"/>
        <v/>
      </c>
      <c r="B695" s="2" t="str">
        <f t="shared" si="29"/>
        <v/>
      </c>
    </row>
    <row r="696" spans="1:2">
      <c r="A696" s="2" t="str">
        <f t="shared" si="28"/>
        <v/>
      </c>
      <c r="B696" s="2" t="str">
        <f t="shared" si="29"/>
        <v/>
      </c>
    </row>
    <row r="697" spans="1:2">
      <c r="A697" s="2" t="str">
        <f t="shared" si="28"/>
        <v/>
      </c>
      <c r="B697" s="2" t="str">
        <f t="shared" si="29"/>
        <v/>
      </c>
    </row>
    <row r="698" spans="1:2">
      <c r="A698" s="2" t="str">
        <f t="shared" si="28"/>
        <v/>
      </c>
      <c r="B698" s="2" t="str">
        <f t="shared" si="29"/>
        <v/>
      </c>
    </row>
    <row r="699" spans="1:2">
      <c r="A699" s="2" t="str">
        <f t="shared" si="28"/>
        <v/>
      </c>
      <c r="B699" s="2" t="str">
        <f t="shared" si="29"/>
        <v/>
      </c>
    </row>
    <row r="700" spans="1:2">
      <c r="A700" s="2" t="str">
        <f t="shared" si="28"/>
        <v/>
      </c>
      <c r="B700" s="2" t="str">
        <f t="shared" si="29"/>
        <v/>
      </c>
    </row>
    <row r="1048559" spans="8:8">
      <c r="H1048559" s="21"/>
    </row>
  </sheetData>
  <autoFilter ref="C8:L308" xr:uid="{00000000-0001-0000-04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9D6B67-D808-4F31-89EB-9D3835063FAF}"/>
</file>

<file path=customXml/itemProps2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FCF67E-18A3-44F3-A5B4-709C46479FC7}">
  <ds:schemaRefs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0683c779-04fc-4b63-89c9-6c25ffa1c0a4"/>
    <ds:schemaRef ds:uri="http://schemas.openxmlformats.org/package/2006/metadata/core-properties"/>
    <ds:schemaRef ds:uri="6ea7b29d-57ec-408d-9ea9-cf73b04f66d5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 Instruções</vt:lpstr>
      <vt:lpstr>1. Status</vt:lpstr>
      <vt:lpstr>2. Script </vt:lpstr>
      <vt:lpstr>3.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Nuno Miguel Rocha Ferreira</cp:lastModifiedBy>
  <dcterms:created xsi:type="dcterms:W3CDTF">2024-10-18T20:46:00Z</dcterms:created>
  <dcterms:modified xsi:type="dcterms:W3CDTF">2026-01-20T09:30:55Z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