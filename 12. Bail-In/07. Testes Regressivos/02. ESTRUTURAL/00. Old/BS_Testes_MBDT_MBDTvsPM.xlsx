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7. Testes Regressivos/02. ESTRUTURAL/"/>
    </mc:Choice>
  </mc:AlternateContent>
  <xr:revisionPtr revIDLastSave="637" documentId="11_F0CCE639D482B4711C1DA22B133C36FD0BBB939A" xr6:coauthVersionLast="47" xr6:coauthVersionMax="47" xr10:uidLastSave="{D6227E02-0CDF-43EF-8665-A92F92392F7D}"/>
  <bookViews>
    <workbookView xWindow="28680" yWindow="-120" windowWidth="29040" windowHeight="15720" activeTab="2" xr2:uid="{00000000-000D-0000-FFFF-FFFF00000000}"/>
  </bookViews>
  <sheets>
    <sheet name="0. Instruções" sheetId="5" r:id="rId1"/>
    <sheet name="1. Status" sheetId="7" r:id="rId2"/>
    <sheet name="2. Script " sheetId="4" r:id="rId3"/>
    <sheet name="3. Resultados &gt;&gt;" sheetId="11" r:id="rId4"/>
    <sheet name="ID1&amp;5" sheetId="8" r:id="rId5"/>
    <sheet name="ID6&amp;7" sheetId="10" r:id="rId6"/>
    <sheet name="4. Incidências &gt;&gt; " sheetId="13" r:id="rId7"/>
    <sheet name="ID1" sheetId="14" r:id="rId8"/>
    <sheet name="Input_GF" sheetId="16" r:id="rId9"/>
    <sheet name="Campos" sheetId="20" r:id="rId10"/>
    <sheet name="ANL_CAMPOS_PDS" sheetId="17" r:id="rId11"/>
  </sheets>
  <definedNames>
    <definedName name="_xlnm._FilterDatabase" localSheetId="1" hidden="1">'1. Status'!$H$10:$Z$10</definedName>
    <definedName name="_xlnm._FilterDatabase" localSheetId="2" hidden="1">'2. Script '!$B$8:$M$47</definedName>
    <definedName name="_xlnm._FilterDatabase" localSheetId="10" hidden="1">ANL_CAMPOS_PDS!$B$2:$M$324</definedName>
    <definedName name="_xlnm._FilterDatabase" localSheetId="9" hidden="1">Campos!$K$4:$N$68</definedName>
    <definedName name="_xlnm._FilterDatabase" localSheetId="4" hidden="1">'ID1&amp;5'!$C$8:$N$308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4" l="1"/>
  <c r="K25" i="4"/>
  <c r="K26" i="4"/>
  <c r="D43" i="5"/>
  <c r="D42" i="5"/>
  <c r="K42" i="4"/>
  <c r="K43" i="4"/>
  <c r="K44" i="4"/>
  <c r="K45" i="4"/>
  <c r="K46" i="4"/>
  <c r="K47" i="4"/>
  <c r="A15" i="4"/>
  <c r="D15" i="4"/>
  <c r="E15" i="4"/>
  <c r="K15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B308" i="8"/>
  <c r="A308" i="8"/>
  <c r="B307" i="8"/>
  <c r="A307" i="8"/>
  <c r="B306" i="8"/>
  <c r="A306" i="8"/>
  <c r="B305" i="8"/>
  <c r="A305" i="8"/>
  <c r="B304" i="8"/>
  <c r="A304" i="8"/>
  <c r="B303" i="8"/>
  <c r="A303" i="8"/>
  <c r="B302" i="8"/>
  <c r="A302" i="8"/>
  <c r="B301" i="8"/>
  <c r="A301" i="8"/>
  <c r="B300" i="8"/>
  <c r="A300" i="8"/>
  <c r="B299" i="8"/>
  <c r="A299" i="8"/>
  <c r="B298" i="8"/>
  <c r="A298" i="8"/>
  <c r="B297" i="8"/>
  <c r="A297" i="8"/>
  <c r="B296" i="8"/>
  <c r="A296" i="8"/>
  <c r="B295" i="8"/>
  <c r="A295" i="8"/>
  <c r="B294" i="8"/>
  <c r="A294" i="8"/>
  <c r="B293" i="8"/>
  <c r="A293" i="8"/>
  <c r="B292" i="8"/>
  <c r="A292" i="8"/>
  <c r="B291" i="8"/>
  <c r="A291" i="8"/>
  <c r="B290" i="8"/>
  <c r="A290" i="8"/>
  <c r="B289" i="8"/>
  <c r="A289" i="8"/>
  <c r="B288" i="8"/>
  <c r="A288" i="8"/>
  <c r="B287" i="8"/>
  <c r="A287" i="8"/>
  <c r="B286" i="8"/>
  <c r="A286" i="8"/>
  <c r="B285" i="8"/>
  <c r="A285" i="8"/>
  <c r="B284" i="8"/>
  <c r="A284" i="8"/>
  <c r="B283" i="8"/>
  <c r="A283" i="8"/>
  <c r="B282" i="8"/>
  <c r="A282" i="8"/>
  <c r="B281" i="8"/>
  <c r="A281" i="8"/>
  <c r="B280" i="8"/>
  <c r="A280" i="8"/>
  <c r="B279" i="8"/>
  <c r="A279" i="8"/>
  <c r="B278" i="8"/>
  <c r="A278" i="8"/>
  <c r="B277" i="8"/>
  <c r="A277" i="8"/>
  <c r="B276" i="8"/>
  <c r="A276" i="8"/>
  <c r="B275" i="8"/>
  <c r="A275" i="8"/>
  <c r="B274" i="8"/>
  <c r="A274" i="8"/>
  <c r="B273" i="8"/>
  <c r="A273" i="8"/>
  <c r="B272" i="8"/>
  <c r="A272" i="8"/>
  <c r="B271" i="8"/>
  <c r="A271" i="8"/>
  <c r="B270" i="8"/>
  <c r="A270" i="8"/>
  <c r="B269" i="8"/>
  <c r="A269" i="8"/>
  <c r="B268" i="8"/>
  <c r="A268" i="8"/>
  <c r="B267" i="8"/>
  <c r="A267" i="8"/>
  <c r="B266" i="8"/>
  <c r="A266" i="8"/>
  <c r="B265" i="8"/>
  <c r="A265" i="8"/>
  <c r="B264" i="8"/>
  <c r="A264" i="8"/>
  <c r="B263" i="8"/>
  <c r="A263" i="8"/>
  <c r="B262" i="8"/>
  <c r="A262" i="8"/>
  <c r="B261" i="8"/>
  <c r="A261" i="8"/>
  <c r="B260" i="8"/>
  <c r="A260" i="8"/>
  <c r="B259" i="8"/>
  <c r="A259" i="8"/>
  <c r="B258" i="8"/>
  <c r="A258" i="8"/>
  <c r="B257" i="8"/>
  <c r="A257" i="8"/>
  <c r="B256" i="8"/>
  <c r="A256" i="8"/>
  <c r="B255" i="8"/>
  <c r="A255" i="8"/>
  <c r="B254" i="8"/>
  <c r="A254" i="8"/>
  <c r="B253" i="8"/>
  <c r="A253" i="8"/>
  <c r="B252" i="8"/>
  <c r="A252" i="8"/>
  <c r="B251" i="8"/>
  <c r="A251" i="8"/>
  <c r="B250" i="8"/>
  <c r="A250" i="8"/>
  <c r="B249" i="8"/>
  <c r="A249" i="8"/>
  <c r="B248" i="8"/>
  <c r="A248" i="8"/>
  <c r="B247" i="8"/>
  <c r="A247" i="8"/>
  <c r="B246" i="8"/>
  <c r="A246" i="8"/>
  <c r="B245" i="8"/>
  <c r="A245" i="8"/>
  <c r="B244" i="8"/>
  <c r="A244" i="8"/>
  <c r="B243" i="8"/>
  <c r="A243" i="8"/>
  <c r="B242" i="8"/>
  <c r="A242" i="8"/>
  <c r="B241" i="8"/>
  <c r="A241" i="8"/>
  <c r="B240" i="8"/>
  <c r="A240" i="8"/>
  <c r="B239" i="8"/>
  <c r="A239" i="8"/>
  <c r="B238" i="8"/>
  <c r="A238" i="8"/>
  <c r="B237" i="8"/>
  <c r="A237" i="8"/>
  <c r="B236" i="8"/>
  <c r="A236" i="8"/>
  <c r="B235" i="8"/>
  <c r="A235" i="8"/>
  <c r="B234" i="8"/>
  <c r="A234" i="8"/>
  <c r="B233" i="8"/>
  <c r="A233" i="8"/>
  <c r="B232" i="8"/>
  <c r="A232" i="8"/>
  <c r="B231" i="8"/>
  <c r="A231" i="8"/>
  <c r="B230" i="8"/>
  <c r="A230" i="8"/>
  <c r="B229" i="8"/>
  <c r="A229" i="8"/>
  <c r="X687" i="7"/>
  <c r="W687" i="7"/>
  <c r="U687" i="7"/>
  <c r="S687" i="7"/>
  <c r="Q687" i="7"/>
  <c r="O687" i="7"/>
  <c r="L687" i="7"/>
  <c r="J687" i="7"/>
  <c r="Z687" i="7" s="1"/>
  <c r="X686" i="7"/>
  <c r="W686" i="7"/>
  <c r="U686" i="7"/>
  <c r="S686" i="7"/>
  <c r="Q686" i="7"/>
  <c r="O686" i="7"/>
  <c r="L686" i="7"/>
  <c r="J686" i="7"/>
  <c r="Z686" i="7" s="1"/>
  <c r="X685" i="7"/>
  <c r="W685" i="7"/>
  <c r="U685" i="7"/>
  <c r="S685" i="7"/>
  <c r="Q685" i="7"/>
  <c r="O685" i="7"/>
  <c r="L685" i="7"/>
  <c r="J685" i="7"/>
  <c r="Z685" i="7" s="1"/>
  <c r="X684" i="7"/>
  <c r="W684" i="7"/>
  <c r="U684" i="7"/>
  <c r="S684" i="7"/>
  <c r="Q684" i="7"/>
  <c r="O684" i="7"/>
  <c r="L684" i="7"/>
  <c r="J684" i="7"/>
  <c r="Z684" i="7" s="1"/>
  <c r="X683" i="7"/>
  <c r="W683" i="7"/>
  <c r="U683" i="7"/>
  <c r="S683" i="7"/>
  <c r="Q683" i="7"/>
  <c r="O683" i="7"/>
  <c r="L683" i="7"/>
  <c r="J683" i="7"/>
  <c r="Z683" i="7" s="1"/>
  <c r="X682" i="7"/>
  <c r="W682" i="7"/>
  <c r="U682" i="7"/>
  <c r="S682" i="7"/>
  <c r="Q682" i="7"/>
  <c r="O682" i="7"/>
  <c r="L682" i="7"/>
  <c r="J682" i="7"/>
  <c r="X681" i="7"/>
  <c r="W681" i="7"/>
  <c r="U681" i="7"/>
  <c r="S681" i="7"/>
  <c r="Q681" i="7"/>
  <c r="O681" i="7"/>
  <c r="L681" i="7"/>
  <c r="J681" i="7"/>
  <c r="X680" i="7"/>
  <c r="W680" i="7"/>
  <c r="U680" i="7"/>
  <c r="S680" i="7"/>
  <c r="Q680" i="7"/>
  <c r="O680" i="7"/>
  <c r="L680" i="7"/>
  <c r="J680" i="7"/>
  <c r="X679" i="7"/>
  <c r="W679" i="7"/>
  <c r="U679" i="7"/>
  <c r="S679" i="7"/>
  <c r="Q679" i="7"/>
  <c r="O679" i="7"/>
  <c r="L679" i="7"/>
  <c r="J679" i="7"/>
  <c r="X678" i="7"/>
  <c r="W678" i="7"/>
  <c r="U678" i="7"/>
  <c r="S678" i="7"/>
  <c r="Q678" i="7"/>
  <c r="O678" i="7"/>
  <c r="L678" i="7"/>
  <c r="J678" i="7"/>
  <c r="X677" i="7"/>
  <c r="W677" i="7"/>
  <c r="U677" i="7"/>
  <c r="S677" i="7"/>
  <c r="Q677" i="7"/>
  <c r="O677" i="7"/>
  <c r="L677" i="7"/>
  <c r="J677" i="7"/>
  <c r="X676" i="7"/>
  <c r="W676" i="7"/>
  <c r="U676" i="7"/>
  <c r="S676" i="7"/>
  <c r="Q676" i="7"/>
  <c r="O676" i="7"/>
  <c r="L676" i="7"/>
  <c r="J676" i="7"/>
  <c r="Z676" i="7" s="1"/>
  <c r="X675" i="7"/>
  <c r="W675" i="7"/>
  <c r="U675" i="7"/>
  <c r="S675" i="7"/>
  <c r="Q675" i="7"/>
  <c r="O675" i="7"/>
  <c r="L675" i="7"/>
  <c r="J675" i="7"/>
  <c r="Z675" i="7" s="1"/>
  <c r="X674" i="7"/>
  <c r="W674" i="7"/>
  <c r="U674" i="7"/>
  <c r="S674" i="7"/>
  <c r="Q674" i="7"/>
  <c r="O674" i="7"/>
  <c r="L674" i="7"/>
  <c r="J674" i="7"/>
  <c r="Z674" i="7" s="1"/>
  <c r="X673" i="7"/>
  <c r="W673" i="7"/>
  <c r="U673" i="7"/>
  <c r="S673" i="7"/>
  <c r="Q673" i="7"/>
  <c r="O673" i="7"/>
  <c r="L673" i="7"/>
  <c r="J673" i="7"/>
  <c r="X672" i="7"/>
  <c r="W672" i="7"/>
  <c r="U672" i="7"/>
  <c r="S672" i="7"/>
  <c r="Q672" i="7"/>
  <c r="O672" i="7"/>
  <c r="L672" i="7"/>
  <c r="J672" i="7"/>
  <c r="Z672" i="7" s="1"/>
  <c r="X671" i="7"/>
  <c r="W671" i="7"/>
  <c r="U671" i="7"/>
  <c r="S671" i="7"/>
  <c r="Q671" i="7"/>
  <c r="O671" i="7"/>
  <c r="L671" i="7"/>
  <c r="J671" i="7"/>
  <c r="Z671" i="7" s="1"/>
  <c r="X670" i="7"/>
  <c r="W670" i="7"/>
  <c r="U670" i="7"/>
  <c r="S670" i="7"/>
  <c r="Q670" i="7"/>
  <c r="O670" i="7"/>
  <c r="L670" i="7"/>
  <c r="J670" i="7"/>
  <c r="Z670" i="7" s="1"/>
  <c r="X669" i="7"/>
  <c r="W669" i="7"/>
  <c r="U669" i="7"/>
  <c r="S669" i="7"/>
  <c r="Q669" i="7"/>
  <c r="O669" i="7"/>
  <c r="L669" i="7"/>
  <c r="J669" i="7"/>
  <c r="Z669" i="7" s="1"/>
  <c r="X668" i="7"/>
  <c r="W668" i="7"/>
  <c r="U668" i="7"/>
  <c r="S668" i="7"/>
  <c r="Q668" i="7"/>
  <c r="O668" i="7"/>
  <c r="L668" i="7"/>
  <c r="J668" i="7"/>
  <c r="X667" i="7"/>
  <c r="W667" i="7"/>
  <c r="U667" i="7"/>
  <c r="S667" i="7"/>
  <c r="Q667" i="7"/>
  <c r="O667" i="7"/>
  <c r="L667" i="7"/>
  <c r="J667" i="7"/>
  <c r="X666" i="7"/>
  <c r="W666" i="7"/>
  <c r="U666" i="7"/>
  <c r="S666" i="7"/>
  <c r="Q666" i="7"/>
  <c r="O666" i="7"/>
  <c r="L666" i="7"/>
  <c r="J666" i="7"/>
  <c r="X665" i="7"/>
  <c r="W665" i="7"/>
  <c r="U665" i="7"/>
  <c r="S665" i="7"/>
  <c r="Q665" i="7"/>
  <c r="O665" i="7"/>
  <c r="L665" i="7"/>
  <c r="J665" i="7"/>
  <c r="X664" i="7"/>
  <c r="W664" i="7"/>
  <c r="U664" i="7"/>
  <c r="S664" i="7"/>
  <c r="Q664" i="7"/>
  <c r="O664" i="7"/>
  <c r="L664" i="7"/>
  <c r="J664" i="7"/>
  <c r="Z664" i="7" s="1"/>
  <c r="X663" i="7"/>
  <c r="W663" i="7"/>
  <c r="U663" i="7"/>
  <c r="S663" i="7"/>
  <c r="Q663" i="7"/>
  <c r="O663" i="7"/>
  <c r="L663" i="7"/>
  <c r="J663" i="7"/>
  <c r="X662" i="7"/>
  <c r="W662" i="7"/>
  <c r="U662" i="7"/>
  <c r="S662" i="7"/>
  <c r="Q662" i="7"/>
  <c r="O662" i="7"/>
  <c r="L662" i="7"/>
  <c r="J662" i="7"/>
  <c r="X661" i="7"/>
  <c r="W661" i="7"/>
  <c r="U661" i="7"/>
  <c r="S661" i="7"/>
  <c r="Q661" i="7"/>
  <c r="O661" i="7"/>
  <c r="L661" i="7"/>
  <c r="J661" i="7"/>
  <c r="X660" i="7"/>
  <c r="W660" i="7"/>
  <c r="U660" i="7"/>
  <c r="S660" i="7"/>
  <c r="Q660" i="7"/>
  <c r="O660" i="7"/>
  <c r="L660" i="7"/>
  <c r="J660" i="7"/>
  <c r="X659" i="7"/>
  <c r="W659" i="7"/>
  <c r="U659" i="7"/>
  <c r="S659" i="7"/>
  <c r="Q659" i="7"/>
  <c r="O659" i="7"/>
  <c r="L659" i="7"/>
  <c r="J659" i="7"/>
  <c r="X658" i="7"/>
  <c r="W658" i="7"/>
  <c r="U658" i="7"/>
  <c r="S658" i="7"/>
  <c r="Q658" i="7"/>
  <c r="O658" i="7"/>
  <c r="L658" i="7"/>
  <c r="J658" i="7"/>
  <c r="X657" i="7"/>
  <c r="W657" i="7"/>
  <c r="U657" i="7"/>
  <c r="S657" i="7"/>
  <c r="Q657" i="7"/>
  <c r="O657" i="7"/>
  <c r="L657" i="7"/>
  <c r="J657" i="7"/>
  <c r="X656" i="7"/>
  <c r="W656" i="7"/>
  <c r="U656" i="7"/>
  <c r="S656" i="7"/>
  <c r="Q656" i="7"/>
  <c r="O656" i="7"/>
  <c r="L656" i="7"/>
  <c r="J656" i="7"/>
  <c r="X655" i="7"/>
  <c r="W655" i="7"/>
  <c r="U655" i="7"/>
  <c r="S655" i="7"/>
  <c r="Q655" i="7"/>
  <c r="O655" i="7"/>
  <c r="L655" i="7"/>
  <c r="J655" i="7"/>
  <c r="Z655" i="7" s="1"/>
  <c r="X654" i="7"/>
  <c r="W654" i="7"/>
  <c r="U654" i="7"/>
  <c r="S654" i="7"/>
  <c r="Q654" i="7"/>
  <c r="O654" i="7"/>
  <c r="L654" i="7"/>
  <c r="J654" i="7"/>
  <c r="Z654" i="7" s="1"/>
  <c r="X653" i="7"/>
  <c r="W653" i="7"/>
  <c r="U653" i="7"/>
  <c r="S653" i="7"/>
  <c r="Q653" i="7"/>
  <c r="O653" i="7"/>
  <c r="L653" i="7"/>
  <c r="J653" i="7"/>
  <c r="Z653" i="7" s="1"/>
  <c r="X652" i="7"/>
  <c r="W652" i="7"/>
  <c r="U652" i="7"/>
  <c r="S652" i="7"/>
  <c r="Q652" i="7"/>
  <c r="O652" i="7"/>
  <c r="L652" i="7"/>
  <c r="J652" i="7"/>
  <c r="Z652" i="7" s="1"/>
  <c r="X651" i="7"/>
  <c r="W651" i="7"/>
  <c r="U651" i="7"/>
  <c r="S651" i="7"/>
  <c r="Q651" i="7"/>
  <c r="O651" i="7"/>
  <c r="L651" i="7"/>
  <c r="J651" i="7"/>
  <c r="Z651" i="7" s="1"/>
  <c r="X650" i="7"/>
  <c r="W650" i="7"/>
  <c r="U650" i="7"/>
  <c r="S650" i="7"/>
  <c r="Q650" i="7"/>
  <c r="O650" i="7"/>
  <c r="L650" i="7"/>
  <c r="J650" i="7"/>
  <c r="Z650" i="7" s="1"/>
  <c r="X649" i="7"/>
  <c r="W649" i="7"/>
  <c r="U649" i="7"/>
  <c r="S649" i="7"/>
  <c r="Q649" i="7"/>
  <c r="O649" i="7"/>
  <c r="L649" i="7"/>
  <c r="J649" i="7"/>
  <c r="Z649" i="7" s="1"/>
  <c r="X648" i="7"/>
  <c r="W648" i="7"/>
  <c r="U648" i="7"/>
  <c r="S648" i="7"/>
  <c r="Q648" i="7"/>
  <c r="O648" i="7"/>
  <c r="L648" i="7"/>
  <c r="J648" i="7"/>
  <c r="Z648" i="7" s="1"/>
  <c r="X647" i="7"/>
  <c r="W647" i="7"/>
  <c r="U647" i="7"/>
  <c r="S647" i="7"/>
  <c r="Q647" i="7"/>
  <c r="O647" i="7"/>
  <c r="L647" i="7"/>
  <c r="J647" i="7"/>
  <c r="Z647" i="7" s="1"/>
  <c r="X646" i="7"/>
  <c r="W646" i="7"/>
  <c r="U646" i="7"/>
  <c r="S646" i="7"/>
  <c r="Q646" i="7"/>
  <c r="O646" i="7"/>
  <c r="L646" i="7"/>
  <c r="J646" i="7"/>
  <c r="Z646" i="7" s="1"/>
  <c r="X645" i="7"/>
  <c r="W645" i="7"/>
  <c r="U645" i="7"/>
  <c r="S645" i="7"/>
  <c r="Q645" i="7"/>
  <c r="O645" i="7"/>
  <c r="L645" i="7"/>
  <c r="J645" i="7"/>
  <c r="Z645" i="7" s="1"/>
  <c r="X644" i="7"/>
  <c r="W644" i="7"/>
  <c r="U644" i="7"/>
  <c r="S644" i="7"/>
  <c r="Q644" i="7"/>
  <c r="O644" i="7"/>
  <c r="L644" i="7"/>
  <c r="J644" i="7"/>
  <c r="Z644" i="7" s="1"/>
  <c r="X643" i="7"/>
  <c r="W643" i="7"/>
  <c r="U643" i="7"/>
  <c r="S643" i="7"/>
  <c r="Q643" i="7"/>
  <c r="O643" i="7"/>
  <c r="L643" i="7"/>
  <c r="J643" i="7"/>
  <c r="Z643" i="7" s="1"/>
  <c r="X642" i="7"/>
  <c r="W642" i="7"/>
  <c r="U642" i="7"/>
  <c r="S642" i="7"/>
  <c r="Q642" i="7"/>
  <c r="O642" i="7"/>
  <c r="L642" i="7"/>
  <c r="J642" i="7"/>
  <c r="Z642" i="7" s="1"/>
  <c r="X641" i="7"/>
  <c r="W641" i="7"/>
  <c r="U641" i="7"/>
  <c r="S641" i="7"/>
  <c r="Q641" i="7"/>
  <c r="O641" i="7"/>
  <c r="L641" i="7"/>
  <c r="J641" i="7"/>
  <c r="Z641" i="7" s="1"/>
  <c r="X640" i="7"/>
  <c r="W640" i="7"/>
  <c r="U640" i="7"/>
  <c r="S640" i="7"/>
  <c r="Q640" i="7"/>
  <c r="O640" i="7"/>
  <c r="L640" i="7"/>
  <c r="J640" i="7"/>
  <c r="Z640" i="7" s="1"/>
  <c r="X639" i="7"/>
  <c r="W639" i="7"/>
  <c r="U639" i="7"/>
  <c r="S639" i="7"/>
  <c r="Q639" i="7"/>
  <c r="O639" i="7"/>
  <c r="L639" i="7"/>
  <c r="J639" i="7"/>
  <c r="Z639" i="7" s="1"/>
  <c r="X638" i="7"/>
  <c r="W638" i="7"/>
  <c r="U638" i="7"/>
  <c r="S638" i="7"/>
  <c r="Q638" i="7"/>
  <c r="O638" i="7"/>
  <c r="L638" i="7"/>
  <c r="J638" i="7"/>
  <c r="Z638" i="7" s="1"/>
  <c r="X637" i="7"/>
  <c r="W637" i="7"/>
  <c r="U637" i="7"/>
  <c r="S637" i="7"/>
  <c r="Q637" i="7"/>
  <c r="O637" i="7"/>
  <c r="L637" i="7"/>
  <c r="J637" i="7"/>
  <c r="Z637" i="7" s="1"/>
  <c r="X636" i="7"/>
  <c r="W636" i="7"/>
  <c r="U636" i="7"/>
  <c r="S636" i="7"/>
  <c r="Q636" i="7"/>
  <c r="O636" i="7"/>
  <c r="L636" i="7"/>
  <c r="J636" i="7"/>
  <c r="Z636" i="7" s="1"/>
  <c r="X635" i="7"/>
  <c r="W635" i="7"/>
  <c r="U635" i="7"/>
  <c r="S635" i="7"/>
  <c r="Q635" i="7"/>
  <c r="O635" i="7"/>
  <c r="L635" i="7"/>
  <c r="J635" i="7"/>
  <c r="Z635" i="7" s="1"/>
  <c r="X634" i="7"/>
  <c r="W634" i="7"/>
  <c r="U634" i="7"/>
  <c r="S634" i="7"/>
  <c r="Q634" i="7"/>
  <c r="O634" i="7"/>
  <c r="L634" i="7"/>
  <c r="J634" i="7"/>
  <c r="Z634" i="7" s="1"/>
  <c r="X633" i="7"/>
  <c r="W633" i="7"/>
  <c r="U633" i="7"/>
  <c r="S633" i="7"/>
  <c r="Q633" i="7"/>
  <c r="O633" i="7"/>
  <c r="L633" i="7"/>
  <c r="J633" i="7"/>
  <c r="Z633" i="7" s="1"/>
  <c r="X632" i="7"/>
  <c r="W632" i="7"/>
  <c r="U632" i="7"/>
  <c r="S632" i="7"/>
  <c r="Q632" i="7"/>
  <c r="O632" i="7"/>
  <c r="L632" i="7"/>
  <c r="J632" i="7"/>
  <c r="Z632" i="7" s="1"/>
  <c r="X631" i="7"/>
  <c r="W631" i="7"/>
  <c r="U631" i="7"/>
  <c r="S631" i="7"/>
  <c r="Q631" i="7"/>
  <c r="O631" i="7"/>
  <c r="L631" i="7"/>
  <c r="J631" i="7"/>
  <c r="Z631" i="7" s="1"/>
  <c r="X630" i="7"/>
  <c r="W630" i="7"/>
  <c r="U630" i="7"/>
  <c r="S630" i="7"/>
  <c r="Q630" i="7"/>
  <c r="O630" i="7"/>
  <c r="L630" i="7"/>
  <c r="J630" i="7"/>
  <c r="Z630" i="7" s="1"/>
  <c r="X629" i="7"/>
  <c r="W629" i="7"/>
  <c r="U629" i="7"/>
  <c r="S629" i="7"/>
  <c r="Q629" i="7"/>
  <c r="O629" i="7"/>
  <c r="L629" i="7"/>
  <c r="J629" i="7"/>
  <c r="Z629" i="7" s="1"/>
  <c r="X628" i="7"/>
  <c r="W628" i="7"/>
  <c r="U628" i="7"/>
  <c r="S628" i="7"/>
  <c r="Q628" i="7"/>
  <c r="O628" i="7"/>
  <c r="L628" i="7"/>
  <c r="J628" i="7"/>
  <c r="Z628" i="7" s="1"/>
  <c r="X627" i="7"/>
  <c r="W627" i="7"/>
  <c r="U627" i="7"/>
  <c r="S627" i="7"/>
  <c r="Q627" i="7"/>
  <c r="O627" i="7"/>
  <c r="L627" i="7"/>
  <c r="J627" i="7"/>
  <c r="Z627" i="7" s="1"/>
  <c r="X626" i="7"/>
  <c r="W626" i="7"/>
  <c r="U626" i="7"/>
  <c r="S626" i="7"/>
  <c r="Q626" i="7"/>
  <c r="O626" i="7"/>
  <c r="L626" i="7"/>
  <c r="J626" i="7"/>
  <c r="Z626" i="7" s="1"/>
  <c r="X625" i="7"/>
  <c r="W625" i="7"/>
  <c r="U625" i="7"/>
  <c r="S625" i="7"/>
  <c r="Q625" i="7"/>
  <c r="O625" i="7"/>
  <c r="L625" i="7"/>
  <c r="J625" i="7"/>
  <c r="Z625" i="7" s="1"/>
  <c r="X624" i="7"/>
  <c r="W624" i="7"/>
  <c r="U624" i="7"/>
  <c r="S624" i="7"/>
  <c r="Q624" i="7"/>
  <c r="O624" i="7"/>
  <c r="L624" i="7"/>
  <c r="J624" i="7"/>
  <c r="Z624" i="7" s="1"/>
  <c r="X623" i="7"/>
  <c r="W623" i="7"/>
  <c r="U623" i="7"/>
  <c r="S623" i="7"/>
  <c r="Q623" i="7"/>
  <c r="O623" i="7"/>
  <c r="L623" i="7"/>
  <c r="J623" i="7"/>
  <c r="Z623" i="7" s="1"/>
  <c r="X622" i="7"/>
  <c r="W622" i="7"/>
  <c r="U622" i="7"/>
  <c r="S622" i="7"/>
  <c r="Q622" i="7"/>
  <c r="O622" i="7"/>
  <c r="L622" i="7"/>
  <c r="J622" i="7"/>
  <c r="Z622" i="7" s="1"/>
  <c r="X621" i="7"/>
  <c r="W621" i="7"/>
  <c r="U621" i="7"/>
  <c r="S621" i="7"/>
  <c r="Q621" i="7"/>
  <c r="O621" i="7"/>
  <c r="L621" i="7"/>
  <c r="J621" i="7"/>
  <c r="Z621" i="7" s="1"/>
  <c r="X620" i="7"/>
  <c r="W620" i="7"/>
  <c r="U620" i="7"/>
  <c r="S620" i="7"/>
  <c r="Q620" i="7"/>
  <c r="O620" i="7"/>
  <c r="L620" i="7"/>
  <c r="J620" i="7"/>
  <c r="Z620" i="7" s="1"/>
  <c r="X619" i="7"/>
  <c r="W619" i="7"/>
  <c r="U619" i="7"/>
  <c r="S619" i="7"/>
  <c r="Q619" i="7"/>
  <c r="O619" i="7"/>
  <c r="L619" i="7"/>
  <c r="J619" i="7"/>
  <c r="Z619" i="7" s="1"/>
  <c r="X618" i="7"/>
  <c r="W618" i="7"/>
  <c r="U618" i="7"/>
  <c r="S618" i="7"/>
  <c r="Q618" i="7"/>
  <c r="O618" i="7"/>
  <c r="L618" i="7"/>
  <c r="J618" i="7"/>
  <c r="Z618" i="7" s="1"/>
  <c r="X617" i="7"/>
  <c r="W617" i="7"/>
  <c r="U617" i="7"/>
  <c r="S617" i="7"/>
  <c r="Q617" i="7"/>
  <c r="O617" i="7"/>
  <c r="L617" i="7"/>
  <c r="J617" i="7"/>
  <c r="Z617" i="7" s="1"/>
  <c r="X616" i="7"/>
  <c r="W616" i="7"/>
  <c r="U616" i="7"/>
  <c r="S616" i="7"/>
  <c r="Q616" i="7"/>
  <c r="O616" i="7"/>
  <c r="L616" i="7"/>
  <c r="J616" i="7"/>
  <c r="Z616" i="7" s="1"/>
  <c r="X615" i="7"/>
  <c r="W615" i="7"/>
  <c r="U615" i="7"/>
  <c r="S615" i="7"/>
  <c r="Q615" i="7"/>
  <c r="O615" i="7"/>
  <c r="L615" i="7"/>
  <c r="J615" i="7"/>
  <c r="Z615" i="7" s="1"/>
  <c r="X614" i="7"/>
  <c r="W614" i="7"/>
  <c r="U614" i="7"/>
  <c r="S614" i="7"/>
  <c r="Q614" i="7"/>
  <c r="O614" i="7"/>
  <c r="L614" i="7"/>
  <c r="J614" i="7"/>
  <c r="Z614" i="7" s="1"/>
  <c r="X613" i="7"/>
  <c r="W613" i="7"/>
  <c r="U613" i="7"/>
  <c r="S613" i="7"/>
  <c r="Q613" i="7"/>
  <c r="O613" i="7"/>
  <c r="L613" i="7"/>
  <c r="J613" i="7"/>
  <c r="Z613" i="7" s="1"/>
  <c r="X612" i="7"/>
  <c r="W612" i="7"/>
  <c r="U612" i="7"/>
  <c r="S612" i="7"/>
  <c r="Q612" i="7"/>
  <c r="O612" i="7"/>
  <c r="L612" i="7"/>
  <c r="J612" i="7"/>
  <c r="Z612" i="7" s="1"/>
  <c r="X611" i="7"/>
  <c r="W611" i="7"/>
  <c r="U611" i="7"/>
  <c r="S611" i="7"/>
  <c r="Q611" i="7"/>
  <c r="O611" i="7"/>
  <c r="L611" i="7"/>
  <c r="J611" i="7"/>
  <c r="Z611" i="7" s="1"/>
  <c r="X610" i="7"/>
  <c r="W610" i="7"/>
  <c r="U610" i="7"/>
  <c r="S610" i="7"/>
  <c r="Q610" i="7"/>
  <c r="O610" i="7"/>
  <c r="L610" i="7"/>
  <c r="J610" i="7"/>
  <c r="Z610" i="7" s="1"/>
  <c r="X609" i="7"/>
  <c r="W609" i="7"/>
  <c r="U609" i="7"/>
  <c r="S609" i="7"/>
  <c r="Q609" i="7"/>
  <c r="O609" i="7"/>
  <c r="L609" i="7"/>
  <c r="J609" i="7"/>
  <c r="Z609" i="7" s="1"/>
  <c r="X608" i="7"/>
  <c r="W608" i="7"/>
  <c r="U608" i="7"/>
  <c r="S608" i="7"/>
  <c r="Q608" i="7"/>
  <c r="O608" i="7"/>
  <c r="L608" i="7"/>
  <c r="J608" i="7"/>
  <c r="X607" i="7"/>
  <c r="W607" i="7"/>
  <c r="U607" i="7"/>
  <c r="S607" i="7"/>
  <c r="Q607" i="7"/>
  <c r="O607" i="7"/>
  <c r="L607" i="7"/>
  <c r="J607" i="7"/>
  <c r="Z607" i="7" s="1"/>
  <c r="X606" i="7"/>
  <c r="W606" i="7"/>
  <c r="U606" i="7"/>
  <c r="S606" i="7"/>
  <c r="Q606" i="7"/>
  <c r="O606" i="7"/>
  <c r="L606" i="7"/>
  <c r="J606" i="7"/>
  <c r="X605" i="7"/>
  <c r="W605" i="7"/>
  <c r="U605" i="7"/>
  <c r="S605" i="7"/>
  <c r="Q605" i="7"/>
  <c r="O605" i="7"/>
  <c r="L605" i="7"/>
  <c r="J605" i="7"/>
  <c r="X604" i="7"/>
  <c r="W604" i="7"/>
  <c r="U604" i="7"/>
  <c r="S604" i="7"/>
  <c r="Q604" i="7"/>
  <c r="O604" i="7"/>
  <c r="L604" i="7"/>
  <c r="J604" i="7"/>
  <c r="X603" i="7"/>
  <c r="W603" i="7"/>
  <c r="U603" i="7"/>
  <c r="S603" i="7"/>
  <c r="Q603" i="7"/>
  <c r="O603" i="7"/>
  <c r="L603" i="7"/>
  <c r="J603" i="7"/>
  <c r="X602" i="7"/>
  <c r="W602" i="7"/>
  <c r="U602" i="7"/>
  <c r="S602" i="7"/>
  <c r="Q602" i="7"/>
  <c r="O602" i="7"/>
  <c r="L602" i="7"/>
  <c r="J602" i="7"/>
  <c r="X601" i="7"/>
  <c r="W601" i="7"/>
  <c r="U601" i="7"/>
  <c r="S601" i="7"/>
  <c r="Q601" i="7"/>
  <c r="O601" i="7"/>
  <c r="L601" i="7"/>
  <c r="J601" i="7"/>
  <c r="X600" i="7"/>
  <c r="W600" i="7"/>
  <c r="U600" i="7"/>
  <c r="S600" i="7"/>
  <c r="Q600" i="7"/>
  <c r="O600" i="7"/>
  <c r="L600" i="7"/>
  <c r="J600" i="7"/>
  <c r="X599" i="7"/>
  <c r="W599" i="7"/>
  <c r="U599" i="7"/>
  <c r="S599" i="7"/>
  <c r="Q599" i="7"/>
  <c r="O599" i="7"/>
  <c r="L599" i="7"/>
  <c r="J599" i="7"/>
  <c r="X598" i="7"/>
  <c r="W598" i="7"/>
  <c r="U598" i="7"/>
  <c r="S598" i="7"/>
  <c r="Q598" i="7"/>
  <c r="O598" i="7"/>
  <c r="L598" i="7"/>
  <c r="J598" i="7"/>
  <c r="X597" i="7"/>
  <c r="W597" i="7"/>
  <c r="U597" i="7"/>
  <c r="S597" i="7"/>
  <c r="Q597" i="7"/>
  <c r="O597" i="7"/>
  <c r="L597" i="7"/>
  <c r="J597" i="7"/>
  <c r="X596" i="7"/>
  <c r="W596" i="7"/>
  <c r="U596" i="7"/>
  <c r="S596" i="7"/>
  <c r="Q596" i="7"/>
  <c r="O596" i="7"/>
  <c r="L596" i="7"/>
  <c r="J596" i="7"/>
  <c r="Z596" i="7" s="1"/>
  <c r="X595" i="7"/>
  <c r="W595" i="7"/>
  <c r="U595" i="7"/>
  <c r="S595" i="7"/>
  <c r="Q595" i="7"/>
  <c r="O595" i="7"/>
  <c r="L595" i="7"/>
  <c r="J595" i="7"/>
  <c r="Z595" i="7" s="1"/>
  <c r="X594" i="7"/>
  <c r="W594" i="7"/>
  <c r="U594" i="7"/>
  <c r="S594" i="7"/>
  <c r="Q594" i="7"/>
  <c r="O594" i="7"/>
  <c r="L594" i="7"/>
  <c r="J594" i="7"/>
  <c r="Z594" i="7" s="1"/>
  <c r="X593" i="7"/>
  <c r="W593" i="7"/>
  <c r="U593" i="7"/>
  <c r="S593" i="7"/>
  <c r="Q593" i="7"/>
  <c r="O593" i="7"/>
  <c r="L593" i="7"/>
  <c r="J593" i="7"/>
  <c r="Z593" i="7" s="1"/>
  <c r="X592" i="7"/>
  <c r="W592" i="7"/>
  <c r="U592" i="7"/>
  <c r="S592" i="7"/>
  <c r="Q592" i="7"/>
  <c r="O592" i="7"/>
  <c r="L592" i="7"/>
  <c r="J592" i="7"/>
  <c r="Z592" i="7" s="1"/>
  <c r="X591" i="7"/>
  <c r="W591" i="7"/>
  <c r="U591" i="7"/>
  <c r="S591" i="7"/>
  <c r="Q591" i="7"/>
  <c r="O591" i="7"/>
  <c r="L591" i="7"/>
  <c r="J591" i="7"/>
  <c r="Z591" i="7" s="1"/>
  <c r="X590" i="7"/>
  <c r="W590" i="7"/>
  <c r="U590" i="7"/>
  <c r="S590" i="7"/>
  <c r="Q590" i="7"/>
  <c r="O590" i="7"/>
  <c r="L590" i="7"/>
  <c r="J590" i="7"/>
  <c r="Z590" i="7" s="1"/>
  <c r="X589" i="7"/>
  <c r="W589" i="7"/>
  <c r="U589" i="7"/>
  <c r="S589" i="7"/>
  <c r="Q589" i="7"/>
  <c r="O589" i="7"/>
  <c r="L589" i="7"/>
  <c r="J589" i="7"/>
  <c r="Z589" i="7" s="1"/>
  <c r="X588" i="7"/>
  <c r="W588" i="7"/>
  <c r="U588" i="7"/>
  <c r="S588" i="7"/>
  <c r="Q588" i="7"/>
  <c r="O588" i="7"/>
  <c r="L588" i="7"/>
  <c r="J588" i="7"/>
  <c r="Z588" i="7" s="1"/>
  <c r="X587" i="7"/>
  <c r="W587" i="7"/>
  <c r="U587" i="7"/>
  <c r="S587" i="7"/>
  <c r="Q587" i="7"/>
  <c r="O587" i="7"/>
  <c r="L587" i="7"/>
  <c r="J587" i="7"/>
  <c r="Z587" i="7" s="1"/>
  <c r="X586" i="7"/>
  <c r="W586" i="7"/>
  <c r="U586" i="7"/>
  <c r="S586" i="7"/>
  <c r="Q586" i="7"/>
  <c r="O586" i="7"/>
  <c r="L586" i="7"/>
  <c r="J586" i="7"/>
  <c r="Z586" i="7" s="1"/>
  <c r="X585" i="7"/>
  <c r="W585" i="7"/>
  <c r="U585" i="7"/>
  <c r="S585" i="7"/>
  <c r="Q585" i="7"/>
  <c r="O585" i="7"/>
  <c r="L585" i="7"/>
  <c r="J585" i="7"/>
  <c r="Z585" i="7" s="1"/>
  <c r="X584" i="7"/>
  <c r="W584" i="7"/>
  <c r="U584" i="7"/>
  <c r="S584" i="7"/>
  <c r="Q584" i="7"/>
  <c r="O584" i="7"/>
  <c r="L584" i="7"/>
  <c r="J584" i="7"/>
  <c r="X583" i="7"/>
  <c r="W583" i="7"/>
  <c r="U583" i="7"/>
  <c r="S583" i="7"/>
  <c r="Q583" i="7"/>
  <c r="O583" i="7"/>
  <c r="L583" i="7"/>
  <c r="J583" i="7"/>
  <c r="Z583" i="7" s="1"/>
  <c r="X582" i="7"/>
  <c r="W582" i="7"/>
  <c r="U582" i="7"/>
  <c r="S582" i="7"/>
  <c r="Q582" i="7"/>
  <c r="O582" i="7"/>
  <c r="L582" i="7"/>
  <c r="J582" i="7"/>
  <c r="X581" i="7"/>
  <c r="W581" i="7"/>
  <c r="U581" i="7"/>
  <c r="S581" i="7"/>
  <c r="Q581" i="7"/>
  <c r="O581" i="7"/>
  <c r="L581" i="7"/>
  <c r="J581" i="7"/>
  <c r="Z581" i="7" s="1"/>
  <c r="X580" i="7"/>
  <c r="W580" i="7"/>
  <c r="U580" i="7"/>
  <c r="S580" i="7"/>
  <c r="Q580" i="7"/>
  <c r="O580" i="7"/>
  <c r="L580" i="7"/>
  <c r="J580" i="7"/>
  <c r="Z580" i="7" s="1"/>
  <c r="X579" i="7"/>
  <c r="W579" i="7"/>
  <c r="U579" i="7"/>
  <c r="S579" i="7"/>
  <c r="Q579" i="7"/>
  <c r="O579" i="7"/>
  <c r="L579" i="7"/>
  <c r="J579" i="7"/>
  <c r="X578" i="7"/>
  <c r="W578" i="7"/>
  <c r="U578" i="7"/>
  <c r="S578" i="7"/>
  <c r="Q578" i="7"/>
  <c r="O578" i="7"/>
  <c r="L578" i="7"/>
  <c r="J578" i="7"/>
  <c r="Z578" i="7" s="1"/>
  <c r="X577" i="7"/>
  <c r="W577" i="7"/>
  <c r="U577" i="7"/>
  <c r="S577" i="7"/>
  <c r="Q577" i="7"/>
  <c r="O577" i="7"/>
  <c r="L577" i="7"/>
  <c r="J577" i="7"/>
  <c r="Z577" i="7" s="1"/>
  <c r="X576" i="7"/>
  <c r="W576" i="7"/>
  <c r="U576" i="7"/>
  <c r="S576" i="7"/>
  <c r="Q576" i="7"/>
  <c r="O576" i="7"/>
  <c r="L576" i="7"/>
  <c r="J576" i="7"/>
  <c r="Z576" i="7" s="1"/>
  <c r="X575" i="7"/>
  <c r="W575" i="7"/>
  <c r="U575" i="7"/>
  <c r="S575" i="7"/>
  <c r="Q575" i="7"/>
  <c r="O575" i="7"/>
  <c r="L575" i="7"/>
  <c r="J575" i="7"/>
  <c r="Z575" i="7" s="1"/>
  <c r="X574" i="7"/>
  <c r="W574" i="7"/>
  <c r="U574" i="7"/>
  <c r="S574" i="7"/>
  <c r="Q574" i="7"/>
  <c r="O574" i="7"/>
  <c r="L574" i="7"/>
  <c r="J574" i="7"/>
  <c r="X573" i="7"/>
  <c r="W573" i="7"/>
  <c r="U573" i="7"/>
  <c r="S573" i="7"/>
  <c r="Q573" i="7"/>
  <c r="O573" i="7"/>
  <c r="L573" i="7"/>
  <c r="J573" i="7"/>
  <c r="Z573" i="7" s="1"/>
  <c r="X572" i="7"/>
  <c r="W572" i="7"/>
  <c r="U572" i="7"/>
  <c r="S572" i="7"/>
  <c r="Q572" i="7"/>
  <c r="O572" i="7"/>
  <c r="L572" i="7"/>
  <c r="J572" i="7"/>
  <c r="X571" i="7"/>
  <c r="W571" i="7"/>
  <c r="U571" i="7"/>
  <c r="S571" i="7"/>
  <c r="Q571" i="7"/>
  <c r="O571" i="7"/>
  <c r="L571" i="7"/>
  <c r="J571" i="7"/>
  <c r="Z571" i="7" s="1"/>
  <c r="X570" i="7"/>
  <c r="W570" i="7"/>
  <c r="U570" i="7"/>
  <c r="S570" i="7"/>
  <c r="Q570" i="7"/>
  <c r="O570" i="7"/>
  <c r="L570" i="7"/>
  <c r="J570" i="7"/>
  <c r="Z570" i="7" s="1"/>
  <c r="X569" i="7"/>
  <c r="W569" i="7"/>
  <c r="U569" i="7"/>
  <c r="S569" i="7"/>
  <c r="Q569" i="7"/>
  <c r="O569" i="7"/>
  <c r="L569" i="7"/>
  <c r="J569" i="7"/>
  <c r="Z569" i="7" s="1"/>
  <c r="X568" i="7"/>
  <c r="W568" i="7"/>
  <c r="U568" i="7"/>
  <c r="S568" i="7"/>
  <c r="Q568" i="7"/>
  <c r="O568" i="7"/>
  <c r="L568" i="7"/>
  <c r="J568" i="7"/>
  <c r="Z568" i="7" s="1"/>
  <c r="X567" i="7"/>
  <c r="W567" i="7"/>
  <c r="U567" i="7"/>
  <c r="S567" i="7"/>
  <c r="Q567" i="7"/>
  <c r="O567" i="7"/>
  <c r="L567" i="7"/>
  <c r="J567" i="7"/>
  <c r="Z567" i="7" s="1"/>
  <c r="X566" i="7"/>
  <c r="W566" i="7"/>
  <c r="U566" i="7"/>
  <c r="S566" i="7"/>
  <c r="Q566" i="7"/>
  <c r="O566" i="7"/>
  <c r="L566" i="7"/>
  <c r="J566" i="7"/>
  <c r="Z566" i="7" s="1"/>
  <c r="X565" i="7"/>
  <c r="W565" i="7"/>
  <c r="U565" i="7"/>
  <c r="S565" i="7"/>
  <c r="Q565" i="7"/>
  <c r="O565" i="7"/>
  <c r="L565" i="7"/>
  <c r="J565" i="7"/>
  <c r="Z565" i="7" s="1"/>
  <c r="X564" i="7"/>
  <c r="W564" i="7"/>
  <c r="U564" i="7"/>
  <c r="S564" i="7"/>
  <c r="Q564" i="7"/>
  <c r="O564" i="7"/>
  <c r="L564" i="7"/>
  <c r="J564" i="7"/>
  <c r="X563" i="7"/>
  <c r="W563" i="7"/>
  <c r="U563" i="7"/>
  <c r="S563" i="7"/>
  <c r="Q563" i="7"/>
  <c r="O563" i="7"/>
  <c r="L563" i="7"/>
  <c r="J563" i="7"/>
  <c r="Z563" i="7" s="1"/>
  <c r="X562" i="7"/>
  <c r="W562" i="7"/>
  <c r="U562" i="7"/>
  <c r="S562" i="7"/>
  <c r="Q562" i="7"/>
  <c r="O562" i="7"/>
  <c r="L562" i="7"/>
  <c r="J562" i="7"/>
  <c r="Z562" i="7" s="1"/>
  <c r="X561" i="7"/>
  <c r="W561" i="7"/>
  <c r="U561" i="7"/>
  <c r="S561" i="7"/>
  <c r="Q561" i="7"/>
  <c r="O561" i="7"/>
  <c r="L561" i="7"/>
  <c r="J561" i="7"/>
  <c r="X560" i="7"/>
  <c r="W560" i="7"/>
  <c r="U560" i="7"/>
  <c r="S560" i="7"/>
  <c r="Q560" i="7"/>
  <c r="O560" i="7"/>
  <c r="L560" i="7"/>
  <c r="J560" i="7"/>
  <c r="Z560" i="7" s="1"/>
  <c r="X559" i="7"/>
  <c r="W559" i="7"/>
  <c r="U559" i="7"/>
  <c r="S559" i="7"/>
  <c r="Q559" i="7"/>
  <c r="O559" i="7"/>
  <c r="L559" i="7"/>
  <c r="J559" i="7"/>
  <c r="Z559" i="7" s="1"/>
  <c r="X558" i="7"/>
  <c r="W558" i="7"/>
  <c r="U558" i="7"/>
  <c r="S558" i="7"/>
  <c r="Q558" i="7"/>
  <c r="O558" i="7"/>
  <c r="L558" i="7"/>
  <c r="J558" i="7"/>
  <c r="Z558" i="7" s="1"/>
  <c r="X557" i="7"/>
  <c r="W557" i="7"/>
  <c r="U557" i="7"/>
  <c r="S557" i="7"/>
  <c r="Q557" i="7"/>
  <c r="O557" i="7"/>
  <c r="L557" i="7"/>
  <c r="J557" i="7"/>
  <c r="Z557" i="7" s="1"/>
  <c r="X556" i="7"/>
  <c r="W556" i="7"/>
  <c r="U556" i="7"/>
  <c r="S556" i="7"/>
  <c r="Q556" i="7"/>
  <c r="O556" i="7"/>
  <c r="L556" i="7"/>
  <c r="J556" i="7"/>
  <c r="Z556" i="7" s="1"/>
  <c r="X555" i="7"/>
  <c r="W555" i="7"/>
  <c r="U555" i="7"/>
  <c r="S555" i="7"/>
  <c r="Q555" i="7"/>
  <c r="O555" i="7"/>
  <c r="L555" i="7"/>
  <c r="J555" i="7"/>
  <c r="X554" i="7"/>
  <c r="W554" i="7"/>
  <c r="U554" i="7"/>
  <c r="S554" i="7"/>
  <c r="Q554" i="7"/>
  <c r="O554" i="7"/>
  <c r="L554" i="7"/>
  <c r="J554" i="7"/>
  <c r="X553" i="7"/>
  <c r="W553" i="7"/>
  <c r="U553" i="7"/>
  <c r="S553" i="7"/>
  <c r="Q553" i="7"/>
  <c r="O553" i="7"/>
  <c r="L553" i="7"/>
  <c r="J553" i="7"/>
  <c r="Z553" i="7" s="1"/>
  <c r="X552" i="7"/>
  <c r="W552" i="7"/>
  <c r="U552" i="7"/>
  <c r="S552" i="7"/>
  <c r="Q552" i="7"/>
  <c r="O552" i="7"/>
  <c r="L552" i="7"/>
  <c r="J552" i="7"/>
  <c r="Z552" i="7" s="1"/>
  <c r="X551" i="7"/>
  <c r="W551" i="7"/>
  <c r="U551" i="7"/>
  <c r="S551" i="7"/>
  <c r="Q551" i="7"/>
  <c r="O551" i="7"/>
  <c r="L551" i="7"/>
  <c r="J551" i="7"/>
  <c r="Z551" i="7" s="1"/>
  <c r="X550" i="7"/>
  <c r="W550" i="7"/>
  <c r="U550" i="7"/>
  <c r="S550" i="7"/>
  <c r="Q550" i="7"/>
  <c r="O550" i="7"/>
  <c r="L550" i="7"/>
  <c r="J550" i="7"/>
  <c r="Z550" i="7" s="1"/>
  <c r="X549" i="7"/>
  <c r="W549" i="7"/>
  <c r="U549" i="7"/>
  <c r="S549" i="7"/>
  <c r="Q549" i="7"/>
  <c r="O549" i="7"/>
  <c r="L549" i="7"/>
  <c r="J549" i="7"/>
  <c r="Z549" i="7" s="1"/>
  <c r="X548" i="7"/>
  <c r="W548" i="7"/>
  <c r="U548" i="7"/>
  <c r="S548" i="7"/>
  <c r="Q548" i="7"/>
  <c r="O548" i="7"/>
  <c r="L548" i="7"/>
  <c r="J548" i="7"/>
  <c r="Z548" i="7" s="1"/>
  <c r="X547" i="7"/>
  <c r="W547" i="7"/>
  <c r="U547" i="7"/>
  <c r="S547" i="7"/>
  <c r="Q547" i="7"/>
  <c r="O547" i="7"/>
  <c r="L547" i="7"/>
  <c r="J547" i="7"/>
  <c r="Z547" i="7" s="1"/>
  <c r="X546" i="7"/>
  <c r="W546" i="7"/>
  <c r="U546" i="7"/>
  <c r="S546" i="7"/>
  <c r="Q546" i="7"/>
  <c r="O546" i="7"/>
  <c r="L546" i="7"/>
  <c r="J546" i="7"/>
  <c r="Z546" i="7" s="1"/>
  <c r="X545" i="7"/>
  <c r="W545" i="7"/>
  <c r="U545" i="7"/>
  <c r="S545" i="7"/>
  <c r="Q545" i="7"/>
  <c r="O545" i="7"/>
  <c r="L545" i="7"/>
  <c r="J545" i="7"/>
  <c r="Z545" i="7" s="1"/>
  <c r="X544" i="7"/>
  <c r="W544" i="7"/>
  <c r="U544" i="7"/>
  <c r="S544" i="7"/>
  <c r="Q544" i="7"/>
  <c r="O544" i="7"/>
  <c r="L544" i="7"/>
  <c r="J544" i="7"/>
  <c r="Z544" i="7" s="1"/>
  <c r="X543" i="7"/>
  <c r="W543" i="7"/>
  <c r="U543" i="7"/>
  <c r="S543" i="7"/>
  <c r="Q543" i="7"/>
  <c r="O543" i="7"/>
  <c r="L543" i="7"/>
  <c r="J543" i="7"/>
  <c r="Z543" i="7" s="1"/>
  <c r="X542" i="7"/>
  <c r="W542" i="7"/>
  <c r="U542" i="7"/>
  <c r="S542" i="7"/>
  <c r="Q542" i="7"/>
  <c r="O542" i="7"/>
  <c r="L542" i="7"/>
  <c r="J542" i="7"/>
  <c r="Z542" i="7" s="1"/>
  <c r="X541" i="7"/>
  <c r="W541" i="7"/>
  <c r="U541" i="7"/>
  <c r="S541" i="7"/>
  <c r="Q541" i="7"/>
  <c r="O541" i="7"/>
  <c r="L541" i="7"/>
  <c r="J541" i="7"/>
  <c r="Z541" i="7" s="1"/>
  <c r="X540" i="7"/>
  <c r="W540" i="7"/>
  <c r="U540" i="7"/>
  <c r="S540" i="7"/>
  <c r="Q540" i="7"/>
  <c r="O540" i="7"/>
  <c r="L540" i="7"/>
  <c r="J540" i="7"/>
  <c r="Z540" i="7" s="1"/>
  <c r="X539" i="7"/>
  <c r="W539" i="7"/>
  <c r="U539" i="7"/>
  <c r="S539" i="7"/>
  <c r="Q539" i="7"/>
  <c r="O539" i="7"/>
  <c r="L539" i="7"/>
  <c r="J539" i="7"/>
  <c r="Z539" i="7" s="1"/>
  <c r="X538" i="7"/>
  <c r="W538" i="7"/>
  <c r="U538" i="7"/>
  <c r="S538" i="7"/>
  <c r="Q538" i="7"/>
  <c r="O538" i="7"/>
  <c r="L538" i="7"/>
  <c r="J538" i="7"/>
  <c r="Z538" i="7" s="1"/>
  <c r="X537" i="7"/>
  <c r="W537" i="7"/>
  <c r="U537" i="7"/>
  <c r="S537" i="7"/>
  <c r="Q537" i="7"/>
  <c r="O537" i="7"/>
  <c r="L537" i="7"/>
  <c r="J537" i="7"/>
  <c r="Z537" i="7" s="1"/>
  <c r="X536" i="7"/>
  <c r="W536" i="7"/>
  <c r="U536" i="7"/>
  <c r="S536" i="7"/>
  <c r="Q536" i="7"/>
  <c r="O536" i="7"/>
  <c r="L536" i="7"/>
  <c r="J536" i="7"/>
  <c r="Z536" i="7" s="1"/>
  <c r="X535" i="7"/>
  <c r="W535" i="7"/>
  <c r="U535" i="7"/>
  <c r="S535" i="7"/>
  <c r="Q535" i="7"/>
  <c r="O535" i="7"/>
  <c r="L535" i="7"/>
  <c r="J535" i="7"/>
  <c r="Z535" i="7" s="1"/>
  <c r="X534" i="7"/>
  <c r="W534" i="7"/>
  <c r="U534" i="7"/>
  <c r="S534" i="7"/>
  <c r="Q534" i="7"/>
  <c r="O534" i="7"/>
  <c r="L534" i="7"/>
  <c r="J534" i="7"/>
  <c r="Z534" i="7" s="1"/>
  <c r="X533" i="7"/>
  <c r="W533" i="7"/>
  <c r="U533" i="7"/>
  <c r="S533" i="7"/>
  <c r="Q533" i="7"/>
  <c r="O533" i="7"/>
  <c r="L533" i="7"/>
  <c r="J533" i="7"/>
  <c r="Z533" i="7" s="1"/>
  <c r="X532" i="7"/>
  <c r="W532" i="7"/>
  <c r="U532" i="7"/>
  <c r="S532" i="7"/>
  <c r="Q532" i="7"/>
  <c r="O532" i="7"/>
  <c r="L532" i="7"/>
  <c r="J532" i="7"/>
  <c r="Z532" i="7" s="1"/>
  <c r="X531" i="7"/>
  <c r="W531" i="7"/>
  <c r="U531" i="7"/>
  <c r="S531" i="7"/>
  <c r="Q531" i="7"/>
  <c r="O531" i="7"/>
  <c r="L531" i="7"/>
  <c r="J531" i="7"/>
  <c r="Z531" i="7" s="1"/>
  <c r="X530" i="7"/>
  <c r="W530" i="7"/>
  <c r="U530" i="7"/>
  <c r="S530" i="7"/>
  <c r="Q530" i="7"/>
  <c r="O530" i="7"/>
  <c r="L530" i="7"/>
  <c r="J530" i="7"/>
  <c r="Z530" i="7" s="1"/>
  <c r="X529" i="7"/>
  <c r="W529" i="7"/>
  <c r="U529" i="7"/>
  <c r="S529" i="7"/>
  <c r="Q529" i="7"/>
  <c r="O529" i="7"/>
  <c r="L529" i="7"/>
  <c r="J529" i="7"/>
  <c r="Z529" i="7" s="1"/>
  <c r="X528" i="7"/>
  <c r="W528" i="7"/>
  <c r="U528" i="7"/>
  <c r="S528" i="7"/>
  <c r="Q528" i="7"/>
  <c r="O528" i="7"/>
  <c r="L528" i="7"/>
  <c r="J528" i="7"/>
  <c r="Z528" i="7" s="1"/>
  <c r="X527" i="7"/>
  <c r="W527" i="7"/>
  <c r="U527" i="7"/>
  <c r="S527" i="7"/>
  <c r="Q527" i="7"/>
  <c r="O527" i="7"/>
  <c r="L527" i="7"/>
  <c r="J527" i="7"/>
  <c r="Z527" i="7" s="1"/>
  <c r="X526" i="7"/>
  <c r="W526" i="7"/>
  <c r="U526" i="7"/>
  <c r="S526" i="7"/>
  <c r="Q526" i="7"/>
  <c r="O526" i="7"/>
  <c r="L526" i="7"/>
  <c r="J526" i="7"/>
  <c r="Z526" i="7" s="1"/>
  <c r="X525" i="7"/>
  <c r="W525" i="7"/>
  <c r="U525" i="7"/>
  <c r="S525" i="7"/>
  <c r="Q525" i="7"/>
  <c r="O525" i="7"/>
  <c r="L525" i="7"/>
  <c r="J525" i="7"/>
  <c r="X524" i="7"/>
  <c r="W524" i="7"/>
  <c r="U524" i="7"/>
  <c r="S524" i="7"/>
  <c r="Q524" i="7"/>
  <c r="O524" i="7"/>
  <c r="L524" i="7"/>
  <c r="J524" i="7"/>
  <c r="Z524" i="7" s="1"/>
  <c r="X523" i="7"/>
  <c r="W523" i="7"/>
  <c r="U523" i="7"/>
  <c r="S523" i="7"/>
  <c r="Q523" i="7"/>
  <c r="O523" i="7"/>
  <c r="L523" i="7"/>
  <c r="J523" i="7"/>
  <c r="Z523" i="7" s="1"/>
  <c r="X522" i="7"/>
  <c r="W522" i="7"/>
  <c r="U522" i="7"/>
  <c r="S522" i="7"/>
  <c r="Q522" i="7"/>
  <c r="O522" i="7"/>
  <c r="L522" i="7"/>
  <c r="J522" i="7"/>
  <c r="Z522" i="7" s="1"/>
  <c r="X521" i="7"/>
  <c r="W521" i="7"/>
  <c r="U521" i="7"/>
  <c r="S521" i="7"/>
  <c r="Q521" i="7"/>
  <c r="O521" i="7"/>
  <c r="L521" i="7"/>
  <c r="J521" i="7"/>
  <c r="Z521" i="7" s="1"/>
  <c r="X520" i="7"/>
  <c r="W520" i="7"/>
  <c r="U520" i="7"/>
  <c r="S520" i="7"/>
  <c r="Q520" i="7"/>
  <c r="O520" i="7"/>
  <c r="L520" i="7"/>
  <c r="J520" i="7"/>
  <c r="Z520" i="7" s="1"/>
  <c r="X519" i="7"/>
  <c r="W519" i="7"/>
  <c r="U519" i="7"/>
  <c r="S519" i="7"/>
  <c r="Q519" i="7"/>
  <c r="O519" i="7"/>
  <c r="L519" i="7"/>
  <c r="J519" i="7"/>
  <c r="Z519" i="7" s="1"/>
  <c r="X518" i="7"/>
  <c r="W518" i="7"/>
  <c r="U518" i="7"/>
  <c r="S518" i="7"/>
  <c r="Q518" i="7"/>
  <c r="O518" i="7"/>
  <c r="L518" i="7"/>
  <c r="J518" i="7"/>
  <c r="Z518" i="7" s="1"/>
  <c r="X517" i="7"/>
  <c r="W517" i="7"/>
  <c r="U517" i="7"/>
  <c r="S517" i="7"/>
  <c r="Q517" i="7"/>
  <c r="O517" i="7"/>
  <c r="L517" i="7"/>
  <c r="J517" i="7"/>
  <c r="X516" i="7"/>
  <c r="W516" i="7"/>
  <c r="U516" i="7"/>
  <c r="S516" i="7"/>
  <c r="Q516" i="7"/>
  <c r="O516" i="7"/>
  <c r="L516" i="7"/>
  <c r="J516" i="7"/>
  <c r="Z516" i="7" s="1"/>
  <c r="X515" i="7"/>
  <c r="W515" i="7"/>
  <c r="U515" i="7"/>
  <c r="S515" i="7"/>
  <c r="Q515" i="7"/>
  <c r="O515" i="7"/>
  <c r="L515" i="7"/>
  <c r="J515" i="7"/>
  <c r="Z515" i="7" s="1"/>
  <c r="X514" i="7"/>
  <c r="W514" i="7"/>
  <c r="U514" i="7"/>
  <c r="S514" i="7"/>
  <c r="Q514" i="7"/>
  <c r="O514" i="7"/>
  <c r="L514" i="7"/>
  <c r="J514" i="7"/>
  <c r="Z514" i="7" s="1"/>
  <c r="X513" i="7"/>
  <c r="W513" i="7"/>
  <c r="U513" i="7"/>
  <c r="S513" i="7"/>
  <c r="Q513" i="7"/>
  <c r="O513" i="7"/>
  <c r="L513" i="7"/>
  <c r="J513" i="7"/>
  <c r="Z513" i="7" s="1"/>
  <c r="X512" i="7"/>
  <c r="W512" i="7"/>
  <c r="U512" i="7"/>
  <c r="S512" i="7"/>
  <c r="Q512" i="7"/>
  <c r="O512" i="7"/>
  <c r="L512" i="7"/>
  <c r="J512" i="7"/>
  <c r="Z512" i="7" s="1"/>
  <c r="X511" i="7"/>
  <c r="W511" i="7"/>
  <c r="U511" i="7"/>
  <c r="S511" i="7"/>
  <c r="Q511" i="7"/>
  <c r="O511" i="7"/>
  <c r="L511" i="7"/>
  <c r="J511" i="7"/>
  <c r="Z511" i="7" s="1"/>
  <c r="X510" i="7"/>
  <c r="W510" i="7"/>
  <c r="U510" i="7"/>
  <c r="S510" i="7"/>
  <c r="Q510" i="7"/>
  <c r="O510" i="7"/>
  <c r="L510" i="7"/>
  <c r="J510" i="7"/>
  <c r="Z510" i="7" s="1"/>
  <c r="X509" i="7"/>
  <c r="W509" i="7"/>
  <c r="U509" i="7"/>
  <c r="S509" i="7"/>
  <c r="Q509" i="7"/>
  <c r="O509" i="7"/>
  <c r="L509" i="7"/>
  <c r="J509" i="7"/>
  <c r="Z509" i="7" s="1"/>
  <c r="X508" i="7"/>
  <c r="W508" i="7"/>
  <c r="U508" i="7"/>
  <c r="S508" i="7"/>
  <c r="Q508" i="7"/>
  <c r="O508" i="7"/>
  <c r="L508" i="7"/>
  <c r="J508" i="7"/>
  <c r="X507" i="7"/>
  <c r="W507" i="7"/>
  <c r="U507" i="7"/>
  <c r="S507" i="7"/>
  <c r="Q507" i="7"/>
  <c r="O507" i="7"/>
  <c r="L507" i="7"/>
  <c r="J507" i="7"/>
  <c r="Z507" i="7" s="1"/>
  <c r="X506" i="7"/>
  <c r="W506" i="7"/>
  <c r="U506" i="7"/>
  <c r="S506" i="7"/>
  <c r="Q506" i="7"/>
  <c r="O506" i="7"/>
  <c r="L506" i="7"/>
  <c r="J506" i="7"/>
  <c r="Z506" i="7" s="1"/>
  <c r="X505" i="7"/>
  <c r="W505" i="7"/>
  <c r="U505" i="7"/>
  <c r="S505" i="7"/>
  <c r="Q505" i="7"/>
  <c r="O505" i="7"/>
  <c r="L505" i="7"/>
  <c r="J505" i="7"/>
  <c r="Z505" i="7" s="1"/>
  <c r="X504" i="7"/>
  <c r="W504" i="7"/>
  <c r="U504" i="7"/>
  <c r="S504" i="7"/>
  <c r="Q504" i="7"/>
  <c r="O504" i="7"/>
  <c r="L504" i="7"/>
  <c r="J504" i="7"/>
  <c r="Z504" i="7" s="1"/>
  <c r="X503" i="7"/>
  <c r="W503" i="7"/>
  <c r="U503" i="7"/>
  <c r="S503" i="7"/>
  <c r="Q503" i="7"/>
  <c r="O503" i="7"/>
  <c r="L503" i="7"/>
  <c r="J503" i="7"/>
  <c r="Z503" i="7" s="1"/>
  <c r="X502" i="7"/>
  <c r="W502" i="7"/>
  <c r="U502" i="7"/>
  <c r="S502" i="7"/>
  <c r="Q502" i="7"/>
  <c r="O502" i="7"/>
  <c r="L502" i="7"/>
  <c r="J502" i="7"/>
  <c r="Z502" i="7" s="1"/>
  <c r="X501" i="7"/>
  <c r="W501" i="7"/>
  <c r="U501" i="7"/>
  <c r="S501" i="7"/>
  <c r="Q501" i="7"/>
  <c r="O501" i="7"/>
  <c r="L501" i="7"/>
  <c r="J501" i="7"/>
  <c r="Z501" i="7" s="1"/>
  <c r="X500" i="7"/>
  <c r="W500" i="7"/>
  <c r="U500" i="7"/>
  <c r="S500" i="7"/>
  <c r="Q500" i="7"/>
  <c r="O500" i="7"/>
  <c r="L500" i="7"/>
  <c r="J500" i="7"/>
  <c r="Z500" i="7" s="1"/>
  <c r="X499" i="7"/>
  <c r="W499" i="7"/>
  <c r="U499" i="7"/>
  <c r="S499" i="7"/>
  <c r="Q499" i="7"/>
  <c r="O499" i="7"/>
  <c r="L499" i="7"/>
  <c r="J499" i="7"/>
  <c r="Z499" i="7" s="1"/>
  <c r="X498" i="7"/>
  <c r="W498" i="7"/>
  <c r="U498" i="7"/>
  <c r="S498" i="7"/>
  <c r="Q498" i="7"/>
  <c r="O498" i="7"/>
  <c r="L498" i="7"/>
  <c r="J498" i="7"/>
  <c r="Z498" i="7" s="1"/>
  <c r="X497" i="7"/>
  <c r="W497" i="7"/>
  <c r="U497" i="7"/>
  <c r="S497" i="7"/>
  <c r="Q497" i="7"/>
  <c r="O497" i="7"/>
  <c r="L497" i="7"/>
  <c r="J497" i="7"/>
  <c r="Z497" i="7" s="1"/>
  <c r="X496" i="7"/>
  <c r="W496" i="7"/>
  <c r="U496" i="7"/>
  <c r="S496" i="7"/>
  <c r="Q496" i="7"/>
  <c r="O496" i="7"/>
  <c r="L496" i="7"/>
  <c r="J496" i="7"/>
  <c r="Z496" i="7" s="1"/>
  <c r="X495" i="7"/>
  <c r="W495" i="7"/>
  <c r="U495" i="7"/>
  <c r="S495" i="7"/>
  <c r="Q495" i="7"/>
  <c r="O495" i="7"/>
  <c r="L495" i="7"/>
  <c r="J495" i="7"/>
  <c r="Z495" i="7" s="1"/>
  <c r="X494" i="7"/>
  <c r="W494" i="7"/>
  <c r="U494" i="7"/>
  <c r="S494" i="7"/>
  <c r="Q494" i="7"/>
  <c r="O494" i="7"/>
  <c r="L494" i="7"/>
  <c r="J494" i="7"/>
  <c r="Z494" i="7" s="1"/>
  <c r="X493" i="7"/>
  <c r="W493" i="7"/>
  <c r="U493" i="7"/>
  <c r="S493" i="7"/>
  <c r="Q493" i="7"/>
  <c r="O493" i="7"/>
  <c r="L493" i="7"/>
  <c r="J493" i="7"/>
  <c r="Z493" i="7" s="1"/>
  <c r="X492" i="7"/>
  <c r="W492" i="7"/>
  <c r="U492" i="7"/>
  <c r="S492" i="7"/>
  <c r="Q492" i="7"/>
  <c r="O492" i="7"/>
  <c r="L492" i="7"/>
  <c r="J492" i="7"/>
  <c r="Z492" i="7" s="1"/>
  <c r="X491" i="7"/>
  <c r="W491" i="7"/>
  <c r="U491" i="7"/>
  <c r="S491" i="7"/>
  <c r="Q491" i="7"/>
  <c r="O491" i="7"/>
  <c r="L491" i="7"/>
  <c r="J491" i="7"/>
  <c r="Z491" i="7" s="1"/>
  <c r="X490" i="7"/>
  <c r="W490" i="7"/>
  <c r="U490" i="7"/>
  <c r="S490" i="7"/>
  <c r="Q490" i="7"/>
  <c r="O490" i="7"/>
  <c r="L490" i="7"/>
  <c r="J490" i="7"/>
  <c r="Z490" i="7" s="1"/>
  <c r="X489" i="7"/>
  <c r="W489" i="7"/>
  <c r="U489" i="7"/>
  <c r="S489" i="7"/>
  <c r="Q489" i="7"/>
  <c r="O489" i="7"/>
  <c r="L489" i="7"/>
  <c r="J489" i="7"/>
  <c r="Z489" i="7" s="1"/>
  <c r="X488" i="7"/>
  <c r="W488" i="7"/>
  <c r="U488" i="7"/>
  <c r="S488" i="7"/>
  <c r="Q488" i="7"/>
  <c r="O488" i="7"/>
  <c r="L488" i="7"/>
  <c r="J488" i="7"/>
  <c r="Z488" i="7" s="1"/>
  <c r="X487" i="7"/>
  <c r="W487" i="7"/>
  <c r="U487" i="7"/>
  <c r="S487" i="7"/>
  <c r="Q487" i="7"/>
  <c r="O487" i="7"/>
  <c r="L487" i="7"/>
  <c r="J487" i="7"/>
  <c r="Z487" i="7" s="1"/>
  <c r="X486" i="7"/>
  <c r="W486" i="7"/>
  <c r="U486" i="7"/>
  <c r="S486" i="7"/>
  <c r="Q486" i="7"/>
  <c r="O486" i="7"/>
  <c r="L486" i="7"/>
  <c r="J486" i="7"/>
  <c r="Z486" i="7" s="1"/>
  <c r="X485" i="7"/>
  <c r="W485" i="7"/>
  <c r="U485" i="7"/>
  <c r="S485" i="7"/>
  <c r="Q485" i="7"/>
  <c r="O485" i="7"/>
  <c r="L485" i="7"/>
  <c r="J485" i="7"/>
  <c r="Z485" i="7" s="1"/>
  <c r="X484" i="7"/>
  <c r="W484" i="7"/>
  <c r="U484" i="7"/>
  <c r="S484" i="7"/>
  <c r="Q484" i="7"/>
  <c r="O484" i="7"/>
  <c r="L484" i="7"/>
  <c r="J484" i="7"/>
  <c r="Z484" i="7" s="1"/>
  <c r="X483" i="7"/>
  <c r="W483" i="7"/>
  <c r="U483" i="7"/>
  <c r="S483" i="7"/>
  <c r="Q483" i="7"/>
  <c r="O483" i="7"/>
  <c r="L483" i="7"/>
  <c r="J483" i="7"/>
  <c r="Z483" i="7" s="1"/>
  <c r="X482" i="7"/>
  <c r="W482" i="7"/>
  <c r="U482" i="7"/>
  <c r="S482" i="7"/>
  <c r="Q482" i="7"/>
  <c r="O482" i="7"/>
  <c r="L482" i="7"/>
  <c r="J482" i="7"/>
  <c r="Z482" i="7" s="1"/>
  <c r="X481" i="7"/>
  <c r="W481" i="7"/>
  <c r="U481" i="7"/>
  <c r="S481" i="7"/>
  <c r="Q481" i="7"/>
  <c r="O481" i="7"/>
  <c r="L481" i="7"/>
  <c r="J481" i="7"/>
  <c r="Z481" i="7" s="1"/>
  <c r="X480" i="7"/>
  <c r="W480" i="7"/>
  <c r="U480" i="7"/>
  <c r="S480" i="7"/>
  <c r="Q480" i="7"/>
  <c r="O480" i="7"/>
  <c r="L480" i="7"/>
  <c r="J480" i="7"/>
  <c r="Z480" i="7" s="1"/>
  <c r="X479" i="7"/>
  <c r="W479" i="7"/>
  <c r="U479" i="7"/>
  <c r="S479" i="7"/>
  <c r="Q479" i="7"/>
  <c r="O479" i="7"/>
  <c r="L479" i="7"/>
  <c r="J479" i="7"/>
  <c r="Z479" i="7" s="1"/>
  <c r="X478" i="7"/>
  <c r="W478" i="7"/>
  <c r="U478" i="7"/>
  <c r="S478" i="7"/>
  <c r="Q478" i="7"/>
  <c r="O478" i="7"/>
  <c r="L478" i="7"/>
  <c r="J478" i="7"/>
  <c r="X477" i="7"/>
  <c r="W477" i="7"/>
  <c r="U477" i="7"/>
  <c r="S477" i="7"/>
  <c r="Q477" i="7"/>
  <c r="O477" i="7"/>
  <c r="L477" i="7"/>
  <c r="J477" i="7"/>
  <c r="Z477" i="7" s="1"/>
  <c r="X476" i="7"/>
  <c r="W476" i="7"/>
  <c r="U476" i="7"/>
  <c r="S476" i="7"/>
  <c r="Q476" i="7"/>
  <c r="O476" i="7"/>
  <c r="L476" i="7"/>
  <c r="J476" i="7"/>
  <c r="Z476" i="7" s="1"/>
  <c r="X475" i="7"/>
  <c r="W475" i="7"/>
  <c r="U475" i="7"/>
  <c r="S475" i="7"/>
  <c r="Q475" i="7"/>
  <c r="O475" i="7"/>
  <c r="L475" i="7"/>
  <c r="J475" i="7"/>
  <c r="X474" i="7"/>
  <c r="W474" i="7"/>
  <c r="U474" i="7"/>
  <c r="S474" i="7"/>
  <c r="Q474" i="7"/>
  <c r="O474" i="7"/>
  <c r="L474" i="7"/>
  <c r="J474" i="7"/>
  <c r="Z474" i="7" s="1"/>
  <c r="X473" i="7"/>
  <c r="W473" i="7"/>
  <c r="U473" i="7"/>
  <c r="S473" i="7"/>
  <c r="Q473" i="7"/>
  <c r="O473" i="7"/>
  <c r="L473" i="7"/>
  <c r="J473" i="7"/>
  <c r="Z473" i="7" s="1"/>
  <c r="X472" i="7"/>
  <c r="W472" i="7"/>
  <c r="U472" i="7"/>
  <c r="S472" i="7"/>
  <c r="Q472" i="7"/>
  <c r="O472" i="7"/>
  <c r="L472" i="7"/>
  <c r="J472" i="7"/>
  <c r="Z472" i="7" s="1"/>
  <c r="X471" i="7"/>
  <c r="W471" i="7"/>
  <c r="U471" i="7"/>
  <c r="S471" i="7"/>
  <c r="Q471" i="7"/>
  <c r="O471" i="7"/>
  <c r="L471" i="7"/>
  <c r="J471" i="7"/>
  <c r="X470" i="7"/>
  <c r="W470" i="7"/>
  <c r="U470" i="7"/>
  <c r="S470" i="7"/>
  <c r="Q470" i="7"/>
  <c r="O470" i="7"/>
  <c r="L470" i="7"/>
  <c r="J470" i="7"/>
  <c r="Z470" i="7" s="1"/>
  <c r="X469" i="7"/>
  <c r="W469" i="7"/>
  <c r="U469" i="7"/>
  <c r="S469" i="7"/>
  <c r="Q469" i="7"/>
  <c r="O469" i="7"/>
  <c r="L469" i="7"/>
  <c r="J469" i="7"/>
  <c r="Z469" i="7" s="1"/>
  <c r="X468" i="7"/>
  <c r="W468" i="7"/>
  <c r="U468" i="7"/>
  <c r="S468" i="7"/>
  <c r="Q468" i="7"/>
  <c r="O468" i="7"/>
  <c r="L468" i="7"/>
  <c r="J468" i="7"/>
  <c r="X467" i="7"/>
  <c r="W467" i="7"/>
  <c r="U467" i="7"/>
  <c r="S467" i="7"/>
  <c r="Q467" i="7"/>
  <c r="O467" i="7"/>
  <c r="L467" i="7"/>
  <c r="J467" i="7"/>
  <c r="X466" i="7"/>
  <c r="W466" i="7"/>
  <c r="U466" i="7"/>
  <c r="S466" i="7"/>
  <c r="Q466" i="7"/>
  <c r="O466" i="7"/>
  <c r="L466" i="7"/>
  <c r="J466" i="7"/>
  <c r="X465" i="7"/>
  <c r="W465" i="7"/>
  <c r="U465" i="7"/>
  <c r="S465" i="7"/>
  <c r="Q465" i="7"/>
  <c r="O465" i="7"/>
  <c r="L465" i="7"/>
  <c r="J465" i="7"/>
  <c r="X464" i="7"/>
  <c r="W464" i="7"/>
  <c r="U464" i="7"/>
  <c r="S464" i="7"/>
  <c r="Q464" i="7"/>
  <c r="O464" i="7"/>
  <c r="L464" i="7"/>
  <c r="J464" i="7"/>
  <c r="X463" i="7"/>
  <c r="W463" i="7"/>
  <c r="U463" i="7"/>
  <c r="S463" i="7"/>
  <c r="Q463" i="7"/>
  <c r="O463" i="7"/>
  <c r="L463" i="7"/>
  <c r="J463" i="7"/>
  <c r="X462" i="7"/>
  <c r="W462" i="7"/>
  <c r="U462" i="7"/>
  <c r="S462" i="7"/>
  <c r="Q462" i="7"/>
  <c r="O462" i="7"/>
  <c r="L462" i="7"/>
  <c r="J462" i="7"/>
  <c r="X461" i="7"/>
  <c r="W461" i="7"/>
  <c r="U461" i="7"/>
  <c r="S461" i="7"/>
  <c r="Q461" i="7"/>
  <c r="O461" i="7"/>
  <c r="L461" i="7"/>
  <c r="J461" i="7"/>
  <c r="X460" i="7"/>
  <c r="W460" i="7"/>
  <c r="U460" i="7"/>
  <c r="S460" i="7"/>
  <c r="Q460" i="7"/>
  <c r="O460" i="7"/>
  <c r="L460" i="7"/>
  <c r="J460" i="7"/>
  <c r="X459" i="7"/>
  <c r="W459" i="7"/>
  <c r="U459" i="7"/>
  <c r="S459" i="7"/>
  <c r="Q459" i="7"/>
  <c r="O459" i="7"/>
  <c r="L459" i="7"/>
  <c r="J459" i="7"/>
  <c r="X458" i="7"/>
  <c r="W458" i="7"/>
  <c r="U458" i="7"/>
  <c r="S458" i="7"/>
  <c r="Q458" i="7"/>
  <c r="O458" i="7"/>
  <c r="L458" i="7"/>
  <c r="J458" i="7"/>
  <c r="X457" i="7"/>
  <c r="W457" i="7"/>
  <c r="U457" i="7"/>
  <c r="S457" i="7"/>
  <c r="Q457" i="7"/>
  <c r="O457" i="7"/>
  <c r="L457" i="7"/>
  <c r="J457" i="7"/>
  <c r="X456" i="7"/>
  <c r="W456" i="7"/>
  <c r="U456" i="7"/>
  <c r="S456" i="7"/>
  <c r="Q456" i="7"/>
  <c r="O456" i="7"/>
  <c r="L456" i="7"/>
  <c r="J456" i="7"/>
  <c r="X455" i="7"/>
  <c r="W455" i="7"/>
  <c r="U455" i="7"/>
  <c r="S455" i="7"/>
  <c r="Q455" i="7"/>
  <c r="O455" i="7"/>
  <c r="L455" i="7"/>
  <c r="J455" i="7"/>
  <c r="Z455" i="7" s="1"/>
  <c r="X454" i="7"/>
  <c r="W454" i="7"/>
  <c r="U454" i="7"/>
  <c r="S454" i="7"/>
  <c r="Q454" i="7"/>
  <c r="O454" i="7"/>
  <c r="L454" i="7"/>
  <c r="J454" i="7"/>
  <c r="Z454" i="7" s="1"/>
  <c r="X453" i="7"/>
  <c r="W453" i="7"/>
  <c r="U453" i="7"/>
  <c r="S453" i="7"/>
  <c r="Q453" i="7"/>
  <c r="O453" i="7"/>
  <c r="L453" i="7"/>
  <c r="J453" i="7"/>
  <c r="Z453" i="7" s="1"/>
  <c r="X452" i="7"/>
  <c r="W452" i="7"/>
  <c r="U452" i="7"/>
  <c r="S452" i="7"/>
  <c r="Q452" i="7"/>
  <c r="O452" i="7"/>
  <c r="L452" i="7"/>
  <c r="J452" i="7"/>
  <c r="Z452" i="7" s="1"/>
  <c r="X451" i="7"/>
  <c r="W451" i="7"/>
  <c r="U451" i="7"/>
  <c r="S451" i="7"/>
  <c r="Q451" i="7"/>
  <c r="O451" i="7"/>
  <c r="L451" i="7"/>
  <c r="J451" i="7"/>
  <c r="Z451" i="7" s="1"/>
  <c r="X450" i="7"/>
  <c r="W450" i="7"/>
  <c r="U450" i="7"/>
  <c r="S450" i="7"/>
  <c r="Q450" i="7"/>
  <c r="O450" i="7"/>
  <c r="L450" i="7"/>
  <c r="J450" i="7"/>
  <c r="Z450" i="7" s="1"/>
  <c r="X449" i="7"/>
  <c r="W449" i="7"/>
  <c r="U449" i="7"/>
  <c r="S449" i="7"/>
  <c r="Q449" i="7"/>
  <c r="O449" i="7"/>
  <c r="L449" i="7"/>
  <c r="J449" i="7"/>
  <c r="Z449" i="7" s="1"/>
  <c r="X448" i="7"/>
  <c r="W448" i="7"/>
  <c r="U448" i="7"/>
  <c r="S448" i="7"/>
  <c r="Q448" i="7"/>
  <c r="O448" i="7"/>
  <c r="L448" i="7"/>
  <c r="J448" i="7"/>
  <c r="Z448" i="7" s="1"/>
  <c r="X447" i="7"/>
  <c r="W447" i="7"/>
  <c r="U447" i="7"/>
  <c r="S447" i="7"/>
  <c r="Q447" i="7"/>
  <c r="O447" i="7"/>
  <c r="L447" i="7"/>
  <c r="J447" i="7"/>
  <c r="Z447" i="7" s="1"/>
  <c r="X446" i="7"/>
  <c r="W446" i="7"/>
  <c r="U446" i="7"/>
  <c r="S446" i="7"/>
  <c r="Q446" i="7"/>
  <c r="O446" i="7"/>
  <c r="L446" i="7"/>
  <c r="J446" i="7"/>
  <c r="Z446" i="7" s="1"/>
  <c r="X445" i="7"/>
  <c r="W445" i="7"/>
  <c r="U445" i="7"/>
  <c r="S445" i="7"/>
  <c r="Q445" i="7"/>
  <c r="O445" i="7"/>
  <c r="L445" i="7"/>
  <c r="J445" i="7"/>
  <c r="Z445" i="7" s="1"/>
  <c r="X444" i="7"/>
  <c r="W444" i="7"/>
  <c r="U444" i="7"/>
  <c r="S444" i="7"/>
  <c r="Q444" i="7"/>
  <c r="O444" i="7"/>
  <c r="L444" i="7"/>
  <c r="J444" i="7"/>
  <c r="Z444" i="7" s="1"/>
  <c r="X443" i="7"/>
  <c r="W443" i="7"/>
  <c r="U443" i="7"/>
  <c r="S443" i="7"/>
  <c r="Q443" i="7"/>
  <c r="O443" i="7"/>
  <c r="L443" i="7"/>
  <c r="J443" i="7"/>
  <c r="Z443" i="7" s="1"/>
  <c r="X442" i="7"/>
  <c r="W442" i="7"/>
  <c r="U442" i="7"/>
  <c r="S442" i="7"/>
  <c r="Q442" i="7"/>
  <c r="O442" i="7"/>
  <c r="L442" i="7"/>
  <c r="J442" i="7"/>
  <c r="Z442" i="7" s="1"/>
  <c r="X441" i="7"/>
  <c r="W441" i="7"/>
  <c r="U441" i="7"/>
  <c r="S441" i="7"/>
  <c r="Q441" i="7"/>
  <c r="O441" i="7"/>
  <c r="L441" i="7"/>
  <c r="J441" i="7"/>
  <c r="Z441" i="7" s="1"/>
  <c r="X440" i="7"/>
  <c r="W440" i="7"/>
  <c r="U440" i="7"/>
  <c r="S440" i="7"/>
  <c r="Q440" i="7"/>
  <c r="O440" i="7"/>
  <c r="L440" i="7"/>
  <c r="J440" i="7"/>
  <c r="Z440" i="7" s="1"/>
  <c r="X439" i="7"/>
  <c r="W439" i="7"/>
  <c r="U439" i="7"/>
  <c r="S439" i="7"/>
  <c r="Q439" i="7"/>
  <c r="O439" i="7"/>
  <c r="L439" i="7"/>
  <c r="J439" i="7"/>
  <c r="Z439" i="7" s="1"/>
  <c r="X438" i="7"/>
  <c r="W438" i="7"/>
  <c r="U438" i="7"/>
  <c r="S438" i="7"/>
  <c r="Q438" i="7"/>
  <c r="O438" i="7"/>
  <c r="L438" i="7"/>
  <c r="J438" i="7"/>
  <c r="Z438" i="7" s="1"/>
  <c r="X437" i="7"/>
  <c r="W437" i="7"/>
  <c r="U437" i="7"/>
  <c r="S437" i="7"/>
  <c r="Q437" i="7"/>
  <c r="O437" i="7"/>
  <c r="L437" i="7"/>
  <c r="J437" i="7"/>
  <c r="Z437" i="7" s="1"/>
  <c r="X436" i="7"/>
  <c r="W436" i="7"/>
  <c r="U436" i="7"/>
  <c r="S436" i="7"/>
  <c r="Q436" i="7"/>
  <c r="O436" i="7"/>
  <c r="L436" i="7"/>
  <c r="J436" i="7"/>
  <c r="Z436" i="7" s="1"/>
  <c r="X435" i="7"/>
  <c r="W435" i="7"/>
  <c r="U435" i="7"/>
  <c r="S435" i="7"/>
  <c r="Q435" i="7"/>
  <c r="O435" i="7"/>
  <c r="L435" i="7"/>
  <c r="J435" i="7"/>
  <c r="Z435" i="7" s="1"/>
  <c r="X434" i="7"/>
  <c r="W434" i="7"/>
  <c r="U434" i="7"/>
  <c r="S434" i="7"/>
  <c r="Q434" i="7"/>
  <c r="O434" i="7"/>
  <c r="L434" i="7"/>
  <c r="J434" i="7"/>
  <c r="Z434" i="7" s="1"/>
  <c r="X433" i="7"/>
  <c r="W433" i="7"/>
  <c r="U433" i="7"/>
  <c r="S433" i="7"/>
  <c r="Q433" i="7"/>
  <c r="O433" i="7"/>
  <c r="L433" i="7"/>
  <c r="J433" i="7"/>
  <c r="Z433" i="7" s="1"/>
  <c r="X432" i="7"/>
  <c r="W432" i="7"/>
  <c r="U432" i="7"/>
  <c r="S432" i="7"/>
  <c r="Q432" i="7"/>
  <c r="O432" i="7"/>
  <c r="L432" i="7"/>
  <c r="J432" i="7"/>
  <c r="Z432" i="7" s="1"/>
  <c r="X431" i="7"/>
  <c r="W431" i="7"/>
  <c r="U431" i="7"/>
  <c r="S431" i="7"/>
  <c r="Q431" i="7"/>
  <c r="O431" i="7"/>
  <c r="L431" i="7"/>
  <c r="J431" i="7"/>
  <c r="Z431" i="7" s="1"/>
  <c r="X430" i="7"/>
  <c r="W430" i="7"/>
  <c r="U430" i="7"/>
  <c r="S430" i="7"/>
  <c r="Q430" i="7"/>
  <c r="O430" i="7"/>
  <c r="L430" i="7"/>
  <c r="J430" i="7"/>
  <c r="Z430" i="7" s="1"/>
  <c r="X429" i="7"/>
  <c r="W429" i="7"/>
  <c r="U429" i="7"/>
  <c r="S429" i="7"/>
  <c r="Q429" i="7"/>
  <c r="O429" i="7"/>
  <c r="L429" i="7"/>
  <c r="J429" i="7"/>
  <c r="Z429" i="7" s="1"/>
  <c r="X428" i="7"/>
  <c r="W428" i="7"/>
  <c r="U428" i="7"/>
  <c r="S428" i="7"/>
  <c r="Q428" i="7"/>
  <c r="O428" i="7"/>
  <c r="L428" i="7"/>
  <c r="J428" i="7"/>
  <c r="Z428" i="7" s="1"/>
  <c r="X427" i="7"/>
  <c r="W427" i="7"/>
  <c r="U427" i="7"/>
  <c r="S427" i="7"/>
  <c r="Q427" i="7"/>
  <c r="O427" i="7"/>
  <c r="L427" i="7"/>
  <c r="J427" i="7"/>
  <c r="Z427" i="7" s="1"/>
  <c r="X426" i="7"/>
  <c r="W426" i="7"/>
  <c r="U426" i="7"/>
  <c r="S426" i="7"/>
  <c r="Q426" i="7"/>
  <c r="O426" i="7"/>
  <c r="L426" i="7"/>
  <c r="J426" i="7"/>
  <c r="Z426" i="7" s="1"/>
  <c r="X425" i="7"/>
  <c r="W425" i="7"/>
  <c r="U425" i="7"/>
  <c r="S425" i="7"/>
  <c r="Q425" i="7"/>
  <c r="O425" i="7"/>
  <c r="L425" i="7"/>
  <c r="J425" i="7"/>
  <c r="Z425" i="7" s="1"/>
  <c r="X424" i="7"/>
  <c r="W424" i="7"/>
  <c r="U424" i="7"/>
  <c r="S424" i="7"/>
  <c r="Q424" i="7"/>
  <c r="O424" i="7"/>
  <c r="L424" i="7"/>
  <c r="J424" i="7"/>
  <c r="Z424" i="7" s="1"/>
  <c r="X423" i="7"/>
  <c r="W423" i="7"/>
  <c r="U423" i="7"/>
  <c r="S423" i="7"/>
  <c r="Q423" i="7"/>
  <c r="O423" i="7"/>
  <c r="L423" i="7"/>
  <c r="J423" i="7"/>
  <c r="Z423" i="7" s="1"/>
  <c r="X422" i="7"/>
  <c r="W422" i="7"/>
  <c r="U422" i="7"/>
  <c r="S422" i="7"/>
  <c r="Q422" i="7"/>
  <c r="O422" i="7"/>
  <c r="L422" i="7"/>
  <c r="J422" i="7"/>
  <c r="Z422" i="7" s="1"/>
  <c r="X421" i="7"/>
  <c r="W421" i="7"/>
  <c r="U421" i="7"/>
  <c r="S421" i="7"/>
  <c r="Q421" i="7"/>
  <c r="O421" i="7"/>
  <c r="L421" i="7"/>
  <c r="J421" i="7"/>
  <c r="Z421" i="7" s="1"/>
  <c r="X420" i="7"/>
  <c r="W420" i="7"/>
  <c r="U420" i="7"/>
  <c r="S420" i="7"/>
  <c r="Q420" i="7"/>
  <c r="O420" i="7"/>
  <c r="L420" i="7"/>
  <c r="J420" i="7"/>
  <c r="Z420" i="7" s="1"/>
  <c r="X419" i="7"/>
  <c r="W419" i="7"/>
  <c r="U419" i="7"/>
  <c r="S419" i="7"/>
  <c r="Q419" i="7"/>
  <c r="O419" i="7"/>
  <c r="L419" i="7"/>
  <c r="J419" i="7"/>
  <c r="X418" i="7"/>
  <c r="W418" i="7"/>
  <c r="U418" i="7"/>
  <c r="S418" i="7"/>
  <c r="Q418" i="7"/>
  <c r="O418" i="7"/>
  <c r="L418" i="7"/>
  <c r="J418" i="7"/>
  <c r="X417" i="7"/>
  <c r="W417" i="7"/>
  <c r="U417" i="7"/>
  <c r="S417" i="7"/>
  <c r="Q417" i="7"/>
  <c r="O417" i="7"/>
  <c r="L417" i="7"/>
  <c r="J417" i="7"/>
  <c r="Z417" i="7" s="1"/>
  <c r="X416" i="7"/>
  <c r="W416" i="7"/>
  <c r="U416" i="7"/>
  <c r="S416" i="7"/>
  <c r="Q416" i="7"/>
  <c r="O416" i="7"/>
  <c r="L416" i="7"/>
  <c r="J416" i="7"/>
  <c r="Z416" i="7" s="1"/>
  <c r="X415" i="7"/>
  <c r="W415" i="7"/>
  <c r="U415" i="7"/>
  <c r="S415" i="7"/>
  <c r="Q415" i="7"/>
  <c r="O415" i="7"/>
  <c r="L415" i="7"/>
  <c r="J415" i="7"/>
  <c r="Z415" i="7" s="1"/>
  <c r="X414" i="7"/>
  <c r="W414" i="7"/>
  <c r="U414" i="7"/>
  <c r="S414" i="7"/>
  <c r="Q414" i="7"/>
  <c r="O414" i="7"/>
  <c r="L414" i="7"/>
  <c r="J414" i="7"/>
  <c r="Z414" i="7" s="1"/>
  <c r="X413" i="7"/>
  <c r="W413" i="7"/>
  <c r="U413" i="7"/>
  <c r="S413" i="7"/>
  <c r="Q413" i="7"/>
  <c r="O413" i="7"/>
  <c r="L413" i="7"/>
  <c r="J413" i="7"/>
  <c r="X412" i="7"/>
  <c r="W412" i="7"/>
  <c r="U412" i="7"/>
  <c r="S412" i="7"/>
  <c r="Q412" i="7"/>
  <c r="O412" i="7"/>
  <c r="L412" i="7"/>
  <c r="J412" i="7"/>
  <c r="Z412" i="7" s="1"/>
  <c r="X411" i="7"/>
  <c r="W411" i="7"/>
  <c r="U411" i="7"/>
  <c r="S411" i="7"/>
  <c r="Q411" i="7"/>
  <c r="O411" i="7"/>
  <c r="L411" i="7"/>
  <c r="J411" i="7"/>
  <c r="Z411" i="7" s="1"/>
  <c r="X410" i="7"/>
  <c r="W410" i="7"/>
  <c r="U410" i="7"/>
  <c r="S410" i="7"/>
  <c r="Q410" i="7"/>
  <c r="O410" i="7"/>
  <c r="L410" i="7"/>
  <c r="J410" i="7"/>
  <c r="Z410" i="7" s="1"/>
  <c r="X409" i="7"/>
  <c r="W409" i="7"/>
  <c r="U409" i="7"/>
  <c r="S409" i="7"/>
  <c r="Q409" i="7"/>
  <c r="O409" i="7"/>
  <c r="L409" i="7"/>
  <c r="J409" i="7"/>
  <c r="Z409" i="7" s="1"/>
  <c r="X408" i="7"/>
  <c r="W408" i="7"/>
  <c r="U408" i="7"/>
  <c r="S408" i="7"/>
  <c r="Q408" i="7"/>
  <c r="O408" i="7"/>
  <c r="L408" i="7"/>
  <c r="J408" i="7"/>
  <c r="Z408" i="7" s="1"/>
  <c r="X407" i="7"/>
  <c r="W407" i="7"/>
  <c r="U407" i="7"/>
  <c r="S407" i="7"/>
  <c r="Q407" i="7"/>
  <c r="O407" i="7"/>
  <c r="L407" i="7"/>
  <c r="J407" i="7"/>
  <c r="Z407" i="7" s="1"/>
  <c r="X406" i="7"/>
  <c r="W406" i="7"/>
  <c r="U406" i="7"/>
  <c r="S406" i="7"/>
  <c r="Q406" i="7"/>
  <c r="O406" i="7"/>
  <c r="L406" i="7"/>
  <c r="J406" i="7"/>
  <c r="Z406" i="7" s="1"/>
  <c r="X405" i="7"/>
  <c r="W405" i="7"/>
  <c r="U405" i="7"/>
  <c r="S405" i="7"/>
  <c r="Q405" i="7"/>
  <c r="O405" i="7"/>
  <c r="L405" i="7"/>
  <c r="J405" i="7"/>
  <c r="Z405" i="7" s="1"/>
  <c r="X404" i="7"/>
  <c r="W404" i="7"/>
  <c r="U404" i="7"/>
  <c r="S404" i="7"/>
  <c r="Q404" i="7"/>
  <c r="O404" i="7"/>
  <c r="L404" i="7"/>
  <c r="J404" i="7"/>
  <c r="Z404" i="7" s="1"/>
  <c r="X403" i="7"/>
  <c r="W403" i="7"/>
  <c r="U403" i="7"/>
  <c r="S403" i="7"/>
  <c r="Q403" i="7"/>
  <c r="O403" i="7"/>
  <c r="L403" i="7"/>
  <c r="J403" i="7"/>
  <c r="Z403" i="7" s="1"/>
  <c r="X402" i="7"/>
  <c r="W402" i="7"/>
  <c r="U402" i="7"/>
  <c r="S402" i="7"/>
  <c r="Q402" i="7"/>
  <c r="O402" i="7"/>
  <c r="L402" i="7"/>
  <c r="J402" i="7"/>
  <c r="X401" i="7"/>
  <c r="W401" i="7"/>
  <c r="U401" i="7"/>
  <c r="S401" i="7"/>
  <c r="Q401" i="7"/>
  <c r="O401" i="7"/>
  <c r="L401" i="7"/>
  <c r="J401" i="7"/>
  <c r="Z401" i="7" s="1"/>
  <c r="X400" i="7"/>
  <c r="W400" i="7"/>
  <c r="U400" i="7"/>
  <c r="S400" i="7"/>
  <c r="Q400" i="7"/>
  <c r="O400" i="7"/>
  <c r="L400" i="7"/>
  <c r="J400" i="7"/>
  <c r="Z400" i="7" s="1"/>
  <c r="X399" i="7"/>
  <c r="W399" i="7"/>
  <c r="U399" i="7"/>
  <c r="S399" i="7"/>
  <c r="Q399" i="7"/>
  <c r="O399" i="7"/>
  <c r="L399" i="7"/>
  <c r="J399" i="7"/>
  <c r="Z399" i="7" s="1"/>
  <c r="X398" i="7"/>
  <c r="W398" i="7"/>
  <c r="U398" i="7"/>
  <c r="S398" i="7"/>
  <c r="Q398" i="7"/>
  <c r="O398" i="7"/>
  <c r="L398" i="7"/>
  <c r="J398" i="7"/>
  <c r="X397" i="7"/>
  <c r="W397" i="7"/>
  <c r="U397" i="7"/>
  <c r="S397" i="7"/>
  <c r="Q397" i="7"/>
  <c r="O397" i="7"/>
  <c r="L397" i="7"/>
  <c r="J397" i="7"/>
  <c r="Z397" i="7" s="1"/>
  <c r="X396" i="7"/>
  <c r="W396" i="7"/>
  <c r="U396" i="7"/>
  <c r="S396" i="7"/>
  <c r="Q396" i="7"/>
  <c r="O396" i="7"/>
  <c r="L396" i="7"/>
  <c r="J396" i="7"/>
  <c r="Z396" i="7" s="1"/>
  <c r="X395" i="7"/>
  <c r="W395" i="7"/>
  <c r="U395" i="7"/>
  <c r="S395" i="7"/>
  <c r="Q395" i="7"/>
  <c r="O395" i="7"/>
  <c r="L395" i="7"/>
  <c r="J395" i="7"/>
  <c r="Z395" i="7" s="1"/>
  <c r="X394" i="7"/>
  <c r="W394" i="7"/>
  <c r="U394" i="7"/>
  <c r="S394" i="7"/>
  <c r="Q394" i="7"/>
  <c r="O394" i="7"/>
  <c r="L394" i="7"/>
  <c r="J394" i="7"/>
  <c r="Z394" i="7" s="1"/>
  <c r="X393" i="7"/>
  <c r="W393" i="7"/>
  <c r="U393" i="7"/>
  <c r="S393" i="7"/>
  <c r="Q393" i="7"/>
  <c r="O393" i="7"/>
  <c r="L393" i="7"/>
  <c r="J393" i="7"/>
  <c r="Z393" i="7" s="1"/>
  <c r="X392" i="7"/>
  <c r="W392" i="7"/>
  <c r="U392" i="7"/>
  <c r="S392" i="7"/>
  <c r="Q392" i="7"/>
  <c r="O392" i="7"/>
  <c r="L392" i="7"/>
  <c r="J392" i="7"/>
  <c r="Z392" i="7" s="1"/>
  <c r="X391" i="7"/>
  <c r="W391" i="7"/>
  <c r="U391" i="7"/>
  <c r="S391" i="7"/>
  <c r="Q391" i="7"/>
  <c r="O391" i="7"/>
  <c r="L391" i="7"/>
  <c r="J391" i="7"/>
  <c r="X390" i="7"/>
  <c r="W390" i="7"/>
  <c r="U390" i="7"/>
  <c r="S390" i="7"/>
  <c r="Q390" i="7"/>
  <c r="O390" i="7"/>
  <c r="L390" i="7"/>
  <c r="J390" i="7"/>
  <c r="X389" i="7"/>
  <c r="W389" i="7"/>
  <c r="U389" i="7"/>
  <c r="S389" i="7"/>
  <c r="Q389" i="7"/>
  <c r="O389" i="7"/>
  <c r="L389" i="7"/>
  <c r="J389" i="7"/>
  <c r="X388" i="7"/>
  <c r="W388" i="7"/>
  <c r="U388" i="7"/>
  <c r="S388" i="7"/>
  <c r="Q388" i="7"/>
  <c r="O388" i="7"/>
  <c r="L388" i="7"/>
  <c r="J388" i="7"/>
  <c r="X387" i="7"/>
  <c r="W387" i="7"/>
  <c r="U387" i="7"/>
  <c r="S387" i="7"/>
  <c r="Q387" i="7"/>
  <c r="O387" i="7"/>
  <c r="L387" i="7"/>
  <c r="J387" i="7"/>
  <c r="Z387" i="7" s="1"/>
  <c r="X386" i="7"/>
  <c r="W386" i="7"/>
  <c r="U386" i="7"/>
  <c r="S386" i="7"/>
  <c r="Q386" i="7"/>
  <c r="O386" i="7"/>
  <c r="L386" i="7"/>
  <c r="J386" i="7"/>
  <c r="Z386" i="7" s="1"/>
  <c r="X385" i="7"/>
  <c r="W385" i="7"/>
  <c r="U385" i="7"/>
  <c r="S385" i="7"/>
  <c r="Q385" i="7"/>
  <c r="O385" i="7"/>
  <c r="L385" i="7"/>
  <c r="J385" i="7"/>
  <c r="Z385" i="7" s="1"/>
  <c r="X384" i="7"/>
  <c r="W384" i="7"/>
  <c r="U384" i="7"/>
  <c r="S384" i="7"/>
  <c r="Q384" i="7"/>
  <c r="O384" i="7"/>
  <c r="L384" i="7"/>
  <c r="J384" i="7"/>
  <c r="Z384" i="7" s="1"/>
  <c r="X383" i="7"/>
  <c r="W383" i="7"/>
  <c r="U383" i="7"/>
  <c r="S383" i="7"/>
  <c r="Q383" i="7"/>
  <c r="O383" i="7"/>
  <c r="L383" i="7"/>
  <c r="J383" i="7"/>
  <c r="Z383" i="7" s="1"/>
  <c r="X382" i="7"/>
  <c r="W382" i="7"/>
  <c r="U382" i="7"/>
  <c r="S382" i="7"/>
  <c r="Q382" i="7"/>
  <c r="O382" i="7"/>
  <c r="L382" i="7"/>
  <c r="J382" i="7"/>
  <c r="Z382" i="7" s="1"/>
  <c r="X381" i="7"/>
  <c r="W381" i="7"/>
  <c r="U381" i="7"/>
  <c r="S381" i="7"/>
  <c r="Q381" i="7"/>
  <c r="O381" i="7"/>
  <c r="L381" i="7"/>
  <c r="J381" i="7"/>
  <c r="Z381" i="7" s="1"/>
  <c r="X380" i="7"/>
  <c r="W380" i="7"/>
  <c r="U380" i="7"/>
  <c r="S380" i="7"/>
  <c r="Q380" i="7"/>
  <c r="O380" i="7"/>
  <c r="L380" i="7"/>
  <c r="J380" i="7"/>
  <c r="Z380" i="7" s="1"/>
  <c r="X379" i="7"/>
  <c r="W379" i="7"/>
  <c r="U379" i="7"/>
  <c r="S379" i="7"/>
  <c r="Q379" i="7"/>
  <c r="O379" i="7"/>
  <c r="L379" i="7"/>
  <c r="J379" i="7"/>
  <c r="Z379" i="7" s="1"/>
  <c r="X378" i="7"/>
  <c r="W378" i="7"/>
  <c r="U378" i="7"/>
  <c r="S378" i="7"/>
  <c r="Q378" i="7"/>
  <c r="O378" i="7"/>
  <c r="L378" i="7"/>
  <c r="J378" i="7"/>
  <c r="X377" i="7"/>
  <c r="W377" i="7"/>
  <c r="U377" i="7"/>
  <c r="S377" i="7"/>
  <c r="Q377" i="7"/>
  <c r="O377" i="7"/>
  <c r="L377" i="7"/>
  <c r="J377" i="7"/>
  <c r="Z377" i="7" s="1"/>
  <c r="X376" i="7"/>
  <c r="W376" i="7"/>
  <c r="U376" i="7"/>
  <c r="S376" i="7"/>
  <c r="Q376" i="7"/>
  <c r="O376" i="7"/>
  <c r="L376" i="7"/>
  <c r="J376" i="7"/>
  <c r="Z376" i="7" s="1"/>
  <c r="X375" i="7"/>
  <c r="W375" i="7"/>
  <c r="U375" i="7"/>
  <c r="S375" i="7"/>
  <c r="Q375" i="7"/>
  <c r="O375" i="7"/>
  <c r="L375" i="7"/>
  <c r="J375" i="7"/>
  <c r="Z375" i="7" s="1"/>
  <c r="X374" i="7"/>
  <c r="W374" i="7"/>
  <c r="U374" i="7"/>
  <c r="S374" i="7"/>
  <c r="Q374" i="7"/>
  <c r="O374" i="7"/>
  <c r="L374" i="7"/>
  <c r="J374" i="7"/>
  <c r="Z374" i="7" s="1"/>
  <c r="X373" i="7"/>
  <c r="W373" i="7"/>
  <c r="U373" i="7"/>
  <c r="S373" i="7"/>
  <c r="Q373" i="7"/>
  <c r="O373" i="7"/>
  <c r="L373" i="7"/>
  <c r="J373" i="7"/>
  <c r="Z373" i="7" s="1"/>
  <c r="X372" i="7"/>
  <c r="W372" i="7"/>
  <c r="U372" i="7"/>
  <c r="S372" i="7"/>
  <c r="Q372" i="7"/>
  <c r="O372" i="7"/>
  <c r="L372" i="7"/>
  <c r="J372" i="7"/>
  <c r="Z372" i="7" s="1"/>
  <c r="X371" i="7"/>
  <c r="W371" i="7"/>
  <c r="U371" i="7"/>
  <c r="S371" i="7"/>
  <c r="Q371" i="7"/>
  <c r="O371" i="7"/>
  <c r="L371" i="7"/>
  <c r="J371" i="7"/>
  <c r="Z371" i="7" s="1"/>
  <c r="X370" i="7"/>
  <c r="W370" i="7"/>
  <c r="U370" i="7"/>
  <c r="S370" i="7"/>
  <c r="Q370" i="7"/>
  <c r="O370" i="7"/>
  <c r="L370" i="7"/>
  <c r="J370" i="7"/>
  <c r="Z370" i="7" s="1"/>
  <c r="X369" i="7"/>
  <c r="W369" i="7"/>
  <c r="U369" i="7"/>
  <c r="S369" i="7"/>
  <c r="Q369" i="7"/>
  <c r="O369" i="7"/>
  <c r="L369" i="7"/>
  <c r="J369" i="7"/>
  <c r="Z369" i="7" s="1"/>
  <c r="X368" i="7"/>
  <c r="W368" i="7"/>
  <c r="U368" i="7"/>
  <c r="S368" i="7"/>
  <c r="Q368" i="7"/>
  <c r="O368" i="7"/>
  <c r="L368" i="7"/>
  <c r="J368" i="7"/>
  <c r="Z368" i="7" s="1"/>
  <c r="X367" i="7"/>
  <c r="W367" i="7"/>
  <c r="U367" i="7"/>
  <c r="S367" i="7"/>
  <c r="Q367" i="7"/>
  <c r="O367" i="7"/>
  <c r="L367" i="7"/>
  <c r="J367" i="7"/>
  <c r="Z367" i="7" s="1"/>
  <c r="X366" i="7"/>
  <c r="W366" i="7"/>
  <c r="U366" i="7"/>
  <c r="S366" i="7"/>
  <c r="Q366" i="7"/>
  <c r="O366" i="7"/>
  <c r="L366" i="7"/>
  <c r="J366" i="7"/>
  <c r="Z366" i="7" s="1"/>
  <c r="X365" i="7"/>
  <c r="W365" i="7"/>
  <c r="U365" i="7"/>
  <c r="S365" i="7"/>
  <c r="Q365" i="7"/>
  <c r="O365" i="7"/>
  <c r="L365" i="7"/>
  <c r="J365" i="7"/>
  <c r="Z365" i="7" s="1"/>
  <c r="X364" i="7"/>
  <c r="W364" i="7"/>
  <c r="U364" i="7"/>
  <c r="S364" i="7"/>
  <c r="Q364" i="7"/>
  <c r="O364" i="7"/>
  <c r="L364" i="7"/>
  <c r="J364" i="7"/>
  <c r="X363" i="7"/>
  <c r="W363" i="7"/>
  <c r="U363" i="7"/>
  <c r="S363" i="7"/>
  <c r="Q363" i="7"/>
  <c r="O363" i="7"/>
  <c r="L363" i="7"/>
  <c r="J363" i="7"/>
  <c r="X362" i="7"/>
  <c r="W362" i="7"/>
  <c r="U362" i="7"/>
  <c r="S362" i="7"/>
  <c r="Q362" i="7"/>
  <c r="O362" i="7"/>
  <c r="L362" i="7"/>
  <c r="J362" i="7"/>
  <c r="X361" i="7"/>
  <c r="W361" i="7"/>
  <c r="U361" i="7"/>
  <c r="S361" i="7"/>
  <c r="Q361" i="7"/>
  <c r="O361" i="7"/>
  <c r="L361" i="7"/>
  <c r="J361" i="7"/>
  <c r="X360" i="7"/>
  <c r="W360" i="7"/>
  <c r="U360" i="7"/>
  <c r="S360" i="7"/>
  <c r="Q360" i="7"/>
  <c r="O360" i="7"/>
  <c r="L360" i="7"/>
  <c r="J360" i="7"/>
  <c r="X359" i="7"/>
  <c r="W359" i="7"/>
  <c r="U359" i="7"/>
  <c r="S359" i="7"/>
  <c r="Q359" i="7"/>
  <c r="O359" i="7"/>
  <c r="L359" i="7"/>
  <c r="J359" i="7"/>
  <c r="X358" i="7"/>
  <c r="W358" i="7"/>
  <c r="U358" i="7"/>
  <c r="S358" i="7"/>
  <c r="Q358" i="7"/>
  <c r="O358" i="7"/>
  <c r="L358" i="7"/>
  <c r="J358" i="7"/>
  <c r="X357" i="7"/>
  <c r="W357" i="7"/>
  <c r="U357" i="7"/>
  <c r="S357" i="7"/>
  <c r="Q357" i="7"/>
  <c r="O357" i="7"/>
  <c r="L357" i="7"/>
  <c r="J357" i="7"/>
  <c r="X356" i="7"/>
  <c r="W356" i="7"/>
  <c r="U356" i="7"/>
  <c r="S356" i="7"/>
  <c r="Q356" i="7"/>
  <c r="O356" i="7"/>
  <c r="L356" i="7"/>
  <c r="J356" i="7"/>
  <c r="X355" i="7"/>
  <c r="W355" i="7"/>
  <c r="U355" i="7"/>
  <c r="S355" i="7"/>
  <c r="Q355" i="7"/>
  <c r="O355" i="7"/>
  <c r="L355" i="7"/>
  <c r="J355" i="7"/>
  <c r="X354" i="7"/>
  <c r="W354" i="7"/>
  <c r="U354" i="7"/>
  <c r="S354" i="7"/>
  <c r="Q354" i="7"/>
  <c r="O354" i="7"/>
  <c r="L354" i="7"/>
  <c r="J354" i="7"/>
  <c r="X353" i="7"/>
  <c r="W353" i="7"/>
  <c r="U353" i="7"/>
  <c r="S353" i="7"/>
  <c r="Q353" i="7"/>
  <c r="O353" i="7"/>
  <c r="L353" i="7"/>
  <c r="J353" i="7"/>
  <c r="X352" i="7"/>
  <c r="W352" i="7"/>
  <c r="U352" i="7"/>
  <c r="S352" i="7"/>
  <c r="Q352" i="7"/>
  <c r="O352" i="7"/>
  <c r="L352" i="7"/>
  <c r="J352" i="7"/>
  <c r="X351" i="7"/>
  <c r="W351" i="7"/>
  <c r="U351" i="7"/>
  <c r="S351" i="7"/>
  <c r="Q351" i="7"/>
  <c r="O351" i="7"/>
  <c r="L351" i="7"/>
  <c r="J351" i="7"/>
  <c r="X350" i="7"/>
  <c r="W350" i="7"/>
  <c r="U350" i="7"/>
  <c r="S350" i="7"/>
  <c r="Q350" i="7"/>
  <c r="O350" i="7"/>
  <c r="L350" i="7"/>
  <c r="J350" i="7"/>
  <c r="X349" i="7"/>
  <c r="W349" i="7"/>
  <c r="U349" i="7"/>
  <c r="S349" i="7"/>
  <c r="Q349" i="7"/>
  <c r="O349" i="7"/>
  <c r="L349" i="7"/>
  <c r="J349" i="7"/>
  <c r="X348" i="7"/>
  <c r="W348" i="7"/>
  <c r="U348" i="7"/>
  <c r="S348" i="7"/>
  <c r="Q348" i="7"/>
  <c r="O348" i="7"/>
  <c r="L348" i="7"/>
  <c r="J348" i="7"/>
  <c r="X347" i="7"/>
  <c r="W347" i="7"/>
  <c r="U347" i="7"/>
  <c r="S347" i="7"/>
  <c r="Q347" i="7"/>
  <c r="O347" i="7"/>
  <c r="L347" i="7"/>
  <c r="J347" i="7"/>
  <c r="X346" i="7"/>
  <c r="W346" i="7"/>
  <c r="U346" i="7"/>
  <c r="S346" i="7"/>
  <c r="Q346" i="7"/>
  <c r="O346" i="7"/>
  <c r="L346" i="7"/>
  <c r="J346" i="7"/>
  <c r="X345" i="7"/>
  <c r="W345" i="7"/>
  <c r="U345" i="7"/>
  <c r="S345" i="7"/>
  <c r="Q345" i="7"/>
  <c r="O345" i="7"/>
  <c r="L345" i="7"/>
  <c r="J345" i="7"/>
  <c r="X344" i="7"/>
  <c r="W344" i="7"/>
  <c r="U344" i="7"/>
  <c r="S344" i="7"/>
  <c r="Q344" i="7"/>
  <c r="O344" i="7"/>
  <c r="L344" i="7"/>
  <c r="J344" i="7"/>
  <c r="X343" i="7"/>
  <c r="W343" i="7"/>
  <c r="U343" i="7"/>
  <c r="S343" i="7"/>
  <c r="Q343" i="7"/>
  <c r="O343" i="7"/>
  <c r="L343" i="7"/>
  <c r="J343" i="7"/>
  <c r="X342" i="7"/>
  <c r="W342" i="7"/>
  <c r="U342" i="7"/>
  <c r="S342" i="7"/>
  <c r="Q342" i="7"/>
  <c r="O342" i="7"/>
  <c r="L342" i="7"/>
  <c r="J342" i="7"/>
  <c r="X341" i="7"/>
  <c r="W341" i="7"/>
  <c r="U341" i="7"/>
  <c r="S341" i="7"/>
  <c r="Q341" i="7"/>
  <c r="O341" i="7"/>
  <c r="L341" i="7"/>
  <c r="J341" i="7"/>
  <c r="X340" i="7"/>
  <c r="W340" i="7"/>
  <c r="U340" i="7"/>
  <c r="S340" i="7"/>
  <c r="Q340" i="7"/>
  <c r="O340" i="7"/>
  <c r="L340" i="7"/>
  <c r="J340" i="7"/>
  <c r="X339" i="7"/>
  <c r="W339" i="7"/>
  <c r="U339" i="7"/>
  <c r="S339" i="7"/>
  <c r="Q339" i="7"/>
  <c r="O339" i="7"/>
  <c r="L339" i="7"/>
  <c r="J339" i="7"/>
  <c r="X338" i="7"/>
  <c r="W338" i="7"/>
  <c r="U338" i="7"/>
  <c r="S338" i="7"/>
  <c r="Q338" i="7"/>
  <c r="O338" i="7"/>
  <c r="L338" i="7"/>
  <c r="J338" i="7"/>
  <c r="X337" i="7"/>
  <c r="W337" i="7"/>
  <c r="U337" i="7"/>
  <c r="S337" i="7"/>
  <c r="Q337" i="7"/>
  <c r="O337" i="7"/>
  <c r="L337" i="7"/>
  <c r="J337" i="7"/>
  <c r="X336" i="7"/>
  <c r="W336" i="7"/>
  <c r="U336" i="7"/>
  <c r="S336" i="7"/>
  <c r="Q336" i="7"/>
  <c r="O336" i="7"/>
  <c r="L336" i="7"/>
  <c r="J336" i="7"/>
  <c r="X335" i="7"/>
  <c r="W335" i="7"/>
  <c r="U335" i="7"/>
  <c r="S335" i="7"/>
  <c r="Q335" i="7"/>
  <c r="O335" i="7"/>
  <c r="L335" i="7"/>
  <c r="J335" i="7"/>
  <c r="X334" i="7"/>
  <c r="W334" i="7"/>
  <c r="U334" i="7"/>
  <c r="S334" i="7"/>
  <c r="Q334" i="7"/>
  <c r="O334" i="7"/>
  <c r="L334" i="7"/>
  <c r="J334" i="7"/>
  <c r="X333" i="7"/>
  <c r="W333" i="7"/>
  <c r="U333" i="7"/>
  <c r="S333" i="7"/>
  <c r="Q333" i="7"/>
  <c r="O333" i="7"/>
  <c r="L333" i="7"/>
  <c r="J333" i="7"/>
  <c r="X332" i="7"/>
  <c r="W332" i="7"/>
  <c r="U332" i="7"/>
  <c r="S332" i="7"/>
  <c r="Q332" i="7"/>
  <c r="O332" i="7"/>
  <c r="L332" i="7"/>
  <c r="J332" i="7"/>
  <c r="X331" i="7"/>
  <c r="W331" i="7"/>
  <c r="U331" i="7"/>
  <c r="S331" i="7"/>
  <c r="Q331" i="7"/>
  <c r="O331" i="7"/>
  <c r="L331" i="7"/>
  <c r="J331" i="7"/>
  <c r="X330" i="7"/>
  <c r="W330" i="7"/>
  <c r="U330" i="7"/>
  <c r="S330" i="7"/>
  <c r="Q330" i="7"/>
  <c r="O330" i="7"/>
  <c r="L330" i="7"/>
  <c r="J330" i="7"/>
  <c r="X329" i="7"/>
  <c r="W329" i="7"/>
  <c r="U329" i="7"/>
  <c r="S329" i="7"/>
  <c r="Q329" i="7"/>
  <c r="O329" i="7"/>
  <c r="L329" i="7"/>
  <c r="J329" i="7"/>
  <c r="X328" i="7"/>
  <c r="W328" i="7"/>
  <c r="U328" i="7"/>
  <c r="S328" i="7"/>
  <c r="Q328" i="7"/>
  <c r="O328" i="7"/>
  <c r="L328" i="7"/>
  <c r="J328" i="7"/>
  <c r="X327" i="7"/>
  <c r="W327" i="7"/>
  <c r="U327" i="7"/>
  <c r="S327" i="7"/>
  <c r="Q327" i="7"/>
  <c r="O327" i="7"/>
  <c r="L327" i="7"/>
  <c r="J327" i="7"/>
  <c r="X326" i="7"/>
  <c r="W326" i="7"/>
  <c r="U326" i="7"/>
  <c r="S326" i="7"/>
  <c r="Q326" i="7"/>
  <c r="O326" i="7"/>
  <c r="L326" i="7"/>
  <c r="J326" i="7"/>
  <c r="X325" i="7"/>
  <c r="W325" i="7"/>
  <c r="U325" i="7"/>
  <c r="S325" i="7"/>
  <c r="Q325" i="7"/>
  <c r="O325" i="7"/>
  <c r="L325" i="7"/>
  <c r="J325" i="7"/>
  <c r="X324" i="7"/>
  <c r="W324" i="7"/>
  <c r="U324" i="7"/>
  <c r="S324" i="7"/>
  <c r="Q324" i="7"/>
  <c r="O324" i="7"/>
  <c r="L324" i="7"/>
  <c r="J324" i="7"/>
  <c r="X323" i="7"/>
  <c r="W323" i="7"/>
  <c r="U323" i="7"/>
  <c r="S323" i="7"/>
  <c r="Q323" i="7"/>
  <c r="O323" i="7"/>
  <c r="L323" i="7"/>
  <c r="J323" i="7"/>
  <c r="X322" i="7"/>
  <c r="W322" i="7"/>
  <c r="U322" i="7"/>
  <c r="S322" i="7"/>
  <c r="Q322" i="7"/>
  <c r="O322" i="7"/>
  <c r="L322" i="7"/>
  <c r="J322" i="7"/>
  <c r="X321" i="7"/>
  <c r="W321" i="7"/>
  <c r="U321" i="7"/>
  <c r="S321" i="7"/>
  <c r="Q321" i="7"/>
  <c r="O321" i="7"/>
  <c r="L321" i="7"/>
  <c r="J321" i="7"/>
  <c r="X320" i="7"/>
  <c r="W320" i="7"/>
  <c r="U320" i="7"/>
  <c r="S320" i="7"/>
  <c r="Q320" i="7"/>
  <c r="O320" i="7"/>
  <c r="L320" i="7"/>
  <c r="J320" i="7"/>
  <c r="X319" i="7"/>
  <c r="W319" i="7"/>
  <c r="U319" i="7"/>
  <c r="S319" i="7"/>
  <c r="Q319" i="7"/>
  <c r="O319" i="7"/>
  <c r="L319" i="7"/>
  <c r="J319" i="7"/>
  <c r="X318" i="7"/>
  <c r="W318" i="7"/>
  <c r="U318" i="7"/>
  <c r="S318" i="7"/>
  <c r="Q318" i="7"/>
  <c r="O318" i="7"/>
  <c r="L318" i="7"/>
  <c r="J318" i="7"/>
  <c r="X317" i="7"/>
  <c r="W317" i="7"/>
  <c r="U317" i="7"/>
  <c r="S317" i="7"/>
  <c r="Q317" i="7"/>
  <c r="O317" i="7"/>
  <c r="L317" i="7"/>
  <c r="J317" i="7"/>
  <c r="X316" i="7"/>
  <c r="W316" i="7"/>
  <c r="U316" i="7"/>
  <c r="S316" i="7"/>
  <c r="Q316" i="7"/>
  <c r="O316" i="7"/>
  <c r="L316" i="7"/>
  <c r="J316" i="7"/>
  <c r="X315" i="7"/>
  <c r="W315" i="7"/>
  <c r="U315" i="7"/>
  <c r="S315" i="7"/>
  <c r="Q315" i="7"/>
  <c r="O315" i="7"/>
  <c r="L315" i="7"/>
  <c r="J315" i="7"/>
  <c r="X314" i="7"/>
  <c r="W314" i="7"/>
  <c r="U314" i="7"/>
  <c r="S314" i="7"/>
  <c r="Q314" i="7"/>
  <c r="O314" i="7"/>
  <c r="L314" i="7"/>
  <c r="J314" i="7"/>
  <c r="X313" i="7"/>
  <c r="W313" i="7"/>
  <c r="U313" i="7"/>
  <c r="S313" i="7"/>
  <c r="Q313" i="7"/>
  <c r="O313" i="7"/>
  <c r="L313" i="7"/>
  <c r="J313" i="7"/>
  <c r="X312" i="7"/>
  <c r="W312" i="7"/>
  <c r="U312" i="7"/>
  <c r="S312" i="7"/>
  <c r="Q312" i="7"/>
  <c r="O312" i="7"/>
  <c r="L312" i="7"/>
  <c r="J312" i="7"/>
  <c r="X311" i="7"/>
  <c r="W311" i="7"/>
  <c r="U311" i="7"/>
  <c r="S311" i="7"/>
  <c r="Q311" i="7"/>
  <c r="O311" i="7"/>
  <c r="L311" i="7"/>
  <c r="J311" i="7"/>
  <c r="X310" i="7"/>
  <c r="W310" i="7"/>
  <c r="U310" i="7"/>
  <c r="S310" i="7"/>
  <c r="Q310" i="7"/>
  <c r="O310" i="7"/>
  <c r="L310" i="7"/>
  <c r="J310" i="7"/>
  <c r="X309" i="7"/>
  <c r="W309" i="7"/>
  <c r="U309" i="7"/>
  <c r="S309" i="7"/>
  <c r="Q309" i="7"/>
  <c r="O309" i="7"/>
  <c r="L309" i="7"/>
  <c r="J309" i="7"/>
  <c r="X308" i="7"/>
  <c r="W308" i="7"/>
  <c r="U308" i="7"/>
  <c r="S308" i="7"/>
  <c r="Q308" i="7"/>
  <c r="O308" i="7"/>
  <c r="L308" i="7"/>
  <c r="J308" i="7"/>
  <c r="X307" i="7"/>
  <c r="W307" i="7"/>
  <c r="U307" i="7"/>
  <c r="S307" i="7"/>
  <c r="Q307" i="7"/>
  <c r="O307" i="7"/>
  <c r="L307" i="7"/>
  <c r="J307" i="7"/>
  <c r="X306" i="7"/>
  <c r="W306" i="7"/>
  <c r="U306" i="7"/>
  <c r="S306" i="7"/>
  <c r="Q306" i="7"/>
  <c r="O306" i="7"/>
  <c r="L306" i="7"/>
  <c r="J306" i="7"/>
  <c r="X305" i="7"/>
  <c r="W305" i="7"/>
  <c r="U305" i="7"/>
  <c r="S305" i="7"/>
  <c r="Q305" i="7"/>
  <c r="O305" i="7"/>
  <c r="L305" i="7"/>
  <c r="J305" i="7"/>
  <c r="X304" i="7"/>
  <c r="W304" i="7"/>
  <c r="U304" i="7"/>
  <c r="S304" i="7"/>
  <c r="Q304" i="7"/>
  <c r="O304" i="7"/>
  <c r="L304" i="7"/>
  <c r="J304" i="7"/>
  <c r="X303" i="7"/>
  <c r="W303" i="7"/>
  <c r="U303" i="7"/>
  <c r="S303" i="7"/>
  <c r="Q303" i="7"/>
  <c r="O303" i="7"/>
  <c r="L303" i="7"/>
  <c r="J303" i="7"/>
  <c r="X302" i="7"/>
  <c r="W302" i="7"/>
  <c r="U302" i="7"/>
  <c r="S302" i="7"/>
  <c r="Q302" i="7"/>
  <c r="O302" i="7"/>
  <c r="L302" i="7"/>
  <c r="J302" i="7"/>
  <c r="X301" i="7"/>
  <c r="W301" i="7"/>
  <c r="U301" i="7"/>
  <c r="S301" i="7"/>
  <c r="Q301" i="7"/>
  <c r="O301" i="7"/>
  <c r="L301" i="7"/>
  <c r="J301" i="7"/>
  <c r="X300" i="7"/>
  <c r="W300" i="7"/>
  <c r="U300" i="7"/>
  <c r="S300" i="7"/>
  <c r="Q300" i="7"/>
  <c r="O300" i="7"/>
  <c r="L300" i="7"/>
  <c r="J300" i="7"/>
  <c r="X299" i="7"/>
  <c r="W299" i="7"/>
  <c r="U299" i="7"/>
  <c r="S299" i="7"/>
  <c r="Q299" i="7"/>
  <c r="O299" i="7"/>
  <c r="L299" i="7"/>
  <c r="J299" i="7"/>
  <c r="X298" i="7"/>
  <c r="W298" i="7"/>
  <c r="U298" i="7"/>
  <c r="S298" i="7"/>
  <c r="Q298" i="7"/>
  <c r="O298" i="7"/>
  <c r="L298" i="7"/>
  <c r="J298" i="7"/>
  <c r="X297" i="7"/>
  <c r="W297" i="7"/>
  <c r="U297" i="7"/>
  <c r="S297" i="7"/>
  <c r="Q297" i="7"/>
  <c r="O297" i="7"/>
  <c r="L297" i="7"/>
  <c r="J297" i="7"/>
  <c r="X296" i="7"/>
  <c r="W296" i="7"/>
  <c r="U296" i="7"/>
  <c r="S296" i="7"/>
  <c r="Q296" i="7"/>
  <c r="O296" i="7"/>
  <c r="L296" i="7"/>
  <c r="J296" i="7"/>
  <c r="X295" i="7"/>
  <c r="W295" i="7"/>
  <c r="U295" i="7"/>
  <c r="S295" i="7"/>
  <c r="Q295" i="7"/>
  <c r="O295" i="7"/>
  <c r="L295" i="7"/>
  <c r="J295" i="7"/>
  <c r="X294" i="7"/>
  <c r="W294" i="7"/>
  <c r="U294" i="7"/>
  <c r="S294" i="7"/>
  <c r="Q294" i="7"/>
  <c r="O294" i="7"/>
  <c r="L294" i="7"/>
  <c r="J294" i="7"/>
  <c r="X293" i="7"/>
  <c r="W293" i="7"/>
  <c r="U293" i="7"/>
  <c r="S293" i="7"/>
  <c r="Q293" i="7"/>
  <c r="O293" i="7"/>
  <c r="L293" i="7"/>
  <c r="J293" i="7"/>
  <c r="X292" i="7"/>
  <c r="W292" i="7"/>
  <c r="U292" i="7"/>
  <c r="S292" i="7"/>
  <c r="Q292" i="7"/>
  <c r="O292" i="7"/>
  <c r="L292" i="7"/>
  <c r="J292" i="7"/>
  <c r="X291" i="7"/>
  <c r="W291" i="7"/>
  <c r="U291" i="7"/>
  <c r="S291" i="7"/>
  <c r="Q291" i="7"/>
  <c r="O291" i="7"/>
  <c r="L291" i="7"/>
  <c r="J291" i="7"/>
  <c r="X290" i="7"/>
  <c r="W290" i="7"/>
  <c r="U290" i="7"/>
  <c r="S290" i="7"/>
  <c r="Q290" i="7"/>
  <c r="O290" i="7"/>
  <c r="L290" i="7"/>
  <c r="J290" i="7"/>
  <c r="X289" i="7"/>
  <c r="W289" i="7"/>
  <c r="U289" i="7"/>
  <c r="S289" i="7"/>
  <c r="Q289" i="7"/>
  <c r="O289" i="7"/>
  <c r="L289" i="7"/>
  <c r="J289" i="7"/>
  <c r="X288" i="7"/>
  <c r="W288" i="7"/>
  <c r="U288" i="7"/>
  <c r="S288" i="7"/>
  <c r="Q288" i="7"/>
  <c r="O288" i="7"/>
  <c r="L288" i="7"/>
  <c r="J288" i="7"/>
  <c r="X287" i="7"/>
  <c r="W287" i="7"/>
  <c r="U287" i="7"/>
  <c r="S287" i="7"/>
  <c r="Q287" i="7"/>
  <c r="O287" i="7"/>
  <c r="L287" i="7"/>
  <c r="J287" i="7"/>
  <c r="X286" i="7"/>
  <c r="W286" i="7"/>
  <c r="U286" i="7"/>
  <c r="S286" i="7"/>
  <c r="Q286" i="7"/>
  <c r="O286" i="7"/>
  <c r="L286" i="7"/>
  <c r="J286" i="7"/>
  <c r="X285" i="7"/>
  <c r="W285" i="7"/>
  <c r="U285" i="7"/>
  <c r="S285" i="7"/>
  <c r="Q285" i="7"/>
  <c r="O285" i="7"/>
  <c r="L285" i="7"/>
  <c r="J285" i="7"/>
  <c r="X284" i="7"/>
  <c r="W284" i="7"/>
  <c r="U284" i="7"/>
  <c r="S284" i="7"/>
  <c r="Q284" i="7"/>
  <c r="O284" i="7"/>
  <c r="L284" i="7"/>
  <c r="J284" i="7"/>
  <c r="X283" i="7"/>
  <c r="W283" i="7"/>
  <c r="U283" i="7"/>
  <c r="S283" i="7"/>
  <c r="Q283" i="7"/>
  <c r="O283" i="7"/>
  <c r="L283" i="7"/>
  <c r="J283" i="7"/>
  <c r="X282" i="7"/>
  <c r="W282" i="7"/>
  <c r="U282" i="7"/>
  <c r="S282" i="7"/>
  <c r="Q282" i="7"/>
  <c r="O282" i="7"/>
  <c r="L282" i="7"/>
  <c r="J282" i="7"/>
  <c r="X281" i="7"/>
  <c r="W281" i="7"/>
  <c r="U281" i="7"/>
  <c r="S281" i="7"/>
  <c r="Q281" i="7"/>
  <c r="O281" i="7"/>
  <c r="L281" i="7"/>
  <c r="J281" i="7"/>
  <c r="X280" i="7"/>
  <c r="W280" i="7"/>
  <c r="U280" i="7"/>
  <c r="S280" i="7"/>
  <c r="Q280" i="7"/>
  <c r="O280" i="7"/>
  <c r="L280" i="7"/>
  <c r="J280" i="7"/>
  <c r="X279" i="7"/>
  <c r="W279" i="7"/>
  <c r="U279" i="7"/>
  <c r="S279" i="7"/>
  <c r="Q279" i="7"/>
  <c r="O279" i="7"/>
  <c r="L279" i="7"/>
  <c r="J279" i="7"/>
  <c r="X278" i="7"/>
  <c r="W278" i="7"/>
  <c r="U278" i="7"/>
  <c r="S278" i="7"/>
  <c r="Q278" i="7"/>
  <c r="O278" i="7"/>
  <c r="L278" i="7"/>
  <c r="J278" i="7"/>
  <c r="X277" i="7"/>
  <c r="W277" i="7"/>
  <c r="U277" i="7"/>
  <c r="S277" i="7"/>
  <c r="Q277" i="7"/>
  <c r="O277" i="7"/>
  <c r="L277" i="7"/>
  <c r="J277" i="7"/>
  <c r="X276" i="7"/>
  <c r="W276" i="7"/>
  <c r="U276" i="7"/>
  <c r="S276" i="7"/>
  <c r="Q276" i="7"/>
  <c r="O276" i="7"/>
  <c r="L276" i="7"/>
  <c r="J276" i="7"/>
  <c r="X275" i="7"/>
  <c r="W275" i="7"/>
  <c r="U275" i="7"/>
  <c r="S275" i="7"/>
  <c r="Q275" i="7"/>
  <c r="O275" i="7"/>
  <c r="L275" i="7"/>
  <c r="J275" i="7"/>
  <c r="X274" i="7"/>
  <c r="W274" i="7"/>
  <c r="U274" i="7"/>
  <c r="S274" i="7"/>
  <c r="Q274" i="7"/>
  <c r="O274" i="7"/>
  <c r="L274" i="7"/>
  <c r="J274" i="7"/>
  <c r="X273" i="7"/>
  <c r="W273" i="7"/>
  <c r="U273" i="7"/>
  <c r="S273" i="7"/>
  <c r="Q273" i="7"/>
  <c r="O273" i="7"/>
  <c r="L273" i="7"/>
  <c r="J273" i="7"/>
  <c r="X272" i="7"/>
  <c r="W272" i="7"/>
  <c r="U272" i="7"/>
  <c r="S272" i="7"/>
  <c r="Q272" i="7"/>
  <c r="O272" i="7"/>
  <c r="L272" i="7"/>
  <c r="J272" i="7"/>
  <c r="X271" i="7"/>
  <c r="W271" i="7"/>
  <c r="U271" i="7"/>
  <c r="S271" i="7"/>
  <c r="Q271" i="7"/>
  <c r="O271" i="7"/>
  <c r="L271" i="7"/>
  <c r="J271" i="7"/>
  <c r="X270" i="7"/>
  <c r="W270" i="7"/>
  <c r="U270" i="7"/>
  <c r="S270" i="7"/>
  <c r="Q270" i="7"/>
  <c r="O270" i="7"/>
  <c r="L270" i="7"/>
  <c r="J270" i="7"/>
  <c r="X269" i="7"/>
  <c r="W269" i="7"/>
  <c r="U269" i="7"/>
  <c r="S269" i="7"/>
  <c r="Q269" i="7"/>
  <c r="O269" i="7"/>
  <c r="L269" i="7"/>
  <c r="J269" i="7"/>
  <c r="X268" i="7"/>
  <c r="W268" i="7"/>
  <c r="U268" i="7"/>
  <c r="S268" i="7"/>
  <c r="Q268" i="7"/>
  <c r="O268" i="7"/>
  <c r="L268" i="7"/>
  <c r="J268" i="7"/>
  <c r="X267" i="7"/>
  <c r="W267" i="7"/>
  <c r="U267" i="7"/>
  <c r="S267" i="7"/>
  <c r="Q267" i="7"/>
  <c r="O267" i="7"/>
  <c r="L267" i="7"/>
  <c r="J267" i="7"/>
  <c r="X266" i="7"/>
  <c r="W266" i="7"/>
  <c r="U266" i="7"/>
  <c r="S266" i="7"/>
  <c r="Q266" i="7"/>
  <c r="O266" i="7"/>
  <c r="L266" i="7"/>
  <c r="J266" i="7"/>
  <c r="X265" i="7"/>
  <c r="W265" i="7"/>
  <c r="U265" i="7"/>
  <c r="S265" i="7"/>
  <c r="Q265" i="7"/>
  <c r="O265" i="7"/>
  <c r="L265" i="7"/>
  <c r="J265" i="7"/>
  <c r="X264" i="7"/>
  <c r="W264" i="7"/>
  <c r="U264" i="7"/>
  <c r="S264" i="7"/>
  <c r="Q264" i="7"/>
  <c r="O264" i="7"/>
  <c r="L264" i="7"/>
  <c r="J264" i="7"/>
  <c r="X263" i="7"/>
  <c r="W263" i="7"/>
  <c r="U263" i="7"/>
  <c r="S263" i="7"/>
  <c r="Q263" i="7"/>
  <c r="O263" i="7"/>
  <c r="L263" i="7"/>
  <c r="J263" i="7"/>
  <c r="X262" i="7"/>
  <c r="W262" i="7"/>
  <c r="U262" i="7"/>
  <c r="S262" i="7"/>
  <c r="Q262" i="7"/>
  <c r="O262" i="7"/>
  <c r="L262" i="7"/>
  <c r="J262" i="7"/>
  <c r="X261" i="7"/>
  <c r="W261" i="7"/>
  <c r="U261" i="7"/>
  <c r="S261" i="7"/>
  <c r="Q261" i="7"/>
  <c r="O261" i="7"/>
  <c r="L261" i="7"/>
  <c r="J261" i="7"/>
  <c r="X260" i="7"/>
  <c r="W260" i="7"/>
  <c r="U260" i="7"/>
  <c r="S260" i="7"/>
  <c r="Q260" i="7"/>
  <c r="O260" i="7"/>
  <c r="L260" i="7"/>
  <c r="J260" i="7"/>
  <c r="X259" i="7"/>
  <c r="W259" i="7"/>
  <c r="U259" i="7"/>
  <c r="S259" i="7"/>
  <c r="Q259" i="7"/>
  <c r="O259" i="7"/>
  <c r="L259" i="7"/>
  <c r="J259" i="7"/>
  <c r="X258" i="7"/>
  <c r="W258" i="7"/>
  <c r="U258" i="7"/>
  <c r="S258" i="7"/>
  <c r="Q258" i="7"/>
  <c r="O258" i="7"/>
  <c r="L258" i="7"/>
  <c r="J258" i="7"/>
  <c r="X257" i="7"/>
  <c r="W257" i="7"/>
  <c r="U257" i="7"/>
  <c r="S257" i="7"/>
  <c r="Q257" i="7"/>
  <c r="O257" i="7"/>
  <c r="L257" i="7"/>
  <c r="J257" i="7"/>
  <c r="X256" i="7"/>
  <c r="W256" i="7"/>
  <c r="U256" i="7"/>
  <c r="S256" i="7"/>
  <c r="Q256" i="7"/>
  <c r="O256" i="7"/>
  <c r="L256" i="7"/>
  <c r="J256" i="7"/>
  <c r="X255" i="7"/>
  <c r="W255" i="7"/>
  <c r="U255" i="7"/>
  <c r="S255" i="7"/>
  <c r="Q255" i="7"/>
  <c r="O255" i="7"/>
  <c r="L255" i="7"/>
  <c r="J255" i="7"/>
  <c r="X254" i="7"/>
  <c r="W254" i="7"/>
  <c r="U254" i="7"/>
  <c r="S254" i="7"/>
  <c r="Q254" i="7"/>
  <c r="O254" i="7"/>
  <c r="L254" i="7"/>
  <c r="J254" i="7"/>
  <c r="X253" i="7"/>
  <c r="W253" i="7"/>
  <c r="U253" i="7"/>
  <c r="S253" i="7"/>
  <c r="Q253" i="7"/>
  <c r="O253" i="7"/>
  <c r="L253" i="7"/>
  <c r="J253" i="7"/>
  <c r="X252" i="7"/>
  <c r="W252" i="7"/>
  <c r="U252" i="7"/>
  <c r="S252" i="7"/>
  <c r="Q252" i="7"/>
  <c r="O252" i="7"/>
  <c r="L252" i="7"/>
  <c r="J252" i="7"/>
  <c r="X251" i="7"/>
  <c r="W251" i="7"/>
  <c r="U251" i="7"/>
  <c r="S251" i="7"/>
  <c r="Q251" i="7"/>
  <c r="O251" i="7"/>
  <c r="L251" i="7"/>
  <c r="J251" i="7"/>
  <c r="X250" i="7"/>
  <c r="W250" i="7"/>
  <c r="U250" i="7"/>
  <c r="S250" i="7"/>
  <c r="Q250" i="7"/>
  <c r="O250" i="7"/>
  <c r="L250" i="7"/>
  <c r="J250" i="7"/>
  <c r="X249" i="7"/>
  <c r="W249" i="7"/>
  <c r="U249" i="7"/>
  <c r="S249" i="7"/>
  <c r="Q249" i="7"/>
  <c r="O249" i="7"/>
  <c r="L249" i="7"/>
  <c r="J249" i="7"/>
  <c r="X248" i="7"/>
  <c r="W248" i="7"/>
  <c r="U248" i="7"/>
  <c r="S248" i="7"/>
  <c r="Q248" i="7"/>
  <c r="O248" i="7"/>
  <c r="L248" i="7"/>
  <c r="J248" i="7"/>
  <c r="X247" i="7"/>
  <c r="W247" i="7"/>
  <c r="U247" i="7"/>
  <c r="S247" i="7"/>
  <c r="Q247" i="7"/>
  <c r="O247" i="7"/>
  <c r="L247" i="7"/>
  <c r="J247" i="7"/>
  <c r="X246" i="7"/>
  <c r="W246" i="7"/>
  <c r="U246" i="7"/>
  <c r="S246" i="7"/>
  <c r="Q246" i="7"/>
  <c r="O246" i="7"/>
  <c r="L246" i="7"/>
  <c r="J246" i="7"/>
  <c r="X245" i="7"/>
  <c r="W245" i="7"/>
  <c r="U245" i="7"/>
  <c r="S245" i="7"/>
  <c r="Q245" i="7"/>
  <c r="O245" i="7"/>
  <c r="L245" i="7"/>
  <c r="J245" i="7"/>
  <c r="X244" i="7"/>
  <c r="W244" i="7"/>
  <c r="U244" i="7"/>
  <c r="S244" i="7"/>
  <c r="Q244" i="7"/>
  <c r="O244" i="7"/>
  <c r="L244" i="7"/>
  <c r="J244" i="7"/>
  <c r="X243" i="7"/>
  <c r="W243" i="7"/>
  <c r="U243" i="7"/>
  <c r="S243" i="7"/>
  <c r="Q243" i="7"/>
  <c r="O243" i="7"/>
  <c r="L243" i="7"/>
  <c r="J243" i="7"/>
  <c r="X242" i="7"/>
  <c r="W242" i="7"/>
  <c r="U242" i="7"/>
  <c r="S242" i="7"/>
  <c r="Q242" i="7"/>
  <c r="O242" i="7"/>
  <c r="L242" i="7"/>
  <c r="J242" i="7"/>
  <c r="X241" i="7"/>
  <c r="W241" i="7"/>
  <c r="U241" i="7"/>
  <c r="S241" i="7"/>
  <c r="Q241" i="7"/>
  <c r="O241" i="7"/>
  <c r="L241" i="7"/>
  <c r="J241" i="7"/>
  <c r="X240" i="7"/>
  <c r="W240" i="7"/>
  <c r="U240" i="7"/>
  <c r="S240" i="7"/>
  <c r="Q240" i="7"/>
  <c r="O240" i="7"/>
  <c r="L240" i="7"/>
  <c r="J240" i="7"/>
  <c r="X239" i="7"/>
  <c r="W239" i="7"/>
  <c r="U239" i="7"/>
  <c r="S239" i="7"/>
  <c r="Q239" i="7"/>
  <c r="O239" i="7"/>
  <c r="L239" i="7"/>
  <c r="J239" i="7"/>
  <c r="X238" i="7"/>
  <c r="W238" i="7"/>
  <c r="U238" i="7"/>
  <c r="S238" i="7"/>
  <c r="Q238" i="7"/>
  <c r="O238" i="7"/>
  <c r="L238" i="7"/>
  <c r="J238" i="7"/>
  <c r="X237" i="7"/>
  <c r="W237" i="7"/>
  <c r="U237" i="7"/>
  <c r="S237" i="7"/>
  <c r="Q237" i="7"/>
  <c r="O237" i="7"/>
  <c r="L237" i="7"/>
  <c r="J237" i="7"/>
  <c r="X236" i="7"/>
  <c r="W236" i="7"/>
  <c r="U236" i="7"/>
  <c r="S236" i="7"/>
  <c r="Q236" i="7"/>
  <c r="O236" i="7"/>
  <c r="L236" i="7"/>
  <c r="J236" i="7"/>
  <c r="X235" i="7"/>
  <c r="W235" i="7"/>
  <c r="U235" i="7"/>
  <c r="S235" i="7"/>
  <c r="Q235" i="7"/>
  <c r="O235" i="7"/>
  <c r="L235" i="7"/>
  <c r="J235" i="7"/>
  <c r="X234" i="7"/>
  <c r="W234" i="7"/>
  <c r="U234" i="7"/>
  <c r="S234" i="7"/>
  <c r="Q234" i="7"/>
  <c r="O234" i="7"/>
  <c r="L234" i="7"/>
  <c r="J234" i="7"/>
  <c r="X233" i="7"/>
  <c r="W233" i="7"/>
  <c r="U233" i="7"/>
  <c r="S233" i="7"/>
  <c r="Q233" i="7"/>
  <c r="O233" i="7"/>
  <c r="L233" i="7"/>
  <c r="J233" i="7"/>
  <c r="X232" i="7"/>
  <c r="W232" i="7"/>
  <c r="U232" i="7"/>
  <c r="S232" i="7"/>
  <c r="Q232" i="7"/>
  <c r="O232" i="7"/>
  <c r="L232" i="7"/>
  <c r="J232" i="7"/>
  <c r="X231" i="7"/>
  <c r="W231" i="7"/>
  <c r="U231" i="7"/>
  <c r="S231" i="7"/>
  <c r="Q231" i="7"/>
  <c r="O231" i="7"/>
  <c r="L231" i="7"/>
  <c r="J231" i="7"/>
  <c r="X230" i="7"/>
  <c r="W230" i="7"/>
  <c r="U230" i="7"/>
  <c r="S230" i="7"/>
  <c r="Q230" i="7"/>
  <c r="O230" i="7"/>
  <c r="L230" i="7"/>
  <c r="J230" i="7"/>
  <c r="X229" i="7"/>
  <c r="W229" i="7"/>
  <c r="U229" i="7"/>
  <c r="S229" i="7"/>
  <c r="Q229" i="7"/>
  <c r="O229" i="7"/>
  <c r="L229" i="7"/>
  <c r="J229" i="7"/>
  <c r="X228" i="7"/>
  <c r="W228" i="7"/>
  <c r="U228" i="7"/>
  <c r="S228" i="7"/>
  <c r="Q228" i="7"/>
  <c r="O228" i="7"/>
  <c r="L228" i="7"/>
  <c r="J228" i="7"/>
  <c r="X227" i="7"/>
  <c r="W227" i="7"/>
  <c r="U227" i="7"/>
  <c r="S227" i="7"/>
  <c r="Q227" i="7"/>
  <c r="O227" i="7"/>
  <c r="L227" i="7"/>
  <c r="J227" i="7"/>
  <c r="X226" i="7"/>
  <c r="W226" i="7"/>
  <c r="U226" i="7"/>
  <c r="S226" i="7"/>
  <c r="Q226" i="7"/>
  <c r="O226" i="7"/>
  <c r="L226" i="7"/>
  <c r="J226" i="7"/>
  <c r="X225" i="7"/>
  <c r="W225" i="7"/>
  <c r="U225" i="7"/>
  <c r="S225" i="7"/>
  <c r="Q225" i="7"/>
  <c r="O225" i="7"/>
  <c r="L225" i="7"/>
  <c r="J225" i="7"/>
  <c r="X224" i="7"/>
  <c r="W224" i="7"/>
  <c r="U224" i="7"/>
  <c r="S224" i="7"/>
  <c r="Q224" i="7"/>
  <c r="O224" i="7"/>
  <c r="L224" i="7"/>
  <c r="J224" i="7"/>
  <c r="X223" i="7"/>
  <c r="W223" i="7"/>
  <c r="U223" i="7"/>
  <c r="S223" i="7"/>
  <c r="Q223" i="7"/>
  <c r="O223" i="7"/>
  <c r="L223" i="7"/>
  <c r="J223" i="7"/>
  <c r="X222" i="7"/>
  <c r="W222" i="7"/>
  <c r="U222" i="7"/>
  <c r="S222" i="7"/>
  <c r="Q222" i="7"/>
  <c r="O222" i="7"/>
  <c r="L222" i="7"/>
  <c r="J222" i="7"/>
  <c r="X221" i="7"/>
  <c r="W221" i="7"/>
  <c r="U221" i="7"/>
  <c r="S221" i="7"/>
  <c r="Q221" i="7"/>
  <c r="O221" i="7"/>
  <c r="L221" i="7"/>
  <c r="J221" i="7"/>
  <c r="X220" i="7"/>
  <c r="W220" i="7"/>
  <c r="U220" i="7"/>
  <c r="S220" i="7"/>
  <c r="Q220" i="7"/>
  <c r="O220" i="7"/>
  <c r="L220" i="7"/>
  <c r="J220" i="7"/>
  <c r="X219" i="7"/>
  <c r="W219" i="7"/>
  <c r="U219" i="7"/>
  <c r="S219" i="7"/>
  <c r="Q219" i="7"/>
  <c r="O219" i="7"/>
  <c r="L219" i="7"/>
  <c r="J219" i="7"/>
  <c r="X218" i="7"/>
  <c r="W218" i="7"/>
  <c r="U218" i="7"/>
  <c r="S218" i="7"/>
  <c r="Q218" i="7"/>
  <c r="O218" i="7"/>
  <c r="L218" i="7"/>
  <c r="J218" i="7"/>
  <c r="X217" i="7"/>
  <c r="W217" i="7"/>
  <c r="U217" i="7"/>
  <c r="S217" i="7"/>
  <c r="Q217" i="7"/>
  <c r="O217" i="7"/>
  <c r="L217" i="7"/>
  <c r="J217" i="7"/>
  <c r="X216" i="7"/>
  <c r="W216" i="7"/>
  <c r="U216" i="7"/>
  <c r="S216" i="7"/>
  <c r="Q216" i="7"/>
  <c r="O216" i="7"/>
  <c r="L216" i="7"/>
  <c r="J216" i="7"/>
  <c r="X215" i="7"/>
  <c r="W215" i="7"/>
  <c r="U215" i="7"/>
  <c r="S215" i="7"/>
  <c r="Q215" i="7"/>
  <c r="O215" i="7"/>
  <c r="L215" i="7"/>
  <c r="J215" i="7"/>
  <c r="X214" i="7"/>
  <c r="W214" i="7"/>
  <c r="U214" i="7"/>
  <c r="S214" i="7"/>
  <c r="Q214" i="7"/>
  <c r="O214" i="7"/>
  <c r="L214" i="7"/>
  <c r="J214" i="7"/>
  <c r="X213" i="7"/>
  <c r="W213" i="7"/>
  <c r="U213" i="7"/>
  <c r="S213" i="7"/>
  <c r="Q213" i="7"/>
  <c r="O213" i="7"/>
  <c r="L213" i="7"/>
  <c r="J213" i="7"/>
  <c r="X212" i="7"/>
  <c r="W212" i="7"/>
  <c r="U212" i="7"/>
  <c r="S212" i="7"/>
  <c r="Q212" i="7"/>
  <c r="O212" i="7"/>
  <c r="L212" i="7"/>
  <c r="J212" i="7"/>
  <c r="X211" i="7"/>
  <c r="W211" i="7"/>
  <c r="U211" i="7"/>
  <c r="S211" i="7"/>
  <c r="Q211" i="7"/>
  <c r="O211" i="7"/>
  <c r="L211" i="7"/>
  <c r="J211" i="7"/>
  <c r="X210" i="7"/>
  <c r="W210" i="7"/>
  <c r="U210" i="7"/>
  <c r="S210" i="7"/>
  <c r="Q210" i="7"/>
  <c r="O210" i="7"/>
  <c r="L210" i="7"/>
  <c r="J210" i="7"/>
  <c r="X209" i="7"/>
  <c r="W209" i="7"/>
  <c r="U209" i="7"/>
  <c r="S209" i="7"/>
  <c r="Q209" i="7"/>
  <c r="O209" i="7"/>
  <c r="L209" i="7"/>
  <c r="J209" i="7"/>
  <c r="X208" i="7"/>
  <c r="W208" i="7"/>
  <c r="U208" i="7"/>
  <c r="S208" i="7"/>
  <c r="Q208" i="7"/>
  <c r="O208" i="7"/>
  <c r="L208" i="7"/>
  <c r="J208" i="7"/>
  <c r="X207" i="7"/>
  <c r="W207" i="7"/>
  <c r="U207" i="7"/>
  <c r="S207" i="7"/>
  <c r="Q207" i="7"/>
  <c r="O207" i="7"/>
  <c r="L207" i="7"/>
  <c r="J207" i="7"/>
  <c r="X206" i="7"/>
  <c r="W206" i="7"/>
  <c r="U206" i="7"/>
  <c r="S206" i="7"/>
  <c r="Q206" i="7"/>
  <c r="O206" i="7"/>
  <c r="L206" i="7"/>
  <c r="J206" i="7"/>
  <c r="X205" i="7"/>
  <c r="W205" i="7"/>
  <c r="U205" i="7"/>
  <c r="S205" i="7"/>
  <c r="Q205" i="7"/>
  <c r="O205" i="7"/>
  <c r="L205" i="7"/>
  <c r="J205" i="7"/>
  <c r="X204" i="7"/>
  <c r="W204" i="7"/>
  <c r="U204" i="7"/>
  <c r="S204" i="7"/>
  <c r="Q204" i="7"/>
  <c r="O204" i="7"/>
  <c r="L204" i="7"/>
  <c r="J204" i="7"/>
  <c r="X203" i="7"/>
  <c r="W203" i="7"/>
  <c r="U203" i="7"/>
  <c r="S203" i="7"/>
  <c r="Q203" i="7"/>
  <c r="O203" i="7"/>
  <c r="L203" i="7"/>
  <c r="J203" i="7"/>
  <c r="X202" i="7"/>
  <c r="W202" i="7"/>
  <c r="U202" i="7"/>
  <c r="S202" i="7"/>
  <c r="Q202" i="7"/>
  <c r="O202" i="7"/>
  <c r="L202" i="7"/>
  <c r="J202" i="7"/>
  <c r="X201" i="7"/>
  <c r="W201" i="7"/>
  <c r="U201" i="7"/>
  <c r="S201" i="7"/>
  <c r="Q201" i="7"/>
  <c r="O201" i="7"/>
  <c r="L201" i="7"/>
  <c r="J201" i="7"/>
  <c r="X200" i="7"/>
  <c r="W200" i="7"/>
  <c r="U200" i="7"/>
  <c r="S200" i="7"/>
  <c r="Q200" i="7"/>
  <c r="O200" i="7"/>
  <c r="L200" i="7"/>
  <c r="J200" i="7"/>
  <c r="X199" i="7"/>
  <c r="W199" i="7"/>
  <c r="U199" i="7"/>
  <c r="S199" i="7"/>
  <c r="Q199" i="7"/>
  <c r="O199" i="7"/>
  <c r="L199" i="7"/>
  <c r="J199" i="7"/>
  <c r="X198" i="7"/>
  <c r="W198" i="7"/>
  <c r="U198" i="7"/>
  <c r="S198" i="7"/>
  <c r="Q198" i="7"/>
  <c r="O198" i="7"/>
  <c r="L198" i="7"/>
  <c r="J198" i="7"/>
  <c r="X197" i="7"/>
  <c r="W197" i="7"/>
  <c r="U197" i="7"/>
  <c r="S197" i="7"/>
  <c r="Q197" i="7"/>
  <c r="O197" i="7"/>
  <c r="L197" i="7"/>
  <c r="J197" i="7"/>
  <c r="X196" i="7"/>
  <c r="W196" i="7"/>
  <c r="U196" i="7"/>
  <c r="S196" i="7"/>
  <c r="Q196" i="7"/>
  <c r="O196" i="7"/>
  <c r="L196" i="7"/>
  <c r="J196" i="7"/>
  <c r="X195" i="7"/>
  <c r="W195" i="7"/>
  <c r="U195" i="7"/>
  <c r="S195" i="7"/>
  <c r="Q195" i="7"/>
  <c r="O195" i="7"/>
  <c r="L195" i="7"/>
  <c r="J195" i="7"/>
  <c r="X194" i="7"/>
  <c r="W194" i="7"/>
  <c r="U194" i="7"/>
  <c r="S194" i="7"/>
  <c r="Q194" i="7"/>
  <c r="O194" i="7"/>
  <c r="L194" i="7"/>
  <c r="J194" i="7"/>
  <c r="X193" i="7"/>
  <c r="W193" i="7"/>
  <c r="U193" i="7"/>
  <c r="S193" i="7"/>
  <c r="Q193" i="7"/>
  <c r="O193" i="7"/>
  <c r="L193" i="7"/>
  <c r="J193" i="7"/>
  <c r="X192" i="7"/>
  <c r="W192" i="7"/>
  <c r="U192" i="7"/>
  <c r="S192" i="7"/>
  <c r="Q192" i="7"/>
  <c r="O192" i="7"/>
  <c r="L192" i="7"/>
  <c r="J192" i="7"/>
  <c r="X191" i="7"/>
  <c r="W191" i="7"/>
  <c r="U191" i="7"/>
  <c r="S191" i="7"/>
  <c r="Q191" i="7"/>
  <c r="O191" i="7"/>
  <c r="L191" i="7"/>
  <c r="J191" i="7"/>
  <c r="X190" i="7"/>
  <c r="W190" i="7"/>
  <c r="U190" i="7"/>
  <c r="S190" i="7"/>
  <c r="Q190" i="7"/>
  <c r="O190" i="7"/>
  <c r="L190" i="7"/>
  <c r="J190" i="7"/>
  <c r="X189" i="7"/>
  <c r="W189" i="7"/>
  <c r="U189" i="7"/>
  <c r="S189" i="7"/>
  <c r="Q189" i="7"/>
  <c r="O189" i="7"/>
  <c r="L189" i="7"/>
  <c r="J189" i="7"/>
  <c r="X188" i="7"/>
  <c r="W188" i="7"/>
  <c r="U188" i="7"/>
  <c r="S188" i="7"/>
  <c r="Q188" i="7"/>
  <c r="O188" i="7"/>
  <c r="L188" i="7"/>
  <c r="J188" i="7"/>
  <c r="X187" i="7"/>
  <c r="W187" i="7"/>
  <c r="U187" i="7"/>
  <c r="S187" i="7"/>
  <c r="Q187" i="7"/>
  <c r="O187" i="7"/>
  <c r="L187" i="7"/>
  <c r="J187" i="7"/>
  <c r="X186" i="7"/>
  <c r="W186" i="7"/>
  <c r="U186" i="7"/>
  <c r="S186" i="7"/>
  <c r="Q186" i="7"/>
  <c r="O186" i="7"/>
  <c r="L186" i="7"/>
  <c r="J186" i="7"/>
  <c r="X185" i="7"/>
  <c r="W185" i="7"/>
  <c r="U185" i="7"/>
  <c r="S185" i="7"/>
  <c r="Q185" i="7"/>
  <c r="O185" i="7"/>
  <c r="L185" i="7"/>
  <c r="J185" i="7"/>
  <c r="X184" i="7"/>
  <c r="W184" i="7"/>
  <c r="U184" i="7"/>
  <c r="S184" i="7"/>
  <c r="Q184" i="7"/>
  <c r="O184" i="7"/>
  <c r="L184" i="7"/>
  <c r="J184" i="7"/>
  <c r="X183" i="7"/>
  <c r="W183" i="7"/>
  <c r="U183" i="7"/>
  <c r="S183" i="7"/>
  <c r="Q183" i="7"/>
  <c r="O183" i="7"/>
  <c r="L183" i="7"/>
  <c r="J183" i="7"/>
  <c r="X182" i="7"/>
  <c r="W182" i="7"/>
  <c r="U182" i="7"/>
  <c r="S182" i="7"/>
  <c r="Q182" i="7"/>
  <c r="O182" i="7"/>
  <c r="L182" i="7"/>
  <c r="J182" i="7"/>
  <c r="X181" i="7"/>
  <c r="W181" i="7"/>
  <c r="U181" i="7"/>
  <c r="S181" i="7"/>
  <c r="Q181" i="7"/>
  <c r="O181" i="7"/>
  <c r="L181" i="7"/>
  <c r="J181" i="7"/>
  <c r="X180" i="7"/>
  <c r="W180" i="7"/>
  <c r="U180" i="7"/>
  <c r="S180" i="7"/>
  <c r="Q180" i="7"/>
  <c r="O180" i="7"/>
  <c r="L180" i="7"/>
  <c r="J180" i="7"/>
  <c r="X179" i="7"/>
  <c r="W179" i="7"/>
  <c r="U179" i="7"/>
  <c r="S179" i="7"/>
  <c r="Q179" i="7"/>
  <c r="O179" i="7"/>
  <c r="L179" i="7"/>
  <c r="J179" i="7"/>
  <c r="X178" i="7"/>
  <c r="W178" i="7"/>
  <c r="U178" i="7"/>
  <c r="S178" i="7"/>
  <c r="Q178" i="7"/>
  <c r="O178" i="7"/>
  <c r="L178" i="7"/>
  <c r="J178" i="7"/>
  <c r="X177" i="7"/>
  <c r="W177" i="7"/>
  <c r="U177" i="7"/>
  <c r="S177" i="7"/>
  <c r="Q177" i="7"/>
  <c r="O177" i="7"/>
  <c r="L177" i="7"/>
  <c r="J177" i="7"/>
  <c r="X176" i="7"/>
  <c r="W176" i="7"/>
  <c r="U176" i="7"/>
  <c r="S176" i="7"/>
  <c r="Q176" i="7"/>
  <c r="O176" i="7"/>
  <c r="L176" i="7"/>
  <c r="J176" i="7"/>
  <c r="X175" i="7"/>
  <c r="W175" i="7"/>
  <c r="U175" i="7"/>
  <c r="S175" i="7"/>
  <c r="Q175" i="7"/>
  <c r="O175" i="7"/>
  <c r="L175" i="7"/>
  <c r="J175" i="7"/>
  <c r="X174" i="7"/>
  <c r="W174" i="7"/>
  <c r="U174" i="7"/>
  <c r="S174" i="7"/>
  <c r="Q174" i="7"/>
  <c r="O174" i="7"/>
  <c r="L174" i="7"/>
  <c r="J174" i="7"/>
  <c r="X173" i="7"/>
  <c r="W173" i="7"/>
  <c r="U173" i="7"/>
  <c r="S173" i="7"/>
  <c r="Q173" i="7"/>
  <c r="O173" i="7"/>
  <c r="L173" i="7"/>
  <c r="J173" i="7"/>
  <c r="X172" i="7"/>
  <c r="W172" i="7"/>
  <c r="U172" i="7"/>
  <c r="S172" i="7"/>
  <c r="Q172" i="7"/>
  <c r="O172" i="7"/>
  <c r="L172" i="7"/>
  <c r="J172" i="7"/>
  <c r="X171" i="7"/>
  <c r="W171" i="7"/>
  <c r="U171" i="7"/>
  <c r="S171" i="7"/>
  <c r="Q171" i="7"/>
  <c r="O171" i="7"/>
  <c r="L171" i="7"/>
  <c r="J171" i="7"/>
  <c r="X170" i="7"/>
  <c r="W170" i="7"/>
  <c r="U170" i="7"/>
  <c r="S170" i="7"/>
  <c r="Q170" i="7"/>
  <c r="O170" i="7"/>
  <c r="L170" i="7"/>
  <c r="J170" i="7"/>
  <c r="X169" i="7"/>
  <c r="W169" i="7"/>
  <c r="U169" i="7"/>
  <c r="S169" i="7"/>
  <c r="Q169" i="7"/>
  <c r="O169" i="7"/>
  <c r="L169" i="7"/>
  <c r="J169" i="7"/>
  <c r="X168" i="7"/>
  <c r="W168" i="7"/>
  <c r="U168" i="7"/>
  <c r="S168" i="7"/>
  <c r="Q168" i="7"/>
  <c r="O168" i="7"/>
  <c r="L168" i="7"/>
  <c r="J168" i="7"/>
  <c r="X167" i="7"/>
  <c r="W167" i="7"/>
  <c r="U167" i="7"/>
  <c r="S167" i="7"/>
  <c r="Q167" i="7"/>
  <c r="O167" i="7"/>
  <c r="L167" i="7"/>
  <c r="J167" i="7"/>
  <c r="X166" i="7"/>
  <c r="W166" i="7"/>
  <c r="U166" i="7"/>
  <c r="S166" i="7"/>
  <c r="Q166" i="7"/>
  <c r="O166" i="7"/>
  <c r="L166" i="7"/>
  <c r="J166" i="7"/>
  <c r="X165" i="7"/>
  <c r="W165" i="7"/>
  <c r="U165" i="7"/>
  <c r="S165" i="7"/>
  <c r="Q165" i="7"/>
  <c r="O165" i="7"/>
  <c r="L165" i="7"/>
  <c r="J165" i="7"/>
  <c r="X164" i="7"/>
  <c r="W164" i="7"/>
  <c r="U164" i="7"/>
  <c r="S164" i="7"/>
  <c r="Q164" i="7"/>
  <c r="O164" i="7"/>
  <c r="L164" i="7"/>
  <c r="J164" i="7"/>
  <c r="X163" i="7"/>
  <c r="W163" i="7"/>
  <c r="U163" i="7"/>
  <c r="S163" i="7"/>
  <c r="Q163" i="7"/>
  <c r="O163" i="7"/>
  <c r="L163" i="7"/>
  <c r="J163" i="7"/>
  <c r="X162" i="7"/>
  <c r="W162" i="7"/>
  <c r="U162" i="7"/>
  <c r="S162" i="7"/>
  <c r="Q162" i="7"/>
  <c r="O162" i="7"/>
  <c r="L162" i="7"/>
  <c r="J162" i="7"/>
  <c r="X161" i="7"/>
  <c r="W161" i="7"/>
  <c r="U161" i="7"/>
  <c r="S161" i="7"/>
  <c r="Q161" i="7"/>
  <c r="O161" i="7"/>
  <c r="L161" i="7"/>
  <c r="J161" i="7"/>
  <c r="X160" i="7"/>
  <c r="W160" i="7"/>
  <c r="U160" i="7"/>
  <c r="S160" i="7"/>
  <c r="Q160" i="7"/>
  <c r="O160" i="7"/>
  <c r="L160" i="7"/>
  <c r="J160" i="7"/>
  <c r="X159" i="7"/>
  <c r="W159" i="7"/>
  <c r="U159" i="7"/>
  <c r="S159" i="7"/>
  <c r="Q159" i="7"/>
  <c r="O159" i="7"/>
  <c r="L159" i="7"/>
  <c r="J159" i="7"/>
  <c r="X158" i="7"/>
  <c r="W158" i="7"/>
  <c r="U158" i="7"/>
  <c r="S158" i="7"/>
  <c r="Q158" i="7"/>
  <c r="O158" i="7"/>
  <c r="L158" i="7"/>
  <c r="J158" i="7"/>
  <c r="X157" i="7"/>
  <c r="W157" i="7"/>
  <c r="U157" i="7"/>
  <c r="S157" i="7"/>
  <c r="Q157" i="7"/>
  <c r="O157" i="7"/>
  <c r="L157" i="7"/>
  <c r="J157" i="7"/>
  <c r="X156" i="7"/>
  <c r="W156" i="7"/>
  <c r="U156" i="7"/>
  <c r="S156" i="7"/>
  <c r="Q156" i="7"/>
  <c r="O156" i="7"/>
  <c r="L156" i="7"/>
  <c r="J156" i="7"/>
  <c r="X155" i="7"/>
  <c r="W155" i="7"/>
  <c r="U155" i="7"/>
  <c r="S155" i="7"/>
  <c r="Q155" i="7"/>
  <c r="O155" i="7"/>
  <c r="L155" i="7"/>
  <c r="J155" i="7"/>
  <c r="X154" i="7"/>
  <c r="W154" i="7"/>
  <c r="U154" i="7"/>
  <c r="S154" i="7"/>
  <c r="Q154" i="7"/>
  <c r="O154" i="7"/>
  <c r="L154" i="7"/>
  <c r="J154" i="7"/>
  <c r="X153" i="7"/>
  <c r="W153" i="7"/>
  <c r="U153" i="7"/>
  <c r="S153" i="7"/>
  <c r="Q153" i="7"/>
  <c r="O153" i="7"/>
  <c r="L153" i="7"/>
  <c r="J153" i="7"/>
  <c r="X152" i="7"/>
  <c r="W152" i="7"/>
  <c r="U152" i="7"/>
  <c r="S152" i="7"/>
  <c r="Q152" i="7"/>
  <c r="O152" i="7"/>
  <c r="L152" i="7"/>
  <c r="J152" i="7"/>
  <c r="X151" i="7"/>
  <c r="W151" i="7"/>
  <c r="U151" i="7"/>
  <c r="S151" i="7"/>
  <c r="Q151" i="7"/>
  <c r="O151" i="7"/>
  <c r="L151" i="7"/>
  <c r="J151" i="7"/>
  <c r="X150" i="7"/>
  <c r="W150" i="7"/>
  <c r="U150" i="7"/>
  <c r="S150" i="7"/>
  <c r="Q150" i="7"/>
  <c r="O150" i="7"/>
  <c r="L150" i="7"/>
  <c r="J150" i="7"/>
  <c r="X149" i="7"/>
  <c r="W149" i="7"/>
  <c r="U149" i="7"/>
  <c r="S149" i="7"/>
  <c r="Q149" i="7"/>
  <c r="O149" i="7"/>
  <c r="L149" i="7"/>
  <c r="J149" i="7"/>
  <c r="X148" i="7"/>
  <c r="W148" i="7"/>
  <c r="U148" i="7"/>
  <c r="S148" i="7"/>
  <c r="Q148" i="7"/>
  <c r="O148" i="7"/>
  <c r="L148" i="7"/>
  <c r="J148" i="7"/>
  <c r="X147" i="7"/>
  <c r="W147" i="7"/>
  <c r="U147" i="7"/>
  <c r="S147" i="7"/>
  <c r="Q147" i="7"/>
  <c r="O147" i="7"/>
  <c r="L147" i="7"/>
  <c r="J147" i="7"/>
  <c r="X146" i="7"/>
  <c r="W146" i="7"/>
  <c r="U146" i="7"/>
  <c r="S146" i="7"/>
  <c r="Q146" i="7"/>
  <c r="O146" i="7"/>
  <c r="L146" i="7"/>
  <c r="J146" i="7"/>
  <c r="X145" i="7"/>
  <c r="W145" i="7"/>
  <c r="U145" i="7"/>
  <c r="S145" i="7"/>
  <c r="Q145" i="7"/>
  <c r="O145" i="7"/>
  <c r="L145" i="7"/>
  <c r="J145" i="7"/>
  <c r="X144" i="7"/>
  <c r="W144" i="7"/>
  <c r="U144" i="7"/>
  <c r="S144" i="7"/>
  <c r="Q144" i="7"/>
  <c r="O144" i="7"/>
  <c r="L144" i="7"/>
  <c r="J144" i="7"/>
  <c r="X143" i="7"/>
  <c r="W143" i="7"/>
  <c r="U143" i="7"/>
  <c r="S143" i="7"/>
  <c r="Q143" i="7"/>
  <c r="O143" i="7"/>
  <c r="L143" i="7"/>
  <c r="J143" i="7"/>
  <c r="X142" i="7"/>
  <c r="W142" i="7"/>
  <c r="U142" i="7"/>
  <c r="S142" i="7"/>
  <c r="Q142" i="7"/>
  <c r="O142" i="7"/>
  <c r="L142" i="7"/>
  <c r="J142" i="7"/>
  <c r="X141" i="7"/>
  <c r="W141" i="7"/>
  <c r="U141" i="7"/>
  <c r="S141" i="7"/>
  <c r="Q141" i="7"/>
  <c r="O141" i="7"/>
  <c r="L141" i="7"/>
  <c r="J141" i="7"/>
  <c r="X140" i="7"/>
  <c r="W140" i="7"/>
  <c r="U140" i="7"/>
  <c r="S140" i="7"/>
  <c r="Q140" i="7"/>
  <c r="O140" i="7"/>
  <c r="L140" i="7"/>
  <c r="J140" i="7"/>
  <c r="X139" i="7"/>
  <c r="W139" i="7"/>
  <c r="U139" i="7"/>
  <c r="S139" i="7"/>
  <c r="Q139" i="7"/>
  <c r="O139" i="7"/>
  <c r="L139" i="7"/>
  <c r="J139" i="7"/>
  <c r="X138" i="7"/>
  <c r="W138" i="7"/>
  <c r="U138" i="7"/>
  <c r="S138" i="7"/>
  <c r="Q138" i="7"/>
  <c r="O138" i="7"/>
  <c r="L138" i="7"/>
  <c r="J138" i="7"/>
  <c r="X137" i="7"/>
  <c r="W137" i="7"/>
  <c r="U137" i="7"/>
  <c r="S137" i="7"/>
  <c r="Q137" i="7"/>
  <c r="O137" i="7"/>
  <c r="L137" i="7"/>
  <c r="J137" i="7"/>
  <c r="X136" i="7"/>
  <c r="W136" i="7"/>
  <c r="U136" i="7"/>
  <c r="S136" i="7"/>
  <c r="Q136" i="7"/>
  <c r="O136" i="7"/>
  <c r="L136" i="7"/>
  <c r="J136" i="7"/>
  <c r="X135" i="7"/>
  <c r="W135" i="7"/>
  <c r="U135" i="7"/>
  <c r="S135" i="7"/>
  <c r="Q135" i="7"/>
  <c r="O135" i="7"/>
  <c r="L135" i="7"/>
  <c r="J135" i="7"/>
  <c r="X134" i="7"/>
  <c r="W134" i="7"/>
  <c r="U134" i="7"/>
  <c r="S134" i="7"/>
  <c r="Q134" i="7"/>
  <c r="O134" i="7"/>
  <c r="L134" i="7"/>
  <c r="J134" i="7"/>
  <c r="X133" i="7"/>
  <c r="W133" i="7"/>
  <c r="U133" i="7"/>
  <c r="S133" i="7"/>
  <c r="Q133" i="7"/>
  <c r="O133" i="7"/>
  <c r="L133" i="7"/>
  <c r="J133" i="7"/>
  <c r="X132" i="7"/>
  <c r="W132" i="7"/>
  <c r="U132" i="7"/>
  <c r="S132" i="7"/>
  <c r="Q132" i="7"/>
  <c r="O132" i="7"/>
  <c r="L132" i="7"/>
  <c r="J132" i="7"/>
  <c r="X131" i="7"/>
  <c r="W131" i="7"/>
  <c r="U131" i="7"/>
  <c r="S131" i="7"/>
  <c r="Q131" i="7"/>
  <c r="O131" i="7"/>
  <c r="L131" i="7"/>
  <c r="J131" i="7"/>
  <c r="X130" i="7"/>
  <c r="W130" i="7"/>
  <c r="U130" i="7"/>
  <c r="S130" i="7"/>
  <c r="Q130" i="7"/>
  <c r="O130" i="7"/>
  <c r="L130" i="7"/>
  <c r="J130" i="7"/>
  <c r="X129" i="7"/>
  <c r="W129" i="7"/>
  <c r="U129" i="7"/>
  <c r="S129" i="7"/>
  <c r="Q129" i="7"/>
  <c r="O129" i="7"/>
  <c r="L129" i="7"/>
  <c r="J129" i="7"/>
  <c r="X128" i="7"/>
  <c r="W128" i="7"/>
  <c r="U128" i="7"/>
  <c r="S128" i="7"/>
  <c r="Q128" i="7"/>
  <c r="O128" i="7"/>
  <c r="L128" i="7"/>
  <c r="J128" i="7"/>
  <c r="X127" i="7"/>
  <c r="W127" i="7"/>
  <c r="U127" i="7"/>
  <c r="S127" i="7"/>
  <c r="Q127" i="7"/>
  <c r="O127" i="7"/>
  <c r="L127" i="7"/>
  <c r="J127" i="7"/>
  <c r="X126" i="7"/>
  <c r="W126" i="7"/>
  <c r="U126" i="7"/>
  <c r="S126" i="7"/>
  <c r="Q126" i="7"/>
  <c r="O126" i="7"/>
  <c r="L126" i="7"/>
  <c r="J126" i="7"/>
  <c r="X125" i="7"/>
  <c r="W125" i="7"/>
  <c r="U125" i="7"/>
  <c r="S125" i="7"/>
  <c r="Q125" i="7"/>
  <c r="O125" i="7"/>
  <c r="L125" i="7"/>
  <c r="J125" i="7"/>
  <c r="X124" i="7"/>
  <c r="W124" i="7"/>
  <c r="U124" i="7"/>
  <c r="S124" i="7"/>
  <c r="Q124" i="7"/>
  <c r="O124" i="7"/>
  <c r="L124" i="7"/>
  <c r="J124" i="7"/>
  <c r="X123" i="7"/>
  <c r="W123" i="7"/>
  <c r="U123" i="7"/>
  <c r="S123" i="7"/>
  <c r="Q123" i="7"/>
  <c r="O123" i="7"/>
  <c r="L123" i="7"/>
  <c r="J123" i="7"/>
  <c r="X122" i="7"/>
  <c r="W122" i="7"/>
  <c r="U122" i="7"/>
  <c r="S122" i="7"/>
  <c r="Q122" i="7"/>
  <c r="O122" i="7"/>
  <c r="L122" i="7"/>
  <c r="J122" i="7"/>
  <c r="X121" i="7"/>
  <c r="W121" i="7"/>
  <c r="U121" i="7"/>
  <c r="S121" i="7"/>
  <c r="Q121" i="7"/>
  <c r="O121" i="7"/>
  <c r="L121" i="7"/>
  <c r="J121" i="7"/>
  <c r="X120" i="7"/>
  <c r="W120" i="7"/>
  <c r="U120" i="7"/>
  <c r="S120" i="7"/>
  <c r="Q120" i="7"/>
  <c r="O120" i="7"/>
  <c r="L120" i="7"/>
  <c r="J120" i="7"/>
  <c r="X119" i="7"/>
  <c r="W119" i="7"/>
  <c r="U119" i="7"/>
  <c r="S119" i="7"/>
  <c r="Q119" i="7"/>
  <c r="O119" i="7"/>
  <c r="L119" i="7"/>
  <c r="J119" i="7"/>
  <c r="X118" i="7"/>
  <c r="W118" i="7"/>
  <c r="U118" i="7"/>
  <c r="S118" i="7"/>
  <c r="Q118" i="7"/>
  <c r="O118" i="7"/>
  <c r="L118" i="7"/>
  <c r="J118" i="7"/>
  <c r="X117" i="7"/>
  <c r="W117" i="7"/>
  <c r="U117" i="7"/>
  <c r="S117" i="7"/>
  <c r="Q117" i="7"/>
  <c r="O117" i="7"/>
  <c r="L117" i="7"/>
  <c r="J117" i="7"/>
  <c r="X116" i="7"/>
  <c r="W116" i="7"/>
  <c r="U116" i="7"/>
  <c r="S116" i="7"/>
  <c r="Q116" i="7"/>
  <c r="O116" i="7"/>
  <c r="L116" i="7"/>
  <c r="J116" i="7"/>
  <c r="X115" i="7"/>
  <c r="W115" i="7"/>
  <c r="U115" i="7"/>
  <c r="S115" i="7"/>
  <c r="Q115" i="7"/>
  <c r="O115" i="7"/>
  <c r="L115" i="7"/>
  <c r="J115" i="7"/>
  <c r="X114" i="7"/>
  <c r="W114" i="7"/>
  <c r="U114" i="7"/>
  <c r="S114" i="7"/>
  <c r="Q114" i="7"/>
  <c r="O114" i="7"/>
  <c r="L114" i="7"/>
  <c r="J114" i="7"/>
  <c r="X113" i="7"/>
  <c r="W113" i="7"/>
  <c r="U113" i="7"/>
  <c r="S113" i="7"/>
  <c r="Q113" i="7"/>
  <c r="O113" i="7"/>
  <c r="L113" i="7"/>
  <c r="J113" i="7"/>
  <c r="X112" i="7"/>
  <c r="W112" i="7"/>
  <c r="U112" i="7"/>
  <c r="S112" i="7"/>
  <c r="Q112" i="7"/>
  <c r="O112" i="7"/>
  <c r="L112" i="7"/>
  <c r="J112" i="7"/>
  <c r="X111" i="7"/>
  <c r="W111" i="7"/>
  <c r="U111" i="7"/>
  <c r="S111" i="7"/>
  <c r="Q111" i="7"/>
  <c r="O111" i="7"/>
  <c r="L111" i="7"/>
  <c r="J111" i="7"/>
  <c r="X110" i="7"/>
  <c r="W110" i="7"/>
  <c r="U110" i="7"/>
  <c r="S110" i="7"/>
  <c r="Q110" i="7"/>
  <c r="O110" i="7"/>
  <c r="L110" i="7"/>
  <c r="J110" i="7"/>
  <c r="X109" i="7"/>
  <c r="W109" i="7"/>
  <c r="U109" i="7"/>
  <c r="S109" i="7"/>
  <c r="Q109" i="7"/>
  <c r="O109" i="7"/>
  <c r="L109" i="7"/>
  <c r="J109" i="7"/>
  <c r="X108" i="7"/>
  <c r="W108" i="7"/>
  <c r="U108" i="7"/>
  <c r="S108" i="7"/>
  <c r="Q108" i="7"/>
  <c r="O108" i="7"/>
  <c r="L108" i="7"/>
  <c r="J108" i="7"/>
  <c r="X107" i="7"/>
  <c r="W107" i="7"/>
  <c r="U107" i="7"/>
  <c r="S107" i="7"/>
  <c r="Q107" i="7"/>
  <c r="O107" i="7"/>
  <c r="L107" i="7"/>
  <c r="J107" i="7"/>
  <c r="X106" i="7"/>
  <c r="W106" i="7"/>
  <c r="U106" i="7"/>
  <c r="S106" i="7"/>
  <c r="Q106" i="7"/>
  <c r="O106" i="7"/>
  <c r="L106" i="7"/>
  <c r="J106" i="7"/>
  <c r="X105" i="7"/>
  <c r="W105" i="7"/>
  <c r="U105" i="7"/>
  <c r="S105" i="7"/>
  <c r="Q105" i="7"/>
  <c r="O105" i="7"/>
  <c r="L105" i="7"/>
  <c r="J105" i="7"/>
  <c r="X104" i="7"/>
  <c r="W104" i="7"/>
  <c r="U104" i="7"/>
  <c r="S104" i="7"/>
  <c r="Q104" i="7"/>
  <c r="O104" i="7"/>
  <c r="L104" i="7"/>
  <c r="J104" i="7"/>
  <c r="X103" i="7"/>
  <c r="W103" i="7"/>
  <c r="U103" i="7"/>
  <c r="S103" i="7"/>
  <c r="Q103" i="7"/>
  <c r="O103" i="7"/>
  <c r="L103" i="7"/>
  <c r="J103" i="7"/>
  <c r="X102" i="7"/>
  <c r="W102" i="7"/>
  <c r="U102" i="7"/>
  <c r="S102" i="7"/>
  <c r="Q102" i="7"/>
  <c r="O102" i="7"/>
  <c r="L102" i="7"/>
  <c r="J102" i="7"/>
  <c r="X101" i="7"/>
  <c r="W101" i="7"/>
  <c r="U101" i="7"/>
  <c r="S101" i="7"/>
  <c r="Q101" i="7"/>
  <c r="O101" i="7"/>
  <c r="L101" i="7"/>
  <c r="J101" i="7"/>
  <c r="X100" i="7"/>
  <c r="W100" i="7"/>
  <c r="U100" i="7"/>
  <c r="S100" i="7"/>
  <c r="Q100" i="7"/>
  <c r="O100" i="7"/>
  <c r="L100" i="7"/>
  <c r="J100" i="7"/>
  <c r="X99" i="7"/>
  <c r="W99" i="7"/>
  <c r="U99" i="7"/>
  <c r="S99" i="7"/>
  <c r="Q99" i="7"/>
  <c r="O99" i="7"/>
  <c r="L99" i="7"/>
  <c r="J99" i="7"/>
  <c r="X98" i="7"/>
  <c r="W98" i="7"/>
  <c r="U98" i="7"/>
  <c r="S98" i="7"/>
  <c r="Q98" i="7"/>
  <c r="O98" i="7"/>
  <c r="L98" i="7"/>
  <c r="J98" i="7"/>
  <c r="X97" i="7"/>
  <c r="W97" i="7"/>
  <c r="U97" i="7"/>
  <c r="S97" i="7"/>
  <c r="Q97" i="7"/>
  <c r="O97" i="7"/>
  <c r="L97" i="7"/>
  <c r="J97" i="7"/>
  <c r="X96" i="7"/>
  <c r="W96" i="7"/>
  <c r="U96" i="7"/>
  <c r="S96" i="7"/>
  <c r="Q96" i="7"/>
  <c r="O96" i="7"/>
  <c r="L96" i="7"/>
  <c r="J96" i="7"/>
  <c r="X95" i="7"/>
  <c r="W95" i="7"/>
  <c r="U95" i="7"/>
  <c r="S95" i="7"/>
  <c r="Q95" i="7"/>
  <c r="O95" i="7"/>
  <c r="L95" i="7"/>
  <c r="J95" i="7"/>
  <c r="X94" i="7"/>
  <c r="W94" i="7"/>
  <c r="U94" i="7"/>
  <c r="S94" i="7"/>
  <c r="Q94" i="7"/>
  <c r="O94" i="7"/>
  <c r="L94" i="7"/>
  <c r="J94" i="7"/>
  <c r="X93" i="7"/>
  <c r="W93" i="7"/>
  <c r="U93" i="7"/>
  <c r="S93" i="7"/>
  <c r="Q93" i="7"/>
  <c r="O93" i="7"/>
  <c r="L93" i="7"/>
  <c r="J93" i="7"/>
  <c r="X92" i="7"/>
  <c r="W92" i="7"/>
  <c r="U92" i="7"/>
  <c r="S92" i="7"/>
  <c r="Q92" i="7"/>
  <c r="O92" i="7"/>
  <c r="L92" i="7"/>
  <c r="J92" i="7"/>
  <c r="X91" i="7"/>
  <c r="W91" i="7"/>
  <c r="U91" i="7"/>
  <c r="S91" i="7"/>
  <c r="Q91" i="7"/>
  <c r="O91" i="7"/>
  <c r="L91" i="7"/>
  <c r="J91" i="7"/>
  <c r="X90" i="7"/>
  <c r="W90" i="7"/>
  <c r="U90" i="7"/>
  <c r="S90" i="7"/>
  <c r="Q90" i="7"/>
  <c r="O90" i="7"/>
  <c r="L90" i="7"/>
  <c r="J90" i="7"/>
  <c r="X89" i="7"/>
  <c r="W89" i="7"/>
  <c r="U89" i="7"/>
  <c r="S89" i="7"/>
  <c r="Q89" i="7"/>
  <c r="O89" i="7"/>
  <c r="L89" i="7"/>
  <c r="J89" i="7"/>
  <c r="X88" i="7"/>
  <c r="W88" i="7"/>
  <c r="U88" i="7"/>
  <c r="S88" i="7"/>
  <c r="Q88" i="7"/>
  <c r="O88" i="7"/>
  <c r="L88" i="7"/>
  <c r="J88" i="7"/>
  <c r="X87" i="7"/>
  <c r="W87" i="7"/>
  <c r="U87" i="7"/>
  <c r="S87" i="7"/>
  <c r="Q87" i="7"/>
  <c r="O87" i="7"/>
  <c r="L87" i="7"/>
  <c r="J87" i="7"/>
  <c r="X86" i="7"/>
  <c r="W86" i="7"/>
  <c r="U86" i="7"/>
  <c r="S86" i="7"/>
  <c r="Q86" i="7"/>
  <c r="O86" i="7"/>
  <c r="L86" i="7"/>
  <c r="J86" i="7"/>
  <c r="X85" i="7"/>
  <c r="W85" i="7"/>
  <c r="U85" i="7"/>
  <c r="S85" i="7"/>
  <c r="Q85" i="7"/>
  <c r="O85" i="7"/>
  <c r="L85" i="7"/>
  <c r="J85" i="7"/>
  <c r="X84" i="7"/>
  <c r="W84" i="7"/>
  <c r="U84" i="7"/>
  <c r="S84" i="7"/>
  <c r="Q84" i="7"/>
  <c r="O84" i="7"/>
  <c r="L84" i="7"/>
  <c r="J84" i="7"/>
  <c r="X83" i="7"/>
  <c r="W83" i="7"/>
  <c r="U83" i="7"/>
  <c r="S83" i="7"/>
  <c r="Q83" i="7"/>
  <c r="O83" i="7"/>
  <c r="L83" i="7"/>
  <c r="J83" i="7"/>
  <c r="X82" i="7"/>
  <c r="W82" i="7"/>
  <c r="U82" i="7"/>
  <c r="S82" i="7"/>
  <c r="Q82" i="7"/>
  <c r="O82" i="7"/>
  <c r="L82" i="7"/>
  <c r="J82" i="7"/>
  <c r="X81" i="7"/>
  <c r="W81" i="7"/>
  <c r="U81" i="7"/>
  <c r="S81" i="7"/>
  <c r="Q81" i="7"/>
  <c r="O81" i="7"/>
  <c r="L81" i="7"/>
  <c r="J81" i="7"/>
  <c r="X80" i="7"/>
  <c r="W80" i="7"/>
  <c r="U80" i="7"/>
  <c r="S80" i="7"/>
  <c r="Q80" i="7"/>
  <c r="O80" i="7"/>
  <c r="L80" i="7"/>
  <c r="J80" i="7"/>
  <c r="X79" i="7"/>
  <c r="W79" i="7"/>
  <c r="U79" i="7"/>
  <c r="S79" i="7"/>
  <c r="Q79" i="7"/>
  <c r="O79" i="7"/>
  <c r="L79" i="7"/>
  <c r="J79" i="7"/>
  <c r="X78" i="7"/>
  <c r="W78" i="7"/>
  <c r="U78" i="7"/>
  <c r="S78" i="7"/>
  <c r="Q78" i="7"/>
  <c r="O78" i="7"/>
  <c r="L78" i="7"/>
  <c r="J78" i="7"/>
  <c r="X77" i="7"/>
  <c r="W77" i="7"/>
  <c r="U77" i="7"/>
  <c r="S77" i="7"/>
  <c r="Q77" i="7"/>
  <c r="O77" i="7"/>
  <c r="L77" i="7"/>
  <c r="J77" i="7"/>
  <c r="X76" i="7"/>
  <c r="W76" i="7"/>
  <c r="U76" i="7"/>
  <c r="S76" i="7"/>
  <c r="Q76" i="7"/>
  <c r="O76" i="7"/>
  <c r="L76" i="7"/>
  <c r="J76" i="7"/>
  <c r="X75" i="7"/>
  <c r="W75" i="7"/>
  <c r="U75" i="7"/>
  <c r="S75" i="7"/>
  <c r="Q75" i="7"/>
  <c r="O75" i="7"/>
  <c r="L75" i="7"/>
  <c r="J75" i="7"/>
  <c r="X74" i="7"/>
  <c r="W74" i="7"/>
  <c r="U74" i="7"/>
  <c r="S74" i="7"/>
  <c r="Q74" i="7"/>
  <c r="O74" i="7"/>
  <c r="L74" i="7"/>
  <c r="J74" i="7"/>
  <c r="X73" i="7"/>
  <c r="W73" i="7"/>
  <c r="U73" i="7"/>
  <c r="S73" i="7"/>
  <c r="Q73" i="7"/>
  <c r="O73" i="7"/>
  <c r="L73" i="7"/>
  <c r="J73" i="7"/>
  <c r="X72" i="7"/>
  <c r="W72" i="7"/>
  <c r="U72" i="7"/>
  <c r="S72" i="7"/>
  <c r="Q72" i="7"/>
  <c r="O72" i="7"/>
  <c r="L72" i="7"/>
  <c r="J72" i="7"/>
  <c r="X71" i="7"/>
  <c r="W71" i="7"/>
  <c r="U71" i="7"/>
  <c r="S71" i="7"/>
  <c r="Q71" i="7"/>
  <c r="O71" i="7"/>
  <c r="L71" i="7"/>
  <c r="J71" i="7"/>
  <c r="X70" i="7"/>
  <c r="W70" i="7"/>
  <c r="U70" i="7"/>
  <c r="S70" i="7"/>
  <c r="Q70" i="7"/>
  <c r="O70" i="7"/>
  <c r="L70" i="7"/>
  <c r="J70" i="7"/>
  <c r="X69" i="7"/>
  <c r="W69" i="7"/>
  <c r="U69" i="7"/>
  <c r="S69" i="7"/>
  <c r="Q69" i="7"/>
  <c r="O69" i="7"/>
  <c r="L69" i="7"/>
  <c r="J69" i="7"/>
  <c r="X68" i="7"/>
  <c r="W68" i="7"/>
  <c r="U68" i="7"/>
  <c r="S68" i="7"/>
  <c r="Q68" i="7"/>
  <c r="O68" i="7"/>
  <c r="L68" i="7"/>
  <c r="J68" i="7"/>
  <c r="X67" i="7"/>
  <c r="W67" i="7"/>
  <c r="U67" i="7"/>
  <c r="S67" i="7"/>
  <c r="Q67" i="7"/>
  <c r="O67" i="7"/>
  <c r="L67" i="7"/>
  <c r="J67" i="7"/>
  <c r="X66" i="7"/>
  <c r="W66" i="7"/>
  <c r="U66" i="7"/>
  <c r="S66" i="7"/>
  <c r="Q66" i="7"/>
  <c r="O66" i="7"/>
  <c r="L66" i="7"/>
  <c r="J66" i="7"/>
  <c r="X65" i="7"/>
  <c r="W65" i="7"/>
  <c r="U65" i="7"/>
  <c r="S65" i="7"/>
  <c r="Q65" i="7"/>
  <c r="O65" i="7"/>
  <c r="L65" i="7"/>
  <c r="J65" i="7"/>
  <c r="X64" i="7"/>
  <c r="W64" i="7"/>
  <c r="U64" i="7"/>
  <c r="S64" i="7"/>
  <c r="Q64" i="7"/>
  <c r="O64" i="7"/>
  <c r="L64" i="7"/>
  <c r="J64" i="7"/>
  <c r="Z64" i="7" s="1"/>
  <c r="K41" i="4"/>
  <c r="K40" i="4"/>
  <c r="K39" i="4"/>
  <c r="K38" i="4"/>
  <c r="K37" i="4"/>
  <c r="K36" i="4"/>
  <c r="K35" i="4"/>
  <c r="K34" i="4"/>
  <c r="K33" i="4"/>
  <c r="E47" i="4"/>
  <c r="J47" i="4" s="1"/>
  <c r="L47" i="4" s="1"/>
  <c r="D47" i="4"/>
  <c r="I47" i="4" s="1"/>
  <c r="E46" i="4"/>
  <c r="J46" i="4" s="1"/>
  <c r="D46" i="4"/>
  <c r="I46" i="4" s="1"/>
  <c r="E45" i="4"/>
  <c r="J45" i="4" s="1"/>
  <c r="D45" i="4"/>
  <c r="I45" i="4" s="1"/>
  <c r="L45" i="4" s="1"/>
  <c r="E44" i="4"/>
  <c r="J44" i="4" s="1"/>
  <c r="D44" i="4"/>
  <c r="I44" i="4" s="1"/>
  <c r="L44" i="4" s="1"/>
  <c r="E43" i="4"/>
  <c r="J43" i="4" s="1"/>
  <c r="D43" i="4"/>
  <c r="I43" i="4" s="1"/>
  <c r="E42" i="4"/>
  <c r="J42" i="4" s="1"/>
  <c r="D42" i="4"/>
  <c r="I42" i="4" s="1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K32" i="4"/>
  <c r="K31" i="4"/>
  <c r="K30" i="4"/>
  <c r="K29" i="4"/>
  <c r="K28" i="4"/>
  <c r="K27" i="4"/>
  <c r="K23" i="4"/>
  <c r="K22" i="4"/>
  <c r="K21" i="4"/>
  <c r="K20" i="4"/>
  <c r="K19" i="4"/>
  <c r="K18" i="4"/>
  <c r="K17" i="4"/>
  <c r="K16" i="4"/>
  <c r="K14" i="4"/>
  <c r="K13" i="4"/>
  <c r="K12" i="4"/>
  <c r="K11" i="4"/>
  <c r="K10" i="4"/>
  <c r="K9" i="4"/>
  <c r="D32" i="4"/>
  <c r="D31" i="4"/>
  <c r="D30" i="4"/>
  <c r="D29" i="4"/>
  <c r="E32" i="4"/>
  <c r="E31" i="4"/>
  <c r="E30" i="4"/>
  <c r="E29" i="4"/>
  <c r="E28" i="4"/>
  <c r="E27" i="4"/>
  <c r="E26" i="4"/>
  <c r="J26" i="4" s="1"/>
  <c r="E25" i="4"/>
  <c r="J25" i="4" s="1"/>
  <c r="E24" i="4"/>
  <c r="J24" i="4" s="1"/>
  <c r="E23" i="4"/>
  <c r="E22" i="4"/>
  <c r="E21" i="4"/>
  <c r="E20" i="4"/>
  <c r="E19" i="4"/>
  <c r="E18" i="4"/>
  <c r="E17" i="4"/>
  <c r="E16" i="4"/>
  <c r="E14" i="4"/>
  <c r="E13" i="4"/>
  <c r="E12" i="4"/>
  <c r="E11" i="4"/>
  <c r="E10" i="4"/>
  <c r="E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4" i="4"/>
  <c r="D13" i="4"/>
  <c r="D12" i="4"/>
  <c r="D11" i="4"/>
  <c r="D10" i="4"/>
  <c r="D9" i="4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9" i="17"/>
  <c r="E168" i="17"/>
  <c r="E167" i="17"/>
  <c r="E166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52" i="17"/>
  <c r="E151" i="17"/>
  <c r="E150" i="17"/>
  <c r="E149" i="17"/>
  <c r="E148" i="17"/>
  <c r="E147" i="17"/>
  <c r="E146" i="17"/>
  <c r="E145" i="17"/>
  <c r="E144" i="17"/>
  <c r="E143" i="17"/>
  <c r="E142" i="17"/>
  <c r="E141" i="17"/>
  <c r="E140" i="17"/>
  <c r="E139" i="17"/>
  <c r="E138" i="17"/>
  <c r="E137" i="17"/>
  <c r="E136" i="17"/>
  <c r="E135" i="17"/>
  <c r="E134" i="17"/>
  <c r="E133" i="17"/>
  <c r="E132" i="17"/>
  <c r="E131" i="17"/>
  <c r="E130" i="17"/>
  <c r="E129" i="17"/>
  <c r="E128" i="17"/>
  <c r="E127" i="17"/>
  <c r="E126" i="17"/>
  <c r="E125" i="17"/>
  <c r="E124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111" i="17"/>
  <c r="E110" i="17"/>
  <c r="E109" i="17"/>
  <c r="E108" i="17"/>
  <c r="E107" i="17"/>
  <c r="E106" i="17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72" i="17"/>
  <c r="E71" i="17"/>
  <c r="E70" i="17"/>
  <c r="E69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L46" i="4" l="1"/>
  <c r="I26" i="4"/>
  <c r="L26" i="4"/>
  <c r="M26" i="4" s="1"/>
  <c r="I25" i="4"/>
  <c r="L25" i="4"/>
  <c r="M25" i="4" s="1"/>
  <c r="I24" i="4"/>
  <c r="L24" i="4"/>
  <c r="M24" i="4" s="1"/>
  <c r="L42" i="4"/>
  <c r="L43" i="4"/>
  <c r="N46" i="20"/>
  <c r="N56" i="20"/>
  <c r="N61" i="20"/>
  <c r="N64" i="20"/>
  <c r="N54" i="20"/>
  <c r="N62" i="20"/>
  <c r="N55" i="20"/>
  <c r="N63" i="20"/>
  <c r="N57" i="20"/>
  <c r="N65" i="20"/>
  <c r="N58" i="20"/>
  <c r="N66" i="20"/>
  <c r="N59" i="20"/>
  <c r="N67" i="20"/>
  <c r="N60" i="20"/>
  <c r="N68" i="20"/>
  <c r="N5" i="20"/>
  <c r="N14" i="20"/>
  <c r="N22" i="20"/>
  <c r="N30" i="20"/>
  <c r="N38" i="20"/>
  <c r="N13" i="20"/>
  <c r="N21" i="20"/>
  <c r="N29" i="20"/>
  <c r="N37" i="20"/>
  <c r="N45" i="20"/>
  <c r="N53" i="20"/>
  <c r="N6" i="20"/>
  <c r="N15" i="20"/>
  <c r="N23" i="20"/>
  <c r="N31" i="20"/>
  <c r="N39" i="20"/>
  <c r="N47" i="20"/>
  <c r="N8" i="20"/>
  <c r="N16" i="20"/>
  <c r="N24" i="20"/>
  <c r="N32" i="20"/>
  <c r="N40" i="20"/>
  <c r="N48" i="20"/>
  <c r="N9" i="20"/>
  <c r="N17" i="20"/>
  <c r="N25" i="20"/>
  <c r="N33" i="20"/>
  <c r="N41" i="20"/>
  <c r="N49" i="20"/>
  <c r="N10" i="20"/>
  <c r="N18" i="20"/>
  <c r="N26" i="20"/>
  <c r="N34" i="20"/>
  <c r="N42" i="20"/>
  <c r="N50" i="20"/>
  <c r="N11" i="20"/>
  <c r="N19" i="20"/>
  <c r="N27" i="20"/>
  <c r="N35" i="20"/>
  <c r="N43" i="20"/>
  <c r="N51" i="20"/>
  <c r="N12" i="20"/>
  <c r="N20" i="20"/>
  <c r="N28" i="20"/>
  <c r="N36" i="20"/>
  <c r="N44" i="20"/>
  <c r="N52" i="20"/>
  <c r="N7" i="20"/>
  <c r="A63" i="7" l="1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J15" i="4"/>
  <c r="J41" i="4" l="1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3" i="4"/>
  <c r="J22" i="4"/>
  <c r="J21" i="4"/>
  <c r="J20" i="4"/>
  <c r="J19" i="4"/>
  <c r="J18" i="4"/>
  <c r="J17" i="4"/>
  <c r="J16" i="4"/>
  <c r="J14" i="4"/>
  <c r="J13" i="4"/>
  <c r="J12" i="4"/>
  <c r="J11" i="4"/>
  <c r="J10" i="4"/>
  <c r="J9" i="4"/>
  <c r="X63" i="7"/>
  <c r="W63" i="7"/>
  <c r="X62" i="7"/>
  <c r="W62" i="7"/>
  <c r="W61" i="7"/>
  <c r="X61" i="7"/>
  <c r="X60" i="7"/>
  <c r="W60" i="7"/>
  <c r="X59" i="7"/>
  <c r="W59" i="7"/>
  <c r="X58" i="7"/>
  <c r="W58" i="7"/>
  <c r="X57" i="7"/>
  <c r="W57" i="7"/>
  <c r="X56" i="7"/>
  <c r="W56" i="7"/>
  <c r="X55" i="7"/>
  <c r="W55" i="7"/>
  <c r="X54" i="7"/>
  <c r="W54" i="7"/>
  <c r="X53" i="7"/>
  <c r="W53" i="7"/>
  <c r="W52" i="7"/>
  <c r="X52" i="7"/>
  <c r="W51" i="7"/>
  <c r="X51" i="7"/>
  <c r="W50" i="7"/>
  <c r="X50" i="7"/>
  <c r="W49" i="7"/>
  <c r="X49" i="7"/>
  <c r="X48" i="7"/>
  <c r="W48" i="7"/>
  <c r="X47" i="7"/>
  <c r="W47" i="7"/>
  <c r="W46" i="7"/>
  <c r="X46" i="7"/>
  <c r="W45" i="7"/>
  <c r="X45" i="7"/>
  <c r="X44" i="7"/>
  <c r="W44" i="7"/>
  <c r="W43" i="7"/>
  <c r="X43" i="7"/>
  <c r="W42" i="7"/>
  <c r="X42" i="7"/>
  <c r="W41" i="7"/>
  <c r="X41" i="7"/>
  <c r="W40" i="7"/>
  <c r="X40" i="7"/>
  <c r="X39" i="7"/>
  <c r="W39" i="7"/>
  <c r="W38" i="7"/>
  <c r="X38" i="7"/>
  <c r="X37" i="7"/>
  <c r="W37" i="7"/>
  <c r="W36" i="7"/>
  <c r="X36" i="7"/>
  <c r="W35" i="7"/>
  <c r="X35" i="7"/>
  <c r="X34" i="7"/>
  <c r="W34" i="7"/>
  <c r="X33" i="7"/>
  <c r="W33" i="7"/>
  <c r="X32" i="7"/>
  <c r="W32" i="7"/>
  <c r="W31" i="7"/>
  <c r="X31" i="7"/>
  <c r="W30" i="7"/>
  <c r="X30" i="7"/>
  <c r="W29" i="7"/>
  <c r="X29" i="7"/>
  <c r="W28" i="7"/>
  <c r="X28" i="7"/>
  <c r="X27" i="7"/>
  <c r="W27" i="7"/>
  <c r="X26" i="7"/>
  <c r="W26" i="7"/>
  <c r="X25" i="7"/>
  <c r="W25" i="7"/>
  <c r="W24" i="7"/>
  <c r="X24" i="7"/>
  <c r="W23" i="7"/>
  <c r="X23" i="7"/>
  <c r="X22" i="7"/>
  <c r="W22" i="7"/>
  <c r="X21" i="7"/>
  <c r="W21" i="7"/>
  <c r="X20" i="7"/>
  <c r="W20" i="7"/>
  <c r="X19" i="7"/>
  <c r="W19" i="7"/>
  <c r="X18" i="7"/>
  <c r="W18" i="7"/>
  <c r="W17" i="7"/>
  <c r="X17" i="7"/>
  <c r="X16" i="7"/>
  <c r="W16" i="7"/>
  <c r="W15" i="7"/>
  <c r="X15" i="7"/>
  <c r="W14" i="7"/>
  <c r="X14" i="7"/>
  <c r="X13" i="7"/>
  <c r="W13" i="7"/>
  <c r="X12" i="7"/>
  <c r="W12" i="7"/>
  <c r="M25" i="17"/>
  <c r="M184" i="17"/>
  <c r="M183" i="17"/>
  <c r="M182" i="17"/>
  <c r="M181" i="17"/>
  <c r="M180" i="17"/>
  <c r="M179" i="17"/>
  <c r="M178" i="17"/>
  <c r="M177" i="17"/>
  <c r="M176" i="17"/>
  <c r="M175" i="17"/>
  <c r="M174" i="17"/>
  <c r="M173" i="17"/>
  <c r="M172" i="17"/>
  <c r="M171" i="17"/>
  <c r="M170" i="17"/>
  <c r="M169" i="17"/>
  <c r="M168" i="17"/>
  <c r="M167" i="17"/>
  <c r="M166" i="17"/>
  <c r="M165" i="17"/>
  <c r="M164" i="17"/>
  <c r="M163" i="17"/>
  <c r="M162" i="17"/>
  <c r="M161" i="17"/>
  <c r="M160" i="17"/>
  <c r="M159" i="17"/>
  <c r="M158" i="17"/>
  <c r="M157" i="17"/>
  <c r="M156" i="17"/>
  <c r="M155" i="17"/>
  <c r="M154" i="17"/>
  <c r="M153" i="17"/>
  <c r="M152" i="17"/>
  <c r="M151" i="17"/>
  <c r="M150" i="17"/>
  <c r="M149" i="17"/>
  <c r="M148" i="17"/>
  <c r="M147" i="17"/>
  <c r="M146" i="17"/>
  <c r="M145" i="17"/>
  <c r="M144" i="17"/>
  <c r="M143" i="17"/>
  <c r="M142" i="17"/>
  <c r="M141" i="17"/>
  <c r="M140" i="17"/>
  <c r="M139" i="17"/>
  <c r="M138" i="17"/>
  <c r="M137" i="17"/>
  <c r="M136" i="17"/>
  <c r="M135" i="17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88" i="17"/>
  <c r="M87" i="17"/>
  <c r="M86" i="17"/>
  <c r="M85" i="17"/>
  <c r="M84" i="17"/>
  <c r="M83" i="17"/>
  <c r="M82" i="17"/>
  <c r="M81" i="17"/>
  <c r="M80" i="17"/>
  <c r="M79" i="17"/>
  <c r="M78" i="17"/>
  <c r="M77" i="17"/>
  <c r="M76" i="17"/>
  <c r="M75" i="17"/>
  <c r="M74" i="17"/>
  <c r="M73" i="17"/>
  <c r="M72" i="17"/>
  <c r="M71" i="17"/>
  <c r="M70" i="17"/>
  <c r="M69" i="17"/>
  <c r="M68" i="17"/>
  <c r="M67" i="17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A28" i="4" l="1"/>
  <c r="A27" i="4"/>
  <c r="A26" i="4"/>
  <c r="A25" i="4"/>
  <c r="A24" i="4"/>
  <c r="A23" i="4"/>
  <c r="A22" i="4"/>
  <c r="A21" i="4"/>
  <c r="A20" i="4"/>
  <c r="A19" i="4"/>
  <c r="A18" i="4"/>
  <c r="A17" i="4"/>
  <c r="A16" i="4"/>
  <c r="A14" i="4"/>
  <c r="A13" i="4"/>
  <c r="A12" i="4"/>
  <c r="A11" i="4"/>
  <c r="A10" i="4"/>
  <c r="A9" i="4"/>
  <c r="M19" i="20" l="1"/>
  <c r="M12" i="20"/>
  <c r="M32" i="20"/>
  <c r="M11" i="20"/>
  <c r="M62" i="20"/>
  <c r="M47" i="20"/>
  <c r="M25" i="20"/>
  <c r="M10" i="20"/>
  <c r="M18" i="20"/>
  <c r="M26" i="20"/>
  <c r="M49" i="20"/>
  <c r="M37" i="20"/>
  <c r="M57" i="20"/>
  <c r="M65" i="20"/>
  <c r="M24" i="20"/>
  <c r="M39" i="20"/>
  <c r="M27" i="20"/>
  <c r="M20" i="20"/>
  <c r="M13" i="20"/>
  <c r="M6" i="20"/>
  <c r="M40" i="20"/>
  <c r="M55" i="20"/>
  <c r="M33" i="20"/>
  <c r="M41" i="20"/>
  <c r="M64" i="20"/>
  <c r="M44" i="20"/>
  <c r="M30" i="20"/>
  <c r="M42" i="20"/>
  <c r="M46" i="20"/>
  <c r="M68" i="20"/>
  <c r="M56" i="20"/>
  <c r="M35" i="20"/>
  <c r="M28" i="20"/>
  <c r="M21" i="20"/>
  <c r="M14" i="20"/>
  <c r="M5" i="20"/>
  <c r="M63" i="20"/>
  <c r="M51" i="20"/>
  <c r="M15" i="20"/>
  <c r="M23" i="20"/>
  <c r="M31" i="20"/>
  <c r="M54" i="20"/>
  <c r="M43" i="20"/>
  <c r="M36" i="20"/>
  <c r="M29" i="20"/>
  <c r="M22" i="20"/>
  <c r="M7" i="20"/>
  <c r="M34" i="20"/>
  <c r="M16" i="20"/>
  <c r="M48" i="20"/>
  <c r="M9" i="20"/>
  <c r="M61" i="20"/>
  <c r="M59" i="20"/>
  <c r="M52" i="20"/>
  <c r="M45" i="20"/>
  <c r="M38" i="20"/>
  <c r="M50" i="20"/>
  <c r="M8" i="20"/>
  <c r="M66" i="20"/>
  <c r="M67" i="20"/>
  <c r="M60" i="20"/>
  <c r="M53" i="20"/>
  <c r="M58" i="20"/>
  <c r="M17" i="20"/>
  <c r="L184" i="17"/>
  <c r="L176" i="17"/>
  <c r="L168" i="17"/>
  <c r="L160" i="17"/>
  <c r="L152" i="17"/>
  <c r="L144" i="17"/>
  <c r="L136" i="17"/>
  <c r="L128" i="17"/>
  <c r="L120" i="17"/>
  <c r="L112" i="17"/>
  <c r="L104" i="17"/>
  <c r="L96" i="17"/>
  <c r="L88" i="17"/>
  <c r="L80" i="17"/>
  <c r="L72" i="17"/>
  <c r="L64" i="17"/>
  <c r="L56" i="17"/>
  <c r="L48" i="17"/>
  <c r="L40" i="17"/>
  <c r="L32" i="17"/>
  <c r="L24" i="17"/>
  <c r="L16" i="17"/>
  <c r="L8" i="17"/>
  <c r="L55" i="17"/>
  <c r="L39" i="17"/>
  <c r="L23" i="17"/>
  <c r="L7" i="17"/>
  <c r="L73" i="17"/>
  <c r="L17" i="17"/>
  <c r="L183" i="17"/>
  <c r="L175" i="17"/>
  <c r="L167" i="17"/>
  <c r="L159" i="17"/>
  <c r="L151" i="17"/>
  <c r="L143" i="17"/>
  <c r="L135" i="17"/>
  <c r="L127" i="17"/>
  <c r="L119" i="17"/>
  <c r="L111" i="17"/>
  <c r="L103" i="17"/>
  <c r="L95" i="17"/>
  <c r="L87" i="17"/>
  <c r="L79" i="17"/>
  <c r="L71" i="17"/>
  <c r="L63" i="17"/>
  <c r="L47" i="17"/>
  <c r="L31" i="17"/>
  <c r="L15" i="17"/>
  <c r="L81" i="17"/>
  <c r="L33" i="17"/>
  <c r="L182" i="17"/>
  <c r="L174" i="17"/>
  <c r="L166" i="17"/>
  <c r="L158" i="17"/>
  <c r="L150" i="17"/>
  <c r="L142" i="17"/>
  <c r="L134" i="17"/>
  <c r="L126" i="17"/>
  <c r="L118" i="17"/>
  <c r="L110" i="17"/>
  <c r="L102" i="17"/>
  <c r="L94" i="17"/>
  <c r="L86" i="17"/>
  <c r="L78" i="17"/>
  <c r="L70" i="17"/>
  <c r="L62" i="17"/>
  <c r="L54" i="17"/>
  <c r="L46" i="17"/>
  <c r="L38" i="17"/>
  <c r="L30" i="17"/>
  <c r="L22" i="17"/>
  <c r="L14" i="17"/>
  <c r="L6" i="17"/>
  <c r="L53" i="17"/>
  <c r="L37" i="17"/>
  <c r="L21" i="17"/>
  <c r="L13" i="17"/>
  <c r="L97" i="17"/>
  <c r="L181" i="17"/>
  <c r="L173" i="17"/>
  <c r="L165" i="17"/>
  <c r="L157" i="17"/>
  <c r="L149" i="17"/>
  <c r="L141" i="17"/>
  <c r="L133" i="17"/>
  <c r="L125" i="17"/>
  <c r="L117" i="17"/>
  <c r="L109" i="17"/>
  <c r="L101" i="17"/>
  <c r="L93" i="17"/>
  <c r="L85" i="17"/>
  <c r="L77" i="17"/>
  <c r="L69" i="17"/>
  <c r="L61" i="17"/>
  <c r="L45" i="17"/>
  <c r="L29" i="17"/>
  <c r="L5" i="17"/>
  <c r="L89" i="17"/>
  <c r="L41" i="17"/>
  <c r="L180" i="17"/>
  <c r="L172" i="17"/>
  <c r="L164" i="17"/>
  <c r="L156" i="17"/>
  <c r="L148" i="17"/>
  <c r="L140" i="17"/>
  <c r="L132" i="17"/>
  <c r="L124" i="17"/>
  <c r="L116" i="17"/>
  <c r="L108" i="17"/>
  <c r="L100" i="17"/>
  <c r="L92" i="17"/>
  <c r="L84" i="17"/>
  <c r="L76" i="17"/>
  <c r="L68" i="17"/>
  <c r="L60" i="17"/>
  <c r="L52" i="17"/>
  <c r="L44" i="17"/>
  <c r="L36" i="17"/>
  <c r="L28" i="17"/>
  <c r="L20" i="17"/>
  <c r="L12" i="17"/>
  <c r="L4" i="17"/>
  <c r="L3" i="17"/>
  <c r="L161" i="17"/>
  <c r="L137" i="17"/>
  <c r="L113" i="17"/>
  <c r="L57" i="17"/>
  <c r="L49" i="17"/>
  <c r="L179" i="17"/>
  <c r="L171" i="17"/>
  <c r="L163" i="17"/>
  <c r="L155" i="17"/>
  <c r="L147" i="17"/>
  <c r="L139" i="17"/>
  <c r="L131" i="17"/>
  <c r="L123" i="17"/>
  <c r="L115" i="17"/>
  <c r="L107" i="17"/>
  <c r="L99" i="17"/>
  <c r="L91" i="17"/>
  <c r="L83" i="17"/>
  <c r="L75" i="17"/>
  <c r="L67" i="17"/>
  <c r="L59" i="17"/>
  <c r="L51" i="17"/>
  <c r="L43" i="17"/>
  <c r="L35" i="17"/>
  <c r="L27" i="17"/>
  <c r="L19" i="17"/>
  <c r="L11" i="17"/>
  <c r="L153" i="17"/>
  <c r="L121" i="17"/>
  <c r="L25" i="17"/>
  <c r="L178" i="17"/>
  <c r="L170" i="17"/>
  <c r="L162" i="17"/>
  <c r="L154" i="17"/>
  <c r="L146" i="17"/>
  <c r="L138" i="17"/>
  <c r="L130" i="17"/>
  <c r="L122" i="17"/>
  <c r="L114" i="17"/>
  <c r="L106" i="17"/>
  <c r="L98" i="17"/>
  <c r="L90" i="17"/>
  <c r="L82" i="17"/>
  <c r="L74" i="17"/>
  <c r="L66" i="17"/>
  <c r="L58" i="17"/>
  <c r="L50" i="17"/>
  <c r="L42" i="17"/>
  <c r="L34" i="17"/>
  <c r="L26" i="17"/>
  <c r="L18" i="17"/>
  <c r="L10" i="17"/>
  <c r="L177" i="17"/>
  <c r="L169" i="17"/>
  <c r="L145" i="17"/>
  <c r="L129" i="17"/>
  <c r="L105" i="17"/>
  <c r="L65" i="17"/>
  <c r="L9" i="17"/>
  <c r="A11" i="7" l="1"/>
  <c r="I15" i="4" l="1"/>
  <c r="L15" i="4" s="1"/>
  <c r="M15" i="4" s="1"/>
  <c r="M42" i="4"/>
  <c r="I23" i="4"/>
  <c r="I16" i="4"/>
  <c r="I11" i="4"/>
  <c r="I31" i="4"/>
  <c r="L31" i="4" s="1"/>
  <c r="M31" i="4" s="1"/>
  <c r="I17" i="4"/>
  <c r="I13" i="4"/>
  <c r="I12" i="4"/>
  <c r="I20" i="4"/>
  <c r="I22" i="4"/>
  <c r="I18" i="4"/>
  <c r="I10" i="4"/>
  <c r="I28" i="4"/>
  <c r="I21" i="4"/>
  <c r="I27" i="4"/>
  <c r="I19" i="4"/>
  <c r="I14" i="4"/>
  <c r="I9" i="4"/>
  <c r="I33" i="4"/>
  <c r="L33" i="4" s="1"/>
  <c r="M33" i="4" s="1"/>
  <c r="I32" i="4"/>
  <c r="L32" i="4" s="1"/>
  <c r="M32" i="4" s="1"/>
  <c r="I30" i="4"/>
  <c r="L30" i="4" s="1"/>
  <c r="M30" i="4" s="1"/>
  <c r="I29" i="4"/>
  <c r="L29" i="4" s="1"/>
  <c r="M29" i="4" s="1"/>
  <c r="M46" i="4"/>
  <c r="I38" i="4"/>
  <c r="L38" i="4" s="1"/>
  <c r="M38" i="4" s="1"/>
  <c r="I36" i="4"/>
  <c r="L36" i="4" s="1"/>
  <c r="M36" i="4" s="1"/>
  <c r="M45" i="4"/>
  <c r="I41" i="4"/>
  <c r="L41" i="4" s="1"/>
  <c r="M41" i="4" s="1"/>
  <c r="I34" i="4"/>
  <c r="L34" i="4" s="1"/>
  <c r="M34" i="4" s="1"/>
  <c r="M44" i="4"/>
  <c r="I40" i="4"/>
  <c r="L40" i="4" s="1"/>
  <c r="M40" i="4" s="1"/>
  <c r="I37" i="4"/>
  <c r="L37" i="4" s="1"/>
  <c r="M37" i="4" s="1"/>
  <c r="M47" i="4"/>
  <c r="M43" i="4"/>
  <c r="I39" i="4"/>
  <c r="L39" i="4" s="1"/>
  <c r="M39" i="4" s="1"/>
  <c r="I35" i="4"/>
  <c r="L35" i="4" s="1"/>
  <c r="M35" i="4" s="1"/>
  <c r="W11" i="7"/>
  <c r="X11" i="7"/>
  <c r="Z63" i="7"/>
  <c r="Z56" i="7"/>
  <c r="Z53" i="7"/>
  <c r="Z51" i="7"/>
  <c r="Z28" i="7"/>
  <c r="Z24" i="7"/>
  <c r="Z13" i="7"/>
  <c r="B214" i="8" l="1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B204" i="8" l="1"/>
  <c r="B205" i="8"/>
  <c r="B206" i="8"/>
  <c r="B207" i="8"/>
  <c r="B208" i="8"/>
  <c r="B209" i="8"/>
  <c r="B210" i="8"/>
  <c r="B211" i="8"/>
  <c r="B212" i="8"/>
  <c r="B213" i="8"/>
  <c r="A204" i="8"/>
  <c r="A205" i="8"/>
  <c r="A206" i="8"/>
  <c r="A207" i="8"/>
  <c r="A208" i="8"/>
  <c r="A209" i="8"/>
  <c r="A210" i="8"/>
  <c r="A211" i="8"/>
  <c r="A212" i="8"/>
  <c r="A213" i="8"/>
  <c r="B189" i="8" l="1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33" i="10" l="1"/>
  <c r="B184" i="8"/>
  <c r="B185" i="8"/>
  <c r="B186" i="8"/>
  <c r="B187" i="8"/>
  <c r="B188" i="8"/>
  <c r="A184" i="8"/>
  <c r="A185" i="8"/>
  <c r="A186" i="8"/>
  <c r="A187" i="8"/>
  <c r="A18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B158" i="8"/>
  <c r="A158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1" i="10" l="1"/>
  <c r="B14" i="8" l="1"/>
  <c r="A14" i="8"/>
  <c r="A9" i="8" l="1"/>
  <c r="A100" i="10" l="1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0" i="10"/>
  <c r="A9" i="10"/>
  <c r="B140" i="8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 l="1"/>
  <c r="A19" i="8"/>
  <c r="B18" i="8"/>
  <c r="A18" i="8"/>
  <c r="B17" i="8"/>
  <c r="A17" i="8"/>
  <c r="B16" i="8"/>
  <c r="A16" i="8"/>
  <c r="B15" i="8"/>
  <c r="A15" i="8"/>
  <c r="B13" i="8"/>
  <c r="A13" i="8"/>
  <c r="B12" i="8"/>
  <c r="A12" i="8"/>
  <c r="B11" i="8"/>
  <c r="A11" i="8"/>
  <c r="B10" i="8"/>
  <c r="A10" i="8"/>
  <c r="B9" i="8"/>
  <c r="V687" i="7" l="1"/>
  <c r="T687" i="7"/>
  <c r="R687" i="7"/>
  <c r="P687" i="7"/>
  <c r="N687" i="7"/>
  <c r="M687" i="7"/>
  <c r="K687" i="7"/>
  <c r="V686" i="7"/>
  <c r="T686" i="7"/>
  <c r="R686" i="7"/>
  <c r="P686" i="7"/>
  <c r="N686" i="7"/>
  <c r="M686" i="7"/>
  <c r="K686" i="7"/>
  <c r="V685" i="7"/>
  <c r="T685" i="7"/>
  <c r="R685" i="7"/>
  <c r="P685" i="7"/>
  <c r="N685" i="7"/>
  <c r="M685" i="7"/>
  <c r="K685" i="7"/>
  <c r="V684" i="7"/>
  <c r="T684" i="7"/>
  <c r="R684" i="7"/>
  <c r="P684" i="7"/>
  <c r="N684" i="7"/>
  <c r="M684" i="7"/>
  <c r="K684" i="7"/>
  <c r="V683" i="7"/>
  <c r="T683" i="7"/>
  <c r="R683" i="7"/>
  <c r="P683" i="7"/>
  <c r="N683" i="7"/>
  <c r="M683" i="7"/>
  <c r="K683" i="7"/>
  <c r="V682" i="7"/>
  <c r="T682" i="7"/>
  <c r="R682" i="7"/>
  <c r="P682" i="7"/>
  <c r="N682" i="7"/>
  <c r="M682" i="7"/>
  <c r="K682" i="7"/>
  <c r="Z682" i="7" s="1"/>
  <c r="V681" i="7"/>
  <c r="T681" i="7"/>
  <c r="R681" i="7"/>
  <c r="P681" i="7"/>
  <c r="N681" i="7"/>
  <c r="M681" i="7"/>
  <c r="K681" i="7"/>
  <c r="Z681" i="7" s="1"/>
  <c r="V680" i="7"/>
  <c r="T680" i="7"/>
  <c r="R680" i="7"/>
  <c r="P680" i="7"/>
  <c r="N680" i="7"/>
  <c r="M680" i="7"/>
  <c r="K680" i="7"/>
  <c r="Z680" i="7" s="1"/>
  <c r="V679" i="7"/>
  <c r="T679" i="7"/>
  <c r="R679" i="7"/>
  <c r="P679" i="7"/>
  <c r="N679" i="7"/>
  <c r="M679" i="7"/>
  <c r="K679" i="7"/>
  <c r="Z679" i="7" s="1"/>
  <c r="V678" i="7"/>
  <c r="T678" i="7"/>
  <c r="R678" i="7"/>
  <c r="P678" i="7"/>
  <c r="N678" i="7"/>
  <c r="M678" i="7"/>
  <c r="K678" i="7"/>
  <c r="Z678" i="7" s="1"/>
  <c r="V677" i="7"/>
  <c r="T677" i="7"/>
  <c r="R677" i="7"/>
  <c r="P677" i="7"/>
  <c r="N677" i="7"/>
  <c r="M677" i="7"/>
  <c r="K677" i="7"/>
  <c r="Z677" i="7" s="1"/>
  <c r="V676" i="7"/>
  <c r="T676" i="7"/>
  <c r="R676" i="7"/>
  <c r="P676" i="7"/>
  <c r="N676" i="7"/>
  <c r="M676" i="7"/>
  <c r="K676" i="7"/>
  <c r="V675" i="7"/>
  <c r="T675" i="7"/>
  <c r="R675" i="7"/>
  <c r="P675" i="7"/>
  <c r="N675" i="7"/>
  <c r="M675" i="7"/>
  <c r="K675" i="7"/>
  <c r="V674" i="7"/>
  <c r="T674" i="7"/>
  <c r="R674" i="7"/>
  <c r="P674" i="7"/>
  <c r="N674" i="7"/>
  <c r="M674" i="7"/>
  <c r="K674" i="7"/>
  <c r="V673" i="7"/>
  <c r="T673" i="7"/>
  <c r="R673" i="7"/>
  <c r="P673" i="7"/>
  <c r="N673" i="7"/>
  <c r="M673" i="7"/>
  <c r="K673" i="7"/>
  <c r="Z673" i="7" s="1"/>
  <c r="V672" i="7"/>
  <c r="T672" i="7"/>
  <c r="R672" i="7"/>
  <c r="P672" i="7"/>
  <c r="N672" i="7"/>
  <c r="M672" i="7"/>
  <c r="K672" i="7"/>
  <c r="V671" i="7"/>
  <c r="T671" i="7"/>
  <c r="R671" i="7"/>
  <c r="P671" i="7"/>
  <c r="N671" i="7"/>
  <c r="M671" i="7"/>
  <c r="K671" i="7"/>
  <c r="V670" i="7"/>
  <c r="T670" i="7"/>
  <c r="R670" i="7"/>
  <c r="P670" i="7"/>
  <c r="N670" i="7"/>
  <c r="M670" i="7"/>
  <c r="K670" i="7"/>
  <c r="V669" i="7"/>
  <c r="T669" i="7"/>
  <c r="R669" i="7"/>
  <c r="P669" i="7"/>
  <c r="N669" i="7"/>
  <c r="M669" i="7"/>
  <c r="K669" i="7"/>
  <c r="V668" i="7"/>
  <c r="T668" i="7"/>
  <c r="R668" i="7"/>
  <c r="P668" i="7"/>
  <c r="N668" i="7"/>
  <c r="M668" i="7"/>
  <c r="K668" i="7"/>
  <c r="Z668" i="7" s="1"/>
  <c r="V667" i="7"/>
  <c r="T667" i="7"/>
  <c r="R667" i="7"/>
  <c r="P667" i="7"/>
  <c r="N667" i="7"/>
  <c r="M667" i="7"/>
  <c r="K667" i="7"/>
  <c r="Z667" i="7" s="1"/>
  <c r="V666" i="7"/>
  <c r="T666" i="7"/>
  <c r="R666" i="7"/>
  <c r="P666" i="7"/>
  <c r="N666" i="7"/>
  <c r="M666" i="7"/>
  <c r="K666" i="7"/>
  <c r="Z666" i="7" s="1"/>
  <c r="V665" i="7"/>
  <c r="T665" i="7"/>
  <c r="R665" i="7"/>
  <c r="P665" i="7"/>
  <c r="N665" i="7"/>
  <c r="M665" i="7"/>
  <c r="K665" i="7"/>
  <c r="Z665" i="7" s="1"/>
  <c r="V664" i="7"/>
  <c r="T664" i="7"/>
  <c r="R664" i="7"/>
  <c r="P664" i="7"/>
  <c r="N664" i="7"/>
  <c r="M664" i="7"/>
  <c r="K664" i="7"/>
  <c r="V663" i="7"/>
  <c r="T663" i="7"/>
  <c r="R663" i="7"/>
  <c r="P663" i="7"/>
  <c r="N663" i="7"/>
  <c r="M663" i="7"/>
  <c r="K663" i="7"/>
  <c r="Z663" i="7" s="1"/>
  <c r="V662" i="7"/>
  <c r="T662" i="7"/>
  <c r="R662" i="7"/>
  <c r="P662" i="7"/>
  <c r="N662" i="7"/>
  <c r="M662" i="7"/>
  <c r="K662" i="7"/>
  <c r="Z662" i="7" s="1"/>
  <c r="V661" i="7"/>
  <c r="T661" i="7"/>
  <c r="R661" i="7"/>
  <c r="P661" i="7"/>
  <c r="N661" i="7"/>
  <c r="M661" i="7"/>
  <c r="K661" i="7"/>
  <c r="Z661" i="7" s="1"/>
  <c r="V660" i="7"/>
  <c r="T660" i="7"/>
  <c r="R660" i="7"/>
  <c r="P660" i="7"/>
  <c r="N660" i="7"/>
  <c r="M660" i="7"/>
  <c r="K660" i="7"/>
  <c r="Z660" i="7" s="1"/>
  <c r="V659" i="7"/>
  <c r="T659" i="7"/>
  <c r="R659" i="7"/>
  <c r="P659" i="7"/>
  <c r="N659" i="7"/>
  <c r="M659" i="7"/>
  <c r="K659" i="7"/>
  <c r="Z659" i="7" s="1"/>
  <c r="V658" i="7"/>
  <c r="T658" i="7"/>
  <c r="R658" i="7"/>
  <c r="P658" i="7"/>
  <c r="N658" i="7"/>
  <c r="M658" i="7"/>
  <c r="K658" i="7"/>
  <c r="Z658" i="7" s="1"/>
  <c r="V657" i="7"/>
  <c r="T657" i="7"/>
  <c r="R657" i="7"/>
  <c r="P657" i="7"/>
  <c r="N657" i="7"/>
  <c r="M657" i="7"/>
  <c r="K657" i="7"/>
  <c r="Z657" i="7" s="1"/>
  <c r="V656" i="7"/>
  <c r="T656" i="7"/>
  <c r="R656" i="7"/>
  <c r="P656" i="7"/>
  <c r="N656" i="7"/>
  <c r="M656" i="7"/>
  <c r="K656" i="7"/>
  <c r="Z656" i="7" s="1"/>
  <c r="V655" i="7"/>
  <c r="T655" i="7"/>
  <c r="R655" i="7"/>
  <c r="P655" i="7"/>
  <c r="N655" i="7"/>
  <c r="M655" i="7"/>
  <c r="K655" i="7"/>
  <c r="V654" i="7"/>
  <c r="T654" i="7"/>
  <c r="R654" i="7"/>
  <c r="P654" i="7"/>
  <c r="N654" i="7"/>
  <c r="M654" i="7"/>
  <c r="K654" i="7"/>
  <c r="V653" i="7"/>
  <c r="T653" i="7"/>
  <c r="R653" i="7"/>
  <c r="P653" i="7"/>
  <c r="N653" i="7"/>
  <c r="M653" i="7"/>
  <c r="K653" i="7"/>
  <c r="V652" i="7"/>
  <c r="T652" i="7"/>
  <c r="R652" i="7"/>
  <c r="P652" i="7"/>
  <c r="N652" i="7"/>
  <c r="M652" i="7"/>
  <c r="K652" i="7"/>
  <c r="V651" i="7"/>
  <c r="T651" i="7"/>
  <c r="R651" i="7"/>
  <c r="P651" i="7"/>
  <c r="N651" i="7"/>
  <c r="M651" i="7"/>
  <c r="K651" i="7"/>
  <c r="V650" i="7"/>
  <c r="T650" i="7"/>
  <c r="R650" i="7"/>
  <c r="P650" i="7"/>
  <c r="N650" i="7"/>
  <c r="M650" i="7"/>
  <c r="K650" i="7"/>
  <c r="V649" i="7"/>
  <c r="T649" i="7"/>
  <c r="R649" i="7"/>
  <c r="P649" i="7"/>
  <c r="N649" i="7"/>
  <c r="M649" i="7"/>
  <c r="K649" i="7"/>
  <c r="V648" i="7"/>
  <c r="T648" i="7"/>
  <c r="R648" i="7"/>
  <c r="P648" i="7"/>
  <c r="N648" i="7"/>
  <c r="M648" i="7"/>
  <c r="K648" i="7"/>
  <c r="V647" i="7"/>
  <c r="T647" i="7"/>
  <c r="R647" i="7"/>
  <c r="P647" i="7"/>
  <c r="N647" i="7"/>
  <c r="M647" i="7"/>
  <c r="K647" i="7"/>
  <c r="V646" i="7"/>
  <c r="T646" i="7"/>
  <c r="R646" i="7"/>
  <c r="P646" i="7"/>
  <c r="N646" i="7"/>
  <c r="M646" i="7"/>
  <c r="K646" i="7"/>
  <c r="V645" i="7"/>
  <c r="T645" i="7"/>
  <c r="R645" i="7"/>
  <c r="P645" i="7"/>
  <c r="N645" i="7"/>
  <c r="M645" i="7"/>
  <c r="K645" i="7"/>
  <c r="V644" i="7"/>
  <c r="T644" i="7"/>
  <c r="R644" i="7"/>
  <c r="P644" i="7"/>
  <c r="N644" i="7"/>
  <c r="M644" i="7"/>
  <c r="K644" i="7"/>
  <c r="V643" i="7"/>
  <c r="T643" i="7"/>
  <c r="R643" i="7"/>
  <c r="P643" i="7"/>
  <c r="N643" i="7"/>
  <c r="M643" i="7"/>
  <c r="K643" i="7"/>
  <c r="V642" i="7"/>
  <c r="T642" i="7"/>
  <c r="R642" i="7"/>
  <c r="P642" i="7"/>
  <c r="N642" i="7"/>
  <c r="M642" i="7"/>
  <c r="K642" i="7"/>
  <c r="V641" i="7"/>
  <c r="T641" i="7"/>
  <c r="R641" i="7"/>
  <c r="P641" i="7"/>
  <c r="N641" i="7"/>
  <c r="M641" i="7"/>
  <c r="K641" i="7"/>
  <c r="V640" i="7"/>
  <c r="T640" i="7"/>
  <c r="R640" i="7"/>
  <c r="P640" i="7"/>
  <c r="N640" i="7"/>
  <c r="M640" i="7"/>
  <c r="K640" i="7"/>
  <c r="V639" i="7"/>
  <c r="T639" i="7"/>
  <c r="R639" i="7"/>
  <c r="P639" i="7"/>
  <c r="N639" i="7"/>
  <c r="M639" i="7"/>
  <c r="K639" i="7"/>
  <c r="V638" i="7"/>
  <c r="T638" i="7"/>
  <c r="R638" i="7"/>
  <c r="P638" i="7"/>
  <c r="N638" i="7"/>
  <c r="M638" i="7"/>
  <c r="K638" i="7"/>
  <c r="V637" i="7"/>
  <c r="T637" i="7"/>
  <c r="R637" i="7"/>
  <c r="P637" i="7"/>
  <c r="N637" i="7"/>
  <c r="M637" i="7"/>
  <c r="K637" i="7"/>
  <c r="V636" i="7"/>
  <c r="T636" i="7"/>
  <c r="R636" i="7"/>
  <c r="P636" i="7"/>
  <c r="N636" i="7"/>
  <c r="M636" i="7"/>
  <c r="K636" i="7"/>
  <c r="V635" i="7"/>
  <c r="T635" i="7"/>
  <c r="R635" i="7"/>
  <c r="P635" i="7"/>
  <c r="N635" i="7"/>
  <c r="M635" i="7"/>
  <c r="K635" i="7"/>
  <c r="V634" i="7"/>
  <c r="T634" i="7"/>
  <c r="R634" i="7"/>
  <c r="P634" i="7"/>
  <c r="N634" i="7"/>
  <c r="M634" i="7"/>
  <c r="K634" i="7"/>
  <c r="V633" i="7"/>
  <c r="T633" i="7"/>
  <c r="R633" i="7"/>
  <c r="P633" i="7"/>
  <c r="N633" i="7"/>
  <c r="M633" i="7"/>
  <c r="K633" i="7"/>
  <c r="V632" i="7"/>
  <c r="T632" i="7"/>
  <c r="R632" i="7"/>
  <c r="P632" i="7"/>
  <c r="N632" i="7"/>
  <c r="M632" i="7"/>
  <c r="K632" i="7"/>
  <c r="V631" i="7"/>
  <c r="T631" i="7"/>
  <c r="R631" i="7"/>
  <c r="P631" i="7"/>
  <c r="N631" i="7"/>
  <c r="M631" i="7"/>
  <c r="K631" i="7"/>
  <c r="V630" i="7"/>
  <c r="T630" i="7"/>
  <c r="R630" i="7"/>
  <c r="P630" i="7"/>
  <c r="N630" i="7"/>
  <c r="M630" i="7"/>
  <c r="K630" i="7"/>
  <c r="V629" i="7"/>
  <c r="T629" i="7"/>
  <c r="R629" i="7"/>
  <c r="P629" i="7"/>
  <c r="N629" i="7"/>
  <c r="M629" i="7"/>
  <c r="K629" i="7"/>
  <c r="V628" i="7"/>
  <c r="T628" i="7"/>
  <c r="R628" i="7"/>
  <c r="P628" i="7"/>
  <c r="N628" i="7"/>
  <c r="M628" i="7"/>
  <c r="K628" i="7"/>
  <c r="V627" i="7"/>
  <c r="T627" i="7"/>
  <c r="R627" i="7"/>
  <c r="P627" i="7"/>
  <c r="N627" i="7"/>
  <c r="M627" i="7"/>
  <c r="K627" i="7"/>
  <c r="V626" i="7"/>
  <c r="T626" i="7"/>
  <c r="R626" i="7"/>
  <c r="P626" i="7"/>
  <c r="N626" i="7"/>
  <c r="M626" i="7"/>
  <c r="K626" i="7"/>
  <c r="V625" i="7"/>
  <c r="T625" i="7"/>
  <c r="R625" i="7"/>
  <c r="P625" i="7"/>
  <c r="N625" i="7"/>
  <c r="M625" i="7"/>
  <c r="K625" i="7"/>
  <c r="V624" i="7"/>
  <c r="T624" i="7"/>
  <c r="R624" i="7"/>
  <c r="P624" i="7"/>
  <c r="N624" i="7"/>
  <c r="M624" i="7"/>
  <c r="K624" i="7"/>
  <c r="V623" i="7"/>
  <c r="T623" i="7"/>
  <c r="R623" i="7"/>
  <c r="P623" i="7"/>
  <c r="N623" i="7"/>
  <c r="M623" i="7"/>
  <c r="K623" i="7"/>
  <c r="V622" i="7"/>
  <c r="T622" i="7"/>
  <c r="R622" i="7"/>
  <c r="P622" i="7"/>
  <c r="N622" i="7"/>
  <c r="M622" i="7"/>
  <c r="K622" i="7"/>
  <c r="V621" i="7"/>
  <c r="T621" i="7"/>
  <c r="R621" i="7"/>
  <c r="P621" i="7"/>
  <c r="N621" i="7"/>
  <c r="M621" i="7"/>
  <c r="K621" i="7"/>
  <c r="V620" i="7"/>
  <c r="T620" i="7"/>
  <c r="R620" i="7"/>
  <c r="P620" i="7"/>
  <c r="N620" i="7"/>
  <c r="M620" i="7"/>
  <c r="K620" i="7"/>
  <c r="V619" i="7"/>
  <c r="T619" i="7"/>
  <c r="R619" i="7"/>
  <c r="P619" i="7"/>
  <c r="N619" i="7"/>
  <c r="M619" i="7"/>
  <c r="K619" i="7"/>
  <c r="V618" i="7"/>
  <c r="T618" i="7"/>
  <c r="R618" i="7"/>
  <c r="P618" i="7"/>
  <c r="N618" i="7"/>
  <c r="M618" i="7"/>
  <c r="K618" i="7"/>
  <c r="V617" i="7"/>
  <c r="T617" i="7"/>
  <c r="R617" i="7"/>
  <c r="P617" i="7"/>
  <c r="N617" i="7"/>
  <c r="M617" i="7"/>
  <c r="K617" i="7"/>
  <c r="V616" i="7"/>
  <c r="T616" i="7"/>
  <c r="R616" i="7"/>
  <c r="P616" i="7"/>
  <c r="N616" i="7"/>
  <c r="M616" i="7"/>
  <c r="K616" i="7"/>
  <c r="V615" i="7"/>
  <c r="T615" i="7"/>
  <c r="R615" i="7"/>
  <c r="P615" i="7"/>
  <c r="N615" i="7"/>
  <c r="M615" i="7"/>
  <c r="K615" i="7"/>
  <c r="V614" i="7"/>
  <c r="T614" i="7"/>
  <c r="R614" i="7"/>
  <c r="P614" i="7"/>
  <c r="N614" i="7"/>
  <c r="M614" i="7"/>
  <c r="K614" i="7"/>
  <c r="V613" i="7"/>
  <c r="T613" i="7"/>
  <c r="R613" i="7"/>
  <c r="P613" i="7"/>
  <c r="N613" i="7"/>
  <c r="M613" i="7"/>
  <c r="K613" i="7"/>
  <c r="V612" i="7"/>
  <c r="T612" i="7"/>
  <c r="R612" i="7"/>
  <c r="P612" i="7"/>
  <c r="N612" i="7"/>
  <c r="M612" i="7"/>
  <c r="K612" i="7"/>
  <c r="V611" i="7"/>
  <c r="T611" i="7"/>
  <c r="R611" i="7"/>
  <c r="P611" i="7"/>
  <c r="N611" i="7"/>
  <c r="M611" i="7"/>
  <c r="K611" i="7"/>
  <c r="V610" i="7"/>
  <c r="T610" i="7"/>
  <c r="R610" i="7"/>
  <c r="P610" i="7"/>
  <c r="N610" i="7"/>
  <c r="M610" i="7"/>
  <c r="K610" i="7"/>
  <c r="V609" i="7"/>
  <c r="T609" i="7"/>
  <c r="R609" i="7"/>
  <c r="P609" i="7"/>
  <c r="N609" i="7"/>
  <c r="M609" i="7"/>
  <c r="K609" i="7"/>
  <c r="V608" i="7"/>
  <c r="T608" i="7"/>
  <c r="R608" i="7"/>
  <c r="P608" i="7"/>
  <c r="N608" i="7"/>
  <c r="M608" i="7"/>
  <c r="K608" i="7"/>
  <c r="Z608" i="7" s="1"/>
  <c r="V607" i="7"/>
  <c r="T607" i="7"/>
  <c r="R607" i="7"/>
  <c r="P607" i="7"/>
  <c r="N607" i="7"/>
  <c r="M607" i="7"/>
  <c r="K607" i="7"/>
  <c r="V606" i="7"/>
  <c r="T606" i="7"/>
  <c r="R606" i="7"/>
  <c r="P606" i="7"/>
  <c r="N606" i="7"/>
  <c r="M606" i="7"/>
  <c r="K606" i="7"/>
  <c r="Z606" i="7" s="1"/>
  <c r="V605" i="7"/>
  <c r="T605" i="7"/>
  <c r="R605" i="7"/>
  <c r="P605" i="7"/>
  <c r="N605" i="7"/>
  <c r="M605" i="7"/>
  <c r="K605" i="7"/>
  <c r="Z605" i="7" s="1"/>
  <c r="V604" i="7"/>
  <c r="T604" i="7"/>
  <c r="R604" i="7"/>
  <c r="P604" i="7"/>
  <c r="N604" i="7"/>
  <c r="M604" i="7"/>
  <c r="K604" i="7"/>
  <c r="Z604" i="7" s="1"/>
  <c r="V603" i="7"/>
  <c r="T603" i="7"/>
  <c r="R603" i="7"/>
  <c r="P603" i="7"/>
  <c r="N603" i="7"/>
  <c r="M603" i="7"/>
  <c r="K603" i="7"/>
  <c r="Z603" i="7" s="1"/>
  <c r="V602" i="7"/>
  <c r="T602" i="7"/>
  <c r="R602" i="7"/>
  <c r="P602" i="7"/>
  <c r="N602" i="7"/>
  <c r="M602" i="7"/>
  <c r="K602" i="7"/>
  <c r="Z602" i="7" s="1"/>
  <c r="V601" i="7"/>
  <c r="T601" i="7"/>
  <c r="R601" i="7"/>
  <c r="P601" i="7"/>
  <c r="N601" i="7"/>
  <c r="M601" i="7"/>
  <c r="K601" i="7"/>
  <c r="Z601" i="7" s="1"/>
  <c r="V600" i="7"/>
  <c r="T600" i="7"/>
  <c r="R600" i="7"/>
  <c r="P600" i="7"/>
  <c r="N600" i="7"/>
  <c r="M600" i="7"/>
  <c r="K600" i="7"/>
  <c r="Z600" i="7" s="1"/>
  <c r="R599" i="7"/>
  <c r="M599" i="7"/>
  <c r="K599" i="7"/>
  <c r="V598" i="7"/>
  <c r="T598" i="7"/>
  <c r="R598" i="7"/>
  <c r="P598" i="7"/>
  <c r="N598" i="7"/>
  <c r="M598" i="7"/>
  <c r="K598" i="7"/>
  <c r="Z598" i="7" s="1"/>
  <c r="M596" i="7"/>
  <c r="V593" i="7"/>
  <c r="T593" i="7"/>
  <c r="R593" i="7"/>
  <c r="P593" i="7"/>
  <c r="N593" i="7"/>
  <c r="M593" i="7"/>
  <c r="V499" i="7"/>
  <c r="T499" i="7"/>
  <c r="R499" i="7"/>
  <c r="P499" i="7"/>
  <c r="N499" i="7"/>
  <c r="M499" i="7"/>
  <c r="K499" i="7"/>
  <c r="V489" i="7"/>
  <c r="T489" i="7"/>
  <c r="R489" i="7"/>
  <c r="P489" i="7"/>
  <c r="N489" i="7"/>
  <c r="M489" i="7"/>
  <c r="K489" i="7"/>
  <c r="V485" i="7"/>
  <c r="T485" i="7"/>
  <c r="R485" i="7"/>
  <c r="P485" i="7"/>
  <c r="N485" i="7"/>
  <c r="M485" i="7"/>
  <c r="K485" i="7"/>
  <c r="V481" i="7"/>
  <c r="T481" i="7"/>
  <c r="R481" i="7"/>
  <c r="P481" i="7"/>
  <c r="N481" i="7"/>
  <c r="M481" i="7"/>
  <c r="K481" i="7"/>
  <c r="V477" i="7"/>
  <c r="T477" i="7"/>
  <c r="R477" i="7"/>
  <c r="P477" i="7"/>
  <c r="N477" i="7"/>
  <c r="M477" i="7"/>
  <c r="K477" i="7"/>
  <c r="V473" i="7"/>
  <c r="T473" i="7"/>
  <c r="R473" i="7"/>
  <c r="P473" i="7"/>
  <c r="N473" i="7"/>
  <c r="M473" i="7"/>
  <c r="K473" i="7"/>
  <c r="M470" i="7"/>
  <c r="V466" i="7"/>
  <c r="T466" i="7"/>
  <c r="R466" i="7"/>
  <c r="P466" i="7"/>
  <c r="N466" i="7"/>
  <c r="M466" i="7"/>
  <c r="V465" i="7"/>
  <c r="T465" i="7"/>
  <c r="R465" i="7"/>
  <c r="P465" i="7"/>
  <c r="N465" i="7"/>
  <c r="M465" i="7"/>
  <c r="K465" i="7"/>
  <c r="Z465" i="7" s="1"/>
  <c r="V458" i="7"/>
  <c r="T458" i="7"/>
  <c r="R458" i="7"/>
  <c r="P458" i="7"/>
  <c r="N458" i="7"/>
  <c r="M458" i="7"/>
  <c r="K458" i="7"/>
  <c r="Z458" i="7" s="1"/>
  <c r="V454" i="7"/>
  <c r="T454" i="7"/>
  <c r="R454" i="7"/>
  <c r="P454" i="7"/>
  <c r="N454" i="7"/>
  <c r="M454" i="7"/>
  <c r="K454" i="7"/>
  <c r="P451" i="7"/>
  <c r="M451" i="7"/>
  <c r="K451" i="7"/>
  <c r="V450" i="7"/>
  <c r="T450" i="7"/>
  <c r="R450" i="7"/>
  <c r="P450" i="7"/>
  <c r="M450" i="7"/>
  <c r="M447" i="7"/>
  <c r="K447" i="7"/>
  <c r="V446" i="7"/>
  <c r="T446" i="7"/>
  <c r="R446" i="7"/>
  <c r="P446" i="7"/>
  <c r="N446" i="7"/>
  <c r="M446" i="7"/>
  <c r="K446" i="7"/>
  <c r="V441" i="7"/>
  <c r="M441" i="7"/>
  <c r="K441" i="7"/>
  <c r="V440" i="7"/>
  <c r="T440" i="7"/>
  <c r="R440" i="7"/>
  <c r="P440" i="7"/>
  <c r="N440" i="7"/>
  <c r="M440" i="7"/>
  <c r="K440" i="7"/>
  <c r="V436" i="7"/>
  <c r="T436" i="7"/>
  <c r="R436" i="7"/>
  <c r="P436" i="7"/>
  <c r="N436" i="7"/>
  <c r="M436" i="7"/>
  <c r="K436" i="7"/>
  <c r="V435" i="7"/>
  <c r="T435" i="7"/>
  <c r="R435" i="7"/>
  <c r="P435" i="7"/>
  <c r="N435" i="7"/>
  <c r="M435" i="7"/>
  <c r="K435" i="7"/>
  <c r="V431" i="7"/>
  <c r="T431" i="7"/>
  <c r="R431" i="7"/>
  <c r="P431" i="7"/>
  <c r="N431" i="7"/>
  <c r="M431" i="7"/>
  <c r="K431" i="7"/>
  <c r="P428" i="7"/>
  <c r="M428" i="7"/>
  <c r="V424" i="7"/>
  <c r="T424" i="7"/>
  <c r="R424" i="7"/>
  <c r="P424" i="7"/>
  <c r="N424" i="7"/>
  <c r="M424" i="7"/>
  <c r="K424" i="7"/>
  <c r="V420" i="7"/>
  <c r="T420" i="7"/>
  <c r="R420" i="7"/>
  <c r="P420" i="7"/>
  <c r="N420" i="7"/>
  <c r="M420" i="7"/>
  <c r="K420" i="7"/>
  <c r="V416" i="7"/>
  <c r="T416" i="7"/>
  <c r="R416" i="7"/>
  <c r="P416" i="7"/>
  <c r="N416" i="7"/>
  <c r="M416" i="7"/>
  <c r="K416" i="7"/>
  <c r="N412" i="7"/>
  <c r="K412" i="7"/>
  <c r="T411" i="7"/>
  <c r="R411" i="7"/>
  <c r="N411" i="7"/>
  <c r="V407" i="7"/>
  <c r="T407" i="7"/>
  <c r="P407" i="7"/>
  <c r="N407" i="7"/>
  <c r="V242" i="7"/>
  <c r="M242" i="7"/>
  <c r="K242" i="7"/>
  <c r="V241" i="7"/>
  <c r="T241" i="7"/>
  <c r="R241" i="7"/>
  <c r="P241" i="7"/>
  <c r="N241" i="7"/>
  <c r="M241" i="7"/>
  <c r="K241" i="7"/>
  <c r="Z241" i="7" s="1"/>
  <c r="V240" i="7"/>
  <c r="T240" i="7"/>
  <c r="R240" i="7"/>
  <c r="P240" i="7"/>
  <c r="M240" i="7"/>
  <c r="K240" i="7"/>
  <c r="Z240" i="7" s="1"/>
  <c r="V234" i="7"/>
  <c r="R234" i="7"/>
  <c r="P234" i="7"/>
  <c r="N234" i="7"/>
  <c r="V228" i="7"/>
  <c r="T228" i="7"/>
  <c r="R228" i="7"/>
  <c r="P228" i="7"/>
  <c r="N228" i="7"/>
  <c r="M228" i="7"/>
  <c r="K228" i="7"/>
  <c r="Z228" i="7" s="1"/>
  <c r="V227" i="7"/>
  <c r="T227" i="7"/>
  <c r="R227" i="7"/>
  <c r="P227" i="7"/>
  <c r="N227" i="7"/>
  <c r="M227" i="7"/>
  <c r="K227" i="7"/>
  <c r="Z227" i="7" s="1"/>
  <c r="V226" i="7"/>
  <c r="T226" i="7"/>
  <c r="R226" i="7"/>
  <c r="P226" i="7"/>
  <c r="N226" i="7"/>
  <c r="M226" i="7"/>
  <c r="K226" i="7"/>
  <c r="Z226" i="7" s="1"/>
  <c r="M216" i="7"/>
  <c r="V215" i="7"/>
  <c r="T215" i="7"/>
  <c r="R215" i="7"/>
  <c r="P215" i="7"/>
  <c r="N215" i="7"/>
  <c r="M215" i="7"/>
  <c r="K215" i="7"/>
  <c r="Z215" i="7" s="1"/>
  <c r="T210" i="7"/>
  <c r="P210" i="7"/>
  <c r="M210" i="7"/>
  <c r="K210" i="7"/>
  <c r="Z210" i="7" s="1"/>
  <c r="P592" i="7"/>
  <c r="N592" i="7"/>
  <c r="M592" i="7"/>
  <c r="K592" i="7"/>
  <c r="V591" i="7"/>
  <c r="T591" i="7"/>
  <c r="R591" i="7"/>
  <c r="P591" i="7"/>
  <c r="N591" i="7"/>
  <c r="M591" i="7"/>
  <c r="K591" i="7"/>
  <c r="V590" i="7"/>
  <c r="T590" i="7"/>
  <c r="R590" i="7"/>
  <c r="P590" i="7"/>
  <c r="N590" i="7"/>
  <c r="M590" i="7"/>
  <c r="K590" i="7"/>
  <c r="V589" i="7"/>
  <c r="T589" i="7"/>
  <c r="R589" i="7"/>
  <c r="P589" i="7"/>
  <c r="N589" i="7"/>
  <c r="M589" i="7"/>
  <c r="K589" i="7"/>
  <c r="V588" i="7"/>
  <c r="T588" i="7"/>
  <c r="R588" i="7"/>
  <c r="P588" i="7"/>
  <c r="N588" i="7"/>
  <c r="M588" i="7"/>
  <c r="K588" i="7"/>
  <c r="V587" i="7"/>
  <c r="T587" i="7"/>
  <c r="R587" i="7"/>
  <c r="P587" i="7"/>
  <c r="N587" i="7"/>
  <c r="M587" i="7"/>
  <c r="K587" i="7"/>
  <c r="V586" i="7"/>
  <c r="T586" i="7"/>
  <c r="R586" i="7"/>
  <c r="P586" i="7"/>
  <c r="N586" i="7"/>
  <c r="M586" i="7"/>
  <c r="K586" i="7"/>
  <c r="V585" i="7"/>
  <c r="T585" i="7"/>
  <c r="R585" i="7"/>
  <c r="P585" i="7"/>
  <c r="N585" i="7"/>
  <c r="M585" i="7"/>
  <c r="K585" i="7"/>
  <c r="V584" i="7"/>
  <c r="T584" i="7"/>
  <c r="R584" i="7"/>
  <c r="P584" i="7"/>
  <c r="N584" i="7"/>
  <c r="M584" i="7"/>
  <c r="K584" i="7"/>
  <c r="Z584" i="7" s="1"/>
  <c r="V583" i="7"/>
  <c r="T583" i="7"/>
  <c r="R583" i="7"/>
  <c r="P583" i="7"/>
  <c r="N583" i="7"/>
  <c r="M583" i="7"/>
  <c r="K583" i="7"/>
  <c r="V582" i="7"/>
  <c r="T582" i="7"/>
  <c r="R582" i="7"/>
  <c r="P582" i="7"/>
  <c r="N582" i="7"/>
  <c r="M582" i="7"/>
  <c r="K582" i="7"/>
  <c r="Z582" i="7" s="1"/>
  <c r="V581" i="7"/>
  <c r="T581" i="7"/>
  <c r="R581" i="7"/>
  <c r="P581" i="7"/>
  <c r="N581" i="7"/>
  <c r="M581" i="7"/>
  <c r="K581" i="7"/>
  <c r="V580" i="7"/>
  <c r="T580" i="7"/>
  <c r="R580" i="7"/>
  <c r="P580" i="7"/>
  <c r="N580" i="7"/>
  <c r="M580" i="7"/>
  <c r="K580" i="7"/>
  <c r="V579" i="7"/>
  <c r="T579" i="7"/>
  <c r="R579" i="7"/>
  <c r="P579" i="7"/>
  <c r="N579" i="7"/>
  <c r="M579" i="7"/>
  <c r="K579" i="7"/>
  <c r="Z579" i="7" s="1"/>
  <c r="V578" i="7"/>
  <c r="T578" i="7"/>
  <c r="R578" i="7"/>
  <c r="P578" i="7"/>
  <c r="N578" i="7"/>
  <c r="M578" i="7"/>
  <c r="K578" i="7"/>
  <c r="V577" i="7"/>
  <c r="T577" i="7"/>
  <c r="R577" i="7"/>
  <c r="P577" i="7"/>
  <c r="N577" i="7"/>
  <c r="M577" i="7"/>
  <c r="K577" i="7"/>
  <c r="V576" i="7"/>
  <c r="T576" i="7"/>
  <c r="R576" i="7"/>
  <c r="P576" i="7"/>
  <c r="N576" i="7"/>
  <c r="M576" i="7"/>
  <c r="K576" i="7"/>
  <c r="V575" i="7"/>
  <c r="T575" i="7"/>
  <c r="R575" i="7"/>
  <c r="P575" i="7"/>
  <c r="N575" i="7"/>
  <c r="M575" i="7"/>
  <c r="K575" i="7"/>
  <c r="V574" i="7"/>
  <c r="T574" i="7"/>
  <c r="R574" i="7"/>
  <c r="P574" i="7"/>
  <c r="N574" i="7"/>
  <c r="M574" i="7"/>
  <c r="K574" i="7"/>
  <c r="Z574" i="7" s="1"/>
  <c r="V573" i="7"/>
  <c r="T573" i="7"/>
  <c r="R573" i="7"/>
  <c r="P573" i="7"/>
  <c r="N573" i="7"/>
  <c r="M573" i="7"/>
  <c r="K573" i="7"/>
  <c r="V572" i="7"/>
  <c r="T572" i="7"/>
  <c r="R572" i="7"/>
  <c r="P572" i="7"/>
  <c r="N572" i="7"/>
  <c r="M572" i="7"/>
  <c r="K572" i="7"/>
  <c r="Z572" i="7" s="1"/>
  <c r="V571" i="7"/>
  <c r="T571" i="7"/>
  <c r="R571" i="7"/>
  <c r="P571" i="7"/>
  <c r="N571" i="7"/>
  <c r="M571" i="7"/>
  <c r="K571" i="7"/>
  <c r="V570" i="7"/>
  <c r="T570" i="7"/>
  <c r="R570" i="7"/>
  <c r="P570" i="7"/>
  <c r="N570" i="7"/>
  <c r="M570" i="7"/>
  <c r="K570" i="7"/>
  <c r="V569" i="7"/>
  <c r="T569" i="7"/>
  <c r="R569" i="7"/>
  <c r="P569" i="7"/>
  <c r="N569" i="7"/>
  <c r="M569" i="7"/>
  <c r="K569" i="7"/>
  <c r="V568" i="7"/>
  <c r="T568" i="7"/>
  <c r="R568" i="7"/>
  <c r="P568" i="7"/>
  <c r="N568" i="7"/>
  <c r="M568" i="7"/>
  <c r="K568" i="7"/>
  <c r="V567" i="7"/>
  <c r="T567" i="7"/>
  <c r="R567" i="7"/>
  <c r="P567" i="7"/>
  <c r="N567" i="7"/>
  <c r="M567" i="7"/>
  <c r="K567" i="7"/>
  <c r="V566" i="7"/>
  <c r="T566" i="7"/>
  <c r="R566" i="7"/>
  <c r="P566" i="7"/>
  <c r="N566" i="7"/>
  <c r="M566" i="7"/>
  <c r="K566" i="7"/>
  <c r="V565" i="7"/>
  <c r="T565" i="7"/>
  <c r="R565" i="7"/>
  <c r="P565" i="7"/>
  <c r="N565" i="7"/>
  <c r="M565" i="7"/>
  <c r="K565" i="7"/>
  <c r="V564" i="7"/>
  <c r="T564" i="7"/>
  <c r="R564" i="7"/>
  <c r="P564" i="7"/>
  <c r="N564" i="7"/>
  <c r="M564" i="7"/>
  <c r="K564" i="7"/>
  <c r="Z564" i="7" s="1"/>
  <c r="V563" i="7"/>
  <c r="T563" i="7"/>
  <c r="R563" i="7"/>
  <c r="P563" i="7"/>
  <c r="N563" i="7"/>
  <c r="M563" i="7"/>
  <c r="K563" i="7"/>
  <c r="V562" i="7"/>
  <c r="T562" i="7"/>
  <c r="R562" i="7"/>
  <c r="P562" i="7"/>
  <c r="N562" i="7"/>
  <c r="M562" i="7"/>
  <c r="K562" i="7"/>
  <c r="V561" i="7"/>
  <c r="T561" i="7"/>
  <c r="R561" i="7"/>
  <c r="P561" i="7"/>
  <c r="N561" i="7"/>
  <c r="M561" i="7"/>
  <c r="K561" i="7"/>
  <c r="Z561" i="7" s="1"/>
  <c r="V560" i="7"/>
  <c r="T560" i="7"/>
  <c r="R560" i="7"/>
  <c r="P560" i="7"/>
  <c r="N560" i="7"/>
  <c r="M560" i="7"/>
  <c r="K560" i="7"/>
  <c r="V559" i="7"/>
  <c r="T559" i="7"/>
  <c r="R559" i="7"/>
  <c r="P559" i="7"/>
  <c r="N559" i="7"/>
  <c r="M559" i="7"/>
  <c r="K559" i="7"/>
  <c r="V558" i="7"/>
  <c r="T558" i="7"/>
  <c r="R558" i="7"/>
  <c r="P558" i="7"/>
  <c r="N558" i="7"/>
  <c r="M558" i="7"/>
  <c r="K558" i="7"/>
  <c r="V557" i="7"/>
  <c r="T557" i="7"/>
  <c r="R557" i="7"/>
  <c r="P557" i="7"/>
  <c r="N557" i="7"/>
  <c r="M557" i="7"/>
  <c r="K557" i="7"/>
  <c r="V556" i="7"/>
  <c r="T556" i="7"/>
  <c r="R556" i="7"/>
  <c r="P556" i="7"/>
  <c r="N556" i="7"/>
  <c r="M556" i="7"/>
  <c r="K556" i="7"/>
  <c r="V555" i="7"/>
  <c r="T555" i="7"/>
  <c r="R555" i="7"/>
  <c r="P555" i="7"/>
  <c r="N555" i="7"/>
  <c r="M555" i="7"/>
  <c r="K555" i="7"/>
  <c r="Z555" i="7" s="1"/>
  <c r="V554" i="7"/>
  <c r="T554" i="7"/>
  <c r="R554" i="7"/>
  <c r="P554" i="7"/>
  <c r="N554" i="7"/>
  <c r="M554" i="7"/>
  <c r="K554" i="7"/>
  <c r="Z554" i="7" s="1"/>
  <c r="V553" i="7"/>
  <c r="T553" i="7"/>
  <c r="R553" i="7"/>
  <c r="P553" i="7"/>
  <c r="N553" i="7"/>
  <c r="M553" i="7"/>
  <c r="K553" i="7"/>
  <c r="V552" i="7"/>
  <c r="T552" i="7"/>
  <c r="R552" i="7"/>
  <c r="P552" i="7"/>
  <c r="N552" i="7"/>
  <c r="M552" i="7"/>
  <c r="K552" i="7"/>
  <c r="V551" i="7"/>
  <c r="T551" i="7"/>
  <c r="R551" i="7"/>
  <c r="P551" i="7"/>
  <c r="N551" i="7"/>
  <c r="M551" i="7"/>
  <c r="K551" i="7"/>
  <c r="V550" i="7"/>
  <c r="T550" i="7"/>
  <c r="R550" i="7"/>
  <c r="P550" i="7"/>
  <c r="N550" i="7"/>
  <c r="M550" i="7"/>
  <c r="K550" i="7"/>
  <c r="V549" i="7"/>
  <c r="T549" i="7"/>
  <c r="R549" i="7"/>
  <c r="P549" i="7"/>
  <c r="N549" i="7"/>
  <c r="M549" i="7"/>
  <c r="K549" i="7"/>
  <c r="V548" i="7"/>
  <c r="T548" i="7"/>
  <c r="R548" i="7"/>
  <c r="P548" i="7"/>
  <c r="N548" i="7"/>
  <c r="M548" i="7"/>
  <c r="K548" i="7"/>
  <c r="V547" i="7"/>
  <c r="T547" i="7"/>
  <c r="R547" i="7"/>
  <c r="P547" i="7"/>
  <c r="N547" i="7"/>
  <c r="M547" i="7"/>
  <c r="K547" i="7"/>
  <c r="V546" i="7"/>
  <c r="T546" i="7"/>
  <c r="R546" i="7"/>
  <c r="P546" i="7"/>
  <c r="N546" i="7"/>
  <c r="M546" i="7"/>
  <c r="K546" i="7"/>
  <c r="V545" i="7"/>
  <c r="T545" i="7"/>
  <c r="R545" i="7"/>
  <c r="P545" i="7"/>
  <c r="N545" i="7"/>
  <c r="M545" i="7"/>
  <c r="K545" i="7"/>
  <c r="V544" i="7"/>
  <c r="T544" i="7"/>
  <c r="R544" i="7"/>
  <c r="P544" i="7"/>
  <c r="N544" i="7"/>
  <c r="M544" i="7"/>
  <c r="K544" i="7"/>
  <c r="V543" i="7"/>
  <c r="T543" i="7"/>
  <c r="R543" i="7"/>
  <c r="P543" i="7"/>
  <c r="N543" i="7"/>
  <c r="M543" i="7"/>
  <c r="K543" i="7"/>
  <c r="V542" i="7"/>
  <c r="T542" i="7"/>
  <c r="R542" i="7"/>
  <c r="P542" i="7"/>
  <c r="N542" i="7"/>
  <c r="M542" i="7"/>
  <c r="K542" i="7"/>
  <c r="V541" i="7"/>
  <c r="T541" i="7"/>
  <c r="R541" i="7"/>
  <c r="P541" i="7"/>
  <c r="N541" i="7"/>
  <c r="M541" i="7"/>
  <c r="K541" i="7"/>
  <c r="V540" i="7"/>
  <c r="T540" i="7"/>
  <c r="R540" i="7"/>
  <c r="P540" i="7"/>
  <c r="N540" i="7"/>
  <c r="M540" i="7"/>
  <c r="K540" i="7"/>
  <c r="V539" i="7"/>
  <c r="T539" i="7"/>
  <c r="R539" i="7"/>
  <c r="P539" i="7"/>
  <c r="N539" i="7"/>
  <c r="M539" i="7"/>
  <c r="K539" i="7"/>
  <c r="V538" i="7"/>
  <c r="T538" i="7"/>
  <c r="R538" i="7"/>
  <c r="P538" i="7"/>
  <c r="N538" i="7"/>
  <c r="M538" i="7"/>
  <c r="K538" i="7"/>
  <c r="V537" i="7"/>
  <c r="T537" i="7"/>
  <c r="R537" i="7"/>
  <c r="P537" i="7"/>
  <c r="N537" i="7"/>
  <c r="M537" i="7"/>
  <c r="K537" i="7"/>
  <c r="V536" i="7"/>
  <c r="T536" i="7"/>
  <c r="R536" i="7"/>
  <c r="P536" i="7"/>
  <c r="N536" i="7"/>
  <c r="M536" i="7"/>
  <c r="K536" i="7"/>
  <c r="V535" i="7"/>
  <c r="T535" i="7"/>
  <c r="R535" i="7"/>
  <c r="P535" i="7"/>
  <c r="N535" i="7"/>
  <c r="M535" i="7"/>
  <c r="K535" i="7"/>
  <c r="V534" i="7"/>
  <c r="T534" i="7"/>
  <c r="R534" i="7"/>
  <c r="P534" i="7"/>
  <c r="N534" i="7"/>
  <c r="M534" i="7"/>
  <c r="K534" i="7"/>
  <c r="V533" i="7"/>
  <c r="T533" i="7"/>
  <c r="R533" i="7"/>
  <c r="P533" i="7"/>
  <c r="N533" i="7"/>
  <c r="M533" i="7"/>
  <c r="K533" i="7"/>
  <c r="V532" i="7"/>
  <c r="T532" i="7"/>
  <c r="R532" i="7"/>
  <c r="P532" i="7"/>
  <c r="N532" i="7"/>
  <c r="M532" i="7"/>
  <c r="K532" i="7"/>
  <c r="V531" i="7"/>
  <c r="T531" i="7"/>
  <c r="R531" i="7"/>
  <c r="P531" i="7"/>
  <c r="N531" i="7"/>
  <c r="M531" i="7"/>
  <c r="K531" i="7"/>
  <c r="V530" i="7"/>
  <c r="T530" i="7"/>
  <c r="R530" i="7"/>
  <c r="P530" i="7"/>
  <c r="N530" i="7"/>
  <c r="M530" i="7"/>
  <c r="K530" i="7"/>
  <c r="V529" i="7"/>
  <c r="T529" i="7"/>
  <c r="R529" i="7"/>
  <c r="P529" i="7"/>
  <c r="N529" i="7"/>
  <c r="M529" i="7"/>
  <c r="K529" i="7"/>
  <c r="V528" i="7"/>
  <c r="T528" i="7"/>
  <c r="R528" i="7"/>
  <c r="P528" i="7"/>
  <c r="N528" i="7"/>
  <c r="M528" i="7"/>
  <c r="K528" i="7"/>
  <c r="V527" i="7"/>
  <c r="T527" i="7"/>
  <c r="R527" i="7"/>
  <c r="P527" i="7"/>
  <c r="N527" i="7"/>
  <c r="M527" i="7"/>
  <c r="K527" i="7"/>
  <c r="V526" i="7"/>
  <c r="T526" i="7"/>
  <c r="R526" i="7"/>
  <c r="P526" i="7"/>
  <c r="N526" i="7"/>
  <c r="M526" i="7"/>
  <c r="K526" i="7"/>
  <c r="V525" i="7"/>
  <c r="T525" i="7"/>
  <c r="R525" i="7"/>
  <c r="P525" i="7"/>
  <c r="N525" i="7"/>
  <c r="M525" i="7"/>
  <c r="K525" i="7"/>
  <c r="Z525" i="7" s="1"/>
  <c r="V524" i="7"/>
  <c r="T524" i="7"/>
  <c r="R524" i="7"/>
  <c r="P524" i="7"/>
  <c r="N524" i="7"/>
  <c r="M524" i="7"/>
  <c r="K524" i="7"/>
  <c r="V523" i="7"/>
  <c r="T523" i="7"/>
  <c r="R523" i="7"/>
  <c r="P523" i="7"/>
  <c r="N523" i="7"/>
  <c r="M523" i="7"/>
  <c r="K523" i="7"/>
  <c r="V522" i="7"/>
  <c r="T522" i="7"/>
  <c r="R522" i="7"/>
  <c r="P522" i="7"/>
  <c r="N522" i="7"/>
  <c r="M522" i="7"/>
  <c r="K522" i="7"/>
  <c r="V521" i="7"/>
  <c r="T521" i="7"/>
  <c r="R521" i="7"/>
  <c r="P521" i="7"/>
  <c r="N521" i="7"/>
  <c r="M521" i="7"/>
  <c r="K521" i="7"/>
  <c r="V520" i="7"/>
  <c r="T520" i="7"/>
  <c r="R520" i="7"/>
  <c r="P520" i="7"/>
  <c r="N520" i="7"/>
  <c r="M520" i="7"/>
  <c r="K520" i="7"/>
  <c r="V519" i="7"/>
  <c r="T519" i="7"/>
  <c r="R519" i="7"/>
  <c r="P519" i="7"/>
  <c r="N519" i="7"/>
  <c r="M519" i="7"/>
  <c r="K519" i="7"/>
  <c r="V518" i="7"/>
  <c r="T518" i="7"/>
  <c r="R518" i="7"/>
  <c r="P518" i="7"/>
  <c r="N518" i="7"/>
  <c r="M518" i="7"/>
  <c r="K518" i="7"/>
  <c r="V517" i="7"/>
  <c r="T517" i="7"/>
  <c r="R517" i="7"/>
  <c r="P517" i="7"/>
  <c r="N517" i="7"/>
  <c r="M517" i="7"/>
  <c r="K517" i="7"/>
  <c r="Z517" i="7" s="1"/>
  <c r="V516" i="7"/>
  <c r="T516" i="7"/>
  <c r="R516" i="7"/>
  <c r="P516" i="7"/>
  <c r="N516" i="7"/>
  <c r="M516" i="7"/>
  <c r="K516" i="7"/>
  <c r="V515" i="7"/>
  <c r="T515" i="7"/>
  <c r="R515" i="7"/>
  <c r="P515" i="7"/>
  <c r="N515" i="7"/>
  <c r="M515" i="7"/>
  <c r="K515" i="7"/>
  <c r="V514" i="7"/>
  <c r="T514" i="7"/>
  <c r="R514" i="7"/>
  <c r="P514" i="7"/>
  <c r="N514" i="7"/>
  <c r="M514" i="7"/>
  <c r="K514" i="7"/>
  <c r="V513" i="7"/>
  <c r="T513" i="7"/>
  <c r="R513" i="7"/>
  <c r="P513" i="7"/>
  <c r="N513" i="7"/>
  <c r="M513" i="7"/>
  <c r="K513" i="7"/>
  <c r="V512" i="7"/>
  <c r="T512" i="7"/>
  <c r="R512" i="7"/>
  <c r="P512" i="7"/>
  <c r="N512" i="7"/>
  <c r="M512" i="7"/>
  <c r="K512" i="7"/>
  <c r="V511" i="7"/>
  <c r="T511" i="7"/>
  <c r="R511" i="7"/>
  <c r="P511" i="7"/>
  <c r="N511" i="7"/>
  <c r="M511" i="7"/>
  <c r="K511" i="7"/>
  <c r="V510" i="7"/>
  <c r="T510" i="7"/>
  <c r="R510" i="7"/>
  <c r="P510" i="7"/>
  <c r="N510" i="7"/>
  <c r="M510" i="7"/>
  <c r="K510" i="7"/>
  <c r="V509" i="7"/>
  <c r="T509" i="7"/>
  <c r="R509" i="7"/>
  <c r="P509" i="7"/>
  <c r="N509" i="7"/>
  <c r="M509" i="7"/>
  <c r="K509" i="7"/>
  <c r="V508" i="7"/>
  <c r="T508" i="7"/>
  <c r="R508" i="7"/>
  <c r="P508" i="7"/>
  <c r="N508" i="7"/>
  <c r="M508" i="7"/>
  <c r="K508" i="7"/>
  <c r="Z508" i="7" s="1"/>
  <c r="V507" i="7"/>
  <c r="T507" i="7"/>
  <c r="R507" i="7"/>
  <c r="P507" i="7"/>
  <c r="N507" i="7"/>
  <c r="M507" i="7"/>
  <c r="K507" i="7"/>
  <c r="V506" i="7"/>
  <c r="T506" i="7"/>
  <c r="R506" i="7"/>
  <c r="P506" i="7"/>
  <c r="N506" i="7"/>
  <c r="M506" i="7"/>
  <c r="K506" i="7"/>
  <c r="V505" i="7"/>
  <c r="T505" i="7"/>
  <c r="R505" i="7"/>
  <c r="P505" i="7"/>
  <c r="N505" i="7"/>
  <c r="M505" i="7"/>
  <c r="K505" i="7"/>
  <c r="V504" i="7"/>
  <c r="T504" i="7"/>
  <c r="R504" i="7"/>
  <c r="P504" i="7"/>
  <c r="N504" i="7"/>
  <c r="M504" i="7"/>
  <c r="K504" i="7"/>
  <c r="V503" i="7"/>
  <c r="T503" i="7"/>
  <c r="R503" i="7"/>
  <c r="P503" i="7"/>
  <c r="N503" i="7"/>
  <c r="M503" i="7"/>
  <c r="K503" i="7"/>
  <c r="V501" i="7"/>
  <c r="T501" i="7"/>
  <c r="R501" i="7"/>
  <c r="P501" i="7"/>
  <c r="N501" i="7"/>
  <c r="K501" i="7"/>
  <c r="V500" i="7"/>
  <c r="T500" i="7"/>
  <c r="R500" i="7"/>
  <c r="P500" i="7"/>
  <c r="N500" i="7"/>
  <c r="M500" i="7"/>
  <c r="K500" i="7"/>
  <c r="M497" i="7"/>
  <c r="K497" i="7"/>
  <c r="V496" i="7"/>
  <c r="V490" i="7"/>
  <c r="T490" i="7"/>
  <c r="R490" i="7"/>
  <c r="P490" i="7"/>
  <c r="N490" i="7"/>
  <c r="M490" i="7"/>
  <c r="K490" i="7"/>
  <c r="V483" i="7"/>
  <c r="T483" i="7"/>
  <c r="R483" i="7"/>
  <c r="P483" i="7"/>
  <c r="N483" i="7"/>
  <c r="M483" i="7"/>
  <c r="K483" i="7"/>
  <c r="V482" i="7"/>
  <c r="T482" i="7"/>
  <c r="R482" i="7"/>
  <c r="P482" i="7"/>
  <c r="N482" i="7"/>
  <c r="M482" i="7"/>
  <c r="K482" i="7"/>
  <c r="V478" i="7"/>
  <c r="T478" i="7"/>
  <c r="R478" i="7"/>
  <c r="P478" i="7"/>
  <c r="N478" i="7"/>
  <c r="M478" i="7"/>
  <c r="K478" i="7"/>
  <c r="Z478" i="7" s="1"/>
  <c r="V474" i="7"/>
  <c r="T474" i="7"/>
  <c r="R474" i="7"/>
  <c r="P474" i="7"/>
  <c r="N474" i="7"/>
  <c r="M474" i="7"/>
  <c r="K474" i="7"/>
  <c r="M471" i="7"/>
  <c r="K471" i="7"/>
  <c r="V470" i="7"/>
  <c r="T470" i="7"/>
  <c r="R470" i="7"/>
  <c r="P470" i="7"/>
  <c r="N470" i="7"/>
  <c r="K470" i="7"/>
  <c r="V469" i="7"/>
  <c r="T469" i="7"/>
  <c r="R469" i="7"/>
  <c r="P469" i="7"/>
  <c r="N469" i="7"/>
  <c r="M469" i="7"/>
  <c r="K469" i="7"/>
  <c r="K466" i="7"/>
  <c r="V462" i="7"/>
  <c r="T462" i="7"/>
  <c r="R462" i="7"/>
  <c r="P462" i="7"/>
  <c r="N462" i="7"/>
  <c r="M462" i="7"/>
  <c r="K462" i="7"/>
  <c r="V461" i="7"/>
  <c r="T461" i="7"/>
  <c r="R461" i="7"/>
  <c r="P461" i="7"/>
  <c r="N461" i="7"/>
  <c r="M461" i="7"/>
  <c r="K461" i="7"/>
  <c r="Z461" i="7" s="1"/>
  <c r="V457" i="7"/>
  <c r="T457" i="7"/>
  <c r="R457" i="7"/>
  <c r="P457" i="7"/>
  <c r="N457" i="7"/>
  <c r="M457" i="7"/>
  <c r="K457" i="7"/>
  <c r="V453" i="7"/>
  <c r="T453" i="7"/>
  <c r="R453" i="7"/>
  <c r="P453" i="7"/>
  <c r="N453" i="7"/>
  <c r="M453" i="7"/>
  <c r="K453" i="7"/>
  <c r="N450" i="7"/>
  <c r="K450" i="7"/>
  <c r="V449" i="7"/>
  <c r="T449" i="7"/>
  <c r="R449" i="7"/>
  <c r="P449" i="7"/>
  <c r="N449" i="7"/>
  <c r="M449" i="7"/>
  <c r="K449" i="7"/>
  <c r="V445" i="7"/>
  <c r="T445" i="7"/>
  <c r="R445" i="7"/>
  <c r="P445" i="7"/>
  <c r="N445" i="7"/>
  <c r="M445" i="7"/>
  <c r="K445" i="7"/>
  <c r="V442" i="7"/>
  <c r="T442" i="7"/>
  <c r="R442" i="7"/>
  <c r="P442" i="7"/>
  <c r="N442" i="7"/>
  <c r="M442" i="7"/>
  <c r="K442" i="7"/>
  <c r="V438" i="7"/>
  <c r="T438" i="7"/>
  <c r="R438" i="7"/>
  <c r="P438" i="7"/>
  <c r="N438" i="7"/>
  <c r="M438" i="7"/>
  <c r="K438" i="7"/>
  <c r="V434" i="7"/>
  <c r="T434" i="7"/>
  <c r="R434" i="7"/>
  <c r="P434" i="7"/>
  <c r="N434" i="7"/>
  <c r="M434" i="7"/>
  <c r="K434" i="7"/>
  <c r="V433" i="7"/>
  <c r="T433" i="7"/>
  <c r="R433" i="7"/>
  <c r="P433" i="7"/>
  <c r="N433" i="7"/>
  <c r="M433" i="7"/>
  <c r="K433" i="7"/>
  <c r="V429" i="7"/>
  <c r="T429" i="7"/>
  <c r="R429" i="7"/>
  <c r="P429" i="7"/>
  <c r="N429" i="7"/>
  <c r="M429" i="7"/>
  <c r="K429" i="7"/>
  <c r="P426" i="7"/>
  <c r="V422" i="7"/>
  <c r="T422" i="7"/>
  <c r="R422" i="7"/>
  <c r="P422" i="7"/>
  <c r="N422" i="7"/>
  <c r="M422" i="7"/>
  <c r="K422" i="7"/>
  <c r="V421" i="7"/>
  <c r="T421" i="7"/>
  <c r="R421" i="7"/>
  <c r="P421" i="7"/>
  <c r="N421" i="7"/>
  <c r="M421" i="7"/>
  <c r="K421" i="7"/>
  <c r="K418" i="7"/>
  <c r="V417" i="7"/>
  <c r="T417" i="7"/>
  <c r="R417" i="7"/>
  <c r="P417" i="7"/>
  <c r="N417" i="7"/>
  <c r="M417" i="7"/>
  <c r="K417" i="7"/>
  <c r="M414" i="7"/>
  <c r="K414" i="7"/>
  <c r="V413" i="7"/>
  <c r="T413" i="7"/>
  <c r="R413" i="7"/>
  <c r="P413" i="7"/>
  <c r="N413" i="7"/>
  <c r="M413" i="7"/>
  <c r="K413" i="7"/>
  <c r="Z413" i="7" s="1"/>
  <c r="V409" i="7"/>
  <c r="T409" i="7"/>
  <c r="R409" i="7"/>
  <c r="P409" i="7"/>
  <c r="N409" i="7"/>
  <c r="M409" i="7"/>
  <c r="K409" i="7"/>
  <c r="V405" i="7"/>
  <c r="T405" i="7"/>
  <c r="R405" i="7"/>
  <c r="P405" i="7"/>
  <c r="N405" i="7"/>
  <c r="M405" i="7"/>
  <c r="K405" i="7"/>
  <c r="M402" i="7"/>
  <c r="Z402" i="7" s="1"/>
  <c r="V235" i="7"/>
  <c r="T235" i="7"/>
  <c r="R235" i="7"/>
  <c r="P235" i="7"/>
  <c r="N235" i="7"/>
  <c r="M235" i="7"/>
  <c r="K235" i="7"/>
  <c r="Z235" i="7" s="1"/>
  <c r="V229" i="7"/>
  <c r="T229" i="7"/>
  <c r="R229" i="7"/>
  <c r="P229" i="7"/>
  <c r="N229" i="7"/>
  <c r="M229" i="7"/>
  <c r="K229" i="7"/>
  <c r="Z229" i="7" s="1"/>
  <c r="V223" i="7"/>
  <c r="T223" i="7"/>
  <c r="R223" i="7"/>
  <c r="P223" i="7"/>
  <c r="N223" i="7"/>
  <c r="M223" i="7"/>
  <c r="K223" i="7"/>
  <c r="Z223" i="7" s="1"/>
  <c r="V217" i="7"/>
  <c r="T217" i="7"/>
  <c r="R217" i="7"/>
  <c r="P217" i="7"/>
  <c r="M217" i="7"/>
  <c r="K217" i="7"/>
  <c r="Z217" i="7" s="1"/>
  <c r="V216" i="7"/>
  <c r="T216" i="7"/>
  <c r="R216" i="7"/>
  <c r="P216" i="7"/>
  <c r="N216" i="7"/>
  <c r="K216" i="7"/>
  <c r="M212" i="7"/>
  <c r="V211" i="7"/>
  <c r="T211" i="7"/>
  <c r="R211" i="7"/>
  <c r="P211" i="7"/>
  <c r="Z211" i="7" s="1"/>
  <c r="N211" i="7"/>
  <c r="T496" i="7"/>
  <c r="R496" i="7"/>
  <c r="P496" i="7"/>
  <c r="N496" i="7"/>
  <c r="M496" i="7"/>
  <c r="K496" i="7"/>
  <c r="V495" i="7"/>
  <c r="T495" i="7"/>
  <c r="R495" i="7"/>
  <c r="P495" i="7"/>
  <c r="N495" i="7"/>
  <c r="M495" i="7"/>
  <c r="K495" i="7"/>
  <c r="V494" i="7"/>
  <c r="T494" i="7"/>
  <c r="R494" i="7"/>
  <c r="P494" i="7"/>
  <c r="N494" i="7"/>
  <c r="M494" i="7"/>
  <c r="K494" i="7"/>
  <c r="V493" i="7"/>
  <c r="T493" i="7"/>
  <c r="R493" i="7"/>
  <c r="P493" i="7"/>
  <c r="N493" i="7"/>
  <c r="M493" i="7"/>
  <c r="K493" i="7"/>
  <c r="V492" i="7"/>
  <c r="T492" i="7"/>
  <c r="R492" i="7"/>
  <c r="P492" i="7"/>
  <c r="N492" i="7"/>
  <c r="M492" i="7"/>
  <c r="K492" i="7"/>
  <c r="V491" i="7"/>
  <c r="T491" i="7"/>
  <c r="R491" i="7"/>
  <c r="P491" i="7"/>
  <c r="N491" i="7"/>
  <c r="M491" i="7"/>
  <c r="K491" i="7"/>
  <c r="K401" i="7"/>
  <c r="V400" i="7"/>
  <c r="T400" i="7"/>
  <c r="R400" i="7"/>
  <c r="P400" i="7"/>
  <c r="N400" i="7"/>
  <c r="M400" i="7"/>
  <c r="K400" i="7"/>
  <c r="V399" i="7"/>
  <c r="T399" i="7"/>
  <c r="R399" i="7"/>
  <c r="P399" i="7"/>
  <c r="N399" i="7"/>
  <c r="M399" i="7"/>
  <c r="K399" i="7"/>
  <c r="V398" i="7"/>
  <c r="T398" i="7"/>
  <c r="R398" i="7"/>
  <c r="P398" i="7"/>
  <c r="N398" i="7"/>
  <c r="M398" i="7"/>
  <c r="K398" i="7"/>
  <c r="Z398" i="7" s="1"/>
  <c r="V397" i="7"/>
  <c r="T397" i="7"/>
  <c r="R397" i="7"/>
  <c r="P397" i="7"/>
  <c r="N397" i="7"/>
  <c r="M397" i="7"/>
  <c r="K397" i="7"/>
  <c r="V396" i="7"/>
  <c r="T396" i="7"/>
  <c r="R396" i="7"/>
  <c r="P396" i="7"/>
  <c r="N396" i="7"/>
  <c r="M396" i="7"/>
  <c r="K396" i="7"/>
  <c r="V395" i="7"/>
  <c r="T395" i="7"/>
  <c r="R395" i="7"/>
  <c r="P395" i="7"/>
  <c r="N395" i="7"/>
  <c r="M395" i="7"/>
  <c r="K395" i="7"/>
  <c r="V394" i="7"/>
  <c r="T394" i="7"/>
  <c r="R394" i="7"/>
  <c r="P394" i="7"/>
  <c r="N394" i="7"/>
  <c r="M394" i="7"/>
  <c r="K394" i="7"/>
  <c r="V393" i="7"/>
  <c r="T393" i="7"/>
  <c r="R393" i="7"/>
  <c r="P393" i="7"/>
  <c r="N393" i="7"/>
  <c r="M393" i="7"/>
  <c r="K393" i="7"/>
  <c r="V392" i="7"/>
  <c r="T392" i="7"/>
  <c r="R392" i="7"/>
  <c r="P392" i="7"/>
  <c r="N392" i="7"/>
  <c r="M392" i="7"/>
  <c r="K392" i="7"/>
  <c r="V391" i="7"/>
  <c r="T391" i="7"/>
  <c r="R391" i="7"/>
  <c r="P391" i="7"/>
  <c r="N391" i="7"/>
  <c r="M391" i="7"/>
  <c r="K391" i="7"/>
  <c r="Z391" i="7" s="1"/>
  <c r="V390" i="7"/>
  <c r="T390" i="7"/>
  <c r="R390" i="7"/>
  <c r="P390" i="7"/>
  <c r="N390" i="7"/>
  <c r="M390" i="7"/>
  <c r="K390" i="7"/>
  <c r="Z390" i="7" s="1"/>
  <c r="V389" i="7"/>
  <c r="T389" i="7"/>
  <c r="R389" i="7"/>
  <c r="P389" i="7"/>
  <c r="N389" i="7"/>
  <c r="M389" i="7"/>
  <c r="K389" i="7"/>
  <c r="Z389" i="7" s="1"/>
  <c r="V388" i="7"/>
  <c r="T388" i="7"/>
  <c r="R388" i="7"/>
  <c r="P388" i="7"/>
  <c r="N388" i="7"/>
  <c r="M388" i="7"/>
  <c r="K388" i="7"/>
  <c r="Z388" i="7" s="1"/>
  <c r="V387" i="7"/>
  <c r="T387" i="7"/>
  <c r="R387" i="7"/>
  <c r="P387" i="7"/>
  <c r="N387" i="7"/>
  <c r="M387" i="7"/>
  <c r="K387" i="7"/>
  <c r="V386" i="7"/>
  <c r="T386" i="7"/>
  <c r="R386" i="7"/>
  <c r="P386" i="7"/>
  <c r="N386" i="7"/>
  <c r="M386" i="7"/>
  <c r="K386" i="7"/>
  <c r="V385" i="7"/>
  <c r="T385" i="7"/>
  <c r="R385" i="7"/>
  <c r="P385" i="7"/>
  <c r="N385" i="7"/>
  <c r="M385" i="7"/>
  <c r="K385" i="7"/>
  <c r="V384" i="7"/>
  <c r="T384" i="7"/>
  <c r="R384" i="7"/>
  <c r="P384" i="7"/>
  <c r="N384" i="7"/>
  <c r="M384" i="7"/>
  <c r="K384" i="7"/>
  <c r="V383" i="7"/>
  <c r="T383" i="7"/>
  <c r="R383" i="7"/>
  <c r="P383" i="7"/>
  <c r="N383" i="7"/>
  <c r="M383" i="7"/>
  <c r="K383" i="7"/>
  <c r="V382" i="7"/>
  <c r="T382" i="7"/>
  <c r="R382" i="7"/>
  <c r="P382" i="7"/>
  <c r="N382" i="7"/>
  <c r="M382" i="7"/>
  <c r="K382" i="7"/>
  <c r="V381" i="7"/>
  <c r="T381" i="7"/>
  <c r="R381" i="7"/>
  <c r="P381" i="7"/>
  <c r="N381" i="7"/>
  <c r="M381" i="7"/>
  <c r="K381" i="7"/>
  <c r="V380" i="7"/>
  <c r="T380" i="7"/>
  <c r="R380" i="7"/>
  <c r="P380" i="7"/>
  <c r="N380" i="7"/>
  <c r="M380" i="7"/>
  <c r="K380" i="7"/>
  <c r="V379" i="7"/>
  <c r="T379" i="7"/>
  <c r="R379" i="7"/>
  <c r="P379" i="7"/>
  <c r="N379" i="7"/>
  <c r="M379" i="7"/>
  <c r="K379" i="7"/>
  <c r="V378" i="7"/>
  <c r="T378" i="7"/>
  <c r="R378" i="7"/>
  <c r="P378" i="7"/>
  <c r="N378" i="7"/>
  <c r="M378" i="7"/>
  <c r="K378" i="7"/>
  <c r="Z378" i="7" s="1"/>
  <c r="V377" i="7"/>
  <c r="T377" i="7"/>
  <c r="R377" i="7"/>
  <c r="P377" i="7"/>
  <c r="N377" i="7"/>
  <c r="M377" i="7"/>
  <c r="K377" i="7"/>
  <c r="V376" i="7"/>
  <c r="T376" i="7"/>
  <c r="R376" i="7"/>
  <c r="P376" i="7"/>
  <c r="N376" i="7"/>
  <c r="M376" i="7"/>
  <c r="K376" i="7"/>
  <c r="V375" i="7"/>
  <c r="T375" i="7"/>
  <c r="R375" i="7"/>
  <c r="P375" i="7"/>
  <c r="N375" i="7"/>
  <c r="M375" i="7"/>
  <c r="K375" i="7"/>
  <c r="V374" i="7"/>
  <c r="T374" i="7"/>
  <c r="R374" i="7"/>
  <c r="P374" i="7"/>
  <c r="N374" i="7"/>
  <c r="M374" i="7"/>
  <c r="K374" i="7"/>
  <c r="V373" i="7"/>
  <c r="T373" i="7"/>
  <c r="R373" i="7"/>
  <c r="P373" i="7"/>
  <c r="N373" i="7"/>
  <c r="M373" i="7"/>
  <c r="K373" i="7"/>
  <c r="V372" i="7"/>
  <c r="T372" i="7"/>
  <c r="R372" i="7"/>
  <c r="P372" i="7"/>
  <c r="N372" i="7"/>
  <c r="M372" i="7"/>
  <c r="K372" i="7"/>
  <c r="V371" i="7"/>
  <c r="T371" i="7"/>
  <c r="R371" i="7"/>
  <c r="P371" i="7"/>
  <c r="N371" i="7"/>
  <c r="M371" i="7"/>
  <c r="K371" i="7"/>
  <c r="V370" i="7"/>
  <c r="T370" i="7"/>
  <c r="R370" i="7"/>
  <c r="P370" i="7"/>
  <c r="N370" i="7"/>
  <c r="M370" i="7"/>
  <c r="K370" i="7"/>
  <c r="V369" i="7"/>
  <c r="T369" i="7"/>
  <c r="R369" i="7"/>
  <c r="P369" i="7"/>
  <c r="N369" i="7"/>
  <c r="M369" i="7"/>
  <c r="K369" i="7"/>
  <c r="V368" i="7"/>
  <c r="T368" i="7"/>
  <c r="R368" i="7"/>
  <c r="P368" i="7"/>
  <c r="N368" i="7"/>
  <c r="M368" i="7"/>
  <c r="K368" i="7"/>
  <c r="V367" i="7"/>
  <c r="T367" i="7"/>
  <c r="R367" i="7"/>
  <c r="P367" i="7"/>
  <c r="N367" i="7"/>
  <c r="M367" i="7"/>
  <c r="K367" i="7"/>
  <c r="V366" i="7"/>
  <c r="T366" i="7"/>
  <c r="R366" i="7"/>
  <c r="P366" i="7"/>
  <c r="N366" i="7"/>
  <c r="M366" i="7"/>
  <c r="K366" i="7"/>
  <c r="V365" i="7"/>
  <c r="T365" i="7"/>
  <c r="R365" i="7"/>
  <c r="P365" i="7"/>
  <c r="N365" i="7"/>
  <c r="M365" i="7"/>
  <c r="K365" i="7"/>
  <c r="V364" i="7"/>
  <c r="T364" i="7"/>
  <c r="R364" i="7"/>
  <c r="P364" i="7"/>
  <c r="N364" i="7"/>
  <c r="M364" i="7"/>
  <c r="K364" i="7"/>
  <c r="Z364" i="7" s="1"/>
  <c r="V363" i="7"/>
  <c r="T363" i="7"/>
  <c r="R363" i="7"/>
  <c r="P363" i="7"/>
  <c r="N363" i="7"/>
  <c r="M363" i="7"/>
  <c r="K363" i="7"/>
  <c r="Z363" i="7" s="1"/>
  <c r="V362" i="7"/>
  <c r="T362" i="7"/>
  <c r="R362" i="7"/>
  <c r="P362" i="7"/>
  <c r="N362" i="7"/>
  <c r="M362" i="7"/>
  <c r="K362" i="7"/>
  <c r="V361" i="7"/>
  <c r="T361" i="7"/>
  <c r="R361" i="7"/>
  <c r="P361" i="7"/>
  <c r="N361" i="7"/>
  <c r="M361" i="7"/>
  <c r="K361" i="7"/>
  <c r="Z361" i="7" s="1"/>
  <c r="V360" i="7"/>
  <c r="T360" i="7"/>
  <c r="R360" i="7"/>
  <c r="P360" i="7"/>
  <c r="N360" i="7"/>
  <c r="M360" i="7"/>
  <c r="K360" i="7"/>
  <c r="Z360" i="7" s="1"/>
  <c r="V359" i="7"/>
  <c r="T359" i="7"/>
  <c r="R359" i="7"/>
  <c r="P359" i="7"/>
  <c r="N359" i="7"/>
  <c r="M359" i="7"/>
  <c r="K359" i="7"/>
  <c r="Z359" i="7" s="1"/>
  <c r="V358" i="7"/>
  <c r="T358" i="7"/>
  <c r="R358" i="7"/>
  <c r="P358" i="7"/>
  <c r="N358" i="7"/>
  <c r="M358" i="7"/>
  <c r="K358" i="7"/>
  <c r="Z358" i="7" s="1"/>
  <c r="V357" i="7"/>
  <c r="T357" i="7"/>
  <c r="R357" i="7"/>
  <c r="P357" i="7"/>
  <c r="N357" i="7"/>
  <c r="M357" i="7"/>
  <c r="K357" i="7"/>
  <c r="Z357" i="7" s="1"/>
  <c r="V356" i="7"/>
  <c r="T356" i="7"/>
  <c r="R356" i="7"/>
  <c r="P356" i="7"/>
  <c r="N356" i="7"/>
  <c r="M356" i="7"/>
  <c r="K356" i="7"/>
  <c r="Z356" i="7" s="1"/>
  <c r="V355" i="7"/>
  <c r="T355" i="7"/>
  <c r="R355" i="7"/>
  <c r="P355" i="7"/>
  <c r="N355" i="7"/>
  <c r="M355" i="7"/>
  <c r="K355" i="7"/>
  <c r="Z355" i="7" s="1"/>
  <c r="V354" i="7"/>
  <c r="T354" i="7"/>
  <c r="R354" i="7"/>
  <c r="P354" i="7"/>
  <c r="N354" i="7"/>
  <c r="M354" i="7"/>
  <c r="K354" i="7"/>
  <c r="Z354" i="7" s="1"/>
  <c r="V353" i="7"/>
  <c r="T353" i="7"/>
  <c r="R353" i="7"/>
  <c r="P353" i="7"/>
  <c r="N353" i="7"/>
  <c r="M353" i="7"/>
  <c r="K353" i="7"/>
  <c r="Z353" i="7" s="1"/>
  <c r="V352" i="7"/>
  <c r="T352" i="7"/>
  <c r="R352" i="7"/>
  <c r="P352" i="7"/>
  <c r="N352" i="7"/>
  <c r="M352" i="7"/>
  <c r="K352" i="7"/>
  <c r="Z352" i="7" s="1"/>
  <c r="V351" i="7"/>
  <c r="T351" i="7"/>
  <c r="R351" i="7"/>
  <c r="P351" i="7"/>
  <c r="N351" i="7"/>
  <c r="M351" i="7"/>
  <c r="K351" i="7"/>
  <c r="Z351" i="7" s="1"/>
  <c r="V350" i="7"/>
  <c r="T350" i="7"/>
  <c r="R350" i="7"/>
  <c r="P350" i="7"/>
  <c r="N350" i="7"/>
  <c r="M350" i="7"/>
  <c r="K350" i="7"/>
  <c r="Z350" i="7" s="1"/>
  <c r="V349" i="7"/>
  <c r="T349" i="7"/>
  <c r="R349" i="7"/>
  <c r="P349" i="7"/>
  <c r="N349" i="7"/>
  <c r="M349" i="7"/>
  <c r="K349" i="7"/>
  <c r="Z349" i="7" s="1"/>
  <c r="V348" i="7"/>
  <c r="T348" i="7"/>
  <c r="R348" i="7"/>
  <c r="P348" i="7"/>
  <c r="N348" i="7"/>
  <c r="M348" i="7"/>
  <c r="K348" i="7"/>
  <c r="Z348" i="7" s="1"/>
  <c r="V347" i="7"/>
  <c r="T347" i="7"/>
  <c r="R347" i="7"/>
  <c r="P347" i="7"/>
  <c r="N347" i="7"/>
  <c r="M347" i="7"/>
  <c r="K347" i="7"/>
  <c r="Z347" i="7" s="1"/>
  <c r="V346" i="7"/>
  <c r="T346" i="7"/>
  <c r="R346" i="7"/>
  <c r="P346" i="7"/>
  <c r="N346" i="7"/>
  <c r="M346" i="7"/>
  <c r="K346" i="7"/>
  <c r="Z346" i="7" s="1"/>
  <c r="V345" i="7"/>
  <c r="T345" i="7"/>
  <c r="R345" i="7"/>
  <c r="P345" i="7"/>
  <c r="N345" i="7"/>
  <c r="M345" i="7"/>
  <c r="K345" i="7"/>
  <c r="Z345" i="7" s="1"/>
  <c r="V344" i="7"/>
  <c r="T344" i="7"/>
  <c r="R344" i="7"/>
  <c r="P344" i="7"/>
  <c r="N344" i="7"/>
  <c r="M344" i="7"/>
  <c r="K344" i="7"/>
  <c r="Z344" i="7" s="1"/>
  <c r="V343" i="7"/>
  <c r="T343" i="7"/>
  <c r="R343" i="7"/>
  <c r="P343" i="7"/>
  <c r="N343" i="7"/>
  <c r="M343" i="7"/>
  <c r="K343" i="7"/>
  <c r="Z343" i="7" s="1"/>
  <c r="V342" i="7"/>
  <c r="T342" i="7"/>
  <c r="R342" i="7"/>
  <c r="P342" i="7"/>
  <c r="N342" i="7"/>
  <c r="M342" i="7"/>
  <c r="K342" i="7"/>
  <c r="Z342" i="7" s="1"/>
  <c r="V341" i="7"/>
  <c r="T341" i="7"/>
  <c r="R341" i="7"/>
  <c r="P341" i="7"/>
  <c r="N341" i="7"/>
  <c r="M341" i="7"/>
  <c r="K341" i="7"/>
  <c r="Z341" i="7" s="1"/>
  <c r="V340" i="7"/>
  <c r="T340" i="7"/>
  <c r="R340" i="7"/>
  <c r="P340" i="7"/>
  <c r="N340" i="7"/>
  <c r="M340" i="7"/>
  <c r="K340" i="7"/>
  <c r="Z340" i="7" s="1"/>
  <c r="V339" i="7"/>
  <c r="T339" i="7"/>
  <c r="R339" i="7"/>
  <c r="P339" i="7"/>
  <c r="N339" i="7"/>
  <c r="M339" i="7"/>
  <c r="K339" i="7"/>
  <c r="Z339" i="7" s="1"/>
  <c r="V338" i="7"/>
  <c r="T338" i="7"/>
  <c r="R338" i="7"/>
  <c r="P338" i="7"/>
  <c r="N338" i="7"/>
  <c r="M338" i="7"/>
  <c r="K338" i="7"/>
  <c r="Z338" i="7" s="1"/>
  <c r="V337" i="7"/>
  <c r="T337" i="7"/>
  <c r="R337" i="7"/>
  <c r="P337" i="7"/>
  <c r="N337" i="7"/>
  <c r="M337" i="7"/>
  <c r="K337" i="7"/>
  <c r="Z337" i="7" s="1"/>
  <c r="V336" i="7"/>
  <c r="T336" i="7"/>
  <c r="R336" i="7"/>
  <c r="P336" i="7"/>
  <c r="N336" i="7"/>
  <c r="M336" i="7"/>
  <c r="K336" i="7"/>
  <c r="Z336" i="7" s="1"/>
  <c r="V335" i="7"/>
  <c r="T335" i="7"/>
  <c r="R335" i="7"/>
  <c r="P335" i="7"/>
  <c r="N335" i="7"/>
  <c r="M335" i="7"/>
  <c r="K335" i="7"/>
  <c r="Z335" i="7" s="1"/>
  <c r="V334" i="7"/>
  <c r="T334" i="7"/>
  <c r="R334" i="7"/>
  <c r="P334" i="7"/>
  <c r="N334" i="7"/>
  <c r="M334" i="7"/>
  <c r="K334" i="7"/>
  <c r="Z334" i="7" s="1"/>
  <c r="V333" i="7"/>
  <c r="T333" i="7"/>
  <c r="R333" i="7"/>
  <c r="P333" i="7"/>
  <c r="N333" i="7"/>
  <c r="M333" i="7"/>
  <c r="K333" i="7"/>
  <c r="Z333" i="7" s="1"/>
  <c r="V332" i="7"/>
  <c r="T332" i="7"/>
  <c r="R332" i="7"/>
  <c r="P332" i="7"/>
  <c r="N332" i="7"/>
  <c r="M332" i="7"/>
  <c r="K332" i="7"/>
  <c r="Z332" i="7" s="1"/>
  <c r="V331" i="7"/>
  <c r="T331" i="7"/>
  <c r="R331" i="7"/>
  <c r="P331" i="7"/>
  <c r="N331" i="7"/>
  <c r="M331" i="7"/>
  <c r="K331" i="7"/>
  <c r="Z331" i="7" s="1"/>
  <c r="V330" i="7"/>
  <c r="T330" i="7"/>
  <c r="R330" i="7"/>
  <c r="P330" i="7"/>
  <c r="N330" i="7"/>
  <c r="M330" i="7"/>
  <c r="K330" i="7"/>
  <c r="Z330" i="7" s="1"/>
  <c r="V329" i="7"/>
  <c r="T329" i="7"/>
  <c r="R329" i="7"/>
  <c r="P329" i="7"/>
  <c r="N329" i="7"/>
  <c r="M329" i="7"/>
  <c r="K329" i="7"/>
  <c r="Z329" i="7" s="1"/>
  <c r="V328" i="7"/>
  <c r="T328" i="7"/>
  <c r="R328" i="7"/>
  <c r="P328" i="7"/>
  <c r="N328" i="7"/>
  <c r="M328" i="7"/>
  <c r="K328" i="7"/>
  <c r="Z328" i="7" s="1"/>
  <c r="V327" i="7"/>
  <c r="T327" i="7"/>
  <c r="R327" i="7"/>
  <c r="P327" i="7"/>
  <c r="N327" i="7"/>
  <c r="M327" i="7"/>
  <c r="K327" i="7"/>
  <c r="Z327" i="7" s="1"/>
  <c r="V326" i="7"/>
  <c r="T326" i="7"/>
  <c r="R326" i="7"/>
  <c r="P326" i="7"/>
  <c r="N326" i="7"/>
  <c r="M326" i="7"/>
  <c r="K326" i="7"/>
  <c r="Z326" i="7" s="1"/>
  <c r="V325" i="7"/>
  <c r="T325" i="7"/>
  <c r="R325" i="7"/>
  <c r="P325" i="7"/>
  <c r="N325" i="7"/>
  <c r="M325" i="7"/>
  <c r="K325" i="7"/>
  <c r="Z325" i="7" s="1"/>
  <c r="V324" i="7"/>
  <c r="T324" i="7"/>
  <c r="R324" i="7"/>
  <c r="P324" i="7"/>
  <c r="N324" i="7"/>
  <c r="M324" i="7"/>
  <c r="K324" i="7"/>
  <c r="Z324" i="7" s="1"/>
  <c r="V323" i="7"/>
  <c r="T323" i="7"/>
  <c r="R323" i="7"/>
  <c r="P323" i="7"/>
  <c r="N323" i="7"/>
  <c r="M323" i="7"/>
  <c r="K323" i="7"/>
  <c r="Z323" i="7" s="1"/>
  <c r="V322" i="7"/>
  <c r="T322" i="7"/>
  <c r="R322" i="7"/>
  <c r="P322" i="7"/>
  <c r="N322" i="7"/>
  <c r="M322" i="7"/>
  <c r="K322" i="7"/>
  <c r="Z322" i="7" s="1"/>
  <c r="V321" i="7"/>
  <c r="T321" i="7"/>
  <c r="R321" i="7"/>
  <c r="P321" i="7"/>
  <c r="N321" i="7"/>
  <c r="M321" i="7"/>
  <c r="K321" i="7"/>
  <c r="Z321" i="7" s="1"/>
  <c r="V320" i="7"/>
  <c r="T320" i="7"/>
  <c r="R320" i="7"/>
  <c r="P320" i="7"/>
  <c r="N320" i="7"/>
  <c r="M320" i="7"/>
  <c r="K320" i="7"/>
  <c r="Z320" i="7" s="1"/>
  <c r="V319" i="7"/>
  <c r="T319" i="7"/>
  <c r="R319" i="7"/>
  <c r="P319" i="7"/>
  <c r="N319" i="7"/>
  <c r="M319" i="7"/>
  <c r="K319" i="7"/>
  <c r="Z319" i="7" s="1"/>
  <c r="V318" i="7"/>
  <c r="T318" i="7"/>
  <c r="R318" i="7"/>
  <c r="P318" i="7"/>
  <c r="N318" i="7"/>
  <c r="M318" i="7"/>
  <c r="K318" i="7"/>
  <c r="Z318" i="7" s="1"/>
  <c r="V317" i="7"/>
  <c r="T317" i="7"/>
  <c r="R317" i="7"/>
  <c r="P317" i="7"/>
  <c r="N317" i="7"/>
  <c r="M317" i="7"/>
  <c r="K317" i="7"/>
  <c r="Z317" i="7" s="1"/>
  <c r="V316" i="7"/>
  <c r="T316" i="7"/>
  <c r="R316" i="7"/>
  <c r="P316" i="7"/>
  <c r="N316" i="7"/>
  <c r="M316" i="7"/>
  <c r="K316" i="7"/>
  <c r="Z316" i="7" s="1"/>
  <c r="V315" i="7"/>
  <c r="T315" i="7"/>
  <c r="R315" i="7"/>
  <c r="P315" i="7"/>
  <c r="N315" i="7"/>
  <c r="M315" i="7"/>
  <c r="K315" i="7"/>
  <c r="Z315" i="7" s="1"/>
  <c r="V314" i="7"/>
  <c r="T314" i="7"/>
  <c r="R314" i="7"/>
  <c r="P314" i="7"/>
  <c r="N314" i="7"/>
  <c r="M314" i="7"/>
  <c r="K314" i="7"/>
  <c r="Z314" i="7" s="1"/>
  <c r="V313" i="7"/>
  <c r="T313" i="7"/>
  <c r="R313" i="7"/>
  <c r="P313" i="7"/>
  <c r="N313" i="7"/>
  <c r="M313" i="7"/>
  <c r="K313" i="7"/>
  <c r="Z313" i="7" s="1"/>
  <c r="V312" i="7"/>
  <c r="T312" i="7"/>
  <c r="R312" i="7"/>
  <c r="P312" i="7"/>
  <c r="N312" i="7"/>
  <c r="M312" i="7"/>
  <c r="K312" i="7"/>
  <c r="Z312" i="7" s="1"/>
  <c r="V311" i="7"/>
  <c r="T311" i="7"/>
  <c r="R311" i="7"/>
  <c r="P311" i="7"/>
  <c r="N311" i="7"/>
  <c r="M311" i="7"/>
  <c r="K311" i="7"/>
  <c r="Z311" i="7" s="1"/>
  <c r="V310" i="7"/>
  <c r="T310" i="7"/>
  <c r="R310" i="7"/>
  <c r="P310" i="7"/>
  <c r="N310" i="7"/>
  <c r="M310" i="7"/>
  <c r="K310" i="7"/>
  <c r="Z310" i="7" s="1"/>
  <c r="V309" i="7"/>
  <c r="T309" i="7"/>
  <c r="R309" i="7"/>
  <c r="P309" i="7"/>
  <c r="N309" i="7"/>
  <c r="M309" i="7"/>
  <c r="K309" i="7"/>
  <c r="Z309" i="7" s="1"/>
  <c r="V308" i="7"/>
  <c r="T308" i="7"/>
  <c r="R308" i="7"/>
  <c r="P308" i="7"/>
  <c r="N308" i="7"/>
  <c r="M308" i="7"/>
  <c r="K308" i="7"/>
  <c r="Z308" i="7" s="1"/>
  <c r="V307" i="7"/>
  <c r="T307" i="7"/>
  <c r="R307" i="7"/>
  <c r="P307" i="7"/>
  <c r="N307" i="7"/>
  <c r="M307" i="7"/>
  <c r="K307" i="7"/>
  <c r="Z307" i="7" s="1"/>
  <c r="V306" i="7"/>
  <c r="T306" i="7"/>
  <c r="R306" i="7"/>
  <c r="P306" i="7"/>
  <c r="N306" i="7"/>
  <c r="M306" i="7"/>
  <c r="K306" i="7"/>
  <c r="Z306" i="7" s="1"/>
  <c r="V305" i="7"/>
  <c r="T305" i="7"/>
  <c r="R305" i="7"/>
  <c r="N302" i="7"/>
  <c r="M302" i="7"/>
  <c r="K302" i="7"/>
  <c r="V301" i="7"/>
  <c r="T301" i="7"/>
  <c r="R301" i="7"/>
  <c r="P301" i="7"/>
  <c r="N301" i="7"/>
  <c r="M301" i="7"/>
  <c r="K301" i="7"/>
  <c r="Z301" i="7" s="1"/>
  <c r="V300" i="7"/>
  <c r="T300" i="7"/>
  <c r="R300" i="7"/>
  <c r="P300" i="7"/>
  <c r="N300" i="7"/>
  <c r="M300" i="7"/>
  <c r="K300" i="7"/>
  <c r="Z300" i="7" s="1"/>
  <c r="V299" i="7"/>
  <c r="T299" i="7"/>
  <c r="R299" i="7"/>
  <c r="P299" i="7"/>
  <c r="N299" i="7"/>
  <c r="M299" i="7"/>
  <c r="K299" i="7"/>
  <c r="Z299" i="7" s="1"/>
  <c r="V298" i="7"/>
  <c r="T298" i="7"/>
  <c r="R298" i="7"/>
  <c r="P298" i="7"/>
  <c r="N298" i="7"/>
  <c r="M298" i="7"/>
  <c r="K298" i="7"/>
  <c r="Z298" i="7" s="1"/>
  <c r="V297" i="7"/>
  <c r="T297" i="7"/>
  <c r="R297" i="7"/>
  <c r="P297" i="7"/>
  <c r="N297" i="7"/>
  <c r="M297" i="7"/>
  <c r="K297" i="7"/>
  <c r="Z297" i="7" s="1"/>
  <c r="V296" i="7"/>
  <c r="T296" i="7"/>
  <c r="R296" i="7"/>
  <c r="P296" i="7"/>
  <c r="N296" i="7"/>
  <c r="M296" i="7"/>
  <c r="K296" i="7"/>
  <c r="Z296" i="7" s="1"/>
  <c r="V295" i="7"/>
  <c r="T295" i="7"/>
  <c r="R295" i="7"/>
  <c r="P295" i="7"/>
  <c r="N295" i="7"/>
  <c r="M295" i="7"/>
  <c r="K295" i="7"/>
  <c r="Z295" i="7" s="1"/>
  <c r="V294" i="7"/>
  <c r="T294" i="7"/>
  <c r="R294" i="7"/>
  <c r="P294" i="7"/>
  <c r="N294" i="7"/>
  <c r="M294" i="7"/>
  <c r="K294" i="7"/>
  <c r="Z294" i="7" s="1"/>
  <c r="V293" i="7"/>
  <c r="T293" i="7"/>
  <c r="R293" i="7"/>
  <c r="P293" i="7"/>
  <c r="N293" i="7"/>
  <c r="M293" i="7"/>
  <c r="K293" i="7"/>
  <c r="Z293" i="7" s="1"/>
  <c r="V292" i="7"/>
  <c r="T292" i="7"/>
  <c r="R292" i="7"/>
  <c r="P292" i="7"/>
  <c r="N292" i="7"/>
  <c r="M292" i="7"/>
  <c r="K292" i="7"/>
  <c r="Z292" i="7" s="1"/>
  <c r="V291" i="7"/>
  <c r="T291" i="7"/>
  <c r="R291" i="7"/>
  <c r="P291" i="7"/>
  <c r="N291" i="7"/>
  <c r="M291" i="7"/>
  <c r="K291" i="7"/>
  <c r="Z291" i="7" s="1"/>
  <c r="V290" i="7"/>
  <c r="T290" i="7"/>
  <c r="R290" i="7"/>
  <c r="P290" i="7"/>
  <c r="N290" i="7"/>
  <c r="M290" i="7"/>
  <c r="K290" i="7"/>
  <c r="Z290" i="7" s="1"/>
  <c r="V289" i="7"/>
  <c r="T289" i="7"/>
  <c r="R289" i="7"/>
  <c r="P289" i="7"/>
  <c r="N289" i="7"/>
  <c r="M289" i="7"/>
  <c r="K289" i="7"/>
  <c r="V288" i="7"/>
  <c r="T288" i="7"/>
  <c r="R288" i="7"/>
  <c r="P288" i="7"/>
  <c r="N288" i="7"/>
  <c r="M288" i="7"/>
  <c r="K288" i="7"/>
  <c r="Z288" i="7" s="1"/>
  <c r="V287" i="7"/>
  <c r="T287" i="7"/>
  <c r="R287" i="7"/>
  <c r="P287" i="7"/>
  <c r="N287" i="7"/>
  <c r="M287" i="7"/>
  <c r="K287" i="7"/>
  <c r="Z287" i="7" s="1"/>
  <c r="V286" i="7"/>
  <c r="T286" i="7"/>
  <c r="R286" i="7"/>
  <c r="P286" i="7"/>
  <c r="N286" i="7"/>
  <c r="M286" i="7"/>
  <c r="K286" i="7"/>
  <c r="V285" i="7"/>
  <c r="T285" i="7"/>
  <c r="R285" i="7"/>
  <c r="P285" i="7"/>
  <c r="N285" i="7"/>
  <c r="M285" i="7"/>
  <c r="K285" i="7"/>
  <c r="Z285" i="7" s="1"/>
  <c r="V284" i="7"/>
  <c r="T284" i="7"/>
  <c r="R284" i="7"/>
  <c r="P284" i="7"/>
  <c r="N284" i="7"/>
  <c r="M284" i="7"/>
  <c r="K284" i="7"/>
  <c r="Z284" i="7" s="1"/>
  <c r="V283" i="7"/>
  <c r="T283" i="7"/>
  <c r="R283" i="7"/>
  <c r="P283" i="7"/>
  <c r="N283" i="7"/>
  <c r="M283" i="7"/>
  <c r="K283" i="7"/>
  <c r="Z283" i="7" s="1"/>
  <c r="V282" i="7"/>
  <c r="T282" i="7"/>
  <c r="R282" i="7"/>
  <c r="P282" i="7"/>
  <c r="N282" i="7"/>
  <c r="M282" i="7"/>
  <c r="K282" i="7"/>
  <c r="Z282" i="7" s="1"/>
  <c r="V281" i="7"/>
  <c r="T281" i="7"/>
  <c r="R281" i="7"/>
  <c r="P281" i="7"/>
  <c r="N281" i="7"/>
  <c r="M281" i="7"/>
  <c r="K281" i="7"/>
  <c r="Z281" i="7" s="1"/>
  <c r="V280" i="7"/>
  <c r="T280" i="7"/>
  <c r="R280" i="7"/>
  <c r="P280" i="7"/>
  <c r="N280" i="7"/>
  <c r="M280" i="7"/>
  <c r="K280" i="7"/>
  <c r="Z280" i="7" s="1"/>
  <c r="V279" i="7"/>
  <c r="T279" i="7"/>
  <c r="R279" i="7"/>
  <c r="P279" i="7"/>
  <c r="N279" i="7"/>
  <c r="M279" i="7"/>
  <c r="K279" i="7"/>
  <c r="Z279" i="7" s="1"/>
  <c r="V278" i="7"/>
  <c r="T278" i="7"/>
  <c r="R278" i="7"/>
  <c r="P278" i="7"/>
  <c r="N278" i="7"/>
  <c r="M278" i="7"/>
  <c r="K278" i="7"/>
  <c r="Z278" i="7" s="1"/>
  <c r="V277" i="7"/>
  <c r="T277" i="7"/>
  <c r="R277" i="7"/>
  <c r="P277" i="7"/>
  <c r="N277" i="7"/>
  <c r="M277" i="7"/>
  <c r="K277" i="7"/>
  <c r="Z277" i="7" s="1"/>
  <c r="V276" i="7"/>
  <c r="T276" i="7"/>
  <c r="R276" i="7"/>
  <c r="P276" i="7"/>
  <c r="N276" i="7"/>
  <c r="M276" i="7"/>
  <c r="K276" i="7"/>
  <c r="Z276" i="7" s="1"/>
  <c r="V275" i="7"/>
  <c r="T275" i="7"/>
  <c r="R275" i="7"/>
  <c r="P275" i="7"/>
  <c r="N275" i="7"/>
  <c r="M275" i="7"/>
  <c r="K275" i="7"/>
  <c r="Z275" i="7" s="1"/>
  <c r="V274" i="7"/>
  <c r="T274" i="7"/>
  <c r="R274" i="7"/>
  <c r="P274" i="7"/>
  <c r="N274" i="7"/>
  <c r="M274" i="7"/>
  <c r="K274" i="7"/>
  <c r="Z274" i="7" s="1"/>
  <c r="V273" i="7"/>
  <c r="T273" i="7"/>
  <c r="R273" i="7"/>
  <c r="P273" i="7"/>
  <c r="N273" i="7"/>
  <c r="M273" i="7"/>
  <c r="K273" i="7"/>
  <c r="Z273" i="7" s="1"/>
  <c r="V272" i="7"/>
  <c r="T272" i="7"/>
  <c r="R272" i="7"/>
  <c r="P272" i="7"/>
  <c r="N272" i="7"/>
  <c r="M272" i="7"/>
  <c r="K272" i="7"/>
  <c r="Z272" i="7" s="1"/>
  <c r="V271" i="7"/>
  <c r="T271" i="7"/>
  <c r="R271" i="7"/>
  <c r="P271" i="7"/>
  <c r="N271" i="7"/>
  <c r="M271" i="7"/>
  <c r="K271" i="7"/>
  <c r="Z271" i="7" s="1"/>
  <c r="V270" i="7"/>
  <c r="T270" i="7"/>
  <c r="R270" i="7"/>
  <c r="P270" i="7"/>
  <c r="N270" i="7"/>
  <c r="M270" i="7"/>
  <c r="K270" i="7"/>
  <c r="Z270" i="7" s="1"/>
  <c r="V269" i="7"/>
  <c r="T269" i="7"/>
  <c r="R269" i="7"/>
  <c r="P269" i="7"/>
  <c r="N269" i="7"/>
  <c r="M269" i="7"/>
  <c r="K269" i="7"/>
  <c r="Z269" i="7" s="1"/>
  <c r="V268" i="7"/>
  <c r="T268" i="7"/>
  <c r="R268" i="7"/>
  <c r="P268" i="7"/>
  <c r="N268" i="7"/>
  <c r="M268" i="7"/>
  <c r="K268" i="7"/>
  <c r="Z268" i="7" s="1"/>
  <c r="V267" i="7"/>
  <c r="T267" i="7"/>
  <c r="R267" i="7"/>
  <c r="P267" i="7"/>
  <c r="N267" i="7"/>
  <c r="M267" i="7"/>
  <c r="K267" i="7"/>
  <c r="Z267" i="7" s="1"/>
  <c r="V266" i="7"/>
  <c r="T266" i="7"/>
  <c r="R266" i="7"/>
  <c r="P266" i="7"/>
  <c r="N266" i="7"/>
  <c r="M266" i="7"/>
  <c r="K266" i="7"/>
  <c r="Z266" i="7" s="1"/>
  <c r="V264" i="7"/>
  <c r="T264" i="7"/>
  <c r="R264" i="7"/>
  <c r="P264" i="7"/>
  <c r="N264" i="7"/>
  <c r="M264" i="7"/>
  <c r="K264" i="7"/>
  <c r="Z264" i="7" s="1"/>
  <c r="V262" i="7"/>
  <c r="T262" i="7"/>
  <c r="R262" i="7"/>
  <c r="P262" i="7"/>
  <c r="N262" i="7"/>
  <c r="M262" i="7"/>
  <c r="K262" i="7"/>
  <c r="Z262" i="7" s="1"/>
  <c r="V260" i="7"/>
  <c r="T260" i="7"/>
  <c r="R260" i="7"/>
  <c r="P260" i="7"/>
  <c r="N260" i="7"/>
  <c r="M260" i="7"/>
  <c r="K260" i="7"/>
  <c r="Z260" i="7" s="1"/>
  <c r="V258" i="7"/>
  <c r="T258" i="7"/>
  <c r="R258" i="7"/>
  <c r="P258" i="7"/>
  <c r="N258" i="7"/>
  <c r="M258" i="7"/>
  <c r="K258" i="7"/>
  <c r="Z258" i="7" s="1"/>
  <c r="V256" i="7"/>
  <c r="T256" i="7"/>
  <c r="R256" i="7"/>
  <c r="P256" i="7"/>
  <c r="N256" i="7"/>
  <c r="M256" i="7"/>
  <c r="K256" i="7"/>
  <c r="Z256" i="7" s="1"/>
  <c r="V254" i="7"/>
  <c r="T254" i="7"/>
  <c r="R254" i="7"/>
  <c r="P254" i="7"/>
  <c r="N254" i="7"/>
  <c r="M254" i="7"/>
  <c r="K254" i="7"/>
  <c r="Z254" i="7" s="1"/>
  <c r="V253" i="7"/>
  <c r="T253" i="7"/>
  <c r="P253" i="7"/>
  <c r="N253" i="7"/>
  <c r="V251" i="7"/>
  <c r="T251" i="7"/>
  <c r="R251" i="7"/>
  <c r="P251" i="7"/>
  <c r="N251" i="7"/>
  <c r="V249" i="7"/>
  <c r="T249" i="7"/>
  <c r="R249" i="7"/>
  <c r="N249" i="7"/>
  <c r="K249" i="7"/>
  <c r="V247" i="7"/>
  <c r="T247" i="7"/>
  <c r="R247" i="7"/>
  <c r="P247" i="7"/>
  <c r="N247" i="7"/>
  <c r="M247" i="7"/>
  <c r="K247" i="7"/>
  <c r="Z247" i="7" s="1"/>
  <c r="V245" i="7"/>
  <c r="T245" i="7"/>
  <c r="R245" i="7"/>
  <c r="P245" i="7"/>
  <c r="N245" i="7"/>
  <c r="M245" i="7"/>
  <c r="K245" i="7"/>
  <c r="Z245" i="7" s="1"/>
  <c r="N240" i="7"/>
  <c r="V239" i="7"/>
  <c r="T239" i="7"/>
  <c r="R239" i="7"/>
  <c r="P239" i="7"/>
  <c r="N239" i="7"/>
  <c r="M239" i="7"/>
  <c r="K239" i="7"/>
  <c r="Z239" i="7" s="1"/>
  <c r="V238" i="7"/>
  <c r="T238" i="7"/>
  <c r="R238" i="7"/>
  <c r="P238" i="7"/>
  <c r="N238" i="7"/>
  <c r="M238" i="7"/>
  <c r="K238" i="7"/>
  <c r="Z238" i="7" s="1"/>
  <c r="V237" i="7"/>
  <c r="T237" i="7"/>
  <c r="R237" i="7"/>
  <c r="P237" i="7"/>
  <c r="N237" i="7"/>
  <c r="M237" i="7"/>
  <c r="K237" i="7"/>
  <c r="Z237" i="7" s="1"/>
  <c r="V232" i="7"/>
  <c r="T232" i="7"/>
  <c r="R232" i="7"/>
  <c r="P232" i="7"/>
  <c r="N232" i="7"/>
  <c r="M232" i="7"/>
  <c r="Z232" i="7" s="1"/>
  <c r="R222" i="7"/>
  <c r="P222" i="7"/>
  <c r="N222" i="7"/>
  <c r="N217" i="7"/>
  <c r="V212" i="7"/>
  <c r="T212" i="7"/>
  <c r="R212" i="7"/>
  <c r="P212" i="7"/>
  <c r="K212" i="7"/>
  <c r="P305" i="7"/>
  <c r="N305" i="7"/>
  <c r="M305" i="7"/>
  <c r="K305" i="7"/>
  <c r="V304" i="7"/>
  <c r="T304" i="7"/>
  <c r="R304" i="7"/>
  <c r="P304" i="7"/>
  <c r="N304" i="7"/>
  <c r="M304" i="7"/>
  <c r="K304" i="7"/>
  <c r="Z304" i="7" s="1"/>
  <c r="V303" i="7"/>
  <c r="T303" i="7"/>
  <c r="R303" i="7"/>
  <c r="P303" i="7"/>
  <c r="N303" i="7"/>
  <c r="M303" i="7"/>
  <c r="K303" i="7"/>
  <c r="Z303" i="7" s="1"/>
  <c r="V302" i="7"/>
  <c r="T302" i="7"/>
  <c r="R302" i="7"/>
  <c r="P302" i="7"/>
  <c r="V265" i="7"/>
  <c r="T265" i="7"/>
  <c r="R265" i="7"/>
  <c r="P265" i="7"/>
  <c r="N265" i="7"/>
  <c r="M265" i="7"/>
  <c r="K265" i="7"/>
  <c r="Z265" i="7" s="1"/>
  <c r="V263" i="7"/>
  <c r="T263" i="7"/>
  <c r="R263" i="7"/>
  <c r="P263" i="7"/>
  <c r="N263" i="7"/>
  <c r="M263" i="7"/>
  <c r="K263" i="7"/>
  <c r="Z263" i="7" s="1"/>
  <c r="V261" i="7"/>
  <c r="T261" i="7"/>
  <c r="R261" i="7"/>
  <c r="P261" i="7"/>
  <c r="N261" i="7"/>
  <c r="M261" i="7"/>
  <c r="K261" i="7"/>
  <c r="Z261" i="7" s="1"/>
  <c r="V259" i="7"/>
  <c r="T259" i="7"/>
  <c r="R259" i="7"/>
  <c r="P259" i="7"/>
  <c r="N259" i="7"/>
  <c r="M259" i="7"/>
  <c r="K259" i="7"/>
  <c r="Z259" i="7" s="1"/>
  <c r="V257" i="7"/>
  <c r="T257" i="7"/>
  <c r="R257" i="7"/>
  <c r="P257" i="7"/>
  <c r="N257" i="7"/>
  <c r="M257" i="7"/>
  <c r="K257" i="7"/>
  <c r="Z257" i="7" s="1"/>
  <c r="V255" i="7"/>
  <c r="T255" i="7"/>
  <c r="R255" i="7"/>
  <c r="P255" i="7"/>
  <c r="N255" i="7"/>
  <c r="M255" i="7"/>
  <c r="K255" i="7"/>
  <c r="Z255" i="7" s="1"/>
  <c r="R253" i="7"/>
  <c r="M253" i="7"/>
  <c r="K253" i="7"/>
  <c r="Z253" i="7" s="1"/>
  <c r="V252" i="7"/>
  <c r="T252" i="7"/>
  <c r="R252" i="7"/>
  <c r="P252" i="7"/>
  <c r="N252" i="7"/>
  <c r="M252" i="7"/>
  <c r="K252" i="7"/>
  <c r="Z252" i="7" s="1"/>
  <c r="M251" i="7"/>
  <c r="K251" i="7"/>
  <c r="Z251" i="7" s="1"/>
  <c r="V250" i="7"/>
  <c r="T250" i="7"/>
  <c r="R250" i="7"/>
  <c r="P250" i="7"/>
  <c r="N250" i="7"/>
  <c r="M250" i="7"/>
  <c r="K250" i="7"/>
  <c r="Z250" i="7" s="1"/>
  <c r="P249" i="7"/>
  <c r="M249" i="7"/>
  <c r="Z249" i="7" s="1"/>
  <c r="V248" i="7"/>
  <c r="T248" i="7"/>
  <c r="R248" i="7"/>
  <c r="P248" i="7"/>
  <c r="N248" i="7"/>
  <c r="M248" i="7"/>
  <c r="K248" i="7"/>
  <c r="Z248" i="7" s="1"/>
  <c r="V246" i="7"/>
  <c r="T246" i="7"/>
  <c r="R246" i="7"/>
  <c r="P246" i="7"/>
  <c r="N246" i="7"/>
  <c r="M246" i="7"/>
  <c r="K246" i="7"/>
  <c r="Z246" i="7" s="1"/>
  <c r="T234" i="7"/>
  <c r="M234" i="7"/>
  <c r="K234" i="7"/>
  <c r="V233" i="7"/>
  <c r="T233" i="7"/>
  <c r="R233" i="7"/>
  <c r="P233" i="7"/>
  <c r="N233" i="7"/>
  <c r="M233" i="7"/>
  <c r="K233" i="7"/>
  <c r="Z233" i="7" s="1"/>
  <c r="V222" i="7"/>
  <c r="T222" i="7"/>
  <c r="M222" i="7"/>
  <c r="K222" i="7"/>
  <c r="Z222" i="7" s="1"/>
  <c r="V221" i="7"/>
  <c r="T221" i="7"/>
  <c r="R221" i="7"/>
  <c r="P221" i="7"/>
  <c r="N221" i="7"/>
  <c r="M221" i="7"/>
  <c r="K221" i="7"/>
  <c r="Z221" i="7" s="1"/>
  <c r="V220" i="7"/>
  <c r="T220" i="7"/>
  <c r="R220" i="7"/>
  <c r="P220" i="7"/>
  <c r="N220" i="7"/>
  <c r="M220" i="7"/>
  <c r="K220" i="7"/>
  <c r="Z220" i="7" s="1"/>
  <c r="V219" i="7"/>
  <c r="T219" i="7"/>
  <c r="R219" i="7"/>
  <c r="P219" i="7"/>
  <c r="N219" i="7"/>
  <c r="M219" i="7"/>
  <c r="K219" i="7"/>
  <c r="Z219" i="7" s="1"/>
  <c r="V214" i="7"/>
  <c r="T214" i="7"/>
  <c r="R214" i="7"/>
  <c r="P214" i="7"/>
  <c r="N214" i="7"/>
  <c r="M214" i="7"/>
  <c r="K214" i="7"/>
  <c r="Z214" i="7" s="1"/>
  <c r="V209" i="7"/>
  <c r="T209" i="7"/>
  <c r="R209" i="7"/>
  <c r="P209" i="7"/>
  <c r="N209" i="7"/>
  <c r="M209" i="7"/>
  <c r="K209" i="7"/>
  <c r="Z209" i="7" s="1"/>
  <c r="V208" i="7"/>
  <c r="T208" i="7"/>
  <c r="R208" i="7"/>
  <c r="P208" i="7"/>
  <c r="N208" i="7"/>
  <c r="M208" i="7"/>
  <c r="K208" i="7"/>
  <c r="Z208" i="7" s="1"/>
  <c r="V207" i="7"/>
  <c r="T207" i="7"/>
  <c r="R207" i="7"/>
  <c r="P207" i="7"/>
  <c r="N207" i="7"/>
  <c r="M207" i="7"/>
  <c r="K207" i="7"/>
  <c r="Z207" i="7" s="1"/>
  <c r="V206" i="7"/>
  <c r="T206" i="7"/>
  <c r="R206" i="7"/>
  <c r="P206" i="7"/>
  <c r="N206" i="7"/>
  <c r="M206" i="7"/>
  <c r="K206" i="7"/>
  <c r="Z206" i="7" s="1"/>
  <c r="V205" i="7"/>
  <c r="T205" i="7"/>
  <c r="R205" i="7"/>
  <c r="P205" i="7"/>
  <c r="N205" i="7"/>
  <c r="M205" i="7"/>
  <c r="K205" i="7"/>
  <c r="Z205" i="7" s="1"/>
  <c r="V204" i="7"/>
  <c r="T204" i="7"/>
  <c r="R204" i="7"/>
  <c r="P204" i="7"/>
  <c r="N204" i="7"/>
  <c r="M204" i="7"/>
  <c r="K204" i="7"/>
  <c r="Z204" i="7" s="1"/>
  <c r="V203" i="7"/>
  <c r="T203" i="7"/>
  <c r="R203" i="7"/>
  <c r="P203" i="7"/>
  <c r="N203" i="7"/>
  <c r="M203" i="7"/>
  <c r="K203" i="7"/>
  <c r="Z203" i="7" s="1"/>
  <c r="V202" i="7"/>
  <c r="T202" i="7"/>
  <c r="R202" i="7"/>
  <c r="P202" i="7"/>
  <c r="N202" i="7"/>
  <c r="M202" i="7"/>
  <c r="K202" i="7"/>
  <c r="Z202" i="7" s="1"/>
  <c r="V201" i="7"/>
  <c r="T201" i="7"/>
  <c r="R201" i="7"/>
  <c r="P201" i="7"/>
  <c r="N201" i="7"/>
  <c r="M201" i="7"/>
  <c r="K201" i="7"/>
  <c r="Z201" i="7" s="1"/>
  <c r="V200" i="7"/>
  <c r="T200" i="7"/>
  <c r="R200" i="7"/>
  <c r="P200" i="7"/>
  <c r="N200" i="7"/>
  <c r="M200" i="7"/>
  <c r="K200" i="7"/>
  <c r="Z200" i="7" s="1"/>
  <c r="V199" i="7"/>
  <c r="T199" i="7"/>
  <c r="R199" i="7"/>
  <c r="P199" i="7"/>
  <c r="N199" i="7"/>
  <c r="M199" i="7"/>
  <c r="K199" i="7"/>
  <c r="Z199" i="7" s="1"/>
  <c r="V198" i="7"/>
  <c r="T198" i="7"/>
  <c r="R198" i="7"/>
  <c r="P198" i="7"/>
  <c r="N198" i="7"/>
  <c r="M198" i="7"/>
  <c r="K198" i="7"/>
  <c r="Z198" i="7" s="1"/>
  <c r="V197" i="7"/>
  <c r="T197" i="7"/>
  <c r="R197" i="7"/>
  <c r="P197" i="7"/>
  <c r="N197" i="7"/>
  <c r="M197" i="7"/>
  <c r="K197" i="7"/>
  <c r="Z197" i="7" s="1"/>
  <c r="V196" i="7"/>
  <c r="T196" i="7"/>
  <c r="R196" i="7"/>
  <c r="P196" i="7"/>
  <c r="N196" i="7"/>
  <c r="M196" i="7"/>
  <c r="K196" i="7"/>
  <c r="Z196" i="7" s="1"/>
  <c r="V195" i="7"/>
  <c r="T195" i="7"/>
  <c r="R195" i="7"/>
  <c r="P195" i="7"/>
  <c r="N195" i="7"/>
  <c r="M195" i="7"/>
  <c r="K195" i="7"/>
  <c r="Z195" i="7" s="1"/>
  <c r="V194" i="7"/>
  <c r="T194" i="7"/>
  <c r="R194" i="7"/>
  <c r="P194" i="7"/>
  <c r="N194" i="7"/>
  <c r="M194" i="7"/>
  <c r="K194" i="7"/>
  <c r="Z194" i="7" s="1"/>
  <c r="V193" i="7"/>
  <c r="T193" i="7"/>
  <c r="R193" i="7"/>
  <c r="P193" i="7"/>
  <c r="N193" i="7"/>
  <c r="M193" i="7"/>
  <c r="K193" i="7"/>
  <c r="Z193" i="7" s="1"/>
  <c r="V192" i="7"/>
  <c r="T192" i="7"/>
  <c r="R192" i="7"/>
  <c r="P192" i="7"/>
  <c r="N192" i="7"/>
  <c r="M192" i="7"/>
  <c r="K192" i="7"/>
  <c r="Z192" i="7" s="1"/>
  <c r="V191" i="7"/>
  <c r="T191" i="7"/>
  <c r="R191" i="7"/>
  <c r="P191" i="7"/>
  <c r="N191" i="7"/>
  <c r="M191" i="7"/>
  <c r="K191" i="7"/>
  <c r="Z191" i="7" s="1"/>
  <c r="V190" i="7"/>
  <c r="T190" i="7"/>
  <c r="R190" i="7"/>
  <c r="P190" i="7"/>
  <c r="N190" i="7"/>
  <c r="M190" i="7"/>
  <c r="K190" i="7"/>
  <c r="Z190" i="7" s="1"/>
  <c r="V189" i="7"/>
  <c r="T189" i="7"/>
  <c r="R189" i="7"/>
  <c r="P189" i="7"/>
  <c r="N189" i="7"/>
  <c r="M189" i="7"/>
  <c r="K189" i="7"/>
  <c r="Z189" i="7" s="1"/>
  <c r="V188" i="7"/>
  <c r="T188" i="7"/>
  <c r="R188" i="7"/>
  <c r="P188" i="7"/>
  <c r="N188" i="7"/>
  <c r="M188" i="7"/>
  <c r="K188" i="7"/>
  <c r="Z188" i="7" s="1"/>
  <c r="V187" i="7"/>
  <c r="T187" i="7"/>
  <c r="R187" i="7"/>
  <c r="P187" i="7"/>
  <c r="N187" i="7"/>
  <c r="M187" i="7"/>
  <c r="K187" i="7"/>
  <c r="Z187" i="7" s="1"/>
  <c r="V186" i="7"/>
  <c r="T186" i="7"/>
  <c r="R186" i="7"/>
  <c r="P186" i="7"/>
  <c r="N186" i="7"/>
  <c r="M186" i="7"/>
  <c r="K186" i="7"/>
  <c r="V185" i="7"/>
  <c r="T185" i="7"/>
  <c r="R185" i="7"/>
  <c r="P185" i="7"/>
  <c r="N185" i="7"/>
  <c r="M185" i="7"/>
  <c r="K185" i="7"/>
  <c r="Z185" i="7" s="1"/>
  <c r="V184" i="7"/>
  <c r="T184" i="7"/>
  <c r="Z184" i="7" s="1"/>
  <c r="R184" i="7"/>
  <c r="P184" i="7"/>
  <c r="N184" i="7"/>
  <c r="M184" i="7"/>
  <c r="K184" i="7"/>
  <c r="V183" i="7"/>
  <c r="T183" i="7"/>
  <c r="R183" i="7"/>
  <c r="P183" i="7"/>
  <c r="N183" i="7"/>
  <c r="M183" i="7"/>
  <c r="K183" i="7"/>
  <c r="Z183" i="7" s="1"/>
  <c r="V182" i="7"/>
  <c r="T182" i="7"/>
  <c r="R182" i="7"/>
  <c r="P182" i="7"/>
  <c r="N182" i="7"/>
  <c r="M182" i="7"/>
  <c r="K182" i="7"/>
  <c r="V181" i="7"/>
  <c r="T181" i="7"/>
  <c r="R181" i="7"/>
  <c r="P181" i="7"/>
  <c r="N181" i="7"/>
  <c r="M181" i="7"/>
  <c r="K181" i="7"/>
  <c r="Z181" i="7" s="1"/>
  <c r="V180" i="7"/>
  <c r="T180" i="7"/>
  <c r="R180" i="7"/>
  <c r="P180" i="7"/>
  <c r="N180" i="7"/>
  <c r="M180" i="7"/>
  <c r="K180" i="7"/>
  <c r="Z180" i="7" s="1"/>
  <c r="V179" i="7"/>
  <c r="T179" i="7"/>
  <c r="R179" i="7"/>
  <c r="P179" i="7"/>
  <c r="N179" i="7"/>
  <c r="M179" i="7"/>
  <c r="K179" i="7"/>
  <c r="V178" i="7"/>
  <c r="T178" i="7"/>
  <c r="R178" i="7"/>
  <c r="P178" i="7"/>
  <c r="N178" i="7"/>
  <c r="M178" i="7"/>
  <c r="K178" i="7"/>
  <c r="Z178" i="7" s="1"/>
  <c r="V177" i="7"/>
  <c r="T177" i="7"/>
  <c r="R177" i="7"/>
  <c r="P177" i="7"/>
  <c r="N177" i="7"/>
  <c r="M177" i="7"/>
  <c r="K177" i="7"/>
  <c r="Z177" i="7" s="1"/>
  <c r="V176" i="7"/>
  <c r="T176" i="7"/>
  <c r="R176" i="7"/>
  <c r="P176" i="7"/>
  <c r="N176" i="7"/>
  <c r="M176" i="7"/>
  <c r="K176" i="7"/>
  <c r="Z176" i="7" s="1"/>
  <c r="V175" i="7"/>
  <c r="T175" i="7"/>
  <c r="R175" i="7"/>
  <c r="P175" i="7"/>
  <c r="N175" i="7"/>
  <c r="M175" i="7"/>
  <c r="K175" i="7"/>
  <c r="Z175" i="7" s="1"/>
  <c r="V174" i="7"/>
  <c r="T174" i="7"/>
  <c r="R174" i="7"/>
  <c r="P174" i="7"/>
  <c r="N174" i="7"/>
  <c r="M174" i="7"/>
  <c r="K174" i="7"/>
  <c r="Z174" i="7" s="1"/>
  <c r="V173" i="7"/>
  <c r="T173" i="7"/>
  <c r="R173" i="7"/>
  <c r="P173" i="7"/>
  <c r="N173" i="7"/>
  <c r="M173" i="7"/>
  <c r="K173" i="7"/>
  <c r="Z173" i="7" s="1"/>
  <c r="V172" i="7"/>
  <c r="T172" i="7"/>
  <c r="R172" i="7"/>
  <c r="P172" i="7"/>
  <c r="N172" i="7"/>
  <c r="M172" i="7"/>
  <c r="K172" i="7"/>
  <c r="Z172" i="7" s="1"/>
  <c r="V171" i="7"/>
  <c r="T171" i="7"/>
  <c r="R171" i="7"/>
  <c r="P171" i="7"/>
  <c r="N171" i="7"/>
  <c r="M171" i="7"/>
  <c r="K171" i="7"/>
  <c r="Z171" i="7" s="1"/>
  <c r="V170" i="7"/>
  <c r="T170" i="7"/>
  <c r="R170" i="7"/>
  <c r="P170" i="7"/>
  <c r="N170" i="7"/>
  <c r="M170" i="7"/>
  <c r="K170" i="7"/>
  <c r="Z170" i="7" s="1"/>
  <c r="V169" i="7"/>
  <c r="T169" i="7"/>
  <c r="R169" i="7"/>
  <c r="P169" i="7"/>
  <c r="N169" i="7"/>
  <c r="M169" i="7"/>
  <c r="K169" i="7"/>
  <c r="Z169" i="7" s="1"/>
  <c r="V168" i="7"/>
  <c r="T168" i="7"/>
  <c r="R168" i="7"/>
  <c r="P168" i="7"/>
  <c r="N168" i="7"/>
  <c r="M168" i="7"/>
  <c r="K168" i="7"/>
  <c r="Z168" i="7" s="1"/>
  <c r="V167" i="7"/>
  <c r="T167" i="7"/>
  <c r="R167" i="7"/>
  <c r="P167" i="7"/>
  <c r="N167" i="7"/>
  <c r="M167" i="7"/>
  <c r="K167" i="7"/>
  <c r="Z167" i="7" s="1"/>
  <c r="V166" i="7"/>
  <c r="T166" i="7"/>
  <c r="R166" i="7"/>
  <c r="P166" i="7"/>
  <c r="N166" i="7"/>
  <c r="M166" i="7"/>
  <c r="K166" i="7"/>
  <c r="Z166" i="7" s="1"/>
  <c r="V165" i="7"/>
  <c r="T165" i="7"/>
  <c r="R165" i="7"/>
  <c r="P165" i="7"/>
  <c r="N165" i="7"/>
  <c r="M165" i="7"/>
  <c r="K165" i="7"/>
  <c r="Z165" i="7" s="1"/>
  <c r="V164" i="7"/>
  <c r="T164" i="7"/>
  <c r="R164" i="7"/>
  <c r="P164" i="7"/>
  <c r="N164" i="7"/>
  <c r="M164" i="7"/>
  <c r="K164" i="7"/>
  <c r="Z164" i="7" s="1"/>
  <c r="V163" i="7"/>
  <c r="T163" i="7"/>
  <c r="R163" i="7"/>
  <c r="P163" i="7"/>
  <c r="N163" i="7"/>
  <c r="M163" i="7"/>
  <c r="K163" i="7"/>
  <c r="Z163" i="7" s="1"/>
  <c r="V162" i="7"/>
  <c r="T162" i="7"/>
  <c r="R162" i="7"/>
  <c r="P162" i="7"/>
  <c r="N162" i="7"/>
  <c r="M162" i="7"/>
  <c r="K162" i="7"/>
  <c r="Z162" i="7" s="1"/>
  <c r="V161" i="7"/>
  <c r="T161" i="7"/>
  <c r="R161" i="7"/>
  <c r="P161" i="7"/>
  <c r="N161" i="7"/>
  <c r="M161" i="7"/>
  <c r="K161" i="7"/>
  <c r="Z161" i="7" s="1"/>
  <c r="V160" i="7"/>
  <c r="T160" i="7"/>
  <c r="R160" i="7"/>
  <c r="P160" i="7"/>
  <c r="N160" i="7"/>
  <c r="M160" i="7"/>
  <c r="K160" i="7"/>
  <c r="Z160" i="7" s="1"/>
  <c r="V159" i="7"/>
  <c r="T159" i="7"/>
  <c r="R159" i="7"/>
  <c r="P159" i="7"/>
  <c r="N159" i="7"/>
  <c r="M159" i="7"/>
  <c r="K159" i="7"/>
  <c r="Z159" i="7" s="1"/>
  <c r="V158" i="7"/>
  <c r="T158" i="7"/>
  <c r="R158" i="7"/>
  <c r="P158" i="7"/>
  <c r="N158" i="7"/>
  <c r="M158" i="7"/>
  <c r="K158" i="7"/>
  <c r="Z158" i="7" s="1"/>
  <c r="V157" i="7"/>
  <c r="T157" i="7"/>
  <c r="R157" i="7"/>
  <c r="P157" i="7"/>
  <c r="N157" i="7"/>
  <c r="M157" i="7"/>
  <c r="K157" i="7"/>
  <c r="Z157" i="7" s="1"/>
  <c r="V156" i="7"/>
  <c r="T156" i="7"/>
  <c r="R156" i="7"/>
  <c r="P156" i="7"/>
  <c r="N156" i="7"/>
  <c r="M156" i="7"/>
  <c r="K156" i="7"/>
  <c r="Z156" i="7" s="1"/>
  <c r="V155" i="7"/>
  <c r="T155" i="7"/>
  <c r="R155" i="7"/>
  <c r="P155" i="7"/>
  <c r="N155" i="7"/>
  <c r="M155" i="7"/>
  <c r="K155" i="7"/>
  <c r="Z155" i="7" s="1"/>
  <c r="V154" i="7"/>
  <c r="T154" i="7"/>
  <c r="R154" i="7"/>
  <c r="P154" i="7"/>
  <c r="N154" i="7"/>
  <c r="M154" i="7"/>
  <c r="K154" i="7"/>
  <c r="Z154" i="7" s="1"/>
  <c r="V153" i="7"/>
  <c r="T153" i="7"/>
  <c r="R153" i="7"/>
  <c r="P153" i="7"/>
  <c r="N153" i="7"/>
  <c r="M153" i="7"/>
  <c r="K153" i="7"/>
  <c r="Z153" i="7" s="1"/>
  <c r="V152" i="7"/>
  <c r="T152" i="7"/>
  <c r="R152" i="7"/>
  <c r="P152" i="7"/>
  <c r="N152" i="7"/>
  <c r="M152" i="7"/>
  <c r="K152" i="7"/>
  <c r="Z152" i="7" s="1"/>
  <c r="V151" i="7"/>
  <c r="T151" i="7"/>
  <c r="R151" i="7"/>
  <c r="P151" i="7"/>
  <c r="N151" i="7"/>
  <c r="M151" i="7"/>
  <c r="K151" i="7"/>
  <c r="Z151" i="7" s="1"/>
  <c r="V150" i="7"/>
  <c r="T150" i="7"/>
  <c r="R150" i="7"/>
  <c r="P150" i="7"/>
  <c r="N150" i="7"/>
  <c r="M150" i="7"/>
  <c r="K150" i="7"/>
  <c r="Z150" i="7" s="1"/>
  <c r="V149" i="7"/>
  <c r="T149" i="7"/>
  <c r="R149" i="7"/>
  <c r="P149" i="7"/>
  <c r="N149" i="7"/>
  <c r="M149" i="7"/>
  <c r="K149" i="7"/>
  <c r="Z149" i="7" s="1"/>
  <c r="V148" i="7"/>
  <c r="T148" i="7"/>
  <c r="R148" i="7"/>
  <c r="P148" i="7"/>
  <c r="N148" i="7"/>
  <c r="M148" i="7"/>
  <c r="K148" i="7"/>
  <c r="Z148" i="7" s="1"/>
  <c r="V147" i="7"/>
  <c r="T147" i="7"/>
  <c r="R147" i="7"/>
  <c r="P147" i="7"/>
  <c r="N147" i="7"/>
  <c r="M147" i="7"/>
  <c r="K147" i="7"/>
  <c r="Z147" i="7" s="1"/>
  <c r="V146" i="7"/>
  <c r="T146" i="7"/>
  <c r="R146" i="7"/>
  <c r="P146" i="7"/>
  <c r="N146" i="7"/>
  <c r="M146" i="7"/>
  <c r="K146" i="7"/>
  <c r="Z146" i="7" s="1"/>
  <c r="V145" i="7"/>
  <c r="T145" i="7"/>
  <c r="R145" i="7"/>
  <c r="P145" i="7"/>
  <c r="N145" i="7"/>
  <c r="M145" i="7"/>
  <c r="K145" i="7"/>
  <c r="Z145" i="7" s="1"/>
  <c r="V144" i="7"/>
  <c r="T144" i="7"/>
  <c r="R144" i="7"/>
  <c r="P144" i="7"/>
  <c r="N144" i="7"/>
  <c r="M144" i="7"/>
  <c r="K144" i="7"/>
  <c r="Z144" i="7" s="1"/>
  <c r="V143" i="7"/>
  <c r="T143" i="7"/>
  <c r="R143" i="7"/>
  <c r="P143" i="7"/>
  <c r="N143" i="7"/>
  <c r="M143" i="7"/>
  <c r="K143" i="7"/>
  <c r="Z143" i="7" s="1"/>
  <c r="V142" i="7"/>
  <c r="T142" i="7"/>
  <c r="R142" i="7"/>
  <c r="P142" i="7"/>
  <c r="N142" i="7"/>
  <c r="M142" i="7"/>
  <c r="K142" i="7"/>
  <c r="Z142" i="7" s="1"/>
  <c r="V141" i="7"/>
  <c r="T141" i="7"/>
  <c r="R141" i="7"/>
  <c r="P141" i="7"/>
  <c r="N141" i="7"/>
  <c r="M141" i="7"/>
  <c r="K141" i="7"/>
  <c r="V140" i="7"/>
  <c r="T140" i="7"/>
  <c r="R140" i="7"/>
  <c r="P140" i="7"/>
  <c r="N140" i="7"/>
  <c r="M140" i="7"/>
  <c r="K140" i="7"/>
  <c r="Z140" i="7" s="1"/>
  <c r="V139" i="7"/>
  <c r="T139" i="7"/>
  <c r="R139" i="7"/>
  <c r="P139" i="7"/>
  <c r="N139" i="7"/>
  <c r="M139" i="7"/>
  <c r="K139" i="7"/>
  <c r="Z139" i="7" s="1"/>
  <c r="V138" i="7"/>
  <c r="T138" i="7"/>
  <c r="R138" i="7"/>
  <c r="P138" i="7"/>
  <c r="N138" i="7"/>
  <c r="M138" i="7"/>
  <c r="K138" i="7"/>
  <c r="V137" i="7"/>
  <c r="T137" i="7"/>
  <c r="R137" i="7"/>
  <c r="P137" i="7"/>
  <c r="N137" i="7"/>
  <c r="M137" i="7"/>
  <c r="K137" i="7"/>
  <c r="Z137" i="7" s="1"/>
  <c r="V136" i="7"/>
  <c r="T136" i="7"/>
  <c r="R136" i="7"/>
  <c r="P136" i="7"/>
  <c r="N136" i="7"/>
  <c r="M136" i="7"/>
  <c r="K136" i="7"/>
  <c r="Z136" i="7" s="1"/>
  <c r="V135" i="7"/>
  <c r="T135" i="7"/>
  <c r="R135" i="7"/>
  <c r="P135" i="7"/>
  <c r="N135" i="7"/>
  <c r="M135" i="7"/>
  <c r="K135" i="7"/>
  <c r="Z135" i="7" s="1"/>
  <c r="V134" i="7"/>
  <c r="T134" i="7"/>
  <c r="R134" i="7"/>
  <c r="P134" i="7"/>
  <c r="N134" i="7"/>
  <c r="M134" i="7"/>
  <c r="K134" i="7"/>
  <c r="Z134" i="7" s="1"/>
  <c r="V133" i="7"/>
  <c r="T133" i="7"/>
  <c r="R133" i="7"/>
  <c r="P133" i="7"/>
  <c r="N133" i="7"/>
  <c r="M133" i="7"/>
  <c r="K133" i="7"/>
  <c r="Z133" i="7" s="1"/>
  <c r="V132" i="7"/>
  <c r="T132" i="7"/>
  <c r="R132" i="7"/>
  <c r="P132" i="7"/>
  <c r="N132" i="7"/>
  <c r="M132" i="7"/>
  <c r="K132" i="7"/>
  <c r="Z132" i="7" s="1"/>
  <c r="V131" i="7"/>
  <c r="T131" i="7"/>
  <c r="R131" i="7"/>
  <c r="P131" i="7"/>
  <c r="N131" i="7"/>
  <c r="M131" i="7"/>
  <c r="K131" i="7"/>
  <c r="Z131" i="7" s="1"/>
  <c r="V130" i="7"/>
  <c r="T130" i="7"/>
  <c r="R130" i="7"/>
  <c r="P130" i="7"/>
  <c r="N130" i="7"/>
  <c r="M130" i="7"/>
  <c r="K130" i="7"/>
  <c r="Z130" i="7" s="1"/>
  <c r="V129" i="7"/>
  <c r="T129" i="7"/>
  <c r="R129" i="7"/>
  <c r="P129" i="7"/>
  <c r="N129" i="7"/>
  <c r="M129" i="7"/>
  <c r="K129" i="7"/>
  <c r="Z129" i="7" s="1"/>
  <c r="V128" i="7"/>
  <c r="T128" i="7"/>
  <c r="R128" i="7"/>
  <c r="P128" i="7"/>
  <c r="N128" i="7"/>
  <c r="M128" i="7"/>
  <c r="K128" i="7"/>
  <c r="Z128" i="7" s="1"/>
  <c r="V127" i="7"/>
  <c r="T127" i="7"/>
  <c r="R127" i="7"/>
  <c r="P127" i="7"/>
  <c r="N127" i="7"/>
  <c r="M127" i="7"/>
  <c r="K127" i="7"/>
  <c r="Z127" i="7" s="1"/>
  <c r="V126" i="7"/>
  <c r="T126" i="7"/>
  <c r="R126" i="7"/>
  <c r="P126" i="7"/>
  <c r="N126" i="7"/>
  <c r="M126" i="7"/>
  <c r="K126" i="7"/>
  <c r="Z126" i="7" s="1"/>
  <c r="V125" i="7"/>
  <c r="T125" i="7"/>
  <c r="R125" i="7"/>
  <c r="P125" i="7"/>
  <c r="N125" i="7"/>
  <c r="M125" i="7"/>
  <c r="K125" i="7"/>
  <c r="Z125" i="7" s="1"/>
  <c r="V124" i="7"/>
  <c r="T124" i="7"/>
  <c r="R124" i="7"/>
  <c r="P124" i="7"/>
  <c r="N124" i="7"/>
  <c r="M124" i="7"/>
  <c r="K124" i="7"/>
  <c r="Z124" i="7" s="1"/>
  <c r="V123" i="7"/>
  <c r="T123" i="7"/>
  <c r="R123" i="7"/>
  <c r="P123" i="7"/>
  <c r="N123" i="7"/>
  <c r="M123" i="7"/>
  <c r="K123" i="7"/>
  <c r="Z123" i="7" s="1"/>
  <c r="V122" i="7"/>
  <c r="T122" i="7"/>
  <c r="R122" i="7"/>
  <c r="P122" i="7"/>
  <c r="N122" i="7"/>
  <c r="M122" i="7"/>
  <c r="K122" i="7"/>
  <c r="Z122" i="7" s="1"/>
  <c r="V121" i="7"/>
  <c r="T121" i="7"/>
  <c r="R121" i="7"/>
  <c r="P121" i="7"/>
  <c r="N121" i="7"/>
  <c r="M121" i="7"/>
  <c r="K121" i="7"/>
  <c r="Z121" i="7" s="1"/>
  <c r="V120" i="7"/>
  <c r="T120" i="7"/>
  <c r="R120" i="7"/>
  <c r="P120" i="7"/>
  <c r="N120" i="7"/>
  <c r="M120" i="7"/>
  <c r="K120" i="7"/>
  <c r="Z120" i="7" s="1"/>
  <c r="V119" i="7"/>
  <c r="T119" i="7"/>
  <c r="R119" i="7"/>
  <c r="P119" i="7"/>
  <c r="N119" i="7"/>
  <c r="M119" i="7"/>
  <c r="K119" i="7"/>
  <c r="Z119" i="7" s="1"/>
  <c r="V118" i="7"/>
  <c r="T118" i="7"/>
  <c r="R118" i="7"/>
  <c r="P118" i="7"/>
  <c r="N118" i="7"/>
  <c r="M118" i="7"/>
  <c r="K118" i="7"/>
  <c r="Z118" i="7" s="1"/>
  <c r="V117" i="7"/>
  <c r="T117" i="7"/>
  <c r="R117" i="7"/>
  <c r="P117" i="7"/>
  <c r="N117" i="7"/>
  <c r="M117" i="7"/>
  <c r="K117" i="7"/>
  <c r="V116" i="7"/>
  <c r="T116" i="7"/>
  <c r="R116" i="7"/>
  <c r="P116" i="7"/>
  <c r="N116" i="7"/>
  <c r="M116" i="7"/>
  <c r="K116" i="7"/>
  <c r="Z116" i="7" s="1"/>
  <c r="V115" i="7"/>
  <c r="T115" i="7"/>
  <c r="R115" i="7"/>
  <c r="P115" i="7"/>
  <c r="N115" i="7"/>
  <c r="M115" i="7"/>
  <c r="K115" i="7"/>
  <c r="Z115" i="7" s="1"/>
  <c r="V114" i="7"/>
  <c r="T114" i="7"/>
  <c r="R114" i="7"/>
  <c r="P114" i="7"/>
  <c r="N114" i="7"/>
  <c r="M114" i="7"/>
  <c r="V599" i="7"/>
  <c r="T599" i="7"/>
  <c r="P599" i="7"/>
  <c r="N599" i="7"/>
  <c r="V596" i="7"/>
  <c r="T596" i="7"/>
  <c r="R596" i="7"/>
  <c r="P596" i="7"/>
  <c r="N596" i="7"/>
  <c r="K596" i="7"/>
  <c r="V595" i="7"/>
  <c r="T595" i="7"/>
  <c r="R595" i="7"/>
  <c r="P595" i="7"/>
  <c r="N595" i="7"/>
  <c r="M595" i="7"/>
  <c r="K595" i="7"/>
  <c r="K593" i="7"/>
  <c r="V592" i="7"/>
  <c r="T592" i="7"/>
  <c r="R592" i="7"/>
  <c r="V502" i="7"/>
  <c r="T502" i="7"/>
  <c r="R502" i="7"/>
  <c r="P502" i="7"/>
  <c r="N502" i="7"/>
  <c r="M502" i="7"/>
  <c r="K502" i="7"/>
  <c r="V498" i="7"/>
  <c r="T498" i="7"/>
  <c r="R498" i="7"/>
  <c r="P498" i="7"/>
  <c r="N498" i="7"/>
  <c r="M498" i="7"/>
  <c r="K498" i="7"/>
  <c r="V488" i="7"/>
  <c r="T488" i="7"/>
  <c r="R488" i="7"/>
  <c r="P488" i="7"/>
  <c r="N488" i="7"/>
  <c r="M488" i="7"/>
  <c r="K488" i="7"/>
  <c r="V484" i="7"/>
  <c r="T484" i="7"/>
  <c r="R484" i="7"/>
  <c r="P484" i="7"/>
  <c r="N484" i="7"/>
  <c r="M484" i="7"/>
  <c r="K484" i="7"/>
  <c r="V480" i="7"/>
  <c r="T480" i="7"/>
  <c r="R480" i="7"/>
  <c r="P480" i="7"/>
  <c r="N480" i="7"/>
  <c r="M480" i="7"/>
  <c r="K480" i="7"/>
  <c r="V476" i="7"/>
  <c r="T476" i="7"/>
  <c r="R476" i="7"/>
  <c r="P476" i="7"/>
  <c r="N476" i="7"/>
  <c r="M476" i="7"/>
  <c r="K476" i="7"/>
  <c r="V472" i="7"/>
  <c r="T472" i="7"/>
  <c r="R472" i="7"/>
  <c r="P472" i="7"/>
  <c r="N472" i="7"/>
  <c r="M472" i="7"/>
  <c r="K472" i="7"/>
  <c r="V468" i="7"/>
  <c r="T468" i="7"/>
  <c r="R468" i="7"/>
  <c r="P468" i="7"/>
  <c r="N468" i="7"/>
  <c r="M468" i="7"/>
  <c r="K468" i="7"/>
  <c r="V464" i="7"/>
  <c r="T464" i="7"/>
  <c r="R464" i="7"/>
  <c r="P464" i="7"/>
  <c r="N464" i="7"/>
  <c r="M464" i="7"/>
  <c r="K464" i="7"/>
  <c r="Z464" i="7" s="1"/>
  <c r="V460" i="7"/>
  <c r="T460" i="7"/>
  <c r="R460" i="7"/>
  <c r="P460" i="7"/>
  <c r="N460" i="7"/>
  <c r="M460" i="7"/>
  <c r="K460" i="7"/>
  <c r="V456" i="7"/>
  <c r="T456" i="7"/>
  <c r="R456" i="7"/>
  <c r="P456" i="7"/>
  <c r="N456" i="7"/>
  <c r="M456" i="7"/>
  <c r="K456" i="7"/>
  <c r="V452" i="7"/>
  <c r="T452" i="7"/>
  <c r="R452" i="7"/>
  <c r="P452" i="7"/>
  <c r="N452" i="7"/>
  <c r="M452" i="7"/>
  <c r="K452" i="7"/>
  <c r="V448" i="7"/>
  <c r="T448" i="7"/>
  <c r="R448" i="7"/>
  <c r="P448" i="7"/>
  <c r="N448" i="7"/>
  <c r="M448" i="7"/>
  <c r="K448" i="7"/>
  <c r="V444" i="7"/>
  <c r="T444" i="7"/>
  <c r="R444" i="7"/>
  <c r="P444" i="7"/>
  <c r="N444" i="7"/>
  <c r="M444" i="7"/>
  <c r="K444" i="7"/>
  <c r="T441" i="7"/>
  <c r="R441" i="7"/>
  <c r="P441" i="7"/>
  <c r="N441" i="7"/>
  <c r="V437" i="7"/>
  <c r="T437" i="7"/>
  <c r="R437" i="7"/>
  <c r="P437" i="7"/>
  <c r="N437" i="7"/>
  <c r="M437" i="7"/>
  <c r="K437" i="7"/>
  <c r="V430" i="7"/>
  <c r="T430" i="7"/>
  <c r="R430" i="7"/>
  <c r="P430" i="7"/>
  <c r="N430" i="7"/>
  <c r="M430" i="7"/>
  <c r="K430" i="7"/>
  <c r="V426" i="7"/>
  <c r="T426" i="7"/>
  <c r="R426" i="7"/>
  <c r="N426" i="7"/>
  <c r="M426" i="7"/>
  <c r="K426" i="7"/>
  <c r="V425" i="7"/>
  <c r="T425" i="7"/>
  <c r="R425" i="7"/>
  <c r="P425" i="7"/>
  <c r="N425" i="7"/>
  <c r="M425" i="7"/>
  <c r="K425" i="7"/>
  <c r="V418" i="7"/>
  <c r="T418" i="7"/>
  <c r="R418" i="7"/>
  <c r="P418" i="7"/>
  <c r="N418" i="7"/>
  <c r="M418" i="7"/>
  <c r="V414" i="7"/>
  <c r="T414" i="7"/>
  <c r="R414" i="7"/>
  <c r="P414" i="7"/>
  <c r="N414" i="7"/>
  <c r="V411" i="7"/>
  <c r="P411" i="7"/>
  <c r="M411" i="7"/>
  <c r="K411" i="7"/>
  <c r="V410" i="7"/>
  <c r="T410" i="7"/>
  <c r="R410" i="7"/>
  <c r="P410" i="7"/>
  <c r="N410" i="7"/>
  <c r="M410" i="7"/>
  <c r="K410" i="7"/>
  <c r="R407" i="7"/>
  <c r="M407" i="7"/>
  <c r="K407" i="7"/>
  <c r="V406" i="7"/>
  <c r="T406" i="7"/>
  <c r="R406" i="7"/>
  <c r="P406" i="7"/>
  <c r="N406" i="7"/>
  <c r="M406" i="7"/>
  <c r="K406" i="7"/>
  <c r="T242" i="7"/>
  <c r="R242" i="7"/>
  <c r="P242" i="7"/>
  <c r="N242" i="7"/>
  <c r="V236" i="7"/>
  <c r="T236" i="7"/>
  <c r="R236" i="7"/>
  <c r="P236" i="7"/>
  <c r="N236" i="7"/>
  <c r="M236" i="7"/>
  <c r="K236" i="7"/>
  <c r="Z236" i="7" s="1"/>
  <c r="V230" i="7"/>
  <c r="T230" i="7"/>
  <c r="R230" i="7"/>
  <c r="P230" i="7"/>
  <c r="N230" i="7"/>
  <c r="M230" i="7"/>
  <c r="K230" i="7"/>
  <c r="Z230" i="7" s="1"/>
  <c r="M225" i="7"/>
  <c r="V213" i="7"/>
  <c r="T213" i="7"/>
  <c r="R213" i="7"/>
  <c r="P213" i="7"/>
  <c r="N213" i="7"/>
  <c r="M213" i="7"/>
  <c r="K213" i="7"/>
  <c r="Z213" i="7" s="1"/>
  <c r="K114" i="7"/>
  <c r="V113" i="7"/>
  <c r="T113" i="7"/>
  <c r="R113" i="7"/>
  <c r="P113" i="7"/>
  <c r="N113" i="7"/>
  <c r="M113" i="7"/>
  <c r="K113" i="7"/>
  <c r="Z113" i="7" s="1"/>
  <c r="V112" i="7"/>
  <c r="T112" i="7"/>
  <c r="R112" i="7"/>
  <c r="P112" i="7"/>
  <c r="N112" i="7"/>
  <c r="M112" i="7"/>
  <c r="K112" i="7"/>
  <c r="Z112" i="7" s="1"/>
  <c r="V111" i="7"/>
  <c r="T111" i="7"/>
  <c r="R111" i="7"/>
  <c r="P111" i="7"/>
  <c r="N111" i="7"/>
  <c r="M111" i="7"/>
  <c r="K111" i="7"/>
  <c r="Z111" i="7" s="1"/>
  <c r="V110" i="7"/>
  <c r="T110" i="7"/>
  <c r="R110" i="7"/>
  <c r="P110" i="7"/>
  <c r="N110" i="7"/>
  <c r="M110" i="7"/>
  <c r="K110" i="7"/>
  <c r="V109" i="7"/>
  <c r="T109" i="7"/>
  <c r="R109" i="7"/>
  <c r="P109" i="7"/>
  <c r="N109" i="7"/>
  <c r="M109" i="7"/>
  <c r="K109" i="7"/>
  <c r="Z109" i="7" s="1"/>
  <c r="V108" i="7"/>
  <c r="T108" i="7"/>
  <c r="R108" i="7"/>
  <c r="P108" i="7"/>
  <c r="N108" i="7"/>
  <c r="M108" i="7"/>
  <c r="K108" i="7"/>
  <c r="V107" i="7"/>
  <c r="T107" i="7"/>
  <c r="R107" i="7"/>
  <c r="P107" i="7"/>
  <c r="N107" i="7"/>
  <c r="M107" i="7"/>
  <c r="K107" i="7"/>
  <c r="Z107" i="7" s="1"/>
  <c r="V106" i="7"/>
  <c r="T106" i="7"/>
  <c r="R106" i="7"/>
  <c r="P106" i="7"/>
  <c r="N106" i="7"/>
  <c r="M106" i="7"/>
  <c r="K106" i="7"/>
  <c r="Z106" i="7" s="1"/>
  <c r="V105" i="7"/>
  <c r="T105" i="7"/>
  <c r="R105" i="7"/>
  <c r="P105" i="7"/>
  <c r="N105" i="7"/>
  <c r="M105" i="7"/>
  <c r="K105" i="7"/>
  <c r="Z105" i="7" s="1"/>
  <c r="V104" i="7"/>
  <c r="T104" i="7"/>
  <c r="R104" i="7"/>
  <c r="P104" i="7"/>
  <c r="N104" i="7"/>
  <c r="M104" i="7"/>
  <c r="K104" i="7"/>
  <c r="V103" i="7"/>
  <c r="T103" i="7"/>
  <c r="R103" i="7"/>
  <c r="P103" i="7"/>
  <c r="N103" i="7"/>
  <c r="M103" i="7"/>
  <c r="K103" i="7"/>
  <c r="Z103" i="7" s="1"/>
  <c r="V102" i="7"/>
  <c r="T102" i="7"/>
  <c r="R102" i="7"/>
  <c r="P102" i="7"/>
  <c r="N102" i="7"/>
  <c r="M102" i="7"/>
  <c r="K102" i="7"/>
  <c r="Z102" i="7" s="1"/>
  <c r="V101" i="7"/>
  <c r="T101" i="7"/>
  <c r="R101" i="7"/>
  <c r="P101" i="7"/>
  <c r="N101" i="7"/>
  <c r="M101" i="7"/>
  <c r="K101" i="7"/>
  <c r="Z101" i="7" s="1"/>
  <c r="V100" i="7"/>
  <c r="T100" i="7"/>
  <c r="R100" i="7"/>
  <c r="P100" i="7"/>
  <c r="N100" i="7"/>
  <c r="M100" i="7"/>
  <c r="K100" i="7"/>
  <c r="Z100" i="7" s="1"/>
  <c r="V99" i="7"/>
  <c r="T99" i="7"/>
  <c r="R99" i="7"/>
  <c r="P99" i="7"/>
  <c r="N99" i="7"/>
  <c r="M99" i="7"/>
  <c r="K99" i="7"/>
  <c r="Z99" i="7" s="1"/>
  <c r="V98" i="7"/>
  <c r="T98" i="7"/>
  <c r="R98" i="7"/>
  <c r="P98" i="7"/>
  <c r="N98" i="7"/>
  <c r="M98" i="7"/>
  <c r="K98" i="7"/>
  <c r="Z98" i="7" s="1"/>
  <c r="V97" i="7"/>
  <c r="T97" i="7"/>
  <c r="R97" i="7"/>
  <c r="P97" i="7"/>
  <c r="N97" i="7"/>
  <c r="M97" i="7"/>
  <c r="K97" i="7"/>
  <c r="Z97" i="7" s="1"/>
  <c r="V96" i="7"/>
  <c r="T96" i="7"/>
  <c r="R96" i="7"/>
  <c r="P96" i="7"/>
  <c r="N96" i="7"/>
  <c r="M96" i="7"/>
  <c r="K96" i="7"/>
  <c r="Z96" i="7" s="1"/>
  <c r="V95" i="7"/>
  <c r="T95" i="7"/>
  <c r="R95" i="7"/>
  <c r="P95" i="7"/>
  <c r="N95" i="7"/>
  <c r="M95" i="7"/>
  <c r="K95" i="7"/>
  <c r="Z95" i="7" s="1"/>
  <c r="V94" i="7"/>
  <c r="T94" i="7"/>
  <c r="R94" i="7"/>
  <c r="P94" i="7"/>
  <c r="N94" i="7"/>
  <c r="M94" i="7"/>
  <c r="K94" i="7"/>
  <c r="Z94" i="7" s="1"/>
  <c r="V93" i="7"/>
  <c r="T93" i="7"/>
  <c r="R93" i="7"/>
  <c r="P93" i="7"/>
  <c r="N93" i="7"/>
  <c r="M93" i="7"/>
  <c r="K93" i="7"/>
  <c r="Z93" i="7" s="1"/>
  <c r="V92" i="7"/>
  <c r="T92" i="7"/>
  <c r="R92" i="7"/>
  <c r="P92" i="7"/>
  <c r="N92" i="7"/>
  <c r="M92" i="7"/>
  <c r="K92" i="7"/>
  <c r="Z92" i="7" s="1"/>
  <c r="V91" i="7"/>
  <c r="T91" i="7"/>
  <c r="R91" i="7"/>
  <c r="P91" i="7"/>
  <c r="N91" i="7"/>
  <c r="M91" i="7"/>
  <c r="K91" i="7"/>
  <c r="Z91" i="7" s="1"/>
  <c r="V90" i="7"/>
  <c r="T90" i="7"/>
  <c r="R90" i="7"/>
  <c r="P90" i="7"/>
  <c r="N90" i="7"/>
  <c r="M90" i="7"/>
  <c r="K90" i="7"/>
  <c r="Z90" i="7" s="1"/>
  <c r="V89" i="7"/>
  <c r="T89" i="7"/>
  <c r="R89" i="7"/>
  <c r="P89" i="7"/>
  <c r="N89" i="7"/>
  <c r="M89" i="7"/>
  <c r="K89" i="7"/>
  <c r="Z89" i="7" s="1"/>
  <c r="V88" i="7"/>
  <c r="T88" i="7"/>
  <c r="R88" i="7"/>
  <c r="P88" i="7"/>
  <c r="N88" i="7"/>
  <c r="M88" i="7"/>
  <c r="K88" i="7"/>
  <c r="Z88" i="7" s="1"/>
  <c r="V87" i="7"/>
  <c r="T87" i="7"/>
  <c r="R87" i="7"/>
  <c r="P87" i="7"/>
  <c r="N87" i="7"/>
  <c r="M87" i="7"/>
  <c r="K87" i="7"/>
  <c r="Z87" i="7" s="1"/>
  <c r="V86" i="7"/>
  <c r="T86" i="7"/>
  <c r="R86" i="7"/>
  <c r="P86" i="7"/>
  <c r="N86" i="7"/>
  <c r="M86" i="7"/>
  <c r="K86" i="7"/>
  <c r="Z86" i="7" s="1"/>
  <c r="V85" i="7"/>
  <c r="T85" i="7"/>
  <c r="R85" i="7"/>
  <c r="P85" i="7"/>
  <c r="N85" i="7"/>
  <c r="M85" i="7"/>
  <c r="K85" i="7"/>
  <c r="Z85" i="7" s="1"/>
  <c r="V84" i="7"/>
  <c r="T84" i="7"/>
  <c r="R84" i="7"/>
  <c r="P84" i="7"/>
  <c r="N84" i="7"/>
  <c r="M84" i="7"/>
  <c r="K84" i="7"/>
  <c r="Z84" i="7" s="1"/>
  <c r="V83" i="7"/>
  <c r="T83" i="7"/>
  <c r="R83" i="7"/>
  <c r="P83" i="7"/>
  <c r="N83" i="7"/>
  <c r="M83" i="7"/>
  <c r="K83" i="7"/>
  <c r="Z83" i="7" s="1"/>
  <c r="V82" i="7"/>
  <c r="T82" i="7"/>
  <c r="R82" i="7"/>
  <c r="P82" i="7"/>
  <c r="N82" i="7"/>
  <c r="M82" i="7"/>
  <c r="K82" i="7"/>
  <c r="Z82" i="7" s="1"/>
  <c r="V81" i="7"/>
  <c r="T81" i="7"/>
  <c r="R81" i="7"/>
  <c r="P81" i="7"/>
  <c r="N81" i="7"/>
  <c r="M81" i="7"/>
  <c r="K81" i="7"/>
  <c r="Z81" i="7" s="1"/>
  <c r="V80" i="7"/>
  <c r="T80" i="7"/>
  <c r="R80" i="7"/>
  <c r="P80" i="7"/>
  <c r="N80" i="7"/>
  <c r="M80" i="7"/>
  <c r="K80" i="7"/>
  <c r="V79" i="7"/>
  <c r="T79" i="7"/>
  <c r="R79" i="7"/>
  <c r="P79" i="7"/>
  <c r="N79" i="7"/>
  <c r="M79" i="7"/>
  <c r="K79" i="7"/>
  <c r="V78" i="7"/>
  <c r="T78" i="7"/>
  <c r="R78" i="7"/>
  <c r="P78" i="7"/>
  <c r="N78" i="7"/>
  <c r="M78" i="7"/>
  <c r="K78" i="7"/>
  <c r="V77" i="7"/>
  <c r="T77" i="7"/>
  <c r="R77" i="7"/>
  <c r="P77" i="7"/>
  <c r="N77" i="7"/>
  <c r="M77" i="7"/>
  <c r="K77" i="7"/>
  <c r="Z77" i="7" s="1"/>
  <c r="V76" i="7"/>
  <c r="T76" i="7"/>
  <c r="R76" i="7"/>
  <c r="P76" i="7"/>
  <c r="N76" i="7"/>
  <c r="M76" i="7"/>
  <c r="K76" i="7"/>
  <c r="Z76" i="7" s="1"/>
  <c r="V75" i="7"/>
  <c r="T75" i="7"/>
  <c r="R75" i="7"/>
  <c r="P75" i="7"/>
  <c r="N75" i="7"/>
  <c r="M75" i="7"/>
  <c r="K75" i="7"/>
  <c r="V74" i="7"/>
  <c r="T74" i="7"/>
  <c r="R74" i="7"/>
  <c r="P74" i="7"/>
  <c r="N74" i="7"/>
  <c r="M74" i="7"/>
  <c r="K74" i="7"/>
  <c r="Z74" i="7" s="1"/>
  <c r="V73" i="7"/>
  <c r="T73" i="7"/>
  <c r="R73" i="7"/>
  <c r="P73" i="7"/>
  <c r="N73" i="7"/>
  <c r="M73" i="7"/>
  <c r="K73" i="7"/>
  <c r="V72" i="7"/>
  <c r="T72" i="7"/>
  <c r="R72" i="7"/>
  <c r="P72" i="7"/>
  <c r="N72" i="7"/>
  <c r="M72" i="7"/>
  <c r="K72" i="7"/>
  <c r="Z72" i="7" s="1"/>
  <c r="V71" i="7"/>
  <c r="T71" i="7"/>
  <c r="R71" i="7"/>
  <c r="P71" i="7"/>
  <c r="N71" i="7"/>
  <c r="M71" i="7"/>
  <c r="K71" i="7"/>
  <c r="Z71" i="7" s="1"/>
  <c r="V70" i="7"/>
  <c r="T70" i="7"/>
  <c r="R70" i="7"/>
  <c r="P70" i="7"/>
  <c r="N70" i="7"/>
  <c r="M70" i="7"/>
  <c r="K70" i="7"/>
  <c r="Z70" i="7" s="1"/>
  <c r="V69" i="7"/>
  <c r="T69" i="7"/>
  <c r="R69" i="7"/>
  <c r="P69" i="7"/>
  <c r="N69" i="7"/>
  <c r="M69" i="7"/>
  <c r="K69" i="7"/>
  <c r="Z69" i="7" s="1"/>
  <c r="V68" i="7"/>
  <c r="T68" i="7"/>
  <c r="R68" i="7"/>
  <c r="P68" i="7"/>
  <c r="N68" i="7"/>
  <c r="M68" i="7"/>
  <c r="K68" i="7"/>
  <c r="V67" i="7"/>
  <c r="T67" i="7"/>
  <c r="R67" i="7"/>
  <c r="P67" i="7"/>
  <c r="N67" i="7"/>
  <c r="M67" i="7"/>
  <c r="K67" i="7"/>
  <c r="Z67" i="7" s="1"/>
  <c r="V66" i="7"/>
  <c r="T66" i="7"/>
  <c r="R66" i="7"/>
  <c r="P66" i="7"/>
  <c r="N66" i="7"/>
  <c r="M66" i="7"/>
  <c r="K66" i="7"/>
  <c r="Z66" i="7" s="1"/>
  <c r="V65" i="7"/>
  <c r="T65" i="7"/>
  <c r="R65" i="7"/>
  <c r="P65" i="7"/>
  <c r="N65" i="7"/>
  <c r="M65" i="7"/>
  <c r="K65" i="7"/>
  <c r="V64" i="7"/>
  <c r="T64" i="7"/>
  <c r="R64" i="7"/>
  <c r="P64" i="7"/>
  <c r="N64" i="7"/>
  <c r="M64" i="7"/>
  <c r="K64" i="7"/>
  <c r="V597" i="7"/>
  <c r="T597" i="7"/>
  <c r="R597" i="7"/>
  <c r="P597" i="7"/>
  <c r="N597" i="7"/>
  <c r="M597" i="7"/>
  <c r="K597" i="7"/>
  <c r="Z597" i="7" s="1"/>
  <c r="V594" i="7"/>
  <c r="T594" i="7"/>
  <c r="R594" i="7"/>
  <c r="P594" i="7"/>
  <c r="N594" i="7"/>
  <c r="M594" i="7"/>
  <c r="K594" i="7"/>
  <c r="M501" i="7"/>
  <c r="V497" i="7"/>
  <c r="T497" i="7"/>
  <c r="R497" i="7"/>
  <c r="P497" i="7"/>
  <c r="N497" i="7"/>
  <c r="V487" i="7"/>
  <c r="T487" i="7"/>
  <c r="R487" i="7"/>
  <c r="P487" i="7"/>
  <c r="N487" i="7"/>
  <c r="M487" i="7"/>
  <c r="K487" i="7"/>
  <c r="V486" i="7"/>
  <c r="T486" i="7"/>
  <c r="R486" i="7"/>
  <c r="P486" i="7"/>
  <c r="N486" i="7"/>
  <c r="M486" i="7"/>
  <c r="K486" i="7"/>
  <c r="V479" i="7"/>
  <c r="T479" i="7"/>
  <c r="R479" i="7"/>
  <c r="P479" i="7"/>
  <c r="N479" i="7"/>
  <c r="M479" i="7"/>
  <c r="K479" i="7"/>
  <c r="V475" i="7"/>
  <c r="T475" i="7"/>
  <c r="R475" i="7"/>
  <c r="P475" i="7"/>
  <c r="N475" i="7"/>
  <c r="M475" i="7"/>
  <c r="K475" i="7"/>
  <c r="Z475" i="7" s="1"/>
  <c r="V471" i="7"/>
  <c r="T471" i="7"/>
  <c r="R471" i="7"/>
  <c r="P471" i="7"/>
  <c r="N471" i="7"/>
  <c r="V467" i="7"/>
  <c r="T467" i="7"/>
  <c r="R467" i="7"/>
  <c r="P467" i="7"/>
  <c r="N467" i="7"/>
  <c r="M467" i="7"/>
  <c r="K467" i="7"/>
  <c r="Z467" i="7" s="1"/>
  <c r="V463" i="7"/>
  <c r="T463" i="7"/>
  <c r="R463" i="7"/>
  <c r="P463" i="7"/>
  <c r="N463" i="7"/>
  <c r="M463" i="7"/>
  <c r="K463" i="7"/>
  <c r="Z463" i="7" s="1"/>
  <c r="V459" i="7"/>
  <c r="T459" i="7"/>
  <c r="R459" i="7"/>
  <c r="P459" i="7"/>
  <c r="N459" i="7"/>
  <c r="M459" i="7"/>
  <c r="K459" i="7"/>
  <c r="Z459" i="7" s="1"/>
  <c r="V455" i="7"/>
  <c r="T455" i="7"/>
  <c r="R455" i="7"/>
  <c r="P455" i="7"/>
  <c r="N455" i="7"/>
  <c r="M455" i="7"/>
  <c r="K455" i="7"/>
  <c r="V451" i="7"/>
  <c r="T451" i="7"/>
  <c r="R451" i="7"/>
  <c r="N451" i="7"/>
  <c r="V447" i="7"/>
  <c r="T447" i="7"/>
  <c r="R447" i="7"/>
  <c r="P447" i="7"/>
  <c r="N447" i="7"/>
  <c r="V443" i="7"/>
  <c r="T443" i="7"/>
  <c r="R443" i="7"/>
  <c r="P443" i="7"/>
  <c r="N443" i="7"/>
  <c r="M443" i="7"/>
  <c r="K443" i="7"/>
  <c r="V439" i="7"/>
  <c r="T439" i="7"/>
  <c r="R439" i="7"/>
  <c r="P439" i="7"/>
  <c r="N439" i="7"/>
  <c r="M439" i="7"/>
  <c r="K439" i="7"/>
  <c r="V432" i="7"/>
  <c r="T432" i="7"/>
  <c r="R432" i="7"/>
  <c r="P432" i="7"/>
  <c r="N432" i="7"/>
  <c r="M432" i="7"/>
  <c r="K432" i="7"/>
  <c r="V428" i="7"/>
  <c r="T428" i="7"/>
  <c r="R428" i="7"/>
  <c r="N428" i="7"/>
  <c r="K428" i="7"/>
  <c r="V427" i="7"/>
  <c r="T427" i="7"/>
  <c r="R427" i="7"/>
  <c r="P427" i="7"/>
  <c r="N427" i="7"/>
  <c r="M427" i="7"/>
  <c r="K427" i="7"/>
  <c r="V423" i="7"/>
  <c r="T423" i="7"/>
  <c r="R423" i="7"/>
  <c r="P423" i="7"/>
  <c r="N423" i="7"/>
  <c r="M423" i="7"/>
  <c r="K423" i="7"/>
  <c r="V419" i="7"/>
  <c r="T419" i="7"/>
  <c r="R419" i="7"/>
  <c r="P419" i="7"/>
  <c r="N419" i="7"/>
  <c r="M419" i="7"/>
  <c r="K419" i="7"/>
  <c r="Z419" i="7" s="1"/>
  <c r="V415" i="7"/>
  <c r="T415" i="7"/>
  <c r="R415" i="7"/>
  <c r="P415" i="7"/>
  <c r="N415" i="7"/>
  <c r="M415" i="7"/>
  <c r="K415" i="7"/>
  <c r="V412" i="7"/>
  <c r="T412" i="7"/>
  <c r="R412" i="7"/>
  <c r="P412" i="7"/>
  <c r="M412" i="7"/>
  <c r="V408" i="7"/>
  <c r="T408" i="7"/>
  <c r="R408" i="7"/>
  <c r="P408" i="7"/>
  <c r="N408" i="7"/>
  <c r="M408" i="7"/>
  <c r="K408" i="7"/>
  <c r="V404" i="7"/>
  <c r="T404" i="7"/>
  <c r="R404" i="7"/>
  <c r="P404" i="7"/>
  <c r="N404" i="7"/>
  <c r="M404" i="7"/>
  <c r="K404" i="7"/>
  <c r="V403" i="7"/>
  <c r="T403" i="7"/>
  <c r="R403" i="7"/>
  <c r="P403" i="7"/>
  <c r="N403" i="7"/>
  <c r="M403" i="7"/>
  <c r="K403" i="7"/>
  <c r="V402" i="7"/>
  <c r="T402" i="7"/>
  <c r="R402" i="7"/>
  <c r="P402" i="7"/>
  <c r="N402" i="7"/>
  <c r="K402" i="7"/>
  <c r="V401" i="7"/>
  <c r="T401" i="7"/>
  <c r="R401" i="7"/>
  <c r="P401" i="7"/>
  <c r="N401" i="7"/>
  <c r="M401" i="7"/>
  <c r="V244" i="7"/>
  <c r="T244" i="7"/>
  <c r="R244" i="7"/>
  <c r="P244" i="7"/>
  <c r="N244" i="7"/>
  <c r="M244" i="7"/>
  <c r="K244" i="7"/>
  <c r="Z244" i="7" s="1"/>
  <c r="V243" i="7"/>
  <c r="T243" i="7"/>
  <c r="R243" i="7"/>
  <c r="P243" i="7"/>
  <c r="N243" i="7"/>
  <c r="M243" i="7"/>
  <c r="K243" i="7"/>
  <c r="Z243" i="7" s="1"/>
  <c r="K232" i="7"/>
  <c r="V231" i="7"/>
  <c r="T231" i="7"/>
  <c r="R231" i="7"/>
  <c r="P231" i="7"/>
  <c r="N231" i="7"/>
  <c r="M231" i="7"/>
  <c r="K231" i="7"/>
  <c r="Z231" i="7" s="1"/>
  <c r="V225" i="7"/>
  <c r="T225" i="7"/>
  <c r="R225" i="7"/>
  <c r="P225" i="7"/>
  <c r="N225" i="7"/>
  <c r="K225" i="7"/>
  <c r="V224" i="7"/>
  <c r="T224" i="7"/>
  <c r="R224" i="7"/>
  <c r="P224" i="7"/>
  <c r="N224" i="7"/>
  <c r="M224" i="7"/>
  <c r="K224" i="7"/>
  <c r="Z224" i="7" s="1"/>
  <c r="V218" i="7"/>
  <c r="T218" i="7"/>
  <c r="R218" i="7"/>
  <c r="P218" i="7"/>
  <c r="N218" i="7"/>
  <c r="M218" i="7"/>
  <c r="K218" i="7"/>
  <c r="Z218" i="7" s="1"/>
  <c r="N212" i="7"/>
  <c r="M211" i="7"/>
  <c r="K211" i="7"/>
  <c r="V210" i="7"/>
  <c r="R210" i="7"/>
  <c r="N210" i="7"/>
  <c r="C63" i="7" a="1"/>
  <c r="C63" i="7" s="1"/>
  <c r="E50" i="7" a="1"/>
  <c r="E50" i="7" s="1"/>
  <c r="B38" i="7" a="1"/>
  <c r="B38" i="7" s="1"/>
  <c r="F23" i="7" a="1"/>
  <c r="F23" i="7" s="1"/>
  <c r="D20" i="7" a="1"/>
  <c r="D20" i="7" s="1"/>
  <c r="C55" i="7" a="1"/>
  <c r="C55" i="7" s="1"/>
  <c r="E42" i="7" a="1"/>
  <c r="E42" i="7" s="1"/>
  <c r="B30" i="7" a="1"/>
  <c r="B30" i="7" s="1"/>
  <c r="F13" i="7" a="1"/>
  <c r="F13" i="7" s="1"/>
  <c r="F51" i="7" a="1"/>
  <c r="F51" i="7" s="1"/>
  <c r="C39" i="7" a="1"/>
  <c r="C39" i="7" s="1"/>
  <c r="E26" i="7" a="1"/>
  <c r="E26" i="7" s="1"/>
  <c r="C61" i="7" a="1"/>
  <c r="C61" i="7" s="1"/>
  <c r="E48" i="7" a="1"/>
  <c r="E48" i="7" s="1"/>
  <c r="F35" i="7" a="1"/>
  <c r="F35" i="7" s="1"/>
  <c r="C23" i="7" a="1"/>
  <c r="C23" i="7" s="1"/>
  <c r="F14" i="7" a="1"/>
  <c r="F14" i="7" s="1"/>
  <c r="E54" i="7" a="1"/>
  <c r="E54" i="7" s="1"/>
  <c r="B42" i="7" a="1"/>
  <c r="B42" i="7" s="1"/>
  <c r="D29" i="7" a="1"/>
  <c r="D29" i="7" s="1"/>
  <c r="E16" i="7" a="1"/>
  <c r="E16" i="7" s="1"/>
  <c r="E57" i="7" a="1"/>
  <c r="E57" i="7" s="1"/>
  <c r="B45" i="7" a="1"/>
  <c r="B45" i="7" s="1"/>
  <c r="D32" i="7" a="1"/>
  <c r="D32" i="7" s="1"/>
  <c r="E19" i="7" a="1"/>
  <c r="E19" i="7" s="1"/>
  <c r="C54" i="7" a="1"/>
  <c r="C54" i="7" s="1"/>
  <c r="E41" i="7" a="1"/>
  <c r="E41" i="7" s="1"/>
  <c r="B29" i="7" a="1"/>
  <c r="B29" i="7" s="1"/>
  <c r="C16" i="7" a="1"/>
  <c r="C16" i="7" s="1"/>
  <c r="D52" i="7" a="1"/>
  <c r="D52" i="7" s="1"/>
  <c r="C38" i="7" a="1"/>
  <c r="C38" i="7" s="1"/>
  <c r="E25" i="7" a="1"/>
  <c r="E25" i="7" s="1"/>
  <c r="F12" i="7" a="1"/>
  <c r="F12" i="7" s="1"/>
  <c r="E11" i="7" a="1"/>
  <c r="E11" i="7" s="1"/>
  <c r="F61" i="7" a="1"/>
  <c r="F61" i="7" s="1"/>
  <c r="C49" i="7" a="1"/>
  <c r="C49" i="7" s="1"/>
  <c r="D36" i="7" a="1"/>
  <c r="D36" i="7" s="1"/>
  <c r="C22" i="7" a="1"/>
  <c r="C22" i="7" s="1"/>
  <c r="E15" i="7" a="1"/>
  <c r="E15" i="7" s="1"/>
  <c r="E53" i="7" a="1"/>
  <c r="E53" i="7" s="1"/>
  <c r="B41" i="7" a="1"/>
  <c r="B41" i="7" s="1"/>
  <c r="D28" i="7" a="1"/>
  <c r="D28" i="7" s="1"/>
  <c r="F62" i="7" a="1"/>
  <c r="F62" i="7" s="1"/>
  <c r="C50" i="7" a="1"/>
  <c r="C50" i="7" s="1"/>
  <c r="E37" i="7" a="1"/>
  <c r="E37" i="7" s="1"/>
  <c r="B25" i="7" a="1"/>
  <c r="B25" i="7" s="1"/>
  <c r="E59" i="7" a="1"/>
  <c r="E59" i="7" s="1"/>
  <c r="B47" i="7" a="1"/>
  <c r="B47" i="7" s="1"/>
  <c r="C34" i="7" a="1"/>
  <c r="C34" i="7" s="1"/>
  <c r="E21" i="7" a="1"/>
  <c r="E21" i="7" s="1"/>
  <c r="B13" i="7" a="1"/>
  <c r="B13" i="7" s="1"/>
  <c r="B53" i="7" a="1"/>
  <c r="B53" i="7" s="1"/>
  <c r="D40" i="7" a="1"/>
  <c r="D40" i="7" s="1"/>
  <c r="F27" i="7" a="1"/>
  <c r="F27" i="7" s="1"/>
  <c r="B15" i="7" a="1"/>
  <c r="B15" i="7" s="1"/>
  <c r="B56" i="7" a="1"/>
  <c r="B56" i="7" s="1"/>
  <c r="D43" i="7" a="1"/>
  <c r="D43" i="7" s="1"/>
  <c r="F30" i="7" a="1"/>
  <c r="F30" i="7" s="1"/>
  <c r="B18" i="7" a="1"/>
  <c r="B18" i="7" s="1"/>
  <c r="E52" i="7" a="1"/>
  <c r="E52" i="7" s="1"/>
  <c r="B40" i="7" a="1"/>
  <c r="B40" i="7" s="1"/>
  <c r="D27" i="7" a="1"/>
  <c r="D27" i="7" s="1"/>
  <c r="D63" i="7" a="1"/>
  <c r="D63" i="7" s="1"/>
  <c r="F50" i="7" a="1"/>
  <c r="F50" i="7" s="1"/>
  <c r="E36" i="7" a="1"/>
  <c r="E36" i="7" s="1"/>
  <c r="B24" i="7" a="1"/>
  <c r="B24" i="7" s="1"/>
  <c r="C60" i="7" a="1"/>
  <c r="C60" i="7" s="1"/>
  <c r="E47" i="7" a="1"/>
  <c r="E47" i="7" s="1"/>
  <c r="F34" i="7" a="1"/>
  <c r="F34" i="7" s="1"/>
  <c r="E20" i="7" a="1"/>
  <c r="E20" i="7" s="1"/>
  <c r="D15" i="7" a="1"/>
  <c r="D15" i="7" s="1"/>
  <c r="B52" i="7" a="1"/>
  <c r="B52" i="7" s="1"/>
  <c r="D39" i="7" a="1"/>
  <c r="D39" i="7" s="1"/>
  <c r="F26" i="7" a="1"/>
  <c r="F26" i="7" s="1"/>
  <c r="D61" i="7" a="1"/>
  <c r="D61" i="7" s="1"/>
  <c r="F48" i="7" a="1"/>
  <c r="F48" i="7" s="1"/>
  <c r="B36" i="7" a="1"/>
  <c r="B36" i="7" s="1"/>
  <c r="D23" i="7" a="1"/>
  <c r="D23" i="7" s="1"/>
  <c r="B58" i="7" a="1"/>
  <c r="B58" i="7" s="1"/>
  <c r="D45" i="7" a="1"/>
  <c r="D45" i="7" s="1"/>
  <c r="F32" i="7" a="1"/>
  <c r="F32" i="7" s="1"/>
  <c r="B20" i="7" a="1"/>
  <c r="B20" i="7" s="1"/>
  <c r="F63" i="7" a="1"/>
  <c r="F63" i="7" s="1"/>
  <c r="D51" i="7" a="1"/>
  <c r="D51" i="7" s="1"/>
  <c r="F38" i="7" a="1"/>
  <c r="F38" i="7" s="1"/>
  <c r="C26" i="7" a="1"/>
  <c r="C26" i="7" s="1"/>
  <c r="D13" i="7" a="1"/>
  <c r="D13" i="7" s="1"/>
  <c r="D54" i="7" a="1"/>
  <c r="D54" i="7" s="1"/>
  <c r="F41" i="7" a="1"/>
  <c r="F41" i="7" s="1"/>
  <c r="C29" i="7" a="1"/>
  <c r="C29" i="7" s="1"/>
  <c r="C13" i="7" a="1"/>
  <c r="C13" i="7" s="1"/>
  <c r="B51" i="7" a="1"/>
  <c r="B51" i="7" s="1"/>
  <c r="D38" i="7" a="1"/>
  <c r="D38" i="7" s="1"/>
  <c r="F25" i="7" a="1"/>
  <c r="F25" i="7" s="1"/>
  <c r="B62" i="7" a="1"/>
  <c r="B62" i="7" s="1"/>
  <c r="F47" i="7" a="1"/>
  <c r="F47" i="7" s="1"/>
  <c r="B35" i="7" a="1"/>
  <c r="B35" i="7" s="1"/>
  <c r="D22" i="7" a="1"/>
  <c r="D22" i="7" s="1"/>
  <c r="E58" i="7" a="1"/>
  <c r="E58" i="7" s="1"/>
  <c r="B46" i="7" a="1"/>
  <c r="B46" i="7" s="1"/>
  <c r="F31" i="7" a="1"/>
  <c r="F31" i="7" s="1"/>
  <c r="B19" i="7" a="1"/>
  <c r="B19" i="7" s="1"/>
  <c r="B63" i="7" a="1"/>
  <c r="B63" i="7" s="1"/>
  <c r="D50" i="7" a="1"/>
  <c r="D50" i="7" s="1"/>
  <c r="F37" i="7" a="1"/>
  <c r="F37" i="7" s="1"/>
  <c r="C25" i="7" a="1"/>
  <c r="C25" i="7" s="1"/>
  <c r="F59" i="7" a="1"/>
  <c r="F59" i="7" s="1"/>
  <c r="C47" i="7" a="1"/>
  <c r="C47" i="7" s="1"/>
  <c r="D34" i="7" a="1"/>
  <c r="D34" i="7" s="1"/>
  <c r="F21" i="7" a="1"/>
  <c r="F21" i="7" s="1"/>
  <c r="D56" i="7" a="1"/>
  <c r="D56" i="7" s="1"/>
  <c r="F43" i="7" a="1"/>
  <c r="F43" i="7" s="1"/>
  <c r="C31" i="7" a="1"/>
  <c r="C31" i="7" s="1"/>
  <c r="D18" i="7" a="1"/>
  <c r="D18" i="7" s="1"/>
  <c r="D62" i="7" a="1"/>
  <c r="D62" i="7" s="1"/>
  <c r="F49" i="7" a="1"/>
  <c r="F49" i="7" s="1"/>
  <c r="C37" i="7" a="1"/>
  <c r="C37" i="7" s="1"/>
  <c r="E24" i="7" a="1"/>
  <c r="E24" i="7" s="1"/>
  <c r="D16" i="7" a="1"/>
  <c r="D16" i="7" s="1"/>
  <c r="F52" i="7" a="1"/>
  <c r="F52" i="7" s="1"/>
  <c r="C40" i="7" a="1"/>
  <c r="C40" i="7" s="1"/>
  <c r="E27" i="7" a="1"/>
  <c r="E27" i="7" s="1"/>
  <c r="E63" i="7" a="1"/>
  <c r="E63" i="7" s="1"/>
  <c r="D49" i="7" a="1"/>
  <c r="D49" i="7" s="1"/>
  <c r="F36" i="7" a="1"/>
  <c r="F36" i="7" s="1"/>
  <c r="C24" i="7" a="1"/>
  <c r="C24" i="7" s="1"/>
  <c r="D60" i="7" a="1"/>
  <c r="D60" i="7" s="1"/>
  <c r="C46" i="7" a="1"/>
  <c r="C46" i="7" s="1"/>
  <c r="D33" i="7" a="1"/>
  <c r="D33" i="7" s="1"/>
  <c r="F20" i="7" a="1"/>
  <c r="F20" i="7" s="1"/>
  <c r="C12" i="7" a="1"/>
  <c r="C12" i="7" s="1"/>
  <c r="D11" i="7" a="1"/>
  <c r="D11" i="7" s="1"/>
  <c r="B57" i="7" a="1"/>
  <c r="B57" i="7" s="1"/>
  <c r="D44" i="7" a="1"/>
  <c r="D44" i="7" s="1"/>
  <c r="C30" i="7" a="1"/>
  <c r="C30" i="7" s="1"/>
  <c r="D17" i="7" a="1"/>
  <c r="D17" i="7" s="1"/>
  <c r="E61" i="7" a="1"/>
  <c r="E61" i="7" s="1"/>
  <c r="B49" i="7" a="1"/>
  <c r="B49" i="7" s="1"/>
  <c r="C36" i="7" a="1"/>
  <c r="C36" i="7" s="1"/>
  <c r="E23" i="7" a="1"/>
  <c r="E23" i="7" s="1"/>
  <c r="C58" i="7" a="1"/>
  <c r="C58" i="7" s="1"/>
  <c r="E45" i="7" a="1"/>
  <c r="E45" i="7" s="1"/>
  <c r="B33" i="7" a="1"/>
  <c r="B33" i="7" s="1"/>
  <c r="C20" i="7" a="1"/>
  <c r="C20" i="7" s="1"/>
  <c r="F54" i="7" a="1"/>
  <c r="F54" i="7" s="1"/>
  <c r="C42" i="7" a="1"/>
  <c r="C42" i="7" s="1"/>
  <c r="E29" i="7" a="1"/>
  <c r="E29" i="7" s="1"/>
  <c r="F16" i="7" a="1"/>
  <c r="F16" i="7" s="1"/>
  <c r="B61" i="7" a="1"/>
  <c r="B61" i="7" s="1"/>
  <c r="D48" i="7" a="1"/>
  <c r="D48" i="7" s="1"/>
  <c r="E35" i="7" a="1"/>
  <c r="E35" i="7" s="1"/>
  <c r="B23" i="7" a="1"/>
  <c r="B23" i="7" s="1"/>
  <c r="E14" i="7" a="1"/>
  <c r="E14" i="7" s="1"/>
  <c r="C51" i="7" a="1"/>
  <c r="C51" i="7" s="1"/>
  <c r="E38" i="7" a="1"/>
  <c r="E38" i="7" s="1"/>
  <c r="B26" i="7" a="1"/>
  <c r="B26" i="7" s="1"/>
  <c r="E60" i="7" a="1"/>
  <c r="E60" i="7" s="1"/>
  <c r="B48" i="7" a="1"/>
  <c r="B48" i="7" s="1"/>
  <c r="C35" i="7" a="1"/>
  <c r="C35" i="7" s="1"/>
  <c r="E22" i="7" a="1"/>
  <c r="E22" i="7" s="1"/>
  <c r="F58" i="7" a="1"/>
  <c r="F58" i="7" s="1"/>
  <c r="E44" i="7" a="1"/>
  <c r="E44" i="7" s="1"/>
  <c r="B32" i="7" a="1"/>
  <c r="B32" i="7" s="1"/>
  <c r="C19" i="7" a="1"/>
  <c r="C19" i="7" s="1"/>
  <c r="B11" i="7" a="1"/>
  <c r="B11" i="7" s="1"/>
  <c r="E17" i="7" a="1"/>
  <c r="E17" i="7" s="1"/>
  <c r="C11" i="7" a="1"/>
  <c r="C11" i="7" s="1"/>
  <c r="D55" i="7" a="1"/>
  <c r="D55" i="7" s="1"/>
  <c r="F42" i="7" a="1"/>
  <c r="F42" i="7" s="1"/>
  <c r="E28" i="7" a="1"/>
  <c r="E28" i="7" s="1"/>
  <c r="F15" i="7" a="1"/>
  <c r="F15" i="7" s="1"/>
  <c r="B60" i="7" a="1"/>
  <c r="B60" i="7" s="1"/>
  <c r="D47" i="7" a="1"/>
  <c r="D47" i="7" s="1"/>
  <c r="E34" i="7" a="1"/>
  <c r="E34" i="7" s="1"/>
  <c r="B22" i="7" a="1"/>
  <c r="B22" i="7" s="1"/>
  <c r="E56" i="7" a="1"/>
  <c r="E56" i="7" s="1"/>
  <c r="B44" i="7" a="1"/>
  <c r="B44" i="7" s="1"/>
  <c r="D31" i="7" a="1"/>
  <c r="D31" i="7" s="1"/>
  <c r="E18" i="7" a="1"/>
  <c r="E18" i="7" s="1"/>
  <c r="C53" i="7" a="1"/>
  <c r="C53" i="7" s="1"/>
  <c r="E40" i="7" a="1"/>
  <c r="E40" i="7" s="1"/>
  <c r="B28" i="7" a="1"/>
  <c r="B28" i="7" s="1"/>
  <c r="C15" i="7" a="1"/>
  <c r="C15" i="7" s="1"/>
  <c r="D59" i="7" a="1"/>
  <c r="D59" i="7" s="1"/>
  <c r="F46" i="7" a="1"/>
  <c r="F46" i="7" s="1"/>
  <c r="B34" i="7" a="1"/>
  <c r="B34" i="7" s="1"/>
  <c r="D21" i="7" a="1"/>
  <c r="D21" i="7" s="1"/>
  <c r="C62" i="7" a="1"/>
  <c r="C62" i="7" s="1"/>
  <c r="E49" i="7" a="1"/>
  <c r="E49" i="7" s="1"/>
  <c r="B37" i="7" a="1"/>
  <c r="B37" i="7" s="1"/>
  <c r="D24" i="7" a="1"/>
  <c r="D24" i="7" s="1"/>
  <c r="B59" i="7" a="1"/>
  <c r="B59" i="7" s="1"/>
  <c r="D46" i="7" a="1"/>
  <c r="D46" i="7" s="1"/>
  <c r="E33" i="7" a="1"/>
  <c r="E33" i="7" s="1"/>
  <c r="B21" i="7" a="1"/>
  <c r="B21" i="7" s="1"/>
  <c r="C57" i="7" a="1"/>
  <c r="C57" i="7" s="1"/>
  <c r="B43" i="7" a="1"/>
  <c r="B43" i="7" s="1"/>
  <c r="D30" i="7" a="1"/>
  <c r="D30" i="7" s="1"/>
  <c r="B14" i="7" a="1"/>
  <c r="B14" i="7" s="1"/>
  <c r="F53" i="7" a="1"/>
  <c r="F53" i="7" s="1"/>
  <c r="C41" i="7" a="1"/>
  <c r="C41" i="7" s="1"/>
  <c r="B27" i="7" a="1"/>
  <c r="B27" i="7" s="1"/>
  <c r="C14" i="7" a="1"/>
  <c r="C14" i="7" s="1"/>
  <c r="D58" i="7" a="1"/>
  <c r="D58" i="7" s="1"/>
  <c r="F45" i="7" a="1"/>
  <c r="F45" i="7" s="1"/>
  <c r="C33" i="7" a="1"/>
  <c r="C33" i="7" s="1"/>
  <c r="F18" i="7" a="1"/>
  <c r="F18" i="7" s="1"/>
  <c r="B55" i="7" a="1"/>
  <c r="B55" i="7" s="1"/>
  <c r="D42" i="7" a="1"/>
  <c r="D42" i="7" s="1"/>
  <c r="F29" i="7" a="1"/>
  <c r="F29" i="7" s="1"/>
  <c r="B17" i="7" a="1"/>
  <c r="B17" i="7" s="1"/>
  <c r="E51" i="7" a="1"/>
  <c r="E51" i="7" s="1"/>
  <c r="B39" i="7" a="1"/>
  <c r="B39" i="7" s="1"/>
  <c r="D26" i="7" a="1"/>
  <c r="D26" i="7" s="1"/>
  <c r="E13" i="7" a="1"/>
  <c r="E13" i="7" s="1"/>
  <c r="F57" i="7" a="1"/>
  <c r="F57" i="7" s="1"/>
  <c r="C45" i="7" a="1"/>
  <c r="C45" i="7" s="1"/>
  <c r="E32" i="7" a="1"/>
  <c r="E32" i="7" s="1"/>
  <c r="F19" i="7" a="1"/>
  <c r="F19" i="7" s="1"/>
  <c r="F60" i="7" a="1"/>
  <c r="F60" i="7" s="1"/>
  <c r="C48" i="7" a="1"/>
  <c r="C48" i="7" s="1"/>
  <c r="D35" i="7" a="1"/>
  <c r="D35" i="7" s="1"/>
  <c r="F22" i="7" a="1"/>
  <c r="F22" i="7" s="1"/>
  <c r="D57" i="7" a="1"/>
  <c r="D57" i="7" s="1"/>
  <c r="F44" i="7" a="1"/>
  <c r="F44" i="7" s="1"/>
  <c r="C32" i="7" a="1"/>
  <c r="C32" i="7" s="1"/>
  <c r="D19" i="7" a="1"/>
  <c r="D19" i="7" s="1"/>
  <c r="E55" i="7" a="1"/>
  <c r="E55" i="7" s="1"/>
  <c r="D41" i="7" a="1"/>
  <c r="D41" i="7" s="1"/>
  <c r="F28" i="7" a="1"/>
  <c r="F28" i="7" s="1"/>
  <c r="B16" i="7" a="1"/>
  <c r="B16" i="7" s="1"/>
  <c r="C52" i="7" a="1"/>
  <c r="C52" i="7" s="1"/>
  <c r="E39" i="7" a="1"/>
  <c r="E39" i="7" s="1"/>
  <c r="D25" i="7" a="1"/>
  <c r="D25" i="7" s="1"/>
  <c r="E12" i="7" a="1"/>
  <c r="E12" i="7" s="1"/>
  <c r="F56" i="7" a="1"/>
  <c r="F56" i="7" s="1"/>
  <c r="C44" i="7" a="1"/>
  <c r="C44" i="7" s="1"/>
  <c r="E31" i="7" a="1"/>
  <c r="E31" i="7" s="1"/>
  <c r="D12" i="7" a="1"/>
  <c r="D12" i="7" s="1"/>
  <c r="D53" i="7" a="1"/>
  <c r="D53" i="7" s="1"/>
  <c r="F40" i="7" a="1"/>
  <c r="F40" i="7" s="1"/>
  <c r="C28" i="7" a="1"/>
  <c r="C28" i="7" s="1"/>
  <c r="E62" i="7" a="1"/>
  <c r="E62" i="7" s="1"/>
  <c r="B50" i="7" a="1"/>
  <c r="B50" i="7" s="1"/>
  <c r="D37" i="7" a="1"/>
  <c r="D37" i="7" s="1"/>
  <c r="F24" i="7" a="1"/>
  <c r="F24" i="7" s="1"/>
  <c r="B12" i="7" a="1"/>
  <c r="B12" i="7" s="1"/>
  <c r="C56" i="7" a="1"/>
  <c r="C56" i="7" s="1"/>
  <c r="E43" i="7" a="1"/>
  <c r="E43" i="7" s="1"/>
  <c r="B31" i="7" a="1"/>
  <c r="B31" i="7" s="1"/>
  <c r="C18" i="7" a="1"/>
  <c r="C18" i="7" s="1"/>
  <c r="C59" i="7" a="1"/>
  <c r="C59" i="7" s="1"/>
  <c r="E46" i="7" a="1"/>
  <c r="E46" i="7" s="1"/>
  <c r="F33" i="7" a="1"/>
  <c r="F33" i="7" s="1"/>
  <c r="C21" i="7" a="1"/>
  <c r="C21" i="7" s="1"/>
  <c r="F55" i="7" a="1"/>
  <c r="F55" i="7" s="1"/>
  <c r="C43" i="7" a="1"/>
  <c r="C43" i="7" s="1"/>
  <c r="E30" i="7" a="1"/>
  <c r="E30" i="7" s="1"/>
  <c r="F17" i="7" a="1"/>
  <c r="F17" i="7" s="1"/>
  <c r="B54" i="7" a="1"/>
  <c r="B54" i="7" s="1"/>
  <c r="F39" i="7" a="1"/>
  <c r="F39" i="7" s="1"/>
  <c r="C27" i="7" a="1"/>
  <c r="C27" i="7" s="1"/>
  <c r="D14" i="7" a="1"/>
  <c r="D14" i="7" s="1"/>
  <c r="F11" i="7" a="1"/>
  <c r="F11" i="7" s="1"/>
  <c r="C17" i="7" a="1"/>
  <c r="C17" i="7" s="1"/>
  <c r="Z466" i="7" l="1"/>
  <c r="Z216" i="7"/>
  <c r="Z212" i="7"/>
  <c r="Z362" i="7"/>
  <c r="Z305" i="7"/>
  <c r="Z104" i="7"/>
  <c r="Z79" i="7"/>
  <c r="Z75" i="7"/>
  <c r="Z73" i="7"/>
  <c r="Z65" i="7"/>
  <c r="Z80" i="7"/>
  <c r="Z78" i="7"/>
  <c r="Z138" i="7"/>
  <c r="Z117" i="7"/>
  <c r="Z468" i="7"/>
  <c r="Z242" i="7"/>
  <c r="Z234" i="7"/>
  <c r="Z108" i="7"/>
  <c r="Z68" i="7"/>
  <c r="Z471" i="7"/>
  <c r="Z462" i="7"/>
  <c r="Z457" i="7"/>
  <c r="Z418" i="7"/>
  <c r="Z302" i="7"/>
  <c r="Z286" i="7"/>
  <c r="Z599" i="7"/>
  <c r="Z110" i="7"/>
  <c r="Z289" i="7"/>
  <c r="Z186" i="7"/>
  <c r="Z182" i="7"/>
  <c r="Z179" i="7"/>
  <c r="Z141" i="7"/>
  <c r="Z114" i="7"/>
  <c r="Z460" i="7"/>
  <c r="Z456" i="7"/>
  <c r="Z225" i="7"/>
  <c r="N63" i="7"/>
  <c r="O63" i="7"/>
  <c r="P63" i="7"/>
  <c r="T50" i="7"/>
  <c r="S50" i="7"/>
  <c r="K38" i="7"/>
  <c r="M38" i="7"/>
  <c r="L38" i="7"/>
  <c r="U23" i="7"/>
  <c r="V23" i="7"/>
  <c r="Q20" i="7"/>
  <c r="R20" i="7"/>
  <c r="O55" i="7"/>
  <c r="P55" i="7"/>
  <c r="N55" i="7"/>
  <c r="S42" i="7"/>
  <c r="T42" i="7"/>
  <c r="K30" i="7"/>
  <c r="M30" i="7"/>
  <c r="L30" i="7"/>
  <c r="U13" i="7"/>
  <c r="V13" i="7"/>
  <c r="V51" i="7"/>
  <c r="U51" i="7"/>
  <c r="N39" i="7"/>
  <c r="O39" i="7"/>
  <c r="P39" i="7"/>
  <c r="T26" i="7"/>
  <c r="S26" i="7"/>
  <c r="O61" i="7"/>
  <c r="P61" i="7"/>
  <c r="N61" i="7"/>
  <c r="T48" i="7"/>
  <c r="S48" i="7"/>
  <c r="U35" i="7"/>
  <c r="V35" i="7"/>
  <c r="O23" i="7"/>
  <c r="N23" i="7"/>
  <c r="P23" i="7"/>
  <c r="U14" i="7"/>
  <c r="V14" i="7"/>
  <c r="T54" i="7"/>
  <c r="S54" i="7"/>
  <c r="M42" i="7"/>
  <c r="L42" i="7"/>
  <c r="K42" i="7"/>
  <c r="Q29" i="7"/>
  <c r="R29" i="7"/>
  <c r="T16" i="7"/>
  <c r="S16" i="7"/>
  <c r="T57" i="7"/>
  <c r="S57" i="7"/>
  <c r="M45" i="7"/>
  <c r="K45" i="7"/>
  <c r="L45" i="7"/>
  <c r="Q32" i="7"/>
  <c r="R32" i="7"/>
  <c r="S19" i="7"/>
  <c r="T19" i="7"/>
  <c r="N54" i="7"/>
  <c r="O54" i="7"/>
  <c r="P54" i="7"/>
  <c r="S41" i="7"/>
  <c r="T41" i="7"/>
  <c r="K29" i="7"/>
  <c r="M29" i="7"/>
  <c r="L29" i="7"/>
  <c r="O16" i="7"/>
  <c r="N16" i="7"/>
  <c r="P16" i="7"/>
  <c r="Q52" i="7"/>
  <c r="R52" i="7"/>
  <c r="N38" i="7"/>
  <c r="P38" i="7"/>
  <c r="O38" i="7"/>
  <c r="S25" i="7"/>
  <c r="T25" i="7"/>
  <c r="V12" i="7"/>
  <c r="U12" i="7"/>
  <c r="S11" i="7"/>
  <c r="T11" i="7"/>
  <c r="V61" i="7"/>
  <c r="U61" i="7"/>
  <c r="P49" i="7"/>
  <c r="N49" i="7"/>
  <c r="O49" i="7"/>
  <c r="Q36" i="7"/>
  <c r="R36" i="7"/>
  <c r="P22" i="7"/>
  <c r="O22" i="7"/>
  <c r="N22" i="7"/>
  <c r="S15" i="7"/>
  <c r="T15" i="7"/>
  <c r="T53" i="7"/>
  <c r="S53" i="7"/>
  <c r="L41" i="7"/>
  <c r="K41" i="7"/>
  <c r="M41" i="7"/>
  <c r="R28" i="7"/>
  <c r="Q28" i="7"/>
  <c r="U62" i="7"/>
  <c r="V62" i="7"/>
  <c r="O50" i="7"/>
  <c r="P50" i="7"/>
  <c r="N50" i="7"/>
  <c r="T37" i="7"/>
  <c r="S37" i="7"/>
  <c r="L25" i="7"/>
  <c r="K25" i="7"/>
  <c r="M25" i="7"/>
  <c r="T59" i="7"/>
  <c r="S59" i="7"/>
  <c r="L47" i="7"/>
  <c r="K47" i="7"/>
  <c r="M47" i="7"/>
  <c r="O34" i="7"/>
  <c r="N34" i="7"/>
  <c r="P34" i="7"/>
  <c r="T21" i="7"/>
  <c r="S21" i="7"/>
  <c r="M13" i="7"/>
  <c r="K13" i="7"/>
  <c r="L13" i="7"/>
  <c r="L53" i="7"/>
  <c r="K53" i="7"/>
  <c r="M53" i="7"/>
  <c r="R40" i="7"/>
  <c r="Q40" i="7"/>
  <c r="U27" i="7"/>
  <c r="V27" i="7"/>
  <c r="M15" i="7"/>
  <c r="L15" i="7"/>
  <c r="K15" i="7"/>
  <c r="K56" i="7"/>
  <c r="M56" i="7"/>
  <c r="L56" i="7"/>
  <c r="Q43" i="7"/>
  <c r="R43" i="7"/>
  <c r="V30" i="7"/>
  <c r="U30" i="7"/>
  <c r="M18" i="7"/>
  <c r="L18" i="7"/>
  <c r="K18" i="7"/>
  <c r="S52" i="7"/>
  <c r="T52" i="7"/>
  <c r="K40" i="7"/>
  <c r="M40" i="7"/>
  <c r="L40" i="7"/>
  <c r="Q27" i="7"/>
  <c r="R27" i="7"/>
  <c r="R63" i="7"/>
  <c r="Q63" i="7"/>
  <c r="U50" i="7"/>
  <c r="V50" i="7"/>
  <c r="S36" i="7"/>
  <c r="T36" i="7"/>
  <c r="K24" i="7"/>
  <c r="M24" i="7"/>
  <c r="L24" i="7"/>
  <c r="O60" i="7"/>
  <c r="P60" i="7"/>
  <c r="N60" i="7"/>
  <c r="T47" i="7"/>
  <c r="S47" i="7"/>
  <c r="U34" i="7"/>
  <c r="V34" i="7"/>
  <c r="S20" i="7"/>
  <c r="T20" i="7"/>
  <c r="R15" i="7"/>
  <c r="Q15" i="7"/>
  <c r="M52" i="7"/>
  <c r="L52" i="7"/>
  <c r="K52" i="7"/>
  <c r="Q39" i="7"/>
  <c r="R39" i="7"/>
  <c r="U26" i="7"/>
  <c r="V26" i="7"/>
  <c r="R61" i="7"/>
  <c r="Q61" i="7"/>
  <c r="U48" i="7"/>
  <c r="V48" i="7"/>
  <c r="L36" i="7"/>
  <c r="M36" i="7"/>
  <c r="K36" i="7"/>
  <c r="Q23" i="7"/>
  <c r="R23" i="7"/>
  <c r="L58" i="7"/>
  <c r="M58" i="7"/>
  <c r="K58" i="7"/>
  <c r="Q45" i="7"/>
  <c r="R45" i="7"/>
  <c r="U32" i="7"/>
  <c r="V32" i="7"/>
  <c r="K20" i="7"/>
  <c r="L20" i="7"/>
  <c r="M20" i="7"/>
  <c r="U63" i="7"/>
  <c r="V63" i="7"/>
  <c r="R51" i="7"/>
  <c r="Q51" i="7"/>
  <c r="U38" i="7"/>
  <c r="V38" i="7"/>
  <c r="N26" i="7"/>
  <c r="P26" i="7"/>
  <c r="O26" i="7"/>
  <c r="Q13" i="7"/>
  <c r="R13" i="7"/>
  <c r="R54" i="7"/>
  <c r="Q54" i="7"/>
  <c r="V41" i="7"/>
  <c r="U41" i="7"/>
  <c r="N29" i="7"/>
  <c r="P29" i="7"/>
  <c r="O29" i="7"/>
  <c r="O13" i="7"/>
  <c r="N13" i="7"/>
  <c r="P13" i="7"/>
  <c r="L51" i="7"/>
  <c r="K51" i="7"/>
  <c r="M51" i="7"/>
  <c r="Q38" i="7"/>
  <c r="R38" i="7"/>
  <c r="U25" i="7"/>
  <c r="V25" i="7"/>
  <c r="K62" i="7"/>
  <c r="M62" i="7"/>
  <c r="L62" i="7"/>
  <c r="V47" i="7"/>
  <c r="U47" i="7"/>
  <c r="L35" i="7"/>
  <c r="M35" i="7"/>
  <c r="K35" i="7"/>
  <c r="Q22" i="7"/>
  <c r="R22" i="7"/>
  <c r="T58" i="7"/>
  <c r="S58" i="7"/>
  <c r="L46" i="7"/>
  <c r="K46" i="7"/>
  <c r="M46" i="7"/>
  <c r="V31" i="7"/>
  <c r="U31" i="7"/>
  <c r="K19" i="7"/>
  <c r="L19" i="7"/>
  <c r="M19" i="7"/>
  <c r="L63" i="7"/>
  <c r="M63" i="7"/>
  <c r="K63" i="7"/>
  <c r="Q50" i="7"/>
  <c r="R50" i="7"/>
  <c r="U37" i="7"/>
  <c r="V37" i="7"/>
  <c r="P25" i="7"/>
  <c r="O25" i="7"/>
  <c r="N25" i="7"/>
  <c r="U59" i="7"/>
  <c r="V59" i="7"/>
  <c r="P47" i="7"/>
  <c r="N47" i="7"/>
  <c r="O47" i="7"/>
  <c r="Q34" i="7"/>
  <c r="R34" i="7"/>
  <c r="V21" i="7"/>
  <c r="U21" i="7"/>
  <c r="Q56" i="7"/>
  <c r="R56" i="7"/>
  <c r="U43" i="7"/>
  <c r="V43" i="7"/>
  <c r="P31" i="7"/>
  <c r="N31" i="7"/>
  <c r="O31" i="7"/>
  <c r="Q18" i="7"/>
  <c r="R18" i="7"/>
  <c r="Q62" i="7"/>
  <c r="R62" i="7"/>
  <c r="V49" i="7"/>
  <c r="U49" i="7"/>
  <c r="N37" i="7"/>
  <c r="P37" i="7"/>
  <c r="O37" i="7"/>
  <c r="T24" i="7"/>
  <c r="S24" i="7"/>
  <c r="Q16" i="7"/>
  <c r="R16" i="7"/>
  <c r="V52" i="7"/>
  <c r="U52" i="7"/>
  <c r="P40" i="7"/>
  <c r="O40" i="7"/>
  <c r="N40" i="7"/>
  <c r="T27" i="7"/>
  <c r="S27" i="7"/>
  <c r="S63" i="7"/>
  <c r="T63" i="7"/>
  <c r="Q49" i="7"/>
  <c r="R49" i="7"/>
  <c r="V36" i="7"/>
  <c r="U36" i="7"/>
  <c r="O24" i="7"/>
  <c r="N24" i="7"/>
  <c r="P24" i="7"/>
  <c r="R60" i="7"/>
  <c r="Q60" i="7"/>
  <c r="O46" i="7"/>
  <c r="N46" i="7"/>
  <c r="P46" i="7"/>
  <c r="R33" i="7"/>
  <c r="Q33" i="7"/>
  <c r="U20" i="7"/>
  <c r="V20" i="7"/>
  <c r="O12" i="7"/>
  <c r="N12" i="7"/>
  <c r="P12" i="7"/>
  <c r="Q11" i="7"/>
  <c r="R11" i="7"/>
  <c r="K57" i="7"/>
  <c r="M57" i="7"/>
  <c r="L57" i="7"/>
  <c r="R44" i="7"/>
  <c r="Q44" i="7"/>
  <c r="P30" i="7"/>
  <c r="N30" i="7"/>
  <c r="O30" i="7"/>
  <c r="R17" i="7"/>
  <c r="Q17" i="7"/>
  <c r="S61" i="7"/>
  <c r="T61" i="7"/>
  <c r="K49" i="7"/>
  <c r="M49" i="7"/>
  <c r="L49" i="7"/>
  <c r="O36" i="7"/>
  <c r="N36" i="7"/>
  <c r="P36" i="7"/>
  <c r="T23" i="7"/>
  <c r="S23" i="7"/>
  <c r="O58" i="7"/>
  <c r="P58" i="7"/>
  <c r="N58" i="7"/>
  <c r="S45" i="7"/>
  <c r="T45" i="7"/>
  <c r="K33" i="7"/>
  <c r="M33" i="7"/>
  <c r="L33" i="7"/>
  <c r="P20" i="7"/>
  <c r="N20" i="7"/>
  <c r="O20" i="7"/>
  <c r="V54" i="7"/>
  <c r="U54" i="7"/>
  <c r="O42" i="7"/>
  <c r="N42" i="7"/>
  <c r="P42" i="7"/>
  <c r="T29" i="7"/>
  <c r="S29" i="7"/>
  <c r="V16" i="7"/>
  <c r="U16" i="7"/>
  <c r="M61" i="7"/>
  <c r="K61" i="7"/>
  <c r="L61" i="7"/>
  <c r="R48" i="7"/>
  <c r="Q48" i="7"/>
  <c r="T35" i="7"/>
  <c r="S35" i="7"/>
  <c r="L23" i="7"/>
  <c r="M23" i="7"/>
  <c r="K23" i="7"/>
  <c r="T14" i="7"/>
  <c r="S14" i="7"/>
  <c r="O51" i="7"/>
  <c r="P51" i="7"/>
  <c r="N51" i="7"/>
  <c r="S38" i="7"/>
  <c r="T38" i="7"/>
  <c r="L26" i="7"/>
  <c r="M26" i="7"/>
  <c r="K26" i="7"/>
  <c r="S60" i="7"/>
  <c r="T60" i="7"/>
  <c r="L48" i="7"/>
  <c r="K48" i="7"/>
  <c r="M48" i="7"/>
  <c r="P35" i="7"/>
  <c r="N35" i="7"/>
  <c r="O35" i="7"/>
  <c r="T22" i="7"/>
  <c r="S22" i="7"/>
  <c r="V58" i="7"/>
  <c r="U58" i="7"/>
  <c r="T44" i="7"/>
  <c r="S44" i="7"/>
  <c r="M32" i="7"/>
  <c r="L32" i="7"/>
  <c r="K32" i="7"/>
  <c r="O19" i="7"/>
  <c r="P19" i="7"/>
  <c r="N19" i="7"/>
  <c r="L11" i="7"/>
  <c r="K11" i="7"/>
  <c r="M11" i="7"/>
  <c r="T17" i="7"/>
  <c r="S17" i="7"/>
  <c r="O11" i="7"/>
  <c r="N11" i="7"/>
  <c r="P11" i="7"/>
  <c r="Q55" i="7"/>
  <c r="R55" i="7"/>
  <c r="V42" i="7"/>
  <c r="U42" i="7"/>
  <c r="S28" i="7"/>
  <c r="T28" i="7"/>
  <c r="U15" i="7"/>
  <c r="V15" i="7"/>
  <c r="M60" i="7"/>
  <c r="K60" i="7"/>
  <c r="L60" i="7"/>
  <c r="R47" i="7"/>
  <c r="Q47" i="7"/>
  <c r="T34" i="7"/>
  <c r="S34" i="7"/>
  <c r="M22" i="7"/>
  <c r="L22" i="7"/>
  <c r="K22" i="7"/>
  <c r="T56" i="7"/>
  <c r="S56" i="7"/>
  <c r="K44" i="7"/>
  <c r="M44" i="7"/>
  <c r="L44" i="7"/>
  <c r="R31" i="7"/>
  <c r="Q31" i="7"/>
  <c r="S18" i="7"/>
  <c r="T18" i="7"/>
  <c r="N53" i="7"/>
  <c r="P53" i="7"/>
  <c r="O53" i="7"/>
  <c r="T40" i="7"/>
  <c r="S40" i="7"/>
  <c r="K28" i="7"/>
  <c r="M28" i="7"/>
  <c r="L28" i="7"/>
  <c r="O15" i="7"/>
  <c r="P15" i="7"/>
  <c r="N15" i="7"/>
  <c r="Q59" i="7"/>
  <c r="R59" i="7"/>
  <c r="U46" i="7"/>
  <c r="V46" i="7"/>
  <c r="K34" i="7"/>
  <c r="L34" i="7"/>
  <c r="M34" i="7"/>
  <c r="Q21" i="7"/>
  <c r="R21" i="7"/>
  <c r="O62" i="7"/>
  <c r="P62" i="7"/>
  <c r="N62" i="7"/>
  <c r="S49" i="7"/>
  <c r="T49" i="7"/>
  <c r="L37" i="7"/>
  <c r="M37" i="7"/>
  <c r="K37" i="7"/>
  <c r="Q24" i="7"/>
  <c r="R24" i="7"/>
  <c r="K59" i="7"/>
  <c r="L59" i="7"/>
  <c r="M59" i="7"/>
  <c r="Q46" i="7"/>
  <c r="R46" i="7"/>
  <c r="S33" i="7"/>
  <c r="T33" i="7"/>
  <c r="L21" i="7"/>
  <c r="M21" i="7"/>
  <c r="K21" i="7"/>
  <c r="N57" i="7"/>
  <c r="O57" i="7"/>
  <c r="P57" i="7"/>
  <c r="L43" i="7"/>
  <c r="K43" i="7"/>
  <c r="M43" i="7"/>
  <c r="Q30" i="7"/>
  <c r="R30" i="7"/>
  <c r="M14" i="7"/>
  <c r="K14" i="7"/>
  <c r="L14" i="7"/>
  <c r="U53" i="7"/>
  <c r="V53" i="7"/>
  <c r="N41" i="7"/>
  <c r="O41" i="7"/>
  <c r="P41" i="7"/>
  <c r="M27" i="7"/>
  <c r="K27" i="7"/>
  <c r="L27" i="7"/>
  <c r="N14" i="7"/>
  <c r="P14" i="7"/>
  <c r="O14" i="7"/>
  <c r="R58" i="7"/>
  <c r="Q58" i="7"/>
  <c r="U45" i="7"/>
  <c r="V45" i="7"/>
  <c r="N33" i="7"/>
  <c r="O33" i="7"/>
  <c r="P33" i="7"/>
  <c r="U18" i="7"/>
  <c r="V18" i="7"/>
  <c r="M55" i="7"/>
  <c r="K55" i="7"/>
  <c r="L55" i="7"/>
  <c r="Q42" i="7"/>
  <c r="R42" i="7"/>
  <c r="V29" i="7"/>
  <c r="U29" i="7"/>
  <c r="L17" i="7"/>
  <c r="M17" i="7"/>
  <c r="K17" i="7"/>
  <c r="S51" i="7"/>
  <c r="T51" i="7"/>
  <c r="K39" i="7"/>
  <c r="L39" i="7"/>
  <c r="M39" i="7"/>
  <c r="R26" i="7"/>
  <c r="Q26" i="7"/>
  <c r="T13" i="7"/>
  <c r="S13" i="7"/>
  <c r="U57" i="7"/>
  <c r="V57" i="7"/>
  <c r="P45" i="7"/>
  <c r="N45" i="7"/>
  <c r="O45" i="7"/>
  <c r="T32" i="7"/>
  <c r="S32" i="7"/>
  <c r="U19" i="7"/>
  <c r="V19" i="7"/>
  <c r="U60" i="7"/>
  <c r="V60" i="7"/>
  <c r="N48" i="7"/>
  <c r="P48" i="7"/>
  <c r="O48" i="7"/>
  <c r="R35" i="7"/>
  <c r="Q35" i="7"/>
  <c r="V22" i="7"/>
  <c r="U22" i="7"/>
  <c r="R57" i="7"/>
  <c r="Q57" i="7"/>
  <c r="V44" i="7"/>
  <c r="U44" i="7"/>
  <c r="P32" i="7"/>
  <c r="N32" i="7"/>
  <c r="O32" i="7"/>
  <c r="Q19" i="7"/>
  <c r="R19" i="7"/>
  <c r="S55" i="7"/>
  <c r="T55" i="7"/>
  <c r="Q41" i="7"/>
  <c r="R41" i="7"/>
  <c r="U28" i="7"/>
  <c r="V28" i="7"/>
  <c r="K16" i="7"/>
  <c r="L16" i="7"/>
  <c r="M16" i="7"/>
  <c r="P52" i="7"/>
  <c r="O52" i="7"/>
  <c r="N52" i="7"/>
  <c r="T39" i="7"/>
  <c r="S39" i="7"/>
  <c r="Q25" i="7"/>
  <c r="R25" i="7"/>
  <c r="S12" i="7"/>
  <c r="T12" i="7"/>
  <c r="U56" i="7"/>
  <c r="V56" i="7"/>
  <c r="O44" i="7"/>
  <c r="N44" i="7"/>
  <c r="P44" i="7"/>
  <c r="T31" i="7"/>
  <c r="S31" i="7"/>
  <c r="Q12" i="7"/>
  <c r="R12" i="7"/>
  <c r="Q53" i="7"/>
  <c r="R53" i="7"/>
  <c r="U40" i="7"/>
  <c r="V40" i="7"/>
  <c r="P28" i="7"/>
  <c r="N28" i="7"/>
  <c r="O28" i="7"/>
  <c r="S62" i="7"/>
  <c r="T62" i="7"/>
  <c r="L50" i="7"/>
  <c r="M50" i="7"/>
  <c r="K50" i="7"/>
  <c r="Q37" i="7"/>
  <c r="R37" i="7"/>
  <c r="U24" i="7"/>
  <c r="V24" i="7"/>
  <c r="K12" i="7"/>
  <c r="L12" i="7"/>
  <c r="M12" i="7"/>
  <c r="P56" i="7"/>
  <c r="O56" i="7"/>
  <c r="N56" i="7"/>
  <c r="T43" i="7"/>
  <c r="S43" i="7"/>
  <c r="K31" i="7"/>
  <c r="M31" i="7"/>
  <c r="L31" i="7"/>
  <c r="O18" i="7"/>
  <c r="P18" i="7"/>
  <c r="N18" i="7"/>
  <c r="O59" i="7"/>
  <c r="P59" i="7"/>
  <c r="N59" i="7"/>
  <c r="T46" i="7"/>
  <c r="S46" i="7"/>
  <c r="V33" i="7"/>
  <c r="U33" i="7"/>
  <c r="N21" i="7"/>
  <c r="P21" i="7"/>
  <c r="O21" i="7"/>
  <c r="V55" i="7"/>
  <c r="U55" i="7"/>
  <c r="N43" i="7"/>
  <c r="P43" i="7"/>
  <c r="O43" i="7"/>
  <c r="S30" i="7"/>
  <c r="T30" i="7"/>
  <c r="V17" i="7"/>
  <c r="U17" i="7"/>
  <c r="L54" i="7"/>
  <c r="M54" i="7"/>
  <c r="K54" i="7"/>
  <c r="U39" i="7"/>
  <c r="V39" i="7"/>
  <c r="P27" i="7"/>
  <c r="N27" i="7"/>
  <c r="O27" i="7"/>
  <c r="Q14" i="7"/>
  <c r="R14" i="7"/>
  <c r="U11" i="7"/>
  <c r="V11" i="7"/>
  <c r="N17" i="7"/>
  <c r="P17" i="7"/>
  <c r="O17" i="7"/>
  <c r="Z11" i="7"/>
  <c r="Z39" i="7"/>
  <c r="Z37" i="7"/>
  <c r="Z54" i="7"/>
  <c r="Z50" i="7"/>
  <c r="Z59" i="7"/>
  <c r="Z46" i="7"/>
  <c r="Z32" i="7"/>
  <c r="Z42" i="7"/>
  <c r="Z48" i="7"/>
  <c r="Z41" i="7"/>
  <c r="Z60" i="7"/>
  <c r="Z45" i="7"/>
  <c r="Z49" i="7"/>
  <c r="Z40" i="7"/>
  <c r="Z57" i="7"/>
  <c r="Z38" i="7"/>
  <c r="Z35" i="7"/>
  <c r="Z29" i="7"/>
  <c r="Z58" i="7"/>
  <c r="Z19" i="7"/>
  <c r="Z47" i="7"/>
  <c r="Z61" i="7"/>
  <c r="Z25" i="7"/>
  <c r="Z34" i="7"/>
  <c r="Z16" i="7"/>
  <c r="Z36" i="7"/>
  <c r="Z26" i="7"/>
  <c r="Z33" i="7"/>
  <c r="Z14" i="7"/>
  <c r="Z23" i="7"/>
  <c r="Z22" i="7"/>
  <c r="Z20" i="7"/>
  <c r="Z21" i="7"/>
  <c r="Z15" i="7"/>
  <c r="Z30" i="7"/>
  <c r="Z52" i="7"/>
  <c r="Z55" i="7"/>
  <c r="Z62" i="7"/>
  <c r="L13" i="4"/>
  <c r="L20" i="4"/>
  <c r="L9" i="4"/>
  <c r="L19" i="4"/>
  <c r="L16" i="4"/>
  <c r="L21" i="4"/>
  <c r="L18" i="4"/>
  <c r="L23" i="4"/>
  <c r="L17" i="4"/>
  <c r="L22" i="4"/>
  <c r="L11" i="4"/>
  <c r="L10" i="4"/>
  <c r="L27" i="4"/>
  <c r="L28" i="4"/>
  <c r="L14" i="4"/>
  <c r="L12" i="4"/>
  <c r="Z44" i="7" l="1"/>
  <c r="Z43" i="7"/>
  <c r="Z17" i="7"/>
  <c r="Z31" i="7"/>
  <c r="Z27" i="7"/>
  <c r="Z18" i="7"/>
  <c r="Z12" i="7"/>
  <c r="M28" i="4"/>
  <c r="M27" i="4"/>
  <c r="M22" i="4"/>
  <c r="M23" i="4"/>
  <c r="M21" i="4"/>
  <c r="M11" i="4"/>
  <c r="M19" i="4"/>
  <c r="M14" i="4"/>
  <c r="M17" i="4"/>
  <c r="M16" i="4"/>
  <c r="M20" i="4"/>
  <c r="M12" i="4"/>
  <c r="M10" i="4"/>
  <c r="M18" i="4"/>
  <c r="M9" i="4"/>
  <c r="M13" i="4"/>
</calcChain>
</file>

<file path=xl/sharedStrings.xml><?xml version="1.0" encoding="utf-8"?>
<sst xmlns="http://schemas.openxmlformats.org/spreadsheetml/2006/main" count="6598" uniqueCount="1620">
  <si>
    <t>TABELA</t>
  </si>
  <si>
    <t>Tabela Simulada</t>
  </si>
  <si>
    <t>TABELA_SIMUL</t>
  </si>
  <si>
    <t>TIPOLOGIA_TESTE</t>
  </si>
  <si>
    <t>Caracteres Especiais</t>
  </si>
  <si>
    <t>Coerência</t>
  </si>
  <si>
    <t>CAMPO</t>
  </si>
  <si>
    <t>TABELA_LT_PILAR3</t>
  </si>
  <si>
    <t>UNIVERSO_SIMUL</t>
  </si>
  <si>
    <t>CRUZAMENTO</t>
  </si>
  <si>
    <t>Instrument</t>
  </si>
  <si>
    <t>Projeto</t>
  </si>
  <si>
    <t>Âmbito</t>
  </si>
  <si>
    <t>nome_perimetro</t>
  </si>
  <si>
    <t xml:space="preserve">1.1.  Verificar a especificação do campo em análise. Se aplicável, verificar se é necessário reportar valor para ajustes. </t>
  </si>
  <si>
    <t>1.2.  Montar a simulação do campo tendo atenção aos seguintes pormenores:</t>
  </si>
  <si>
    <t xml:space="preserve">a) Não vamos fazer JOIN com a tabela de parametrização (LT803). Em alternativa, montamos um CASE WHEN ou importamos a parametrização. </t>
  </si>
  <si>
    <t>b) Para operações de ajustes verificar se o campo deve reportar valor.</t>
  </si>
  <si>
    <t>c) Se for necessário aplicar algum filtro (ou tratamento) que não está na especificação deixar um comentário no código.</t>
  </si>
  <si>
    <t>d) Garantir que não existem duplicados e deixar no código o número de registos de cada LEFT JOIN.</t>
  </si>
  <si>
    <t>segmento</t>
  </si>
  <si>
    <t>entidade</t>
  </si>
  <si>
    <t>lt002_instrument</t>
  </si>
  <si>
    <t>lt003_entity</t>
  </si>
  <si>
    <t>entty_id</t>
  </si>
  <si>
    <t>lt005_instr_ent</t>
  </si>
  <si>
    <t>instrmnt_id</t>
  </si>
  <si>
    <t>lt006_instr_prot</t>
  </si>
  <si>
    <t>prtctn_id</t>
  </si>
  <si>
    <t>lt004_protection</t>
  </si>
  <si>
    <t>Nome da Tabela</t>
  </si>
  <si>
    <t>Chave 1</t>
  </si>
  <si>
    <t>Chave 2</t>
  </si>
  <si>
    <t>bu_loantape_work</t>
  </si>
  <si>
    <t>ESTR</t>
  </si>
  <si>
    <t>00100</t>
  </si>
  <si>
    <t/>
  </si>
  <si>
    <t>FORMATO CAMPO</t>
  </si>
  <si>
    <t>REF_DATE</t>
  </si>
  <si>
    <t>NUM_REG_DIF</t>
  </si>
  <si>
    <t>HTIMEST</t>
  </si>
  <si>
    <t>ID_EXEC</t>
  </si>
  <si>
    <t>NUM_REG</t>
  </si>
  <si>
    <t>TABELA_LT</t>
  </si>
  <si>
    <t>Tabela</t>
  </si>
  <si>
    <t>Campo</t>
  </si>
  <si>
    <t>VALOR_MIN</t>
  </si>
  <si>
    <t>VALOR_MAX</t>
  </si>
  <si>
    <t>1. Erros de Coerência (#)</t>
  </si>
  <si>
    <t>2. Erros de Valores Admitidos (#)</t>
  </si>
  <si>
    <t>3. Erros de Caract. Especiais (#)</t>
  </si>
  <si>
    <t>Testes Corridos (#)</t>
  </si>
  <si>
    <t>ID Exec. 1.</t>
  </si>
  <si>
    <t>ID Exec. 2</t>
  </si>
  <si>
    <t>ID Exec. 3.</t>
  </si>
  <si>
    <t>ID Exec. 4.</t>
  </si>
  <si>
    <t>ID Exec. 5.</t>
  </si>
  <si>
    <t>Comentário</t>
  </si>
  <si>
    <t>Status</t>
  </si>
  <si>
    <t>Validade</t>
  </si>
  <si>
    <t>4. Registos com Missing (#)</t>
  </si>
  <si>
    <t>5. Registos com N/A (#)</t>
  </si>
  <si>
    <t>6. Valor Mínimo</t>
  </si>
  <si>
    <t>7. Valor Máximo</t>
  </si>
  <si>
    <r>
      <t>1.</t>
    </r>
    <r>
      <rPr>
        <b/>
        <i/>
        <sz val="11"/>
        <color rgb="FFFF0000"/>
        <rFont val="Arial"/>
        <family val="2"/>
      </rPr>
      <t xml:space="preserve"> Status</t>
    </r>
    <r>
      <rPr>
        <b/>
        <sz val="11"/>
        <color rgb="FFFF0000"/>
        <rFont val="Arial"/>
        <family val="2"/>
      </rPr>
      <t xml:space="preserve"> dos Testes</t>
    </r>
  </si>
  <si>
    <r>
      <t xml:space="preserve">2. </t>
    </r>
    <r>
      <rPr>
        <b/>
        <i/>
        <sz val="11"/>
        <color rgb="FFFF0000"/>
        <rFont val="Arial"/>
        <family val="2"/>
      </rPr>
      <t>Script</t>
    </r>
    <r>
      <rPr>
        <b/>
        <sz val="11"/>
        <color rgb="FFFF0000"/>
        <rFont val="Arial"/>
        <family val="2"/>
      </rPr>
      <t xml:space="preserve"> de Controlos</t>
    </r>
  </si>
  <si>
    <t>3. Resultados dos controlos 1 a 5</t>
  </si>
  <si>
    <t>3. Resultados dos controlos 6 a 7</t>
  </si>
  <si>
    <t>QUERY 1</t>
  </si>
  <si>
    <t>UNION ALL</t>
  </si>
  <si>
    <r>
      <t xml:space="preserve">1. Atualizar 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 com o campo em análise.</t>
    </r>
  </si>
  <si>
    <r>
      <t xml:space="preserve">2. Executar no HUE (em HIVE) o CREATE TABLE do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simulação.</t>
    </r>
  </si>
  <si>
    <r>
      <t xml:space="preserve">3. Executar no HUE o </t>
    </r>
    <r>
      <rPr>
        <b/>
        <i/>
        <sz val="11"/>
        <color theme="1"/>
        <rFont val="Neo sans"/>
      </rPr>
      <t xml:space="preserve">script </t>
    </r>
    <r>
      <rPr>
        <b/>
        <sz val="11"/>
        <color theme="1"/>
        <rFont val="Neo sans"/>
      </rPr>
      <t>de controlo de universo.</t>
    </r>
  </si>
  <si>
    <r>
      <t xml:space="preserve">4. Verificar com IT o nome da tabela a testar e filtros. Caso seja necessário, atualizar as tabelas </t>
    </r>
    <r>
      <rPr>
        <b/>
        <i/>
        <sz val="11"/>
        <color theme="1"/>
        <rFont val="Neo sans"/>
      </rPr>
      <t>infra</t>
    </r>
    <r>
      <rPr>
        <b/>
        <sz val="11"/>
        <color theme="1"/>
        <rFont val="Neo sans"/>
      </rPr>
      <t>:</t>
    </r>
  </si>
  <si>
    <t>6. XXX</t>
  </si>
  <si>
    <t>7. XXX</t>
  </si>
  <si>
    <t>Protection</t>
  </si>
  <si>
    <t>Entity</t>
  </si>
  <si>
    <t>0. Instruções</t>
  </si>
  <si>
    <t>Missings</t>
  </si>
  <si>
    <t>Not applicable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</si>
  <si>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</si>
  <si>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</si>
  <si>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</si>
  <si>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</si>
  <si>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</si>
  <si>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</si>
  <si>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</si>
  <si>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</si>
  <si>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</si>
  <si>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</si>
  <si>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</si>
  <si>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</si>
  <si>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</si>
  <si>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</si>
  <si>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</si>
  <si>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</si>
  <si>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</si>
  <si>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IDCMB</t>
  </si>
  <si>
    <t>ISIN</t>
  </si>
  <si>
    <t>CNTRY</t>
  </si>
  <si>
    <t>LEI</t>
  </si>
  <si>
    <t>ECNMC_ACTVTY</t>
  </si>
  <si>
    <t>GRP_EQTY</t>
  </si>
  <si>
    <t>ANNL_TRNVR_LE</t>
  </si>
  <si>
    <t>EQTY</t>
  </si>
  <si>
    <t>GRP_TTL_DBT</t>
  </si>
  <si>
    <t>TTL_DBT</t>
  </si>
  <si>
    <t>RL_ESTT_CLLTRL_LCTN</t>
  </si>
  <si>
    <t>RL_ESTT_PST_CD</t>
  </si>
  <si>
    <t>TYP_PRTCTN</t>
  </si>
  <si>
    <t>ORGNL_PRTCTN_VL</t>
  </si>
  <si>
    <t>PRTCTN_VL</t>
  </si>
  <si>
    <t>INSTRUMENT</t>
  </si>
  <si>
    <t>ENTITY</t>
  </si>
  <si>
    <t>PROTECTION</t>
  </si>
  <si>
    <t>VALORES CODE LIST</t>
  </si>
  <si>
    <t>Número de Registos ID1. (#)</t>
  </si>
  <si>
    <t>Número de Registos ID2&amp;9 (#)</t>
  </si>
  <si>
    <t>Auxiliar</t>
  </si>
  <si>
    <t xml:space="preserve">a) O número de registos em comum tem de ser igual ao número de registos do teste de coerência. Caso tenhamos registos que não são comuns é necessário ver exemplos para ver o que está a acontecer. </t>
  </si>
  <si>
    <t>5. Executar no HUE a bateria de testes da sheet 2. Script para o campo em análise</t>
  </si>
  <si>
    <t>a) Analisar resultados. Caso no teste de coerência conste diferenças é necessário ver exemplos. Deixo abaixo uma query de exemplo:</t>
  </si>
  <si>
    <t>SELECT *</t>
  </si>
  <si>
    <t>FROM</t>
  </si>
  <si>
    <t xml:space="preserve">  (SELECT instrmnt_id,</t>
  </si>
  <si>
    <t xml:space="preserve">          LNS_CLLTRLZD_CLSSFCTN</t>
  </si>
  <si>
    <t xml:space="preserve">   FROM BU_LOANTAPE_WORK.LT002_INSTRUMENT</t>
  </si>
  <si>
    <t xml:space="preserve">   WHERE ref_date='${ref_date}'</t>
  </si>
  <si>
    <t xml:space="preserve">     AND nome_perimetro='Individual Corporativo'</t>
  </si>
  <si>
    <t xml:space="preserve">     AND segmento='ESTR'</t>
  </si>
  <si>
    <t xml:space="preserve">     AND ambito='PILAR3')X</t>
  </si>
  <si>
    <t>INNER JOIN</t>
  </si>
  <si>
    <t xml:space="preserve">  (SELECT instrmnt_id AS instrmnt_id_SIMUL,</t>
  </si>
  <si>
    <t xml:space="preserve">          LNS_CLLTRLZD_CLSSFCTN AS LNS_CLLTRLZD_CLSSFCTN_SIMUL</t>
  </si>
  <si>
    <t xml:space="preserve">   FROM BU_LOANTAPE_WORK.LT002_INSTRUMENT_P3_JUN24)Y ON X.INSTRMNT_ID=Y.INSTRMNT_ID_SIMUL</t>
  </si>
  <si>
    <t>WHERE COALESCE(CAST(X.LNS_CLLTRLZD_CLSSFCTN AS STRING),'')&lt;&gt;COALESCE(CAST(Y.LNS_CLLTRLZD_CLSSFCTN_SIMUL AS STRING),'')</t>
  </si>
  <si>
    <t>4. Incidências pendentes</t>
  </si>
  <si>
    <t>STATUS</t>
  </si>
  <si>
    <t>chave_bem</t>
  </si>
  <si>
    <t>Aberto</t>
  </si>
  <si>
    <t>1</t>
  </si>
  <si>
    <t>lt007_instr_activity</t>
  </si>
  <si>
    <t>origem_scp1_emss</t>
  </si>
  <si>
    <t>origem_scp2_emss</t>
  </si>
  <si>
    <t>origem_scp3_emss</t>
  </si>
  <si>
    <t>scp1_emss</t>
  </si>
  <si>
    <t>scp2_emss</t>
  </si>
  <si>
    <t>unidade_funcional_scp1_emss</t>
  </si>
  <si>
    <t>unidade_funcional_scp2_emss</t>
  </si>
  <si>
    <t>unidade_funcional_scp3_emss</t>
  </si>
  <si>
    <t>net_floor_area</t>
  </si>
  <si>
    <t>epc</t>
  </si>
  <si>
    <t>actual_value_ind</t>
  </si>
  <si>
    <t>property_purpose_code</t>
  </si>
  <si>
    <t>valor_original</t>
  </si>
  <si>
    <t>tipo_finalidade_bem</t>
  </si>
  <si>
    <t>tipo_finalidade_bem_2</t>
  </si>
  <si>
    <t>nome_pais</t>
  </si>
  <si>
    <t>nome_estado</t>
  </si>
  <si>
    <t>tipo_bem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</si>
  <si>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</si>
  <si>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</si>
  <si>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</si>
  <si>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</si>
  <si>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</si>
  <si>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</si>
  <si>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</si>
  <si>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</si>
  <si>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</si>
  <si>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</si>
  <si>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</si>
  <si>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ckutulmo</t>
  </si>
  <si>
    <t>htimest</t>
  </si>
  <si>
    <t>ref_date</t>
  </si>
  <si>
    <t>cod_visao</t>
  </si>
  <si>
    <t>epc_aux</t>
  </si>
  <si>
    <t>tipo_finalidade_bem_aux</t>
  </si>
  <si>
    <t>row_1</t>
  </si>
  <si>
    <t>chave_respons</t>
  </si>
  <si>
    <t>num_bens</t>
  </si>
  <si>
    <t>Fechado</t>
  </si>
  <si>
    <t>MODESG_OUT_BENS_IMOVEIS</t>
  </si>
  <si>
    <t>15/11: Incoerência de metodologia para o EPC G. No entanto para este tipo de finalidade (Residential total) é possível cruzar em função do tratamento do upper.</t>
  </si>
  <si>
    <t>31003014433390000000000000000000</t>
  </si>
  <si>
    <t>NULL</t>
  </si>
  <si>
    <t>68.00</t>
  </si>
  <si>
    <t>G</t>
  </si>
  <si>
    <t>1-REAL</t>
  </si>
  <si>
    <t>01</t>
  </si>
  <si>
    <t>1_01</t>
  </si>
  <si>
    <t>RESIDENTIAL TOTAL</t>
  </si>
  <si>
    <t>NON-RESIDENTIAL BUILDINGS</t>
  </si>
  <si>
    <t>31000309714436096000000000000000</t>
  </si>
  <si>
    <t>31003018083200000000000000000000</t>
  </si>
  <si>
    <t>99.00</t>
  </si>
  <si>
    <t>31000317146357096000000000000000</t>
  </si>
  <si>
    <t>31003014215320000000000000000000</t>
  </si>
  <si>
    <t>178.00</t>
  </si>
  <si>
    <t>31000308290768096000000000000000</t>
  </si>
  <si>
    <t>31003014123740000000000000000000</t>
  </si>
  <si>
    <t>84.00</t>
  </si>
  <si>
    <t>31000307652802096000000000000000</t>
  </si>
  <si>
    <t>31003015235300000000000000000000</t>
  </si>
  <si>
    <t>31000310720455096000000000000000</t>
  </si>
  <si>
    <t>31003015839710001000000000000000</t>
  </si>
  <si>
    <t>31000312087473096000000000000000</t>
  </si>
  <si>
    <t>31003014670500000000000000000000</t>
  </si>
  <si>
    <t>274.00</t>
  </si>
  <si>
    <t>31000310538923096000000000000000</t>
  </si>
  <si>
    <t>31003016991750000000000000000000</t>
  </si>
  <si>
    <t>100.00</t>
  </si>
  <si>
    <t>31000314240625096000000000000000</t>
  </si>
  <si>
    <t>31003012067010000000000000000000</t>
  </si>
  <si>
    <t>304.00</t>
  </si>
  <si>
    <t>31000301922631096000000000000000</t>
  </si>
  <si>
    <t>31003015538320000000000000000000</t>
  </si>
  <si>
    <t>153.00</t>
  </si>
  <si>
    <t>31000311367462096000000000000000</t>
  </si>
  <si>
    <t>31063416067640000000000000000000</t>
  </si>
  <si>
    <t>494.00</t>
  </si>
  <si>
    <t>31000601257262096000000000000000</t>
  </si>
  <si>
    <t>31003017022440000000000000000000</t>
  </si>
  <si>
    <t>105.00</t>
  </si>
  <si>
    <t>31000314008618096000000000000000</t>
  </si>
  <si>
    <t>31003015771890000000000000000000</t>
  </si>
  <si>
    <t>90.00</t>
  </si>
  <si>
    <t>31000311926077096000000000000000</t>
  </si>
  <si>
    <t>31003016189540000000000000000000</t>
  </si>
  <si>
    <t>160.00</t>
  </si>
  <si>
    <t>31000312773312096000000000000000</t>
  </si>
  <si>
    <t>31003012707370001000000000000000</t>
  </si>
  <si>
    <t>31000303062246096000000000000000</t>
  </si>
  <si>
    <t>31063015958320000000000000000000</t>
  </si>
  <si>
    <t>116.00</t>
  </si>
  <si>
    <t>31000600305088096000000000000000</t>
  </si>
  <si>
    <t>15/11: Incoerência de metodologia para o EPC G. Para este tipo de finalidade não é possível cruzar (o tratamento do upper não é suficiente para esta limitação).</t>
  </si>
  <si>
    <t>31084015188700000000000000000000</t>
  </si>
  <si>
    <t>77.00</t>
  </si>
  <si>
    <t>02</t>
  </si>
  <si>
    <t>1_02</t>
  </si>
  <si>
    <t>RETAIL - HIGH STREET</t>
  </si>
  <si>
    <t>31084015177880000000000000000000</t>
  </si>
  <si>
    <t>22.00</t>
  </si>
  <si>
    <t>31003015636000001000000000000000</t>
  </si>
  <si>
    <t>73.00</t>
  </si>
  <si>
    <t>08</t>
  </si>
  <si>
    <t>1_08</t>
  </si>
  <si>
    <t>NON-RESIDENTIAL TOTAL</t>
  </si>
  <si>
    <t>31003215729440000000000000000000</t>
  </si>
  <si>
    <t>2423.00</t>
  </si>
  <si>
    <t>1_04</t>
  </si>
  <si>
    <t>RETAIL - WAREHOUSE</t>
  </si>
  <si>
    <t>chave_bem_simul</t>
  </si>
  <si>
    <t>origem_scp1_emss_simul</t>
  </si>
  <si>
    <t>MODESG_OUT_EMSS_VCLS</t>
  </si>
  <si>
    <t>26/11: Incoerência entre origem de scope 1 e origem de scope 2</t>
  </si>
  <si>
    <t>89000000005111415000000000000001</t>
  </si>
  <si>
    <t>MVL_DQS4_3A</t>
  </si>
  <si>
    <t>405.0414520000</t>
  </si>
  <si>
    <t>405.04145176226452906275</t>
  </si>
  <si>
    <t>26/11: Incoerência entre origem reportada por IT e método de cálculo</t>
  </si>
  <si>
    <t>89000000005116456000000000000001</t>
  </si>
  <si>
    <t>MVL_DQS5_3B</t>
  </si>
  <si>
    <t>2321.4717340000</t>
  </si>
  <si>
    <t>17.5112080000</t>
  </si>
  <si>
    <t>2321.47173306560000000000</t>
  </si>
  <si>
    <t>17.51120769560000000000</t>
  </si>
  <si>
    <t>26/11: IT não reporta valor</t>
  </si>
  <si>
    <t>89000000008041032000000000000001</t>
  </si>
  <si>
    <t>1291.46905618188799808115</t>
  </si>
  <si>
    <t>43.28045253509438002635</t>
  </si>
  <si>
    <r>
      <t xml:space="preserve">Schema </t>
    </r>
    <r>
      <rPr>
        <b/>
        <sz val="11"/>
        <color theme="1"/>
        <rFont val="Neo sans"/>
      </rPr>
      <t>Simulada</t>
    </r>
  </si>
  <si>
    <t>Filtros</t>
  </si>
  <si>
    <t>tipologia_teste</t>
  </si>
  <si>
    <t>tabela</t>
  </si>
  <si>
    <t>campo</t>
  </si>
  <si>
    <t>num_reg_dif</t>
  </si>
  <si>
    <t>Validação de campos</t>
  </si>
  <si>
    <t>lt003_entity_srb</t>
  </si>
  <si>
    <t>cr_flg</t>
  </si>
  <si>
    <t>Dependentes de campos com nova especificação - PRFRMNG_STTS_PRVS</t>
  </si>
  <si>
    <t>dt_prfrmng_stts_le</t>
  </si>
  <si>
    <t>Dependentes de campos com nova especificação - DT_PRFRMNG_STTS</t>
  </si>
  <si>
    <t>lt005_instr_ent_srb</t>
  </si>
  <si>
    <t>mn_entty_id</t>
  </si>
  <si>
    <t>CORREÇÃO DE IT</t>
  </si>
  <si>
    <t>lt002_instrument_srb</t>
  </si>
  <si>
    <t>dpd_12m_prfrmng_stts</t>
  </si>
  <si>
    <t>CAMPO COM NOVA ESPECIFICAÇÃO</t>
  </si>
  <si>
    <t>dpd_24m_prfrmng_stts</t>
  </si>
  <si>
    <t>dpd_prfrmng_stts</t>
  </si>
  <si>
    <t>ifrs9_bhvrl_mtrty</t>
  </si>
  <si>
    <t>dt_imprmnt_stts</t>
  </si>
  <si>
    <t>dt_imprmnt_stts_prvs</t>
  </si>
  <si>
    <t>dt_prfrmng_stts</t>
  </si>
  <si>
    <t>dt_prfrmng_stts_prvs</t>
  </si>
  <si>
    <t>frbrnc_stts_instrmnt</t>
  </si>
  <si>
    <t>CAMPO COM INCIDÊNCIAS</t>
  </si>
  <si>
    <t>imprmnt_stts_prvs</t>
  </si>
  <si>
    <t>off_blnc_sht_amnt_instrmnt_prvs</t>
  </si>
  <si>
    <t>prfrmng_stts_prvs</t>
  </si>
  <si>
    <t>rfnnc_prps</t>
  </si>
  <si>
    <t>DEPENDE DO FRBRNC_STTS_INSTRMNT</t>
  </si>
  <si>
    <t>INSTR_ENTITY</t>
  </si>
  <si>
    <t>INSTR_PROTECTION</t>
  </si>
  <si>
    <t>INSTR_ACTIVITY</t>
  </si>
  <si>
    <t>DT_BRTH</t>
  </si>
  <si>
    <t>DT_DFLT_STTS</t>
  </si>
  <si>
    <t>DT_FNNCL_STTMTS</t>
  </si>
  <si>
    <t>DT_FNNCL_STTMTS_PRVS</t>
  </si>
  <si>
    <t>DT_INTTN_LGL_PRCDNGS_LE</t>
  </si>
  <si>
    <t>DT_PRFRMNG_STTS_LE</t>
  </si>
  <si>
    <t>GCC_PRNT_ID</t>
  </si>
  <si>
    <t>GCC_PRNT_NM</t>
  </si>
  <si>
    <t>INTRNL_SGMNT</t>
  </si>
  <si>
    <t>INTRNL_UNT</t>
  </si>
  <si>
    <t>ENTTY_NM</t>
  </si>
  <si>
    <t>EXTRNL_RTNG_NM</t>
  </si>
  <si>
    <t>ACCNTNG_FRMWRK_SL</t>
  </si>
  <si>
    <t>CR_FLG</t>
  </si>
  <si>
    <t>DCSD</t>
  </si>
  <si>
    <t>DFLT_STTS</t>
  </si>
  <si>
    <t>DT_EXTRNL_RTNG</t>
  </si>
  <si>
    <t>DT_INTRNL_RTNG</t>
  </si>
  <si>
    <t>EMPLYMNT_STTS_INTRNL</t>
  </si>
  <si>
    <t>EMPLYMNT_STTS</t>
  </si>
  <si>
    <t>ENTRPRS_SZ_LE</t>
  </si>
  <si>
    <t>EXTRNL_RTNG</t>
  </si>
  <si>
    <t>EXTRNL_RTNG_PRVS</t>
  </si>
  <si>
    <t>FLG_BNKRPTCY_IN_GRP</t>
  </si>
  <si>
    <t>FLG_HGH_CDS</t>
  </si>
  <si>
    <t>FLG_ISDA_CRDT_EVNT</t>
  </si>
  <si>
    <t>FLG_NN_ACCRL</t>
  </si>
  <si>
    <t>FLG_RQST_BNKRPTCY</t>
  </si>
  <si>
    <t>FLG_RQST_DSTRSSD_RSTRCTRNG</t>
  </si>
  <si>
    <t>FLG_RQST_EMRGNCY_FNDNG</t>
  </si>
  <si>
    <t>FLG_SLL_WTH_LSS</t>
  </si>
  <si>
    <t>INCM_SC</t>
  </si>
  <si>
    <t>INTRNL_RTNG</t>
  </si>
  <si>
    <t>INTRNL_RTNG_PRVS</t>
  </si>
  <si>
    <t>LGL_PRCDNG_STTS_LE</t>
  </si>
  <si>
    <t>OWND_BY_SPNSR</t>
  </si>
  <si>
    <t>PRFRMNG_STTS_LE</t>
  </si>
  <si>
    <t>RTNG_MTHD</t>
  </si>
  <si>
    <t>RTNG_SCL</t>
  </si>
  <si>
    <t>WTCH_LST</t>
  </si>
  <si>
    <t>SNGL_PRPS_VHCL</t>
  </si>
  <si>
    <t>GRP_EBITDA</t>
  </si>
  <si>
    <t>GRP_NT_DBT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</si>
  <si>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</si>
  <si>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</si>
  <si>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</si>
  <si>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</si>
  <si>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</si>
  <si>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</si>
  <si>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</si>
  <si>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</si>
  <si>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EQTY_PRVS</t>
  </si>
  <si>
    <t>GDWILL</t>
  </si>
  <si>
    <t>GDWILL_PRVS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</si>
  <si>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</si>
  <si>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</si>
  <si>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</si>
  <si>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</si>
  <si>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</si>
  <si>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</si>
  <si>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</si>
  <si>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</si>
  <si>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</si>
  <si>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</si>
  <si>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</si>
  <si>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</si>
  <si>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</si>
  <si>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</si>
  <si>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</si>
  <si>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</si>
  <si>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PD_CRR_RD</t>
  </si>
  <si>
    <t>PD_IFRS9_12M_RD</t>
  </si>
  <si>
    <t>PD_IFRS9_12M_RD_T1</t>
  </si>
  <si>
    <t>TAX_ID</t>
  </si>
  <si>
    <t>ANNL_TRNVR_LE_BDR</t>
  </si>
  <si>
    <t>ANNL_TRNVR_PRVS_BDR</t>
  </si>
  <si>
    <t>OSI_ID</t>
  </si>
  <si>
    <t>PD_CRR_RD_T1</t>
  </si>
  <si>
    <t>EC_GRP_ID</t>
  </si>
  <si>
    <t>EC_GRP_NM</t>
  </si>
  <si>
    <t>PRSN_TYP</t>
  </si>
  <si>
    <t>FR_CSH_FLW</t>
  </si>
  <si>
    <t>FR_CSH_FLW_T1</t>
  </si>
  <si>
    <t>FR_CSH_FLW_T2</t>
  </si>
  <si>
    <t>FR_CSH_FLW_T3</t>
  </si>
  <si>
    <t>JNT_LBLTY_AMNT</t>
  </si>
  <si>
    <t>MN_ENTTY_ID</t>
  </si>
  <si>
    <t>CRE_FNRP18</t>
  </si>
  <si>
    <t>SME_FNRP18</t>
  </si>
  <si>
    <t>RRE_FNRP18</t>
  </si>
  <si>
    <t>CNSMPTN_FNRP18</t>
  </si>
  <si>
    <t>CNTRCT_ID</t>
  </si>
  <si>
    <t>CRRNCY_DNMNTN</t>
  </si>
  <si>
    <t>OBSRVD_AGNT_ID</t>
  </si>
  <si>
    <t>OBSRVD_AGNT_NM</t>
  </si>
  <si>
    <t>PRDCT</t>
  </si>
  <si>
    <t>BRCHD_CVNNTS</t>
  </si>
  <si>
    <t>CHNNL_ORGNTN</t>
  </si>
  <si>
    <t>CSH_SWP_TRP</t>
  </si>
  <si>
    <t>CVNNT_STTS</t>
  </si>
  <si>
    <t>CVNNT_TYP</t>
  </si>
  <si>
    <t>DT_DFLT_STTS_INSTRMNT</t>
  </si>
  <si>
    <t>DT_END_GP_PPAL</t>
  </si>
  <si>
    <t>DT_END_INTRST_ONLY</t>
  </si>
  <si>
    <t>DT_FRBRNC_STTS</t>
  </si>
  <si>
    <t>DT_FRBRNC_STTS_PRVS</t>
  </si>
  <si>
    <t>FRBRNC_STTS_INSTRMNT</t>
  </si>
  <si>
    <t>IMPRMNT_STTS_PRVS</t>
  </si>
  <si>
    <t>INTRNL_RTNG_INCPTN</t>
  </si>
  <si>
    <t>LCRE</t>
  </si>
  <si>
    <t>LGL_PRCDNG_STTS</t>
  </si>
  <si>
    <t>LND_DRGTN</t>
  </si>
  <si>
    <t>POCI</t>
  </si>
  <si>
    <t>PRFRMNG_STTS_PRVS</t>
  </si>
  <si>
    <t>PRPS</t>
  </si>
  <si>
    <t>PYMNT_INTRST_ONLY</t>
  </si>
  <si>
    <t>RCRS</t>
  </si>
  <si>
    <t>RFNNC_PRPS</t>
  </si>
  <si>
    <t>SPCLTV_LNDNG</t>
  </si>
  <si>
    <t>STTS_UNDRWRTTN_TRNSCTN</t>
  </si>
  <si>
    <t>TRNCH</t>
  </si>
  <si>
    <t>TYP_AMRTSTN</t>
  </si>
  <si>
    <t>TYP_INTRST_RT</t>
  </si>
  <si>
    <t>TYP_MRTGG</t>
  </si>
  <si>
    <t>TYP_CRE_OPRTN</t>
  </si>
  <si>
    <t>ACCRD_INTRST_INSTRMNT</t>
  </si>
  <si>
    <t>AMNT_D_AT_MTRTY</t>
  </si>
  <si>
    <t>CCF</t>
  </si>
  <si>
    <t>CMMTMNT_INCPTN_INSTRMNT</t>
  </si>
  <si>
    <t>CMMTMNT_INSTRMNT</t>
  </si>
  <si>
    <t>CRRYNG_AMNT_INSTRMNT</t>
  </si>
  <si>
    <t>DBT_YLD</t>
  </si>
  <si>
    <t>DT_ORGNL_MTRTY</t>
  </si>
  <si>
    <t>IFRS9_BHVRL_MTRTY</t>
  </si>
  <si>
    <t>EAD</t>
  </si>
  <si>
    <t>IFRS9_CCF</t>
  </si>
  <si>
    <t>IFRS9_EAD</t>
  </si>
  <si>
    <t>INSTLMNT_PAY</t>
  </si>
  <si>
    <t>OFF_BLNC_SHT_AMNT_INSTRMNT</t>
  </si>
  <si>
    <t>OFF_BLNC_SHT_AMNT_INSTRMNT_PRVS</t>
  </si>
  <si>
    <t>OTSTNDNG_NMNL_AMNT_INSTRMNT</t>
  </si>
  <si>
    <t>OTSTNDNG_NMNL_AMNT_INSTRMNT_PRVS</t>
  </si>
  <si>
    <t>PRVSNS_OFF_BLNC_SHT</t>
  </si>
  <si>
    <t>PYMNT_FRQNCY</t>
  </si>
  <si>
    <t>RTNTN_SHR</t>
  </si>
  <si>
    <t>RWA</t>
  </si>
  <si>
    <t>RWA_MTHD</t>
  </si>
  <si>
    <t>SPNSR_NM</t>
  </si>
  <si>
    <t>ACCMLTD_IMPRMNT_INSTRMNT_PRVS</t>
  </si>
  <si>
    <t>ACCMLTD_WRTFFS_INSTRMNT</t>
  </si>
  <si>
    <t>ARRRS_INSTRMNT</t>
  </si>
  <si>
    <t>ARRRS_INSTRMNT_12M</t>
  </si>
  <si>
    <t>CMLTV_RCVRS_SNC_DFLT_INSTRMNT</t>
  </si>
  <si>
    <t>DPD</t>
  </si>
  <si>
    <t>DPD_12M</t>
  </si>
  <si>
    <t>DPD_12M_FRBRNC_STTS</t>
  </si>
  <si>
    <t>DPD_12M_PRFRMNG_STTS</t>
  </si>
  <si>
    <t>DPD_24M_FRBRNC_STTS</t>
  </si>
  <si>
    <t>DPD_24M_PRFRMNG_STTS</t>
  </si>
  <si>
    <t>DPD_FRBRNC_STTS</t>
  </si>
  <si>
    <t>DPD_PRFRMNG_STTS</t>
  </si>
  <si>
    <t>IMPRMNT_ASSSSMNT_MTHD</t>
  </si>
  <si>
    <t>IMPRMNT_CLCLTN_MTHD</t>
  </si>
  <si>
    <t>NMBR_FRBRNC_MSRS</t>
  </si>
  <si>
    <t>IFRS9_LGD</t>
  </si>
  <si>
    <t>LGD</t>
  </si>
  <si>
    <t>LTV</t>
  </si>
  <si>
    <t>LTV_INCPTN</t>
  </si>
  <si>
    <t>LTV_NPE</t>
  </si>
  <si>
    <t>PD_CRR_INCPTN</t>
  </si>
  <si>
    <t>PD_IFRS9_12M_INCPTN</t>
  </si>
  <si>
    <t>PD_IFRS9_LFTM_INCPTN</t>
  </si>
  <si>
    <t>PD_IFRS9_RMNNG_LFTM_INCPTN</t>
  </si>
  <si>
    <t>PD_IFRS9_RMNNG_LFTM_RD</t>
  </si>
  <si>
    <t>SICR_ASSSSMNT_MTHD</t>
  </si>
  <si>
    <t>ANNLSD_AGRD_RT</t>
  </si>
  <si>
    <t>EIR</t>
  </si>
  <si>
    <t>EIR_INCPTN</t>
  </si>
  <si>
    <t>INTRST_RT_RST_FRQNCY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</si>
  <si>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</si>
  <si>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</si>
  <si>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</si>
  <si>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</si>
  <si>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</si>
  <si>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</si>
  <si>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</si>
  <si>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</si>
  <si>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</si>
  <si>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</si>
  <si>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</si>
  <si>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</si>
  <si>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</si>
  <si>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</si>
  <si>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</si>
  <si>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</si>
  <si>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</si>
  <si>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</si>
  <si>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</si>
  <si>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</si>
  <si>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</si>
  <si>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</si>
  <si>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</si>
  <si>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</si>
  <si>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</si>
  <si>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</si>
  <si>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GRNTR_ID</t>
  </si>
  <si>
    <t>GRNTR_ID_TYP</t>
  </si>
  <si>
    <t>HEDGE_ID</t>
  </si>
  <si>
    <t>INSTR_SNRTY_CLSS</t>
  </si>
  <si>
    <t>INSTRMNT_CLSS</t>
  </si>
  <si>
    <t>ISSR_ESA_2010</t>
  </si>
  <si>
    <t>ISSR_ID</t>
  </si>
  <si>
    <t>ISSR_ID_TYP</t>
  </si>
  <si>
    <t>ISSR_RTNG</t>
  </si>
  <si>
    <t>ISSR_RTNG_SRC</t>
  </si>
  <si>
    <t>ISSR_TYP</t>
  </si>
  <si>
    <t>LCR_BFFR_CTGRY</t>
  </si>
  <si>
    <t>PRCH_UNDR_RSL_AGR</t>
  </si>
  <si>
    <t>PRDNTL_PRTFL</t>
  </si>
  <si>
    <t>PRT_LCR_BFFR</t>
  </si>
  <si>
    <t>SPRD</t>
  </si>
  <si>
    <t>SRCS_ENCMBRNC</t>
  </si>
  <si>
    <t>TYPE_OF_PLCMNT</t>
  </si>
  <si>
    <t>VLTN_CRRNCY</t>
  </si>
  <si>
    <t>VLTN_TYP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</si>
  <si>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</si>
  <si>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</si>
  <si>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</si>
  <si>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</si>
  <si>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</si>
  <si>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</si>
  <si>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</si>
  <si>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COD_SOC_INTRGRP</t>
  </si>
  <si>
    <t>LSTI</t>
  </si>
  <si>
    <t>DSTI</t>
  </si>
  <si>
    <t>LTI_INSTRMNT</t>
  </si>
  <si>
    <t>RFRNC_RT</t>
  </si>
  <si>
    <t>TYP_OFF_BLNC_PRDCT</t>
  </si>
  <si>
    <t>PRTCTN_ALLCTD_VL</t>
  </si>
  <si>
    <t>THRD_PRTY_PRRTY_CLMS</t>
  </si>
  <si>
    <t>DT_MTRTY_PRTCTN</t>
  </si>
  <si>
    <t>NTNL_ID</t>
  </si>
  <si>
    <t>PRTCTN_PRVDR_ID</t>
  </si>
  <si>
    <t>RL_ESTT_ADDRSS</t>
  </si>
  <si>
    <t>RL_ESTT_CLLTRL_LCTN_INT</t>
  </si>
  <si>
    <t>RL_ESTT_CTY</t>
  </si>
  <si>
    <t>HRCT_MV</t>
  </si>
  <si>
    <t>PRTCTN_CLLD</t>
  </si>
  <si>
    <t>TYP_PRTCTN_INTRNL</t>
  </si>
  <si>
    <t>TYP_PRTCTN_VL</t>
  </si>
  <si>
    <t>APPRSL_CRRNCY</t>
  </si>
  <si>
    <t>APPRSR</t>
  </si>
  <si>
    <t>DT_LST_FLL_APPRSL</t>
  </si>
  <si>
    <t>DT_ORGNL_PRTCTN_VL</t>
  </si>
  <si>
    <t>DT_PRTCTN_VL</t>
  </si>
  <si>
    <t>PRTCTN_FRCD_SL_VL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</si>
  <si>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</si>
  <si>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</si>
  <si>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</si>
  <si>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</si>
  <si>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</si>
  <si>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</si>
  <si>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</si>
  <si>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</si>
  <si>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</si>
  <si>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</si>
  <si>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</si>
  <si>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</si>
  <si>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</si>
  <si>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</si>
  <si>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</si>
  <si>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PRCNTG_ACTVTY</t>
  </si>
  <si>
    <t>CPN_RT</t>
  </si>
  <si>
    <t>DT_RFRNC</t>
  </si>
  <si>
    <t>ENTTY_ID</t>
  </si>
  <si>
    <t>INSTRMNT_ID</t>
  </si>
  <si>
    <t>PRTCTN_ID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</si>
  <si>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</si>
  <si>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</si>
  <si>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</si>
  <si>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</si>
  <si>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</si>
  <si>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</si>
  <si>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</si>
  <si>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</si>
  <si>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</si>
  <si>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</si>
  <si>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</si>
  <si>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</si>
  <si>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</si>
  <si>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</si>
  <si>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</si>
  <si>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</si>
  <si>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</si>
  <si>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</si>
  <si>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</si>
  <si>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</si>
  <si>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</si>
  <si>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</si>
  <si>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</si>
  <si>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ttl_lblty</t>
  </si>
  <si>
    <t>isin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</si>
  <si>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</si>
  <si>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</si>
  <si>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</si>
  <si>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</si>
  <si>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</si>
  <si>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</si>
  <si>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</si>
  <si>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</si>
  <si>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</si>
  <si>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</si>
  <si>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</si>
  <si>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</si>
  <si>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</si>
  <si>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</si>
  <si>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</si>
  <si>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</si>
  <si>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</si>
  <si>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</si>
  <si>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</si>
  <si>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</si>
  <si>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</si>
  <si>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</si>
  <si>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</si>
  <si>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</si>
  <si>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</si>
  <si>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dt_rfrnc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</si>
  <si>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</si>
  <si>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</si>
  <si>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</si>
  <si>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</si>
  <si>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</si>
  <si>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</si>
  <si>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</si>
  <si>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</si>
  <si>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</si>
  <si>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</si>
  <si>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</si>
  <si>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</si>
  <si>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</si>
  <si>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</si>
  <si>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</si>
  <si>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</si>
  <si>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</si>
  <si>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grss_intrst_incm</t>
  </si>
  <si>
    <t>grss_cmmssn_incm</t>
  </si>
  <si>
    <t>grss_cmmssn_incm_off_blnc</t>
  </si>
  <si>
    <t>idcmb</t>
  </si>
  <si>
    <t>cntry</t>
  </si>
  <si>
    <t>lei</t>
  </si>
  <si>
    <t>ecnmc_actvty</t>
  </si>
  <si>
    <t>grp_eqty</t>
  </si>
  <si>
    <t>annl_trnvr_le</t>
  </si>
  <si>
    <t>eqty</t>
  </si>
  <si>
    <t>grp_ttl_dbt</t>
  </si>
  <si>
    <t>ttl_dbt</t>
  </si>
  <si>
    <t>rl_estt_clltrl_lctn</t>
  </si>
  <si>
    <t>rl_estt_pst_cd</t>
  </si>
  <si>
    <t>typ_prtctn</t>
  </si>
  <si>
    <t>orgnl_prtctn_vl</t>
  </si>
  <si>
    <t>prtctn_vl</t>
  </si>
  <si>
    <t>flg_fin</t>
  </si>
  <si>
    <t>flg_exec</t>
  </si>
  <si>
    <t>flg_col</t>
  </si>
  <si>
    <t>flg_pro</t>
  </si>
  <si>
    <t>Status Atual</t>
  </si>
  <si>
    <t>Status Anterior</t>
  </si>
  <si>
    <t>Observações - Especificações</t>
  </si>
  <si>
    <t>3. Pendente de outros desenvolvimentos</t>
  </si>
  <si>
    <t>1. Concluído</t>
  </si>
  <si>
    <t>esg_sbsctr</t>
  </si>
  <si>
    <t>Package 2</t>
  </si>
  <si>
    <t>sstnbl_indctr</t>
  </si>
  <si>
    <t>4. Validação EF</t>
  </si>
  <si>
    <t>Package 5</t>
  </si>
  <si>
    <t xml:space="preserve">6. Em implementação </t>
  </si>
  <si>
    <t>7. Por iniciar</t>
  </si>
  <si>
    <t>Package 4</t>
  </si>
  <si>
    <t>Package 3</t>
  </si>
  <si>
    <t>FLG_SBSTNTL_CNTRBTN</t>
  </si>
  <si>
    <t>FLG_DNSH_CMPLNC</t>
  </si>
  <si>
    <t>DNSH_DTL</t>
  </si>
  <si>
    <t>sstnbl_ctgry</t>
  </si>
  <si>
    <t>2.2 Em especificação</t>
  </si>
  <si>
    <t>NW_BSNSS</t>
  </si>
  <si>
    <t>CNCLLD_INSTRMNT_STTS</t>
  </si>
  <si>
    <t>Package 4 --&gt; Não está especificado no LT - não conseguimos testar</t>
  </si>
  <si>
    <t>FLG_MNMM_SFGRDS</t>
  </si>
  <si>
    <t>entty_nm</t>
  </si>
  <si>
    <t>ec_grp_id</t>
  </si>
  <si>
    <t>ec_grp_nm</t>
  </si>
  <si>
    <t>grp_ecnmc_actvty</t>
  </si>
  <si>
    <t>txnmy_elgbl_capex_w</t>
  </si>
  <si>
    <t>Package 1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</si>
  <si>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</si>
  <si>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</si>
  <si>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</si>
  <si>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</si>
  <si>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</si>
  <si>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</si>
  <si>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</si>
  <si>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</si>
  <si>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</si>
  <si>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</si>
  <si>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</si>
  <si>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</si>
  <si>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</si>
  <si>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</si>
  <si>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</si>
  <si>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</si>
  <si>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</si>
  <si>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</si>
  <si>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</si>
  <si>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prtctn_allctd_vl</t>
  </si>
  <si>
    <t>TYP_RLTN</t>
  </si>
  <si>
    <t>0. Cancelado</t>
  </si>
  <si>
    <t>TYP_EMSSNS_LBL</t>
  </si>
  <si>
    <t>EPC_EMSSNS_LBL</t>
  </si>
  <si>
    <t>VHCL_EMSSNS_LBL</t>
  </si>
  <si>
    <t>TYP_EMSSNS_SCR</t>
  </si>
  <si>
    <t>EPC_EMSSNS_SCR</t>
  </si>
  <si>
    <t>VHCL_EMSSNS_SCR</t>
  </si>
  <si>
    <t>INSRNC_ID</t>
  </si>
  <si>
    <t>TYP_HZRDS_INSRD</t>
  </si>
  <si>
    <t>AMNT_CVRD_INSRNC</t>
  </si>
  <si>
    <t>DT_MTRTY_INSRNC</t>
  </si>
  <si>
    <t>FLG_FRST_HM</t>
  </si>
  <si>
    <t>BLDNG_AR</t>
  </si>
  <si>
    <t>RL_ESTT_CRTFCTN</t>
  </si>
  <si>
    <t>TYP_VHCL</t>
  </si>
  <si>
    <t>DT_RGSTRTN</t>
  </si>
  <si>
    <t>PRMRY_ENRGY_DMND_NN_RNWBL</t>
  </si>
  <si>
    <t>PRMRY_ENRGY_DMND_TTL</t>
  </si>
  <si>
    <t>PRMRY_ENRGY_DMND_RFRNC_VL</t>
  </si>
  <si>
    <t>RL_ESTT_CLMT_ZN</t>
  </si>
  <si>
    <t>AUX</t>
  </si>
  <si>
    <t>2.Script</t>
  </si>
  <si>
    <t>ENTITYCOD_SOC</t>
  </si>
  <si>
    <t>ENTITYCNTRY</t>
  </si>
  <si>
    <t>ENTITYDT_RFRNC</t>
  </si>
  <si>
    <t>ENTITYENTTY_ID</t>
  </si>
  <si>
    <t>ENTITYLEI</t>
  </si>
  <si>
    <t>ENTITYENTTY_NM</t>
  </si>
  <si>
    <t>ENTITYECNMC_ACTVTY</t>
  </si>
  <si>
    <t>ENTITYGRP_EQTY</t>
  </si>
  <si>
    <t>ENTITYANNL_TRNVR_LE</t>
  </si>
  <si>
    <t>ENTITYEQTY</t>
  </si>
  <si>
    <t>ENTITYGRP_TTL_DBT</t>
  </si>
  <si>
    <t>ENTITYTTL_DBT</t>
  </si>
  <si>
    <t>ENTITYEC_GRP_NM</t>
  </si>
  <si>
    <t>INSTR_ENTITYCOD_SOC</t>
  </si>
  <si>
    <t>INSTR_ENTITYDT_RFRNC</t>
  </si>
  <si>
    <t>INSTR_ENTITYENTTY_ID</t>
  </si>
  <si>
    <t>INSTR_ENTITYINSTRMNT_ID</t>
  </si>
  <si>
    <t>INSTR_ENTITYMN_ENTTY_ID</t>
  </si>
  <si>
    <t>INSTRUMENTCOD_SOC</t>
  </si>
  <si>
    <t>INSTRUMENTSUBPORTFOLIO_ID</t>
  </si>
  <si>
    <t>INSTRUMENTINSTRMNT_ID</t>
  </si>
  <si>
    <t>INSTRUMENTDFLT_STTS_INSTRMNT</t>
  </si>
  <si>
    <t>INSTRUMENTFRBRNC_STTS_INSTRMNT</t>
  </si>
  <si>
    <t>INSTRUMENTIMPRMNT_STTS</t>
  </si>
  <si>
    <t>INSTRUMENTPRFRMNG_STTS</t>
  </si>
  <si>
    <t>INSTRUMENTPRJCT_FNNC_LN</t>
  </si>
  <si>
    <t>INSTRUMENTTYP_INSTRMNT</t>
  </si>
  <si>
    <t>INSTRUMENTGRSS_CRRYNG_AMNT_INSTRMNT</t>
  </si>
  <si>
    <t>INSTRUMENTACCMLTD_CHNGS_FV_CR_INSTRMNT</t>
  </si>
  <si>
    <t>INSTRUMENTACCNTNG_CLSSFCTN</t>
  </si>
  <si>
    <t>INSTRUMENTIFRS9_BHVRL_MTRTY</t>
  </si>
  <si>
    <t>INSTRUMENTACCMLTD_IMPRMNT_INSTRMNT</t>
  </si>
  <si>
    <t>INSTRUMENTLTV</t>
  </si>
  <si>
    <t>INSTRUMENTLTV_INCPTN</t>
  </si>
  <si>
    <t>INSTRUMENTANNLSD_AGRD_RT</t>
  </si>
  <si>
    <t>INSTRUMENTISSR_CNTRY</t>
  </si>
  <si>
    <t>INSTRUMENTISSR_NACE_SCTR</t>
  </si>
  <si>
    <t>INSTRUMENTPRMRY_ASST_CLSSF</t>
  </si>
  <si>
    <t>INSTRUMENTLCL_INSTMRNT_ID</t>
  </si>
  <si>
    <t>INSTRUMENTIDCMB</t>
  </si>
  <si>
    <t>INSTR_PROTECTIONCOD_SOC</t>
  </si>
  <si>
    <t>INSTR_PROTECTIONDT_RFRNC</t>
  </si>
  <si>
    <t>INSTR_PROTECTIONINSTRMNT_ID</t>
  </si>
  <si>
    <t>INSTR_PROTECTIONPRTCTN_ID</t>
  </si>
  <si>
    <t>INSTR_PROTECTIONPRTCTN_ALLCTD_VL</t>
  </si>
  <si>
    <t>PROTECTIONCOD_SOC</t>
  </si>
  <si>
    <t>PROTECTIONDT_RFRNC</t>
  </si>
  <si>
    <t>PROTECTIONPRTCTN_ID</t>
  </si>
  <si>
    <t>PROTECTIONRL_ESTT_CLLTRL_LCTN</t>
  </si>
  <si>
    <t>PROTECTIONRL_ESTT_PST_CD</t>
  </si>
  <si>
    <t>PROTECTIONTYP_PRTCTN</t>
  </si>
  <si>
    <t>PROTECTIONORGNL_PRTCTN_VL</t>
  </si>
  <si>
    <t>PROTECTIONPRTCTN_VL</t>
  </si>
  <si>
    <t>PROTECTIONYR_CNSTRCTN</t>
  </si>
  <si>
    <t>INSTRUMENTACCMLTD_IMPRMNT_INSTRMNT_PRVS</t>
  </si>
  <si>
    <t>INSTRUMENTACCMLTD_WRTFFS_INSTRMNT</t>
  </si>
  <si>
    <t>INSTRUMENTACCRD_INTRST_INSTRMNT</t>
  </si>
  <si>
    <t>INSTRUMENTAMNT_D_AT_MTRTY</t>
  </si>
  <si>
    <t>INSTRUMENTARRRS_INSTRMNT</t>
  </si>
  <si>
    <t>INSTRUMENTARRRS_INSTRMNT_12M</t>
  </si>
  <si>
    <t>INSTRUMENTASST_SCRT_CLSS</t>
  </si>
  <si>
    <t>INSTRUMENTBRCHD_CVNNTS</t>
  </si>
  <si>
    <t>INSTRUMENTCCF</t>
  </si>
  <si>
    <t>INSTRUMENTCHNNL_ORGNTN</t>
  </si>
  <si>
    <t>INSTRUMENTCMLTV_RCVRS_SNC_DFLT_INSTRMNT</t>
  </si>
  <si>
    <t>INSTRUMENTCMMTMNT_INCPTN_INSTRMNT</t>
  </si>
  <si>
    <t>INSTRUMENTCMMTMNT_INSTRMNT</t>
  </si>
  <si>
    <t>INSTRUMENTCMPLNT_MRTR_C19_NM</t>
  </si>
  <si>
    <t>INSTRUMENTCNSMPTN_FNRP18</t>
  </si>
  <si>
    <t>INSTRUMENTCNTRCT_ID</t>
  </si>
  <si>
    <t>INSTRUMENTCNTRCT_ID_BDR</t>
  </si>
  <si>
    <t>INSTRUMENTCOD_SOC_INTRGRP</t>
  </si>
  <si>
    <t>INSTRUMENTCPN_CRRNCY</t>
  </si>
  <si>
    <t>INSTRUMENTCPN_RT</t>
  </si>
  <si>
    <t>INSTRUMENTCRE_FNRP18</t>
  </si>
  <si>
    <t>INSTRUMENTCRRLTN_CFFCNT</t>
  </si>
  <si>
    <t>INSTRUMENTCRRNCY_DNMNTN</t>
  </si>
  <si>
    <t>INSTRUMENTCRRYNG_AMNT_INSTRMNT</t>
  </si>
  <si>
    <t>INSTRUMENTCSH_SWP_TRP</t>
  </si>
  <si>
    <t>INSTRUMENTCVNNT_STTS</t>
  </si>
  <si>
    <t>INSTRUMENTCVNNT_TYP</t>
  </si>
  <si>
    <t>INSTRUMENTDBT_YLD</t>
  </si>
  <si>
    <t>INSTRUMENTDPD</t>
  </si>
  <si>
    <t>INSTRUMENTDPD_12M</t>
  </si>
  <si>
    <t>INSTRUMENTDPD_12M_FRBRNC_STTS</t>
  </si>
  <si>
    <t>INSTRUMENTDPD_12M_PRFRMNG_STTS</t>
  </si>
  <si>
    <t>INSTRUMENTDPD_24M_FRBRNC_STTS</t>
  </si>
  <si>
    <t>INSTRUMENTDPD_24M_PRFRMNG_STTS</t>
  </si>
  <si>
    <t>INSTRUMENTDPD_FRBRNC_STTS</t>
  </si>
  <si>
    <t>INSTRUMENTDPD_PRFRMNG_STTS</t>
  </si>
  <si>
    <t>INSTRUMENTDSTI</t>
  </si>
  <si>
    <t>INSTRUMENTDT_CMPLNT_MRTR_STTS_C19</t>
  </si>
  <si>
    <t>INSTRUMENTDT_CMPLNT_MRTR_STTS_PRVS_C19</t>
  </si>
  <si>
    <t>INSTRUMENTDT_DFLT_STTS_INSTRMNT</t>
  </si>
  <si>
    <t>INSTRUMENTDT_END_GP_PPAL</t>
  </si>
  <si>
    <t>INSTRUMENTDT_END_GP_PPAL_C19</t>
  </si>
  <si>
    <t>INSTRUMENTDT_END_INTRST_ONLY</t>
  </si>
  <si>
    <t>INSTRUMENTDT_END_INTRST_ONLY_C19</t>
  </si>
  <si>
    <t>INSTRUMENTDT_FRBRNC_STTS</t>
  </si>
  <si>
    <t>INSTRUMENTDT_FRBRNC_STTS_C19</t>
  </si>
  <si>
    <t>INSTRUMENTDT_FRBRNC_STTS_PRVS</t>
  </si>
  <si>
    <t>INSTRUMENTFRBRNC_STTS_C19</t>
  </si>
  <si>
    <t>INSTRUMENTGRC_PRD_CPTL_INTRST_C19</t>
  </si>
  <si>
    <t>INSTRUMENTGRNTR_ID</t>
  </si>
  <si>
    <t>INSTRUMENTGRNTR_ID_TYP</t>
  </si>
  <si>
    <t>INSTRUMENTHEDGE_ID</t>
  </si>
  <si>
    <t>INSTRUMENTIFRS9_CCF</t>
  </si>
  <si>
    <t>INSTRUMENTIFRS9_EAD</t>
  </si>
  <si>
    <t>INSTRUMENTIFRS9_LGD</t>
  </si>
  <si>
    <t>INSTRUMENTIMPRMNT_ASSSSMNT_MTHD</t>
  </si>
  <si>
    <t>INSTRUMENTIMPRMNT_CLCLTN_MTHD</t>
  </si>
  <si>
    <t>INSTRUMENTIMPRMNT_STTS_PRVS</t>
  </si>
  <si>
    <t>INSTRUMENTINSTLMNT_PAY</t>
  </si>
  <si>
    <t>INSTRUMENTINSTR_SNRTY_CLSS</t>
  </si>
  <si>
    <t>INSTRUMENTINSTRMNT_CLSS</t>
  </si>
  <si>
    <t>INSTRUMENTINTRNL_RTNG</t>
  </si>
  <si>
    <t>INSTRUMENTINTRNL_RTNG_INCPTN</t>
  </si>
  <si>
    <t>INSTRUMENTINTRNL_SGMNT</t>
  </si>
  <si>
    <t>INSTRUMENTINTRNL_SGMNT_CAT_MSTA</t>
  </si>
  <si>
    <t>INSTRUMENTINTRNL_SGMNT_CATGSUB</t>
  </si>
  <si>
    <t>INSTRUMENTINTRNL_SGMNT_IFRS9</t>
  </si>
  <si>
    <t>INSTRUMENTINTRNL_UNT</t>
  </si>
  <si>
    <t>INSTRUMENTINTRST_RT_RST_FRQNCY</t>
  </si>
  <si>
    <t>INSTRUMENTISIN</t>
  </si>
  <si>
    <t>INSTRUMENTISIN_SCRTSTN</t>
  </si>
  <si>
    <t>INSTRUMENTISSR_ESA_2010</t>
  </si>
  <si>
    <t>INSTRUMENTISSR_ID</t>
  </si>
  <si>
    <t>INSTRUMENTISSR_ID_TYP</t>
  </si>
  <si>
    <t>INSTRUMENTISSR_RTNG</t>
  </si>
  <si>
    <t>INSTRUMENTISSR_RTNG_SRC</t>
  </si>
  <si>
    <t>INSTRUMENTISSR_TYP</t>
  </si>
  <si>
    <t>INSTRUMENTLCR_BFFR_CTGRY</t>
  </si>
  <si>
    <t>INSTRUMENTLCRE</t>
  </si>
  <si>
    <t>INSTRUMENTLGD</t>
  </si>
  <si>
    <t>INSTRUMENTLGL_PRCDNG_STTS</t>
  </si>
  <si>
    <t>INSTRUMENTLND_DRGTN</t>
  </si>
  <si>
    <t>INSTRUMENTLSTI</t>
  </si>
  <si>
    <t>INSTRUMENTLTI_INSTRMNT</t>
  </si>
  <si>
    <t>INSTRUMENTLTV_NPE</t>
  </si>
  <si>
    <t>INSTRUMENTLVRG_FNNC_FLG</t>
  </si>
  <si>
    <t>INSTRUMENTMTRTY_LTST_FRBRNC_MSR_C19</t>
  </si>
  <si>
    <t>INSTRUMENTMTRTY_LTST_MRTR_C19</t>
  </si>
  <si>
    <t>INSTRUMENTNMBR_FRBRNC_MSRS</t>
  </si>
  <si>
    <t>INSTRUMENTOBSRVD_AGNT_ID</t>
  </si>
  <si>
    <t>INSTRUMENTOBSRVD_AGNT_NM</t>
  </si>
  <si>
    <t>INSTRUMENTOFF_BLNC_SHT_AMNT_INSTRMNT</t>
  </si>
  <si>
    <t>INSTRUMENTOFF_BLNC_SHT_AMNT_INSTRMNT_PRVS</t>
  </si>
  <si>
    <t>INSTRUMENTOTSTNDNG_NMNL_AMNT_INSTRMNT</t>
  </si>
  <si>
    <t>INSTRUMENTOTSTNDNG_NMNL_AMNT_INSTRMNT_PRVS</t>
  </si>
  <si>
    <t>INSTRUMENTPBLC_GRNT_SCHM_C19_NM</t>
  </si>
  <si>
    <t>INSTRUMENTPD_CRR_INCPTN</t>
  </si>
  <si>
    <t>INSTRUMENTPD_CRR_RD</t>
  </si>
  <si>
    <t>INSTRUMENTPD_CRR_RD_T1</t>
  </si>
  <si>
    <t>INSTRUMENTPD_IFRS9_12M_INCPTN</t>
  </si>
  <si>
    <t>INSTRUMENTPD_IFRS9_12M_RD</t>
  </si>
  <si>
    <t>INSTRUMENTPD_IFRS9_12M_RD_T1</t>
  </si>
  <si>
    <t>INSTRUMENTPD_IFRS9_LFTM_INCPTN</t>
  </si>
  <si>
    <t>INSTRUMENTPD_IFRS9_RMNNG_LFTM_INCPTN</t>
  </si>
  <si>
    <t>INSTRUMENTPD_IFRS9_RMNNG_LFTM_RD</t>
  </si>
  <si>
    <t>INSTRUMENTPMNT_PBLC_GRNT_SCHM_C19</t>
  </si>
  <si>
    <t>INSTRUMENTPOCI</t>
  </si>
  <si>
    <t>INSTRUMENTPRCH_UNDR_RSL_AGR</t>
  </si>
  <si>
    <t>INSTRUMENTPRDCT</t>
  </si>
  <si>
    <t>INSTRUMENTPRDNTL_PRTFL</t>
  </si>
  <si>
    <t>INSTRUMENTPRFRMNG_STTS_PRVS</t>
  </si>
  <si>
    <t>INSTRUMENTPRPS</t>
  </si>
  <si>
    <t>INSTRUMENTPRT_LCR_BFFR</t>
  </si>
  <si>
    <t>INSTRUMENTPRVSNS_OFF_BLNC_SHT</t>
  </si>
  <si>
    <t>INSTRUMENTPYMNT_FRQNCY</t>
  </si>
  <si>
    <t>INSTRUMENTPYMNT_INTRST_ONLY</t>
  </si>
  <si>
    <t>INSTRUMENTRCRS</t>
  </si>
  <si>
    <t>INSTRUMENTRCVD_AMRTSTN_12M</t>
  </si>
  <si>
    <t>INSTRUMENTRCVD_AMRTSTN_24M</t>
  </si>
  <si>
    <t>INSTRUMENTRCVD_INTRST_12M</t>
  </si>
  <si>
    <t>INSTRUMENTRCVD_INTRST_24M</t>
  </si>
  <si>
    <t>INSTRUMENTRFNNC_PRPS</t>
  </si>
  <si>
    <t>INSTRUMENTRFRNC_RT</t>
  </si>
  <si>
    <t>INSTRUMENTRRE_FNRP18</t>
  </si>
  <si>
    <t>INSTRUMENTRTNG_MTHD</t>
  </si>
  <si>
    <t>INSTRUMENTRTNG_SCL</t>
  </si>
  <si>
    <t>INSTRUMENTRTNTN_SHR</t>
  </si>
  <si>
    <t>INSTRUMENTRWA</t>
  </si>
  <si>
    <t>INSTRUMENTRWA_MTHD</t>
  </si>
  <si>
    <t>INSTRUMENTSBJCT_PBLC_GRNT_SCHM_C19</t>
  </si>
  <si>
    <t>INSTRUMENTSICR_ASSSSMNT_MTHD</t>
  </si>
  <si>
    <t>INSTRUMENTSME_FNRP18</t>
  </si>
  <si>
    <t>INSTRUMENTSPCLTV_LNDNG</t>
  </si>
  <si>
    <t>INSTRUMENTSPNSR_NM</t>
  </si>
  <si>
    <t>INSTRUMENTSPRD</t>
  </si>
  <si>
    <t>INSTRUMENTSRCS_ENCMBRNC</t>
  </si>
  <si>
    <t>INSTRUMENTSTTS_UNDRWRTTN_TRNSCTN</t>
  </si>
  <si>
    <t>INSTRUMENTSYNDCT_RL</t>
  </si>
  <si>
    <t>INSTRUMENTSYNDCTD_AGNT</t>
  </si>
  <si>
    <t>INSTRUMENTSYNDCTD_CNTRCT_ID</t>
  </si>
  <si>
    <t>INSTRUMENTSYNDCTD_LNDRS</t>
  </si>
  <si>
    <t>INSTRUMENTSYNDCTD_SHR</t>
  </si>
  <si>
    <t>INSTRUMENTSYNDCTN_TYP</t>
  </si>
  <si>
    <t>INSTRUMENTTRNCH</t>
  </si>
  <si>
    <t>INSTRUMENTTYP_AMRTSTN</t>
  </si>
  <si>
    <t>INSTRUMENTTYP_CMPLNT_MRTR_C19</t>
  </si>
  <si>
    <t>INSTRUMENTTYP_CRE_OPRTN</t>
  </si>
  <si>
    <t>INSTRUMENTTYP_INTRST_RT</t>
  </si>
  <si>
    <t>INSTRUMENTTYP_MRTGG</t>
  </si>
  <si>
    <t>INSTRUMENTTYPE_OF_PLCMNT</t>
  </si>
  <si>
    <t>INSTRUMENTVLTN_CRRNCY</t>
  </si>
  <si>
    <t>INSTRUMENTVLTN_TYP</t>
  </si>
  <si>
    <t>ENTITYACCNTNG_FRMWRK_SL</t>
  </si>
  <si>
    <t>ENTITYANNL_TRNVR_LE_BDR</t>
  </si>
  <si>
    <t>ENTITYANNL_TRNVR_PRVS</t>
  </si>
  <si>
    <t>ENTITYANNL_TRNVR_PRVS_BDR</t>
  </si>
  <si>
    <t>ENTITYCAPEX</t>
  </si>
  <si>
    <t>ENTITYCAPEX_PRVS</t>
  </si>
  <si>
    <t>ENTITYCLLCTN_MD</t>
  </si>
  <si>
    <t>ENTITYCR_FLG</t>
  </si>
  <si>
    <t>ENTITYCSH</t>
  </si>
  <si>
    <t>ENTITYCSH_PRVS</t>
  </si>
  <si>
    <t>ENTITYDBT_RPYMNT_CPCTY_SNR_DBT</t>
  </si>
  <si>
    <t>ENTITYDBT_RPYMNT_CPCTY_TTL</t>
  </si>
  <si>
    <t>ENTITYDBT_SRVC_RT</t>
  </si>
  <si>
    <t>ENTITYDBT_SRVC_RT_12M</t>
  </si>
  <si>
    <t>ENTITYDCSD</t>
  </si>
  <si>
    <t>ENTITYDFLT_STTS</t>
  </si>
  <si>
    <t>ENTITYDT_BRTH</t>
  </si>
  <si>
    <t>ENTITYDT_DFLT_STTS</t>
  </si>
  <si>
    <t>ENTITYDT_EXTRNL_RTNG</t>
  </si>
  <si>
    <t>ENTITYDT_FNNCL_STTMTS</t>
  </si>
  <si>
    <t>ENTITYDT_FNNCL_STTMTS_PRVS</t>
  </si>
  <si>
    <t>ENTITYDT_INTRNL_RTNG</t>
  </si>
  <si>
    <t>ENTITYDT_INTTN_LGL_PRCDNGS_LE</t>
  </si>
  <si>
    <t>ENTITYDT_PRFRMNG_STTS_LE</t>
  </si>
  <si>
    <t>ENTITYEBITDA</t>
  </si>
  <si>
    <t>ENTITYEBITDA_PRVS</t>
  </si>
  <si>
    <t>ENTITYEC_GRP_ID</t>
  </si>
  <si>
    <t>ENTITYEMPLYMNT_STTS</t>
  </si>
  <si>
    <t>ENTITYEMPLYMNT_STTS_INTRNL</t>
  </si>
  <si>
    <t>ENTITYENTRPRS_SZ_LE</t>
  </si>
  <si>
    <t>ENTITYEQTY_PRVS</t>
  </si>
  <si>
    <t>ENTITYEXTRNL_RTNG</t>
  </si>
  <si>
    <t>ENTITYEXTRNL_RTNG_NM</t>
  </si>
  <si>
    <t>ENTITYEXTRNL_RTNG_PRVS</t>
  </si>
  <si>
    <t>ENTITYFLG_BNKRPTCY_IN_GRP</t>
  </si>
  <si>
    <t>ENTITYFLG_HGH_CDS</t>
  </si>
  <si>
    <t>ENTITYFLG_ISDA_CRDT_EVNT</t>
  </si>
  <si>
    <t>ENTITYFLG_NN_ACCRL</t>
  </si>
  <si>
    <t>ENTITYFLG_RQST_BNKRPTCY</t>
  </si>
  <si>
    <t>ENTITYFLG_RQST_DSTRSSD_RSTRCTRNG</t>
  </si>
  <si>
    <t>ENTITYFLG_RQST_EMRGNCY_FNDNG</t>
  </si>
  <si>
    <t>ENTITYFLG_SLL_WTH_LSS</t>
  </si>
  <si>
    <t>ENTITYFR_CSH_FLW</t>
  </si>
  <si>
    <t>ENTITYFR_CSH_FLW_T1</t>
  </si>
  <si>
    <t>ENTITYFR_CSH_FLW_T2</t>
  </si>
  <si>
    <t>ENTITYFR_CSH_FLW_T3</t>
  </si>
  <si>
    <t>ENTITYGCC_PRNT_ID</t>
  </si>
  <si>
    <t>ENTITYGCC_PRNT_NM</t>
  </si>
  <si>
    <t>ENTITYGDWILL</t>
  </si>
  <si>
    <t>ENTITYGDWILL_PRVS</t>
  </si>
  <si>
    <t>ENTITYGRP_EBITDA</t>
  </si>
  <si>
    <t>ENTITYGRP_NT_DBT</t>
  </si>
  <si>
    <t>ENTITYINCM_SC</t>
  </si>
  <si>
    <t>ENTITYINTRNL_RTNG</t>
  </si>
  <si>
    <t>ENTITYINTRNL_RTNG_PRVS</t>
  </si>
  <si>
    <t>ENTITYINTRNL_SGMNT</t>
  </si>
  <si>
    <t>ENTITYINTRNL_UNT</t>
  </si>
  <si>
    <t>ENTITYLGL_PRCDNG_STTS_LE</t>
  </si>
  <si>
    <t>ENTITYLTI</t>
  </si>
  <si>
    <t>ENTITYLVRG</t>
  </si>
  <si>
    <t>ENTITYLVRG_PRVS</t>
  </si>
  <si>
    <t>ENTITYMNTHL_INCM</t>
  </si>
  <si>
    <t>ENTITYMNTHL_INCM_SLR</t>
  </si>
  <si>
    <t>ENTITYMNTHL_TRNVR</t>
  </si>
  <si>
    <t>ENTITYNT_INCM</t>
  </si>
  <si>
    <t>ENTITYNT_INCM_PRVS</t>
  </si>
  <si>
    <t>ENTITYOSI_ID</t>
  </si>
  <si>
    <t>ENTITYOWND_BY_SPNSR</t>
  </si>
  <si>
    <t>ENTITYPD_CRR_RD</t>
  </si>
  <si>
    <t>ENTITYPD_CRR_RD_T1</t>
  </si>
  <si>
    <t>ENTITYPD_IFRS9_12M_RD</t>
  </si>
  <si>
    <t>ENTITYPD_IFRS9_12M_RD_T1</t>
  </si>
  <si>
    <t>ENTITYPRFRMNG_STTS_LE</t>
  </si>
  <si>
    <t>ENTITYPRSN_TYP</t>
  </si>
  <si>
    <t>ENTITYRTNG_MTHD</t>
  </si>
  <si>
    <t>ENTITYRTNG_SCL</t>
  </si>
  <si>
    <t>ENTITYSNGL_PRPS_VHCL</t>
  </si>
  <si>
    <t>ENTITYTAX_ID</t>
  </si>
  <si>
    <t>ENTITYTTL_DBT_PRVS</t>
  </si>
  <si>
    <t>ENTITYTTL_INTRST_PD</t>
  </si>
  <si>
    <t>ENTITYTTL_LVRG_RT</t>
  </si>
  <si>
    <t>ENTITYTTL_LVRG_RT_PRVS</t>
  </si>
  <si>
    <t>ENTITYWTCH_LST</t>
  </si>
  <si>
    <t>PROTECTIONAPPRSL_CRRNCY</t>
  </si>
  <si>
    <t>PROTECTIONAPPRSR</t>
  </si>
  <si>
    <t>PROTECTIONCNSTRCTN_STTS</t>
  </si>
  <si>
    <t>PROTECTIONCRE_INCM_CRRNCY</t>
  </si>
  <si>
    <t>PROTECTIONCRE_YRLY_EXPNSS</t>
  </si>
  <si>
    <t>PROTECTIONCRE_YRLY_INCM</t>
  </si>
  <si>
    <t>PROTECTIONDT_APPRSL_PRVS</t>
  </si>
  <si>
    <t>PROTECTIONDT_CNSTRCTN_STTS</t>
  </si>
  <si>
    <t>PROTECTIONDT_FRST_USG</t>
  </si>
  <si>
    <t>PROTECTIONDT_LST_FLL_APPRSL</t>
  </si>
  <si>
    <t>PROTECTIONDT_MTRTY_PRTCTN</t>
  </si>
  <si>
    <t>PROTECTIONDT_ORGNL_PRTCTN_VL</t>
  </si>
  <si>
    <t>PROTECTIONDT_PRTCTN_VL</t>
  </si>
  <si>
    <t>PROTECTIONDVLPMNT_STTS</t>
  </si>
  <si>
    <t>PROTECTIONHRCT_MV</t>
  </si>
  <si>
    <t>PROTECTIONMN_PRPS</t>
  </si>
  <si>
    <t>PROTECTIONNTNL_ID</t>
  </si>
  <si>
    <t>PROTECTIONPRM_LCTN</t>
  </si>
  <si>
    <t>PROTECTIONPRTCTN_CLLD</t>
  </si>
  <si>
    <t>PROTECTIONPRTCTN_FRCD_SL_VL</t>
  </si>
  <si>
    <t>PROTECTIONPRTCTN_PRVDR_ID</t>
  </si>
  <si>
    <t>PROTECTIONPRTCTN_TYP_PBLC_GRNT_SCHM_C19</t>
  </si>
  <si>
    <t>PROTECTIONPRTCTN_VL_NPE</t>
  </si>
  <si>
    <t>PROTECTIONPRTCTN_VL_PRVS</t>
  </si>
  <si>
    <t>PROTECTIONPRTCTN_VLTN_APPRCH</t>
  </si>
  <si>
    <t>PROTECTIONRL_ESTT_ADDRSS</t>
  </si>
  <si>
    <t>PROTECTIONRL_ESTT_CLLTRL_LCTN_INT</t>
  </si>
  <si>
    <t>PROTECTIONRL_ESTT_CTY</t>
  </si>
  <si>
    <t>PROTECTIONTAX_ID</t>
  </si>
  <si>
    <t>PROTECTIONTYP_PRTCTN_INTRNL</t>
  </si>
  <si>
    <t>PROTECTIONTYP_PRTCTN_VL</t>
  </si>
  <si>
    <t>INSTR_ENTITYJNT_LBLTY_AMNT</t>
  </si>
  <si>
    <t>INSTR_PROTECTIONTHRD_PRTY_PRRTY_CLMS</t>
  </si>
  <si>
    <t>LOAN TAPE</t>
  </si>
  <si>
    <t xml:space="preserve">ambito </t>
  </si>
  <si>
    <t>19042024</t>
  </si>
  <si>
    <t>20092024</t>
  </si>
  <si>
    <t>24012025</t>
  </si>
  <si>
    <t>SCRIPT</t>
  </si>
  <si>
    <t>Testes MBDT</t>
  </si>
  <si>
    <t>Análise dos campo da Loan Tape MBDT</t>
  </si>
  <si>
    <r>
      <t xml:space="preserve">Para a validação dos </t>
    </r>
    <r>
      <rPr>
        <b/>
        <sz val="11"/>
        <color theme="1"/>
        <rFont val="Neo sans"/>
      </rPr>
      <t>campos da Loan Tape MBDT</t>
    </r>
    <r>
      <rPr>
        <sz val="11"/>
        <color theme="1"/>
        <rFont val="Neo sans"/>
      </rPr>
      <t xml:space="preserve"> é necessário percorrer os seguintes </t>
    </r>
    <r>
      <rPr>
        <i/>
        <sz val="11"/>
        <color theme="1"/>
        <rFont val="Neo sans"/>
      </rPr>
      <t>steps</t>
    </r>
    <r>
      <rPr>
        <sz val="11"/>
        <color theme="1"/>
        <rFont val="Neo sans"/>
      </rPr>
      <t>:</t>
    </r>
  </si>
  <si>
    <t>Univ_Oper</t>
  </si>
  <si>
    <t>lt001_univ_oper</t>
  </si>
  <si>
    <t>Individual Local</t>
  </si>
  <si>
    <t>SRB_MBDT</t>
  </si>
  <si>
    <t>UNIV_OPER</t>
  </si>
  <si>
    <t>cempresa</t>
  </si>
  <si>
    <t>cbalcao</t>
  </si>
  <si>
    <t>cnumecta</t>
  </si>
  <si>
    <t>zdeposit</t>
  </si>
  <si>
    <t>zcliente</t>
  </si>
  <si>
    <t>ccontab_final_ifrs</t>
  </si>
  <si>
    <t>ccontab_final_pcsb</t>
  </si>
  <si>
    <t>ccontab_final_cargabal</t>
  </si>
  <si>
    <t>ccontab_final</t>
  </si>
  <si>
    <t>msaldo_final</t>
  </si>
  <si>
    <t>carteira_contabilistica</t>
  </si>
  <si>
    <t>instrumento_financeiro</t>
  </si>
  <si>
    <t>contraparte</t>
  </si>
  <si>
    <t>contraparte_i</t>
  </si>
  <si>
    <t>produto</t>
  </si>
  <si>
    <t>tipo_conta</t>
  </si>
  <si>
    <t>bruto_imparidade</t>
  </si>
  <si>
    <t>composicao_valor</t>
  </si>
  <si>
    <t>colateral</t>
  </si>
  <si>
    <t>flag_poci</t>
  </si>
  <si>
    <t>purpose_code</t>
  </si>
  <si>
    <t>cod_empr_pme</t>
  </si>
  <si>
    <t>stage</t>
  </si>
  <si>
    <t>stage_atual</t>
  </si>
  <si>
    <t>cproduto</t>
  </si>
  <si>
    <t>subproduto</t>
  </si>
  <si>
    <t>cod_ajust</t>
  </si>
  <si>
    <t>tipo_ajuste</t>
  </si>
  <si>
    <t>desc_ajuste</t>
  </si>
  <si>
    <t>ordem_lt801</t>
  </si>
  <si>
    <t>flag_lvrg_finc</t>
  </si>
  <si>
    <t>flag_pme</t>
  </si>
  <si>
    <t>flag_inst_div</t>
  </si>
  <si>
    <t>flag_inst_cap</t>
  </si>
  <si>
    <t>flag_inst_deriv</t>
  </si>
  <si>
    <t>flag_ajust_ncon</t>
  </si>
  <si>
    <t>flag_mis</t>
  </si>
  <si>
    <t>flag_inst_titulos</t>
  </si>
  <si>
    <t>flag_gar_intrg_san</t>
  </si>
  <si>
    <t>valor_bruto_on</t>
  </si>
  <si>
    <t>valor_bruto_off</t>
  </si>
  <si>
    <t>provisao_on</t>
  </si>
  <si>
    <t>provisao_off</t>
  </si>
  <si>
    <t>valor_bruto_on_prvs</t>
  </si>
  <si>
    <t>valor_bruto_off_prvs</t>
  </si>
  <si>
    <t>provisao_on_prvs</t>
  </si>
  <si>
    <t>provisao_off_prvs</t>
  </si>
  <si>
    <t>juros_corridos</t>
  </si>
  <si>
    <t>juros_corridos_prvs</t>
  </si>
  <si>
    <t>subportfolio_id_inicial</t>
  </si>
  <si>
    <t>subportfolio_id_final</t>
  </si>
  <si>
    <t>idcomb_lt_inicial</t>
  </si>
  <si>
    <t>idcomb_lt_final</t>
  </si>
  <si>
    <t>rank_insolv</t>
  </si>
  <si>
    <t>cntrct_id</t>
  </si>
  <si>
    <t>crrncy_dnmntn</t>
  </si>
  <si>
    <t>obsrvd_agnt_id</t>
  </si>
  <si>
    <t>obsrvd_agnt_nm</t>
  </si>
  <si>
    <t>prdct</t>
  </si>
  <si>
    <t>brchd_cvnnts</t>
  </si>
  <si>
    <t>chnnl_orgntn</t>
  </si>
  <si>
    <t>csh_swp_trp</t>
  </si>
  <si>
    <t>cvnnt_stts</t>
  </si>
  <si>
    <t>cvnnt_typ</t>
  </si>
  <si>
    <t>dt_dflt_stts_instrmnt</t>
  </si>
  <si>
    <t>dt_end_gp_ppal</t>
  </si>
  <si>
    <t>dt_end_intrst_only</t>
  </si>
  <si>
    <t>dt_frbrnc_stts</t>
  </si>
  <si>
    <t>dt_frbrnc_stts_prvs</t>
  </si>
  <si>
    <t>dt_intrnl_rtng</t>
  </si>
  <si>
    <t>dt_strt_intrst_only</t>
  </si>
  <si>
    <t>expsr_in_scp</t>
  </si>
  <si>
    <t>fld_syndctn</t>
  </si>
  <si>
    <t>flg_lbo</t>
  </si>
  <si>
    <t>intrnl_rtng</t>
  </si>
  <si>
    <t>intrnl_rtng_incptn</t>
  </si>
  <si>
    <t>intrnl_sgmnt</t>
  </si>
  <si>
    <t>intrnl_unt</t>
  </si>
  <si>
    <t>lcre</t>
  </si>
  <si>
    <t>lgl_prcdng_stts</t>
  </si>
  <si>
    <t>lnd_drgtn</t>
  </si>
  <si>
    <t>poci</t>
  </si>
  <si>
    <t>prps</t>
  </si>
  <si>
    <t>pymnt_intrst_only</t>
  </si>
  <si>
    <t>rcrs</t>
  </si>
  <si>
    <t>spcltv_lndng</t>
  </si>
  <si>
    <t>stts_undrwrttn_trnsctn</t>
  </si>
  <si>
    <t>trnch</t>
  </si>
  <si>
    <t>typ_amrtstn</t>
  </si>
  <si>
    <t>typ_intrst_rt</t>
  </si>
  <si>
    <t>typ_mrtgg</t>
  </si>
  <si>
    <t>typ_cre_oprtn</t>
  </si>
  <si>
    <t>dt_strt_gp_ppal</t>
  </si>
  <si>
    <t>accrd_intrst_instrmnt</t>
  </si>
  <si>
    <t>amnt_d_at_mtrty</t>
  </si>
  <si>
    <t>ccf</t>
  </si>
  <si>
    <t>cmmtmnt_incptn_instrmnt</t>
  </si>
  <si>
    <t>cmmtmnt_instrmnt</t>
  </si>
  <si>
    <t>crryng_amnt_instrmnt</t>
  </si>
  <si>
    <t>dbt_yld</t>
  </si>
  <si>
    <t>dt_nxt_intrst_rt_rst</t>
  </si>
  <si>
    <t>dt_orgnl_mtrty</t>
  </si>
  <si>
    <t>ead</t>
  </si>
  <si>
    <t>ifrs9_ccf</t>
  </si>
  <si>
    <t>ifrs9_ead</t>
  </si>
  <si>
    <t>instlmnt_pay</t>
  </si>
  <si>
    <t>off_blnc_sht_amnt_instrmnt</t>
  </si>
  <si>
    <t>otstndng_nmnl_amnt_instrmnt</t>
  </si>
  <si>
    <t>otstndng_nmnl_amnt_instrmnt_prvs</t>
  </si>
  <si>
    <t>prvsns_off_blnc_sht</t>
  </si>
  <si>
    <t>pymnt_frqncy</t>
  </si>
  <si>
    <t>rtntn_shr</t>
  </si>
  <si>
    <t>rwa</t>
  </si>
  <si>
    <t>rwa_mthd</t>
  </si>
  <si>
    <t>spnsr_nm</t>
  </si>
  <si>
    <t>accmltd_imprmnt_instrmnt_prvs</t>
  </si>
  <si>
    <t>accmltd_wrtffs_instrmnt</t>
  </si>
  <si>
    <t>arrrs_instrmnt</t>
  </si>
  <si>
    <t>arrrs_instrmnt_12m</t>
  </si>
  <si>
    <t>cmltv_rcvrs_snc_dflt_instrmnt</t>
  </si>
  <si>
    <t>dpd</t>
  </si>
  <si>
    <t>dpd_12m</t>
  </si>
  <si>
    <t>dpd_12m_frbrnc_stts</t>
  </si>
  <si>
    <t>dpd_24m_frbrnc_stts</t>
  </si>
  <si>
    <t>dpd_frbrnc_stts</t>
  </si>
  <si>
    <t>dt_pst_d</t>
  </si>
  <si>
    <t>imprmnt_assssmnt_mthd</t>
  </si>
  <si>
    <t>imprmnt_clcltn_mthd</t>
  </si>
  <si>
    <t>nmbr_frbrnc_msrs</t>
  </si>
  <si>
    <t>ifrs9_lgd</t>
  </si>
  <si>
    <t>lgd</t>
  </si>
  <si>
    <t>ltv</t>
  </si>
  <si>
    <t>ltv_incptn</t>
  </si>
  <si>
    <t>ltv_npe</t>
  </si>
  <si>
    <t>pd_crr_incptn</t>
  </si>
  <si>
    <t>pd_crr_rd</t>
  </si>
  <si>
    <t>pd_crr_rd_t1</t>
  </si>
  <si>
    <t>pd_ifrs9_12m_incptn</t>
  </si>
  <si>
    <t>pd_ifrs9_12m_rd</t>
  </si>
  <si>
    <t>pd_ifrs9_12m_rd_t1</t>
  </si>
  <si>
    <t>pd_ifrs9_lftm_incptn</t>
  </si>
  <si>
    <t>pd_ifrs9_rmnng_lftm_incptn</t>
  </si>
  <si>
    <t>pd_ifrs9_rmnng_lftm_rd</t>
  </si>
  <si>
    <t>rtng_mthd</t>
  </si>
  <si>
    <t>rtng_scl</t>
  </si>
  <si>
    <t>sicr_assssmnt_mthd</t>
  </si>
  <si>
    <t>annlsd_agrd_rt</t>
  </si>
  <si>
    <t>eir</t>
  </si>
  <si>
    <t>eir_incptn</t>
  </si>
  <si>
    <t>intrst_rt_rst_frqncy</t>
  </si>
  <si>
    <t>add_fld01</t>
  </si>
  <si>
    <t>add_fld02</t>
  </si>
  <si>
    <t>add_fld03</t>
  </si>
  <si>
    <t>add_fld04</t>
  </si>
  <si>
    <t>add_fld05</t>
  </si>
  <si>
    <t>add_fld06</t>
  </si>
  <si>
    <t>add_fld07</t>
  </si>
  <si>
    <t>add_fld08</t>
  </si>
  <si>
    <t>add_fld09</t>
  </si>
  <si>
    <t>add_fld10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</si>
  <si>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</si>
  <si>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</si>
  <si>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</si>
  <si>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</si>
  <si>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</si>
  <si>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</si>
  <si>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</si>
  <si>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</si>
  <si>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</si>
  <si>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</si>
  <si>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eba_cmplnt_mrtr_st_c19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</si>
  <si>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</si>
  <si>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</si>
  <si>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</si>
  <si>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</si>
  <si>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</si>
  <si>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</si>
  <si>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</si>
  <si>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</si>
  <si>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dt_frbrnc_stts_prvs_c19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</si>
  <si>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</si>
  <si>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</si>
  <si>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</si>
  <si>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</si>
  <si>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</si>
  <si>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</si>
  <si>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</si>
  <si>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</si>
  <si>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cpn_rt</t>
  </si>
  <si>
    <t>dt_vltn</t>
  </si>
  <si>
    <t>elgblty_ecb</t>
  </si>
  <si>
    <t>grntr_id</t>
  </si>
  <si>
    <t>grntr_id_typ</t>
  </si>
  <si>
    <t>hedge_id</t>
  </si>
  <si>
    <t>instr_snrty_clss</t>
  </si>
  <si>
    <t>instrmnt_clss</t>
  </si>
  <si>
    <t>issr_esa_2010</t>
  </si>
  <si>
    <t>issr_id</t>
  </si>
  <si>
    <t>issr_id_typ</t>
  </si>
  <si>
    <t>issr_rtng</t>
  </si>
  <si>
    <t>issr_rtng_src</t>
  </si>
  <si>
    <t>issr_typ</t>
  </si>
  <si>
    <t>lcr_bffr_ctgry</t>
  </si>
  <si>
    <t>prch_undr_rsl_agr</t>
  </si>
  <si>
    <t>prdntl_prtfl</t>
  </si>
  <si>
    <t>prt_lcr_bffr</t>
  </si>
  <si>
    <t>rfrnc_rt</t>
  </si>
  <si>
    <t>sprd</t>
  </si>
  <si>
    <t>srcs_encmbrnc</t>
  </si>
  <si>
    <t>type_of_plcmnt</t>
  </si>
  <si>
    <t>vltn_crrncy</t>
  </si>
  <si>
    <t>vltn_typ</t>
  </si>
  <si>
    <t>cre_fnrp18</t>
  </si>
  <si>
    <t>sme_fnrp18</t>
  </si>
  <si>
    <t>rre_fnrp18</t>
  </si>
  <si>
    <t>cnsmptn_fnrp18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</si>
  <si>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</si>
  <si>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</si>
  <si>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</si>
  <si>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</si>
  <si>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</si>
  <si>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</si>
  <si>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</si>
  <si>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avrg_blnc</t>
  </si>
  <si>
    <t>nw_bsnss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</si>
  <si>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</si>
  <si>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</si>
  <si>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</si>
  <si>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</si>
  <si>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</si>
  <si>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</si>
  <si>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</si>
  <si>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</si>
  <si>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</si>
  <si>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</si>
  <si>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</si>
  <si>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</si>
  <si>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</si>
  <si>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</si>
  <si>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</si>
  <si>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</si>
  <si>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</si>
  <si>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</si>
  <si>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</si>
  <si>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</si>
  <si>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</si>
  <si>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</si>
  <si>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</si>
  <si>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</si>
  <si>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cnclld_instrmnt_stts</t>
  </si>
  <si>
    <t>cod_soc_intrgrp</t>
  </si>
  <si>
    <t>expctd_lss_crr</t>
  </si>
  <si>
    <t>lsti</t>
  </si>
  <si>
    <t>dsti</t>
  </si>
  <si>
    <t>lti_instrmnt</t>
  </si>
  <si>
    <t>counterparty_id</t>
  </si>
  <si>
    <t>counterparty_type_id</t>
  </si>
  <si>
    <t>counterparty_country</t>
  </si>
  <si>
    <t>crr_exposure_class</t>
  </si>
  <si>
    <t>interest_rate_cap</t>
  </si>
  <si>
    <t>interest_rate_floor</t>
  </si>
  <si>
    <t>intrst_indxng</t>
  </si>
  <si>
    <t>settlement_date</t>
  </si>
  <si>
    <t>transferred_amount</t>
  </si>
  <si>
    <t>type_securitization</t>
  </si>
  <si>
    <t>joint_liabilities_amount</t>
  </si>
  <si>
    <t>balance_sheet_recogn</t>
  </si>
  <si>
    <t>type</t>
  </si>
  <si>
    <t>nominal_interest_rate_fee</t>
  </si>
  <si>
    <t>unique_trade_id</t>
  </si>
  <si>
    <t>base_product</t>
  </si>
  <si>
    <t>governing_law</t>
  </si>
  <si>
    <t>contract_recogn_write_down</t>
  </si>
  <si>
    <t>contract_recogn_suspension</t>
  </si>
  <si>
    <t>contract_recogn_resolution</t>
  </si>
  <si>
    <t>collateral_portfolio</t>
  </si>
  <si>
    <t>collateral_posted</t>
  </si>
  <si>
    <t>collateral_posted_currency</t>
  </si>
  <si>
    <t>collateral_received</t>
  </si>
  <si>
    <t>collateral_received_currency</t>
  </si>
  <si>
    <t>leg_1_cash_flow</t>
  </si>
  <si>
    <t>leg_2_cash_flow</t>
  </si>
  <si>
    <t>leg_1_reference_rate</t>
  </si>
  <si>
    <t>leg_2_reference_rate</t>
  </si>
  <si>
    <t>leg_1_reference_period</t>
  </si>
  <si>
    <t>leg_2_reference_period</t>
  </si>
  <si>
    <t>premium</t>
  </si>
  <si>
    <t>netting_agreement</t>
  </si>
  <si>
    <t>hierarchy</t>
  </si>
  <si>
    <t>security_rating</t>
  </si>
  <si>
    <t>dividend_yield</t>
  </si>
  <si>
    <t>flg_mnmm_sfgrds</t>
  </si>
  <si>
    <t>typ_off_blnc_prdct</t>
  </si>
  <si>
    <t>dstntn_fnds</t>
  </si>
  <si>
    <t>dt_mdfctn</t>
  </si>
  <si>
    <t>excldd_lf</t>
  </si>
  <si>
    <t>pd_ec_incptn</t>
  </si>
  <si>
    <t>pd_ec_rd</t>
  </si>
  <si>
    <t>rorac</t>
  </si>
  <si>
    <t>rorwa</t>
  </si>
  <si>
    <t>rwa_mtgtn</t>
  </si>
  <si>
    <t>rwa_prmtgtn</t>
  </si>
  <si>
    <t>ttl_lvrg_rt_incptn</t>
  </si>
  <si>
    <t>ttl_lvrg_rt_incptn_hlt</t>
  </si>
  <si>
    <t>typ_cl</t>
  </si>
  <si>
    <t>typ_dl</t>
  </si>
  <si>
    <t>typ_fclty</t>
  </si>
  <si>
    <t>us_prcds</t>
  </si>
  <si>
    <t>orgnl_amnt_eur</t>
  </si>
  <si>
    <t>orgnl_amnt_fx</t>
  </si>
  <si>
    <t>dt_nxt_intrst_pymnt</t>
  </si>
  <si>
    <t>amnt_scrty_eur</t>
  </si>
  <si>
    <t>amnt_scrty_fx</t>
  </si>
  <si>
    <t>csd</t>
  </si>
  <si>
    <t>csd_lei</t>
  </si>
  <si>
    <t>pyng_agnt</t>
  </si>
  <si>
    <t>pyng_agnt_lei</t>
  </si>
  <si>
    <t>typ_own_fnds_indvdl_lvl</t>
  </si>
  <si>
    <t>elgbl_amnt_own_fnds_indvdl_lvl</t>
  </si>
  <si>
    <t>trdng_mthd</t>
  </si>
  <si>
    <t>dt_brth</t>
  </si>
  <si>
    <t>dt_dflt_stts</t>
  </si>
  <si>
    <t>dt_fnncl_sttmts</t>
  </si>
  <si>
    <t>dt_fnncl_sttmts_prvs</t>
  </si>
  <si>
    <t>dt_inttn_lgl_prcdngs_le</t>
  </si>
  <si>
    <t>gcc_prnt_id</t>
  </si>
  <si>
    <t>gcc_prnt_nm</t>
  </si>
  <si>
    <t>extrnl_rtng_nm</t>
  </si>
  <si>
    <t>accntng_frmwrk_sl</t>
  </si>
  <si>
    <t>dcsd</t>
  </si>
  <si>
    <t>dflt_stts</t>
  </si>
  <si>
    <t>dt_extrnl_rtng</t>
  </si>
  <si>
    <t>emplymnt_stts_intrnl</t>
  </si>
  <si>
    <t>emplymnt_stts</t>
  </si>
  <si>
    <t>entrprs_sz_le</t>
  </si>
  <si>
    <t>extrnl_rtng</t>
  </si>
  <si>
    <t>extrnl_rtng_prvs</t>
  </si>
  <si>
    <t>flg_bnkrptcy_in_grp</t>
  </si>
  <si>
    <t>flg_hgh_cds</t>
  </si>
  <si>
    <t>flg_isda_crdt_evnt</t>
  </si>
  <si>
    <t>flg_rqst_bnkrptcy</t>
  </si>
  <si>
    <t>flg_rqst_dstrssd_rstrctrng</t>
  </si>
  <si>
    <t>flg_rqst_emrgncy_fndng</t>
  </si>
  <si>
    <t>flg_sll_wth_lss</t>
  </si>
  <si>
    <t>incm_sc</t>
  </si>
  <si>
    <t>intrnl_rtng_prvs</t>
  </si>
  <si>
    <t>lgl_prcdng_stts_le</t>
  </si>
  <si>
    <t>ownd_by_spnsr</t>
  </si>
  <si>
    <t>prfrmng_stts_le</t>
  </si>
  <si>
    <t>wtch_lst</t>
  </si>
  <si>
    <t>sngl_prps_vhcl</t>
  </si>
  <si>
    <t>grp_ebitda</t>
  </si>
  <si>
    <t>grp_nt_dbt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</si>
  <si>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</si>
  <si>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</si>
  <si>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</si>
  <si>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</si>
  <si>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</si>
  <si>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</si>
  <si>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</si>
  <si>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</si>
  <si>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eqty_prvs</t>
  </si>
  <si>
    <t>gdwill</t>
  </si>
  <si>
    <t>gdwill_prvs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</si>
  <si>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</si>
  <si>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</si>
  <si>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</si>
  <si>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</si>
  <si>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</si>
  <si>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</si>
  <si>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</si>
  <si>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</si>
  <si>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</si>
  <si>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</si>
  <si>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</si>
  <si>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</si>
  <si>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</si>
  <si>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</si>
  <si>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</si>
  <si>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</si>
  <si>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flg_nn_accrl</t>
  </si>
  <si>
    <t>tax_id</t>
  </si>
  <si>
    <t>annl_trnvr_le_bdr</t>
  </si>
  <si>
    <t>annl_trnvr_prvs_bdr</t>
  </si>
  <si>
    <t>osi_id</t>
  </si>
  <si>
    <t>prsn_typ</t>
  </si>
  <si>
    <t>fr_csh_flw</t>
  </si>
  <si>
    <t>fr_csh_flw_t1</t>
  </si>
  <si>
    <t>fr_csh_flw_t2</t>
  </si>
  <si>
    <t>fr_csh_flw_t3</t>
  </si>
  <si>
    <t>flg_csrd_applcblty</t>
  </si>
  <si>
    <t>flg_grp_csrd_applcblty</t>
  </si>
  <si>
    <t>pd_ifrs9_12m_lftm_rd</t>
  </si>
  <si>
    <t>probability_default_others</t>
  </si>
  <si>
    <t>counterparty_role</t>
  </si>
  <si>
    <t>head_office_undertaking_id</t>
  </si>
  <si>
    <t>immediate_parent_undertaking_id</t>
  </si>
  <si>
    <t>ultimate_parent_undertaking_id</t>
  </si>
  <si>
    <t>address_street</t>
  </si>
  <si>
    <t>address_city_town_village</t>
  </si>
  <si>
    <t>address_county_adm_div</t>
  </si>
  <si>
    <t>legal_form</t>
  </si>
  <si>
    <t>institutional_sector</t>
  </si>
  <si>
    <t>date_enterprise_size</t>
  </si>
  <si>
    <t>number_employees</t>
  </si>
  <si>
    <t>balance_sheet_total</t>
  </si>
  <si>
    <t>flln_angl_extndd_dfntn</t>
  </si>
  <si>
    <t>flln_angl_nrrw_dfntn</t>
  </si>
  <si>
    <t>grp_rorac</t>
  </si>
  <si>
    <t>grp_rorwa</t>
  </si>
  <si>
    <t>scan</t>
  </si>
  <si>
    <t>ttl_prmssbl_dbt_blnc</t>
  </si>
  <si>
    <t>company_exposure</t>
  </si>
  <si>
    <t>cntrprty_typ</t>
  </si>
  <si>
    <t>cntrprty_rsltn_grp</t>
  </si>
  <si>
    <t>dt_mtrty_prtctn</t>
  </si>
  <si>
    <t>ntnl_id</t>
  </si>
  <si>
    <t>prtctn_prvdr_id</t>
  </si>
  <si>
    <t>rl_estt_addrss</t>
  </si>
  <si>
    <t>rl_estt_clltrl_lctn_int</t>
  </si>
  <si>
    <t>rl_estt_cty</t>
  </si>
  <si>
    <t>hrct_mv</t>
  </si>
  <si>
    <t>prtctn_clld</t>
  </si>
  <si>
    <t>typ_prtctn_intrnl</t>
  </si>
  <si>
    <t>typ_prtctn_vl</t>
  </si>
  <si>
    <t>apprsl_crrncy</t>
  </si>
  <si>
    <t>apprsr</t>
  </si>
  <si>
    <t>dt_lst_fll_apprsl</t>
  </si>
  <si>
    <t>dt_orgnl_prtctn_vl</t>
  </si>
  <si>
    <t>dt_prtctn_vl</t>
  </si>
  <si>
    <t>prtctn_frcd_sl_vl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</si>
  <si>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</si>
  <si>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</si>
  <si>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</si>
  <si>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</si>
  <si>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</si>
  <si>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</si>
  <si>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</si>
  <si>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</si>
  <si>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</si>
  <si>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</si>
  <si>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</si>
  <si>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</si>
  <si>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</si>
  <si>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</si>
  <si>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</si>
  <si>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gross_area</t>
  </si>
  <si>
    <t>land_area</t>
  </si>
  <si>
    <t>lien_position</t>
  </si>
  <si>
    <t>det_type_ship_collateral</t>
  </si>
  <si>
    <t>instrument_id</t>
  </si>
  <si>
    <t>protection_allocated_value</t>
  </si>
  <si>
    <t>thirdparty_claims_protection</t>
  </si>
  <si>
    <t>amnt_cvrd_insrnc</t>
  </si>
  <si>
    <t>bldng_ar</t>
  </si>
  <si>
    <t>dt_mtrty_insrnc</t>
  </si>
  <si>
    <t>dt_rgstrtn</t>
  </si>
  <si>
    <t>epc_emssns_lbl</t>
  </si>
  <si>
    <t>epc_emssns_scr</t>
  </si>
  <si>
    <t>flg_frst_hm</t>
  </si>
  <si>
    <t>insrnc_id</t>
  </si>
  <si>
    <t>prmry_enrgy_dmnd_nn_rnwbl</t>
  </si>
  <si>
    <t>prmry_enrgy_dmnd_rfrnc_vl</t>
  </si>
  <si>
    <t>prmry_enrgy_dmnd_ttl</t>
  </si>
  <si>
    <t>rl_estt_clmt_zn</t>
  </si>
  <si>
    <t>rl_estt_crtfctn</t>
  </si>
  <si>
    <t>typ_emssns_lbl</t>
  </si>
  <si>
    <t>typ_emssns_scr</t>
  </si>
  <si>
    <t>typ_hzrds_insrd</t>
  </si>
  <si>
    <t>typ_vhcl</t>
  </si>
  <si>
    <t>vhcl_emssns_lbl</t>
  </si>
  <si>
    <t>vhcl_emssns_scr</t>
  </si>
  <si>
    <t>flg_elctrc_vhcl</t>
  </si>
  <si>
    <t>flg_scrd</t>
  </si>
  <si>
    <t>jnt_lblty_amnt</t>
  </si>
  <si>
    <t>crelacao_cl_cnt</t>
  </si>
  <si>
    <t>csequencia_rel</t>
  </si>
  <si>
    <t>exporta_rel</t>
  </si>
  <si>
    <t>otstndng_prncpl_amnt</t>
  </si>
  <si>
    <t>prtn_amnt_rprtng_entty</t>
  </si>
  <si>
    <t>thrd_prty_prrty_clms</t>
  </si>
  <si>
    <t>typ_rltn</t>
  </si>
  <si>
    <t>grp_spprt</t>
  </si>
  <si>
    <t>cd_loan_tapes_bce</t>
  </si>
  <si>
    <t>PM</t>
  </si>
  <si>
    <t>Filtro Loan Tape SRB_MBDT</t>
  </si>
  <si>
    <t>Filtro SimuladaFiltro Loan Tape PM</t>
  </si>
  <si>
    <r>
      <t xml:space="preserve">Schema </t>
    </r>
    <r>
      <rPr>
        <b/>
        <sz val="11"/>
        <color theme="1"/>
        <rFont val="Neo sans"/>
      </rPr>
      <t>Loan Tape PM</t>
    </r>
  </si>
  <si>
    <t>concat(cempresa, cbalcao, cnumecta, zdeposit, ccontab_final_ifrs, ccontab_final_pcsb, ccontab_final_cargabal, ccontab_final)</t>
  </si>
  <si>
    <t>Tabela Loan Tape PM</t>
  </si>
  <si>
    <t>COERÊNCIA</t>
  </si>
  <si>
    <t>CD_LOAN_TAPES_BCE.LT002_INSTRUMENT</t>
  </si>
  <si>
    <t>BU_LOANTAPE_WORK.LT002_INSTRUMENT</t>
  </si>
  <si>
    <t>2025-11-30</t>
  </si>
  <si>
    <t>GOVERNING_LAW</t>
  </si>
  <si>
    <t>FLAG_GAR_INTRG_SAN</t>
  </si>
  <si>
    <t>FLAG_INST_CAP</t>
  </si>
  <si>
    <t>FLAG_INST_DIV</t>
  </si>
  <si>
    <t>FLAG_INST_TITULOS</t>
  </si>
  <si>
    <t>INSTITUTIONAL_SECTOR</t>
  </si>
  <si>
    <t>CRELACAO_CL_CNT</t>
  </si>
  <si>
    <t>COUNTERPARTY_ROLE</t>
  </si>
  <si>
    <t>EXPORTA_REL</t>
  </si>
  <si>
    <t>UNIVERSO_PM</t>
  </si>
  <si>
    <t>2026-01-16 12:42:17.067225000</t>
  </si>
  <si>
    <t>Problema</t>
  </si>
  <si>
    <t>Parametrização do N/A - deveria estar com N/A em vez de 'Not applicable'</t>
  </si>
  <si>
    <t>CD_LOAN_TAPES_BCE.LT003_ENTITY</t>
  </si>
  <si>
    <t>BU_LOANTAPE_WORK.LT003_ENTITY</t>
  </si>
  <si>
    <t>2026-01-16 14:09:05.073065000</t>
  </si>
  <si>
    <t>CD_LOAN_TAPES_BCE.LT004_PROTECTION</t>
  </si>
  <si>
    <t>BU_LOANTAPE_WORK.LT004_PROTECTION</t>
  </si>
  <si>
    <t>2026-01-16 14:12:40.232169000</t>
  </si>
  <si>
    <t>instrmnt_id 31000000342178002000000000000000. 1111-11-11 vs. 2099-01-31</t>
  </si>
  <si>
    <t>montantes calculados diferentes</t>
  </si>
  <si>
    <t>4 registos com internal ratings diferentes</t>
  </si>
  <si>
    <t>Query</t>
  </si>
  <si>
    <t>SELECT *
FROM
  (SELECT instrmnt_id,
          INTRNL_RTNG
   FROM CD_LOAN_TAPES_BCE.LT002_INSTRUMENT
   WHERE ref_date='${ref_date}'
     AND nome_perimetro='Individual Local'
     AND segmento='ESTR'
     AND ambito='PM'
     AND entidade='00100')X
INNER JOIN
  (SELECT instrmnt_id AS instrmnt_id_SIMUL,
          INTRNL_RTNG AS INTRNL_RTNG_SIMUL
   FROM BU_LOANTAPE_WORK.LT002_INSTRUMENT
   WHERE ref_date='${ref_date}'
     AND nome_perimetro='Individual Local'
     AND segmento='ESTR'
     AND ambito='SRB_MBDT'
     AND entidade='00100')Y ON X.INSTRMNT_ID=Y.INSTRMNT_ID_SIMUL
where COALESCE(CAST(X.INTRNL_RTNG AS STRING),'')&lt;&gt;COALESCE(CAST(Y.INTRNL_RTNG_SIMUL AS STRING),'')
              OR (X.INTRNL_RTNG IS NULL
                  AND Y.INTRNL_RTNG_SIMUL IS NOT NULL)
              OR (X.INTRNL_RTNG IS NOT NULL
                  AND Y.INTRNL_RTNG_SIMUL IS NULL);</t>
  </si>
  <si>
    <t>SELECT *
FROM
  (SELECT instrmnt_id,
          OTSTNDNG_NMNL_AMNT_INSTRMNT
   FROM CD_LOAN_TAPES_BCE.LT002_INSTRUMENT
   WHERE ref_date='${ref_date}'
     AND nome_perimetro='Individual Local'
     AND segmento='ESTR'
     AND ambito='PM'
     AND entidade='00100')X
INNER JOIN
  (SELECT instrmnt_id AS instrmnt_id_SIMUL,
          OTSTNDNG_NMNL_AMNT_INSTRMNT AS OTSTNDNG_NMNL_AMNT_INSTRMNT_SIMUL
   FROM BU_LOANTAPE_WORK.LT002_INSTRUMENT
   WHERE ref_date='${ref_date}'
     AND nome_perimetro='Individual Local'
     AND segmento='ESTR'
     AND ambito='SRB_MBDT'
     AND entidade='00100')Y ON X.INSTRMNT_ID=Y.INSTRMNT_ID_SIMUL
where COALESCE(CAST(X.OTSTNDNG_NMNL_AMNT_INSTRMNT AS STRING),'')&lt;&gt;COALESCE(CAST(Y.OTSTNDNG_NMNL_AMNT_INSTRMNT_SIMUL AS STRING),'')
              OR (X.OTSTNDNG_NMNL_AMNT_INSTRMNT IS NULL
                  AND Y.OTSTNDNG_NMNL_AMNT_INSTRMNT_SIMUL IS NOT NULL)
              OR (X.OTSTNDNG_NMNL_AMNT_INSTRMNT IS NOT NULL
                  AND Y.OTSTNDNG_NMNL_AMNT_INSTRMNT_SIMUL IS NULL);</t>
  </si>
  <si>
    <t>SELECT *
FROM
  (SELECT entty_id,
          LEI
   FROM CD_LOAN_TAPES_BCE.LT003_ENTITY
   WHERE ref_date='${ref_date}'
     AND nome_perimetro='Individual Local'
     AND segmento='ESTR'
     AND ambito='PM'
     AND entidade='00100')X
INNER JOIN
  (SELECT entty_id AS entty_id_SIMUL,
          LEI AS LEI_SIMUL
   FROM BU_LOANTAPE_WORK.LT003_ENTITY
   WHERE ref_date='${ref_date}'
     AND nome_perimetro='Individual Local'
     AND segmento='ESTR'
     AND ambito='SRB_MBDT'
     AND entidade='00100')Y ON X.ENTTY_ID=Y.ENTTY_ID_SIMUL
where COALESCE(CAST(X.LEI AS STRING),'')&lt;&gt;COALESCE(CAST(Y.LEI_SIMUL AS STRING),'')
              OR (X.LEI IS NULL
                  AND Y.LEI_SIMUL IS NOT NULL)
              OR (X.LEI IS NOT NULL
                  AND Y.LEI_SIMUL IS NULL);</t>
  </si>
  <si>
    <t>SELECT *
FROM
  (SELECT entty_id,
          ENTRPRS_SZ_LE
   FROM CD_LOAN_TAPES_BCE.LT003_ENTITY
   WHERE ref_date='${ref_date}'
     AND nome_perimetro='Individual Local'
     AND segmento='ESTR'
     AND ambito='PM'
     AND entidade='00100')X
INNER JOIN
  (SELECT entty_id AS entty_id_SIMUL,
          ENTRPRS_SZ_LE AS ENTRPRS_SZ_LE_SIMUL
   FROM BU_LOANTAPE_WORK.LT003_ENTITY
   WHERE ref_date='${ref_date}'
     AND nome_perimetro='Individual Local'
     AND segmento='ESTR'
     AND ambito='SRB_MBDT'
     AND entidade='00100')Y ON X.ENTTY_ID=Y.ENTTY_ID_SIMUL
where COALESCE(CAST(X.ENTRPRS_SZ_LE AS STRING),'')&lt;&gt;COALESCE(CAST(Y.ENTRPRS_SZ_LE_SIMUL AS STRING),'')
              OR (X.ENTRPRS_SZ_LE IS NULL
                  AND Y.ENTRPRS_SZ_LE_SIMUL IS NOT NULL)
              OR (X.ENTRPRS_SZ_LE IS NOT NULL
                  AND Y.ENTRPRS_SZ_LE_SIMUL IS NULL);</t>
  </si>
  <si>
    <t>4 registos do lado pm com 111111 e no lado MDBT com 1</t>
  </si>
  <si>
    <t xml:space="preserve">
SELECT *
FROM
  (SELECT entty_id,
          INSTITUTIONAL_SECTOR
   FROM CD_LOAN_TAPES_BCE.LT003_ENTITY
   WHERE ref_date='${ref_date}'
     AND nome_perimetro='Individual Local'
     AND segmento='ESTR'
     AND ambito='PM'
     AND entidade='00100')X
INNER JOIN
  (SELECT entty_id AS entty_id_SIMUL,
          INSTITUTIONAL_SECTOR AS INSTITUTIONAL_SECTOR_SIMUL
   FROM BU_LOANTAPE_WORK.LT003_ENTITY
   WHERE ref_date='${ref_date}'
     AND nome_perimetro='Individual Local'
     AND segmento='ESTR'
     AND ambito='SRB_MBDT'
     AND entidade='00100')Y ON X.ENTTY_ID=Y.ENTTY_ID_SIMUL
where COALESCE(CAST(X.INSTITUTIONAL_SECTOR AS STRING),'')&lt;&gt;COALESCE(CAST(Y.INSTITUTIONAL_SECTOR_SIMUL AS STRING),'')
              OR (X.INSTITUTIONAL_SECTOR IS NULL
                  AND Y.INSTITUTIONAL_SECTOR_SIMUL IS NOT NULL)
              OR (X.INSTITUTIONAL_SECTOR IS NOT NULL
                  AND Y.INSTITUTIONAL_SECTOR_SIMUL IS NULL);</t>
  </si>
  <si>
    <t xml:space="preserve">
SELECT *
FROM
  (SELECT prtctn_id,
          DT_MTRTY_PRTCTN
   FROM CD_LOAN_TAPES_BCE.LT004_PROTECTION
   WHERE ref_date='${ref_date}'
     AND nome_perimetro='Individual Local'
     AND segmento='ESTR'
     AND ambito='PM'
     AND entidade='00100')X
INNER JOIN
  (SELECT prtctn_id AS prtctn_id_SIMUL,
          DT_MTRTY_PRTCTN AS DT_MTRTY_PRTCTN_SIMUL
   FROM BU_LOANTAPE_WORK.LT004_PROTECTION
   WHERE ref_date='${ref_date}'
     AND nome_perimetro='Individual Local'
     AND segmento='ESTR'
     AND ambito='SRB_MBDT'
     AND entidade='00100')Y ON X.PRTCTN_ID=Y.PRTCTN_ID_SIMUL
where COALESCE(CAST(X.DT_MTRTY_PRTCTN AS STRING),'')&lt;&gt;COALESCE(CAST(Y.DT_MTRTY_PRTCTN_SIMUL AS STRING),'')
              OR (X.DT_MTRTY_PRTCTN IS NULL
                  AND Y.DT_MTRTY_PRTCTN_SIMUL IS NOT NULL)
              OR (X.DT_MTRTY_PRTCTN IS NOT NULL
                  AND Y.DT_MTRTY_PRTCTN_SIMUL IS NULL);</t>
  </si>
  <si>
    <t>N/A vs. NULL. Campo não está no documento dos campos de PM. Campo criado para o Valuation mas o documento de especificação não diz o valor NA que deve ser tomado</t>
  </si>
  <si>
    <t>N/A vs. Not applicable. Campo do estrutural que pede N/A</t>
  </si>
  <si>
    <t>N/A do lado PM vs. Preenchido do nosso lado. Ver se o campo não é aplicável ao âmbito PM. Campo não existe no PM nem está definido na lt805</t>
  </si>
  <si>
    <t>1111-11-11 vs. 0001-01-01. Campo do estrutural, onde o valor de not applicable deve ser 1111-11-11</t>
  </si>
  <si>
    <t>0.00 vs 9999999.00. valor NULLABLE pedido no PM é o 99999999999 e valor N/A é 11111111111</t>
  </si>
  <si>
    <t>CD_LOAN_TAPES_BCE.LT005_INSTR_ENT</t>
  </si>
  <si>
    <t>BU_LOANTAPE_WORK.LT005_INSTR_ENT</t>
  </si>
  <si>
    <t>2026-01-16 15:23:30.116082000</t>
  </si>
  <si>
    <t>Campo não existe na tabela em produção</t>
  </si>
  <si>
    <t>CD_LOAN_TAPES_BCE.LT006_INSTR_PROT</t>
  </si>
  <si>
    <t>BU_LOANTAPE_WORK.LT006_INSTR_PROT</t>
  </si>
  <si>
    <t>2026-01-16 15:29:36.013431000</t>
  </si>
  <si>
    <t>CD_LOAN_TAPES_BCE.LT001_UNIV_OPER</t>
  </si>
  <si>
    <t>BU_LOANTAPE_WORK.LT001_UNIV_OPER</t>
  </si>
  <si>
    <t>2026-01-16 15:32:38.765108000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</si>
</sst>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Neo sans"/>
    </font>
    <font>
      <b/>
      <sz val="11"/>
      <color theme="1"/>
      <name val="Neo sans"/>
    </font>
    <font>
      <i/>
      <sz val="11"/>
      <color theme="1"/>
      <name val="Neo sans"/>
    </font>
    <font>
      <b/>
      <sz val="11"/>
      <color theme="0"/>
      <name val="Neo sans"/>
    </font>
    <font>
      <sz val="11"/>
      <color rgb="FF00610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rgb="FF006100"/>
      <name val="Aptos Narrow"/>
      <family val="2"/>
      <scheme val="minor"/>
    </font>
    <font>
      <b/>
      <i/>
      <sz val="11"/>
      <color rgb="FFFF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Neo sans"/>
    </font>
    <font>
      <sz val="11"/>
      <color theme="0" tint="-0.249977111117893"/>
      <name val="Arial"/>
      <family val="2"/>
    </font>
    <font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color rgb="FF6F6C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 tint="-0.249977111117893"/>
      <name val="Aptos Narrow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0" tint="-0.499984740745262"/>
      <name val="Aptos Narrow"/>
      <scheme val="minor"/>
    </font>
    <font>
      <sz val="11"/>
      <color theme="0" tint="-0.499984740745262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FF0000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</borders>
  <cellStyleXfs count="2">
    <xf numFmtId="0" fontId="0" fillId="0" borderId="0"/>
    <xf numFmtId="0" fontId="9" fillId="5" borderId="0" applyNumberFormat="0" applyBorder="0" applyAlignment="0" applyProtection="0"/>
  </cellStyleXfs>
  <cellXfs count="119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5" fillId="4" borderId="13" xfId="0" applyFont="1" applyFill="1" applyBorder="1"/>
    <xf numFmtId="0" fontId="5" fillId="4" borderId="14" xfId="0" applyFont="1" applyFill="1" applyBorder="1"/>
    <xf numFmtId="0" fontId="4" fillId="0" borderId="0" xfId="0" quotePrefix="1" applyFont="1"/>
    <xf numFmtId="0" fontId="4" fillId="3" borderId="15" xfId="0" applyFont="1" applyFill="1" applyBorder="1"/>
    <xf numFmtId="0" fontId="10" fillId="6" borderId="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3" fillId="3" borderId="15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14" fontId="4" fillId="3" borderId="15" xfId="0" applyNumberFormat="1" applyFont="1" applyFill="1" applyBorder="1"/>
    <xf numFmtId="14" fontId="1" fillId="0" borderId="11" xfId="0" applyNumberFormat="1" applyFont="1" applyBorder="1"/>
    <xf numFmtId="0" fontId="10" fillId="7" borderId="18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13" fillId="5" borderId="15" xfId="1" applyFont="1" applyBorder="1" applyAlignment="1">
      <alignment horizontal="center" vertical="center"/>
    </xf>
    <xf numFmtId="0" fontId="2" fillId="0" borderId="19" xfId="0" applyFont="1" applyBorder="1"/>
    <xf numFmtId="0" fontId="1" fillId="0" borderId="19" xfId="0" applyFont="1" applyBorder="1"/>
    <xf numFmtId="0" fontId="1" fillId="4" borderId="0" xfId="0" applyFont="1" applyFill="1"/>
    <xf numFmtId="0" fontId="2" fillId="4" borderId="19" xfId="0" applyFont="1" applyFill="1" applyBorder="1"/>
    <xf numFmtId="0" fontId="1" fillId="4" borderId="19" xfId="0" applyFont="1" applyFill="1" applyBorder="1"/>
    <xf numFmtId="0" fontId="10" fillId="2" borderId="17" xfId="0" applyFont="1" applyFill="1" applyBorder="1"/>
    <xf numFmtId="0" fontId="4" fillId="0" borderId="17" xfId="0" applyFont="1" applyBorder="1"/>
    <xf numFmtId="0" fontId="4" fillId="0" borderId="17" xfId="0" quotePrefix="1" applyFont="1" applyBorder="1"/>
    <xf numFmtId="0" fontId="1" fillId="0" borderId="17" xfId="0" applyFont="1" applyBorder="1"/>
    <xf numFmtId="0" fontId="10" fillId="7" borderId="17" xfId="0" applyFont="1" applyFill="1" applyBorder="1"/>
    <xf numFmtId="0" fontId="1" fillId="0" borderId="0" xfId="0" quotePrefix="1" applyFont="1"/>
    <xf numFmtId="0" fontId="5" fillId="3" borderId="20" xfId="0" applyFont="1" applyFill="1" applyBorder="1" applyAlignment="1">
      <alignment horizontal="left" indent="1"/>
    </xf>
    <xf numFmtId="0" fontId="5" fillId="3" borderId="21" xfId="0" applyFont="1" applyFill="1" applyBorder="1"/>
    <xf numFmtId="0" fontId="5" fillId="3" borderId="22" xfId="0" applyFont="1" applyFill="1" applyBorder="1"/>
    <xf numFmtId="0" fontId="5" fillId="3" borderId="23" xfId="0" applyFont="1" applyFill="1" applyBorder="1" applyAlignment="1">
      <alignment horizontal="left" indent="2"/>
    </xf>
    <xf numFmtId="0" fontId="5" fillId="3" borderId="24" xfId="0" applyFont="1" applyFill="1" applyBorder="1"/>
    <xf numFmtId="0" fontId="5" fillId="3" borderId="23" xfId="0" applyFont="1" applyFill="1" applyBorder="1" applyAlignment="1">
      <alignment horizontal="left" indent="6"/>
    </xf>
    <xf numFmtId="0" fontId="5" fillId="3" borderId="23" xfId="0" applyFont="1" applyFill="1" applyBorder="1" applyAlignment="1">
      <alignment horizontal="left" indent="1"/>
    </xf>
    <xf numFmtId="0" fontId="5" fillId="3" borderId="0" xfId="0" quotePrefix="1" applyFont="1" applyFill="1"/>
    <xf numFmtId="0" fontId="5" fillId="3" borderId="25" xfId="0" applyFont="1" applyFill="1" applyBorder="1" applyAlignment="1">
      <alignment horizontal="left" indent="1"/>
    </xf>
    <xf numFmtId="0" fontId="5" fillId="3" borderId="26" xfId="0" applyFont="1" applyFill="1" applyBorder="1"/>
    <xf numFmtId="0" fontId="5" fillId="3" borderId="27" xfId="0" applyFont="1" applyFill="1" applyBorder="1"/>
    <xf numFmtId="0" fontId="5" fillId="4" borderId="4" xfId="0" applyFont="1" applyFill="1" applyBorder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6" fillId="8" borderId="1" xfId="0" applyFont="1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1" xfId="0" applyFont="1" applyFill="1" applyBorder="1"/>
    <xf numFmtId="0" fontId="6" fillId="3" borderId="23" xfId="0" applyFont="1" applyFill="1" applyBorder="1" applyAlignment="1">
      <alignment horizontal="left" indent="1"/>
    </xf>
    <xf numFmtId="0" fontId="8" fillId="2" borderId="18" xfId="0" applyFont="1" applyFill="1" applyBorder="1"/>
    <xf numFmtId="0" fontId="8" fillId="2" borderId="16" xfId="0" applyFont="1" applyFill="1" applyBorder="1"/>
    <xf numFmtId="0" fontId="8" fillId="2" borderId="28" xfId="0" applyFont="1" applyFill="1" applyBorder="1"/>
    <xf numFmtId="0" fontId="17" fillId="0" borderId="0" xfId="0" applyFont="1"/>
    <xf numFmtId="0" fontId="18" fillId="0" borderId="0" xfId="0" applyFont="1"/>
    <xf numFmtId="0" fontId="2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5" fillId="10" borderId="17" xfId="0" applyFont="1" applyFill="1" applyBorder="1"/>
    <xf numFmtId="0" fontId="3" fillId="3" borderId="3" xfId="0" applyFont="1" applyFill="1" applyBorder="1"/>
    <xf numFmtId="0" fontId="17" fillId="0" borderId="29" xfId="0" applyFont="1" applyBorder="1"/>
    <xf numFmtId="0" fontId="17" fillId="0" borderId="30" xfId="0" applyFont="1" applyBorder="1"/>
    <xf numFmtId="0" fontId="19" fillId="3" borderId="36" xfId="0" applyFont="1" applyFill="1" applyBorder="1" applyAlignment="1">
      <alignment horizontal="left" vertical="center"/>
    </xf>
    <xf numFmtId="0" fontId="19" fillId="3" borderId="37" xfId="0" applyFont="1" applyFill="1" applyBorder="1" applyAlignment="1">
      <alignment horizontal="left" vertical="center"/>
    </xf>
    <xf numFmtId="0" fontId="19" fillId="3" borderId="38" xfId="0" applyFont="1" applyFill="1" applyBorder="1" applyAlignment="1">
      <alignment horizontal="left" vertical="center"/>
    </xf>
    <xf numFmtId="0" fontId="5" fillId="3" borderId="24" xfId="0" quotePrefix="1" applyFont="1" applyFill="1" applyBorder="1"/>
    <xf numFmtId="0" fontId="5" fillId="3" borderId="0" xfId="0" applyFont="1" applyFill="1" applyAlignment="1">
      <alignment horizontal="left" indent="7"/>
    </xf>
    <xf numFmtId="49" fontId="10" fillId="2" borderId="15" xfId="0" applyNumberFormat="1" applyFont="1" applyFill="1" applyBorder="1" applyAlignment="1">
      <alignment horizontal="center"/>
    </xf>
    <xf numFmtId="49" fontId="10" fillId="6" borderId="15" xfId="0" applyNumberFormat="1" applyFont="1" applyFill="1" applyBorder="1" applyAlignment="1">
      <alignment horizontal="center"/>
    </xf>
    <xf numFmtId="49" fontId="4" fillId="3" borderId="15" xfId="0" applyNumberFormat="1" applyFont="1" applyFill="1" applyBorder="1"/>
    <xf numFmtId="0" fontId="20" fillId="11" borderId="15" xfId="1" applyFont="1" applyFill="1" applyBorder="1" applyAlignment="1">
      <alignment horizontal="center" vertical="center"/>
    </xf>
    <xf numFmtId="0" fontId="20" fillId="11" borderId="15" xfId="1" applyFont="1" applyFill="1" applyBorder="1" applyAlignment="1">
      <alignment horizontal="left" vertical="center"/>
    </xf>
    <xf numFmtId="14" fontId="3" fillId="3" borderId="15" xfId="0" applyNumberFormat="1" applyFont="1" applyFill="1" applyBorder="1" applyAlignment="1">
      <alignment horizontal="left" vertical="center"/>
    </xf>
    <xf numFmtId="3" fontId="3" fillId="3" borderId="15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3" fillId="5" borderId="15" xfId="1" applyFont="1" applyBorder="1" applyAlignment="1">
      <alignment horizontal="left" vertical="center"/>
    </xf>
    <xf numFmtId="0" fontId="6" fillId="4" borderId="12" xfId="0" applyFont="1" applyFill="1" applyBorder="1"/>
    <xf numFmtId="0" fontId="6" fillId="4" borderId="5" xfId="0" applyFont="1" applyFill="1" applyBorder="1"/>
    <xf numFmtId="0" fontId="6" fillId="4" borderId="8" xfId="0" applyFont="1" applyFill="1" applyBorder="1"/>
    <xf numFmtId="0" fontId="16" fillId="4" borderId="12" xfId="0" applyFont="1" applyFill="1" applyBorder="1"/>
    <xf numFmtId="0" fontId="16" fillId="4" borderId="5" xfId="0" applyFont="1" applyFill="1" applyBorder="1"/>
    <xf numFmtId="14" fontId="0" fillId="0" borderId="0" xfId="0" applyNumberForma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3" borderId="0" xfId="0" applyFont="1" applyFill="1"/>
    <xf numFmtId="0" fontId="25" fillId="3" borderId="0" xfId="0" applyFont="1" applyFill="1"/>
    <xf numFmtId="0" fontId="0" fillId="12" borderId="0" xfId="0" applyFill="1"/>
    <xf numFmtId="0" fontId="17" fillId="0" borderId="39" xfId="0" applyFont="1" applyBorder="1"/>
    <xf numFmtId="0" fontId="17" fillId="0" borderId="40" xfId="0" applyFont="1" applyBorder="1"/>
    <xf numFmtId="0" fontId="17" fillId="0" borderId="41" xfId="0" applyFont="1" applyBorder="1"/>
    <xf numFmtId="0" fontId="21" fillId="0" borderId="0" xfId="0" quotePrefix="1" applyFont="1"/>
    <xf numFmtId="0" fontId="0" fillId="13" borderId="0" xfId="0" applyFill="1"/>
    <xf numFmtId="0" fontId="23" fillId="1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left" vertical="center"/>
    </xf>
    <xf numFmtId="0" fontId="13" fillId="5" borderId="0" xfId="1" applyFont="1" applyBorder="1" applyAlignment="1">
      <alignment horizontal="center" vertical="center"/>
    </xf>
    <xf numFmtId="0" fontId="8" fillId="2" borderId="31" xfId="0" applyFont="1" applyFill="1" applyBorder="1" applyAlignment="1">
      <alignment horizontal="left" wrapText="1"/>
    </xf>
    <xf numFmtId="0" fontId="8" fillId="2" borderId="32" xfId="0" applyFont="1" applyFill="1" applyBorder="1" applyAlignment="1">
      <alignment horizontal="left" wrapText="1"/>
    </xf>
    <xf numFmtId="0" fontId="19" fillId="9" borderId="33" xfId="0" applyFont="1" applyFill="1" applyBorder="1" applyAlignment="1">
      <alignment horizontal="center" wrapText="1"/>
    </xf>
    <xf numFmtId="0" fontId="19" fillId="9" borderId="34" xfId="0" applyFont="1" applyFill="1" applyBorder="1" applyAlignment="1">
      <alignment horizontal="center" wrapText="1"/>
    </xf>
    <xf numFmtId="0" fontId="19" fillId="9" borderId="35" xfId="0" applyFont="1" applyFill="1" applyBorder="1" applyAlignment="1">
      <alignment horizontal="center" wrapText="1"/>
    </xf>
    <xf numFmtId="0" fontId="4" fillId="3" borderId="15" xfId="0" applyNumberFormat="1" applyFont="1" applyFill="1" applyBorder="1"/>
    <xf numFmtId="0" fontId="4" fillId="14" borderId="17" xfId="0" applyFont="1" applyFill="1" applyBorder="1"/>
    <xf numFmtId="0" fontId="1" fillId="4" borderId="0" xfId="0" applyFont="1" applyFill="1" applyBorder="1"/>
    <xf numFmtId="0" fontId="4" fillId="3" borderId="15" xfId="0" applyFont="1" applyFill="1" applyBorder="1" applyAlignment="1"/>
    <xf numFmtId="0" fontId="4" fillId="14" borderId="15" xfId="0" applyFont="1" applyFill="1" applyBorder="1"/>
    <xf numFmtId="49" fontId="5" fillId="4" borderId="13" xfId="0" applyNumberFormat="1" applyFont="1" applyFill="1" applyBorder="1"/>
    <xf numFmtId="49" fontId="5" fillId="4" borderId="6" xfId="0" applyNumberFormat="1" applyFont="1" applyFill="1" applyBorder="1"/>
    <xf numFmtId="49" fontId="5" fillId="4" borderId="6" xfId="0" quotePrefix="1" applyNumberFormat="1" applyFont="1" applyFill="1" applyBorder="1"/>
    <xf numFmtId="0" fontId="4" fillId="12" borderId="15" xfId="0" applyFont="1" applyFill="1" applyBorder="1"/>
  </cellXfs>
  <cellStyles count="2">
    <cellStyle name="Good" xfId="1" builtinId="26"/>
    <cellStyle name="Normal" xfId="0" builtinId="0"/>
  </cellStyles>
  <dxfs count="20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BE2D5"/>
          <bgColor rgb="FF000000"/>
        </patternFill>
      </fill>
    </dxf>
    <dxf>
      <fill>
        <patternFill patternType="solid">
          <fgColor rgb="FFFBE2D5"/>
          <bgColor rgb="FF000000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FFB7"/>
      <color rgb="FFFFDD71"/>
      <color rgb="FFFFFFDD"/>
      <color rgb="FF644C00"/>
      <color rgb="FFFFFAEB"/>
      <color rgb="FFFDFDFD"/>
      <color rgb="FFFFF1C5"/>
      <color rgb="FFFFE593"/>
      <color rgb="FF777400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52917</xdr:colOff>
      <xdr:row>0</xdr:row>
      <xdr:rowOff>95250</xdr:rowOff>
    </xdr:from>
    <xdr:to>
      <xdr:col>2</xdr:col>
      <xdr:colOff>10584</xdr:colOff>
      <xdr:row>2</xdr:row>
      <xdr:rowOff>84667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28084" y="95250"/>
          <a:ext cx="1195917" cy="349250"/>
        </a:xfrm>
        <a:prstGeom prst="rect">
          <a:avLst/>
        </a:prstGeom>
        <a:solidFill>
          <a:srgbClr val="FFFFDD"/>
        </a:solidFill>
        <a:ln w="28575" cmpd="sng">
          <a:solidFill>
            <a:srgbClr val="FFDD7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800">
              <a:latin typeface="Arial" panose="020B0604020202020204" pitchFamily="34" charset="0"/>
              <a:cs typeface="Arial" panose="020B0604020202020204" pitchFamily="34" charset="0"/>
            </a:rPr>
            <a:t>Ilustrativo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1</xdr:row>
      <xdr:rowOff>76201</xdr:rowOff>
    </xdr:from>
    <xdr:to>
      <xdr:col>17</xdr:col>
      <xdr:colOff>552450</xdr:colOff>
      <xdr:row>19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3639800" y="257176"/>
          <a:ext cx="2695575" cy="3305174"/>
        </a:xfrm>
        <a:prstGeom prst="rect">
          <a:avLst/>
        </a:prstGeom>
        <a:solidFill>
          <a:srgbClr val="FFFFB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 b="1">
              <a:latin typeface="Arial" panose="020B0604020202020204" pitchFamily="34" charset="0"/>
              <a:cs typeface="Arial" panose="020B0604020202020204" pitchFamily="34" charset="0"/>
            </a:rPr>
            <a:t>Notas:</a:t>
          </a:r>
        </a:p>
        <a:p>
          <a:r>
            <a:rPr lang="pt-PT" sz="11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 Colunas A a C - Ficheiro Loan Tape PM</a:t>
          </a:r>
        </a:p>
        <a:p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-Colunas F a J - PdS (último)</a:t>
          </a:r>
          <a:endParaRPr lang="pt-PT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PT" sz="11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 Na coluna J o que tem package é referentes aos novos requisitos </a:t>
          </a:r>
        </a:p>
        <a:p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- Rever se falta algum campo para testar (quando filtra K e L por "N")</a:t>
          </a: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PT" sz="1100" b="1" baseline="0">
              <a:latin typeface="Arial" panose="020B0604020202020204" pitchFamily="34" charset="0"/>
              <a:cs typeface="Arial" panose="020B0604020202020204" pitchFamily="34" charset="0"/>
            </a:rPr>
            <a:t>Notas sheet 2. Script </a:t>
          </a:r>
        </a:p>
        <a:p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- Os campos são filtro de Y no fich da corp para ESTR e Pilar 3 (exceto chaves de tabela)</a:t>
          </a: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"/>
  <sheetViews>
    <sheetView showGridLines="0" topLeftCell="A7" zoomScale="90" zoomScaleNormal="90" workbookViewId="0">
      <selection activeCell="K41" sqref="K41"/>
    </sheetView>
  </sheetViews>
  <sheetFormatPr defaultColWidth="0" defaultRowHeight="14" zeroHeight="1"/>
  <cols>
    <col min="1" max="2" width="3.6328125" style="7" customWidth="1"/>
    <col min="3" max="7" width="27.453125" style="7" customWidth="1"/>
    <col min="8" max="13" width="9.08984375" style="7" customWidth="1"/>
    <col min="14" max="14" width="3.6328125" style="7" customWidth="1"/>
    <col min="15" max="15" width="9.08984375" style="7" hidden="1" customWidth="1"/>
    <col min="16" max="32" width="0" style="7" hidden="1" customWidth="1"/>
    <col min="33" max="16384" width="9.08984375" style="7" hidden="1"/>
  </cols>
  <sheetData>
    <row r="1" spans="1:30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/>
    <row r="6" spans="1:30" ht="14.5" thickBot="1">
      <c r="B6" s="28" t="s">
        <v>78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30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30">
      <c r="B8" s="52" t="s">
        <v>11</v>
      </c>
      <c r="C8" s="53"/>
      <c r="D8" s="55" t="s">
        <v>1073</v>
      </c>
      <c r="E8" s="53"/>
      <c r="F8" s="53"/>
      <c r="G8" s="53"/>
      <c r="H8" s="53"/>
      <c r="I8" s="53"/>
      <c r="J8" s="53"/>
      <c r="K8" s="53"/>
      <c r="L8" s="53"/>
      <c r="M8" s="54"/>
    </row>
    <row r="9" spans="1:30">
      <c r="B9" s="52" t="s">
        <v>12</v>
      </c>
      <c r="C9" s="53"/>
      <c r="D9" s="55" t="s">
        <v>1074</v>
      </c>
      <c r="E9" s="53"/>
      <c r="F9" s="53"/>
      <c r="G9" s="53"/>
      <c r="H9" s="53"/>
      <c r="I9" s="53"/>
      <c r="J9" s="53"/>
      <c r="K9" s="53"/>
      <c r="L9" s="53"/>
      <c r="M9" s="54"/>
    </row>
    <row r="10" spans="1:30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30" ht="14.5">
      <c r="B11" s="50" t="s">
        <v>1075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30" ht="3" customHeight="1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30" ht="3" customHeight="1"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</row>
    <row r="14" spans="1:30">
      <c r="B14" s="56" t="s">
        <v>70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43"/>
    </row>
    <row r="15" spans="1:30">
      <c r="B15" s="42" t="s">
        <v>14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43"/>
    </row>
    <row r="16" spans="1:30">
      <c r="B16" s="42" t="s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43"/>
    </row>
    <row r="17" spans="2:13">
      <c r="B17" s="44" t="s">
        <v>16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43"/>
    </row>
    <row r="18" spans="2:13">
      <c r="B18" s="44" t="s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43"/>
    </row>
    <row r="19" spans="2:13">
      <c r="B19" s="44" t="s">
        <v>18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43"/>
    </row>
    <row r="20" spans="2:13">
      <c r="B20" s="44" t="s">
        <v>19</v>
      </c>
      <c r="C20" s="6"/>
      <c r="D20" s="6"/>
      <c r="E20" s="6"/>
      <c r="F20" s="6"/>
      <c r="G20" s="6"/>
      <c r="H20" s="6"/>
      <c r="I20" s="6"/>
      <c r="J20" s="46" t="s">
        <v>36</v>
      </c>
      <c r="K20" s="6"/>
      <c r="L20" s="6"/>
      <c r="M20" s="43"/>
    </row>
    <row r="21" spans="2:13">
      <c r="B21" s="56" t="s">
        <v>71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43"/>
    </row>
    <row r="22" spans="2:13">
      <c r="B22" s="56" t="s">
        <v>72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43"/>
    </row>
    <row r="23" spans="2:13">
      <c r="B23" s="44" t="s">
        <v>120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71" t="s">
        <v>36</v>
      </c>
    </row>
    <row r="24" spans="2:13">
      <c r="B24" s="56" t="s">
        <v>73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43"/>
    </row>
    <row r="25" spans="2:13" ht="3" customHeight="1">
      <c r="B25" s="45"/>
      <c r="C25" s="6"/>
      <c r="D25" s="6"/>
      <c r="E25" s="6"/>
      <c r="F25" s="6"/>
      <c r="G25" s="6"/>
      <c r="H25" s="6"/>
      <c r="I25" s="6"/>
      <c r="J25" s="6"/>
      <c r="K25" s="6"/>
      <c r="L25" s="6"/>
      <c r="M25" s="43"/>
    </row>
    <row r="26" spans="2:13">
      <c r="B26" s="45"/>
      <c r="C26" s="57" t="s">
        <v>30</v>
      </c>
      <c r="D26" s="58" t="s">
        <v>1570</v>
      </c>
      <c r="E26" s="58" t="s">
        <v>1</v>
      </c>
      <c r="F26" s="58" t="s">
        <v>31</v>
      </c>
      <c r="G26" s="59" t="s">
        <v>32</v>
      </c>
      <c r="H26" s="6"/>
      <c r="I26" s="6"/>
      <c r="J26" s="6"/>
      <c r="K26" s="6"/>
      <c r="L26" s="6"/>
      <c r="M26" s="43"/>
    </row>
    <row r="27" spans="2:13">
      <c r="B27" s="45"/>
      <c r="C27" s="82" t="s">
        <v>1076</v>
      </c>
      <c r="D27" s="14" t="s">
        <v>1077</v>
      </c>
      <c r="E27" s="14" t="s">
        <v>1077</v>
      </c>
      <c r="F27" s="14" t="s">
        <v>1569</v>
      </c>
      <c r="G27" s="15"/>
      <c r="H27" s="6"/>
      <c r="I27" s="6"/>
      <c r="J27" s="6"/>
      <c r="K27" s="6"/>
      <c r="L27" s="6"/>
      <c r="M27" s="43"/>
    </row>
    <row r="28" spans="2:13">
      <c r="B28" s="45"/>
      <c r="C28" s="83" t="s">
        <v>77</v>
      </c>
      <c r="D28" s="10" t="s">
        <v>23</v>
      </c>
      <c r="E28" s="10" t="s">
        <v>23</v>
      </c>
      <c r="F28" s="10" t="s">
        <v>24</v>
      </c>
      <c r="G28" s="11"/>
      <c r="H28" s="6"/>
      <c r="I28" s="6"/>
      <c r="J28" s="6"/>
      <c r="K28" s="6"/>
      <c r="L28" s="6"/>
      <c r="M28" s="43"/>
    </row>
    <row r="29" spans="2:13">
      <c r="B29" s="45"/>
      <c r="C29" s="83" t="s">
        <v>10</v>
      </c>
      <c r="D29" s="10" t="s">
        <v>22</v>
      </c>
      <c r="E29" s="10" t="s">
        <v>22</v>
      </c>
      <c r="F29" s="10" t="s">
        <v>26</v>
      </c>
      <c r="G29" s="11"/>
      <c r="H29" s="6"/>
      <c r="I29" s="6"/>
      <c r="J29" s="6"/>
      <c r="K29" s="6"/>
      <c r="L29" s="6"/>
      <c r="M29" s="43"/>
    </row>
    <row r="30" spans="2:13">
      <c r="B30" s="45"/>
      <c r="C30" s="83" t="s">
        <v>76</v>
      </c>
      <c r="D30" s="10" t="s">
        <v>29</v>
      </c>
      <c r="E30" s="10" t="s">
        <v>29</v>
      </c>
      <c r="F30" s="10" t="s">
        <v>28</v>
      </c>
      <c r="G30" s="11"/>
      <c r="H30" s="6"/>
      <c r="I30" s="6"/>
      <c r="J30" s="6"/>
      <c r="K30" s="6"/>
      <c r="L30" s="6"/>
      <c r="M30" s="43"/>
    </row>
    <row r="31" spans="2:13">
      <c r="B31" s="45"/>
      <c r="C31" s="83" t="s">
        <v>304</v>
      </c>
      <c r="D31" s="10" t="s">
        <v>25</v>
      </c>
      <c r="E31" s="10" t="s">
        <v>25</v>
      </c>
      <c r="F31" s="10" t="s">
        <v>26</v>
      </c>
      <c r="G31" s="11" t="s">
        <v>24</v>
      </c>
      <c r="H31" s="6"/>
      <c r="I31" s="6"/>
      <c r="J31" s="6"/>
      <c r="K31" s="6"/>
      <c r="L31" s="6"/>
      <c r="M31" s="43"/>
    </row>
    <row r="32" spans="2:13">
      <c r="B32" s="45"/>
      <c r="C32" s="83" t="s">
        <v>305</v>
      </c>
      <c r="D32" s="10" t="s">
        <v>27</v>
      </c>
      <c r="E32" s="10" t="s">
        <v>27</v>
      </c>
      <c r="F32" s="10" t="s">
        <v>26</v>
      </c>
      <c r="G32" s="11" t="s">
        <v>28</v>
      </c>
      <c r="H32" s="46" t="s">
        <v>36</v>
      </c>
      <c r="I32" s="6"/>
      <c r="J32" s="6"/>
      <c r="K32" s="6"/>
      <c r="L32" s="6"/>
      <c r="M32" s="43"/>
    </row>
    <row r="33" spans="2:13" ht="3" customHeight="1">
      <c r="B33" s="45"/>
      <c r="C33" s="6"/>
      <c r="D33" s="6"/>
      <c r="E33" s="6"/>
      <c r="F33" s="6"/>
      <c r="G33" s="6"/>
      <c r="H33" s="6"/>
      <c r="I33" s="6"/>
      <c r="J33" s="6"/>
      <c r="K33" s="6"/>
      <c r="L33" s="6"/>
      <c r="M33" s="43"/>
    </row>
    <row r="34" spans="2:13" ht="15" customHeight="1">
      <c r="B34" s="45"/>
      <c r="C34" s="105" t="s">
        <v>273</v>
      </c>
      <c r="D34" s="106"/>
      <c r="E34" s="106"/>
      <c r="F34" s="106"/>
      <c r="G34" s="106"/>
      <c r="H34" s="6"/>
      <c r="I34" s="6"/>
      <c r="J34" s="6"/>
      <c r="K34" s="6"/>
      <c r="L34" s="6"/>
      <c r="M34" s="43"/>
    </row>
    <row r="35" spans="2:13">
      <c r="B35" s="45"/>
      <c r="C35" s="85" t="s">
        <v>1568</v>
      </c>
      <c r="D35" s="115" t="s">
        <v>1564</v>
      </c>
      <c r="E35" s="14"/>
      <c r="F35" s="14"/>
      <c r="G35" s="15"/>
      <c r="H35" s="6"/>
      <c r="I35" s="6"/>
      <c r="J35" s="6"/>
      <c r="K35" s="6"/>
      <c r="L35" s="6"/>
      <c r="M35" s="43"/>
    </row>
    <row r="36" spans="2:13">
      <c r="B36" s="45"/>
      <c r="C36" s="86" t="s">
        <v>272</v>
      </c>
      <c r="D36" s="116" t="s">
        <v>33</v>
      </c>
      <c r="E36" s="10"/>
      <c r="F36" s="10"/>
      <c r="G36" s="11"/>
      <c r="H36" s="6"/>
      <c r="I36" s="6"/>
      <c r="J36" s="6"/>
      <c r="K36" s="6"/>
      <c r="L36" s="6"/>
      <c r="M36" s="43"/>
    </row>
    <row r="37" spans="2:13">
      <c r="B37" s="45"/>
      <c r="C37" s="83" t="s">
        <v>13</v>
      </c>
      <c r="D37" s="116" t="s">
        <v>1078</v>
      </c>
      <c r="E37" s="10"/>
      <c r="F37" s="10"/>
      <c r="G37" s="11"/>
      <c r="H37" s="6"/>
      <c r="I37" s="6"/>
      <c r="J37" s="6"/>
      <c r="K37" s="6"/>
      <c r="L37" s="6"/>
      <c r="M37" s="43"/>
    </row>
    <row r="38" spans="2:13">
      <c r="B38" s="45"/>
      <c r="C38" s="83" t="s">
        <v>20</v>
      </c>
      <c r="D38" s="116" t="s">
        <v>34</v>
      </c>
      <c r="E38" s="10"/>
      <c r="F38" s="10"/>
      <c r="G38" s="11"/>
      <c r="H38" s="6"/>
      <c r="I38" s="6"/>
      <c r="J38" s="6"/>
      <c r="K38" s="6"/>
      <c r="L38" s="6"/>
      <c r="M38" s="43"/>
    </row>
    <row r="39" spans="2:13">
      <c r="B39" s="45"/>
      <c r="C39" s="83" t="s">
        <v>1068</v>
      </c>
      <c r="D39" s="116" t="s">
        <v>1565</v>
      </c>
      <c r="E39" s="10"/>
      <c r="F39" s="10"/>
      <c r="G39" s="11"/>
      <c r="H39" s="6"/>
      <c r="I39" s="6"/>
      <c r="J39" s="6"/>
      <c r="K39" s="6"/>
      <c r="L39" s="6"/>
      <c r="M39" s="43"/>
    </row>
    <row r="40" spans="2:13">
      <c r="B40" s="45"/>
      <c r="C40" s="83" t="s">
        <v>1068</v>
      </c>
      <c r="D40" s="116" t="s">
        <v>1079</v>
      </c>
      <c r="E40" s="10"/>
      <c r="F40" s="10"/>
      <c r="G40" s="11"/>
      <c r="H40" s="6"/>
      <c r="I40" s="6"/>
      <c r="J40" s="6"/>
      <c r="K40" s="6"/>
      <c r="L40" s="6"/>
      <c r="M40" s="43"/>
    </row>
    <row r="41" spans="2:13">
      <c r="B41" s="45"/>
      <c r="C41" s="83" t="s">
        <v>21</v>
      </c>
      <c r="D41" s="117" t="s">
        <v>35</v>
      </c>
      <c r="E41" s="10"/>
      <c r="F41" s="10"/>
      <c r="G41" s="11"/>
      <c r="H41" s="6"/>
      <c r="I41" s="6"/>
      <c r="J41" s="6"/>
      <c r="K41" s="6"/>
      <c r="L41" s="6"/>
      <c r="M41" s="43"/>
    </row>
    <row r="42" spans="2:13">
      <c r="B42" s="45"/>
      <c r="C42" s="83" t="s">
        <v>1566</v>
      </c>
      <c r="D42" s="10" t="str">
        <f>+"ref_date='${ref_date}'"&amp;" AND "&amp;C37&amp;"='"&amp;D37&amp;"' AND "&amp;C38&amp;"='"&amp;D38&amp;"' AND ambito='"&amp;D40&amp;"'"&amp;" AND "&amp;C41&amp;"='"&amp;D41&amp;"'"</f>
        <v>ref_date='${ref_date}' AND nome_perimetro='Individual Local' AND segmento='ESTR' AND ambito='SRB_MBDT' AND entidade='00100'</v>
      </c>
      <c r="E42" s="10"/>
      <c r="F42" s="10"/>
      <c r="G42" s="11"/>
      <c r="H42" s="46" t="s">
        <v>36</v>
      </c>
      <c r="I42" s="6"/>
      <c r="J42" s="6"/>
      <c r="K42" s="6"/>
      <c r="L42" s="6"/>
      <c r="M42" s="43"/>
    </row>
    <row r="43" spans="2:13">
      <c r="B43" s="45"/>
      <c r="C43" s="84" t="s">
        <v>1567</v>
      </c>
      <c r="D43" s="12" t="str">
        <f>+"ref_date='${ref_date}'"&amp;" AND "&amp;C37&amp;"='"&amp;D37&amp;"' AND "&amp;C38&amp;"='"&amp;D38&amp;"' AND ambito='"&amp;D39&amp;"'"&amp;" AND "&amp;C41&amp;"='"&amp;D41&amp;"'"</f>
        <v>ref_date='${ref_date}' AND nome_perimetro='Individual Local' AND segmento='ESTR' AND ambito='PM' AND entidade='00100'</v>
      </c>
      <c r="E43" s="12"/>
      <c r="F43" s="12"/>
      <c r="G43" s="13"/>
      <c r="H43" s="46"/>
      <c r="I43" s="6"/>
      <c r="J43" s="6"/>
      <c r="K43" s="6"/>
      <c r="L43" s="6"/>
      <c r="M43" s="43"/>
    </row>
    <row r="44" spans="2:13" ht="3" customHeight="1">
      <c r="B44" s="45"/>
      <c r="C44" s="6"/>
      <c r="D44" s="6"/>
      <c r="E44" s="6"/>
      <c r="F44" s="6"/>
      <c r="G44" s="6"/>
      <c r="H44" s="6"/>
      <c r="I44" s="6"/>
      <c r="J44" s="6"/>
      <c r="K44" s="6"/>
      <c r="L44" s="6"/>
      <c r="M44" s="43"/>
    </row>
    <row r="45" spans="2:13" ht="14.25" customHeight="1">
      <c r="B45" s="56" t="s">
        <v>121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43"/>
    </row>
    <row r="46" spans="2:13" ht="14.25" customHeight="1">
      <c r="B46" s="44" t="s">
        <v>122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43"/>
    </row>
    <row r="47" spans="2:13" ht="3" customHeight="1">
      <c r="B47" s="44"/>
      <c r="C47" s="6"/>
      <c r="D47" s="6"/>
      <c r="E47" s="6"/>
      <c r="F47" s="6"/>
      <c r="G47" s="6"/>
      <c r="H47" s="6"/>
      <c r="I47" s="6"/>
      <c r="J47" s="6"/>
      <c r="K47" s="6"/>
      <c r="L47" s="6"/>
      <c r="M47" s="43"/>
    </row>
    <row r="48" spans="2:13" ht="14.25" customHeight="1">
      <c r="B48" s="44"/>
      <c r="C48" s="72" t="s">
        <v>123</v>
      </c>
      <c r="D48" s="6"/>
      <c r="E48" s="6"/>
      <c r="F48" s="6"/>
      <c r="G48" s="6"/>
      <c r="H48" s="6"/>
      <c r="I48" s="6"/>
      <c r="J48" s="6"/>
      <c r="K48" s="6"/>
      <c r="L48" s="6"/>
      <c r="M48" s="43"/>
    </row>
    <row r="49" spans="2:13" ht="14.25" customHeight="1">
      <c r="B49" s="44"/>
      <c r="C49" s="72" t="s">
        <v>124</v>
      </c>
      <c r="D49" s="6"/>
      <c r="E49" s="6"/>
      <c r="F49" s="6"/>
      <c r="G49" s="6"/>
      <c r="H49" s="6"/>
      <c r="I49" s="6"/>
      <c r="J49" s="6"/>
      <c r="K49" s="6"/>
      <c r="L49" s="6"/>
      <c r="M49" s="43"/>
    </row>
    <row r="50" spans="2:13" ht="14.25" customHeight="1">
      <c r="B50" s="44"/>
      <c r="C50" s="72" t="s">
        <v>125</v>
      </c>
      <c r="D50" s="6"/>
      <c r="E50" s="6"/>
      <c r="F50" s="6"/>
      <c r="G50" s="6"/>
      <c r="H50" s="6"/>
      <c r="I50" s="6"/>
      <c r="J50" s="6"/>
      <c r="K50" s="6"/>
      <c r="L50" s="6"/>
      <c r="M50" s="43"/>
    </row>
    <row r="51" spans="2:13" ht="14.25" customHeight="1">
      <c r="B51" s="44"/>
      <c r="C51" s="72" t="s">
        <v>126</v>
      </c>
      <c r="D51" s="6"/>
      <c r="E51" s="6"/>
      <c r="F51" s="6"/>
      <c r="G51" s="6"/>
      <c r="H51" s="6"/>
      <c r="I51" s="6"/>
      <c r="J51" s="6"/>
      <c r="K51" s="6"/>
      <c r="L51" s="6"/>
      <c r="M51" s="43"/>
    </row>
    <row r="52" spans="2:13" ht="14.25" customHeight="1">
      <c r="B52" s="44"/>
      <c r="C52" s="72" t="s">
        <v>127</v>
      </c>
      <c r="D52" s="6"/>
      <c r="E52" s="6"/>
      <c r="F52" s="6"/>
      <c r="G52" s="6"/>
      <c r="H52" s="6"/>
      <c r="I52" s="6"/>
      <c r="J52" s="6"/>
      <c r="K52" s="6"/>
      <c r="L52" s="6"/>
      <c r="M52" s="43"/>
    </row>
    <row r="53" spans="2:13" ht="14.25" customHeight="1">
      <c r="B53" s="44"/>
      <c r="C53" s="72" t="s">
        <v>128</v>
      </c>
      <c r="D53" s="6"/>
      <c r="E53" s="6"/>
      <c r="F53" s="6"/>
      <c r="G53" s="6"/>
      <c r="H53" s="6"/>
      <c r="I53" s="6"/>
      <c r="J53" s="6"/>
      <c r="K53" s="6"/>
      <c r="L53" s="6"/>
      <c r="M53" s="43"/>
    </row>
    <row r="54" spans="2:13" ht="14.25" customHeight="1">
      <c r="B54" s="44"/>
      <c r="C54" s="72" t="s">
        <v>129</v>
      </c>
      <c r="D54" s="6"/>
      <c r="E54" s="6"/>
      <c r="F54" s="6"/>
      <c r="G54" s="6"/>
      <c r="H54" s="6"/>
      <c r="I54" s="6"/>
      <c r="J54" s="6"/>
      <c r="K54" s="6"/>
      <c r="L54" s="6"/>
      <c r="M54" s="43"/>
    </row>
    <row r="55" spans="2:13" ht="14.25" customHeight="1">
      <c r="B55" s="44"/>
      <c r="C55" s="72" t="s">
        <v>130</v>
      </c>
      <c r="D55" s="6"/>
      <c r="E55" s="6"/>
      <c r="F55" s="6"/>
      <c r="G55" s="6"/>
      <c r="H55" s="6"/>
      <c r="I55" s="6"/>
      <c r="J55" s="6"/>
      <c r="K55" s="6"/>
      <c r="L55" s="6"/>
      <c r="M55" s="43"/>
    </row>
    <row r="56" spans="2:13" ht="14.25" customHeight="1">
      <c r="B56" s="44"/>
      <c r="C56" s="72" t="s">
        <v>131</v>
      </c>
      <c r="D56" s="6"/>
      <c r="E56" s="6"/>
      <c r="F56" s="6"/>
      <c r="G56" s="6"/>
      <c r="H56" s="6"/>
      <c r="I56" s="6"/>
      <c r="J56" s="6"/>
      <c r="K56" s="6"/>
      <c r="L56" s="6"/>
      <c r="M56" s="43"/>
    </row>
    <row r="57" spans="2:13" ht="14.25" customHeight="1">
      <c r="B57" s="44"/>
      <c r="C57" s="72" t="s">
        <v>132</v>
      </c>
      <c r="D57" s="6"/>
      <c r="E57" s="6"/>
      <c r="F57" s="6"/>
      <c r="G57" s="6"/>
      <c r="H57" s="6"/>
      <c r="I57" s="6"/>
      <c r="J57" s="6"/>
      <c r="K57" s="6"/>
      <c r="L57" s="6"/>
      <c r="M57" s="43"/>
    </row>
    <row r="58" spans="2:13" ht="14.25" customHeight="1">
      <c r="B58" s="44"/>
      <c r="C58" s="72" t="s">
        <v>133</v>
      </c>
      <c r="D58" s="6"/>
      <c r="E58" s="6"/>
      <c r="F58" s="6"/>
      <c r="G58" s="6"/>
      <c r="H58" s="6"/>
      <c r="I58" s="6"/>
      <c r="J58" s="6"/>
      <c r="K58" s="6"/>
      <c r="L58" s="6"/>
      <c r="M58" s="43"/>
    </row>
    <row r="59" spans="2:13" ht="14.25" customHeight="1">
      <c r="B59" s="44"/>
      <c r="C59" s="72" t="s">
        <v>134</v>
      </c>
      <c r="D59" s="6"/>
      <c r="E59" s="6"/>
      <c r="F59" s="6"/>
      <c r="G59" s="6"/>
      <c r="H59" s="6"/>
      <c r="I59" s="6"/>
      <c r="J59" s="6"/>
      <c r="K59" s="6"/>
      <c r="L59" s="6"/>
      <c r="M59" s="43"/>
    </row>
    <row r="60" spans="2:13" ht="14.25" customHeight="1">
      <c r="B60" s="44"/>
      <c r="C60" s="72" t="s">
        <v>135</v>
      </c>
      <c r="D60" s="6"/>
      <c r="E60" s="6"/>
      <c r="F60" s="6"/>
      <c r="G60" s="6"/>
      <c r="H60" s="6"/>
      <c r="I60" s="6"/>
      <c r="J60" s="6"/>
      <c r="K60" s="6"/>
      <c r="L60" s="6"/>
      <c r="M60" s="43"/>
    </row>
    <row r="61" spans="2:13" ht="14.25" customHeight="1">
      <c r="B61" s="44"/>
      <c r="C61" s="72" t="s">
        <v>136</v>
      </c>
      <c r="D61" s="6"/>
      <c r="E61" s="6"/>
      <c r="F61" s="6"/>
      <c r="G61" s="6"/>
      <c r="H61" s="6"/>
      <c r="I61" s="6"/>
      <c r="J61" s="6"/>
      <c r="K61" s="6"/>
      <c r="L61" s="6"/>
      <c r="M61" s="43"/>
    </row>
    <row r="62" spans="2:13" ht="14.25" customHeight="1">
      <c r="B62" s="44"/>
      <c r="C62" s="6"/>
      <c r="D62" s="6"/>
      <c r="E62" s="6"/>
      <c r="F62" s="6"/>
      <c r="G62" s="6"/>
      <c r="H62" s="6"/>
      <c r="I62" s="6"/>
      <c r="J62" s="6"/>
      <c r="K62" s="6"/>
      <c r="L62" s="6"/>
      <c r="M62" s="43"/>
    </row>
    <row r="63" spans="2:13" ht="14.25" customHeight="1">
      <c r="B63" s="44"/>
      <c r="C63" s="6"/>
      <c r="D63" s="6"/>
      <c r="E63" s="6"/>
      <c r="F63" s="6"/>
      <c r="G63" s="6"/>
      <c r="H63" s="6"/>
      <c r="I63" s="6"/>
      <c r="J63" s="6"/>
      <c r="K63" s="6"/>
      <c r="L63" s="6"/>
      <c r="M63" s="43"/>
    </row>
    <row r="64" spans="2:13" ht="14.25" customHeight="1">
      <c r="B64" s="44"/>
      <c r="C64" s="6"/>
      <c r="D64" s="6"/>
      <c r="E64" s="6"/>
      <c r="F64" s="6"/>
      <c r="G64" s="6"/>
      <c r="H64" s="6"/>
      <c r="I64" s="6"/>
      <c r="J64" s="6"/>
      <c r="K64" s="6"/>
      <c r="L64" s="6"/>
      <c r="M64" s="43"/>
    </row>
    <row r="65" spans="2:13" ht="14.25" customHeight="1">
      <c r="B65" s="44"/>
      <c r="C65" s="6"/>
      <c r="D65" s="6"/>
      <c r="E65" s="6"/>
      <c r="F65" s="6"/>
      <c r="G65" s="6"/>
      <c r="H65" s="6"/>
      <c r="I65" s="6"/>
      <c r="J65" s="6"/>
      <c r="K65" s="6"/>
      <c r="L65" s="6"/>
      <c r="M65" s="43"/>
    </row>
    <row r="66" spans="2:13" ht="14.25" customHeight="1">
      <c r="B66" s="44"/>
      <c r="C66" s="6"/>
      <c r="D66" s="6"/>
      <c r="E66" s="6"/>
      <c r="F66" s="6"/>
      <c r="G66" s="6"/>
      <c r="H66" s="6"/>
      <c r="I66" s="6"/>
      <c r="J66" s="6"/>
      <c r="K66" s="6"/>
      <c r="L66" s="6"/>
      <c r="M66" s="43"/>
    </row>
    <row r="67" spans="2:13" ht="14.25" customHeight="1">
      <c r="B67" s="44"/>
      <c r="C67" s="6"/>
      <c r="D67" s="6"/>
      <c r="E67" s="6"/>
      <c r="F67" s="6"/>
      <c r="G67" s="6"/>
      <c r="H67" s="6"/>
      <c r="I67" s="6"/>
      <c r="J67" s="6"/>
      <c r="K67" s="6"/>
      <c r="L67" s="6"/>
      <c r="M67" s="43"/>
    </row>
    <row r="68" spans="2:13" ht="14.25" customHeight="1">
      <c r="B68" s="44"/>
      <c r="C68" s="6"/>
      <c r="D68" s="6"/>
      <c r="E68" s="6"/>
      <c r="F68" s="6"/>
      <c r="G68" s="6"/>
      <c r="H68" s="6"/>
      <c r="I68" s="6"/>
      <c r="J68" s="6"/>
      <c r="K68" s="6"/>
      <c r="L68" s="6"/>
      <c r="M68" s="43"/>
    </row>
    <row r="69" spans="2:13" ht="14.25" customHeight="1">
      <c r="B69" s="56" t="s">
        <v>74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43"/>
    </row>
    <row r="70" spans="2:13" ht="14.25" customHeight="1">
      <c r="B70" s="56" t="s">
        <v>75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43"/>
    </row>
    <row r="71" spans="2:13" ht="3" customHeight="1">
      <c r="B71" s="47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9"/>
    </row>
    <row r="72" spans="2:13">
      <c r="B72" s="5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2:13" hidden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2:13" hidden="1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2:13" hidden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2:13" hidden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2:13" hidden="1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2:13" hidden="1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2:13" hidden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2:13" hidden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/>
  </sheetData>
  <mergeCells count="1">
    <mergeCell ref="C34:G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88"/>
  <sheetViews>
    <sheetView showGridLines="0" topLeftCell="A10" zoomScale="80" zoomScaleNormal="80" workbookViewId="0">
      <selection activeCell="M54" sqref="M54"/>
    </sheetView>
  </sheetViews>
  <sheetFormatPr defaultColWidth="0" defaultRowHeight="14" zeroHeight="1"/>
  <cols>
    <col min="1" max="1" width="3.6328125" style="2" customWidth="1"/>
    <col min="2" max="6" width="8.6328125" style="2" hidden="1" customWidth="1"/>
    <col min="7" max="7" width="3.6328125" style="2" hidden="1" customWidth="1"/>
    <col min="8" max="8" width="17.6328125" style="2" customWidth="1"/>
    <col min="9" max="9" width="34.6328125" style="2" bestFit="1" customWidth="1"/>
    <col min="10" max="11" width="16.08984375" style="2" customWidth="1"/>
    <col min="12" max="12" width="13.6328125" style="2" customWidth="1"/>
    <col min="13" max="14" width="16.08984375" style="2" customWidth="1"/>
    <col min="15" max="15" width="13.6328125" style="2" customWidth="1"/>
    <col min="16" max="16" width="16.08984375" style="2" customWidth="1"/>
    <col min="17" max="17" width="13.6328125" style="2" customWidth="1"/>
    <col min="18" max="18" width="16.08984375" style="2" customWidth="1"/>
    <col min="19" max="19" width="13.6328125" style="2" customWidth="1"/>
    <col min="20" max="20" width="16.08984375" style="2" customWidth="1"/>
    <col min="21" max="21" width="13.6328125" style="2" customWidth="1"/>
    <col min="22" max="26" width="16.08984375" style="2" customWidth="1"/>
    <col min="27" max="27" width="3.6328125" style="2" customWidth="1"/>
    <col min="28" max="32" width="9.08984375" style="2" hidden="1" customWidth="1"/>
    <col min="33" max="45" width="0" style="2" hidden="1" customWidth="1"/>
    <col min="46" max="16384" width="9.08984375" style="2" hidden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/>
    <row r="6" spans="1:37" ht="14.5" thickBot="1">
      <c r="H6" s="28" t="s">
        <v>64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37"/>
    <row r="8" spans="1:37">
      <c r="H8" s="25" t="s">
        <v>38</v>
      </c>
      <c r="I8" s="24">
        <v>45991</v>
      </c>
    </row>
    <row r="9" spans="1:37" s="20" customFormat="1">
      <c r="B9" s="107" t="s">
        <v>119</v>
      </c>
      <c r="C9" s="108"/>
      <c r="D9" s="108"/>
      <c r="E9" s="108"/>
      <c r="F9" s="109"/>
      <c r="G9" s="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37" ht="39" customHeight="1">
      <c r="B10" s="68" t="s">
        <v>5</v>
      </c>
      <c r="C10" s="69" t="s">
        <v>59</v>
      </c>
      <c r="D10" s="69" t="s">
        <v>4</v>
      </c>
      <c r="E10" s="69" t="s">
        <v>79</v>
      </c>
      <c r="F10" s="70" t="s">
        <v>80</v>
      </c>
      <c r="G10" s="38" t="s">
        <v>36</v>
      </c>
      <c r="H10" s="63" t="s">
        <v>44</v>
      </c>
      <c r="I10" s="19" t="s">
        <v>45</v>
      </c>
      <c r="J10" s="19" t="s">
        <v>51</v>
      </c>
      <c r="K10" s="19" t="s">
        <v>117</v>
      </c>
      <c r="L10" s="19" t="s">
        <v>52</v>
      </c>
      <c r="M10" s="19" t="s">
        <v>48</v>
      </c>
      <c r="N10" s="19" t="s">
        <v>118</v>
      </c>
      <c r="O10" s="19" t="s">
        <v>53</v>
      </c>
      <c r="P10" s="19" t="s">
        <v>49</v>
      </c>
      <c r="Q10" s="19" t="s">
        <v>54</v>
      </c>
      <c r="R10" s="19" t="s">
        <v>50</v>
      </c>
      <c r="S10" s="19" t="s">
        <v>55</v>
      </c>
      <c r="T10" s="19" t="s">
        <v>60</v>
      </c>
      <c r="U10" s="19" t="s">
        <v>56</v>
      </c>
      <c r="V10" s="19" t="s">
        <v>61</v>
      </c>
      <c r="W10" s="19" t="s">
        <v>62</v>
      </c>
      <c r="X10" s="19" t="s">
        <v>63</v>
      </c>
      <c r="Y10" s="19" t="s">
        <v>57</v>
      </c>
      <c r="Z10" s="22" t="s">
        <v>58</v>
      </c>
    </row>
    <row r="11" spans="1:37">
      <c r="A11" s="20" t="str">
        <f t="shared" ref="A11:A63" si="0">+H11&amp;I11&amp;$I$8</f>
        <v>UNIV_OPERcempresa45991</v>
      </c>
      <c r="B11" s="66">
        <f t="array" ref="B11">+MAX(IF('ID1&amp;5'!A:A='1. Status'!A11&amp;'1. Status'!$B$10,'ID1&amp;5'!K:K))</f>
        <v>0</v>
      </c>
      <c r="C11" s="60">
        <f t="array" ref="C11">+MAX(IF('ID1&amp;5'!A:A='1. Status'!A11&amp;'1. Status'!$C$10,'ID1&amp;5'!K:K))</f>
        <v>0</v>
      </c>
      <c r="D11" s="60">
        <f t="array" ref="D11">+MAX(IF('ID1&amp;5'!A:A='1. Status'!A11&amp;'1. Status'!$D$10,'ID1&amp;5'!K:K))</f>
        <v>0</v>
      </c>
      <c r="E11" s="60">
        <f t="array" ref="E11">+MAX(IF('ID1&amp;5'!A:A='1. Status'!A11&amp;'1. Status'!$E$10,'ID1&amp;5'!K:K))</f>
        <v>0</v>
      </c>
      <c r="F11" s="67">
        <f t="array" ref="F11">+MAX(IF('ID1&amp;5'!A:A='1. Status'!A11&amp;'1. Status'!$F$10,'ID1&amp;5'!K:K))</f>
        <v>0</v>
      </c>
      <c r="G11" s="60"/>
      <c r="H11" s="65" t="s">
        <v>1080</v>
      </c>
      <c r="I11" s="21" t="s">
        <v>1081</v>
      </c>
      <c r="J11" s="26">
        <f>+COUNTIF('ID1&amp;5'!G:G,'1. Status'!I11)</f>
        <v>0</v>
      </c>
      <c r="K11" s="79" t="str">
        <f>+IFERROR(VLOOKUP(CONCATENATE(A11,$B$10,B11),'ID1&amp;5'!B:J,8,FALSE),"-")</f>
        <v>-</v>
      </c>
      <c r="L11" s="78" t="str">
        <f>+IFERROR(VLOOKUP(B11,'ID1&amp;5'!K:L,2,FALSE),"-")</f>
        <v>-</v>
      </c>
      <c r="M11" s="79" t="str">
        <f>+IFERROR(VLOOKUP(CONCATENATE(A11,$B$10,B11),'ID1&amp;5'!B:J,9,FALSE),"-")</f>
        <v>-</v>
      </c>
      <c r="N11" s="79" t="str">
        <f>+IFERROR(VLOOKUP(CONCATENATE(A11,$C$10,C11),'ID1&amp;5'!B:J,8,FALSE),"-")</f>
        <v>-</v>
      </c>
      <c r="O11" s="78" t="str">
        <f>+IFERROR(VLOOKUP(C11,'ID1&amp;5'!K:L,2,FALSE),"-")</f>
        <v>-</v>
      </c>
      <c r="P11" s="79" t="str">
        <f>+IFERROR(VLOOKUP(CONCATENATE(A11,$C$10,C11),'ID1&amp;5'!B:J,9,FALSE),"-")</f>
        <v>-</v>
      </c>
      <c r="Q11" s="78" t="str">
        <f>+IFERROR(VLOOKUP(D11,'ID1&amp;5'!K:L,2,FALSE),"-")</f>
        <v>-</v>
      </c>
      <c r="R11" s="26" t="str">
        <f>+IFERROR(VLOOKUP(CONCATENATE(A11,$D$10,D11),'ID1&amp;5'!B:J,9,FALSE),"-")</f>
        <v>-</v>
      </c>
      <c r="S11" s="78" t="str">
        <f>+IFERROR(VLOOKUP(E11,'ID1&amp;5'!K:L,2,FALSE),"-")</f>
        <v>-</v>
      </c>
      <c r="T11" s="79" t="str">
        <f>+IFERROR(VLOOKUP(CONCATENATE(A11,$E$10,E11),'ID1&amp;5'!B:J,9,FALSE),"-")</f>
        <v>-</v>
      </c>
      <c r="U11" s="78" t="str">
        <f>+IFERROR(VLOOKUP(F11,'ID1&amp;5'!K:L,2,FALSE),"-")</f>
        <v>-</v>
      </c>
      <c r="V11" s="79" t="str">
        <f>+IFERROR(VLOOKUP(CONCATENATE(A11,$F$10,F11),'ID1&amp;5'!B:J,9,FALSE),"-")</f>
        <v>-</v>
      </c>
      <c r="W11" s="26" t="str">
        <f>+IFERROR(VLOOKUP(A11,'ID6&amp;7'!A:I,9,FALSE),"-")</f>
        <v>-</v>
      </c>
      <c r="X11" s="26" t="str">
        <f>+IFERROR(VLOOKUP(A11,'ID6&amp;7'!A:J,10,FALSE),"-")</f>
        <v>-</v>
      </c>
      <c r="Y11" s="26"/>
      <c r="Z11" s="27" t="str">
        <f t="shared" ref="Z11:Z63" si="1">+IF(J11=0,"Por iniciar",IF(OR(K11="-",M11="-",P11="-",R11="-",T11="-",V11="-"),"Em testes",IF(AND(M11=0,P11=0,R11=0,T11&lt;&gt;K11,V11&lt;&gt;K11),"OK","NOK")))</f>
        <v>Por iniciar</v>
      </c>
    </row>
    <row r="12" spans="1:37">
      <c r="A12" s="20" t="str">
        <f t="shared" si="0"/>
        <v>UNIV_OPERcbalcao45991</v>
      </c>
      <c r="B12" s="66">
        <f t="array" ref="B12">+MAX(IF('ID1&amp;5'!A:A='1. Status'!A12&amp;'1. Status'!$B$10,'ID1&amp;5'!K:K))</f>
        <v>0</v>
      </c>
      <c r="C12" s="60">
        <f t="array" ref="C12">+MAX(IF('ID1&amp;5'!A:A='1. Status'!A12&amp;'1. Status'!$C$10,'ID1&amp;5'!K:K))</f>
        <v>0</v>
      </c>
      <c r="D12" s="60">
        <f t="array" ref="D12">+MAX(IF('ID1&amp;5'!A:A='1. Status'!A12&amp;'1. Status'!$D$10,'ID1&amp;5'!K:K))</f>
        <v>0</v>
      </c>
      <c r="E12" s="60">
        <f t="array" ref="E12">+MAX(IF('ID1&amp;5'!A:A='1. Status'!A12&amp;'1. Status'!$E$10,'ID1&amp;5'!K:K))</f>
        <v>0</v>
      </c>
      <c r="F12" s="67">
        <f t="array" ref="F12">+MAX(IF('ID1&amp;5'!A:A='1. Status'!A12&amp;'1. Status'!$F$10,'ID1&amp;5'!K:K))</f>
        <v>0</v>
      </c>
      <c r="G12" s="60"/>
      <c r="H12" s="65" t="s">
        <v>1080</v>
      </c>
      <c r="I12" s="21" t="s">
        <v>1082</v>
      </c>
      <c r="J12" s="26">
        <f>+COUNTIF('ID1&amp;5'!G:G,'1. Status'!I12)</f>
        <v>0</v>
      </c>
      <c r="K12" s="79" t="str">
        <f>+IFERROR(VLOOKUP(CONCATENATE(A12,$B$10,B12),'ID1&amp;5'!B:J,8,FALSE),"-")</f>
        <v>-</v>
      </c>
      <c r="L12" s="78" t="str">
        <f>+IFERROR(VLOOKUP(B12,'ID1&amp;5'!K:L,2,FALSE),"-")</f>
        <v>-</v>
      </c>
      <c r="M12" s="79" t="str">
        <f>+IFERROR(VLOOKUP(CONCATENATE(A12,$B$10,B12),'ID1&amp;5'!B:J,9,FALSE),"-")</f>
        <v>-</v>
      </c>
      <c r="N12" s="79" t="str">
        <f>+IFERROR(VLOOKUP(CONCATENATE(A12,$C$10,C12),'ID1&amp;5'!B:J,8,FALSE),"-")</f>
        <v>-</v>
      </c>
      <c r="O12" s="78" t="str">
        <f>+IFERROR(VLOOKUP(C12,'ID1&amp;5'!K:L,2,FALSE),"-")</f>
        <v>-</v>
      </c>
      <c r="P12" s="79" t="str">
        <f>+IFERROR(VLOOKUP(CONCATENATE(A12,$C$10,C12),'ID1&amp;5'!B:J,9,FALSE),"-")</f>
        <v>-</v>
      </c>
      <c r="Q12" s="78" t="str">
        <f>+IFERROR(VLOOKUP(D12,'ID1&amp;5'!K:L,2,FALSE),"-")</f>
        <v>-</v>
      </c>
      <c r="R12" s="26" t="str">
        <f>+IFERROR(VLOOKUP(CONCATENATE(A12,$D$10,D12),'ID1&amp;5'!B:J,9,FALSE),"-")</f>
        <v>-</v>
      </c>
      <c r="S12" s="78" t="str">
        <f>+IFERROR(VLOOKUP(E12,'ID1&amp;5'!K:L,2,FALSE),"-")</f>
        <v>-</v>
      </c>
      <c r="T12" s="79" t="str">
        <f>+IFERROR(VLOOKUP(CONCATENATE(A12,$E$10,E12),'ID1&amp;5'!B:J,9,FALSE),"-")</f>
        <v>-</v>
      </c>
      <c r="U12" s="78" t="str">
        <f>+IFERROR(VLOOKUP(F12,'ID1&amp;5'!K:L,2,FALSE),"-")</f>
        <v>-</v>
      </c>
      <c r="V12" s="79" t="str">
        <f>+IFERROR(VLOOKUP(CONCATENATE(A12,$F$10,F12),'ID1&amp;5'!B:J,9,FALSE),"-")</f>
        <v>-</v>
      </c>
      <c r="W12" s="26" t="str">
        <f>+IFERROR(VLOOKUP(A12,'ID6&amp;7'!A:I,9,FALSE),"-")</f>
        <v>-</v>
      </c>
      <c r="X12" s="26" t="str">
        <f>+IFERROR(VLOOKUP(A12,'ID6&amp;7'!A:J,10,FALSE),"-")</f>
        <v>-</v>
      </c>
      <c r="Y12" s="26"/>
      <c r="Z12" s="27" t="str">
        <f t="shared" si="1"/>
        <v>Por iniciar</v>
      </c>
    </row>
    <row r="13" spans="1:37">
      <c r="A13" s="20" t="str">
        <f t="shared" si="0"/>
        <v>UNIV_OPERcnumecta45991</v>
      </c>
      <c r="B13" s="66">
        <f t="array" ref="B13">+MAX(IF('ID1&amp;5'!A:A='1. Status'!A13&amp;'1. Status'!$B$10,'ID1&amp;5'!K:K))</f>
        <v>0</v>
      </c>
      <c r="C13" s="60">
        <f t="array" ref="C13">+MAX(IF('ID1&amp;5'!A:A='1. Status'!A13&amp;'1. Status'!$C$10,'ID1&amp;5'!K:K))</f>
        <v>0</v>
      </c>
      <c r="D13" s="60">
        <f t="array" ref="D13">+MAX(IF('ID1&amp;5'!A:A='1. Status'!A13&amp;'1. Status'!$D$10,'ID1&amp;5'!K:K))</f>
        <v>0</v>
      </c>
      <c r="E13" s="60">
        <f t="array" ref="E13">+MAX(IF('ID1&amp;5'!A:A='1. Status'!A13&amp;'1. Status'!$E$10,'ID1&amp;5'!K:K))</f>
        <v>0</v>
      </c>
      <c r="F13" s="67">
        <f t="array" ref="F13">+MAX(IF('ID1&amp;5'!A:A='1. Status'!A13&amp;'1. Status'!$F$10,'ID1&amp;5'!K:K))</f>
        <v>0</v>
      </c>
      <c r="G13" s="60"/>
      <c r="H13" s="65" t="s">
        <v>1080</v>
      </c>
      <c r="I13" s="21" t="s">
        <v>1083</v>
      </c>
      <c r="J13" s="26">
        <f>+COUNTIF('ID1&amp;5'!G:G,'1. Status'!I13)</f>
        <v>0</v>
      </c>
      <c r="K13" s="79" t="str">
        <f>+IFERROR(VLOOKUP(CONCATENATE(A13,$B$10,B13),'ID1&amp;5'!B:J,8,FALSE),"-")</f>
        <v>-</v>
      </c>
      <c r="L13" s="78" t="str">
        <f>+IFERROR(VLOOKUP(B13,'ID1&amp;5'!K:L,2,FALSE),"-")</f>
        <v>-</v>
      </c>
      <c r="M13" s="79" t="str">
        <f>+IFERROR(VLOOKUP(CONCATENATE(A13,$B$10,B13),'ID1&amp;5'!B:J,9,FALSE),"-")</f>
        <v>-</v>
      </c>
      <c r="N13" s="79" t="str">
        <f>+IFERROR(VLOOKUP(CONCATENATE(A13,$C$10,C13),'ID1&amp;5'!B:J,8,FALSE),"-")</f>
        <v>-</v>
      </c>
      <c r="O13" s="78" t="str">
        <f>+IFERROR(VLOOKUP(C13,'ID1&amp;5'!K:L,2,FALSE),"-")</f>
        <v>-</v>
      </c>
      <c r="P13" s="79" t="str">
        <f>+IFERROR(VLOOKUP(CONCATENATE(A13,$C$10,C13),'ID1&amp;5'!B:J,9,FALSE),"-")</f>
        <v>-</v>
      </c>
      <c r="Q13" s="78" t="str">
        <f>+IFERROR(VLOOKUP(D13,'ID1&amp;5'!K:L,2,FALSE),"-")</f>
        <v>-</v>
      </c>
      <c r="R13" s="26" t="str">
        <f>+IFERROR(VLOOKUP(CONCATENATE(A13,$D$10,D13),'ID1&amp;5'!B:J,9,FALSE),"-")</f>
        <v>-</v>
      </c>
      <c r="S13" s="78" t="str">
        <f>+IFERROR(VLOOKUP(E13,'ID1&amp;5'!K:L,2,FALSE),"-")</f>
        <v>-</v>
      </c>
      <c r="T13" s="79" t="str">
        <f>+IFERROR(VLOOKUP(CONCATENATE(A13,$E$10,E13),'ID1&amp;5'!B:J,9,FALSE),"-")</f>
        <v>-</v>
      </c>
      <c r="U13" s="78" t="str">
        <f>+IFERROR(VLOOKUP(F13,'ID1&amp;5'!K:L,2,FALSE),"-")</f>
        <v>-</v>
      </c>
      <c r="V13" s="79" t="str">
        <f>+IFERROR(VLOOKUP(CONCATENATE(A13,$F$10,F13),'ID1&amp;5'!B:J,9,FALSE),"-")</f>
        <v>-</v>
      </c>
      <c r="W13" s="26" t="str">
        <f>+IFERROR(VLOOKUP(A13,'ID6&amp;7'!A:I,9,FALSE),"-")</f>
        <v>-</v>
      </c>
      <c r="X13" s="26" t="str">
        <f>+IFERROR(VLOOKUP(A13,'ID6&amp;7'!A:J,10,FALSE),"-")</f>
        <v>-</v>
      </c>
      <c r="Y13" s="26"/>
      <c r="Z13" s="27" t="str">
        <f t="shared" si="1"/>
        <v>Por iniciar</v>
      </c>
    </row>
    <row r="14" spans="1:37">
      <c r="A14" s="20" t="str">
        <f t="shared" si="0"/>
        <v>UNIV_OPERzdeposit45991</v>
      </c>
      <c r="B14" s="66">
        <f t="array" ref="B14">+MAX(IF('ID1&amp;5'!A:A='1. Status'!A14&amp;'1. Status'!$B$10,'ID1&amp;5'!K:K))</f>
        <v>0</v>
      </c>
      <c r="C14" s="60">
        <f t="array" ref="C14">+MAX(IF('ID1&amp;5'!A:A='1. Status'!A14&amp;'1. Status'!$C$10,'ID1&amp;5'!K:K))</f>
        <v>0</v>
      </c>
      <c r="D14" s="60">
        <f t="array" ref="D14">+MAX(IF('ID1&amp;5'!A:A='1. Status'!A14&amp;'1. Status'!$D$10,'ID1&amp;5'!K:K))</f>
        <v>0</v>
      </c>
      <c r="E14" s="60">
        <f t="array" ref="E14">+MAX(IF('ID1&amp;5'!A:A='1. Status'!A14&amp;'1. Status'!$E$10,'ID1&amp;5'!K:K))</f>
        <v>0</v>
      </c>
      <c r="F14" s="67">
        <f t="array" ref="F14">+MAX(IF('ID1&amp;5'!A:A='1. Status'!A14&amp;'1. Status'!$F$10,'ID1&amp;5'!K:K))</f>
        <v>0</v>
      </c>
      <c r="G14" s="60"/>
      <c r="H14" s="65" t="s">
        <v>1080</v>
      </c>
      <c r="I14" s="21" t="s">
        <v>1084</v>
      </c>
      <c r="J14" s="26">
        <f>+COUNTIF('ID1&amp;5'!G:G,'1. Status'!I14)</f>
        <v>0</v>
      </c>
      <c r="K14" s="79" t="str">
        <f>+IFERROR(VLOOKUP(CONCATENATE(A14,$B$10,B14),'ID1&amp;5'!B:J,8,FALSE),"-")</f>
        <v>-</v>
      </c>
      <c r="L14" s="78" t="str">
        <f>+IFERROR(VLOOKUP(B14,'ID1&amp;5'!K:L,2,FALSE),"-")</f>
        <v>-</v>
      </c>
      <c r="M14" s="79" t="str">
        <f>+IFERROR(VLOOKUP(CONCATENATE(A14,$B$10,B14),'ID1&amp;5'!B:J,9,FALSE),"-")</f>
        <v>-</v>
      </c>
      <c r="N14" s="79" t="str">
        <f>+IFERROR(VLOOKUP(CONCATENATE(A14,$C$10,C14),'ID1&amp;5'!B:J,8,FALSE),"-")</f>
        <v>-</v>
      </c>
      <c r="O14" s="78" t="str">
        <f>+IFERROR(VLOOKUP(C14,'ID1&amp;5'!K:L,2,FALSE),"-")</f>
        <v>-</v>
      </c>
      <c r="P14" s="79" t="str">
        <f>+IFERROR(VLOOKUP(CONCATENATE(A14,$C$10,C14),'ID1&amp;5'!B:J,9,FALSE),"-")</f>
        <v>-</v>
      </c>
      <c r="Q14" s="78" t="str">
        <f>+IFERROR(VLOOKUP(D14,'ID1&amp;5'!K:L,2,FALSE),"-")</f>
        <v>-</v>
      </c>
      <c r="R14" s="26" t="str">
        <f>+IFERROR(VLOOKUP(CONCATENATE(A14,$D$10,D14),'ID1&amp;5'!B:J,9,FALSE),"-")</f>
        <v>-</v>
      </c>
      <c r="S14" s="78" t="str">
        <f>+IFERROR(VLOOKUP(E14,'ID1&amp;5'!K:L,2,FALSE),"-")</f>
        <v>-</v>
      </c>
      <c r="T14" s="79" t="str">
        <f>+IFERROR(VLOOKUP(CONCATENATE(A14,$E$10,E14),'ID1&amp;5'!B:J,9,FALSE),"-")</f>
        <v>-</v>
      </c>
      <c r="U14" s="78" t="str">
        <f>+IFERROR(VLOOKUP(F14,'ID1&amp;5'!K:L,2,FALSE),"-")</f>
        <v>-</v>
      </c>
      <c r="V14" s="79" t="str">
        <f>+IFERROR(VLOOKUP(CONCATENATE(A14,$F$10,F14),'ID1&amp;5'!B:J,9,FALSE),"-")</f>
        <v>-</v>
      </c>
      <c r="W14" s="26" t="str">
        <f>+IFERROR(VLOOKUP(A14,'ID6&amp;7'!A:I,9,FALSE),"-")</f>
        <v>-</v>
      </c>
      <c r="X14" s="26" t="str">
        <f>+IFERROR(VLOOKUP(A14,'ID6&amp;7'!A:J,10,FALSE),"-")</f>
        <v>-</v>
      </c>
      <c r="Y14" s="26"/>
      <c r="Z14" s="27" t="str">
        <f t="shared" si="1"/>
        <v>Por iniciar</v>
      </c>
    </row>
    <row r="15" spans="1:37">
      <c r="A15" s="20" t="str">
        <f t="shared" si="0"/>
        <v>UNIV_OPERzcliente45991</v>
      </c>
      <c r="B15" s="66">
        <f t="array" ref="B15">+MAX(IF('ID1&amp;5'!A:A='1. Status'!A15&amp;'1. Status'!$B$10,'ID1&amp;5'!K:K))</f>
        <v>0</v>
      </c>
      <c r="C15" s="60">
        <f t="array" ref="C15">+MAX(IF('ID1&amp;5'!A:A='1. Status'!A15&amp;'1. Status'!$C$10,'ID1&amp;5'!K:K))</f>
        <v>0</v>
      </c>
      <c r="D15" s="60">
        <f t="array" ref="D15">+MAX(IF('ID1&amp;5'!A:A='1. Status'!A15&amp;'1. Status'!$D$10,'ID1&amp;5'!K:K))</f>
        <v>0</v>
      </c>
      <c r="E15" s="60">
        <f t="array" ref="E15">+MAX(IF('ID1&amp;5'!A:A='1. Status'!A15&amp;'1. Status'!$E$10,'ID1&amp;5'!K:K))</f>
        <v>0</v>
      </c>
      <c r="F15" s="67">
        <f t="array" ref="F15">+MAX(IF('ID1&amp;5'!A:A='1. Status'!A15&amp;'1. Status'!$F$10,'ID1&amp;5'!K:K))</f>
        <v>0</v>
      </c>
      <c r="G15" s="60"/>
      <c r="H15" s="65" t="s">
        <v>1080</v>
      </c>
      <c r="I15" s="21" t="s">
        <v>1085</v>
      </c>
      <c r="J15" s="26">
        <f>+COUNTIF('ID1&amp;5'!G:G,'1. Status'!I15)</f>
        <v>0</v>
      </c>
      <c r="K15" s="79" t="str">
        <f>+IFERROR(VLOOKUP(CONCATENATE(A15,$B$10,B15),'ID1&amp;5'!B:J,8,FALSE),"-")</f>
        <v>-</v>
      </c>
      <c r="L15" s="78" t="str">
        <f>+IFERROR(VLOOKUP(B15,'ID1&amp;5'!K:L,2,FALSE),"-")</f>
        <v>-</v>
      </c>
      <c r="M15" s="79" t="str">
        <f>+IFERROR(VLOOKUP(CONCATENATE(A15,$B$10,B15),'ID1&amp;5'!B:J,9,FALSE),"-")</f>
        <v>-</v>
      </c>
      <c r="N15" s="79" t="str">
        <f>+IFERROR(VLOOKUP(CONCATENATE(A15,$C$10,C15),'ID1&amp;5'!B:J,8,FALSE),"-")</f>
        <v>-</v>
      </c>
      <c r="O15" s="78" t="str">
        <f>+IFERROR(VLOOKUP(C15,'ID1&amp;5'!K:L,2,FALSE),"-")</f>
        <v>-</v>
      </c>
      <c r="P15" s="79" t="str">
        <f>+IFERROR(VLOOKUP(CONCATENATE(A15,$C$10,C15),'ID1&amp;5'!B:J,9,FALSE),"-")</f>
        <v>-</v>
      </c>
      <c r="Q15" s="78" t="str">
        <f>+IFERROR(VLOOKUP(D15,'ID1&amp;5'!K:L,2,FALSE),"-")</f>
        <v>-</v>
      </c>
      <c r="R15" s="26" t="str">
        <f>+IFERROR(VLOOKUP(CONCATENATE(A15,$D$10,D15),'ID1&amp;5'!B:J,9,FALSE),"-")</f>
        <v>-</v>
      </c>
      <c r="S15" s="78" t="str">
        <f>+IFERROR(VLOOKUP(E15,'ID1&amp;5'!K:L,2,FALSE),"-")</f>
        <v>-</v>
      </c>
      <c r="T15" s="79" t="str">
        <f>+IFERROR(VLOOKUP(CONCATENATE(A15,$E$10,E15),'ID1&amp;5'!B:J,9,FALSE),"-")</f>
        <v>-</v>
      </c>
      <c r="U15" s="78" t="str">
        <f>+IFERROR(VLOOKUP(F15,'ID1&amp;5'!K:L,2,FALSE),"-")</f>
        <v>-</v>
      </c>
      <c r="V15" s="79" t="str">
        <f>+IFERROR(VLOOKUP(CONCATENATE(A15,$F$10,F15),'ID1&amp;5'!B:J,9,FALSE),"-")</f>
        <v>-</v>
      </c>
      <c r="W15" s="26" t="str">
        <f>+IFERROR(VLOOKUP(A15,'ID6&amp;7'!A:I,9,FALSE),"-")</f>
        <v>-</v>
      </c>
      <c r="X15" s="26" t="str">
        <f>+IFERROR(VLOOKUP(A15,'ID6&amp;7'!A:J,10,FALSE),"-")</f>
        <v>-</v>
      </c>
      <c r="Y15" s="26"/>
      <c r="Z15" s="27" t="str">
        <f t="shared" si="1"/>
        <v>Por iniciar</v>
      </c>
    </row>
    <row r="16" spans="1:37">
      <c r="A16" s="20" t="str">
        <f t="shared" si="0"/>
        <v>UNIV_OPERccontab_final_ifrs45991</v>
      </c>
      <c r="B16" s="66">
        <f t="array" ref="B16">+MAX(IF('ID1&amp;5'!A:A='1. Status'!A16&amp;'1. Status'!$B$10,'ID1&amp;5'!K:K))</f>
        <v>0</v>
      </c>
      <c r="C16" s="60">
        <f t="array" ref="C16">+MAX(IF('ID1&amp;5'!A:A='1. Status'!A16&amp;'1. Status'!$C$10,'ID1&amp;5'!K:K))</f>
        <v>0</v>
      </c>
      <c r="D16" s="60">
        <f t="array" ref="D16">+MAX(IF('ID1&amp;5'!A:A='1. Status'!A16&amp;'1. Status'!$D$10,'ID1&amp;5'!K:K))</f>
        <v>0</v>
      </c>
      <c r="E16" s="60">
        <f t="array" ref="E16">+MAX(IF('ID1&amp;5'!A:A='1. Status'!A16&amp;'1. Status'!$E$10,'ID1&amp;5'!K:K))</f>
        <v>0</v>
      </c>
      <c r="F16" s="67">
        <f t="array" ref="F16">+MAX(IF('ID1&amp;5'!A:A='1. Status'!A16&amp;'1. Status'!$F$10,'ID1&amp;5'!K:K))</f>
        <v>0</v>
      </c>
      <c r="G16" s="60"/>
      <c r="H16" s="65" t="s">
        <v>1080</v>
      </c>
      <c r="I16" s="21" t="s">
        <v>1086</v>
      </c>
      <c r="J16" s="26">
        <f>+COUNTIF('ID1&amp;5'!G:G,'1. Status'!I16)</f>
        <v>0</v>
      </c>
      <c r="K16" s="79" t="str">
        <f>+IFERROR(VLOOKUP(CONCATENATE(A16,$B$10,B16),'ID1&amp;5'!B:J,8,FALSE),"-")</f>
        <v>-</v>
      </c>
      <c r="L16" s="78" t="str">
        <f>+IFERROR(VLOOKUP(B16,'ID1&amp;5'!K:L,2,FALSE),"-")</f>
        <v>-</v>
      </c>
      <c r="M16" s="79" t="str">
        <f>+IFERROR(VLOOKUP(CONCATENATE(A16,$B$10,B16),'ID1&amp;5'!B:J,9,FALSE),"-")</f>
        <v>-</v>
      </c>
      <c r="N16" s="79" t="str">
        <f>+IFERROR(VLOOKUP(CONCATENATE(A16,$C$10,C16),'ID1&amp;5'!B:J,8,FALSE),"-")</f>
        <v>-</v>
      </c>
      <c r="O16" s="78" t="str">
        <f>+IFERROR(VLOOKUP(C16,'ID1&amp;5'!K:L,2,FALSE),"-")</f>
        <v>-</v>
      </c>
      <c r="P16" s="79" t="str">
        <f>+IFERROR(VLOOKUP(CONCATENATE(A16,$C$10,C16),'ID1&amp;5'!B:J,9,FALSE),"-")</f>
        <v>-</v>
      </c>
      <c r="Q16" s="78" t="str">
        <f>+IFERROR(VLOOKUP(D16,'ID1&amp;5'!K:L,2,FALSE),"-")</f>
        <v>-</v>
      </c>
      <c r="R16" s="26" t="str">
        <f>+IFERROR(VLOOKUP(CONCATENATE(A16,$D$10,D16),'ID1&amp;5'!B:J,9,FALSE),"-")</f>
        <v>-</v>
      </c>
      <c r="S16" s="78" t="str">
        <f>+IFERROR(VLOOKUP(E16,'ID1&amp;5'!K:L,2,FALSE),"-")</f>
        <v>-</v>
      </c>
      <c r="T16" s="79" t="str">
        <f>+IFERROR(VLOOKUP(CONCATENATE(A16,$E$10,E16),'ID1&amp;5'!B:J,9,FALSE),"-")</f>
        <v>-</v>
      </c>
      <c r="U16" s="78" t="str">
        <f>+IFERROR(VLOOKUP(F16,'ID1&amp;5'!K:L,2,FALSE),"-")</f>
        <v>-</v>
      </c>
      <c r="V16" s="79" t="str">
        <f>+IFERROR(VLOOKUP(CONCATENATE(A16,$F$10,F16),'ID1&amp;5'!B:J,9,FALSE),"-")</f>
        <v>-</v>
      </c>
      <c r="W16" s="26" t="str">
        <f>+IFERROR(VLOOKUP(A16,'ID6&amp;7'!A:I,9,FALSE),"-")</f>
        <v>-</v>
      </c>
      <c r="X16" s="26" t="str">
        <f>+IFERROR(VLOOKUP(A16,'ID6&amp;7'!A:J,10,FALSE),"-")</f>
        <v>-</v>
      </c>
      <c r="Y16" s="26"/>
      <c r="Z16" s="27" t="str">
        <f t="shared" si="1"/>
        <v>Por iniciar</v>
      </c>
    </row>
    <row r="17" spans="1:26">
      <c r="A17" s="20" t="str">
        <f t="shared" si="0"/>
        <v>UNIV_OPERccontab_final_pcsb45991</v>
      </c>
      <c r="B17" s="66">
        <f t="array" ref="B17">+MAX(IF('ID1&amp;5'!A:A='1. Status'!A17&amp;'1. Status'!$B$10,'ID1&amp;5'!K:K))</f>
        <v>0</v>
      </c>
      <c r="C17" s="60">
        <f t="array" ref="C17">+MAX(IF('ID1&amp;5'!A:A='1. Status'!A17&amp;'1. Status'!$C$10,'ID1&amp;5'!K:K))</f>
        <v>0</v>
      </c>
      <c r="D17" s="60">
        <f t="array" ref="D17">+MAX(IF('ID1&amp;5'!A:A='1. Status'!A17&amp;'1. Status'!$D$10,'ID1&amp;5'!K:K))</f>
        <v>0</v>
      </c>
      <c r="E17" s="60">
        <f t="array" ref="E17">+MAX(IF('ID1&amp;5'!A:A='1. Status'!A17&amp;'1. Status'!$E$10,'ID1&amp;5'!K:K))</f>
        <v>0</v>
      </c>
      <c r="F17" s="67">
        <f t="array" ref="F17">+MAX(IF('ID1&amp;5'!A:A='1. Status'!A17&amp;'1. Status'!$F$10,'ID1&amp;5'!K:K))</f>
        <v>0</v>
      </c>
      <c r="G17" s="60"/>
      <c r="H17" s="65" t="s">
        <v>1080</v>
      </c>
      <c r="I17" s="21" t="s">
        <v>1087</v>
      </c>
      <c r="J17" s="26">
        <f>+COUNTIF('ID1&amp;5'!G:G,'1. Status'!I17)</f>
        <v>0</v>
      </c>
      <c r="K17" s="79" t="str">
        <f>+IFERROR(VLOOKUP(CONCATENATE(A17,$B$10,B17),'ID1&amp;5'!B:J,8,FALSE),"-")</f>
        <v>-</v>
      </c>
      <c r="L17" s="78" t="str">
        <f>+IFERROR(VLOOKUP(B17,'ID1&amp;5'!K:L,2,FALSE),"-")</f>
        <v>-</v>
      </c>
      <c r="M17" s="79" t="str">
        <f>+IFERROR(VLOOKUP(CONCATENATE(A17,$B$10,B17),'ID1&amp;5'!B:J,9,FALSE),"-")</f>
        <v>-</v>
      </c>
      <c r="N17" s="79" t="str">
        <f>+IFERROR(VLOOKUP(CONCATENATE(A17,$C$10,C17),'ID1&amp;5'!B:J,8,FALSE),"-")</f>
        <v>-</v>
      </c>
      <c r="O17" s="78" t="str">
        <f>+IFERROR(VLOOKUP(C17,'ID1&amp;5'!K:L,2,FALSE),"-")</f>
        <v>-</v>
      </c>
      <c r="P17" s="79" t="str">
        <f>+IFERROR(VLOOKUP(CONCATENATE(A17,$C$10,C17),'ID1&amp;5'!B:J,9,FALSE),"-")</f>
        <v>-</v>
      </c>
      <c r="Q17" s="78" t="str">
        <f>+IFERROR(VLOOKUP(D17,'ID1&amp;5'!K:L,2,FALSE),"-")</f>
        <v>-</v>
      </c>
      <c r="R17" s="26" t="str">
        <f>+IFERROR(VLOOKUP(CONCATENATE(A17,$D$10,D17),'ID1&amp;5'!B:J,9,FALSE),"-")</f>
        <v>-</v>
      </c>
      <c r="S17" s="78" t="str">
        <f>+IFERROR(VLOOKUP(E17,'ID1&amp;5'!K:L,2,FALSE),"-")</f>
        <v>-</v>
      </c>
      <c r="T17" s="79" t="str">
        <f>+IFERROR(VLOOKUP(CONCATENATE(A17,$E$10,E17),'ID1&amp;5'!B:J,9,FALSE),"-")</f>
        <v>-</v>
      </c>
      <c r="U17" s="78" t="str">
        <f>+IFERROR(VLOOKUP(F17,'ID1&amp;5'!K:L,2,FALSE),"-")</f>
        <v>-</v>
      </c>
      <c r="V17" s="79" t="str">
        <f>+IFERROR(VLOOKUP(CONCATENATE(A17,$F$10,F17),'ID1&amp;5'!B:J,9,FALSE),"-")</f>
        <v>-</v>
      </c>
      <c r="W17" s="26" t="str">
        <f>+IFERROR(VLOOKUP(A17,'ID6&amp;7'!A:I,9,FALSE),"-")</f>
        <v>-</v>
      </c>
      <c r="X17" s="26" t="str">
        <f>+IFERROR(VLOOKUP(A17,'ID6&amp;7'!A:J,10,FALSE),"-")</f>
        <v>-</v>
      </c>
      <c r="Y17" s="26"/>
      <c r="Z17" s="27" t="str">
        <f t="shared" si="1"/>
        <v>Por iniciar</v>
      </c>
    </row>
    <row r="18" spans="1:26">
      <c r="A18" s="20" t="str">
        <f t="shared" si="0"/>
        <v>UNIV_OPERccontab_final_cargabal45991</v>
      </c>
      <c r="B18" s="66">
        <f t="array" ref="B18">+MAX(IF('ID1&amp;5'!A:A='1. Status'!A18&amp;'1. Status'!$B$10,'ID1&amp;5'!K:K))</f>
        <v>0</v>
      </c>
      <c r="C18" s="60">
        <f t="array" ref="C18">+MAX(IF('ID1&amp;5'!A:A='1. Status'!A18&amp;'1. Status'!$C$10,'ID1&amp;5'!K:K))</f>
        <v>0</v>
      </c>
      <c r="D18" s="60">
        <f t="array" ref="D18">+MAX(IF('ID1&amp;5'!A:A='1. Status'!A18&amp;'1. Status'!$D$10,'ID1&amp;5'!K:K))</f>
        <v>0</v>
      </c>
      <c r="E18" s="60">
        <f t="array" ref="E18">+MAX(IF('ID1&amp;5'!A:A='1. Status'!A18&amp;'1. Status'!$E$10,'ID1&amp;5'!K:K))</f>
        <v>0</v>
      </c>
      <c r="F18" s="67">
        <f t="array" ref="F18">+MAX(IF('ID1&amp;5'!A:A='1. Status'!A18&amp;'1. Status'!$F$10,'ID1&amp;5'!K:K))</f>
        <v>0</v>
      </c>
      <c r="G18" s="60"/>
      <c r="H18" s="65" t="s">
        <v>1080</v>
      </c>
      <c r="I18" s="21" t="s">
        <v>1088</v>
      </c>
      <c r="J18" s="26">
        <f>+COUNTIF('ID1&amp;5'!G:G,'1. Status'!I18)</f>
        <v>0</v>
      </c>
      <c r="K18" s="79" t="str">
        <f>+IFERROR(VLOOKUP(CONCATENATE(A18,$B$10,B18),'ID1&amp;5'!B:J,8,FALSE),"-")</f>
        <v>-</v>
      </c>
      <c r="L18" s="78" t="str">
        <f>+IFERROR(VLOOKUP(B18,'ID1&amp;5'!K:L,2,FALSE),"-")</f>
        <v>-</v>
      </c>
      <c r="M18" s="79" t="str">
        <f>+IFERROR(VLOOKUP(CONCATENATE(A18,$B$10,B18),'ID1&amp;5'!B:J,9,FALSE),"-")</f>
        <v>-</v>
      </c>
      <c r="N18" s="79" t="str">
        <f>+IFERROR(VLOOKUP(CONCATENATE(A18,$C$10,C18),'ID1&amp;5'!B:J,8,FALSE),"-")</f>
        <v>-</v>
      </c>
      <c r="O18" s="78" t="str">
        <f>+IFERROR(VLOOKUP(C18,'ID1&amp;5'!K:L,2,FALSE),"-")</f>
        <v>-</v>
      </c>
      <c r="P18" s="79" t="str">
        <f>+IFERROR(VLOOKUP(CONCATENATE(A18,$C$10,C18),'ID1&amp;5'!B:J,9,FALSE),"-")</f>
        <v>-</v>
      </c>
      <c r="Q18" s="78" t="str">
        <f>+IFERROR(VLOOKUP(D18,'ID1&amp;5'!K:L,2,FALSE),"-")</f>
        <v>-</v>
      </c>
      <c r="R18" s="26" t="str">
        <f>+IFERROR(VLOOKUP(CONCATENATE(A18,$D$10,D18),'ID1&amp;5'!B:J,9,FALSE),"-")</f>
        <v>-</v>
      </c>
      <c r="S18" s="78" t="str">
        <f>+IFERROR(VLOOKUP(E18,'ID1&amp;5'!K:L,2,FALSE),"-")</f>
        <v>-</v>
      </c>
      <c r="T18" s="79" t="str">
        <f>+IFERROR(VLOOKUP(CONCATENATE(A18,$E$10,E18),'ID1&amp;5'!B:J,9,FALSE),"-")</f>
        <v>-</v>
      </c>
      <c r="U18" s="78" t="str">
        <f>+IFERROR(VLOOKUP(F18,'ID1&amp;5'!K:L,2,FALSE),"-")</f>
        <v>-</v>
      </c>
      <c r="V18" s="79" t="str">
        <f>+IFERROR(VLOOKUP(CONCATENATE(A18,$F$10,F18),'ID1&amp;5'!B:J,9,FALSE),"-")</f>
        <v>-</v>
      </c>
      <c r="W18" s="26" t="str">
        <f>+IFERROR(VLOOKUP(A18,'ID6&amp;7'!A:I,9,FALSE),"-")</f>
        <v>-</v>
      </c>
      <c r="X18" s="26" t="str">
        <f>+IFERROR(VLOOKUP(A18,'ID6&amp;7'!A:J,10,FALSE),"-")</f>
        <v>-</v>
      </c>
      <c r="Y18" s="26"/>
      <c r="Z18" s="27" t="str">
        <f t="shared" si="1"/>
        <v>Por iniciar</v>
      </c>
    </row>
    <row r="19" spans="1:26">
      <c r="A19" s="20" t="str">
        <f t="shared" si="0"/>
        <v>UNIV_OPERccontab_final45991</v>
      </c>
      <c r="B19" s="66">
        <f t="array" ref="B19">+MAX(IF('ID1&amp;5'!A:A='1. Status'!A19&amp;'1. Status'!$B$10,'ID1&amp;5'!K:K))</f>
        <v>0</v>
      </c>
      <c r="C19" s="60">
        <f t="array" ref="C19">+MAX(IF('ID1&amp;5'!A:A='1. Status'!A19&amp;'1. Status'!$C$10,'ID1&amp;5'!K:K))</f>
        <v>0</v>
      </c>
      <c r="D19" s="60">
        <f t="array" ref="D19">+MAX(IF('ID1&amp;5'!A:A='1. Status'!A19&amp;'1. Status'!$D$10,'ID1&amp;5'!K:K))</f>
        <v>0</v>
      </c>
      <c r="E19" s="60">
        <f t="array" ref="E19">+MAX(IF('ID1&amp;5'!A:A='1. Status'!A19&amp;'1. Status'!$E$10,'ID1&amp;5'!K:K))</f>
        <v>0</v>
      </c>
      <c r="F19" s="67">
        <f t="array" ref="F19">+MAX(IF('ID1&amp;5'!A:A='1. Status'!A19&amp;'1. Status'!$F$10,'ID1&amp;5'!K:K))</f>
        <v>0</v>
      </c>
      <c r="G19" s="60"/>
      <c r="H19" s="65" t="s">
        <v>1080</v>
      </c>
      <c r="I19" s="21" t="s">
        <v>1089</v>
      </c>
      <c r="J19" s="26">
        <f>+COUNTIF('ID1&amp;5'!G:G,'1. Status'!I19)</f>
        <v>0</v>
      </c>
      <c r="K19" s="79" t="str">
        <f>+IFERROR(VLOOKUP(CONCATENATE(A19,$B$10,B19),'ID1&amp;5'!B:J,8,FALSE),"-")</f>
        <v>-</v>
      </c>
      <c r="L19" s="78" t="str">
        <f>+IFERROR(VLOOKUP(B19,'ID1&amp;5'!K:L,2,FALSE),"-")</f>
        <v>-</v>
      </c>
      <c r="M19" s="79" t="str">
        <f>+IFERROR(VLOOKUP(CONCATENATE(A19,$B$10,B19),'ID1&amp;5'!B:J,9,FALSE),"-")</f>
        <v>-</v>
      </c>
      <c r="N19" s="79" t="str">
        <f>+IFERROR(VLOOKUP(CONCATENATE(A19,$C$10,C19),'ID1&amp;5'!B:J,8,FALSE),"-")</f>
        <v>-</v>
      </c>
      <c r="O19" s="78" t="str">
        <f>+IFERROR(VLOOKUP(C19,'ID1&amp;5'!K:L,2,FALSE),"-")</f>
        <v>-</v>
      </c>
      <c r="P19" s="79" t="str">
        <f>+IFERROR(VLOOKUP(CONCATENATE(A19,$C$10,C19),'ID1&amp;5'!B:J,9,FALSE),"-")</f>
        <v>-</v>
      </c>
      <c r="Q19" s="78" t="str">
        <f>+IFERROR(VLOOKUP(D19,'ID1&amp;5'!K:L,2,FALSE),"-")</f>
        <v>-</v>
      </c>
      <c r="R19" s="26" t="str">
        <f>+IFERROR(VLOOKUP(CONCATENATE(A19,$D$10,D19),'ID1&amp;5'!B:J,9,FALSE),"-")</f>
        <v>-</v>
      </c>
      <c r="S19" s="78" t="str">
        <f>+IFERROR(VLOOKUP(E19,'ID1&amp;5'!K:L,2,FALSE),"-")</f>
        <v>-</v>
      </c>
      <c r="T19" s="79" t="str">
        <f>+IFERROR(VLOOKUP(CONCATENATE(A19,$E$10,E19),'ID1&amp;5'!B:J,9,FALSE),"-")</f>
        <v>-</v>
      </c>
      <c r="U19" s="78" t="str">
        <f>+IFERROR(VLOOKUP(F19,'ID1&amp;5'!K:L,2,FALSE),"-")</f>
        <v>-</v>
      </c>
      <c r="V19" s="79" t="str">
        <f>+IFERROR(VLOOKUP(CONCATENATE(A19,$F$10,F19),'ID1&amp;5'!B:J,9,FALSE),"-")</f>
        <v>-</v>
      </c>
      <c r="W19" s="26" t="str">
        <f>+IFERROR(VLOOKUP(A19,'ID6&amp;7'!A:I,9,FALSE),"-")</f>
        <v>-</v>
      </c>
      <c r="X19" s="26" t="str">
        <f>+IFERROR(VLOOKUP(A19,'ID6&amp;7'!A:J,10,FALSE),"-")</f>
        <v>-</v>
      </c>
      <c r="Y19" s="26"/>
      <c r="Z19" s="27" t="str">
        <f t="shared" si="1"/>
        <v>Por iniciar</v>
      </c>
    </row>
    <row r="20" spans="1:26">
      <c r="A20" s="20" t="str">
        <f t="shared" si="0"/>
        <v>UNIV_OPERmsaldo_final45991</v>
      </c>
      <c r="B20" s="66">
        <f t="array" ref="B20">+MAX(IF('ID1&amp;5'!A:A='1. Status'!A20&amp;'1. Status'!$B$10,'ID1&amp;5'!K:K))</f>
        <v>0</v>
      </c>
      <c r="C20" s="60">
        <f t="array" ref="C20">+MAX(IF('ID1&amp;5'!A:A='1. Status'!A20&amp;'1. Status'!$C$10,'ID1&amp;5'!K:K))</f>
        <v>0</v>
      </c>
      <c r="D20" s="60">
        <f t="array" ref="D20">+MAX(IF('ID1&amp;5'!A:A='1. Status'!A20&amp;'1. Status'!$D$10,'ID1&amp;5'!K:K))</f>
        <v>0</v>
      </c>
      <c r="E20" s="60">
        <f t="array" ref="E20">+MAX(IF('ID1&amp;5'!A:A='1. Status'!A20&amp;'1. Status'!$E$10,'ID1&amp;5'!K:K))</f>
        <v>0</v>
      </c>
      <c r="F20" s="67">
        <f t="array" ref="F20">+MAX(IF('ID1&amp;5'!A:A='1. Status'!A20&amp;'1. Status'!$F$10,'ID1&amp;5'!K:K))</f>
        <v>0</v>
      </c>
      <c r="G20" s="60"/>
      <c r="H20" s="65" t="s">
        <v>1080</v>
      </c>
      <c r="I20" s="21" t="s">
        <v>1090</v>
      </c>
      <c r="J20" s="26">
        <f>+COUNTIF('ID1&amp;5'!G:G,'1. Status'!I20)</f>
        <v>0</v>
      </c>
      <c r="K20" s="79" t="str">
        <f>+IFERROR(VLOOKUP(CONCATENATE(A20,$B$10,B20),'ID1&amp;5'!B:J,8,FALSE),"-")</f>
        <v>-</v>
      </c>
      <c r="L20" s="78" t="str">
        <f>+IFERROR(VLOOKUP(B20,'ID1&amp;5'!K:L,2,FALSE),"-")</f>
        <v>-</v>
      </c>
      <c r="M20" s="79" t="str">
        <f>+IFERROR(VLOOKUP(CONCATENATE(A20,$B$10,B20),'ID1&amp;5'!B:J,9,FALSE),"-")</f>
        <v>-</v>
      </c>
      <c r="N20" s="79" t="str">
        <f>+IFERROR(VLOOKUP(CONCATENATE(A20,$C$10,C20),'ID1&amp;5'!B:J,8,FALSE),"-")</f>
        <v>-</v>
      </c>
      <c r="O20" s="78" t="str">
        <f>+IFERROR(VLOOKUP(C20,'ID1&amp;5'!K:L,2,FALSE),"-")</f>
        <v>-</v>
      </c>
      <c r="P20" s="79" t="str">
        <f>+IFERROR(VLOOKUP(CONCATENATE(A20,$C$10,C20),'ID1&amp;5'!B:J,9,FALSE),"-")</f>
        <v>-</v>
      </c>
      <c r="Q20" s="78" t="str">
        <f>+IFERROR(VLOOKUP(D20,'ID1&amp;5'!K:L,2,FALSE),"-")</f>
        <v>-</v>
      </c>
      <c r="R20" s="26" t="str">
        <f>+IFERROR(VLOOKUP(CONCATENATE(A20,$D$10,D20),'ID1&amp;5'!B:J,9,FALSE),"-")</f>
        <v>-</v>
      </c>
      <c r="S20" s="78" t="str">
        <f>+IFERROR(VLOOKUP(E20,'ID1&amp;5'!K:L,2,FALSE),"-")</f>
        <v>-</v>
      </c>
      <c r="T20" s="79" t="str">
        <f>+IFERROR(VLOOKUP(CONCATENATE(A20,$E$10,E20),'ID1&amp;5'!B:J,9,FALSE),"-")</f>
        <v>-</v>
      </c>
      <c r="U20" s="78" t="str">
        <f>+IFERROR(VLOOKUP(F20,'ID1&amp;5'!K:L,2,FALSE),"-")</f>
        <v>-</v>
      </c>
      <c r="V20" s="79" t="str">
        <f>+IFERROR(VLOOKUP(CONCATENATE(A20,$F$10,F20),'ID1&amp;5'!B:J,9,FALSE),"-")</f>
        <v>-</v>
      </c>
      <c r="W20" s="26" t="str">
        <f>+IFERROR(VLOOKUP(A20,'ID6&amp;7'!A:I,9,FALSE),"-")</f>
        <v>-</v>
      </c>
      <c r="X20" s="26" t="str">
        <f>+IFERROR(VLOOKUP(A20,'ID6&amp;7'!A:J,10,FALSE),"-")</f>
        <v>-</v>
      </c>
      <c r="Y20" s="26"/>
      <c r="Z20" s="27" t="str">
        <f t="shared" si="1"/>
        <v>Por iniciar</v>
      </c>
    </row>
    <row r="21" spans="1:26">
      <c r="A21" s="20" t="str">
        <f t="shared" si="0"/>
        <v>UNIV_OPERcarteira_contabilistica45991</v>
      </c>
      <c r="B21" s="66">
        <f t="array" ref="B21">+MAX(IF('ID1&amp;5'!A:A='1. Status'!A21&amp;'1. Status'!$B$10,'ID1&amp;5'!K:K))</f>
        <v>0</v>
      </c>
      <c r="C21" s="60">
        <f t="array" ref="C21">+MAX(IF('ID1&amp;5'!A:A='1. Status'!A21&amp;'1. Status'!$C$10,'ID1&amp;5'!K:K))</f>
        <v>0</v>
      </c>
      <c r="D21" s="60">
        <f t="array" ref="D21">+MAX(IF('ID1&amp;5'!A:A='1. Status'!A21&amp;'1. Status'!$D$10,'ID1&amp;5'!K:K))</f>
        <v>0</v>
      </c>
      <c r="E21" s="60">
        <f t="array" ref="E21">+MAX(IF('ID1&amp;5'!A:A='1. Status'!A21&amp;'1. Status'!$E$10,'ID1&amp;5'!K:K))</f>
        <v>0</v>
      </c>
      <c r="F21" s="67">
        <f t="array" ref="F21">+MAX(IF('ID1&amp;5'!A:A='1. Status'!A21&amp;'1. Status'!$F$10,'ID1&amp;5'!K:K))</f>
        <v>0</v>
      </c>
      <c r="G21" s="60"/>
      <c r="H21" s="65" t="s">
        <v>1080</v>
      </c>
      <c r="I21" s="21" t="s">
        <v>1091</v>
      </c>
      <c r="J21" s="26">
        <f>+COUNTIF('ID1&amp;5'!G:G,'1. Status'!I21)</f>
        <v>0</v>
      </c>
      <c r="K21" s="79" t="str">
        <f>+IFERROR(VLOOKUP(CONCATENATE(A21,$B$10,B21),'ID1&amp;5'!B:J,8,FALSE),"-")</f>
        <v>-</v>
      </c>
      <c r="L21" s="78" t="str">
        <f>+IFERROR(VLOOKUP(B21,'ID1&amp;5'!K:L,2,FALSE),"-")</f>
        <v>-</v>
      </c>
      <c r="M21" s="79" t="str">
        <f>+IFERROR(VLOOKUP(CONCATENATE(A21,$B$10,B21),'ID1&amp;5'!B:J,9,FALSE),"-")</f>
        <v>-</v>
      </c>
      <c r="N21" s="79" t="str">
        <f>+IFERROR(VLOOKUP(CONCATENATE(A21,$C$10,C21),'ID1&amp;5'!B:J,8,FALSE),"-")</f>
        <v>-</v>
      </c>
      <c r="O21" s="78" t="str">
        <f>+IFERROR(VLOOKUP(C21,'ID1&amp;5'!K:L,2,FALSE),"-")</f>
        <v>-</v>
      </c>
      <c r="P21" s="79" t="str">
        <f>+IFERROR(VLOOKUP(CONCATENATE(A21,$C$10,C21),'ID1&amp;5'!B:J,9,FALSE),"-")</f>
        <v>-</v>
      </c>
      <c r="Q21" s="78" t="str">
        <f>+IFERROR(VLOOKUP(D21,'ID1&amp;5'!K:L,2,FALSE),"-")</f>
        <v>-</v>
      </c>
      <c r="R21" s="26" t="str">
        <f>+IFERROR(VLOOKUP(CONCATENATE(A21,$D$10,D21),'ID1&amp;5'!B:J,9,FALSE),"-")</f>
        <v>-</v>
      </c>
      <c r="S21" s="78" t="str">
        <f>+IFERROR(VLOOKUP(E21,'ID1&amp;5'!K:L,2,FALSE),"-")</f>
        <v>-</v>
      </c>
      <c r="T21" s="79" t="str">
        <f>+IFERROR(VLOOKUP(CONCATENATE(A21,$E$10,E21),'ID1&amp;5'!B:J,9,FALSE),"-")</f>
        <v>-</v>
      </c>
      <c r="U21" s="78" t="str">
        <f>+IFERROR(VLOOKUP(F21,'ID1&amp;5'!K:L,2,FALSE),"-")</f>
        <v>-</v>
      </c>
      <c r="V21" s="79" t="str">
        <f>+IFERROR(VLOOKUP(CONCATENATE(A21,$F$10,F21),'ID1&amp;5'!B:J,9,FALSE),"-")</f>
        <v>-</v>
      </c>
      <c r="W21" s="26" t="str">
        <f>+IFERROR(VLOOKUP(A21,'ID6&amp;7'!A:I,9,FALSE),"-")</f>
        <v>-</v>
      </c>
      <c r="X21" s="26" t="str">
        <f>+IFERROR(VLOOKUP(A21,'ID6&amp;7'!A:J,10,FALSE),"-")</f>
        <v>-</v>
      </c>
      <c r="Y21" s="26"/>
      <c r="Z21" s="27" t="str">
        <f t="shared" si="1"/>
        <v>Por iniciar</v>
      </c>
    </row>
    <row r="22" spans="1:26">
      <c r="A22" s="20" t="str">
        <f t="shared" si="0"/>
        <v>UNIV_OPERinstrumento_financeiro45991</v>
      </c>
      <c r="B22" s="66">
        <f t="array" ref="B22">+MAX(IF('ID1&amp;5'!A:A='1. Status'!A22&amp;'1. Status'!$B$10,'ID1&amp;5'!K:K))</f>
        <v>0</v>
      </c>
      <c r="C22" s="60">
        <f t="array" ref="C22">+MAX(IF('ID1&amp;5'!A:A='1. Status'!A22&amp;'1. Status'!$C$10,'ID1&amp;5'!K:K))</f>
        <v>0</v>
      </c>
      <c r="D22" s="60">
        <f t="array" ref="D22">+MAX(IF('ID1&amp;5'!A:A='1. Status'!A22&amp;'1. Status'!$D$10,'ID1&amp;5'!K:K))</f>
        <v>0</v>
      </c>
      <c r="E22" s="60">
        <f t="array" ref="E22">+MAX(IF('ID1&amp;5'!A:A='1. Status'!A22&amp;'1. Status'!$E$10,'ID1&amp;5'!K:K))</f>
        <v>0</v>
      </c>
      <c r="F22" s="67">
        <f t="array" ref="F22">+MAX(IF('ID1&amp;5'!A:A='1. Status'!A22&amp;'1. Status'!$F$10,'ID1&amp;5'!K:K))</f>
        <v>0</v>
      </c>
      <c r="G22" s="60"/>
      <c r="H22" s="65" t="s">
        <v>1080</v>
      </c>
      <c r="I22" s="21" t="s">
        <v>1092</v>
      </c>
      <c r="J22" s="26">
        <f>+COUNTIF('ID1&amp;5'!G:G,'1. Status'!I22)</f>
        <v>0</v>
      </c>
      <c r="K22" s="79" t="str">
        <f>+IFERROR(VLOOKUP(CONCATENATE(A22,$B$10,B22),'ID1&amp;5'!B:J,8,FALSE),"-")</f>
        <v>-</v>
      </c>
      <c r="L22" s="78" t="str">
        <f>+IFERROR(VLOOKUP(B22,'ID1&amp;5'!K:L,2,FALSE),"-")</f>
        <v>-</v>
      </c>
      <c r="M22" s="79" t="str">
        <f>+IFERROR(VLOOKUP(CONCATENATE(A22,$B$10,B22),'ID1&amp;5'!B:J,9,FALSE),"-")</f>
        <v>-</v>
      </c>
      <c r="N22" s="79" t="str">
        <f>+IFERROR(VLOOKUP(CONCATENATE(A22,$C$10,C22),'ID1&amp;5'!B:J,8,FALSE),"-")</f>
        <v>-</v>
      </c>
      <c r="O22" s="78" t="str">
        <f>+IFERROR(VLOOKUP(C22,'ID1&amp;5'!K:L,2,FALSE),"-")</f>
        <v>-</v>
      </c>
      <c r="P22" s="79" t="str">
        <f>+IFERROR(VLOOKUP(CONCATENATE(A22,$C$10,C22),'ID1&amp;5'!B:J,9,FALSE),"-")</f>
        <v>-</v>
      </c>
      <c r="Q22" s="78" t="str">
        <f>+IFERROR(VLOOKUP(D22,'ID1&amp;5'!K:L,2,FALSE),"-")</f>
        <v>-</v>
      </c>
      <c r="R22" s="26" t="str">
        <f>+IFERROR(VLOOKUP(CONCATENATE(A22,$D$10,D22),'ID1&amp;5'!B:J,9,FALSE),"-")</f>
        <v>-</v>
      </c>
      <c r="S22" s="78" t="str">
        <f>+IFERROR(VLOOKUP(E22,'ID1&amp;5'!K:L,2,FALSE),"-")</f>
        <v>-</v>
      </c>
      <c r="T22" s="79" t="str">
        <f>+IFERROR(VLOOKUP(CONCATENATE(A22,$E$10,E22),'ID1&amp;5'!B:J,9,FALSE),"-")</f>
        <v>-</v>
      </c>
      <c r="U22" s="78" t="str">
        <f>+IFERROR(VLOOKUP(F22,'ID1&amp;5'!K:L,2,FALSE),"-")</f>
        <v>-</v>
      </c>
      <c r="V22" s="79" t="str">
        <f>+IFERROR(VLOOKUP(CONCATENATE(A22,$F$10,F22),'ID1&amp;5'!B:J,9,FALSE),"-")</f>
        <v>-</v>
      </c>
      <c r="W22" s="26" t="str">
        <f>+IFERROR(VLOOKUP(A22,'ID6&amp;7'!A:I,9,FALSE),"-")</f>
        <v>-</v>
      </c>
      <c r="X22" s="26" t="str">
        <f>+IFERROR(VLOOKUP(A22,'ID6&amp;7'!A:J,10,FALSE),"-")</f>
        <v>-</v>
      </c>
      <c r="Y22" s="26"/>
      <c r="Z22" s="27" t="str">
        <f t="shared" si="1"/>
        <v>Por iniciar</v>
      </c>
    </row>
    <row r="23" spans="1:26">
      <c r="A23" s="20" t="str">
        <f t="shared" si="0"/>
        <v>UNIV_OPERcontraparte45991</v>
      </c>
      <c r="B23" s="66">
        <f t="array" ref="B23">+MAX(IF('ID1&amp;5'!A:A='1. Status'!A23&amp;'1. Status'!$B$10,'ID1&amp;5'!K:K))</f>
        <v>0</v>
      </c>
      <c r="C23" s="60">
        <f t="array" ref="C23">+MAX(IF('ID1&amp;5'!A:A='1. Status'!A23&amp;'1. Status'!$C$10,'ID1&amp;5'!K:K))</f>
        <v>0</v>
      </c>
      <c r="D23" s="60">
        <f t="array" ref="D23">+MAX(IF('ID1&amp;5'!A:A='1. Status'!A23&amp;'1. Status'!$D$10,'ID1&amp;5'!K:K))</f>
        <v>0</v>
      </c>
      <c r="E23" s="60">
        <f t="array" ref="E23">+MAX(IF('ID1&amp;5'!A:A='1. Status'!A23&amp;'1. Status'!$E$10,'ID1&amp;5'!K:K))</f>
        <v>0</v>
      </c>
      <c r="F23" s="67">
        <f t="array" ref="F23">+MAX(IF('ID1&amp;5'!A:A='1. Status'!A23&amp;'1. Status'!$F$10,'ID1&amp;5'!K:K))</f>
        <v>0</v>
      </c>
      <c r="G23" s="60"/>
      <c r="H23" s="65" t="s">
        <v>1080</v>
      </c>
      <c r="I23" s="21" t="s">
        <v>1093</v>
      </c>
      <c r="J23" s="26">
        <f>+COUNTIF('ID1&amp;5'!G:G,'1. Status'!I23)</f>
        <v>0</v>
      </c>
      <c r="K23" s="79" t="str">
        <f>+IFERROR(VLOOKUP(CONCATENATE(A23,$B$10,B23),'ID1&amp;5'!B:J,8,FALSE),"-")</f>
        <v>-</v>
      </c>
      <c r="L23" s="78" t="str">
        <f>+IFERROR(VLOOKUP(B23,'ID1&amp;5'!K:L,2,FALSE),"-")</f>
        <v>-</v>
      </c>
      <c r="M23" s="79" t="str">
        <f>+IFERROR(VLOOKUP(CONCATENATE(A23,$B$10,B23),'ID1&amp;5'!B:J,9,FALSE),"-")</f>
        <v>-</v>
      </c>
      <c r="N23" s="79" t="str">
        <f>+IFERROR(VLOOKUP(CONCATENATE(A23,$C$10,C23),'ID1&amp;5'!B:J,8,FALSE),"-")</f>
        <v>-</v>
      </c>
      <c r="O23" s="78" t="str">
        <f>+IFERROR(VLOOKUP(C23,'ID1&amp;5'!K:L,2,FALSE),"-")</f>
        <v>-</v>
      </c>
      <c r="P23" s="79" t="str">
        <f>+IFERROR(VLOOKUP(CONCATENATE(A23,$C$10,C23),'ID1&amp;5'!B:J,9,FALSE),"-")</f>
        <v>-</v>
      </c>
      <c r="Q23" s="78" t="str">
        <f>+IFERROR(VLOOKUP(D23,'ID1&amp;5'!K:L,2,FALSE),"-")</f>
        <v>-</v>
      </c>
      <c r="R23" s="26" t="str">
        <f>+IFERROR(VLOOKUP(CONCATENATE(A23,$D$10,D23),'ID1&amp;5'!B:J,9,FALSE),"-")</f>
        <v>-</v>
      </c>
      <c r="S23" s="78" t="str">
        <f>+IFERROR(VLOOKUP(E23,'ID1&amp;5'!K:L,2,FALSE),"-")</f>
        <v>-</v>
      </c>
      <c r="T23" s="79" t="str">
        <f>+IFERROR(VLOOKUP(CONCATENATE(A23,$E$10,E23),'ID1&amp;5'!B:J,9,FALSE),"-")</f>
        <v>-</v>
      </c>
      <c r="U23" s="78" t="str">
        <f>+IFERROR(VLOOKUP(F23,'ID1&amp;5'!K:L,2,FALSE),"-")</f>
        <v>-</v>
      </c>
      <c r="V23" s="79" t="str">
        <f>+IFERROR(VLOOKUP(CONCATENATE(A23,$F$10,F23),'ID1&amp;5'!B:J,9,FALSE),"-")</f>
        <v>-</v>
      </c>
      <c r="W23" s="26" t="str">
        <f>+IFERROR(VLOOKUP(A23,'ID6&amp;7'!A:I,9,FALSE),"-")</f>
        <v>-</v>
      </c>
      <c r="X23" s="26" t="str">
        <f>+IFERROR(VLOOKUP(A23,'ID6&amp;7'!A:J,10,FALSE),"-")</f>
        <v>-</v>
      </c>
      <c r="Y23" s="26"/>
      <c r="Z23" s="27" t="str">
        <f t="shared" si="1"/>
        <v>Por iniciar</v>
      </c>
    </row>
    <row r="24" spans="1:26">
      <c r="A24" s="20" t="str">
        <f t="shared" si="0"/>
        <v>UNIV_OPERcontraparte_i45991</v>
      </c>
      <c r="B24" s="66">
        <f t="array" ref="B24">+MAX(IF('ID1&amp;5'!A:A='1. Status'!A24&amp;'1. Status'!$B$10,'ID1&amp;5'!K:K))</f>
        <v>0</v>
      </c>
      <c r="C24" s="60">
        <f t="array" ref="C24">+MAX(IF('ID1&amp;5'!A:A='1. Status'!A24&amp;'1. Status'!$C$10,'ID1&amp;5'!K:K))</f>
        <v>0</v>
      </c>
      <c r="D24" s="60">
        <f t="array" ref="D24">+MAX(IF('ID1&amp;5'!A:A='1. Status'!A24&amp;'1. Status'!$D$10,'ID1&amp;5'!K:K))</f>
        <v>0</v>
      </c>
      <c r="E24" s="60">
        <f t="array" ref="E24">+MAX(IF('ID1&amp;5'!A:A='1. Status'!A24&amp;'1. Status'!$E$10,'ID1&amp;5'!K:K))</f>
        <v>0</v>
      </c>
      <c r="F24" s="67">
        <f t="array" ref="F24">+MAX(IF('ID1&amp;5'!A:A='1. Status'!A24&amp;'1. Status'!$F$10,'ID1&amp;5'!K:K))</f>
        <v>0</v>
      </c>
      <c r="G24" s="60"/>
      <c r="H24" s="65" t="s">
        <v>1080</v>
      </c>
      <c r="I24" s="21" t="s">
        <v>1094</v>
      </c>
      <c r="J24" s="26">
        <f>+COUNTIF('ID1&amp;5'!G:G,'1. Status'!I24)</f>
        <v>0</v>
      </c>
      <c r="K24" s="79" t="str">
        <f>+IFERROR(VLOOKUP(CONCATENATE(A24,$B$10,B24),'ID1&amp;5'!B:J,8,FALSE),"-")</f>
        <v>-</v>
      </c>
      <c r="L24" s="78" t="str">
        <f>+IFERROR(VLOOKUP(B24,'ID1&amp;5'!K:L,2,FALSE),"-")</f>
        <v>-</v>
      </c>
      <c r="M24" s="79" t="str">
        <f>+IFERROR(VLOOKUP(CONCATENATE(A24,$B$10,B24),'ID1&amp;5'!B:J,9,FALSE),"-")</f>
        <v>-</v>
      </c>
      <c r="N24" s="79" t="str">
        <f>+IFERROR(VLOOKUP(CONCATENATE(A24,$C$10,C24),'ID1&amp;5'!B:J,8,FALSE),"-")</f>
        <v>-</v>
      </c>
      <c r="O24" s="78" t="str">
        <f>+IFERROR(VLOOKUP(C24,'ID1&amp;5'!K:L,2,FALSE),"-")</f>
        <v>-</v>
      </c>
      <c r="P24" s="79" t="str">
        <f>+IFERROR(VLOOKUP(CONCATENATE(A24,$C$10,C24),'ID1&amp;5'!B:J,9,FALSE),"-")</f>
        <v>-</v>
      </c>
      <c r="Q24" s="78" t="str">
        <f>+IFERROR(VLOOKUP(D24,'ID1&amp;5'!K:L,2,FALSE),"-")</f>
        <v>-</v>
      </c>
      <c r="R24" s="26" t="str">
        <f>+IFERROR(VLOOKUP(CONCATENATE(A24,$D$10,D24),'ID1&amp;5'!B:J,9,FALSE),"-")</f>
        <v>-</v>
      </c>
      <c r="S24" s="78" t="str">
        <f>+IFERROR(VLOOKUP(E24,'ID1&amp;5'!K:L,2,FALSE),"-")</f>
        <v>-</v>
      </c>
      <c r="T24" s="79" t="str">
        <f>+IFERROR(VLOOKUP(CONCATENATE(A24,$E$10,E24),'ID1&amp;5'!B:J,9,FALSE),"-")</f>
        <v>-</v>
      </c>
      <c r="U24" s="78" t="str">
        <f>+IFERROR(VLOOKUP(F24,'ID1&amp;5'!K:L,2,FALSE),"-")</f>
        <v>-</v>
      </c>
      <c r="V24" s="79" t="str">
        <f>+IFERROR(VLOOKUP(CONCATENATE(A24,$F$10,F24),'ID1&amp;5'!B:J,9,FALSE),"-")</f>
        <v>-</v>
      </c>
      <c r="W24" s="26" t="str">
        <f>+IFERROR(VLOOKUP(A24,'ID6&amp;7'!A:I,9,FALSE),"-")</f>
        <v>-</v>
      </c>
      <c r="X24" s="26" t="str">
        <f>+IFERROR(VLOOKUP(A24,'ID6&amp;7'!A:J,10,FALSE),"-")</f>
        <v>-</v>
      </c>
      <c r="Y24" s="26"/>
      <c r="Z24" s="27" t="str">
        <f t="shared" si="1"/>
        <v>Por iniciar</v>
      </c>
    </row>
    <row r="25" spans="1:26">
      <c r="A25" s="20" t="str">
        <f t="shared" si="0"/>
        <v>UNIV_OPERproduto45991</v>
      </c>
      <c r="B25" s="66">
        <f t="array" ref="B25">+MAX(IF('ID1&amp;5'!A:A='1. Status'!A25&amp;'1. Status'!$B$10,'ID1&amp;5'!K:K))</f>
        <v>0</v>
      </c>
      <c r="C25" s="60">
        <f t="array" ref="C25">+MAX(IF('ID1&amp;5'!A:A='1. Status'!A25&amp;'1. Status'!$C$10,'ID1&amp;5'!K:K))</f>
        <v>0</v>
      </c>
      <c r="D25" s="60">
        <f t="array" ref="D25">+MAX(IF('ID1&amp;5'!A:A='1. Status'!A25&amp;'1. Status'!$D$10,'ID1&amp;5'!K:K))</f>
        <v>0</v>
      </c>
      <c r="E25" s="60">
        <f t="array" ref="E25">+MAX(IF('ID1&amp;5'!A:A='1. Status'!A25&amp;'1. Status'!$E$10,'ID1&amp;5'!K:K))</f>
        <v>0</v>
      </c>
      <c r="F25" s="67">
        <f t="array" ref="F25">+MAX(IF('ID1&amp;5'!A:A='1. Status'!A25&amp;'1. Status'!$F$10,'ID1&amp;5'!K:K))</f>
        <v>0</v>
      </c>
      <c r="G25" s="60"/>
      <c r="H25" s="65" t="s">
        <v>1080</v>
      </c>
      <c r="I25" s="21" t="s">
        <v>1095</v>
      </c>
      <c r="J25" s="26">
        <f>+COUNTIF('ID1&amp;5'!G:G,'1. Status'!I25)</f>
        <v>0</v>
      </c>
      <c r="K25" s="79" t="str">
        <f>+IFERROR(VLOOKUP(CONCATENATE(A25,$B$10,B25),'ID1&amp;5'!B:J,8,FALSE),"-")</f>
        <v>-</v>
      </c>
      <c r="L25" s="78" t="str">
        <f>+IFERROR(VLOOKUP(B25,'ID1&amp;5'!K:L,2,FALSE),"-")</f>
        <v>-</v>
      </c>
      <c r="M25" s="79" t="str">
        <f>+IFERROR(VLOOKUP(CONCATENATE(A25,$B$10,B25),'ID1&amp;5'!B:J,9,FALSE),"-")</f>
        <v>-</v>
      </c>
      <c r="N25" s="79" t="str">
        <f>+IFERROR(VLOOKUP(CONCATENATE(A25,$C$10,C25),'ID1&amp;5'!B:J,8,FALSE),"-")</f>
        <v>-</v>
      </c>
      <c r="O25" s="78" t="str">
        <f>+IFERROR(VLOOKUP(C25,'ID1&amp;5'!K:L,2,FALSE),"-")</f>
        <v>-</v>
      </c>
      <c r="P25" s="79" t="str">
        <f>+IFERROR(VLOOKUP(CONCATENATE(A25,$C$10,C25),'ID1&amp;5'!B:J,9,FALSE),"-")</f>
        <v>-</v>
      </c>
      <c r="Q25" s="78" t="str">
        <f>+IFERROR(VLOOKUP(D25,'ID1&amp;5'!K:L,2,FALSE),"-")</f>
        <v>-</v>
      </c>
      <c r="R25" s="26" t="str">
        <f>+IFERROR(VLOOKUP(CONCATENATE(A25,$D$10,D25),'ID1&amp;5'!B:J,9,FALSE),"-")</f>
        <v>-</v>
      </c>
      <c r="S25" s="78" t="str">
        <f>+IFERROR(VLOOKUP(E25,'ID1&amp;5'!K:L,2,FALSE),"-")</f>
        <v>-</v>
      </c>
      <c r="T25" s="79" t="str">
        <f>+IFERROR(VLOOKUP(CONCATENATE(A25,$E$10,E25),'ID1&amp;5'!B:J,9,FALSE),"-")</f>
        <v>-</v>
      </c>
      <c r="U25" s="78" t="str">
        <f>+IFERROR(VLOOKUP(F25,'ID1&amp;5'!K:L,2,FALSE),"-")</f>
        <v>-</v>
      </c>
      <c r="V25" s="79" t="str">
        <f>+IFERROR(VLOOKUP(CONCATENATE(A25,$F$10,F25),'ID1&amp;5'!B:J,9,FALSE),"-")</f>
        <v>-</v>
      </c>
      <c r="W25" s="26" t="str">
        <f>+IFERROR(VLOOKUP(A25,'ID6&amp;7'!A:I,9,FALSE),"-")</f>
        <v>-</v>
      </c>
      <c r="X25" s="26" t="str">
        <f>+IFERROR(VLOOKUP(A25,'ID6&amp;7'!A:J,10,FALSE),"-")</f>
        <v>-</v>
      </c>
      <c r="Y25" s="26"/>
      <c r="Z25" s="27" t="str">
        <f t="shared" si="1"/>
        <v>Por iniciar</v>
      </c>
    </row>
    <row r="26" spans="1:26">
      <c r="A26" s="20" t="str">
        <f t="shared" si="0"/>
        <v>UNIV_OPERtipo_conta45991</v>
      </c>
      <c r="B26" s="66">
        <f t="array" ref="B26">+MAX(IF('ID1&amp;5'!A:A='1. Status'!A26&amp;'1. Status'!$B$10,'ID1&amp;5'!K:K))</f>
        <v>0</v>
      </c>
      <c r="C26" s="60">
        <f t="array" ref="C26">+MAX(IF('ID1&amp;5'!A:A='1. Status'!A26&amp;'1. Status'!$C$10,'ID1&amp;5'!K:K))</f>
        <v>0</v>
      </c>
      <c r="D26" s="60">
        <f t="array" ref="D26">+MAX(IF('ID1&amp;5'!A:A='1. Status'!A26&amp;'1. Status'!$D$10,'ID1&amp;5'!K:K))</f>
        <v>0</v>
      </c>
      <c r="E26" s="60">
        <f t="array" ref="E26">+MAX(IF('ID1&amp;5'!A:A='1. Status'!A26&amp;'1. Status'!$E$10,'ID1&amp;5'!K:K))</f>
        <v>0</v>
      </c>
      <c r="F26" s="67">
        <f t="array" ref="F26">+MAX(IF('ID1&amp;5'!A:A='1. Status'!A26&amp;'1. Status'!$F$10,'ID1&amp;5'!K:K))</f>
        <v>0</v>
      </c>
      <c r="G26" s="60"/>
      <c r="H26" s="65" t="s">
        <v>1080</v>
      </c>
      <c r="I26" s="21" t="s">
        <v>1096</v>
      </c>
      <c r="J26" s="26">
        <f>+COUNTIF('ID1&amp;5'!G:G,'1. Status'!I26)</f>
        <v>0</v>
      </c>
      <c r="K26" s="79" t="str">
        <f>+IFERROR(VLOOKUP(CONCATENATE(A26,$B$10,B26),'ID1&amp;5'!B:J,8,FALSE),"-")</f>
        <v>-</v>
      </c>
      <c r="L26" s="78" t="str">
        <f>+IFERROR(VLOOKUP(B26,'ID1&amp;5'!K:L,2,FALSE),"-")</f>
        <v>-</v>
      </c>
      <c r="M26" s="79" t="str">
        <f>+IFERROR(VLOOKUP(CONCATENATE(A26,$B$10,B26),'ID1&amp;5'!B:J,9,FALSE),"-")</f>
        <v>-</v>
      </c>
      <c r="N26" s="79" t="str">
        <f>+IFERROR(VLOOKUP(CONCATENATE(A26,$C$10,C26),'ID1&amp;5'!B:J,8,FALSE),"-")</f>
        <v>-</v>
      </c>
      <c r="O26" s="78" t="str">
        <f>+IFERROR(VLOOKUP(C26,'ID1&amp;5'!K:L,2,FALSE),"-")</f>
        <v>-</v>
      </c>
      <c r="P26" s="79" t="str">
        <f>+IFERROR(VLOOKUP(CONCATENATE(A26,$C$10,C26),'ID1&amp;5'!B:J,9,FALSE),"-")</f>
        <v>-</v>
      </c>
      <c r="Q26" s="78" t="str">
        <f>+IFERROR(VLOOKUP(D26,'ID1&amp;5'!K:L,2,FALSE),"-")</f>
        <v>-</v>
      </c>
      <c r="R26" s="26" t="str">
        <f>+IFERROR(VLOOKUP(CONCATENATE(A26,$D$10,D26),'ID1&amp;5'!B:J,9,FALSE),"-")</f>
        <v>-</v>
      </c>
      <c r="S26" s="78" t="str">
        <f>+IFERROR(VLOOKUP(E26,'ID1&amp;5'!K:L,2,FALSE),"-")</f>
        <v>-</v>
      </c>
      <c r="T26" s="79" t="str">
        <f>+IFERROR(VLOOKUP(CONCATENATE(A26,$E$10,E26),'ID1&amp;5'!B:J,9,FALSE),"-")</f>
        <v>-</v>
      </c>
      <c r="U26" s="78" t="str">
        <f>+IFERROR(VLOOKUP(F26,'ID1&amp;5'!K:L,2,FALSE),"-")</f>
        <v>-</v>
      </c>
      <c r="V26" s="79" t="str">
        <f>+IFERROR(VLOOKUP(CONCATENATE(A26,$F$10,F26),'ID1&amp;5'!B:J,9,FALSE),"-")</f>
        <v>-</v>
      </c>
      <c r="W26" s="26" t="str">
        <f>+IFERROR(VLOOKUP(A26,'ID6&amp;7'!A:I,9,FALSE),"-")</f>
        <v>-</v>
      </c>
      <c r="X26" s="26" t="str">
        <f>+IFERROR(VLOOKUP(A26,'ID6&amp;7'!A:J,10,FALSE),"-")</f>
        <v>-</v>
      </c>
      <c r="Y26" s="26"/>
      <c r="Z26" s="27" t="str">
        <f t="shared" si="1"/>
        <v>Por iniciar</v>
      </c>
    </row>
    <row r="27" spans="1:26">
      <c r="A27" s="20" t="str">
        <f t="shared" si="0"/>
        <v>UNIV_OPERbruto_imparidade45991</v>
      </c>
      <c r="B27" s="66">
        <f t="array" ref="B27">+MAX(IF('ID1&amp;5'!A:A='1. Status'!A27&amp;'1. Status'!$B$10,'ID1&amp;5'!K:K))</f>
        <v>0</v>
      </c>
      <c r="C27" s="60">
        <f t="array" ref="C27">+MAX(IF('ID1&amp;5'!A:A='1. Status'!A27&amp;'1. Status'!$C$10,'ID1&amp;5'!K:K))</f>
        <v>0</v>
      </c>
      <c r="D27" s="60">
        <f t="array" ref="D27">+MAX(IF('ID1&amp;5'!A:A='1. Status'!A27&amp;'1. Status'!$D$10,'ID1&amp;5'!K:K))</f>
        <v>0</v>
      </c>
      <c r="E27" s="60">
        <f t="array" ref="E27">+MAX(IF('ID1&amp;5'!A:A='1. Status'!A27&amp;'1. Status'!$E$10,'ID1&amp;5'!K:K))</f>
        <v>0</v>
      </c>
      <c r="F27" s="67">
        <f t="array" ref="F27">+MAX(IF('ID1&amp;5'!A:A='1. Status'!A27&amp;'1. Status'!$F$10,'ID1&amp;5'!K:K))</f>
        <v>0</v>
      </c>
      <c r="G27" s="60"/>
      <c r="H27" s="65" t="s">
        <v>1080</v>
      </c>
      <c r="I27" s="21" t="s">
        <v>1097</v>
      </c>
      <c r="J27" s="26">
        <f>+COUNTIF('ID1&amp;5'!G:G,'1. Status'!I27)</f>
        <v>0</v>
      </c>
      <c r="K27" s="79" t="str">
        <f>+IFERROR(VLOOKUP(CONCATENATE(A27,$B$10,B27),'ID1&amp;5'!B:J,8,FALSE),"-")</f>
        <v>-</v>
      </c>
      <c r="L27" s="78" t="str">
        <f>+IFERROR(VLOOKUP(B27,'ID1&amp;5'!K:L,2,FALSE),"-")</f>
        <v>-</v>
      </c>
      <c r="M27" s="79" t="str">
        <f>+IFERROR(VLOOKUP(CONCATENATE(A27,$B$10,B27),'ID1&amp;5'!B:J,9,FALSE),"-")</f>
        <v>-</v>
      </c>
      <c r="N27" s="79" t="str">
        <f>+IFERROR(VLOOKUP(CONCATENATE(A27,$C$10,C27),'ID1&amp;5'!B:J,8,FALSE),"-")</f>
        <v>-</v>
      </c>
      <c r="O27" s="78" t="str">
        <f>+IFERROR(VLOOKUP(C27,'ID1&amp;5'!K:L,2,FALSE),"-")</f>
        <v>-</v>
      </c>
      <c r="P27" s="79" t="str">
        <f>+IFERROR(VLOOKUP(CONCATENATE(A27,$C$10,C27),'ID1&amp;5'!B:J,9,FALSE),"-")</f>
        <v>-</v>
      </c>
      <c r="Q27" s="78" t="str">
        <f>+IFERROR(VLOOKUP(D27,'ID1&amp;5'!K:L,2,FALSE),"-")</f>
        <v>-</v>
      </c>
      <c r="R27" s="26" t="str">
        <f>+IFERROR(VLOOKUP(CONCATENATE(A27,$D$10,D27),'ID1&amp;5'!B:J,9,FALSE),"-")</f>
        <v>-</v>
      </c>
      <c r="S27" s="78" t="str">
        <f>+IFERROR(VLOOKUP(E27,'ID1&amp;5'!K:L,2,FALSE),"-")</f>
        <v>-</v>
      </c>
      <c r="T27" s="79" t="str">
        <f>+IFERROR(VLOOKUP(CONCATENATE(A27,$E$10,E27),'ID1&amp;5'!B:J,9,FALSE),"-")</f>
        <v>-</v>
      </c>
      <c r="U27" s="78" t="str">
        <f>+IFERROR(VLOOKUP(F27,'ID1&amp;5'!K:L,2,FALSE),"-")</f>
        <v>-</v>
      </c>
      <c r="V27" s="79" t="str">
        <f>+IFERROR(VLOOKUP(CONCATENATE(A27,$F$10,F27),'ID1&amp;5'!B:J,9,FALSE),"-")</f>
        <v>-</v>
      </c>
      <c r="W27" s="26" t="str">
        <f>+IFERROR(VLOOKUP(A27,'ID6&amp;7'!A:I,9,FALSE),"-")</f>
        <v>-</v>
      </c>
      <c r="X27" s="26" t="str">
        <f>+IFERROR(VLOOKUP(A27,'ID6&amp;7'!A:J,10,FALSE),"-")</f>
        <v>-</v>
      </c>
      <c r="Y27" s="26"/>
      <c r="Z27" s="27" t="str">
        <f t="shared" si="1"/>
        <v>Por iniciar</v>
      </c>
    </row>
    <row r="28" spans="1:26">
      <c r="A28" s="20" t="str">
        <f t="shared" si="0"/>
        <v>UNIV_OPERcomposicao_valor45991</v>
      </c>
      <c r="B28" s="66">
        <f t="array" ref="B28">+MAX(IF('ID1&amp;5'!A:A='1. Status'!A28&amp;'1. Status'!$B$10,'ID1&amp;5'!K:K))</f>
        <v>0</v>
      </c>
      <c r="C28" s="60">
        <f t="array" ref="C28">+MAX(IF('ID1&amp;5'!A:A='1. Status'!A28&amp;'1. Status'!$C$10,'ID1&amp;5'!K:K))</f>
        <v>0</v>
      </c>
      <c r="D28" s="60">
        <f t="array" ref="D28">+MAX(IF('ID1&amp;5'!A:A='1. Status'!A28&amp;'1. Status'!$D$10,'ID1&amp;5'!K:K))</f>
        <v>0</v>
      </c>
      <c r="E28" s="60">
        <f t="array" ref="E28">+MAX(IF('ID1&amp;5'!A:A='1. Status'!A28&amp;'1. Status'!$E$10,'ID1&amp;5'!K:K))</f>
        <v>0</v>
      </c>
      <c r="F28" s="67">
        <f t="array" ref="F28">+MAX(IF('ID1&amp;5'!A:A='1. Status'!A28&amp;'1. Status'!$F$10,'ID1&amp;5'!K:K))</f>
        <v>0</v>
      </c>
      <c r="G28" s="60"/>
      <c r="H28" s="65" t="s">
        <v>1080</v>
      </c>
      <c r="I28" s="21" t="s">
        <v>1098</v>
      </c>
      <c r="J28" s="26">
        <f>+COUNTIF('ID1&amp;5'!G:G,'1. Status'!I28)</f>
        <v>0</v>
      </c>
      <c r="K28" s="79" t="str">
        <f>+IFERROR(VLOOKUP(CONCATENATE(A28,$B$10,B28),'ID1&amp;5'!B:J,8,FALSE),"-")</f>
        <v>-</v>
      </c>
      <c r="L28" s="78" t="str">
        <f>+IFERROR(VLOOKUP(B28,'ID1&amp;5'!K:L,2,FALSE),"-")</f>
        <v>-</v>
      </c>
      <c r="M28" s="79" t="str">
        <f>+IFERROR(VLOOKUP(CONCATENATE(A28,$B$10,B28),'ID1&amp;5'!B:J,9,FALSE),"-")</f>
        <v>-</v>
      </c>
      <c r="N28" s="79" t="str">
        <f>+IFERROR(VLOOKUP(CONCATENATE(A28,$C$10,C28),'ID1&amp;5'!B:J,8,FALSE),"-")</f>
        <v>-</v>
      </c>
      <c r="O28" s="78" t="str">
        <f>+IFERROR(VLOOKUP(C28,'ID1&amp;5'!K:L,2,FALSE),"-")</f>
        <v>-</v>
      </c>
      <c r="P28" s="79" t="str">
        <f>+IFERROR(VLOOKUP(CONCATENATE(A28,$C$10,C28),'ID1&amp;5'!B:J,9,FALSE),"-")</f>
        <v>-</v>
      </c>
      <c r="Q28" s="78" t="str">
        <f>+IFERROR(VLOOKUP(D28,'ID1&amp;5'!K:L,2,FALSE),"-")</f>
        <v>-</v>
      </c>
      <c r="R28" s="26" t="str">
        <f>+IFERROR(VLOOKUP(CONCATENATE(A28,$D$10,D28),'ID1&amp;5'!B:J,9,FALSE),"-")</f>
        <v>-</v>
      </c>
      <c r="S28" s="78" t="str">
        <f>+IFERROR(VLOOKUP(E28,'ID1&amp;5'!K:L,2,FALSE),"-")</f>
        <v>-</v>
      </c>
      <c r="T28" s="79" t="str">
        <f>+IFERROR(VLOOKUP(CONCATENATE(A28,$E$10,E28),'ID1&amp;5'!B:J,9,FALSE),"-")</f>
        <v>-</v>
      </c>
      <c r="U28" s="78" t="str">
        <f>+IFERROR(VLOOKUP(F28,'ID1&amp;5'!K:L,2,FALSE),"-")</f>
        <v>-</v>
      </c>
      <c r="V28" s="79" t="str">
        <f>+IFERROR(VLOOKUP(CONCATENATE(A28,$F$10,F28),'ID1&amp;5'!B:J,9,FALSE),"-")</f>
        <v>-</v>
      </c>
      <c r="W28" s="26" t="str">
        <f>+IFERROR(VLOOKUP(A28,'ID6&amp;7'!A:I,9,FALSE),"-")</f>
        <v>-</v>
      </c>
      <c r="X28" s="26" t="str">
        <f>+IFERROR(VLOOKUP(A28,'ID6&amp;7'!A:J,10,FALSE),"-")</f>
        <v>-</v>
      </c>
      <c r="Y28" s="26"/>
      <c r="Z28" s="27" t="str">
        <f t="shared" si="1"/>
        <v>Por iniciar</v>
      </c>
    </row>
    <row r="29" spans="1:26">
      <c r="A29" s="20" t="str">
        <f t="shared" si="0"/>
        <v>UNIV_OPERcolateral45991</v>
      </c>
      <c r="B29" s="66">
        <f t="array" ref="B29">+MAX(IF('ID1&amp;5'!A:A='1. Status'!A29&amp;'1. Status'!$B$10,'ID1&amp;5'!K:K))</f>
        <v>0</v>
      </c>
      <c r="C29" s="60">
        <f t="array" ref="C29">+MAX(IF('ID1&amp;5'!A:A='1. Status'!A29&amp;'1. Status'!$C$10,'ID1&amp;5'!K:K))</f>
        <v>0</v>
      </c>
      <c r="D29" s="60">
        <f t="array" ref="D29">+MAX(IF('ID1&amp;5'!A:A='1. Status'!A29&amp;'1. Status'!$D$10,'ID1&amp;5'!K:K))</f>
        <v>0</v>
      </c>
      <c r="E29" s="60">
        <f t="array" ref="E29">+MAX(IF('ID1&amp;5'!A:A='1. Status'!A29&amp;'1. Status'!$E$10,'ID1&amp;5'!K:K))</f>
        <v>0</v>
      </c>
      <c r="F29" s="67">
        <f t="array" ref="F29">+MAX(IF('ID1&amp;5'!A:A='1. Status'!A29&amp;'1. Status'!$F$10,'ID1&amp;5'!K:K))</f>
        <v>0</v>
      </c>
      <c r="G29" s="60"/>
      <c r="H29" s="65" t="s">
        <v>1080</v>
      </c>
      <c r="I29" s="21" t="s">
        <v>1099</v>
      </c>
      <c r="J29" s="26">
        <f>+COUNTIF('ID1&amp;5'!G:G,'1. Status'!I29)</f>
        <v>0</v>
      </c>
      <c r="K29" s="79" t="str">
        <f>+IFERROR(VLOOKUP(CONCATENATE(A29,$B$10,B29),'ID1&amp;5'!B:J,8,FALSE),"-")</f>
        <v>-</v>
      </c>
      <c r="L29" s="78" t="str">
        <f>+IFERROR(VLOOKUP(B29,'ID1&amp;5'!K:L,2,FALSE),"-")</f>
        <v>-</v>
      </c>
      <c r="M29" s="79" t="str">
        <f>+IFERROR(VLOOKUP(CONCATENATE(A29,$B$10,B29),'ID1&amp;5'!B:J,9,FALSE),"-")</f>
        <v>-</v>
      </c>
      <c r="N29" s="79" t="str">
        <f>+IFERROR(VLOOKUP(CONCATENATE(A29,$C$10,C29),'ID1&amp;5'!B:J,8,FALSE),"-")</f>
        <v>-</v>
      </c>
      <c r="O29" s="78" t="str">
        <f>+IFERROR(VLOOKUP(C29,'ID1&amp;5'!K:L,2,FALSE),"-")</f>
        <v>-</v>
      </c>
      <c r="P29" s="79" t="str">
        <f>+IFERROR(VLOOKUP(CONCATENATE(A29,$C$10,C29),'ID1&amp;5'!B:J,9,FALSE),"-")</f>
        <v>-</v>
      </c>
      <c r="Q29" s="78" t="str">
        <f>+IFERROR(VLOOKUP(D29,'ID1&amp;5'!K:L,2,FALSE),"-")</f>
        <v>-</v>
      </c>
      <c r="R29" s="26" t="str">
        <f>+IFERROR(VLOOKUP(CONCATENATE(A29,$D$10,D29),'ID1&amp;5'!B:J,9,FALSE),"-")</f>
        <v>-</v>
      </c>
      <c r="S29" s="78" t="str">
        <f>+IFERROR(VLOOKUP(E29,'ID1&amp;5'!K:L,2,FALSE),"-")</f>
        <v>-</v>
      </c>
      <c r="T29" s="79" t="str">
        <f>+IFERROR(VLOOKUP(CONCATENATE(A29,$E$10,E29),'ID1&amp;5'!B:J,9,FALSE),"-")</f>
        <v>-</v>
      </c>
      <c r="U29" s="78" t="str">
        <f>+IFERROR(VLOOKUP(F29,'ID1&amp;5'!K:L,2,FALSE),"-")</f>
        <v>-</v>
      </c>
      <c r="V29" s="79" t="str">
        <f>+IFERROR(VLOOKUP(CONCATENATE(A29,$F$10,F29),'ID1&amp;5'!B:J,9,FALSE),"-")</f>
        <v>-</v>
      </c>
      <c r="W29" s="26" t="str">
        <f>+IFERROR(VLOOKUP(A29,'ID6&amp;7'!A:I,9,FALSE),"-")</f>
        <v>-</v>
      </c>
      <c r="X29" s="26" t="str">
        <f>+IFERROR(VLOOKUP(A29,'ID6&amp;7'!A:J,10,FALSE),"-")</f>
        <v>-</v>
      </c>
      <c r="Y29" s="26"/>
      <c r="Z29" s="27" t="str">
        <f t="shared" si="1"/>
        <v>Por iniciar</v>
      </c>
    </row>
    <row r="30" spans="1:26">
      <c r="A30" s="20" t="str">
        <f t="shared" si="0"/>
        <v>UNIV_OPERflag_poci45991</v>
      </c>
      <c r="B30" s="66">
        <f t="array" ref="B30">+MAX(IF('ID1&amp;5'!A:A='1. Status'!A30&amp;'1. Status'!$B$10,'ID1&amp;5'!K:K))</f>
        <v>0</v>
      </c>
      <c r="C30" s="60">
        <f t="array" ref="C30">+MAX(IF('ID1&amp;5'!A:A='1. Status'!A30&amp;'1. Status'!$C$10,'ID1&amp;5'!K:K))</f>
        <v>0</v>
      </c>
      <c r="D30" s="60">
        <f t="array" ref="D30">+MAX(IF('ID1&amp;5'!A:A='1. Status'!A30&amp;'1. Status'!$D$10,'ID1&amp;5'!K:K))</f>
        <v>0</v>
      </c>
      <c r="E30" s="60">
        <f t="array" ref="E30">+MAX(IF('ID1&amp;5'!A:A='1. Status'!A30&amp;'1. Status'!$E$10,'ID1&amp;5'!K:K))</f>
        <v>0</v>
      </c>
      <c r="F30" s="67">
        <f t="array" ref="F30">+MAX(IF('ID1&amp;5'!A:A='1. Status'!A30&amp;'1. Status'!$F$10,'ID1&amp;5'!K:K))</f>
        <v>0</v>
      </c>
      <c r="G30" s="60"/>
      <c r="H30" s="65" t="s">
        <v>1080</v>
      </c>
      <c r="I30" s="21" t="s">
        <v>1100</v>
      </c>
      <c r="J30" s="26">
        <f>+COUNTIF('ID1&amp;5'!G:G,'1. Status'!I30)</f>
        <v>0</v>
      </c>
      <c r="K30" s="79" t="str">
        <f>+IFERROR(VLOOKUP(CONCATENATE(A30,$B$10,B30),'ID1&amp;5'!B:J,8,FALSE),"-")</f>
        <v>-</v>
      </c>
      <c r="L30" s="78" t="str">
        <f>+IFERROR(VLOOKUP(B30,'ID1&amp;5'!K:L,2,FALSE),"-")</f>
        <v>-</v>
      </c>
      <c r="M30" s="79" t="str">
        <f>+IFERROR(VLOOKUP(CONCATENATE(A30,$B$10,B30),'ID1&amp;5'!B:J,9,FALSE),"-")</f>
        <v>-</v>
      </c>
      <c r="N30" s="79" t="str">
        <f>+IFERROR(VLOOKUP(CONCATENATE(A30,$C$10,C30),'ID1&amp;5'!B:J,8,FALSE),"-")</f>
        <v>-</v>
      </c>
      <c r="O30" s="78" t="str">
        <f>+IFERROR(VLOOKUP(C30,'ID1&amp;5'!K:L,2,FALSE),"-")</f>
        <v>-</v>
      </c>
      <c r="P30" s="79" t="str">
        <f>+IFERROR(VLOOKUP(CONCATENATE(A30,$C$10,C30),'ID1&amp;5'!B:J,9,FALSE),"-")</f>
        <v>-</v>
      </c>
      <c r="Q30" s="78" t="str">
        <f>+IFERROR(VLOOKUP(D30,'ID1&amp;5'!K:L,2,FALSE),"-")</f>
        <v>-</v>
      </c>
      <c r="R30" s="26" t="str">
        <f>+IFERROR(VLOOKUP(CONCATENATE(A30,$D$10,D30),'ID1&amp;5'!B:J,9,FALSE),"-")</f>
        <v>-</v>
      </c>
      <c r="S30" s="78" t="str">
        <f>+IFERROR(VLOOKUP(E30,'ID1&amp;5'!K:L,2,FALSE),"-")</f>
        <v>-</v>
      </c>
      <c r="T30" s="79" t="str">
        <f>+IFERROR(VLOOKUP(CONCATENATE(A30,$E$10,E30),'ID1&amp;5'!B:J,9,FALSE),"-")</f>
        <v>-</v>
      </c>
      <c r="U30" s="78" t="str">
        <f>+IFERROR(VLOOKUP(F30,'ID1&amp;5'!K:L,2,FALSE),"-")</f>
        <v>-</v>
      </c>
      <c r="V30" s="79" t="str">
        <f>+IFERROR(VLOOKUP(CONCATENATE(A30,$F$10,F30),'ID1&amp;5'!B:J,9,FALSE),"-")</f>
        <v>-</v>
      </c>
      <c r="W30" s="26" t="str">
        <f>+IFERROR(VLOOKUP(A30,'ID6&amp;7'!A:I,9,FALSE),"-")</f>
        <v>-</v>
      </c>
      <c r="X30" s="26" t="str">
        <f>+IFERROR(VLOOKUP(A30,'ID6&amp;7'!A:J,10,FALSE),"-")</f>
        <v>-</v>
      </c>
      <c r="Y30" s="26"/>
      <c r="Z30" s="27" t="str">
        <f t="shared" si="1"/>
        <v>Por iniciar</v>
      </c>
    </row>
    <row r="31" spans="1:26">
      <c r="A31" s="20" t="str">
        <f t="shared" si="0"/>
        <v>UNIV_OPERpurpose_code45991</v>
      </c>
      <c r="B31" s="66">
        <f t="array" ref="B31">+MAX(IF('ID1&amp;5'!A:A='1. Status'!A31&amp;'1. Status'!$B$10,'ID1&amp;5'!K:K))</f>
        <v>0</v>
      </c>
      <c r="C31" s="60">
        <f t="array" ref="C31">+MAX(IF('ID1&amp;5'!A:A='1. Status'!A31&amp;'1. Status'!$C$10,'ID1&amp;5'!K:K))</f>
        <v>0</v>
      </c>
      <c r="D31" s="60">
        <f t="array" ref="D31">+MAX(IF('ID1&amp;5'!A:A='1. Status'!A31&amp;'1. Status'!$D$10,'ID1&amp;5'!K:K))</f>
        <v>0</v>
      </c>
      <c r="E31" s="60">
        <f t="array" ref="E31">+MAX(IF('ID1&amp;5'!A:A='1. Status'!A31&amp;'1. Status'!$E$10,'ID1&amp;5'!K:K))</f>
        <v>0</v>
      </c>
      <c r="F31" s="67">
        <f t="array" ref="F31">+MAX(IF('ID1&amp;5'!A:A='1. Status'!A31&amp;'1. Status'!$F$10,'ID1&amp;5'!K:K))</f>
        <v>0</v>
      </c>
      <c r="G31" s="60"/>
      <c r="H31" s="65" t="s">
        <v>1080</v>
      </c>
      <c r="I31" s="21" t="s">
        <v>1101</v>
      </c>
      <c r="J31" s="26">
        <f>+COUNTIF('ID1&amp;5'!G:G,'1. Status'!I31)</f>
        <v>0</v>
      </c>
      <c r="K31" s="79" t="str">
        <f>+IFERROR(VLOOKUP(CONCATENATE(A31,$B$10,B31),'ID1&amp;5'!B:J,8,FALSE),"-")</f>
        <v>-</v>
      </c>
      <c r="L31" s="78" t="str">
        <f>+IFERROR(VLOOKUP(B31,'ID1&amp;5'!K:L,2,FALSE),"-")</f>
        <v>-</v>
      </c>
      <c r="M31" s="79" t="str">
        <f>+IFERROR(VLOOKUP(CONCATENATE(A31,$B$10,B31),'ID1&amp;5'!B:J,9,FALSE),"-")</f>
        <v>-</v>
      </c>
      <c r="N31" s="79" t="str">
        <f>+IFERROR(VLOOKUP(CONCATENATE(A31,$C$10,C31),'ID1&amp;5'!B:J,8,FALSE),"-")</f>
        <v>-</v>
      </c>
      <c r="O31" s="78" t="str">
        <f>+IFERROR(VLOOKUP(C31,'ID1&amp;5'!K:L,2,FALSE),"-")</f>
        <v>-</v>
      </c>
      <c r="P31" s="79" t="str">
        <f>+IFERROR(VLOOKUP(CONCATENATE(A31,$C$10,C31),'ID1&amp;5'!B:J,9,FALSE),"-")</f>
        <v>-</v>
      </c>
      <c r="Q31" s="78" t="str">
        <f>+IFERROR(VLOOKUP(D31,'ID1&amp;5'!K:L,2,FALSE),"-")</f>
        <v>-</v>
      </c>
      <c r="R31" s="26" t="str">
        <f>+IFERROR(VLOOKUP(CONCATENATE(A31,$D$10,D31),'ID1&amp;5'!B:J,9,FALSE),"-")</f>
        <v>-</v>
      </c>
      <c r="S31" s="78" t="str">
        <f>+IFERROR(VLOOKUP(E31,'ID1&amp;5'!K:L,2,FALSE),"-")</f>
        <v>-</v>
      </c>
      <c r="T31" s="79" t="str">
        <f>+IFERROR(VLOOKUP(CONCATENATE(A31,$E$10,E31),'ID1&amp;5'!B:J,9,FALSE),"-")</f>
        <v>-</v>
      </c>
      <c r="U31" s="78" t="str">
        <f>+IFERROR(VLOOKUP(F31,'ID1&amp;5'!K:L,2,FALSE),"-")</f>
        <v>-</v>
      </c>
      <c r="V31" s="79" t="str">
        <f>+IFERROR(VLOOKUP(CONCATENATE(A31,$F$10,F31),'ID1&amp;5'!B:J,9,FALSE),"-")</f>
        <v>-</v>
      </c>
      <c r="W31" s="26" t="str">
        <f>+IFERROR(VLOOKUP(A31,'ID6&amp;7'!A:I,9,FALSE),"-")</f>
        <v>-</v>
      </c>
      <c r="X31" s="26" t="str">
        <f>+IFERROR(VLOOKUP(A31,'ID6&amp;7'!A:J,10,FALSE),"-")</f>
        <v>-</v>
      </c>
      <c r="Y31" s="26"/>
      <c r="Z31" s="27" t="str">
        <f t="shared" si="1"/>
        <v>Por iniciar</v>
      </c>
    </row>
    <row r="32" spans="1:26">
      <c r="A32" s="20" t="str">
        <f t="shared" si="0"/>
        <v>UNIV_OPERcod_empr_pme45991</v>
      </c>
      <c r="B32" s="66">
        <f t="array" ref="B32">+MAX(IF('ID1&amp;5'!A:A='1. Status'!A32&amp;'1. Status'!$B$10,'ID1&amp;5'!K:K))</f>
        <v>0</v>
      </c>
      <c r="C32" s="60">
        <f t="array" ref="C32">+MAX(IF('ID1&amp;5'!A:A='1. Status'!A32&amp;'1. Status'!$C$10,'ID1&amp;5'!K:K))</f>
        <v>0</v>
      </c>
      <c r="D32" s="60">
        <f t="array" ref="D32">+MAX(IF('ID1&amp;5'!A:A='1. Status'!A32&amp;'1. Status'!$D$10,'ID1&amp;5'!K:K))</f>
        <v>0</v>
      </c>
      <c r="E32" s="60">
        <f t="array" ref="E32">+MAX(IF('ID1&amp;5'!A:A='1. Status'!A32&amp;'1. Status'!$E$10,'ID1&amp;5'!K:K))</f>
        <v>0</v>
      </c>
      <c r="F32" s="67">
        <f t="array" ref="F32">+MAX(IF('ID1&amp;5'!A:A='1. Status'!A32&amp;'1. Status'!$F$10,'ID1&amp;5'!K:K))</f>
        <v>0</v>
      </c>
      <c r="G32" s="60"/>
      <c r="H32" s="65" t="s">
        <v>1080</v>
      </c>
      <c r="I32" s="21" t="s">
        <v>1102</v>
      </c>
      <c r="J32" s="26">
        <f>+COUNTIF('ID1&amp;5'!G:G,'1. Status'!I32)</f>
        <v>0</v>
      </c>
      <c r="K32" s="79" t="str">
        <f>+IFERROR(VLOOKUP(CONCATENATE(A32,$B$10,B32),'ID1&amp;5'!B:J,8,FALSE),"-")</f>
        <v>-</v>
      </c>
      <c r="L32" s="78" t="str">
        <f>+IFERROR(VLOOKUP(B32,'ID1&amp;5'!K:L,2,FALSE),"-")</f>
        <v>-</v>
      </c>
      <c r="M32" s="79" t="str">
        <f>+IFERROR(VLOOKUP(CONCATENATE(A32,$B$10,B32),'ID1&amp;5'!B:J,9,FALSE),"-")</f>
        <v>-</v>
      </c>
      <c r="N32" s="79" t="str">
        <f>+IFERROR(VLOOKUP(CONCATENATE(A32,$C$10,C32),'ID1&amp;5'!B:J,8,FALSE),"-")</f>
        <v>-</v>
      </c>
      <c r="O32" s="78" t="str">
        <f>+IFERROR(VLOOKUP(C32,'ID1&amp;5'!K:L,2,FALSE),"-")</f>
        <v>-</v>
      </c>
      <c r="P32" s="79" t="str">
        <f>+IFERROR(VLOOKUP(CONCATENATE(A32,$C$10,C32),'ID1&amp;5'!B:J,9,FALSE),"-")</f>
        <v>-</v>
      </c>
      <c r="Q32" s="78" t="str">
        <f>+IFERROR(VLOOKUP(D32,'ID1&amp;5'!K:L,2,FALSE),"-")</f>
        <v>-</v>
      </c>
      <c r="R32" s="26" t="str">
        <f>+IFERROR(VLOOKUP(CONCATENATE(A32,$D$10,D32),'ID1&amp;5'!B:J,9,FALSE),"-")</f>
        <v>-</v>
      </c>
      <c r="S32" s="78" t="str">
        <f>+IFERROR(VLOOKUP(E32,'ID1&amp;5'!K:L,2,FALSE),"-")</f>
        <v>-</v>
      </c>
      <c r="T32" s="79" t="str">
        <f>+IFERROR(VLOOKUP(CONCATENATE(A32,$E$10,E32),'ID1&amp;5'!B:J,9,FALSE),"-")</f>
        <v>-</v>
      </c>
      <c r="U32" s="78" t="str">
        <f>+IFERROR(VLOOKUP(F32,'ID1&amp;5'!K:L,2,FALSE),"-")</f>
        <v>-</v>
      </c>
      <c r="V32" s="79" t="str">
        <f>+IFERROR(VLOOKUP(CONCATENATE(A32,$F$10,F32),'ID1&amp;5'!B:J,9,FALSE),"-")</f>
        <v>-</v>
      </c>
      <c r="W32" s="26" t="str">
        <f>+IFERROR(VLOOKUP(A32,'ID6&amp;7'!A:I,9,FALSE),"-")</f>
        <v>-</v>
      </c>
      <c r="X32" s="26" t="str">
        <f>+IFERROR(VLOOKUP(A32,'ID6&amp;7'!A:J,10,FALSE),"-")</f>
        <v>-</v>
      </c>
      <c r="Y32" s="26"/>
      <c r="Z32" s="27" t="str">
        <f t="shared" si="1"/>
        <v>Por iniciar</v>
      </c>
    </row>
    <row r="33" spans="1:26">
      <c r="A33" s="20" t="str">
        <f t="shared" si="0"/>
        <v>UNIV_OPERstage45991</v>
      </c>
      <c r="B33" s="66">
        <f t="array" ref="B33">+MAX(IF('ID1&amp;5'!A:A='1. Status'!A33&amp;'1. Status'!$B$10,'ID1&amp;5'!K:K))</f>
        <v>0</v>
      </c>
      <c r="C33" s="60">
        <f t="array" ref="C33">+MAX(IF('ID1&amp;5'!A:A='1. Status'!A33&amp;'1. Status'!$C$10,'ID1&amp;5'!K:K))</f>
        <v>0</v>
      </c>
      <c r="D33" s="60">
        <f t="array" ref="D33">+MAX(IF('ID1&amp;5'!A:A='1. Status'!A33&amp;'1. Status'!$D$10,'ID1&amp;5'!K:K))</f>
        <v>0</v>
      </c>
      <c r="E33" s="60">
        <f t="array" ref="E33">+MAX(IF('ID1&amp;5'!A:A='1. Status'!A33&amp;'1. Status'!$E$10,'ID1&amp;5'!K:K))</f>
        <v>0</v>
      </c>
      <c r="F33" s="67">
        <f t="array" ref="F33">+MAX(IF('ID1&amp;5'!A:A='1. Status'!A33&amp;'1. Status'!$F$10,'ID1&amp;5'!K:K))</f>
        <v>0</v>
      </c>
      <c r="G33" s="60"/>
      <c r="H33" s="65" t="s">
        <v>1080</v>
      </c>
      <c r="I33" s="21" t="s">
        <v>1103</v>
      </c>
      <c r="J33" s="26">
        <f>+COUNTIF('ID1&amp;5'!G:G,'1. Status'!I33)</f>
        <v>0</v>
      </c>
      <c r="K33" s="79" t="str">
        <f>+IFERROR(VLOOKUP(CONCATENATE(A33,$B$10,B33),'ID1&amp;5'!B:J,8,FALSE),"-")</f>
        <v>-</v>
      </c>
      <c r="L33" s="78" t="str">
        <f>+IFERROR(VLOOKUP(B33,'ID1&amp;5'!K:L,2,FALSE),"-")</f>
        <v>-</v>
      </c>
      <c r="M33" s="79" t="str">
        <f>+IFERROR(VLOOKUP(CONCATENATE(A33,$B$10,B33),'ID1&amp;5'!B:J,9,FALSE),"-")</f>
        <v>-</v>
      </c>
      <c r="N33" s="79" t="str">
        <f>+IFERROR(VLOOKUP(CONCATENATE(A33,$C$10,C33),'ID1&amp;5'!B:J,8,FALSE),"-")</f>
        <v>-</v>
      </c>
      <c r="O33" s="78" t="str">
        <f>+IFERROR(VLOOKUP(C33,'ID1&amp;5'!K:L,2,FALSE),"-")</f>
        <v>-</v>
      </c>
      <c r="P33" s="79" t="str">
        <f>+IFERROR(VLOOKUP(CONCATENATE(A33,$C$10,C33),'ID1&amp;5'!B:J,9,FALSE),"-")</f>
        <v>-</v>
      </c>
      <c r="Q33" s="78" t="str">
        <f>+IFERROR(VLOOKUP(D33,'ID1&amp;5'!K:L,2,FALSE),"-")</f>
        <v>-</v>
      </c>
      <c r="R33" s="26" t="str">
        <f>+IFERROR(VLOOKUP(CONCATENATE(A33,$D$10,D33),'ID1&amp;5'!B:J,9,FALSE),"-")</f>
        <v>-</v>
      </c>
      <c r="S33" s="78" t="str">
        <f>+IFERROR(VLOOKUP(E33,'ID1&amp;5'!K:L,2,FALSE),"-")</f>
        <v>-</v>
      </c>
      <c r="T33" s="79" t="str">
        <f>+IFERROR(VLOOKUP(CONCATENATE(A33,$E$10,E33),'ID1&amp;5'!B:J,9,FALSE),"-")</f>
        <v>-</v>
      </c>
      <c r="U33" s="78" t="str">
        <f>+IFERROR(VLOOKUP(F33,'ID1&amp;5'!K:L,2,FALSE),"-")</f>
        <v>-</v>
      </c>
      <c r="V33" s="79" t="str">
        <f>+IFERROR(VLOOKUP(CONCATENATE(A33,$F$10,F33),'ID1&amp;5'!B:J,9,FALSE),"-")</f>
        <v>-</v>
      </c>
      <c r="W33" s="26" t="str">
        <f>+IFERROR(VLOOKUP(A33,'ID6&amp;7'!A:I,9,FALSE),"-")</f>
        <v>-</v>
      </c>
      <c r="X33" s="26" t="str">
        <f>+IFERROR(VLOOKUP(A33,'ID6&amp;7'!A:J,10,FALSE),"-")</f>
        <v>-</v>
      </c>
      <c r="Y33" s="26"/>
      <c r="Z33" s="27" t="str">
        <f t="shared" si="1"/>
        <v>Por iniciar</v>
      </c>
    </row>
    <row r="34" spans="1:26">
      <c r="A34" s="20" t="str">
        <f t="shared" si="0"/>
        <v>UNIV_OPERstage_atual45991</v>
      </c>
      <c r="B34" s="66">
        <f t="array" ref="B34">+MAX(IF('ID1&amp;5'!A:A='1. Status'!A34&amp;'1. Status'!$B$10,'ID1&amp;5'!K:K))</f>
        <v>0</v>
      </c>
      <c r="C34" s="60">
        <f t="array" ref="C34">+MAX(IF('ID1&amp;5'!A:A='1. Status'!A34&amp;'1. Status'!$C$10,'ID1&amp;5'!K:K))</f>
        <v>0</v>
      </c>
      <c r="D34" s="60">
        <f t="array" ref="D34">+MAX(IF('ID1&amp;5'!A:A='1. Status'!A34&amp;'1. Status'!$D$10,'ID1&amp;5'!K:K))</f>
        <v>0</v>
      </c>
      <c r="E34" s="60">
        <f t="array" ref="E34">+MAX(IF('ID1&amp;5'!A:A='1. Status'!A34&amp;'1. Status'!$E$10,'ID1&amp;5'!K:K))</f>
        <v>0</v>
      </c>
      <c r="F34" s="67">
        <f t="array" ref="F34">+MAX(IF('ID1&amp;5'!A:A='1. Status'!A34&amp;'1. Status'!$F$10,'ID1&amp;5'!K:K))</f>
        <v>0</v>
      </c>
      <c r="G34" s="60"/>
      <c r="H34" s="65" t="s">
        <v>1080</v>
      </c>
      <c r="I34" s="21" t="s">
        <v>1104</v>
      </c>
      <c r="J34" s="26">
        <f>+COUNTIF('ID1&amp;5'!G:G,'1. Status'!I34)</f>
        <v>0</v>
      </c>
      <c r="K34" s="79" t="str">
        <f>+IFERROR(VLOOKUP(CONCATENATE(A34,$B$10,B34),'ID1&amp;5'!B:J,8,FALSE),"-")</f>
        <v>-</v>
      </c>
      <c r="L34" s="78" t="str">
        <f>+IFERROR(VLOOKUP(B34,'ID1&amp;5'!K:L,2,FALSE),"-")</f>
        <v>-</v>
      </c>
      <c r="M34" s="79" t="str">
        <f>+IFERROR(VLOOKUP(CONCATENATE(A34,$B$10,B34),'ID1&amp;5'!B:J,9,FALSE),"-")</f>
        <v>-</v>
      </c>
      <c r="N34" s="79" t="str">
        <f>+IFERROR(VLOOKUP(CONCATENATE(A34,$C$10,C34),'ID1&amp;5'!B:J,8,FALSE),"-")</f>
        <v>-</v>
      </c>
      <c r="O34" s="78" t="str">
        <f>+IFERROR(VLOOKUP(C34,'ID1&amp;5'!K:L,2,FALSE),"-")</f>
        <v>-</v>
      </c>
      <c r="P34" s="79" t="str">
        <f>+IFERROR(VLOOKUP(CONCATENATE(A34,$C$10,C34),'ID1&amp;5'!B:J,9,FALSE),"-")</f>
        <v>-</v>
      </c>
      <c r="Q34" s="78" t="str">
        <f>+IFERROR(VLOOKUP(D34,'ID1&amp;5'!K:L,2,FALSE),"-")</f>
        <v>-</v>
      </c>
      <c r="R34" s="26" t="str">
        <f>+IFERROR(VLOOKUP(CONCATENATE(A34,$D$10,D34),'ID1&amp;5'!B:J,9,FALSE),"-")</f>
        <v>-</v>
      </c>
      <c r="S34" s="78" t="str">
        <f>+IFERROR(VLOOKUP(E34,'ID1&amp;5'!K:L,2,FALSE),"-")</f>
        <v>-</v>
      </c>
      <c r="T34" s="79" t="str">
        <f>+IFERROR(VLOOKUP(CONCATENATE(A34,$E$10,E34),'ID1&amp;5'!B:J,9,FALSE),"-")</f>
        <v>-</v>
      </c>
      <c r="U34" s="78" t="str">
        <f>+IFERROR(VLOOKUP(F34,'ID1&amp;5'!K:L,2,FALSE),"-")</f>
        <v>-</v>
      </c>
      <c r="V34" s="79" t="str">
        <f>+IFERROR(VLOOKUP(CONCATENATE(A34,$F$10,F34),'ID1&amp;5'!B:J,9,FALSE),"-")</f>
        <v>-</v>
      </c>
      <c r="W34" s="26" t="str">
        <f>+IFERROR(VLOOKUP(A34,'ID6&amp;7'!A:I,9,FALSE),"-")</f>
        <v>-</v>
      </c>
      <c r="X34" s="26" t="str">
        <f>+IFERROR(VLOOKUP(A34,'ID6&amp;7'!A:J,10,FALSE),"-")</f>
        <v>-</v>
      </c>
      <c r="Y34" s="26"/>
      <c r="Z34" s="27" t="str">
        <f t="shared" si="1"/>
        <v>Por iniciar</v>
      </c>
    </row>
    <row r="35" spans="1:26">
      <c r="A35" s="20" t="str">
        <f t="shared" si="0"/>
        <v>UNIV_OPERcproduto45991</v>
      </c>
      <c r="B35" s="66">
        <f t="array" ref="B35">+MAX(IF('ID1&amp;5'!A:A='1. Status'!A35&amp;'1. Status'!$B$10,'ID1&amp;5'!K:K))</f>
        <v>0</v>
      </c>
      <c r="C35" s="60">
        <f t="array" ref="C35">+MAX(IF('ID1&amp;5'!A:A='1. Status'!A35&amp;'1. Status'!$C$10,'ID1&amp;5'!K:K))</f>
        <v>0</v>
      </c>
      <c r="D35" s="60">
        <f t="array" ref="D35">+MAX(IF('ID1&amp;5'!A:A='1. Status'!A35&amp;'1. Status'!$D$10,'ID1&amp;5'!K:K))</f>
        <v>0</v>
      </c>
      <c r="E35" s="60">
        <f t="array" ref="E35">+MAX(IF('ID1&amp;5'!A:A='1. Status'!A35&amp;'1. Status'!$E$10,'ID1&amp;5'!K:K))</f>
        <v>0</v>
      </c>
      <c r="F35" s="67">
        <f t="array" ref="F35">+MAX(IF('ID1&amp;5'!A:A='1. Status'!A35&amp;'1. Status'!$F$10,'ID1&amp;5'!K:K))</f>
        <v>0</v>
      </c>
      <c r="G35" s="60"/>
      <c r="H35" s="65" t="s">
        <v>1080</v>
      </c>
      <c r="I35" s="21" t="s">
        <v>1105</v>
      </c>
      <c r="J35" s="26">
        <f>+COUNTIF('ID1&amp;5'!G:G,'1. Status'!I35)</f>
        <v>0</v>
      </c>
      <c r="K35" s="79" t="str">
        <f>+IFERROR(VLOOKUP(CONCATENATE(A35,$B$10,B35),'ID1&amp;5'!B:J,8,FALSE),"-")</f>
        <v>-</v>
      </c>
      <c r="L35" s="78" t="str">
        <f>+IFERROR(VLOOKUP(B35,'ID1&amp;5'!K:L,2,FALSE),"-")</f>
        <v>-</v>
      </c>
      <c r="M35" s="79" t="str">
        <f>+IFERROR(VLOOKUP(CONCATENATE(A35,$B$10,B35),'ID1&amp;5'!B:J,9,FALSE),"-")</f>
        <v>-</v>
      </c>
      <c r="N35" s="79" t="str">
        <f>+IFERROR(VLOOKUP(CONCATENATE(A35,$C$10,C35),'ID1&amp;5'!B:J,8,FALSE),"-")</f>
        <v>-</v>
      </c>
      <c r="O35" s="78" t="str">
        <f>+IFERROR(VLOOKUP(C35,'ID1&amp;5'!K:L,2,FALSE),"-")</f>
        <v>-</v>
      </c>
      <c r="P35" s="79" t="str">
        <f>+IFERROR(VLOOKUP(CONCATENATE(A35,$C$10,C35),'ID1&amp;5'!B:J,9,FALSE),"-")</f>
        <v>-</v>
      </c>
      <c r="Q35" s="78" t="str">
        <f>+IFERROR(VLOOKUP(D35,'ID1&amp;5'!K:L,2,FALSE),"-")</f>
        <v>-</v>
      </c>
      <c r="R35" s="26" t="str">
        <f>+IFERROR(VLOOKUP(CONCATENATE(A35,$D$10,D35),'ID1&amp;5'!B:J,9,FALSE),"-")</f>
        <v>-</v>
      </c>
      <c r="S35" s="78" t="str">
        <f>+IFERROR(VLOOKUP(E35,'ID1&amp;5'!K:L,2,FALSE),"-")</f>
        <v>-</v>
      </c>
      <c r="T35" s="79" t="str">
        <f>+IFERROR(VLOOKUP(CONCATENATE(A35,$E$10,E35),'ID1&amp;5'!B:J,9,FALSE),"-")</f>
        <v>-</v>
      </c>
      <c r="U35" s="78" t="str">
        <f>+IFERROR(VLOOKUP(F35,'ID1&amp;5'!K:L,2,FALSE),"-")</f>
        <v>-</v>
      </c>
      <c r="V35" s="79" t="str">
        <f>+IFERROR(VLOOKUP(CONCATENATE(A35,$F$10,F35),'ID1&amp;5'!B:J,9,FALSE),"-")</f>
        <v>-</v>
      </c>
      <c r="W35" s="26" t="str">
        <f>+IFERROR(VLOOKUP(A35,'ID6&amp;7'!A:I,9,FALSE),"-")</f>
        <v>-</v>
      </c>
      <c r="X35" s="26" t="str">
        <f>+IFERROR(VLOOKUP(A35,'ID6&amp;7'!A:J,10,FALSE),"-")</f>
        <v>-</v>
      </c>
      <c r="Y35" s="26"/>
      <c r="Z35" s="27" t="str">
        <f t="shared" si="1"/>
        <v>Por iniciar</v>
      </c>
    </row>
    <row r="36" spans="1:26">
      <c r="A36" s="20" t="str">
        <f t="shared" si="0"/>
        <v>UNIV_OPERsubproduto45991</v>
      </c>
      <c r="B36" s="66">
        <f t="array" ref="B36">+MAX(IF('ID1&amp;5'!A:A='1. Status'!A36&amp;'1. Status'!$B$10,'ID1&amp;5'!K:K))</f>
        <v>0</v>
      </c>
      <c r="C36" s="60">
        <f t="array" ref="C36">+MAX(IF('ID1&amp;5'!A:A='1. Status'!A36&amp;'1. Status'!$C$10,'ID1&amp;5'!K:K))</f>
        <v>0</v>
      </c>
      <c r="D36" s="60">
        <f t="array" ref="D36">+MAX(IF('ID1&amp;5'!A:A='1. Status'!A36&amp;'1. Status'!$D$10,'ID1&amp;5'!K:K))</f>
        <v>0</v>
      </c>
      <c r="E36" s="60">
        <f t="array" ref="E36">+MAX(IF('ID1&amp;5'!A:A='1. Status'!A36&amp;'1. Status'!$E$10,'ID1&amp;5'!K:K))</f>
        <v>0</v>
      </c>
      <c r="F36" s="67">
        <f t="array" ref="F36">+MAX(IF('ID1&amp;5'!A:A='1. Status'!A36&amp;'1. Status'!$F$10,'ID1&amp;5'!K:K))</f>
        <v>0</v>
      </c>
      <c r="G36" s="60"/>
      <c r="H36" s="65" t="s">
        <v>1080</v>
      </c>
      <c r="I36" s="21" t="s">
        <v>1106</v>
      </c>
      <c r="J36" s="26">
        <f>+COUNTIF('ID1&amp;5'!G:G,'1. Status'!I36)</f>
        <v>0</v>
      </c>
      <c r="K36" s="79" t="str">
        <f>+IFERROR(VLOOKUP(CONCATENATE(A36,$B$10,B36),'ID1&amp;5'!B:J,8,FALSE),"-")</f>
        <v>-</v>
      </c>
      <c r="L36" s="78" t="str">
        <f>+IFERROR(VLOOKUP(B36,'ID1&amp;5'!K:L,2,FALSE),"-")</f>
        <v>-</v>
      </c>
      <c r="M36" s="79" t="str">
        <f>+IFERROR(VLOOKUP(CONCATENATE(A36,$B$10,B36),'ID1&amp;5'!B:J,9,FALSE),"-")</f>
        <v>-</v>
      </c>
      <c r="N36" s="79" t="str">
        <f>+IFERROR(VLOOKUP(CONCATENATE(A36,$C$10,C36),'ID1&amp;5'!B:J,8,FALSE),"-")</f>
        <v>-</v>
      </c>
      <c r="O36" s="78" t="str">
        <f>+IFERROR(VLOOKUP(C36,'ID1&amp;5'!K:L,2,FALSE),"-")</f>
        <v>-</v>
      </c>
      <c r="P36" s="79" t="str">
        <f>+IFERROR(VLOOKUP(CONCATENATE(A36,$C$10,C36),'ID1&amp;5'!B:J,9,FALSE),"-")</f>
        <v>-</v>
      </c>
      <c r="Q36" s="78" t="str">
        <f>+IFERROR(VLOOKUP(D36,'ID1&amp;5'!K:L,2,FALSE),"-")</f>
        <v>-</v>
      </c>
      <c r="R36" s="26" t="str">
        <f>+IFERROR(VLOOKUP(CONCATENATE(A36,$D$10,D36),'ID1&amp;5'!B:J,9,FALSE),"-")</f>
        <v>-</v>
      </c>
      <c r="S36" s="78" t="str">
        <f>+IFERROR(VLOOKUP(E36,'ID1&amp;5'!K:L,2,FALSE),"-")</f>
        <v>-</v>
      </c>
      <c r="T36" s="79" t="str">
        <f>+IFERROR(VLOOKUP(CONCATENATE(A36,$E$10,E36),'ID1&amp;5'!B:J,9,FALSE),"-")</f>
        <v>-</v>
      </c>
      <c r="U36" s="78" t="str">
        <f>+IFERROR(VLOOKUP(F36,'ID1&amp;5'!K:L,2,FALSE),"-")</f>
        <v>-</v>
      </c>
      <c r="V36" s="79" t="str">
        <f>+IFERROR(VLOOKUP(CONCATENATE(A36,$F$10,F36),'ID1&amp;5'!B:J,9,FALSE),"-")</f>
        <v>-</v>
      </c>
      <c r="W36" s="26" t="str">
        <f>+IFERROR(VLOOKUP(A36,'ID6&amp;7'!A:I,9,FALSE),"-")</f>
        <v>-</v>
      </c>
      <c r="X36" s="26" t="str">
        <f>+IFERROR(VLOOKUP(A36,'ID6&amp;7'!A:J,10,FALSE),"-")</f>
        <v>-</v>
      </c>
      <c r="Y36" s="26"/>
      <c r="Z36" s="27" t="str">
        <f t="shared" si="1"/>
        <v>Por iniciar</v>
      </c>
    </row>
    <row r="37" spans="1:26">
      <c r="A37" s="20" t="str">
        <f t="shared" si="0"/>
        <v>UNIV_OPERcod_ajust45991</v>
      </c>
      <c r="B37" s="66">
        <f t="array" ref="B37">+MAX(IF('ID1&amp;5'!A:A='1. Status'!A37&amp;'1. Status'!$B$10,'ID1&amp;5'!K:K))</f>
        <v>0</v>
      </c>
      <c r="C37" s="60">
        <f t="array" ref="C37">+MAX(IF('ID1&amp;5'!A:A='1. Status'!A37&amp;'1. Status'!$C$10,'ID1&amp;5'!K:K))</f>
        <v>0</v>
      </c>
      <c r="D37" s="60">
        <f t="array" ref="D37">+MAX(IF('ID1&amp;5'!A:A='1. Status'!A37&amp;'1. Status'!$D$10,'ID1&amp;5'!K:K))</f>
        <v>0</v>
      </c>
      <c r="E37" s="60">
        <f t="array" ref="E37">+MAX(IF('ID1&amp;5'!A:A='1. Status'!A37&amp;'1. Status'!$E$10,'ID1&amp;5'!K:K))</f>
        <v>0</v>
      </c>
      <c r="F37" s="67">
        <f t="array" ref="F37">+MAX(IF('ID1&amp;5'!A:A='1. Status'!A37&amp;'1. Status'!$F$10,'ID1&amp;5'!K:K))</f>
        <v>0</v>
      </c>
      <c r="G37" s="60"/>
      <c r="H37" s="65" t="s">
        <v>1080</v>
      </c>
      <c r="I37" s="21" t="s">
        <v>1107</v>
      </c>
      <c r="J37" s="26">
        <f>+COUNTIF('ID1&amp;5'!G:G,'1. Status'!I37)</f>
        <v>0</v>
      </c>
      <c r="K37" s="79" t="str">
        <f>+IFERROR(VLOOKUP(CONCATENATE(A37,$B$10,B37),'ID1&amp;5'!B:J,8,FALSE),"-")</f>
        <v>-</v>
      </c>
      <c r="L37" s="78" t="str">
        <f>+IFERROR(VLOOKUP(B37,'ID1&amp;5'!K:L,2,FALSE),"-")</f>
        <v>-</v>
      </c>
      <c r="M37" s="79" t="str">
        <f>+IFERROR(VLOOKUP(CONCATENATE(A37,$B$10,B37),'ID1&amp;5'!B:J,9,FALSE),"-")</f>
        <v>-</v>
      </c>
      <c r="N37" s="79" t="str">
        <f>+IFERROR(VLOOKUP(CONCATENATE(A37,$C$10,C37),'ID1&amp;5'!B:J,8,FALSE),"-")</f>
        <v>-</v>
      </c>
      <c r="O37" s="78" t="str">
        <f>+IFERROR(VLOOKUP(C37,'ID1&amp;5'!K:L,2,FALSE),"-")</f>
        <v>-</v>
      </c>
      <c r="P37" s="79" t="str">
        <f>+IFERROR(VLOOKUP(CONCATENATE(A37,$C$10,C37),'ID1&amp;5'!B:J,9,FALSE),"-")</f>
        <v>-</v>
      </c>
      <c r="Q37" s="78" t="str">
        <f>+IFERROR(VLOOKUP(D37,'ID1&amp;5'!K:L,2,FALSE),"-")</f>
        <v>-</v>
      </c>
      <c r="R37" s="26" t="str">
        <f>+IFERROR(VLOOKUP(CONCATENATE(A37,$D$10,D37),'ID1&amp;5'!B:J,9,FALSE),"-")</f>
        <v>-</v>
      </c>
      <c r="S37" s="78" t="str">
        <f>+IFERROR(VLOOKUP(E37,'ID1&amp;5'!K:L,2,FALSE),"-")</f>
        <v>-</v>
      </c>
      <c r="T37" s="79" t="str">
        <f>+IFERROR(VLOOKUP(CONCATENATE(A37,$E$10,E37),'ID1&amp;5'!B:J,9,FALSE),"-")</f>
        <v>-</v>
      </c>
      <c r="U37" s="78" t="str">
        <f>+IFERROR(VLOOKUP(F37,'ID1&amp;5'!K:L,2,FALSE),"-")</f>
        <v>-</v>
      </c>
      <c r="V37" s="79" t="str">
        <f>+IFERROR(VLOOKUP(CONCATENATE(A37,$F$10,F37),'ID1&amp;5'!B:J,9,FALSE),"-")</f>
        <v>-</v>
      </c>
      <c r="W37" s="26" t="str">
        <f>+IFERROR(VLOOKUP(A37,'ID6&amp;7'!A:I,9,FALSE),"-")</f>
        <v>-</v>
      </c>
      <c r="X37" s="26" t="str">
        <f>+IFERROR(VLOOKUP(A37,'ID6&amp;7'!A:J,10,FALSE),"-")</f>
        <v>-</v>
      </c>
      <c r="Y37" s="26"/>
      <c r="Z37" s="27" t="str">
        <f t="shared" si="1"/>
        <v>Por iniciar</v>
      </c>
    </row>
    <row r="38" spans="1:26">
      <c r="A38" s="20" t="str">
        <f t="shared" si="0"/>
        <v>UNIV_OPERtipo_ajuste45991</v>
      </c>
      <c r="B38" s="66">
        <f t="array" ref="B38">+MAX(IF('ID1&amp;5'!A:A='1. Status'!A38&amp;'1. Status'!$B$10,'ID1&amp;5'!K:K))</f>
        <v>0</v>
      </c>
      <c r="C38" s="60">
        <f t="array" ref="C38">+MAX(IF('ID1&amp;5'!A:A='1. Status'!A38&amp;'1. Status'!$C$10,'ID1&amp;5'!K:K))</f>
        <v>0</v>
      </c>
      <c r="D38" s="60">
        <f t="array" ref="D38">+MAX(IF('ID1&amp;5'!A:A='1. Status'!A38&amp;'1. Status'!$D$10,'ID1&amp;5'!K:K))</f>
        <v>0</v>
      </c>
      <c r="E38" s="60">
        <f t="array" ref="E38">+MAX(IF('ID1&amp;5'!A:A='1. Status'!A38&amp;'1. Status'!$E$10,'ID1&amp;5'!K:K))</f>
        <v>0</v>
      </c>
      <c r="F38" s="67">
        <f t="array" ref="F38">+MAX(IF('ID1&amp;5'!A:A='1. Status'!A38&amp;'1. Status'!$F$10,'ID1&amp;5'!K:K))</f>
        <v>0</v>
      </c>
      <c r="G38" s="60"/>
      <c r="H38" s="65" t="s">
        <v>1080</v>
      </c>
      <c r="I38" s="21" t="s">
        <v>1108</v>
      </c>
      <c r="J38" s="26">
        <f>+COUNTIF('ID1&amp;5'!G:G,'1. Status'!I38)</f>
        <v>0</v>
      </c>
      <c r="K38" s="79" t="str">
        <f>+IFERROR(VLOOKUP(CONCATENATE(A38,$B$10,B38),'ID1&amp;5'!B:J,8,FALSE),"-")</f>
        <v>-</v>
      </c>
      <c r="L38" s="78" t="str">
        <f>+IFERROR(VLOOKUP(B38,'ID1&amp;5'!K:L,2,FALSE),"-")</f>
        <v>-</v>
      </c>
      <c r="M38" s="79" t="str">
        <f>+IFERROR(VLOOKUP(CONCATENATE(A38,$B$10,B38),'ID1&amp;5'!B:J,9,FALSE),"-")</f>
        <v>-</v>
      </c>
      <c r="N38" s="79" t="str">
        <f>+IFERROR(VLOOKUP(CONCATENATE(A38,$C$10,C38),'ID1&amp;5'!B:J,8,FALSE),"-")</f>
        <v>-</v>
      </c>
      <c r="O38" s="78" t="str">
        <f>+IFERROR(VLOOKUP(C38,'ID1&amp;5'!K:L,2,FALSE),"-")</f>
        <v>-</v>
      </c>
      <c r="P38" s="79" t="str">
        <f>+IFERROR(VLOOKUP(CONCATENATE(A38,$C$10,C38),'ID1&amp;5'!B:J,9,FALSE),"-")</f>
        <v>-</v>
      </c>
      <c r="Q38" s="78" t="str">
        <f>+IFERROR(VLOOKUP(D38,'ID1&amp;5'!K:L,2,FALSE),"-")</f>
        <v>-</v>
      </c>
      <c r="R38" s="26" t="str">
        <f>+IFERROR(VLOOKUP(CONCATENATE(A38,$D$10,D38),'ID1&amp;5'!B:J,9,FALSE),"-")</f>
        <v>-</v>
      </c>
      <c r="S38" s="78" t="str">
        <f>+IFERROR(VLOOKUP(E38,'ID1&amp;5'!K:L,2,FALSE),"-")</f>
        <v>-</v>
      </c>
      <c r="T38" s="79" t="str">
        <f>+IFERROR(VLOOKUP(CONCATENATE(A38,$E$10,E38),'ID1&amp;5'!B:J,9,FALSE),"-")</f>
        <v>-</v>
      </c>
      <c r="U38" s="78" t="str">
        <f>+IFERROR(VLOOKUP(F38,'ID1&amp;5'!K:L,2,FALSE),"-")</f>
        <v>-</v>
      </c>
      <c r="V38" s="79" t="str">
        <f>+IFERROR(VLOOKUP(CONCATENATE(A38,$F$10,F38),'ID1&amp;5'!B:J,9,FALSE),"-")</f>
        <v>-</v>
      </c>
      <c r="W38" s="26" t="str">
        <f>+IFERROR(VLOOKUP(A38,'ID6&amp;7'!A:I,9,FALSE),"-")</f>
        <v>-</v>
      </c>
      <c r="X38" s="26" t="str">
        <f>+IFERROR(VLOOKUP(A38,'ID6&amp;7'!A:J,10,FALSE),"-")</f>
        <v>-</v>
      </c>
      <c r="Y38" s="26"/>
      <c r="Z38" s="27" t="str">
        <f t="shared" si="1"/>
        <v>Por iniciar</v>
      </c>
    </row>
    <row r="39" spans="1:26">
      <c r="A39" s="20" t="str">
        <f t="shared" si="0"/>
        <v>UNIV_OPERdesc_ajuste45991</v>
      </c>
      <c r="B39" s="66">
        <f t="array" ref="B39">+MAX(IF('ID1&amp;5'!A:A='1. Status'!A39&amp;'1. Status'!$B$10,'ID1&amp;5'!K:K))</f>
        <v>0</v>
      </c>
      <c r="C39" s="60">
        <f t="array" ref="C39">+MAX(IF('ID1&amp;5'!A:A='1. Status'!A39&amp;'1. Status'!$C$10,'ID1&amp;5'!K:K))</f>
        <v>0</v>
      </c>
      <c r="D39" s="60">
        <f t="array" ref="D39">+MAX(IF('ID1&amp;5'!A:A='1. Status'!A39&amp;'1. Status'!$D$10,'ID1&amp;5'!K:K))</f>
        <v>0</v>
      </c>
      <c r="E39" s="60">
        <f t="array" ref="E39">+MAX(IF('ID1&amp;5'!A:A='1. Status'!A39&amp;'1. Status'!$E$10,'ID1&amp;5'!K:K))</f>
        <v>0</v>
      </c>
      <c r="F39" s="67">
        <f t="array" ref="F39">+MAX(IF('ID1&amp;5'!A:A='1. Status'!A39&amp;'1. Status'!$F$10,'ID1&amp;5'!K:K))</f>
        <v>0</v>
      </c>
      <c r="G39" s="60"/>
      <c r="H39" s="65" t="s">
        <v>1080</v>
      </c>
      <c r="I39" s="21" t="s">
        <v>1109</v>
      </c>
      <c r="J39" s="26">
        <f>+COUNTIF('ID1&amp;5'!G:G,'1. Status'!I39)</f>
        <v>0</v>
      </c>
      <c r="K39" s="79" t="str">
        <f>+IFERROR(VLOOKUP(CONCATENATE(A39,$B$10,B39),'ID1&amp;5'!B:J,8,FALSE),"-")</f>
        <v>-</v>
      </c>
      <c r="L39" s="78" t="str">
        <f>+IFERROR(VLOOKUP(B39,'ID1&amp;5'!K:L,2,FALSE),"-")</f>
        <v>-</v>
      </c>
      <c r="M39" s="79" t="str">
        <f>+IFERROR(VLOOKUP(CONCATENATE(A39,$B$10,B39),'ID1&amp;5'!B:J,9,FALSE),"-")</f>
        <v>-</v>
      </c>
      <c r="N39" s="79" t="str">
        <f>+IFERROR(VLOOKUP(CONCATENATE(A39,$C$10,C39),'ID1&amp;5'!B:J,8,FALSE),"-")</f>
        <v>-</v>
      </c>
      <c r="O39" s="78" t="str">
        <f>+IFERROR(VLOOKUP(C39,'ID1&amp;5'!K:L,2,FALSE),"-")</f>
        <v>-</v>
      </c>
      <c r="P39" s="79" t="str">
        <f>+IFERROR(VLOOKUP(CONCATENATE(A39,$C$10,C39),'ID1&amp;5'!B:J,9,FALSE),"-")</f>
        <v>-</v>
      </c>
      <c r="Q39" s="78" t="str">
        <f>+IFERROR(VLOOKUP(D39,'ID1&amp;5'!K:L,2,FALSE),"-")</f>
        <v>-</v>
      </c>
      <c r="R39" s="26" t="str">
        <f>+IFERROR(VLOOKUP(CONCATENATE(A39,$D$10,D39),'ID1&amp;5'!B:J,9,FALSE),"-")</f>
        <v>-</v>
      </c>
      <c r="S39" s="78" t="str">
        <f>+IFERROR(VLOOKUP(E39,'ID1&amp;5'!K:L,2,FALSE),"-")</f>
        <v>-</v>
      </c>
      <c r="T39" s="79" t="str">
        <f>+IFERROR(VLOOKUP(CONCATENATE(A39,$E$10,E39),'ID1&amp;5'!B:J,9,FALSE),"-")</f>
        <v>-</v>
      </c>
      <c r="U39" s="78" t="str">
        <f>+IFERROR(VLOOKUP(F39,'ID1&amp;5'!K:L,2,FALSE),"-")</f>
        <v>-</v>
      </c>
      <c r="V39" s="79" t="str">
        <f>+IFERROR(VLOOKUP(CONCATENATE(A39,$F$10,F39),'ID1&amp;5'!B:J,9,FALSE),"-")</f>
        <v>-</v>
      </c>
      <c r="W39" s="26" t="str">
        <f>+IFERROR(VLOOKUP(A39,'ID6&amp;7'!A:I,9,FALSE),"-")</f>
        <v>-</v>
      </c>
      <c r="X39" s="26" t="str">
        <f>+IFERROR(VLOOKUP(A39,'ID6&amp;7'!A:J,10,FALSE),"-")</f>
        <v>-</v>
      </c>
      <c r="Y39" s="26"/>
      <c r="Z39" s="27" t="str">
        <f t="shared" si="1"/>
        <v>Por iniciar</v>
      </c>
    </row>
    <row r="40" spans="1:26">
      <c r="A40" s="20" t="str">
        <f t="shared" si="0"/>
        <v>UNIV_OPERordem_lt80145991</v>
      </c>
      <c r="B40" s="66">
        <f t="array" ref="B40">+MAX(IF('ID1&amp;5'!A:A='1. Status'!A40&amp;'1. Status'!$B$10,'ID1&amp;5'!K:K))</f>
        <v>0</v>
      </c>
      <c r="C40" s="60">
        <f t="array" ref="C40">+MAX(IF('ID1&amp;5'!A:A='1. Status'!A40&amp;'1. Status'!$C$10,'ID1&amp;5'!K:K))</f>
        <v>0</v>
      </c>
      <c r="D40" s="60">
        <f t="array" ref="D40">+MAX(IF('ID1&amp;5'!A:A='1. Status'!A40&amp;'1. Status'!$D$10,'ID1&amp;5'!K:K))</f>
        <v>0</v>
      </c>
      <c r="E40" s="60">
        <f t="array" ref="E40">+MAX(IF('ID1&amp;5'!A:A='1. Status'!A40&amp;'1. Status'!$E$10,'ID1&amp;5'!K:K))</f>
        <v>0</v>
      </c>
      <c r="F40" s="67">
        <f t="array" ref="F40">+MAX(IF('ID1&amp;5'!A:A='1. Status'!A40&amp;'1. Status'!$F$10,'ID1&amp;5'!K:K))</f>
        <v>0</v>
      </c>
      <c r="G40" s="60"/>
      <c r="H40" s="65" t="s">
        <v>1080</v>
      </c>
      <c r="I40" s="21" t="s">
        <v>1110</v>
      </c>
      <c r="J40" s="26">
        <f>+COUNTIF('ID1&amp;5'!G:G,'1. Status'!I40)</f>
        <v>0</v>
      </c>
      <c r="K40" s="79" t="str">
        <f>+IFERROR(VLOOKUP(CONCATENATE(A40,$B$10,B40),'ID1&amp;5'!B:J,8,FALSE),"-")</f>
        <v>-</v>
      </c>
      <c r="L40" s="78" t="str">
        <f>+IFERROR(VLOOKUP(B40,'ID1&amp;5'!K:L,2,FALSE),"-")</f>
        <v>-</v>
      </c>
      <c r="M40" s="79" t="str">
        <f>+IFERROR(VLOOKUP(CONCATENATE(A40,$B$10,B40),'ID1&amp;5'!B:J,9,FALSE),"-")</f>
        <v>-</v>
      </c>
      <c r="N40" s="79" t="str">
        <f>+IFERROR(VLOOKUP(CONCATENATE(A40,$C$10,C40),'ID1&amp;5'!B:J,8,FALSE),"-")</f>
        <v>-</v>
      </c>
      <c r="O40" s="78" t="str">
        <f>+IFERROR(VLOOKUP(C40,'ID1&amp;5'!K:L,2,FALSE),"-")</f>
        <v>-</v>
      </c>
      <c r="P40" s="79" t="str">
        <f>+IFERROR(VLOOKUP(CONCATENATE(A40,$C$10,C40),'ID1&amp;5'!B:J,9,FALSE),"-")</f>
        <v>-</v>
      </c>
      <c r="Q40" s="78" t="str">
        <f>+IFERROR(VLOOKUP(D40,'ID1&amp;5'!K:L,2,FALSE),"-")</f>
        <v>-</v>
      </c>
      <c r="R40" s="26" t="str">
        <f>+IFERROR(VLOOKUP(CONCATENATE(A40,$D$10,D40),'ID1&amp;5'!B:J,9,FALSE),"-")</f>
        <v>-</v>
      </c>
      <c r="S40" s="78" t="str">
        <f>+IFERROR(VLOOKUP(E40,'ID1&amp;5'!K:L,2,FALSE),"-")</f>
        <v>-</v>
      </c>
      <c r="T40" s="79" t="str">
        <f>+IFERROR(VLOOKUP(CONCATENATE(A40,$E$10,E40),'ID1&amp;5'!B:J,9,FALSE),"-")</f>
        <v>-</v>
      </c>
      <c r="U40" s="78" t="str">
        <f>+IFERROR(VLOOKUP(F40,'ID1&amp;5'!K:L,2,FALSE),"-")</f>
        <v>-</v>
      </c>
      <c r="V40" s="79" t="str">
        <f>+IFERROR(VLOOKUP(CONCATENATE(A40,$F$10,F40),'ID1&amp;5'!B:J,9,FALSE),"-")</f>
        <v>-</v>
      </c>
      <c r="W40" s="26" t="str">
        <f>+IFERROR(VLOOKUP(A40,'ID6&amp;7'!A:I,9,FALSE),"-")</f>
        <v>-</v>
      </c>
      <c r="X40" s="26" t="str">
        <f>+IFERROR(VLOOKUP(A40,'ID6&amp;7'!A:J,10,FALSE),"-")</f>
        <v>-</v>
      </c>
      <c r="Y40" s="26"/>
      <c r="Z40" s="27" t="str">
        <f t="shared" si="1"/>
        <v>Por iniciar</v>
      </c>
    </row>
    <row r="41" spans="1:26">
      <c r="A41" s="20" t="str">
        <f t="shared" si="0"/>
        <v>UNIV_OPERflag_lvrg_finc45991</v>
      </c>
      <c r="B41" s="66">
        <f t="array" ref="B41">+MAX(IF('ID1&amp;5'!A:A='1. Status'!A41&amp;'1. Status'!$B$10,'ID1&amp;5'!K:K))</f>
        <v>0</v>
      </c>
      <c r="C41" s="60">
        <f t="array" ref="C41">+MAX(IF('ID1&amp;5'!A:A='1. Status'!A41&amp;'1. Status'!$C$10,'ID1&amp;5'!K:K))</f>
        <v>0</v>
      </c>
      <c r="D41" s="60">
        <f t="array" ref="D41">+MAX(IF('ID1&amp;5'!A:A='1. Status'!A41&amp;'1. Status'!$D$10,'ID1&amp;5'!K:K))</f>
        <v>0</v>
      </c>
      <c r="E41" s="60">
        <f t="array" ref="E41">+MAX(IF('ID1&amp;5'!A:A='1. Status'!A41&amp;'1. Status'!$E$10,'ID1&amp;5'!K:K))</f>
        <v>0</v>
      </c>
      <c r="F41" s="67">
        <f t="array" ref="F41">+MAX(IF('ID1&amp;5'!A:A='1. Status'!A41&amp;'1. Status'!$F$10,'ID1&amp;5'!K:K))</f>
        <v>0</v>
      </c>
      <c r="G41" s="60"/>
      <c r="H41" s="65" t="s">
        <v>1080</v>
      </c>
      <c r="I41" s="21" t="s">
        <v>1111</v>
      </c>
      <c r="J41" s="26">
        <f>+COUNTIF('ID1&amp;5'!G:G,'1. Status'!I41)</f>
        <v>0</v>
      </c>
      <c r="K41" s="79" t="str">
        <f>+IFERROR(VLOOKUP(CONCATENATE(A41,$B$10,B41),'ID1&amp;5'!B:J,8,FALSE),"-")</f>
        <v>-</v>
      </c>
      <c r="L41" s="78" t="str">
        <f>+IFERROR(VLOOKUP(B41,'ID1&amp;5'!K:L,2,FALSE),"-")</f>
        <v>-</v>
      </c>
      <c r="M41" s="79" t="str">
        <f>+IFERROR(VLOOKUP(CONCATENATE(A41,$B$10,B41),'ID1&amp;5'!B:J,9,FALSE),"-")</f>
        <v>-</v>
      </c>
      <c r="N41" s="79" t="str">
        <f>+IFERROR(VLOOKUP(CONCATENATE(A41,$C$10,C41),'ID1&amp;5'!B:J,8,FALSE),"-")</f>
        <v>-</v>
      </c>
      <c r="O41" s="78" t="str">
        <f>+IFERROR(VLOOKUP(C41,'ID1&amp;5'!K:L,2,FALSE),"-")</f>
        <v>-</v>
      </c>
      <c r="P41" s="79" t="str">
        <f>+IFERROR(VLOOKUP(CONCATENATE(A41,$C$10,C41),'ID1&amp;5'!B:J,9,FALSE),"-")</f>
        <v>-</v>
      </c>
      <c r="Q41" s="78" t="str">
        <f>+IFERROR(VLOOKUP(D41,'ID1&amp;5'!K:L,2,FALSE),"-")</f>
        <v>-</v>
      </c>
      <c r="R41" s="26" t="str">
        <f>+IFERROR(VLOOKUP(CONCATENATE(A41,$D$10,D41),'ID1&amp;5'!B:J,9,FALSE),"-")</f>
        <v>-</v>
      </c>
      <c r="S41" s="78" t="str">
        <f>+IFERROR(VLOOKUP(E41,'ID1&amp;5'!K:L,2,FALSE),"-")</f>
        <v>-</v>
      </c>
      <c r="T41" s="79" t="str">
        <f>+IFERROR(VLOOKUP(CONCATENATE(A41,$E$10,E41),'ID1&amp;5'!B:J,9,FALSE),"-")</f>
        <v>-</v>
      </c>
      <c r="U41" s="78" t="str">
        <f>+IFERROR(VLOOKUP(F41,'ID1&amp;5'!K:L,2,FALSE),"-")</f>
        <v>-</v>
      </c>
      <c r="V41" s="79" t="str">
        <f>+IFERROR(VLOOKUP(CONCATENATE(A41,$F$10,F41),'ID1&amp;5'!B:J,9,FALSE),"-")</f>
        <v>-</v>
      </c>
      <c r="W41" s="26" t="str">
        <f>+IFERROR(VLOOKUP(A41,'ID6&amp;7'!A:I,9,FALSE),"-")</f>
        <v>-</v>
      </c>
      <c r="X41" s="26" t="str">
        <f>+IFERROR(VLOOKUP(A41,'ID6&amp;7'!A:J,10,FALSE),"-")</f>
        <v>-</v>
      </c>
      <c r="Y41" s="26"/>
      <c r="Z41" s="27" t="str">
        <f t="shared" si="1"/>
        <v>Por iniciar</v>
      </c>
    </row>
    <row r="42" spans="1:26">
      <c r="A42" s="20" t="str">
        <f t="shared" si="0"/>
        <v>UNIV_OPERflag_pme45991</v>
      </c>
      <c r="B42" s="66">
        <f t="array" ref="B42">+MAX(IF('ID1&amp;5'!A:A='1. Status'!A42&amp;'1. Status'!$B$10,'ID1&amp;5'!K:K))</f>
        <v>0</v>
      </c>
      <c r="C42" s="60">
        <f t="array" ref="C42">+MAX(IF('ID1&amp;5'!A:A='1. Status'!A42&amp;'1. Status'!$C$10,'ID1&amp;5'!K:K))</f>
        <v>0</v>
      </c>
      <c r="D42" s="60">
        <f t="array" ref="D42">+MAX(IF('ID1&amp;5'!A:A='1. Status'!A42&amp;'1. Status'!$D$10,'ID1&amp;5'!K:K))</f>
        <v>0</v>
      </c>
      <c r="E42" s="60">
        <f t="array" ref="E42">+MAX(IF('ID1&amp;5'!A:A='1. Status'!A42&amp;'1. Status'!$E$10,'ID1&amp;5'!K:K))</f>
        <v>0</v>
      </c>
      <c r="F42" s="67">
        <f t="array" ref="F42">+MAX(IF('ID1&amp;5'!A:A='1. Status'!A42&amp;'1. Status'!$F$10,'ID1&amp;5'!K:K))</f>
        <v>0</v>
      </c>
      <c r="G42" s="60"/>
      <c r="H42" s="65" t="s">
        <v>1080</v>
      </c>
      <c r="I42" s="21" t="s">
        <v>1112</v>
      </c>
      <c r="J42" s="26">
        <f>+COUNTIF('ID1&amp;5'!G:G,'1. Status'!I42)</f>
        <v>0</v>
      </c>
      <c r="K42" s="79" t="str">
        <f>+IFERROR(VLOOKUP(CONCATENATE(A42,$B$10,B42),'ID1&amp;5'!B:J,8,FALSE),"-")</f>
        <v>-</v>
      </c>
      <c r="L42" s="78" t="str">
        <f>+IFERROR(VLOOKUP(B42,'ID1&amp;5'!K:L,2,FALSE),"-")</f>
        <v>-</v>
      </c>
      <c r="M42" s="79" t="str">
        <f>+IFERROR(VLOOKUP(CONCATENATE(A42,$B$10,B42),'ID1&amp;5'!B:J,9,FALSE),"-")</f>
        <v>-</v>
      </c>
      <c r="N42" s="79" t="str">
        <f>+IFERROR(VLOOKUP(CONCATENATE(A42,$C$10,C42),'ID1&amp;5'!B:J,8,FALSE),"-")</f>
        <v>-</v>
      </c>
      <c r="O42" s="78" t="str">
        <f>+IFERROR(VLOOKUP(C42,'ID1&amp;5'!K:L,2,FALSE),"-")</f>
        <v>-</v>
      </c>
      <c r="P42" s="79" t="str">
        <f>+IFERROR(VLOOKUP(CONCATENATE(A42,$C$10,C42),'ID1&amp;5'!B:J,9,FALSE),"-")</f>
        <v>-</v>
      </c>
      <c r="Q42" s="78" t="str">
        <f>+IFERROR(VLOOKUP(D42,'ID1&amp;5'!K:L,2,FALSE),"-")</f>
        <v>-</v>
      </c>
      <c r="R42" s="26" t="str">
        <f>+IFERROR(VLOOKUP(CONCATENATE(A42,$D$10,D42),'ID1&amp;5'!B:J,9,FALSE),"-")</f>
        <v>-</v>
      </c>
      <c r="S42" s="78" t="str">
        <f>+IFERROR(VLOOKUP(E42,'ID1&amp;5'!K:L,2,FALSE),"-")</f>
        <v>-</v>
      </c>
      <c r="T42" s="79" t="str">
        <f>+IFERROR(VLOOKUP(CONCATENATE(A42,$E$10,E42),'ID1&amp;5'!B:J,9,FALSE),"-")</f>
        <v>-</v>
      </c>
      <c r="U42" s="78" t="str">
        <f>+IFERROR(VLOOKUP(F42,'ID1&amp;5'!K:L,2,FALSE),"-")</f>
        <v>-</v>
      </c>
      <c r="V42" s="79" t="str">
        <f>+IFERROR(VLOOKUP(CONCATENATE(A42,$F$10,F42),'ID1&amp;5'!B:J,9,FALSE),"-")</f>
        <v>-</v>
      </c>
      <c r="W42" s="26" t="str">
        <f>+IFERROR(VLOOKUP(A42,'ID6&amp;7'!A:I,9,FALSE),"-")</f>
        <v>-</v>
      </c>
      <c r="X42" s="26" t="str">
        <f>+IFERROR(VLOOKUP(A42,'ID6&amp;7'!A:J,10,FALSE),"-")</f>
        <v>-</v>
      </c>
      <c r="Y42" s="26"/>
      <c r="Z42" s="27" t="str">
        <f t="shared" si="1"/>
        <v>Por iniciar</v>
      </c>
    </row>
    <row r="43" spans="1:26">
      <c r="A43" s="20" t="str">
        <f t="shared" si="0"/>
        <v>UNIV_OPERflag_inst_div45991</v>
      </c>
      <c r="B43" s="66">
        <f t="array" ref="B43">+MAX(IF('ID1&amp;5'!A:A='1. Status'!A43&amp;'1. Status'!$B$10,'ID1&amp;5'!K:K))</f>
        <v>0</v>
      </c>
      <c r="C43" s="60">
        <f t="array" ref="C43">+MAX(IF('ID1&amp;5'!A:A='1. Status'!A43&amp;'1. Status'!$C$10,'ID1&amp;5'!K:K))</f>
        <v>0</v>
      </c>
      <c r="D43" s="60">
        <f t="array" ref="D43">+MAX(IF('ID1&amp;5'!A:A='1. Status'!A43&amp;'1. Status'!$D$10,'ID1&amp;5'!K:K))</f>
        <v>0</v>
      </c>
      <c r="E43" s="60">
        <f t="array" ref="E43">+MAX(IF('ID1&amp;5'!A:A='1. Status'!A43&amp;'1. Status'!$E$10,'ID1&amp;5'!K:K))</f>
        <v>0</v>
      </c>
      <c r="F43" s="67">
        <f t="array" ref="F43">+MAX(IF('ID1&amp;5'!A:A='1. Status'!A43&amp;'1. Status'!$F$10,'ID1&amp;5'!K:K))</f>
        <v>0</v>
      </c>
      <c r="G43" s="60"/>
      <c r="H43" s="65" t="s">
        <v>1080</v>
      </c>
      <c r="I43" s="21" t="s">
        <v>1113</v>
      </c>
      <c r="J43" s="26">
        <f>+COUNTIF('ID1&amp;5'!G:G,'1. Status'!I43)</f>
        <v>1</v>
      </c>
      <c r="K43" s="79" t="str">
        <f>+IFERROR(VLOOKUP(CONCATENATE(A43,$B$10,B43),'ID1&amp;5'!B:J,8,FALSE),"-")</f>
        <v>-</v>
      </c>
      <c r="L43" s="78" t="str">
        <f>+IFERROR(VLOOKUP(B43,'ID1&amp;5'!K:L,2,FALSE),"-")</f>
        <v>-</v>
      </c>
      <c r="M43" s="79" t="str">
        <f>+IFERROR(VLOOKUP(CONCATENATE(A43,$B$10,B43),'ID1&amp;5'!B:J,9,FALSE),"-")</f>
        <v>-</v>
      </c>
      <c r="N43" s="79" t="str">
        <f>+IFERROR(VLOOKUP(CONCATENATE(A43,$C$10,C43),'ID1&amp;5'!B:J,8,FALSE),"-")</f>
        <v>-</v>
      </c>
      <c r="O43" s="78" t="str">
        <f>+IFERROR(VLOOKUP(C43,'ID1&amp;5'!K:L,2,FALSE),"-")</f>
        <v>-</v>
      </c>
      <c r="P43" s="79" t="str">
        <f>+IFERROR(VLOOKUP(CONCATENATE(A43,$C$10,C43),'ID1&amp;5'!B:J,9,FALSE),"-")</f>
        <v>-</v>
      </c>
      <c r="Q43" s="78" t="str">
        <f>+IFERROR(VLOOKUP(D43,'ID1&amp;5'!K:L,2,FALSE),"-")</f>
        <v>-</v>
      </c>
      <c r="R43" s="26" t="str">
        <f>+IFERROR(VLOOKUP(CONCATENATE(A43,$D$10,D43),'ID1&amp;5'!B:J,9,FALSE),"-")</f>
        <v>-</v>
      </c>
      <c r="S43" s="78" t="str">
        <f>+IFERROR(VLOOKUP(E43,'ID1&amp;5'!K:L,2,FALSE),"-")</f>
        <v>-</v>
      </c>
      <c r="T43" s="79" t="str">
        <f>+IFERROR(VLOOKUP(CONCATENATE(A43,$E$10,E43),'ID1&amp;5'!B:J,9,FALSE),"-")</f>
        <v>-</v>
      </c>
      <c r="U43" s="78" t="str">
        <f>+IFERROR(VLOOKUP(F43,'ID1&amp;5'!K:L,2,FALSE),"-")</f>
        <v>-</v>
      </c>
      <c r="V43" s="79" t="str">
        <f>+IFERROR(VLOOKUP(CONCATENATE(A43,$F$10,F43),'ID1&amp;5'!B:J,9,FALSE),"-")</f>
        <v>-</v>
      </c>
      <c r="W43" s="26" t="str">
        <f>+IFERROR(VLOOKUP(A43,'ID6&amp;7'!A:I,9,FALSE),"-")</f>
        <v>-</v>
      </c>
      <c r="X43" s="26" t="str">
        <f>+IFERROR(VLOOKUP(A43,'ID6&amp;7'!A:J,10,FALSE),"-")</f>
        <v>-</v>
      </c>
      <c r="Y43" s="26"/>
      <c r="Z43" s="27" t="str">
        <f t="shared" si="1"/>
        <v>Em testes</v>
      </c>
    </row>
    <row r="44" spans="1:26">
      <c r="A44" s="20" t="str">
        <f t="shared" si="0"/>
        <v>UNIV_OPERflag_inst_cap45991</v>
      </c>
      <c r="B44" s="66">
        <f t="array" ref="B44">+MAX(IF('ID1&amp;5'!A:A='1. Status'!A44&amp;'1. Status'!$B$10,'ID1&amp;5'!K:K))</f>
        <v>0</v>
      </c>
      <c r="C44" s="60">
        <f t="array" ref="C44">+MAX(IF('ID1&amp;5'!A:A='1. Status'!A44&amp;'1. Status'!$C$10,'ID1&amp;5'!K:K))</f>
        <v>0</v>
      </c>
      <c r="D44" s="60">
        <f t="array" ref="D44">+MAX(IF('ID1&amp;5'!A:A='1. Status'!A44&amp;'1. Status'!$D$10,'ID1&amp;5'!K:K))</f>
        <v>0</v>
      </c>
      <c r="E44" s="60">
        <f t="array" ref="E44">+MAX(IF('ID1&amp;5'!A:A='1. Status'!A44&amp;'1. Status'!$E$10,'ID1&amp;5'!K:K))</f>
        <v>0</v>
      </c>
      <c r="F44" s="67">
        <f t="array" ref="F44">+MAX(IF('ID1&amp;5'!A:A='1. Status'!A44&amp;'1. Status'!$F$10,'ID1&amp;5'!K:K))</f>
        <v>0</v>
      </c>
      <c r="G44" s="60"/>
      <c r="H44" s="65" t="s">
        <v>1080</v>
      </c>
      <c r="I44" s="21" t="s">
        <v>1114</v>
      </c>
      <c r="J44" s="26">
        <f>+COUNTIF('ID1&amp;5'!G:G,'1. Status'!I44)</f>
        <v>1</v>
      </c>
      <c r="K44" s="79" t="str">
        <f>+IFERROR(VLOOKUP(CONCATENATE(A44,$B$10,B44),'ID1&amp;5'!B:J,8,FALSE),"-")</f>
        <v>-</v>
      </c>
      <c r="L44" s="78" t="str">
        <f>+IFERROR(VLOOKUP(B44,'ID1&amp;5'!K:L,2,FALSE),"-")</f>
        <v>-</v>
      </c>
      <c r="M44" s="79" t="str">
        <f>+IFERROR(VLOOKUP(CONCATENATE(A44,$B$10,B44),'ID1&amp;5'!B:J,9,FALSE),"-")</f>
        <v>-</v>
      </c>
      <c r="N44" s="79" t="str">
        <f>+IFERROR(VLOOKUP(CONCATENATE(A44,$C$10,C44),'ID1&amp;5'!B:J,8,FALSE),"-")</f>
        <v>-</v>
      </c>
      <c r="O44" s="78" t="str">
        <f>+IFERROR(VLOOKUP(C44,'ID1&amp;5'!K:L,2,FALSE),"-")</f>
        <v>-</v>
      </c>
      <c r="P44" s="79" t="str">
        <f>+IFERROR(VLOOKUP(CONCATENATE(A44,$C$10,C44),'ID1&amp;5'!B:J,9,FALSE),"-")</f>
        <v>-</v>
      </c>
      <c r="Q44" s="78" t="str">
        <f>+IFERROR(VLOOKUP(D44,'ID1&amp;5'!K:L,2,FALSE),"-")</f>
        <v>-</v>
      </c>
      <c r="R44" s="26" t="str">
        <f>+IFERROR(VLOOKUP(CONCATENATE(A44,$D$10,D44),'ID1&amp;5'!B:J,9,FALSE),"-")</f>
        <v>-</v>
      </c>
      <c r="S44" s="78" t="str">
        <f>+IFERROR(VLOOKUP(E44,'ID1&amp;5'!K:L,2,FALSE),"-")</f>
        <v>-</v>
      </c>
      <c r="T44" s="79" t="str">
        <f>+IFERROR(VLOOKUP(CONCATENATE(A44,$E$10,E44),'ID1&amp;5'!B:J,9,FALSE),"-")</f>
        <v>-</v>
      </c>
      <c r="U44" s="78" t="str">
        <f>+IFERROR(VLOOKUP(F44,'ID1&amp;5'!K:L,2,FALSE),"-")</f>
        <v>-</v>
      </c>
      <c r="V44" s="79" t="str">
        <f>+IFERROR(VLOOKUP(CONCATENATE(A44,$F$10,F44),'ID1&amp;5'!B:J,9,FALSE),"-")</f>
        <v>-</v>
      </c>
      <c r="W44" s="26" t="str">
        <f>+IFERROR(VLOOKUP(A44,'ID6&amp;7'!A:I,9,FALSE),"-")</f>
        <v>-</v>
      </c>
      <c r="X44" s="26" t="str">
        <f>+IFERROR(VLOOKUP(A44,'ID6&amp;7'!A:J,10,FALSE),"-")</f>
        <v>-</v>
      </c>
      <c r="Y44" s="26"/>
      <c r="Z44" s="27" t="str">
        <f t="shared" si="1"/>
        <v>Em testes</v>
      </c>
    </row>
    <row r="45" spans="1:26">
      <c r="A45" s="20" t="str">
        <f t="shared" si="0"/>
        <v>UNIV_OPERflag_inst_deriv45991</v>
      </c>
      <c r="B45" s="66">
        <f t="array" ref="B45">+MAX(IF('ID1&amp;5'!A:A='1. Status'!A45&amp;'1. Status'!$B$10,'ID1&amp;5'!K:K))</f>
        <v>0</v>
      </c>
      <c r="C45" s="60">
        <f t="array" ref="C45">+MAX(IF('ID1&amp;5'!A:A='1. Status'!A45&amp;'1. Status'!$C$10,'ID1&amp;5'!K:K))</f>
        <v>0</v>
      </c>
      <c r="D45" s="60">
        <f t="array" ref="D45">+MAX(IF('ID1&amp;5'!A:A='1. Status'!A45&amp;'1. Status'!$D$10,'ID1&amp;5'!K:K))</f>
        <v>0</v>
      </c>
      <c r="E45" s="60">
        <f t="array" ref="E45">+MAX(IF('ID1&amp;5'!A:A='1. Status'!A45&amp;'1. Status'!$E$10,'ID1&amp;5'!K:K))</f>
        <v>0</v>
      </c>
      <c r="F45" s="67">
        <f t="array" ref="F45">+MAX(IF('ID1&amp;5'!A:A='1. Status'!A45&amp;'1. Status'!$F$10,'ID1&amp;5'!K:K))</f>
        <v>0</v>
      </c>
      <c r="G45" s="60"/>
      <c r="H45" s="65" t="s">
        <v>1080</v>
      </c>
      <c r="I45" s="21" t="s">
        <v>1115</v>
      </c>
      <c r="J45" s="26">
        <f>+COUNTIF('ID1&amp;5'!G:G,'1. Status'!I45)</f>
        <v>0</v>
      </c>
      <c r="K45" s="79" t="str">
        <f>+IFERROR(VLOOKUP(CONCATENATE(A45,$B$10,B45),'ID1&amp;5'!B:J,8,FALSE),"-")</f>
        <v>-</v>
      </c>
      <c r="L45" s="78" t="str">
        <f>+IFERROR(VLOOKUP(B45,'ID1&amp;5'!K:L,2,FALSE),"-")</f>
        <v>-</v>
      </c>
      <c r="M45" s="79" t="str">
        <f>+IFERROR(VLOOKUP(CONCATENATE(A45,$B$10,B45),'ID1&amp;5'!B:J,9,FALSE),"-")</f>
        <v>-</v>
      </c>
      <c r="N45" s="79" t="str">
        <f>+IFERROR(VLOOKUP(CONCATENATE(A45,$C$10,C45),'ID1&amp;5'!B:J,8,FALSE),"-")</f>
        <v>-</v>
      </c>
      <c r="O45" s="78" t="str">
        <f>+IFERROR(VLOOKUP(C45,'ID1&amp;5'!K:L,2,FALSE),"-")</f>
        <v>-</v>
      </c>
      <c r="P45" s="79" t="str">
        <f>+IFERROR(VLOOKUP(CONCATENATE(A45,$C$10,C45),'ID1&amp;5'!B:J,9,FALSE),"-")</f>
        <v>-</v>
      </c>
      <c r="Q45" s="78" t="str">
        <f>+IFERROR(VLOOKUP(D45,'ID1&amp;5'!K:L,2,FALSE),"-")</f>
        <v>-</v>
      </c>
      <c r="R45" s="26" t="str">
        <f>+IFERROR(VLOOKUP(CONCATENATE(A45,$D$10,D45),'ID1&amp;5'!B:J,9,FALSE),"-")</f>
        <v>-</v>
      </c>
      <c r="S45" s="78" t="str">
        <f>+IFERROR(VLOOKUP(E45,'ID1&amp;5'!K:L,2,FALSE),"-")</f>
        <v>-</v>
      </c>
      <c r="T45" s="79" t="str">
        <f>+IFERROR(VLOOKUP(CONCATENATE(A45,$E$10,E45),'ID1&amp;5'!B:J,9,FALSE),"-")</f>
        <v>-</v>
      </c>
      <c r="U45" s="78" t="str">
        <f>+IFERROR(VLOOKUP(F45,'ID1&amp;5'!K:L,2,FALSE),"-")</f>
        <v>-</v>
      </c>
      <c r="V45" s="79" t="str">
        <f>+IFERROR(VLOOKUP(CONCATENATE(A45,$F$10,F45),'ID1&amp;5'!B:J,9,FALSE),"-")</f>
        <v>-</v>
      </c>
      <c r="W45" s="26" t="str">
        <f>+IFERROR(VLOOKUP(A45,'ID6&amp;7'!A:I,9,FALSE),"-")</f>
        <v>-</v>
      </c>
      <c r="X45" s="26" t="str">
        <f>+IFERROR(VLOOKUP(A45,'ID6&amp;7'!A:J,10,FALSE),"-")</f>
        <v>-</v>
      </c>
      <c r="Y45" s="26"/>
      <c r="Z45" s="27" t="str">
        <f t="shared" si="1"/>
        <v>Por iniciar</v>
      </c>
    </row>
    <row r="46" spans="1:26">
      <c r="A46" s="20" t="str">
        <f t="shared" si="0"/>
        <v>UNIV_OPERflag_ajust_ncon45991</v>
      </c>
      <c r="B46" s="66">
        <f t="array" ref="B46">+MAX(IF('ID1&amp;5'!A:A='1. Status'!A46&amp;'1. Status'!$B$10,'ID1&amp;5'!K:K))</f>
        <v>0</v>
      </c>
      <c r="C46" s="60">
        <f t="array" ref="C46">+MAX(IF('ID1&amp;5'!A:A='1. Status'!A46&amp;'1. Status'!$C$10,'ID1&amp;5'!K:K))</f>
        <v>0</v>
      </c>
      <c r="D46" s="60">
        <f t="array" ref="D46">+MAX(IF('ID1&amp;5'!A:A='1. Status'!A46&amp;'1. Status'!$D$10,'ID1&amp;5'!K:K))</f>
        <v>0</v>
      </c>
      <c r="E46" s="60">
        <f t="array" ref="E46">+MAX(IF('ID1&amp;5'!A:A='1. Status'!A46&amp;'1. Status'!$E$10,'ID1&amp;5'!K:K))</f>
        <v>0</v>
      </c>
      <c r="F46" s="67">
        <f t="array" ref="F46">+MAX(IF('ID1&amp;5'!A:A='1. Status'!A46&amp;'1. Status'!$F$10,'ID1&amp;5'!K:K))</f>
        <v>0</v>
      </c>
      <c r="G46" s="60"/>
      <c r="H46" s="65" t="s">
        <v>1080</v>
      </c>
      <c r="I46" s="21" t="s">
        <v>1116</v>
      </c>
      <c r="J46" s="26">
        <f>+COUNTIF('ID1&amp;5'!G:G,'1. Status'!I46)</f>
        <v>0</v>
      </c>
      <c r="K46" s="79" t="str">
        <f>+IFERROR(VLOOKUP(CONCATENATE(A46,$B$10,B46),'ID1&amp;5'!B:J,8,FALSE),"-")</f>
        <v>-</v>
      </c>
      <c r="L46" s="78" t="str">
        <f>+IFERROR(VLOOKUP(B46,'ID1&amp;5'!K:L,2,FALSE),"-")</f>
        <v>-</v>
      </c>
      <c r="M46" s="79" t="str">
        <f>+IFERROR(VLOOKUP(CONCATENATE(A46,$B$10,B46),'ID1&amp;5'!B:J,9,FALSE),"-")</f>
        <v>-</v>
      </c>
      <c r="N46" s="79" t="str">
        <f>+IFERROR(VLOOKUP(CONCATENATE(A46,$C$10,C46),'ID1&amp;5'!B:J,8,FALSE),"-")</f>
        <v>-</v>
      </c>
      <c r="O46" s="78" t="str">
        <f>+IFERROR(VLOOKUP(C46,'ID1&amp;5'!K:L,2,FALSE),"-")</f>
        <v>-</v>
      </c>
      <c r="P46" s="79" t="str">
        <f>+IFERROR(VLOOKUP(CONCATENATE(A46,$C$10,C46),'ID1&amp;5'!B:J,9,FALSE),"-")</f>
        <v>-</v>
      </c>
      <c r="Q46" s="78" t="str">
        <f>+IFERROR(VLOOKUP(D46,'ID1&amp;5'!K:L,2,FALSE),"-")</f>
        <v>-</v>
      </c>
      <c r="R46" s="26" t="str">
        <f>+IFERROR(VLOOKUP(CONCATENATE(A46,$D$10,D46),'ID1&amp;5'!B:J,9,FALSE),"-")</f>
        <v>-</v>
      </c>
      <c r="S46" s="78" t="str">
        <f>+IFERROR(VLOOKUP(E46,'ID1&amp;5'!K:L,2,FALSE),"-")</f>
        <v>-</v>
      </c>
      <c r="T46" s="79" t="str">
        <f>+IFERROR(VLOOKUP(CONCATENATE(A46,$E$10,E46),'ID1&amp;5'!B:J,9,FALSE),"-")</f>
        <v>-</v>
      </c>
      <c r="U46" s="78" t="str">
        <f>+IFERROR(VLOOKUP(F46,'ID1&amp;5'!K:L,2,FALSE),"-")</f>
        <v>-</v>
      </c>
      <c r="V46" s="79" t="str">
        <f>+IFERROR(VLOOKUP(CONCATENATE(A46,$F$10,F46),'ID1&amp;5'!B:J,9,FALSE),"-")</f>
        <v>-</v>
      </c>
      <c r="W46" s="26" t="str">
        <f>+IFERROR(VLOOKUP(A46,'ID6&amp;7'!A:I,9,FALSE),"-")</f>
        <v>-</v>
      </c>
      <c r="X46" s="26" t="str">
        <f>+IFERROR(VLOOKUP(A46,'ID6&amp;7'!A:J,10,FALSE),"-")</f>
        <v>-</v>
      </c>
      <c r="Y46" s="26"/>
      <c r="Z46" s="27" t="str">
        <f t="shared" si="1"/>
        <v>Por iniciar</v>
      </c>
    </row>
    <row r="47" spans="1:26">
      <c r="A47" s="20" t="str">
        <f t="shared" si="0"/>
        <v>UNIV_OPERflag_mis45991</v>
      </c>
      <c r="B47" s="66">
        <f t="array" ref="B47">+MAX(IF('ID1&amp;5'!A:A='1. Status'!A47&amp;'1. Status'!$B$10,'ID1&amp;5'!K:K))</f>
        <v>0</v>
      </c>
      <c r="C47" s="60">
        <f t="array" ref="C47">+MAX(IF('ID1&amp;5'!A:A='1. Status'!A47&amp;'1. Status'!$C$10,'ID1&amp;5'!K:K))</f>
        <v>0</v>
      </c>
      <c r="D47" s="60">
        <f t="array" ref="D47">+MAX(IF('ID1&amp;5'!A:A='1. Status'!A47&amp;'1. Status'!$D$10,'ID1&amp;5'!K:K))</f>
        <v>0</v>
      </c>
      <c r="E47" s="60">
        <f t="array" ref="E47">+MAX(IF('ID1&amp;5'!A:A='1. Status'!A47&amp;'1. Status'!$E$10,'ID1&amp;5'!K:K))</f>
        <v>0</v>
      </c>
      <c r="F47" s="67">
        <f t="array" ref="F47">+MAX(IF('ID1&amp;5'!A:A='1. Status'!A47&amp;'1. Status'!$F$10,'ID1&amp;5'!K:K))</f>
        <v>0</v>
      </c>
      <c r="G47" s="60"/>
      <c r="H47" s="65" t="s">
        <v>1080</v>
      </c>
      <c r="I47" s="21" t="s">
        <v>1117</v>
      </c>
      <c r="J47" s="26">
        <f>+COUNTIF('ID1&amp;5'!G:G,'1. Status'!I47)</f>
        <v>0</v>
      </c>
      <c r="K47" s="79" t="str">
        <f>+IFERROR(VLOOKUP(CONCATENATE(A47,$B$10,B47),'ID1&amp;5'!B:J,8,FALSE),"-")</f>
        <v>-</v>
      </c>
      <c r="L47" s="78" t="str">
        <f>+IFERROR(VLOOKUP(B47,'ID1&amp;5'!K:L,2,FALSE),"-")</f>
        <v>-</v>
      </c>
      <c r="M47" s="79" t="str">
        <f>+IFERROR(VLOOKUP(CONCATENATE(A47,$B$10,B47),'ID1&amp;5'!B:J,9,FALSE),"-")</f>
        <v>-</v>
      </c>
      <c r="N47" s="79" t="str">
        <f>+IFERROR(VLOOKUP(CONCATENATE(A47,$C$10,C47),'ID1&amp;5'!B:J,8,FALSE),"-")</f>
        <v>-</v>
      </c>
      <c r="O47" s="78" t="str">
        <f>+IFERROR(VLOOKUP(C47,'ID1&amp;5'!K:L,2,FALSE),"-")</f>
        <v>-</v>
      </c>
      <c r="P47" s="79" t="str">
        <f>+IFERROR(VLOOKUP(CONCATENATE(A47,$C$10,C47),'ID1&amp;5'!B:J,9,FALSE),"-")</f>
        <v>-</v>
      </c>
      <c r="Q47" s="78" t="str">
        <f>+IFERROR(VLOOKUP(D47,'ID1&amp;5'!K:L,2,FALSE),"-")</f>
        <v>-</v>
      </c>
      <c r="R47" s="26" t="str">
        <f>+IFERROR(VLOOKUP(CONCATENATE(A47,$D$10,D47),'ID1&amp;5'!B:J,9,FALSE),"-")</f>
        <v>-</v>
      </c>
      <c r="S47" s="78" t="str">
        <f>+IFERROR(VLOOKUP(E47,'ID1&amp;5'!K:L,2,FALSE),"-")</f>
        <v>-</v>
      </c>
      <c r="T47" s="79" t="str">
        <f>+IFERROR(VLOOKUP(CONCATENATE(A47,$E$10,E47),'ID1&amp;5'!B:J,9,FALSE),"-")</f>
        <v>-</v>
      </c>
      <c r="U47" s="78" t="str">
        <f>+IFERROR(VLOOKUP(F47,'ID1&amp;5'!K:L,2,FALSE),"-")</f>
        <v>-</v>
      </c>
      <c r="V47" s="79" t="str">
        <f>+IFERROR(VLOOKUP(CONCATENATE(A47,$F$10,F47),'ID1&amp;5'!B:J,9,FALSE),"-")</f>
        <v>-</v>
      </c>
      <c r="W47" s="26" t="str">
        <f>+IFERROR(VLOOKUP(A47,'ID6&amp;7'!A:I,9,FALSE),"-")</f>
        <v>-</v>
      </c>
      <c r="X47" s="26" t="str">
        <f>+IFERROR(VLOOKUP(A47,'ID6&amp;7'!A:J,10,FALSE),"-")</f>
        <v>-</v>
      </c>
      <c r="Y47" s="26"/>
      <c r="Z47" s="27" t="str">
        <f t="shared" si="1"/>
        <v>Por iniciar</v>
      </c>
    </row>
    <row r="48" spans="1:26">
      <c r="A48" s="20" t="str">
        <f t="shared" si="0"/>
        <v>UNIV_OPERflag_inst_titulos45991</v>
      </c>
      <c r="B48" s="66">
        <f t="array" ref="B48">+MAX(IF('ID1&amp;5'!A:A='1. Status'!A48&amp;'1. Status'!$B$10,'ID1&amp;5'!K:K))</f>
        <v>0</v>
      </c>
      <c r="C48" s="60">
        <f t="array" ref="C48">+MAX(IF('ID1&amp;5'!A:A='1. Status'!A48&amp;'1. Status'!$C$10,'ID1&amp;5'!K:K))</f>
        <v>0</v>
      </c>
      <c r="D48" s="60">
        <f t="array" ref="D48">+MAX(IF('ID1&amp;5'!A:A='1. Status'!A48&amp;'1. Status'!$D$10,'ID1&amp;5'!K:K))</f>
        <v>0</v>
      </c>
      <c r="E48" s="60">
        <f t="array" ref="E48">+MAX(IF('ID1&amp;5'!A:A='1. Status'!A48&amp;'1. Status'!$E$10,'ID1&amp;5'!K:K))</f>
        <v>0</v>
      </c>
      <c r="F48" s="67">
        <f t="array" ref="F48">+MAX(IF('ID1&amp;5'!A:A='1. Status'!A48&amp;'1. Status'!$F$10,'ID1&amp;5'!K:K))</f>
        <v>0</v>
      </c>
      <c r="G48" s="60"/>
      <c r="H48" s="65" t="s">
        <v>1080</v>
      </c>
      <c r="I48" s="21" t="s">
        <v>1118</v>
      </c>
      <c r="J48" s="26">
        <f>+COUNTIF('ID1&amp;5'!G:G,'1. Status'!I48)</f>
        <v>0</v>
      </c>
      <c r="K48" s="79" t="str">
        <f>+IFERROR(VLOOKUP(CONCATENATE(A48,$B$10,B48),'ID1&amp;5'!B:J,8,FALSE),"-")</f>
        <v>-</v>
      </c>
      <c r="L48" s="78" t="str">
        <f>+IFERROR(VLOOKUP(B48,'ID1&amp;5'!K:L,2,FALSE),"-")</f>
        <v>-</v>
      </c>
      <c r="M48" s="79" t="str">
        <f>+IFERROR(VLOOKUP(CONCATENATE(A48,$B$10,B48),'ID1&amp;5'!B:J,9,FALSE),"-")</f>
        <v>-</v>
      </c>
      <c r="N48" s="79" t="str">
        <f>+IFERROR(VLOOKUP(CONCATENATE(A48,$C$10,C48),'ID1&amp;5'!B:J,8,FALSE),"-")</f>
        <v>-</v>
      </c>
      <c r="O48" s="78" t="str">
        <f>+IFERROR(VLOOKUP(C48,'ID1&amp;5'!K:L,2,FALSE),"-")</f>
        <v>-</v>
      </c>
      <c r="P48" s="79" t="str">
        <f>+IFERROR(VLOOKUP(CONCATENATE(A48,$C$10,C48),'ID1&amp;5'!B:J,9,FALSE),"-")</f>
        <v>-</v>
      </c>
      <c r="Q48" s="78" t="str">
        <f>+IFERROR(VLOOKUP(D48,'ID1&amp;5'!K:L,2,FALSE),"-")</f>
        <v>-</v>
      </c>
      <c r="R48" s="26" t="str">
        <f>+IFERROR(VLOOKUP(CONCATENATE(A48,$D$10,D48),'ID1&amp;5'!B:J,9,FALSE),"-")</f>
        <v>-</v>
      </c>
      <c r="S48" s="78" t="str">
        <f>+IFERROR(VLOOKUP(E48,'ID1&amp;5'!K:L,2,FALSE),"-")</f>
        <v>-</v>
      </c>
      <c r="T48" s="79" t="str">
        <f>+IFERROR(VLOOKUP(CONCATENATE(A48,$E$10,E48),'ID1&amp;5'!B:J,9,FALSE),"-")</f>
        <v>-</v>
      </c>
      <c r="U48" s="78" t="str">
        <f>+IFERROR(VLOOKUP(F48,'ID1&amp;5'!K:L,2,FALSE),"-")</f>
        <v>-</v>
      </c>
      <c r="V48" s="79" t="str">
        <f>+IFERROR(VLOOKUP(CONCATENATE(A48,$F$10,F48),'ID1&amp;5'!B:J,9,FALSE),"-")</f>
        <v>-</v>
      </c>
      <c r="W48" s="26" t="str">
        <f>+IFERROR(VLOOKUP(A48,'ID6&amp;7'!A:I,9,FALSE),"-")</f>
        <v>-</v>
      </c>
      <c r="X48" s="26" t="str">
        <f>+IFERROR(VLOOKUP(A48,'ID6&amp;7'!A:J,10,FALSE),"-")</f>
        <v>-</v>
      </c>
      <c r="Y48" s="26"/>
      <c r="Z48" s="27" t="str">
        <f t="shared" si="1"/>
        <v>Por iniciar</v>
      </c>
    </row>
    <row r="49" spans="1:27">
      <c r="A49" s="20" t="str">
        <f t="shared" si="0"/>
        <v>UNIV_OPERflag_gar_intrg_san45991</v>
      </c>
      <c r="B49" s="66">
        <f t="array" ref="B49">+MAX(IF('ID1&amp;5'!A:A='1. Status'!A49&amp;'1. Status'!$B$10,'ID1&amp;5'!K:K))</f>
        <v>0</v>
      </c>
      <c r="C49" s="60">
        <f t="array" ref="C49">+MAX(IF('ID1&amp;5'!A:A='1. Status'!A49&amp;'1. Status'!$C$10,'ID1&amp;5'!K:K))</f>
        <v>0</v>
      </c>
      <c r="D49" s="60">
        <f t="array" ref="D49">+MAX(IF('ID1&amp;5'!A:A='1. Status'!A49&amp;'1. Status'!$D$10,'ID1&amp;5'!K:K))</f>
        <v>0</v>
      </c>
      <c r="E49" s="60">
        <f t="array" ref="E49">+MAX(IF('ID1&amp;5'!A:A='1. Status'!A49&amp;'1. Status'!$E$10,'ID1&amp;5'!K:K))</f>
        <v>0</v>
      </c>
      <c r="F49" s="67">
        <f t="array" ref="F49">+MAX(IF('ID1&amp;5'!A:A='1. Status'!A49&amp;'1. Status'!$F$10,'ID1&amp;5'!K:K))</f>
        <v>0</v>
      </c>
      <c r="G49" s="60"/>
      <c r="H49" s="65" t="s">
        <v>1080</v>
      </c>
      <c r="I49" s="21" t="s">
        <v>1119</v>
      </c>
      <c r="J49" s="26">
        <f>+COUNTIF('ID1&amp;5'!G:G,'1. Status'!I49)</f>
        <v>0</v>
      </c>
      <c r="K49" s="79" t="str">
        <f>+IFERROR(VLOOKUP(CONCATENATE(A49,$B$10,B49),'ID1&amp;5'!B:J,8,FALSE),"-")</f>
        <v>-</v>
      </c>
      <c r="L49" s="78" t="str">
        <f>+IFERROR(VLOOKUP(B49,'ID1&amp;5'!K:L,2,FALSE),"-")</f>
        <v>-</v>
      </c>
      <c r="M49" s="79" t="str">
        <f>+IFERROR(VLOOKUP(CONCATENATE(A49,$B$10,B49),'ID1&amp;5'!B:J,9,FALSE),"-")</f>
        <v>-</v>
      </c>
      <c r="N49" s="79" t="str">
        <f>+IFERROR(VLOOKUP(CONCATENATE(A49,$C$10,C49),'ID1&amp;5'!B:J,8,FALSE),"-")</f>
        <v>-</v>
      </c>
      <c r="O49" s="78" t="str">
        <f>+IFERROR(VLOOKUP(C49,'ID1&amp;5'!K:L,2,FALSE),"-")</f>
        <v>-</v>
      </c>
      <c r="P49" s="79" t="str">
        <f>+IFERROR(VLOOKUP(CONCATENATE(A49,$C$10,C49),'ID1&amp;5'!B:J,9,FALSE),"-")</f>
        <v>-</v>
      </c>
      <c r="Q49" s="78" t="str">
        <f>+IFERROR(VLOOKUP(D49,'ID1&amp;5'!K:L,2,FALSE),"-")</f>
        <v>-</v>
      </c>
      <c r="R49" s="26" t="str">
        <f>+IFERROR(VLOOKUP(CONCATENATE(A49,$D$10,D49),'ID1&amp;5'!B:J,9,FALSE),"-")</f>
        <v>-</v>
      </c>
      <c r="S49" s="78" t="str">
        <f>+IFERROR(VLOOKUP(E49,'ID1&amp;5'!K:L,2,FALSE),"-")</f>
        <v>-</v>
      </c>
      <c r="T49" s="79" t="str">
        <f>+IFERROR(VLOOKUP(CONCATENATE(A49,$E$10,E49),'ID1&amp;5'!B:J,9,FALSE),"-")</f>
        <v>-</v>
      </c>
      <c r="U49" s="78" t="str">
        <f>+IFERROR(VLOOKUP(F49,'ID1&amp;5'!K:L,2,FALSE),"-")</f>
        <v>-</v>
      </c>
      <c r="V49" s="79" t="str">
        <f>+IFERROR(VLOOKUP(CONCATENATE(A49,$F$10,F49),'ID1&amp;5'!B:J,9,FALSE),"-")</f>
        <v>-</v>
      </c>
      <c r="W49" s="26" t="str">
        <f>+IFERROR(VLOOKUP(A49,'ID6&amp;7'!A:I,9,FALSE),"-")</f>
        <v>-</v>
      </c>
      <c r="X49" s="26" t="str">
        <f>+IFERROR(VLOOKUP(A49,'ID6&amp;7'!A:J,10,FALSE),"-")</f>
        <v>-</v>
      </c>
      <c r="Y49" s="26"/>
      <c r="Z49" s="27" t="str">
        <f t="shared" si="1"/>
        <v>Por iniciar</v>
      </c>
    </row>
    <row r="50" spans="1:27">
      <c r="A50" s="20" t="str">
        <f t="shared" si="0"/>
        <v>UNIV_OPERvalor_bruto_on45991</v>
      </c>
      <c r="B50" s="66">
        <f t="array" ref="B50">+MAX(IF('ID1&amp;5'!A:A='1. Status'!A50&amp;'1. Status'!$B$10,'ID1&amp;5'!K:K))</f>
        <v>0</v>
      </c>
      <c r="C50" s="60">
        <f t="array" ref="C50">+MAX(IF('ID1&amp;5'!A:A='1. Status'!A50&amp;'1. Status'!$C$10,'ID1&amp;5'!K:K))</f>
        <v>0</v>
      </c>
      <c r="D50" s="60">
        <f t="array" ref="D50">+MAX(IF('ID1&amp;5'!A:A='1. Status'!A50&amp;'1. Status'!$D$10,'ID1&amp;5'!K:K))</f>
        <v>0</v>
      </c>
      <c r="E50" s="60">
        <f t="array" ref="E50">+MAX(IF('ID1&amp;5'!A:A='1. Status'!A50&amp;'1. Status'!$E$10,'ID1&amp;5'!K:K))</f>
        <v>0</v>
      </c>
      <c r="F50" s="67">
        <f t="array" ref="F50">+MAX(IF('ID1&amp;5'!A:A='1. Status'!A50&amp;'1. Status'!$F$10,'ID1&amp;5'!K:K))</f>
        <v>0</v>
      </c>
      <c r="G50" s="60"/>
      <c r="H50" s="65" t="s">
        <v>1080</v>
      </c>
      <c r="I50" s="21" t="s">
        <v>1120</v>
      </c>
      <c r="J50" s="26">
        <f>+COUNTIF('ID1&amp;5'!G:G,'1. Status'!I50)</f>
        <v>0</v>
      </c>
      <c r="K50" s="79" t="str">
        <f>+IFERROR(VLOOKUP(CONCATENATE(A50,$B$10,B50),'ID1&amp;5'!B:J,8,FALSE),"-")</f>
        <v>-</v>
      </c>
      <c r="L50" s="78" t="str">
        <f>+IFERROR(VLOOKUP(B50,'ID1&amp;5'!K:L,2,FALSE),"-")</f>
        <v>-</v>
      </c>
      <c r="M50" s="79" t="str">
        <f>+IFERROR(VLOOKUP(CONCATENATE(A50,$B$10,B50),'ID1&amp;5'!B:J,9,FALSE),"-")</f>
        <v>-</v>
      </c>
      <c r="N50" s="79" t="str">
        <f>+IFERROR(VLOOKUP(CONCATENATE(A50,$C$10,C50),'ID1&amp;5'!B:J,8,FALSE),"-")</f>
        <v>-</v>
      </c>
      <c r="O50" s="78" t="str">
        <f>+IFERROR(VLOOKUP(C50,'ID1&amp;5'!K:L,2,FALSE),"-")</f>
        <v>-</v>
      </c>
      <c r="P50" s="79" t="str">
        <f>+IFERROR(VLOOKUP(CONCATENATE(A50,$C$10,C50),'ID1&amp;5'!B:J,9,FALSE),"-")</f>
        <v>-</v>
      </c>
      <c r="Q50" s="78" t="str">
        <f>+IFERROR(VLOOKUP(D50,'ID1&amp;5'!K:L,2,FALSE),"-")</f>
        <v>-</v>
      </c>
      <c r="R50" s="26" t="str">
        <f>+IFERROR(VLOOKUP(CONCATENATE(A50,$D$10,D50),'ID1&amp;5'!B:J,9,FALSE),"-")</f>
        <v>-</v>
      </c>
      <c r="S50" s="78" t="str">
        <f>+IFERROR(VLOOKUP(E50,'ID1&amp;5'!K:L,2,FALSE),"-")</f>
        <v>-</v>
      </c>
      <c r="T50" s="79" t="str">
        <f>+IFERROR(VLOOKUP(CONCATENATE(A50,$E$10,E50),'ID1&amp;5'!B:J,9,FALSE),"-")</f>
        <v>-</v>
      </c>
      <c r="U50" s="78" t="str">
        <f>+IFERROR(VLOOKUP(F50,'ID1&amp;5'!K:L,2,FALSE),"-")</f>
        <v>-</v>
      </c>
      <c r="V50" s="79" t="str">
        <f>+IFERROR(VLOOKUP(CONCATENATE(A50,$F$10,F50),'ID1&amp;5'!B:J,9,FALSE),"-")</f>
        <v>-</v>
      </c>
      <c r="W50" s="26" t="str">
        <f>+IFERROR(VLOOKUP(A50,'ID6&amp;7'!A:I,9,FALSE),"-")</f>
        <v>-</v>
      </c>
      <c r="X50" s="26" t="str">
        <f>+IFERROR(VLOOKUP(A50,'ID6&amp;7'!A:J,10,FALSE),"-")</f>
        <v>-</v>
      </c>
      <c r="Y50" s="26"/>
      <c r="Z50" s="27" t="str">
        <f t="shared" si="1"/>
        <v>Por iniciar</v>
      </c>
    </row>
    <row r="51" spans="1:27">
      <c r="A51" s="20" t="str">
        <f t="shared" si="0"/>
        <v>UNIV_OPERvalor_bruto_off45991</v>
      </c>
      <c r="B51" s="66">
        <f t="array" ref="B51">+MAX(IF('ID1&amp;5'!A:A='1. Status'!A51&amp;'1. Status'!$B$10,'ID1&amp;5'!K:K))</f>
        <v>0</v>
      </c>
      <c r="C51" s="60">
        <f t="array" ref="C51">+MAX(IF('ID1&amp;5'!A:A='1. Status'!A51&amp;'1. Status'!$C$10,'ID1&amp;5'!K:K))</f>
        <v>0</v>
      </c>
      <c r="D51" s="60">
        <f t="array" ref="D51">+MAX(IF('ID1&amp;5'!A:A='1. Status'!A51&amp;'1. Status'!$D$10,'ID1&amp;5'!K:K))</f>
        <v>0</v>
      </c>
      <c r="E51" s="60">
        <f t="array" ref="E51">+MAX(IF('ID1&amp;5'!A:A='1. Status'!A51&amp;'1. Status'!$E$10,'ID1&amp;5'!K:K))</f>
        <v>0</v>
      </c>
      <c r="F51" s="67">
        <f t="array" ref="F51">+MAX(IF('ID1&amp;5'!A:A='1. Status'!A51&amp;'1. Status'!$F$10,'ID1&amp;5'!K:K))</f>
        <v>0</v>
      </c>
      <c r="G51" s="60"/>
      <c r="H51" s="65" t="s">
        <v>1080</v>
      </c>
      <c r="I51" s="21" t="s">
        <v>1121</v>
      </c>
      <c r="J51" s="26">
        <f>+COUNTIF('ID1&amp;5'!G:G,'1. Status'!I51)</f>
        <v>0</v>
      </c>
      <c r="K51" s="79" t="str">
        <f>+IFERROR(VLOOKUP(CONCATENATE(A51,$B$10,B51),'ID1&amp;5'!B:J,8,FALSE),"-")</f>
        <v>-</v>
      </c>
      <c r="L51" s="78" t="str">
        <f>+IFERROR(VLOOKUP(B51,'ID1&amp;5'!K:L,2,FALSE),"-")</f>
        <v>-</v>
      </c>
      <c r="M51" s="79" t="str">
        <f>+IFERROR(VLOOKUP(CONCATENATE(A51,$B$10,B51),'ID1&amp;5'!B:J,9,FALSE),"-")</f>
        <v>-</v>
      </c>
      <c r="N51" s="79" t="str">
        <f>+IFERROR(VLOOKUP(CONCATENATE(A51,$C$10,C51),'ID1&amp;5'!B:J,8,FALSE),"-")</f>
        <v>-</v>
      </c>
      <c r="O51" s="78" t="str">
        <f>+IFERROR(VLOOKUP(C51,'ID1&amp;5'!K:L,2,FALSE),"-")</f>
        <v>-</v>
      </c>
      <c r="P51" s="79" t="str">
        <f>+IFERROR(VLOOKUP(CONCATENATE(A51,$C$10,C51),'ID1&amp;5'!B:J,9,FALSE),"-")</f>
        <v>-</v>
      </c>
      <c r="Q51" s="78" t="str">
        <f>+IFERROR(VLOOKUP(D51,'ID1&amp;5'!K:L,2,FALSE),"-")</f>
        <v>-</v>
      </c>
      <c r="R51" s="26" t="str">
        <f>+IFERROR(VLOOKUP(CONCATENATE(A51,$D$10,D51),'ID1&amp;5'!B:J,9,FALSE),"-")</f>
        <v>-</v>
      </c>
      <c r="S51" s="78" t="str">
        <f>+IFERROR(VLOOKUP(E51,'ID1&amp;5'!K:L,2,FALSE),"-")</f>
        <v>-</v>
      </c>
      <c r="T51" s="79" t="str">
        <f>+IFERROR(VLOOKUP(CONCATENATE(A51,$E$10,E51),'ID1&amp;5'!B:J,9,FALSE),"-")</f>
        <v>-</v>
      </c>
      <c r="U51" s="78" t="str">
        <f>+IFERROR(VLOOKUP(F51,'ID1&amp;5'!K:L,2,FALSE),"-")</f>
        <v>-</v>
      </c>
      <c r="V51" s="79" t="str">
        <f>+IFERROR(VLOOKUP(CONCATENATE(A51,$F$10,F51),'ID1&amp;5'!B:J,9,FALSE),"-")</f>
        <v>-</v>
      </c>
      <c r="W51" s="26" t="str">
        <f>+IFERROR(VLOOKUP(A51,'ID6&amp;7'!A:I,9,FALSE),"-")</f>
        <v>-</v>
      </c>
      <c r="X51" s="26" t="str">
        <f>+IFERROR(VLOOKUP(A51,'ID6&amp;7'!A:J,10,FALSE),"-")</f>
        <v>-</v>
      </c>
      <c r="Y51" s="26"/>
      <c r="Z51" s="27" t="str">
        <f t="shared" si="1"/>
        <v>Por iniciar</v>
      </c>
    </row>
    <row r="52" spans="1:27">
      <c r="A52" s="20" t="str">
        <f t="shared" si="0"/>
        <v>UNIV_OPERprovisao_on45991</v>
      </c>
      <c r="B52" s="66">
        <f t="array" ref="B52">+MAX(IF('ID1&amp;5'!A:A='1. Status'!A52&amp;'1. Status'!$B$10,'ID1&amp;5'!K:K))</f>
        <v>0</v>
      </c>
      <c r="C52" s="60">
        <f t="array" ref="C52">+MAX(IF('ID1&amp;5'!A:A='1. Status'!A52&amp;'1. Status'!$C$10,'ID1&amp;5'!K:K))</f>
        <v>0</v>
      </c>
      <c r="D52" s="60">
        <f t="array" ref="D52">+MAX(IF('ID1&amp;5'!A:A='1. Status'!A52&amp;'1. Status'!$D$10,'ID1&amp;5'!K:K))</f>
        <v>0</v>
      </c>
      <c r="E52" s="60">
        <f t="array" ref="E52">+MAX(IF('ID1&amp;5'!A:A='1. Status'!A52&amp;'1. Status'!$E$10,'ID1&amp;5'!K:K))</f>
        <v>0</v>
      </c>
      <c r="F52" s="67">
        <f t="array" ref="F52">+MAX(IF('ID1&amp;5'!A:A='1. Status'!A52&amp;'1. Status'!$F$10,'ID1&amp;5'!K:K))</f>
        <v>0</v>
      </c>
      <c r="G52" s="60"/>
      <c r="H52" s="65" t="s">
        <v>1080</v>
      </c>
      <c r="I52" s="21" t="s">
        <v>1122</v>
      </c>
      <c r="J52" s="26">
        <f>+COUNTIF('ID1&amp;5'!G:G,'1. Status'!I52)</f>
        <v>0</v>
      </c>
      <c r="K52" s="79" t="str">
        <f>+IFERROR(VLOOKUP(CONCATENATE(A52,$B$10,B52),'ID1&amp;5'!B:J,8,FALSE),"-")</f>
        <v>-</v>
      </c>
      <c r="L52" s="78" t="str">
        <f>+IFERROR(VLOOKUP(B52,'ID1&amp;5'!K:L,2,FALSE),"-")</f>
        <v>-</v>
      </c>
      <c r="M52" s="79" t="str">
        <f>+IFERROR(VLOOKUP(CONCATENATE(A52,$B$10,B52),'ID1&amp;5'!B:J,9,FALSE),"-")</f>
        <v>-</v>
      </c>
      <c r="N52" s="79" t="str">
        <f>+IFERROR(VLOOKUP(CONCATENATE(A52,$C$10,C52),'ID1&amp;5'!B:J,8,FALSE),"-")</f>
        <v>-</v>
      </c>
      <c r="O52" s="78" t="str">
        <f>+IFERROR(VLOOKUP(C52,'ID1&amp;5'!K:L,2,FALSE),"-")</f>
        <v>-</v>
      </c>
      <c r="P52" s="79" t="str">
        <f>+IFERROR(VLOOKUP(CONCATENATE(A52,$C$10,C52),'ID1&amp;5'!B:J,9,FALSE),"-")</f>
        <v>-</v>
      </c>
      <c r="Q52" s="78" t="str">
        <f>+IFERROR(VLOOKUP(D52,'ID1&amp;5'!K:L,2,FALSE),"-")</f>
        <v>-</v>
      </c>
      <c r="R52" s="26" t="str">
        <f>+IFERROR(VLOOKUP(CONCATENATE(A52,$D$10,D52),'ID1&amp;5'!B:J,9,FALSE),"-")</f>
        <v>-</v>
      </c>
      <c r="S52" s="78" t="str">
        <f>+IFERROR(VLOOKUP(E52,'ID1&amp;5'!K:L,2,FALSE),"-")</f>
        <v>-</v>
      </c>
      <c r="T52" s="79" t="str">
        <f>+IFERROR(VLOOKUP(CONCATENATE(A52,$E$10,E52),'ID1&amp;5'!B:J,9,FALSE),"-")</f>
        <v>-</v>
      </c>
      <c r="U52" s="78" t="str">
        <f>+IFERROR(VLOOKUP(F52,'ID1&amp;5'!K:L,2,FALSE),"-")</f>
        <v>-</v>
      </c>
      <c r="V52" s="79" t="str">
        <f>+IFERROR(VLOOKUP(CONCATENATE(A52,$F$10,F52),'ID1&amp;5'!B:J,9,FALSE),"-")</f>
        <v>-</v>
      </c>
      <c r="W52" s="26" t="str">
        <f>+IFERROR(VLOOKUP(A52,'ID6&amp;7'!A:I,9,FALSE),"-")</f>
        <v>-</v>
      </c>
      <c r="X52" s="26" t="str">
        <f>+IFERROR(VLOOKUP(A52,'ID6&amp;7'!A:J,10,FALSE),"-")</f>
        <v>-</v>
      </c>
      <c r="Y52" s="26"/>
      <c r="Z52" s="27" t="str">
        <f t="shared" si="1"/>
        <v>Por iniciar</v>
      </c>
    </row>
    <row r="53" spans="1:27">
      <c r="A53" s="20" t="str">
        <f t="shared" si="0"/>
        <v>UNIV_OPERprovisao_off45991</v>
      </c>
      <c r="B53" s="66">
        <f t="array" ref="B53">+MAX(IF('ID1&amp;5'!A:A='1. Status'!A53&amp;'1. Status'!$B$10,'ID1&amp;5'!K:K))</f>
        <v>0</v>
      </c>
      <c r="C53" s="60">
        <f t="array" ref="C53">+MAX(IF('ID1&amp;5'!A:A='1. Status'!A53&amp;'1. Status'!$C$10,'ID1&amp;5'!K:K))</f>
        <v>0</v>
      </c>
      <c r="D53" s="60">
        <f t="array" ref="D53">+MAX(IF('ID1&amp;5'!A:A='1. Status'!A53&amp;'1. Status'!$D$10,'ID1&amp;5'!K:K))</f>
        <v>0</v>
      </c>
      <c r="E53" s="60">
        <f t="array" ref="E53">+MAX(IF('ID1&amp;5'!A:A='1. Status'!A53&amp;'1. Status'!$E$10,'ID1&amp;5'!K:K))</f>
        <v>0</v>
      </c>
      <c r="F53" s="67">
        <f t="array" ref="F53">+MAX(IF('ID1&amp;5'!A:A='1. Status'!A53&amp;'1. Status'!$F$10,'ID1&amp;5'!K:K))</f>
        <v>0</v>
      </c>
      <c r="G53" s="60"/>
      <c r="H53" s="65" t="s">
        <v>1080</v>
      </c>
      <c r="I53" s="21" t="s">
        <v>1123</v>
      </c>
      <c r="J53" s="26">
        <f>+COUNTIF('ID1&amp;5'!G:G,'1. Status'!I53)</f>
        <v>0</v>
      </c>
      <c r="K53" s="79" t="str">
        <f>+IFERROR(VLOOKUP(CONCATENATE(A53,$B$10,B53),'ID1&amp;5'!B:J,8,FALSE),"-")</f>
        <v>-</v>
      </c>
      <c r="L53" s="78" t="str">
        <f>+IFERROR(VLOOKUP(B53,'ID1&amp;5'!K:L,2,FALSE),"-")</f>
        <v>-</v>
      </c>
      <c r="M53" s="79" t="str">
        <f>+IFERROR(VLOOKUP(CONCATENATE(A53,$B$10,B53),'ID1&amp;5'!B:J,9,FALSE),"-")</f>
        <v>-</v>
      </c>
      <c r="N53" s="79" t="str">
        <f>+IFERROR(VLOOKUP(CONCATENATE(A53,$C$10,C53),'ID1&amp;5'!B:J,8,FALSE),"-")</f>
        <v>-</v>
      </c>
      <c r="O53" s="78" t="str">
        <f>+IFERROR(VLOOKUP(C53,'ID1&amp;5'!K:L,2,FALSE),"-")</f>
        <v>-</v>
      </c>
      <c r="P53" s="79" t="str">
        <f>+IFERROR(VLOOKUP(CONCATENATE(A53,$C$10,C53),'ID1&amp;5'!B:J,9,FALSE),"-")</f>
        <v>-</v>
      </c>
      <c r="Q53" s="78" t="str">
        <f>+IFERROR(VLOOKUP(D53,'ID1&amp;5'!K:L,2,FALSE),"-")</f>
        <v>-</v>
      </c>
      <c r="R53" s="26" t="str">
        <f>+IFERROR(VLOOKUP(CONCATENATE(A53,$D$10,D53),'ID1&amp;5'!B:J,9,FALSE),"-")</f>
        <v>-</v>
      </c>
      <c r="S53" s="78" t="str">
        <f>+IFERROR(VLOOKUP(E53,'ID1&amp;5'!K:L,2,FALSE),"-")</f>
        <v>-</v>
      </c>
      <c r="T53" s="79" t="str">
        <f>+IFERROR(VLOOKUP(CONCATENATE(A53,$E$10,E53),'ID1&amp;5'!B:J,9,FALSE),"-")</f>
        <v>-</v>
      </c>
      <c r="U53" s="78" t="str">
        <f>+IFERROR(VLOOKUP(F53,'ID1&amp;5'!K:L,2,FALSE),"-")</f>
        <v>-</v>
      </c>
      <c r="V53" s="79" t="str">
        <f>+IFERROR(VLOOKUP(CONCATENATE(A53,$F$10,F53),'ID1&amp;5'!B:J,9,FALSE),"-")</f>
        <v>-</v>
      </c>
      <c r="W53" s="26" t="str">
        <f>+IFERROR(VLOOKUP(A53,'ID6&amp;7'!A:I,9,FALSE),"-")</f>
        <v>-</v>
      </c>
      <c r="X53" s="26" t="str">
        <f>+IFERROR(VLOOKUP(A53,'ID6&amp;7'!A:J,10,FALSE),"-")</f>
        <v>-</v>
      </c>
      <c r="Y53" s="26"/>
      <c r="Z53" s="27" t="str">
        <f t="shared" si="1"/>
        <v>Por iniciar</v>
      </c>
    </row>
    <row r="54" spans="1:27">
      <c r="A54" s="20" t="str">
        <f t="shared" si="0"/>
        <v>UNIV_OPERvalor_bruto_on_prvs45991</v>
      </c>
      <c r="B54" s="66">
        <f t="array" ref="B54">+MAX(IF('ID1&amp;5'!A:A='1. Status'!A54&amp;'1. Status'!$B$10,'ID1&amp;5'!K:K))</f>
        <v>0</v>
      </c>
      <c r="C54" s="60">
        <f t="array" ref="C54">+MAX(IF('ID1&amp;5'!A:A='1. Status'!A54&amp;'1. Status'!$C$10,'ID1&amp;5'!K:K))</f>
        <v>0</v>
      </c>
      <c r="D54" s="60">
        <f t="array" ref="D54">+MAX(IF('ID1&amp;5'!A:A='1. Status'!A54&amp;'1. Status'!$D$10,'ID1&amp;5'!K:K))</f>
        <v>0</v>
      </c>
      <c r="E54" s="60">
        <f t="array" ref="E54">+MAX(IF('ID1&amp;5'!A:A='1. Status'!A54&amp;'1. Status'!$E$10,'ID1&amp;5'!K:K))</f>
        <v>0</v>
      </c>
      <c r="F54" s="67">
        <f t="array" ref="F54">+MAX(IF('ID1&amp;5'!A:A='1. Status'!A54&amp;'1. Status'!$F$10,'ID1&amp;5'!K:K))</f>
        <v>0</v>
      </c>
      <c r="G54" s="60"/>
      <c r="H54" s="65" t="s">
        <v>1080</v>
      </c>
      <c r="I54" s="21" t="s">
        <v>1124</v>
      </c>
      <c r="J54" s="26">
        <f>+COUNTIF('ID1&amp;5'!G:G,'1. Status'!I54)</f>
        <v>0</v>
      </c>
      <c r="K54" s="79" t="str">
        <f>+IFERROR(VLOOKUP(CONCATENATE(A54,$B$10,B54),'ID1&amp;5'!B:J,8,FALSE),"-")</f>
        <v>-</v>
      </c>
      <c r="L54" s="78" t="str">
        <f>+IFERROR(VLOOKUP(B54,'ID1&amp;5'!K:L,2,FALSE),"-")</f>
        <v>-</v>
      </c>
      <c r="M54" s="79" t="str">
        <f>+IFERROR(VLOOKUP(CONCATENATE(A54,$B$10,B54),'ID1&amp;5'!B:J,9,FALSE),"-")</f>
        <v>-</v>
      </c>
      <c r="N54" s="79" t="str">
        <f>+IFERROR(VLOOKUP(CONCATENATE(A54,$C$10,C54),'ID1&amp;5'!B:J,8,FALSE),"-")</f>
        <v>-</v>
      </c>
      <c r="O54" s="78" t="str">
        <f>+IFERROR(VLOOKUP(C54,'ID1&amp;5'!K:L,2,FALSE),"-")</f>
        <v>-</v>
      </c>
      <c r="P54" s="79" t="str">
        <f>+IFERROR(VLOOKUP(CONCATENATE(A54,$C$10,C54),'ID1&amp;5'!B:J,9,FALSE),"-")</f>
        <v>-</v>
      </c>
      <c r="Q54" s="78" t="str">
        <f>+IFERROR(VLOOKUP(D54,'ID1&amp;5'!K:L,2,FALSE),"-")</f>
        <v>-</v>
      </c>
      <c r="R54" s="26" t="str">
        <f>+IFERROR(VLOOKUP(CONCATENATE(A54,$D$10,D54),'ID1&amp;5'!B:J,9,FALSE),"-")</f>
        <v>-</v>
      </c>
      <c r="S54" s="78" t="str">
        <f>+IFERROR(VLOOKUP(E54,'ID1&amp;5'!K:L,2,FALSE),"-")</f>
        <v>-</v>
      </c>
      <c r="T54" s="79" t="str">
        <f>+IFERROR(VLOOKUP(CONCATENATE(A54,$E$10,E54),'ID1&amp;5'!B:J,9,FALSE),"-")</f>
        <v>-</v>
      </c>
      <c r="U54" s="78" t="str">
        <f>+IFERROR(VLOOKUP(F54,'ID1&amp;5'!K:L,2,FALSE),"-")</f>
        <v>-</v>
      </c>
      <c r="V54" s="79" t="str">
        <f>+IFERROR(VLOOKUP(CONCATENATE(A54,$F$10,F54),'ID1&amp;5'!B:J,9,FALSE),"-")</f>
        <v>-</v>
      </c>
      <c r="W54" s="26" t="str">
        <f>+IFERROR(VLOOKUP(A54,'ID6&amp;7'!A:I,9,FALSE),"-")</f>
        <v>-</v>
      </c>
      <c r="X54" s="26" t="str">
        <f>+IFERROR(VLOOKUP(A54,'ID6&amp;7'!A:J,10,FALSE),"-")</f>
        <v>-</v>
      </c>
      <c r="Y54" s="26"/>
      <c r="Z54" s="27" t="str">
        <f t="shared" si="1"/>
        <v>Por iniciar</v>
      </c>
    </row>
    <row r="55" spans="1:27">
      <c r="A55" s="20" t="str">
        <f t="shared" si="0"/>
        <v>UNIV_OPERvalor_bruto_off_prvs45991</v>
      </c>
      <c r="B55" s="66">
        <f t="array" ref="B55">+MAX(IF('ID1&amp;5'!A:A='1. Status'!A55&amp;'1. Status'!$B$10,'ID1&amp;5'!K:K))</f>
        <v>0</v>
      </c>
      <c r="C55" s="60">
        <f t="array" ref="C55">+MAX(IF('ID1&amp;5'!A:A='1. Status'!A55&amp;'1. Status'!$C$10,'ID1&amp;5'!K:K))</f>
        <v>0</v>
      </c>
      <c r="D55" s="60">
        <f t="array" ref="D55">+MAX(IF('ID1&amp;5'!A:A='1. Status'!A55&amp;'1. Status'!$D$10,'ID1&amp;5'!K:K))</f>
        <v>0</v>
      </c>
      <c r="E55" s="60">
        <f t="array" ref="E55">+MAX(IF('ID1&amp;5'!A:A='1. Status'!A55&amp;'1. Status'!$E$10,'ID1&amp;5'!K:K))</f>
        <v>0</v>
      </c>
      <c r="F55" s="67">
        <f t="array" ref="F55">+MAX(IF('ID1&amp;5'!A:A='1. Status'!A55&amp;'1. Status'!$F$10,'ID1&amp;5'!K:K))</f>
        <v>0</v>
      </c>
      <c r="G55" s="60"/>
      <c r="H55" s="65" t="s">
        <v>1080</v>
      </c>
      <c r="I55" s="21" t="s">
        <v>1125</v>
      </c>
      <c r="J55" s="26">
        <f>+COUNTIF('ID1&amp;5'!G:G,'1. Status'!I55)</f>
        <v>0</v>
      </c>
      <c r="K55" s="79" t="str">
        <f>+IFERROR(VLOOKUP(CONCATENATE(A55,$B$10,B55),'ID1&amp;5'!B:J,8,FALSE),"-")</f>
        <v>-</v>
      </c>
      <c r="L55" s="78" t="str">
        <f>+IFERROR(VLOOKUP(B55,'ID1&amp;5'!K:L,2,FALSE),"-")</f>
        <v>-</v>
      </c>
      <c r="M55" s="79" t="str">
        <f>+IFERROR(VLOOKUP(CONCATENATE(A55,$B$10,B55),'ID1&amp;5'!B:J,9,FALSE),"-")</f>
        <v>-</v>
      </c>
      <c r="N55" s="79" t="str">
        <f>+IFERROR(VLOOKUP(CONCATENATE(A55,$C$10,C55),'ID1&amp;5'!B:J,8,FALSE),"-")</f>
        <v>-</v>
      </c>
      <c r="O55" s="78" t="str">
        <f>+IFERROR(VLOOKUP(C55,'ID1&amp;5'!K:L,2,FALSE),"-")</f>
        <v>-</v>
      </c>
      <c r="P55" s="79" t="str">
        <f>+IFERROR(VLOOKUP(CONCATENATE(A55,$C$10,C55),'ID1&amp;5'!B:J,9,FALSE),"-")</f>
        <v>-</v>
      </c>
      <c r="Q55" s="78" t="str">
        <f>+IFERROR(VLOOKUP(D55,'ID1&amp;5'!K:L,2,FALSE),"-")</f>
        <v>-</v>
      </c>
      <c r="R55" s="26" t="str">
        <f>+IFERROR(VLOOKUP(CONCATENATE(A55,$D$10,D55),'ID1&amp;5'!B:J,9,FALSE),"-")</f>
        <v>-</v>
      </c>
      <c r="S55" s="78" t="str">
        <f>+IFERROR(VLOOKUP(E55,'ID1&amp;5'!K:L,2,FALSE),"-")</f>
        <v>-</v>
      </c>
      <c r="T55" s="79" t="str">
        <f>+IFERROR(VLOOKUP(CONCATENATE(A55,$E$10,E55),'ID1&amp;5'!B:J,9,FALSE),"-")</f>
        <v>-</v>
      </c>
      <c r="U55" s="78" t="str">
        <f>+IFERROR(VLOOKUP(F55,'ID1&amp;5'!K:L,2,FALSE),"-")</f>
        <v>-</v>
      </c>
      <c r="V55" s="79" t="str">
        <f>+IFERROR(VLOOKUP(CONCATENATE(A55,$F$10,F55),'ID1&amp;5'!B:J,9,FALSE),"-")</f>
        <v>-</v>
      </c>
      <c r="W55" s="26" t="str">
        <f>+IFERROR(VLOOKUP(A55,'ID6&amp;7'!A:I,9,FALSE),"-")</f>
        <v>-</v>
      </c>
      <c r="X55" s="26" t="str">
        <f>+IFERROR(VLOOKUP(A55,'ID6&amp;7'!A:J,10,FALSE),"-")</f>
        <v>-</v>
      </c>
      <c r="Y55" s="26"/>
      <c r="Z55" s="27" t="str">
        <f t="shared" si="1"/>
        <v>Por iniciar</v>
      </c>
    </row>
    <row r="56" spans="1:27">
      <c r="A56" s="20" t="str">
        <f t="shared" si="0"/>
        <v>UNIV_OPERprovisao_on_prvs45991</v>
      </c>
      <c r="B56" s="66">
        <f t="array" ref="B56">+MAX(IF('ID1&amp;5'!A:A='1. Status'!A56&amp;'1. Status'!$B$10,'ID1&amp;5'!K:K))</f>
        <v>0</v>
      </c>
      <c r="C56" s="60">
        <f t="array" ref="C56">+MAX(IF('ID1&amp;5'!A:A='1. Status'!A56&amp;'1. Status'!$C$10,'ID1&amp;5'!K:K))</f>
        <v>0</v>
      </c>
      <c r="D56" s="60">
        <f t="array" ref="D56">+MAX(IF('ID1&amp;5'!A:A='1. Status'!A56&amp;'1. Status'!$D$10,'ID1&amp;5'!K:K))</f>
        <v>0</v>
      </c>
      <c r="E56" s="60">
        <f t="array" ref="E56">+MAX(IF('ID1&amp;5'!A:A='1. Status'!A56&amp;'1. Status'!$E$10,'ID1&amp;5'!K:K))</f>
        <v>0</v>
      </c>
      <c r="F56" s="67">
        <f t="array" ref="F56">+MAX(IF('ID1&amp;5'!A:A='1. Status'!A56&amp;'1. Status'!$F$10,'ID1&amp;5'!K:K))</f>
        <v>0</v>
      </c>
      <c r="G56" s="60"/>
      <c r="H56" s="65" t="s">
        <v>1080</v>
      </c>
      <c r="I56" s="21" t="s">
        <v>1126</v>
      </c>
      <c r="J56" s="26">
        <f>+COUNTIF('ID1&amp;5'!G:G,'1. Status'!I56)</f>
        <v>0</v>
      </c>
      <c r="K56" s="79" t="str">
        <f>+IFERROR(VLOOKUP(CONCATENATE(A56,$B$10,B56),'ID1&amp;5'!B:J,8,FALSE),"-")</f>
        <v>-</v>
      </c>
      <c r="L56" s="78" t="str">
        <f>+IFERROR(VLOOKUP(B56,'ID1&amp;5'!K:L,2,FALSE),"-")</f>
        <v>-</v>
      </c>
      <c r="M56" s="79" t="str">
        <f>+IFERROR(VLOOKUP(CONCATENATE(A56,$B$10,B56),'ID1&amp;5'!B:J,9,FALSE),"-")</f>
        <v>-</v>
      </c>
      <c r="N56" s="79" t="str">
        <f>+IFERROR(VLOOKUP(CONCATENATE(A56,$C$10,C56),'ID1&amp;5'!B:J,8,FALSE),"-")</f>
        <v>-</v>
      </c>
      <c r="O56" s="78" t="str">
        <f>+IFERROR(VLOOKUP(C56,'ID1&amp;5'!K:L,2,FALSE),"-")</f>
        <v>-</v>
      </c>
      <c r="P56" s="79" t="str">
        <f>+IFERROR(VLOOKUP(CONCATENATE(A56,$C$10,C56),'ID1&amp;5'!B:J,9,FALSE),"-")</f>
        <v>-</v>
      </c>
      <c r="Q56" s="78" t="str">
        <f>+IFERROR(VLOOKUP(D56,'ID1&amp;5'!K:L,2,FALSE),"-")</f>
        <v>-</v>
      </c>
      <c r="R56" s="26" t="str">
        <f>+IFERROR(VLOOKUP(CONCATENATE(A56,$D$10,D56),'ID1&amp;5'!B:J,9,FALSE),"-")</f>
        <v>-</v>
      </c>
      <c r="S56" s="78" t="str">
        <f>+IFERROR(VLOOKUP(E56,'ID1&amp;5'!K:L,2,FALSE),"-")</f>
        <v>-</v>
      </c>
      <c r="T56" s="79" t="str">
        <f>+IFERROR(VLOOKUP(CONCATENATE(A56,$E$10,E56),'ID1&amp;5'!B:J,9,FALSE),"-")</f>
        <v>-</v>
      </c>
      <c r="U56" s="78" t="str">
        <f>+IFERROR(VLOOKUP(F56,'ID1&amp;5'!K:L,2,FALSE),"-")</f>
        <v>-</v>
      </c>
      <c r="V56" s="79" t="str">
        <f>+IFERROR(VLOOKUP(CONCATENATE(A56,$F$10,F56),'ID1&amp;5'!B:J,9,FALSE),"-")</f>
        <v>-</v>
      </c>
      <c r="W56" s="26" t="str">
        <f>+IFERROR(VLOOKUP(A56,'ID6&amp;7'!A:I,9,FALSE),"-")</f>
        <v>-</v>
      </c>
      <c r="X56" s="26" t="str">
        <f>+IFERROR(VLOOKUP(A56,'ID6&amp;7'!A:J,10,FALSE),"-")</f>
        <v>-</v>
      </c>
      <c r="Y56" s="26"/>
      <c r="Z56" s="27" t="str">
        <f t="shared" si="1"/>
        <v>Por iniciar</v>
      </c>
    </row>
    <row r="57" spans="1:27">
      <c r="A57" s="20" t="str">
        <f t="shared" si="0"/>
        <v>UNIV_OPERprovisao_off_prvs45991</v>
      </c>
      <c r="B57" s="66">
        <f t="array" ref="B57">+MAX(IF('ID1&amp;5'!A:A='1. Status'!A57&amp;'1. Status'!$B$10,'ID1&amp;5'!K:K))</f>
        <v>0</v>
      </c>
      <c r="C57" s="60">
        <f t="array" ref="C57">+MAX(IF('ID1&amp;5'!A:A='1. Status'!A57&amp;'1. Status'!$C$10,'ID1&amp;5'!K:K))</f>
        <v>0</v>
      </c>
      <c r="D57" s="60">
        <f t="array" ref="D57">+MAX(IF('ID1&amp;5'!A:A='1. Status'!A57&amp;'1. Status'!$D$10,'ID1&amp;5'!K:K))</f>
        <v>0</v>
      </c>
      <c r="E57" s="60">
        <f t="array" ref="E57">+MAX(IF('ID1&amp;5'!A:A='1. Status'!A57&amp;'1. Status'!$E$10,'ID1&amp;5'!K:K))</f>
        <v>0</v>
      </c>
      <c r="F57" s="67">
        <f t="array" ref="F57">+MAX(IF('ID1&amp;5'!A:A='1. Status'!A57&amp;'1. Status'!$F$10,'ID1&amp;5'!K:K))</f>
        <v>0</v>
      </c>
      <c r="G57" s="60"/>
      <c r="H57" s="65" t="s">
        <v>1080</v>
      </c>
      <c r="I57" s="21" t="s">
        <v>1127</v>
      </c>
      <c r="J57" s="26">
        <f>+COUNTIF('ID1&amp;5'!G:G,'1. Status'!I57)</f>
        <v>0</v>
      </c>
      <c r="K57" s="79" t="str">
        <f>+IFERROR(VLOOKUP(CONCATENATE(A57,$B$10,B57),'ID1&amp;5'!B:J,8,FALSE),"-")</f>
        <v>-</v>
      </c>
      <c r="L57" s="78" t="str">
        <f>+IFERROR(VLOOKUP(B57,'ID1&amp;5'!K:L,2,FALSE),"-")</f>
        <v>-</v>
      </c>
      <c r="M57" s="79" t="str">
        <f>+IFERROR(VLOOKUP(CONCATENATE(A57,$B$10,B57),'ID1&amp;5'!B:J,9,FALSE),"-")</f>
        <v>-</v>
      </c>
      <c r="N57" s="79" t="str">
        <f>+IFERROR(VLOOKUP(CONCATENATE(A57,$C$10,C57),'ID1&amp;5'!B:J,8,FALSE),"-")</f>
        <v>-</v>
      </c>
      <c r="O57" s="78" t="str">
        <f>+IFERROR(VLOOKUP(C57,'ID1&amp;5'!K:L,2,FALSE),"-")</f>
        <v>-</v>
      </c>
      <c r="P57" s="79" t="str">
        <f>+IFERROR(VLOOKUP(CONCATENATE(A57,$C$10,C57),'ID1&amp;5'!B:J,9,FALSE),"-")</f>
        <v>-</v>
      </c>
      <c r="Q57" s="78" t="str">
        <f>+IFERROR(VLOOKUP(D57,'ID1&amp;5'!K:L,2,FALSE),"-")</f>
        <v>-</v>
      </c>
      <c r="R57" s="26" t="str">
        <f>+IFERROR(VLOOKUP(CONCATENATE(A57,$D$10,D57),'ID1&amp;5'!B:J,9,FALSE),"-")</f>
        <v>-</v>
      </c>
      <c r="S57" s="78" t="str">
        <f>+IFERROR(VLOOKUP(E57,'ID1&amp;5'!K:L,2,FALSE),"-")</f>
        <v>-</v>
      </c>
      <c r="T57" s="79" t="str">
        <f>+IFERROR(VLOOKUP(CONCATENATE(A57,$E$10,E57),'ID1&amp;5'!B:J,9,FALSE),"-")</f>
        <v>-</v>
      </c>
      <c r="U57" s="78" t="str">
        <f>+IFERROR(VLOOKUP(F57,'ID1&amp;5'!K:L,2,FALSE),"-")</f>
        <v>-</v>
      </c>
      <c r="V57" s="79" t="str">
        <f>+IFERROR(VLOOKUP(CONCATENATE(A57,$F$10,F57),'ID1&amp;5'!B:J,9,FALSE),"-")</f>
        <v>-</v>
      </c>
      <c r="W57" s="26" t="str">
        <f>+IFERROR(VLOOKUP(A57,'ID6&amp;7'!A:I,9,FALSE),"-")</f>
        <v>-</v>
      </c>
      <c r="X57" s="26" t="str">
        <f>+IFERROR(VLOOKUP(A57,'ID6&amp;7'!A:J,10,FALSE),"-")</f>
        <v>-</v>
      </c>
      <c r="Y57" s="26"/>
      <c r="Z57" s="27" t="str">
        <f t="shared" si="1"/>
        <v>Por iniciar</v>
      </c>
    </row>
    <row r="58" spans="1:27">
      <c r="A58" s="20" t="str">
        <f t="shared" si="0"/>
        <v>UNIV_OPERjuros_corridos45991</v>
      </c>
      <c r="B58" s="66">
        <f t="array" ref="B58">+MAX(IF('ID1&amp;5'!A:A='1. Status'!A58&amp;'1. Status'!$B$10,'ID1&amp;5'!K:K))</f>
        <v>0</v>
      </c>
      <c r="C58" s="60">
        <f t="array" ref="C58">+MAX(IF('ID1&amp;5'!A:A='1. Status'!A58&amp;'1. Status'!$C$10,'ID1&amp;5'!K:K))</f>
        <v>0</v>
      </c>
      <c r="D58" s="60">
        <f t="array" ref="D58">+MAX(IF('ID1&amp;5'!A:A='1. Status'!A58&amp;'1. Status'!$D$10,'ID1&amp;5'!K:K))</f>
        <v>0</v>
      </c>
      <c r="E58" s="60">
        <f t="array" ref="E58">+MAX(IF('ID1&amp;5'!A:A='1. Status'!A58&amp;'1. Status'!$E$10,'ID1&amp;5'!K:K))</f>
        <v>0</v>
      </c>
      <c r="F58" s="67">
        <f t="array" ref="F58">+MAX(IF('ID1&amp;5'!A:A='1. Status'!A58&amp;'1. Status'!$F$10,'ID1&amp;5'!K:K))</f>
        <v>0</v>
      </c>
      <c r="G58" s="60"/>
      <c r="H58" s="65" t="s">
        <v>1080</v>
      </c>
      <c r="I58" s="21" t="s">
        <v>1128</v>
      </c>
      <c r="J58" s="26">
        <f>+COUNTIF('ID1&amp;5'!G:G,'1. Status'!I58)</f>
        <v>0</v>
      </c>
      <c r="K58" s="79" t="str">
        <f>+IFERROR(VLOOKUP(CONCATENATE(A58,$B$10,B58),'ID1&amp;5'!B:J,8,FALSE),"-")</f>
        <v>-</v>
      </c>
      <c r="L58" s="78" t="str">
        <f>+IFERROR(VLOOKUP(B58,'ID1&amp;5'!K:L,2,FALSE),"-")</f>
        <v>-</v>
      </c>
      <c r="M58" s="79" t="str">
        <f>+IFERROR(VLOOKUP(CONCATENATE(A58,$B$10,B58),'ID1&amp;5'!B:J,9,FALSE),"-")</f>
        <v>-</v>
      </c>
      <c r="N58" s="79" t="str">
        <f>+IFERROR(VLOOKUP(CONCATENATE(A58,$C$10,C58),'ID1&amp;5'!B:J,8,FALSE),"-")</f>
        <v>-</v>
      </c>
      <c r="O58" s="78" t="str">
        <f>+IFERROR(VLOOKUP(C58,'ID1&amp;5'!K:L,2,FALSE),"-")</f>
        <v>-</v>
      </c>
      <c r="P58" s="79" t="str">
        <f>+IFERROR(VLOOKUP(CONCATENATE(A58,$C$10,C58),'ID1&amp;5'!B:J,9,FALSE),"-")</f>
        <v>-</v>
      </c>
      <c r="Q58" s="78" t="str">
        <f>+IFERROR(VLOOKUP(D58,'ID1&amp;5'!K:L,2,FALSE),"-")</f>
        <v>-</v>
      </c>
      <c r="R58" s="26" t="str">
        <f>+IFERROR(VLOOKUP(CONCATENATE(A58,$D$10,D58),'ID1&amp;5'!B:J,9,FALSE),"-")</f>
        <v>-</v>
      </c>
      <c r="S58" s="78" t="str">
        <f>+IFERROR(VLOOKUP(E58,'ID1&amp;5'!K:L,2,FALSE),"-")</f>
        <v>-</v>
      </c>
      <c r="T58" s="79" t="str">
        <f>+IFERROR(VLOOKUP(CONCATENATE(A58,$E$10,E58),'ID1&amp;5'!B:J,9,FALSE),"-")</f>
        <v>-</v>
      </c>
      <c r="U58" s="78" t="str">
        <f>+IFERROR(VLOOKUP(F58,'ID1&amp;5'!K:L,2,FALSE),"-")</f>
        <v>-</v>
      </c>
      <c r="V58" s="79" t="str">
        <f>+IFERROR(VLOOKUP(CONCATENATE(A58,$F$10,F58),'ID1&amp;5'!B:J,9,FALSE),"-")</f>
        <v>-</v>
      </c>
      <c r="W58" s="26" t="str">
        <f>+IFERROR(VLOOKUP(A58,'ID6&amp;7'!A:I,9,FALSE),"-")</f>
        <v>-</v>
      </c>
      <c r="X58" s="26" t="str">
        <f>+IFERROR(VLOOKUP(A58,'ID6&amp;7'!A:J,10,FALSE),"-")</f>
        <v>-</v>
      </c>
      <c r="Y58" s="26"/>
      <c r="Z58" s="27" t="str">
        <f t="shared" si="1"/>
        <v>Por iniciar</v>
      </c>
    </row>
    <row r="59" spans="1:27">
      <c r="A59" s="20" t="str">
        <f t="shared" si="0"/>
        <v>UNIV_OPERjuros_corridos_prvs45991</v>
      </c>
      <c r="B59" s="66">
        <f t="array" ref="B59">+MAX(IF('ID1&amp;5'!A:A='1. Status'!A59&amp;'1. Status'!$B$10,'ID1&amp;5'!K:K))</f>
        <v>0</v>
      </c>
      <c r="C59" s="60">
        <f t="array" ref="C59">+MAX(IF('ID1&amp;5'!A:A='1. Status'!A59&amp;'1. Status'!$C$10,'ID1&amp;5'!K:K))</f>
        <v>0</v>
      </c>
      <c r="D59" s="60">
        <f t="array" ref="D59">+MAX(IF('ID1&amp;5'!A:A='1. Status'!A59&amp;'1. Status'!$D$10,'ID1&amp;5'!K:K))</f>
        <v>0</v>
      </c>
      <c r="E59" s="60">
        <f t="array" ref="E59">+MAX(IF('ID1&amp;5'!A:A='1. Status'!A59&amp;'1. Status'!$E$10,'ID1&amp;5'!K:K))</f>
        <v>0</v>
      </c>
      <c r="F59" s="67">
        <f t="array" ref="F59">+MAX(IF('ID1&amp;5'!A:A='1. Status'!A59&amp;'1. Status'!$F$10,'ID1&amp;5'!K:K))</f>
        <v>0</v>
      </c>
      <c r="G59" s="60"/>
      <c r="H59" s="65" t="s">
        <v>1080</v>
      </c>
      <c r="I59" s="21" t="s">
        <v>1129</v>
      </c>
      <c r="J59" s="26">
        <f>+COUNTIF('ID1&amp;5'!G:G,'1. Status'!I59)</f>
        <v>0</v>
      </c>
      <c r="K59" s="79" t="str">
        <f>+IFERROR(VLOOKUP(CONCATENATE(A59,$B$10,B59),'ID1&amp;5'!B:J,8,FALSE),"-")</f>
        <v>-</v>
      </c>
      <c r="L59" s="78" t="str">
        <f>+IFERROR(VLOOKUP(B59,'ID1&amp;5'!K:L,2,FALSE),"-")</f>
        <v>-</v>
      </c>
      <c r="M59" s="79" t="str">
        <f>+IFERROR(VLOOKUP(CONCATENATE(A59,$B$10,B59),'ID1&amp;5'!B:J,9,FALSE),"-")</f>
        <v>-</v>
      </c>
      <c r="N59" s="79" t="str">
        <f>+IFERROR(VLOOKUP(CONCATENATE(A59,$C$10,C59),'ID1&amp;5'!B:J,8,FALSE),"-")</f>
        <v>-</v>
      </c>
      <c r="O59" s="78" t="str">
        <f>+IFERROR(VLOOKUP(C59,'ID1&amp;5'!K:L,2,FALSE),"-")</f>
        <v>-</v>
      </c>
      <c r="P59" s="79" t="str">
        <f>+IFERROR(VLOOKUP(CONCATENATE(A59,$C$10,C59),'ID1&amp;5'!B:J,9,FALSE),"-")</f>
        <v>-</v>
      </c>
      <c r="Q59" s="78" t="str">
        <f>+IFERROR(VLOOKUP(D59,'ID1&amp;5'!K:L,2,FALSE),"-")</f>
        <v>-</v>
      </c>
      <c r="R59" s="26" t="str">
        <f>+IFERROR(VLOOKUP(CONCATENATE(A59,$D$10,D59),'ID1&amp;5'!B:J,9,FALSE),"-")</f>
        <v>-</v>
      </c>
      <c r="S59" s="78" t="str">
        <f>+IFERROR(VLOOKUP(E59,'ID1&amp;5'!K:L,2,FALSE),"-")</f>
        <v>-</v>
      </c>
      <c r="T59" s="79" t="str">
        <f>+IFERROR(VLOOKUP(CONCATENATE(A59,$E$10,E59),'ID1&amp;5'!B:J,9,FALSE),"-")</f>
        <v>-</v>
      </c>
      <c r="U59" s="78" t="str">
        <f>+IFERROR(VLOOKUP(F59,'ID1&amp;5'!K:L,2,FALSE),"-")</f>
        <v>-</v>
      </c>
      <c r="V59" s="79" t="str">
        <f>+IFERROR(VLOOKUP(CONCATENATE(A59,$F$10,F59),'ID1&amp;5'!B:J,9,FALSE),"-")</f>
        <v>-</v>
      </c>
      <c r="W59" s="26" t="str">
        <f>+IFERROR(VLOOKUP(A59,'ID6&amp;7'!A:I,9,FALSE),"-")</f>
        <v>-</v>
      </c>
      <c r="X59" s="26" t="str">
        <f>+IFERROR(VLOOKUP(A59,'ID6&amp;7'!A:J,10,FALSE),"-")</f>
        <v>-</v>
      </c>
      <c r="Y59" s="26"/>
      <c r="Z59" s="27" t="str">
        <f t="shared" si="1"/>
        <v>Por iniciar</v>
      </c>
    </row>
    <row r="60" spans="1:27">
      <c r="A60" s="20" t="str">
        <f t="shared" si="0"/>
        <v>UNIV_OPERsubportfolio_id_inicial45991</v>
      </c>
      <c r="B60" s="66">
        <f t="array" ref="B60">+MAX(IF('ID1&amp;5'!A:A='1. Status'!A60&amp;'1. Status'!$B$10,'ID1&amp;5'!K:K))</f>
        <v>0</v>
      </c>
      <c r="C60" s="60">
        <f t="array" ref="C60">+MAX(IF('ID1&amp;5'!A:A='1. Status'!A60&amp;'1. Status'!$C$10,'ID1&amp;5'!K:K))</f>
        <v>0</v>
      </c>
      <c r="D60" s="60">
        <f t="array" ref="D60">+MAX(IF('ID1&amp;5'!A:A='1. Status'!A60&amp;'1. Status'!$D$10,'ID1&amp;5'!K:K))</f>
        <v>0</v>
      </c>
      <c r="E60" s="60">
        <f t="array" ref="E60">+MAX(IF('ID1&amp;5'!A:A='1. Status'!A60&amp;'1. Status'!$E$10,'ID1&amp;5'!K:K))</f>
        <v>0</v>
      </c>
      <c r="F60" s="67">
        <f t="array" ref="F60">+MAX(IF('ID1&amp;5'!A:A='1. Status'!A60&amp;'1. Status'!$F$10,'ID1&amp;5'!K:K))</f>
        <v>0</v>
      </c>
      <c r="G60" s="60"/>
      <c r="H60" s="65" t="s">
        <v>1080</v>
      </c>
      <c r="I60" s="21" t="s">
        <v>1130</v>
      </c>
      <c r="J60" s="26">
        <f>+COUNTIF('ID1&amp;5'!G:G,'1. Status'!I60)</f>
        <v>0</v>
      </c>
      <c r="K60" s="79" t="str">
        <f>+IFERROR(VLOOKUP(CONCATENATE(A60,$B$10,B60),'ID1&amp;5'!B:J,8,FALSE),"-")</f>
        <v>-</v>
      </c>
      <c r="L60" s="78" t="str">
        <f>+IFERROR(VLOOKUP(B60,'ID1&amp;5'!K:L,2,FALSE),"-")</f>
        <v>-</v>
      </c>
      <c r="M60" s="79" t="str">
        <f>+IFERROR(VLOOKUP(CONCATENATE(A60,$B$10,B60),'ID1&amp;5'!B:J,9,FALSE),"-")</f>
        <v>-</v>
      </c>
      <c r="N60" s="79" t="str">
        <f>+IFERROR(VLOOKUP(CONCATENATE(A60,$C$10,C60),'ID1&amp;5'!B:J,8,FALSE),"-")</f>
        <v>-</v>
      </c>
      <c r="O60" s="78" t="str">
        <f>+IFERROR(VLOOKUP(C60,'ID1&amp;5'!K:L,2,FALSE),"-")</f>
        <v>-</v>
      </c>
      <c r="P60" s="79" t="str">
        <f>+IFERROR(VLOOKUP(CONCATENATE(A60,$C$10,C60),'ID1&amp;5'!B:J,9,FALSE),"-")</f>
        <v>-</v>
      </c>
      <c r="Q60" s="78" t="str">
        <f>+IFERROR(VLOOKUP(D60,'ID1&amp;5'!K:L,2,FALSE),"-")</f>
        <v>-</v>
      </c>
      <c r="R60" s="26" t="str">
        <f>+IFERROR(VLOOKUP(CONCATENATE(A60,$D$10,D60),'ID1&amp;5'!B:J,9,FALSE),"-")</f>
        <v>-</v>
      </c>
      <c r="S60" s="78" t="str">
        <f>+IFERROR(VLOOKUP(E60,'ID1&amp;5'!K:L,2,FALSE),"-")</f>
        <v>-</v>
      </c>
      <c r="T60" s="79" t="str">
        <f>+IFERROR(VLOOKUP(CONCATENATE(A60,$E$10,E60),'ID1&amp;5'!B:J,9,FALSE),"-")</f>
        <v>-</v>
      </c>
      <c r="U60" s="78" t="str">
        <f>+IFERROR(VLOOKUP(F60,'ID1&amp;5'!K:L,2,FALSE),"-")</f>
        <v>-</v>
      </c>
      <c r="V60" s="79" t="str">
        <f>+IFERROR(VLOOKUP(CONCATENATE(A60,$F$10,F60),'ID1&amp;5'!B:J,9,FALSE),"-")</f>
        <v>-</v>
      </c>
      <c r="W60" s="26" t="str">
        <f>+IFERROR(VLOOKUP(A60,'ID6&amp;7'!A:I,9,FALSE),"-")</f>
        <v>-</v>
      </c>
      <c r="X60" s="26" t="str">
        <f>+IFERROR(VLOOKUP(A60,'ID6&amp;7'!A:J,10,FALSE),"-")</f>
        <v>-</v>
      </c>
      <c r="Y60" s="26"/>
      <c r="Z60" s="27" t="str">
        <f t="shared" si="1"/>
        <v>Por iniciar</v>
      </c>
    </row>
    <row r="61" spans="1:27">
      <c r="A61" s="20" t="str">
        <f t="shared" si="0"/>
        <v>UNIV_OPERsubportfolio_id_final45991</v>
      </c>
      <c r="B61" s="66">
        <f t="array" ref="B61">+MAX(IF('ID1&amp;5'!A:A='1. Status'!A61&amp;'1. Status'!$B$10,'ID1&amp;5'!K:K))</f>
        <v>0</v>
      </c>
      <c r="C61" s="60">
        <f t="array" ref="C61">+MAX(IF('ID1&amp;5'!A:A='1. Status'!A61&amp;'1. Status'!$C$10,'ID1&amp;5'!K:K))</f>
        <v>0</v>
      </c>
      <c r="D61" s="60">
        <f t="array" ref="D61">+MAX(IF('ID1&amp;5'!A:A='1. Status'!A61&amp;'1. Status'!$D$10,'ID1&amp;5'!K:K))</f>
        <v>0</v>
      </c>
      <c r="E61" s="60">
        <f t="array" ref="E61">+MAX(IF('ID1&amp;5'!A:A='1. Status'!A61&amp;'1. Status'!$E$10,'ID1&amp;5'!K:K))</f>
        <v>0</v>
      </c>
      <c r="F61" s="67">
        <f t="array" ref="F61">+MAX(IF('ID1&amp;5'!A:A='1. Status'!A61&amp;'1. Status'!$F$10,'ID1&amp;5'!K:K))</f>
        <v>0</v>
      </c>
      <c r="G61" s="60"/>
      <c r="H61" s="65" t="s">
        <v>1080</v>
      </c>
      <c r="I61" s="21" t="s">
        <v>1131</v>
      </c>
      <c r="J61" s="26">
        <f>+COUNTIF('ID1&amp;5'!G:G,'1. Status'!I61)</f>
        <v>0</v>
      </c>
      <c r="K61" s="79" t="str">
        <f>+IFERROR(VLOOKUP(CONCATENATE(A61,$B$10,B61),'ID1&amp;5'!B:J,8,FALSE),"-")</f>
        <v>-</v>
      </c>
      <c r="L61" s="78" t="str">
        <f>+IFERROR(VLOOKUP(B61,'ID1&amp;5'!K:L,2,FALSE),"-")</f>
        <v>-</v>
      </c>
      <c r="M61" s="79" t="str">
        <f>+IFERROR(VLOOKUP(CONCATENATE(A61,$B$10,B61),'ID1&amp;5'!B:J,9,FALSE),"-")</f>
        <v>-</v>
      </c>
      <c r="N61" s="79" t="str">
        <f>+IFERROR(VLOOKUP(CONCATENATE(A61,$C$10,C61),'ID1&amp;5'!B:J,8,FALSE),"-")</f>
        <v>-</v>
      </c>
      <c r="O61" s="78" t="str">
        <f>+IFERROR(VLOOKUP(C61,'ID1&amp;5'!K:L,2,FALSE),"-")</f>
        <v>-</v>
      </c>
      <c r="P61" s="79" t="str">
        <f>+IFERROR(VLOOKUP(CONCATENATE(A61,$C$10,C61),'ID1&amp;5'!B:J,9,FALSE),"-")</f>
        <v>-</v>
      </c>
      <c r="Q61" s="78" t="str">
        <f>+IFERROR(VLOOKUP(D61,'ID1&amp;5'!K:L,2,FALSE),"-")</f>
        <v>-</v>
      </c>
      <c r="R61" s="26" t="str">
        <f>+IFERROR(VLOOKUP(CONCATENATE(A61,$D$10,D61),'ID1&amp;5'!B:J,9,FALSE),"-")</f>
        <v>-</v>
      </c>
      <c r="S61" s="78" t="str">
        <f>+IFERROR(VLOOKUP(E61,'ID1&amp;5'!K:L,2,FALSE),"-")</f>
        <v>-</v>
      </c>
      <c r="T61" s="79" t="str">
        <f>+IFERROR(VLOOKUP(CONCATENATE(A61,$E$10,E61),'ID1&amp;5'!B:J,9,FALSE),"-")</f>
        <v>-</v>
      </c>
      <c r="U61" s="78" t="str">
        <f>+IFERROR(VLOOKUP(F61,'ID1&amp;5'!K:L,2,FALSE),"-")</f>
        <v>-</v>
      </c>
      <c r="V61" s="79" t="str">
        <f>+IFERROR(VLOOKUP(CONCATENATE(A61,$F$10,F61),'ID1&amp;5'!B:J,9,FALSE),"-")</f>
        <v>-</v>
      </c>
      <c r="W61" s="26" t="str">
        <f>+IFERROR(VLOOKUP(A61,'ID6&amp;7'!A:I,9,FALSE),"-")</f>
        <v>-</v>
      </c>
      <c r="X61" s="26" t="str">
        <f>+IFERROR(VLOOKUP(A61,'ID6&amp;7'!A:J,10,FALSE),"-")</f>
        <v>-</v>
      </c>
      <c r="Y61" s="26"/>
      <c r="Z61" s="27" t="str">
        <f t="shared" si="1"/>
        <v>Por iniciar</v>
      </c>
    </row>
    <row r="62" spans="1:27">
      <c r="A62" s="20" t="str">
        <f t="shared" si="0"/>
        <v>UNIV_OPERidcomb_lt_inicial45991</v>
      </c>
      <c r="B62" s="66">
        <f t="array" ref="B62">+MAX(IF('ID1&amp;5'!A:A='1. Status'!A62&amp;'1. Status'!$B$10,'ID1&amp;5'!K:K))</f>
        <v>0</v>
      </c>
      <c r="C62" s="60">
        <f t="array" ref="C62">+MAX(IF('ID1&amp;5'!A:A='1. Status'!A62&amp;'1. Status'!$C$10,'ID1&amp;5'!K:K))</f>
        <v>0</v>
      </c>
      <c r="D62" s="60">
        <f t="array" ref="D62">+MAX(IF('ID1&amp;5'!A:A='1. Status'!A62&amp;'1. Status'!$D$10,'ID1&amp;5'!K:K))</f>
        <v>0</v>
      </c>
      <c r="E62" s="60">
        <f t="array" ref="E62">+MAX(IF('ID1&amp;5'!A:A='1. Status'!A62&amp;'1. Status'!$E$10,'ID1&amp;5'!K:K))</f>
        <v>0</v>
      </c>
      <c r="F62" s="67">
        <f t="array" ref="F62">+MAX(IF('ID1&amp;5'!A:A='1. Status'!A62&amp;'1. Status'!$F$10,'ID1&amp;5'!K:K))</f>
        <v>0</v>
      </c>
      <c r="G62" s="60"/>
      <c r="H62" s="65" t="s">
        <v>1080</v>
      </c>
      <c r="I62" s="21" t="s">
        <v>1132</v>
      </c>
      <c r="J62" s="26">
        <f>+COUNTIF('ID1&amp;5'!G:G,'1. Status'!I62)</f>
        <v>0</v>
      </c>
      <c r="K62" s="79" t="str">
        <f>+IFERROR(VLOOKUP(CONCATENATE(A62,$B$10,B62),'ID1&amp;5'!B:J,8,FALSE),"-")</f>
        <v>-</v>
      </c>
      <c r="L62" s="78" t="str">
        <f>+IFERROR(VLOOKUP(B62,'ID1&amp;5'!K:L,2,FALSE),"-")</f>
        <v>-</v>
      </c>
      <c r="M62" s="79" t="str">
        <f>+IFERROR(VLOOKUP(CONCATENATE(A62,$B$10,B62),'ID1&amp;5'!B:J,9,FALSE),"-")</f>
        <v>-</v>
      </c>
      <c r="N62" s="79" t="str">
        <f>+IFERROR(VLOOKUP(CONCATENATE(A62,$C$10,C62),'ID1&amp;5'!B:J,8,FALSE),"-")</f>
        <v>-</v>
      </c>
      <c r="O62" s="78" t="str">
        <f>+IFERROR(VLOOKUP(C62,'ID1&amp;5'!K:L,2,FALSE),"-")</f>
        <v>-</v>
      </c>
      <c r="P62" s="79" t="str">
        <f>+IFERROR(VLOOKUP(CONCATENATE(A62,$C$10,C62),'ID1&amp;5'!B:J,9,FALSE),"-")</f>
        <v>-</v>
      </c>
      <c r="Q62" s="78" t="str">
        <f>+IFERROR(VLOOKUP(D62,'ID1&amp;5'!K:L,2,FALSE),"-")</f>
        <v>-</v>
      </c>
      <c r="R62" s="26" t="str">
        <f>+IFERROR(VLOOKUP(CONCATENATE(A62,$D$10,D62),'ID1&amp;5'!B:J,9,FALSE),"-")</f>
        <v>-</v>
      </c>
      <c r="S62" s="78" t="str">
        <f>+IFERROR(VLOOKUP(E62,'ID1&amp;5'!K:L,2,FALSE),"-")</f>
        <v>-</v>
      </c>
      <c r="T62" s="79" t="str">
        <f>+IFERROR(VLOOKUP(CONCATENATE(A62,$E$10,E62),'ID1&amp;5'!B:J,9,FALSE),"-")</f>
        <v>-</v>
      </c>
      <c r="U62" s="78" t="str">
        <f>+IFERROR(VLOOKUP(F62,'ID1&amp;5'!K:L,2,FALSE),"-")</f>
        <v>-</v>
      </c>
      <c r="V62" s="79" t="str">
        <f>+IFERROR(VLOOKUP(CONCATENATE(A62,$F$10,F62),'ID1&amp;5'!B:J,9,FALSE),"-")</f>
        <v>-</v>
      </c>
      <c r="W62" s="26" t="str">
        <f>+IFERROR(VLOOKUP(A62,'ID6&amp;7'!A:I,9,FALSE),"-")</f>
        <v>-</v>
      </c>
      <c r="X62" s="26" t="str">
        <f>+IFERROR(VLOOKUP(A62,'ID6&amp;7'!A:J,10,FALSE),"-")</f>
        <v>-</v>
      </c>
      <c r="Y62" s="26"/>
      <c r="Z62" s="27" t="str">
        <f t="shared" si="1"/>
        <v>Por iniciar</v>
      </c>
    </row>
    <row r="63" spans="1:27">
      <c r="A63" s="20" t="str">
        <f t="shared" si="0"/>
        <v>UNIV_OPERidcomb_lt_final45991</v>
      </c>
      <c r="B63" s="94">
        <f t="array" ref="B63">+MAX(IF('ID1&amp;5'!A:A='1. Status'!A63&amp;'1. Status'!$B$10,'ID1&amp;5'!K:K))</f>
        <v>0</v>
      </c>
      <c r="C63" s="95">
        <f t="array" ref="C63">+MAX(IF('ID1&amp;5'!A:A='1. Status'!A63&amp;'1. Status'!$C$10,'ID1&amp;5'!K:K))</f>
        <v>0</v>
      </c>
      <c r="D63" s="95">
        <f t="array" ref="D63">+MAX(IF('ID1&amp;5'!A:A='1. Status'!A63&amp;'1. Status'!$D$10,'ID1&amp;5'!K:K))</f>
        <v>0</v>
      </c>
      <c r="E63" s="95">
        <f t="array" ref="E63">+MAX(IF('ID1&amp;5'!A:A='1. Status'!A63&amp;'1. Status'!$E$10,'ID1&amp;5'!K:K))</f>
        <v>0</v>
      </c>
      <c r="F63" s="96">
        <f t="array" ref="F63">+MAX(IF('ID1&amp;5'!A:A='1. Status'!A63&amp;'1. Status'!$F$10,'ID1&amp;5'!K:K))</f>
        <v>0</v>
      </c>
      <c r="G63" s="60"/>
      <c r="H63" s="65" t="s">
        <v>1080</v>
      </c>
      <c r="I63" s="21" t="s">
        <v>1133</v>
      </c>
      <c r="J63" s="26">
        <f>+COUNTIF('ID1&amp;5'!G:G,'1. Status'!I63)</f>
        <v>0</v>
      </c>
      <c r="K63" s="79" t="str">
        <f>+IFERROR(VLOOKUP(CONCATENATE(A63,$B$10,B63),'ID1&amp;5'!B:J,8,FALSE),"-")</f>
        <v>-</v>
      </c>
      <c r="L63" s="78" t="str">
        <f>+IFERROR(VLOOKUP(B63,'ID1&amp;5'!K:L,2,FALSE),"-")</f>
        <v>-</v>
      </c>
      <c r="M63" s="79" t="str">
        <f>+IFERROR(VLOOKUP(CONCATENATE(A63,$B$10,B63),'ID1&amp;5'!B:J,9,FALSE),"-")</f>
        <v>-</v>
      </c>
      <c r="N63" s="79" t="str">
        <f>+IFERROR(VLOOKUP(CONCATENATE(A63,$C$10,C63),'ID1&amp;5'!B:J,8,FALSE),"-")</f>
        <v>-</v>
      </c>
      <c r="O63" s="78" t="str">
        <f>+IFERROR(VLOOKUP(C63,'ID1&amp;5'!K:L,2,FALSE),"-")</f>
        <v>-</v>
      </c>
      <c r="P63" s="79" t="str">
        <f>+IFERROR(VLOOKUP(CONCATENATE(A63,$C$10,C63),'ID1&amp;5'!B:J,9,FALSE),"-")</f>
        <v>-</v>
      </c>
      <c r="Q63" s="78" t="str">
        <f>+IFERROR(VLOOKUP(D63,'ID1&amp;5'!K:L,2,FALSE),"-")</f>
        <v>-</v>
      </c>
      <c r="R63" s="26" t="str">
        <f>+IFERROR(VLOOKUP(CONCATENATE(A63,$D$10,D63),'ID1&amp;5'!B:J,9,FALSE),"-")</f>
        <v>-</v>
      </c>
      <c r="S63" s="78" t="str">
        <f>+IFERROR(VLOOKUP(E63,'ID1&amp;5'!K:L,2,FALSE),"-")</f>
        <v>-</v>
      </c>
      <c r="T63" s="79" t="str">
        <f>+IFERROR(VLOOKUP(CONCATENATE(A63,$E$10,E63),'ID1&amp;5'!B:J,9,FALSE),"-")</f>
        <v>-</v>
      </c>
      <c r="U63" s="78" t="str">
        <f>+IFERROR(VLOOKUP(F63,'ID1&amp;5'!K:L,2,FALSE),"-")</f>
        <v>-</v>
      </c>
      <c r="V63" s="79" t="str">
        <f>+IFERROR(VLOOKUP(CONCATENATE(A63,$F$10,F63),'ID1&amp;5'!B:J,9,FALSE),"-")</f>
        <v>-</v>
      </c>
      <c r="W63" s="26" t="str">
        <f>+IFERROR(VLOOKUP(A63,'ID6&amp;7'!A:I,9,FALSE),"-")</f>
        <v>-</v>
      </c>
      <c r="X63" s="26" t="str">
        <f>+IFERROR(VLOOKUP(A63,'ID6&amp;7'!A:J,10,FALSE),"-")</f>
        <v>-</v>
      </c>
      <c r="Y63" s="26"/>
      <c r="Z63" s="27" t="str">
        <f t="shared" si="1"/>
        <v>Por iniciar</v>
      </c>
    </row>
    <row r="64" spans="1:27">
      <c r="A64" s="20"/>
      <c r="B64" s="60"/>
      <c r="C64" s="60"/>
      <c r="D64" s="60"/>
      <c r="E64" s="60"/>
      <c r="F64" s="60"/>
      <c r="G64" s="60"/>
      <c r="H64" s="65" t="s">
        <v>1080</v>
      </c>
      <c r="I64" s="21" t="s">
        <v>1134</v>
      </c>
      <c r="J64" s="26">
        <f>+COUNTIF('ID1&amp;5'!G:G,'1. Status'!I64)</f>
        <v>0</v>
      </c>
      <c r="K64" s="79" t="str">
        <f>+IFERROR(VLOOKUP(CONCATENATE(A64,$B$10,B64),'ID1&amp;5'!B:J,8,FALSE),"-")</f>
        <v>-</v>
      </c>
      <c r="L64" s="78" t="str">
        <f>+IFERROR(VLOOKUP(B64,'ID1&amp;5'!K:L,2,FALSE),"-")</f>
        <v>-</v>
      </c>
      <c r="M64" s="79" t="str">
        <f>+IFERROR(VLOOKUP(CONCATENATE(A64,$B$10,B64),'ID1&amp;5'!B:J,9,FALSE),"-")</f>
        <v>-</v>
      </c>
      <c r="N64" s="79" t="str">
        <f>+IFERROR(VLOOKUP(CONCATENATE(A64,$C$10,C64),'ID1&amp;5'!B:J,8,FALSE),"-")</f>
        <v>-</v>
      </c>
      <c r="O64" s="78" t="str">
        <f>+IFERROR(VLOOKUP(C64,'ID1&amp;5'!K:L,2,FALSE),"-")</f>
        <v>-</v>
      </c>
      <c r="P64" s="79" t="str">
        <f>+IFERROR(VLOOKUP(CONCATENATE(A64,$C$10,C64),'ID1&amp;5'!B:J,9,FALSE),"-")</f>
        <v>-</v>
      </c>
      <c r="Q64" s="78" t="str">
        <f>+IFERROR(VLOOKUP(D64,'ID1&amp;5'!K:L,2,FALSE),"-")</f>
        <v>-</v>
      </c>
      <c r="R64" s="26" t="str">
        <f>+IFERROR(VLOOKUP(CONCATENATE(A64,$D$10,D64),'ID1&amp;5'!B:J,9,FALSE),"-")</f>
        <v>-</v>
      </c>
      <c r="S64" s="78" t="str">
        <f>+IFERROR(VLOOKUP(E64,'ID1&amp;5'!K:L,2,FALSE),"-")</f>
        <v>-</v>
      </c>
      <c r="T64" s="79" t="str">
        <f>+IFERROR(VLOOKUP(CONCATENATE(A64,$E$10,E64),'ID1&amp;5'!B:J,9,FALSE),"-")</f>
        <v>-</v>
      </c>
      <c r="U64" s="78" t="str">
        <f>+IFERROR(VLOOKUP(F64,'ID1&amp;5'!K:L,2,FALSE),"-")</f>
        <v>-</v>
      </c>
      <c r="V64" s="79" t="str">
        <f>+IFERROR(VLOOKUP(CONCATENATE(A64,$F$10,F64),'ID1&amp;5'!B:J,9,FALSE),"-")</f>
        <v>-</v>
      </c>
      <c r="W64" s="26" t="str">
        <f>+IFERROR(VLOOKUP(A64,'ID6&amp;7'!A:I,9,FALSE),"-")</f>
        <v>-</v>
      </c>
      <c r="X64" s="26" t="str">
        <f>+IFERROR(VLOOKUP(A64,'ID6&amp;7'!A:J,10,FALSE),"-")</f>
        <v>-</v>
      </c>
      <c r="Y64" s="26"/>
      <c r="Z64" s="27" t="str">
        <f t="shared" ref="Z64:Z127" si="2">+IF(J64=0,"Por iniciar",IF(OR(K64="-",M64="-",P64="-",R64="-",T64="-",V64="-"),"Em testes",IF(AND(M64=0,P64=0,R64=0,T64&lt;&gt;K64,V64&lt;&gt;K64),"OK","NOK")))</f>
        <v>Por iniciar</v>
      </c>
      <c r="AA64" s="65"/>
    </row>
    <row r="65" spans="1:27">
      <c r="A65" s="20"/>
      <c r="B65" s="60"/>
      <c r="C65" s="60"/>
      <c r="D65" s="60"/>
      <c r="E65" s="60"/>
      <c r="F65" s="60"/>
      <c r="G65" s="60"/>
      <c r="H65" s="65" t="s">
        <v>113</v>
      </c>
      <c r="I65" s="21" t="s">
        <v>1135</v>
      </c>
      <c r="J65" s="26">
        <f>+COUNTIF('ID1&amp;5'!G:G,'1. Status'!I65)</f>
        <v>0</v>
      </c>
      <c r="K65" s="79" t="str">
        <f>+IFERROR(VLOOKUP(CONCATENATE(A65,$B$10,B65),'ID1&amp;5'!B:J,8,FALSE),"-")</f>
        <v>-</v>
      </c>
      <c r="L65" s="78" t="str">
        <f>+IFERROR(VLOOKUP(B65,'ID1&amp;5'!K:L,2,FALSE),"-")</f>
        <v>-</v>
      </c>
      <c r="M65" s="79" t="str">
        <f>+IFERROR(VLOOKUP(CONCATENATE(A65,$B$10,B65),'ID1&amp;5'!B:J,9,FALSE),"-")</f>
        <v>-</v>
      </c>
      <c r="N65" s="79" t="str">
        <f>+IFERROR(VLOOKUP(CONCATENATE(A65,$C$10,C65),'ID1&amp;5'!B:J,8,FALSE),"-")</f>
        <v>-</v>
      </c>
      <c r="O65" s="78" t="str">
        <f>+IFERROR(VLOOKUP(C65,'ID1&amp;5'!K:L,2,FALSE),"-")</f>
        <v>-</v>
      </c>
      <c r="P65" s="79" t="str">
        <f>+IFERROR(VLOOKUP(CONCATENATE(A65,$C$10,C65),'ID1&amp;5'!B:J,9,FALSE),"-")</f>
        <v>-</v>
      </c>
      <c r="Q65" s="78" t="str">
        <f>+IFERROR(VLOOKUP(D65,'ID1&amp;5'!K:L,2,FALSE),"-")</f>
        <v>-</v>
      </c>
      <c r="R65" s="26" t="str">
        <f>+IFERROR(VLOOKUP(CONCATENATE(A65,$D$10,D65),'ID1&amp;5'!B:J,9,FALSE),"-")</f>
        <v>-</v>
      </c>
      <c r="S65" s="78" t="str">
        <f>+IFERROR(VLOOKUP(E65,'ID1&amp;5'!K:L,2,FALSE),"-")</f>
        <v>-</v>
      </c>
      <c r="T65" s="79" t="str">
        <f>+IFERROR(VLOOKUP(CONCATENATE(A65,$E$10,E65),'ID1&amp;5'!B:J,9,FALSE),"-")</f>
        <v>-</v>
      </c>
      <c r="U65" s="78" t="str">
        <f>+IFERROR(VLOOKUP(F65,'ID1&amp;5'!K:L,2,FALSE),"-")</f>
        <v>-</v>
      </c>
      <c r="V65" s="79" t="str">
        <f>+IFERROR(VLOOKUP(CONCATENATE(A65,$F$10,F65),'ID1&amp;5'!B:J,9,FALSE),"-")</f>
        <v>-</v>
      </c>
      <c r="W65" s="26" t="str">
        <f>+IFERROR(VLOOKUP(A65,'ID6&amp;7'!A:I,9,FALSE),"-")</f>
        <v>-</v>
      </c>
      <c r="X65" s="26" t="str">
        <f>+IFERROR(VLOOKUP(A65,'ID6&amp;7'!A:J,10,FALSE),"-")</f>
        <v>-</v>
      </c>
      <c r="Y65" s="26"/>
      <c r="Z65" s="27" t="str">
        <f t="shared" si="2"/>
        <v>Por iniciar</v>
      </c>
      <c r="AA65" s="65"/>
    </row>
    <row r="66" spans="1:27">
      <c r="A66" s="20"/>
      <c r="B66" s="60"/>
      <c r="C66" s="60"/>
      <c r="D66" s="60"/>
      <c r="E66" s="60"/>
      <c r="F66" s="60"/>
      <c r="G66" s="60"/>
      <c r="H66" s="65" t="s">
        <v>113</v>
      </c>
      <c r="I66" s="21" t="s">
        <v>1136</v>
      </c>
      <c r="J66" s="26">
        <f>+COUNTIF('ID1&amp;5'!G:G,'1. Status'!I66)</f>
        <v>1</v>
      </c>
      <c r="K66" s="79" t="str">
        <f>+IFERROR(VLOOKUP(CONCATENATE(A66,$B$10,B66),'ID1&amp;5'!B:J,8,FALSE),"-")</f>
        <v>-</v>
      </c>
      <c r="L66" s="78" t="str">
        <f>+IFERROR(VLOOKUP(B66,'ID1&amp;5'!K:L,2,FALSE),"-")</f>
        <v>-</v>
      </c>
      <c r="M66" s="79" t="str">
        <f>+IFERROR(VLOOKUP(CONCATENATE(A66,$B$10,B66),'ID1&amp;5'!B:J,9,FALSE),"-")</f>
        <v>-</v>
      </c>
      <c r="N66" s="79" t="str">
        <f>+IFERROR(VLOOKUP(CONCATENATE(A66,$C$10,C66),'ID1&amp;5'!B:J,8,FALSE),"-")</f>
        <v>-</v>
      </c>
      <c r="O66" s="78" t="str">
        <f>+IFERROR(VLOOKUP(C66,'ID1&amp;5'!K:L,2,FALSE),"-")</f>
        <v>-</v>
      </c>
      <c r="P66" s="79" t="str">
        <f>+IFERROR(VLOOKUP(CONCATENATE(A66,$C$10,C66),'ID1&amp;5'!B:J,9,FALSE),"-")</f>
        <v>-</v>
      </c>
      <c r="Q66" s="78" t="str">
        <f>+IFERROR(VLOOKUP(D66,'ID1&amp;5'!K:L,2,FALSE),"-")</f>
        <v>-</v>
      </c>
      <c r="R66" s="26" t="str">
        <f>+IFERROR(VLOOKUP(CONCATENATE(A66,$D$10,D66),'ID1&amp;5'!B:J,9,FALSE),"-")</f>
        <v>-</v>
      </c>
      <c r="S66" s="78" t="str">
        <f>+IFERROR(VLOOKUP(E66,'ID1&amp;5'!K:L,2,FALSE),"-")</f>
        <v>-</v>
      </c>
      <c r="T66" s="79" t="str">
        <f>+IFERROR(VLOOKUP(CONCATENATE(A66,$E$10,E66),'ID1&amp;5'!B:J,9,FALSE),"-")</f>
        <v>-</v>
      </c>
      <c r="U66" s="78" t="str">
        <f>+IFERROR(VLOOKUP(F66,'ID1&amp;5'!K:L,2,FALSE),"-")</f>
        <v>-</v>
      </c>
      <c r="V66" s="79" t="str">
        <f>+IFERROR(VLOOKUP(CONCATENATE(A66,$F$10,F66),'ID1&amp;5'!B:J,9,FALSE),"-")</f>
        <v>-</v>
      </c>
      <c r="W66" s="26" t="str">
        <f>+IFERROR(VLOOKUP(A66,'ID6&amp;7'!A:I,9,FALSE),"-")</f>
        <v>-</v>
      </c>
      <c r="X66" s="26" t="str">
        <f>+IFERROR(VLOOKUP(A66,'ID6&amp;7'!A:J,10,FALSE),"-")</f>
        <v>-</v>
      </c>
      <c r="Y66" s="26"/>
      <c r="Z66" s="27" t="str">
        <f t="shared" si="2"/>
        <v>Em testes</v>
      </c>
      <c r="AA66" s="65"/>
    </row>
    <row r="67" spans="1:27">
      <c r="A67" s="20"/>
      <c r="B67" s="60"/>
      <c r="C67" s="60"/>
      <c r="D67" s="60"/>
      <c r="E67" s="60"/>
      <c r="F67" s="60"/>
      <c r="G67" s="60"/>
      <c r="H67" s="65" t="s">
        <v>113</v>
      </c>
      <c r="I67" s="21" t="s">
        <v>635</v>
      </c>
      <c r="J67" s="26">
        <f>+COUNTIF('ID1&amp;5'!G:G,'1. Status'!I67)</f>
        <v>1</v>
      </c>
      <c r="K67" s="79" t="str">
        <f>+IFERROR(VLOOKUP(CONCATENATE(A67,$B$10,B67),'ID1&amp;5'!B:J,8,FALSE),"-")</f>
        <v>-</v>
      </c>
      <c r="L67" s="78" t="str">
        <f>+IFERROR(VLOOKUP(B67,'ID1&amp;5'!K:L,2,FALSE),"-")</f>
        <v>-</v>
      </c>
      <c r="M67" s="79" t="str">
        <f>+IFERROR(VLOOKUP(CONCATENATE(A67,$B$10,B67),'ID1&amp;5'!B:J,9,FALSE),"-")</f>
        <v>-</v>
      </c>
      <c r="N67" s="79" t="str">
        <f>+IFERROR(VLOOKUP(CONCATENATE(A67,$C$10,C67),'ID1&amp;5'!B:J,8,FALSE),"-")</f>
        <v>-</v>
      </c>
      <c r="O67" s="78" t="str">
        <f>+IFERROR(VLOOKUP(C67,'ID1&amp;5'!K:L,2,FALSE),"-")</f>
        <v>-</v>
      </c>
      <c r="P67" s="79" t="str">
        <f>+IFERROR(VLOOKUP(CONCATENATE(A67,$C$10,C67),'ID1&amp;5'!B:J,9,FALSE),"-")</f>
        <v>-</v>
      </c>
      <c r="Q67" s="78" t="str">
        <f>+IFERROR(VLOOKUP(D67,'ID1&amp;5'!K:L,2,FALSE),"-")</f>
        <v>-</v>
      </c>
      <c r="R67" s="26" t="str">
        <f>+IFERROR(VLOOKUP(CONCATENATE(A67,$D$10,D67),'ID1&amp;5'!B:J,9,FALSE),"-")</f>
        <v>-</v>
      </c>
      <c r="S67" s="78" t="str">
        <f>+IFERROR(VLOOKUP(E67,'ID1&amp;5'!K:L,2,FALSE),"-")</f>
        <v>-</v>
      </c>
      <c r="T67" s="79" t="str">
        <f>+IFERROR(VLOOKUP(CONCATENATE(A67,$E$10,E67),'ID1&amp;5'!B:J,9,FALSE),"-")</f>
        <v>-</v>
      </c>
      <c r="U67" s="78" t="str">
        <f>+IFERROR(VLOOKUP(F67,'ID1&amp;5'!K:L,2,FALSE),"-")</f>
        <v>-</v>
      </c>
      <c r="V67" s="79" t="str">
        <f>+IFERROR(VLOOKUP(CONCATENATE(A67,$F$10,F67),'ID1&amp;5'!B:J,9,FALSE),"-")</f>
        <v>-</v>
      </c>
      <c r="W67" s="26" t="str">
        <f>+IFERROR(VLOOKUP(A67,'ID6&amp;7'!A:I,9,FALSE),"-")</f>
        <v>-</v>
      </c>
      <c r="X67" s="26" t="str">
        <f>+IFERROR(VLOOKUP(A67,'ID6&amp;7'!A:J,10,FALSE),"-")</f>
        <v>-</v>
      </c>
      <c r="Y67" s="26"/>
      <c r="Z67" s="27" t="str">
        <f t="shared" si="2"/>
        <v>Em testes</v>
      </c>
      <c r="AA67" s="65"/>
    </row>
    <row r="68" spans="1:27">
      <c r="A68" s="20"/>
      <c r="B68" s="60"/>
      <c r="C68" s="60"/>
      <c r="D68" s="60"/>
      <c r="E68" s="60"/>
      <c r="F68" s="60"/>
      <c r="G68" s="60"/>
      <c r="H68" s="65" t="s">
        <v>113</v>
      </c>
      <c r="I68" s="21" t="s">
        <v>1137</v>
      </c>
      <c r="J68" s="26">
        <f>+COUNTIF('ID1&amp;5'!G:G,'1. Status'!I68)</f>
        <v>0</v>
      </c>
      <c r="K68" s="79" t="str">
        <f>+IFERROR(VLOOKUP(CONCATENATE(A68,$B$10,B68),'ID1&amp;5'!B:J,8,FALSE),"-")</f>
        <v>-</v>
      </c>
      <c r="L68" s="78" t="str">
        <f>+IFERROR(VLOOKUP(B68,'ID1&amp;5'!K:L,2,FALSE),"-")</f>
        <v>-</v>
      </c>
      <c r="M68" s="79" t="str">
        <f>+IFERROR(VLOOKUP(CONCATENATE(A68,$B$10,B68),'ID1&amp;5'!B:J,9,FALSE),"-")</f>
        <v>-</v>
      </c>
      <c r="N68" s="79" t="str">
        <f>+IFERROR(VLOOKUP(CONCATENATE(A68,$C$10,C68),'ID1&amp;5'!B:J,8,FALSE),"-")</f>
        <v>-</v>
      </c>
      <c r="O68" s="78" t="str">
        <f>+IFERROR(VLOOKUP(C68,'ID1&amp;5'!K:L,2,FALSE),"-")</f>
        <v>-</v>
      </c>
      <c r="P68" s="79" t="str">
        <f>+IFERROR(VLOOKUP(CONCATENATE(A68,$C$10,C68),'ID1&amp;5'!B:J,9,FALSE),"-")</f>
        <v>-</v>
      </c>
      <c r="Q68" s="78" t="str">
        <f>+IFERROR(VLOOKUP(D68,'ID1&amp;5'!K:L,2,FALSE),"-")</f>
        <v>-</v>
      </c>
      <c r="R68" s="26" t="str">
        <f>+IFERROR(VLOOKUP(CONCATENATE(A68,$D$10,D68),'ID1&amp;5'!B:J,9,FALSE),"-")</f>
        <v>-</v>
      </c>
      <c r="S68" s="78" t="str">
        <f>+IFERROR(VLOOKUP(E68,'ID1&amp;5'!K:L,2,FALSE),"-")</f>
        <v>-</v>
      </c>
      <c r="T68" s="79" t="str">
        <f>+IFERROR(VLOOKUP(CONCATENATE(A68,$E$10,E68),'ID1&amp;5'!B:J,9,FALSE),"-")</f>
        <v>-</v>
      </c>
      <c r="U68" s="78" t="str">
        <f>+IFERROR(VLOOKUP(F68,'ID1&amp;5'!K:L,2,FALSE),"-")</f>
        <v>-</v>
      </c>
      <c r="V68" s="79" t="str">
        <f>+IFERROR(VLOOKUP(CONCATENATE(A68,$F$10,F68),'ID1&amp;5'!B:J,9,FALSE),"-")</f>
        <v>-</v>
      </c>
      <c r="W68" s="26" t="str">
        <f>+IFERROR(VLOOKUP(A68,'ID6&amp;7'!A:I,9,FALSE),"-")</f>
        <v>-</v>
      </c>
      <c r="X68" s="26" t="str">
        <f>+IFERROR(VLOOKUP(A68,'ID6&amp;7'!A:J,10,FALSE),"-")</f>
        <v>-</v>
      </c>
      <c r="Y68" s="26"/>
      <c r="Z68" s="27" t="str">
        <f t="shared" si="2"/>
        <v>Por iniciar</v>
      </c>
      <c r="AA68" s="65"/>
    </row>
    <row r="69" spans="1:27">
      <c r="A69" s="20"/>
      <c r="B69" s="60"/>
      <c r="C69" s="60"/>
      <c r="D69" s="60"/>
      <c r="E69" s="60"/>
      <c r="F69" s="60"/>
      <c r="G69" s="60"/>
      <c r="H69" s="65" t="s">
        <v>113</v>
      </c>
      <c r="I69" s="21" t="s">
        <v>1138</v>
      </c>
      <c r="J69" s="26">
        <f>+COUNTIF('ID1&amp;5'!G:G,'1. Status'!I69)</f>
        <v>0</v>
      </c>
      <c r="K69" s="79" t="str">
        <f>+IFERROR(VLOOKUP(CONCATENATE(A69,$B$10,B69),'ID1&amp;5'!B:J,8,FALSE),"-")</f>
        <v>-</v>
      </c>
      <c r="L69" s="78" t="str">
        <f>+IFERROR(VLOOKUP(B69,'ID1&amp;5'!K:L,2,FALSE),"-")</f>
        <v>-</v>
      </c>
      <c r="M69" s="79" t="str">
        <f>+IFERROR(VLOOKUP(CONCATENATE(A69,$B$10,B69),'ID1&amp;5'!B:J,9,FALSE),"-")</f>
        <v>-</v>
      </c>
      <c r="N69" s="79" t="str">
        <f>+IFERROR(VLOOKUP(CONCATENATE(A69,$C$10,C69),'ID1&amp;5'!B:J,8,FALSE),"-")</f>
        <v>-</v>
      </c>
      <c r="O69" s="78" t="str">
        <f>+IFERROR(VLOOKUP(C69,'ID1&amp;5'!K:L,2,FALSE),"-")</f>
        <v>-</v>
      </c>
      <c r="P69" s="79" t="str">
        <f>+IFERROR(VLOOKUP(CONCATENATE(A69,$C$10,C69),'ID1&amp;5'!B:J,9,FALSE),"-")</f>
        <v>-</v>
      </c>
      <c r="Q69" s="78" t="str">
        <f>+IFERROR(VLOOKUP(D69,'ID1&amp;5'!K:L,2,FALSE),"-")</f>
        <v>-</v>
      </c>
      <c r="R69" s="26" t="str">
        <f>+IFERROR(VLOOKUP(CONCATENATE(A69,$D$10,D69),'ID1&amp;5'!B:J,9,FALSE),"-")</f>
        <v>-</v>
      </c>
      <c r="S69" s="78" t="str">
        <f>+IFERROR(VLOOKUP(E69,'ID1&amp;5'!K:L,2,FALSE),"-")</f>
        <v>-</v>
      </c>
      <c r="T69" s="79" t="str">
        <f>+IFERROR(VLOOKUP(CONCATENATE(A69,$E$10,E69),'ID1&amp;5'!B:J,9,FALSE),"-")</f>
        <v>-</v>
      </c>
      <c r="U69" s="78" t="str">
        <f>+IFERROR(VLOOKUP(F69,'ID1&amp;5'!K:L,2,FALSE),"-")</f>
        <v>-</v>
      </c>
      <c r="V69" s="79" t="str">
        <f>+IFERROR(VLOOKUP(CONCATENATE(A69,$F$10,F69),'ID1&amp;5'!B:J,9,FALSE),"-")</f>
        <v>-</v>
      </c>
      <c r="W69" s="26" t="str">
        <f>+IFERROR(VLOOKUP(A69,'ID6&amp;7'!A:I,9,FALSE),"-")</f>
        <v>-</v>
      </c>
      <c r="X69" s="26" t="str">
        <f>+IFERROR(VLOOKUP(A69,'ID6&amp;7'!A:J,10,FALSE),"-")</f>
        <v>-</v>
      </c>
      <c r="Y69" s="26"/>
      <c r="Z69" s="27" t="str">
        <f t="shared" si="2"/>
        <v>Por iniciar</v>
      </c>
      <c r="AA69" s="65"/>
    </row>
    <row r="70" spans="1:27">
      <c r="A70" s="20"/>
      <c r="B70" s="60"/>
      <c r="C70" s="60"/>
      <c r="D70" s="60"/>
      <c r="E70" s="60"/>
      <c r="F70" s="60"/>
      <c r="G70" s="60"/>
      <c r="H70" s="65" t="s">
        <v>113</v>
      </c>
      <c r="I70" s="21" t="s">
        <v>1139</v>
      </c>
      <c r="J70" s="26">
        <f>+COUNTIF('ID1&amp;5'!G:G,'1. Status'!I70)</f>
        <v>1</v>
      </c>
      <c r="K70" s="79" t="str">
        <f>+IFERROR(VLOOKUP(CONCATENATE(A70,$B$10,B70),'ID1&amp;5'!B:J,8,FALSE),"-")</f>
        <v>-</v>
      </c>
      <c r="L70" s="78" t="str">
        <f>+IFERROR(VLOOKUP(B70,'ID1&amp;5'!K:L,2,FALSE),"-")</f>
        <v>-</v>
      </c>
      <c r="M70" s="79" t="str">
        <f>+IFERROR(VLOOKUP(CONCATENATE(A70,$B$10,B70),'ID1&amp;5'!B:J,9,FALSE),"-")</f>
        <v>-</v>
      </c>
      <c r="N70" s="79" t="str">
        <f>+IFERROR(VLOOKUP(CONCATENATE(A70,$C$10,C70),'ID1&amp;5'!B:J,8,FALSE),"-")</f>
        <v>-</v>
      </c>
      <c r="O70" s="78" t="str">
        <f>+IFERROR(VLOOKUP(C70,'ID1&amp;5'!K:L,2,FALSE),"-")</f>
        <v>-</v>
      </c>
      <c r="P70" s="79" t="str">
        <f>+IFERROR(VLOOKUP(CONCATENATE(A70,$C$10,C70),'ID1&amp;5'!B:J,9,FALSE),"-")</f>
        <v>-</v>
      </c>
      <c r="Q70" s="78" t="str">
        <f>+IFERROR(VLOOKUP(D70,'ID1&amp;5'!K:L,2,FALSE),"-")</f>
        <v>-</v>
      </c>
      <c r="R70" s="26" t="str">
        <f>+IFERROR(VLOOKUP(CONCATENATE(A70,$D$10,D70),'ID1&amp;5'!B:J,9,FALSE),"-")</f>
        <v>-</v>
      </c>
      <c r="S70" s="78" t="str">
        <f>+IFERROR(VLOOKUP(E70,'ID1&amp;5'!K:L,2,FALSE),"-")</f>
        <v>-</v>
      </c>
      <c r="T70" s="79" t="str">
        <f>+IFERROR(VLOOKUP(CONCATENATE(A70,$E$10,E70),'ID1&amp;5'!B:J,9,FALSE),"-")</f>
        <v>-</v>
      </c>
      <c r="U70" s="78" t="str">
        <f>+IFERROR(VLOOKUP(F70,'ID1&amp;5'!K:L,2,FALSE),"-")</f>
        <v>-</v>
      </c>
      <c r="V70" s="79" t="str">
        <f>+IFERROR(VLOOKUP(CONCATENATE(A70,$F$10,F70),'ID1&amp;5'!B:J,9,FALSE),"-")</f>
        <v>-</v>
      </c>
      <c r="W70" s="26" t="str">
        <f>+IFERROR(VLOOKUP(A70,'ID6&amp;7'!A:I,9,FALSE),"-")</f>
        <v>-</v>
      </c>
      <c r="X70" s="26" t="str">
        <f>+IFERROR(VLOOKUP(A70,'ID6&amp;7'!A:J,10,FALSE),"-")</f>
        <v>-</v>
      </c>
      <c r="Y70" s="26"/>
      <c r="Z70" s="27" t="str">
        <f t="shared" si="2"/>
        <v>Em testes</v>
      </c>
      <c r="AA70" s="65"/>
    </row>
    <row r="71" spans="1:27">
      <c r="A71" s="20"/>
      <c r="B71" s="60"/>
      <c r="C71" s="60"/>
      <c r="D71" s="60"/>
      <c r="E71" s="60"/>
      <c r="F71" s="60"/>
      <c r="G71" s="60"/>
      <c r="H71" s="65" t="s">
        <v>113</v>
      </c>
      <c r="I71" s="21" t="s">
        <v>1140</v>
      </c>
      <c r="J71" s="26">
        <f>+COUNTIF('ID1&amp;5'!G:G,'1. Status'!I71)</f>
        <v>0</v>
      </c>
      <c r="K71" s="79" t="str">
        <f>+IFERROR(VLOOKUP(CONCATENATE(A71,$B$10,B71),'ID1&amp;5'!B:J,8,FALSE),"-")</f>
        <v>-</v>
      </c>
      <c r="L71" s="78" t="str">
        <f>+IFERROR(VLOOKUP(B71,'ID1&amp;5'!K:L,2,FALSE),"-")</f>
        <v>-</v>
      </c>
      <c r="M71" s="79" t="str">
        <f>+IFERROR(VLOOKUP(CONCATENATE(A71,$B$10,B71),'ID1&amp;5'!B:J,9,FALSE),"-")</f>
        <v>-</v>
      </c>
      <c r="N71" s="79" t="str">
        <f>+IFERROR(VLOOKUP(CONCATENATE(A71,$C$10,C71),'ID1&amp;5'!B:J,8,FALSE),"-")</f>
        <v>-</v>
      </c>
      <c r="O71" s="78" t="str">
        <f>+IFERROR(VLOOKUP(C71,'ID1&amp;5'!K:L,2,FALSE),"-")</f>
        <v>-</v>
      </c>
      <c r="P71" s="79" t="str">
        <f>+IFERROR(VLOOKUP(CONCATENATE(A71,$C$10,C71),'ID1&amp;5'!B:J,9,FALSE),"-")</f>
        <v>-</v>
      </c>
      <c r="Q71" s="78" t="str">
        <f>+IFERROR(VLOOKUP(D71,'ID1&amp;5'!K:L,2,FALSE),"-")</f>
        <v>-</v>
      </c>
      <c r="R71" s="26" t="str">
        <f>+IFERROR(VLOOKUP(CONCATENATE(A71,$D$10,D71),'ID1&amp;5'!B:J,9,FALSE),"-")</f>
        <v>-</v>
      </c>
      <c r="S71" s="78" t="str">
        <f>+IFERROR(VLOOKUP(E71,'ID1&amp;5'!K:L,2,FALSE),"-")</f>
        <v>-</v>
      </c>
      <c r="T71" s="79" t="str">
        <f>+IFERROR(VLOOKUP(CONCATENATE(A71,$E$10,E71),'ID1&amp;5'!B:J,9,FALSE),"-")</f>
        <v>-</v>
      </c>
      <c r="U71" s="78" t="str">
        <f>+IFERROR(VLOOKUP(F71,'ID1&amp;5'!K:L,2,FALSE),"-")</f>
        <v>-</v>
      </c>
      <c r="V71" s="79" t="str">
        <f>+IFERROR(VLOOKUP(CONCATENATE(A71,$F$10,F71),'ID1&amp;5'!B:J,9,FALSE),"-")</f>
        <v>-</v>
      </c>
      <c r="W71" s="26" t="str">
        <f>+IFERROR(VLOOKUP(A71,'ID6&amp;7'!A:I,9,FALSE),"-")</f>
        <v>-</v>
      </c>
      <c r="X71" s="26" t="str">
        <f>+IFERROR(VLOOKUP(A71,'ID6&amp;7'!A:J,10,FALSE),"-")</f>
        <v>-</v>
      </c>
      <c r="Y71" s="26"/>
      <c r="Z71" s="27" t="str">
        <f t="shared" si="2"/>
        <v>Por iniciar</v>
      </c>
      <c r="AA71" s="65"/>
    </row>
    <row r="72" spans="1:27">
      <c r="A72" s="20"/>
      <c r="B72" s="60"/>
      <c r="C72" s="60"/>
      <c r="D72" s="60"/>
      <c r="E72" s="60"/>
      <c r="F72" s="60"/>
      <c r="G72" s="60"/>
      <c r="H72" s="65" t="s">
        <v>113</v>
      </c>
      <c r="I72" s="21" t="s">
        <v>1141</v>
      </c>
      <c r="J72" s="26">
        <f>+COUNTIF('ID1&amp;5'!G:G,'1. Status'!I72)</f>
        <v>0</v>
      </c>
      <c r="K72" s="79" t="str">
        <f>+IFERROR(VLOOKUP(CONCATENATE(A72,$B$10,B72),'ID1&amp;5'!B:J,8,FALSE),"-")</f>
        <v>-</v>
      </c>
      <c r="L72" s="78" t="str">
        <f>+IFERROR(VLOOKUP(B72,'ID1&amp;5'!K:L,2,FALSE),"-")</f>
        <v>-</v>
      </c>
      <c r="M72" s="79" t="str">
        <f>+IFERROR(VLOOKUP(CONCATENATE(A72,$B$10,B72),'ID1&amp;5'!B:J,9,FALSE),"-")</f>
        <v>-</v>
      </c>
      <c r="N72" s="79" t="str">
        <f>+IFERROR(VLOOKUP(CONCATENATE(A72,$C$10,C72),'ID1&amp;5'!B:J,8,FALSE),"-")</f>
        <v>-</v>
      </c>
      <c r="O72" s="78" t="str">
        <f>+IFERROR(VLOOKUP(C72,'ID1&amp;5'!K:L,2,FALSE),"-")</f>
        <v>-</v>
      </c>
      <c r="P72" s="79" t="str">
        <f>+IFERROR(VLOOKUP(CONCATENATE(A72,$C$10,C72),'ID1&amp;5'!B:J,9,FALSE),"-")</f>
        <v>-</v>
      </c>
      <c r="Q72" s="78" t="str">
        <f>+IFERROR(VLOOKUP(D72,'ID1&amp;5'!K:L,2,FALSE),"-")</f>
        <v>-</v>
      </c>
      <c r="R72" s="26" t="str">
        <f>+IFERROR(VLOOKUP(CONCATENATE(A72,$D$10,D72),'ID1&amp;5'!B:J,9,FALSE),"-")</f>
        <v>-</v>
      </c>
      <c r="S72" s="78" t="str">
        <f>+IFERROR(VLOOKUP(E72,'ID1&amp;5'!K:L,2,FALSE),"-")</f>
        <v>-</v>
      </c>
      <c r="T72" s="79" t="str">
        <f>+IFERROR(VLOOKUP(CONCATENATE(A72,$E$10,E72),'ID1&amp;5'!B:J,9,FALSE),"-")</f>
        <v>-</v>
      </c>
      <c r="U72" s="78" t="str">
        <f>+IFERROR(VLOOKUP(F72,'ID1&amp;5'!K:L,2,FALSE),"-")</f>
        <v>-</v>
      </c>
      <c r="V72" s="79" t="str">
        <f>+IFERROR(VLOOKUP(CONCATENATE(A72,$F$10,F72),'ID1&amp;5'!B:J,9,FALSE),"-")</f>
        <v>-</v>
      </c>
      <c r="W72" s="26" t="str">
        <f>+IFERROR(VLOOKUP(A72,'ID6&amp;7'!A:I,9,FALSE),"-")</f>
        <v>-</v>
      </c>
      <c r="X72" s="26" t="str">
        <f>+IFERROR(VLOOKUP(A72,'ID6&amp;7'!A:J,10,FALSE),"-")</f>
        <v>-</v>
      </c>
      <c r="Y72" s="26"/>
      <c r="Z72" s="27" t="str">
        <f t="shared" si="2"/>
        <v>Por iniciar</v>
      </c>
      <c r="AA72" s="65"/>
    </row>
    <row r="73" spans="1:27">
      <c r="A73" s="20"/>
      <c r="B73" s="60"/>
      <c r="C73" s="60"/>
      <c r="D73" s="60"/>
      <c r="E73" s="60"/>
      <c r="F73" s="60"/>
      <c r="G73" s="60"/>
      <c r="H73" s="65" t="s">
        <v>113</v>
      </c>
      <c r="I73" s="21" t="s">
        <v>1142</v>
      </c>
      <c r="J73" s="26">
        <f>+COUNTIF('ID1&amp;5'!G:G,'1. Status'!I73)</f>
        <v>0</v>
      </c>
      <c r="K73" s="79" t="str">
        <f>+IFERROR(VLOOKUP(CONCATENATE(A73,$B$10,B73),'ID1&amp;5'!B:J,8,FALSE),"-")</f>
        <v>-</v>
      </c>
      <c r="L73" s="78" t="str">
        <f>+IFERROR(VLOOKUP(B73,'ID1&amp;5'!K:L,2,FALSE),"-")</f>
        <v>-</v>
      </c>
      <c r="M73" s="79" t="str">
        <f>+IFERROR(VLOOKUP(CONCATENATE(A73,$B$10,B73),'ID1&amp;5'!B:J,9,FALSE),"-")</f>
        <v>-</v>
      </c>
      <c r="N73" s="79" t="str">
        <f>+IFERROR(VLOOKUP(CONCATENATE(A73,$C$10,C73),'ID1&amp;5'!B:J,8,FALSE),"-")</f>
        <v>-</v>
      </c>
      <c r="O73" s="78" t="str">
        <f>+IFERROR(VLOOKUP(C73,'ID1&amp;5'!K:L,2,FALSE),"-")</f>
        <v>-</v>
      </c>
      <c r="P73" s="79" t="str">
        <f>+IFERROR(VLOOKUP(CONCATENATE(A73,$C$10,C73),'ID1&amp;5'!B:J,9,FALSE),"-")</f>
        <v>-</v>
      </c>
      <c r="Q73" s="78" t="str">
        <f>+IFERROR(VLOOKUP(D73,'ID1&amp;5'!K:L,2,FALSE),"-")</f>
        <v>-</v>
      </c>
      <c r="R73" s="26" t="str">
        <f>+IFERROR(VLOOKUP(CONCATENATE(A73,$D$10,D73),'ID1&amp;5'!B:J,9,FALSE),"-")</f>
        <v>-</v>
      </c>
      <c r="S73" s="78" t="str">
        <f>+IFERROR(VLOOKUP(E73,'ID1&amp;5'!K:L,2,FALSE),"-")</f>
        <v>-</v>
      </c>
      <c r="T73" s="79" t="str">
        <f>+IFERROR(VLOOKUP(CONCATENATE(A73,$E$10,E73),'ID1&amp;5'!B:J,9,FALSE),"-")</f>
        <v>-</v>
      </c>
      <c r="U73" s="78" t="str">
        <f>+IFERROR(VLOOKUP(F73,'ID1&amp;5'!K:L,2,FALSE),"-")</f>
        <v>-</v>
      </c>
      <c r="V73" s="79" t="str">
        <f>+IFERROR(VLOOKUP(CONCATENATE(A73,$F$10,F73),'ID1&amp;5'!B:J,9,FALSE),"-")</f>
        <v>-</v>
      </c>
      <c r="W73" s="26" t="str">
        <f>+IFERROR(VLOOKUP(A73,'ID6&amp;7'!A:I,9,FALSE),"-")</f>
        <v>-</v>
      </c>
      <c r="X73" s="26" t="str">
        <f>+IFERROR(VLOOKUP(A73,'ID6&amp;7'!A:J,10,FALSE),"-")</f>
        <v>-</v>
      </c>
      <c r="Y73" s="26"/>
      <c r="Z73" s="27" t="str">
        <f t="shared" si="2"/>
        <v>Por iniciar</v>
      </c>
      <c r="AA73" s="65"/>
    </row>
    <row r="74" spans="1:27">
      <c r="A74" s="20"/>
      <c r="B74" s="60"/>
      <c r="C74" s="60"/>
      <c r="D74" s="60"/>
      <c r="E74" s="60"/>
      <c r="F74" s="60"/>
      <c r="G74" s="60"/>
      <c r="H74" s="65" t="s">
        <v>113</v>
      </c>
      <c r="I74" s="21" t="s">
        <v>1143</v>
      </c>
      <c r="J74" s="26">
        <f>+COUNTIF('ID1&amp;5'!G:G,'1. Status'!I74)</f>
        <v>0</v>
      </c>
      <c r="K74" s="79" t="str">
        <f>+IFERROR(VLOOKUP(CONCATENATE(A74,$B$10,B74),'ID1&amp;5'!B:J,8,FALSE),"-")</f>
        <v>-</v>
      </c>
      <c r="L74" s="78" t="str">
        <f>+IFERROR(VLOOKUP(B74,'ID1&amp;5'!K:L,2,FALSE),"-")</f>
        <v>-</v>
      </c>
      <c r="M74" s="79" t="str">
        <f>+IFERROR(VLOOKUP(CONCATENATE(A74,$B$10,B74),'ID1&amp;5'!B:J,9,FALSE),"-")</f>
        <v>-</v>
      </c>
      <c r="N74" s="79" t="str">
        <f>+IFERROR(VLOOKUP(CONCATENATE(A74,$C$10,C74),'ID1&amp;5'!B:J,8,FALSE),"-")</f>
        <v>-</v>
      </c>
      <c r="O74" s="78" t="str">
        <f>+IFERROR(VLOOKUP(C74,'ID1&amp;5'!K:L,2,FALSE),"-")</f>
        <v>-</v>
      </c>
      <c r="P74" s="79" t="str">
        <f>+IFERROR(VLOOKUP(CONCATENATE(A74,$C$10,C74),'ID1&amp;5'!B:J,9,FALSE),"-")</f>
        <v>-</v>
      </c>
      <c r="Q74" s="78" t="str">
        <f>+IFERROR(VLOOKUP(D74,'ID1&amp;5'!K:L,2,FALSE),"-")</f>
        <v>-</v>
      </c>
      <c r="R74" s="26" t="str">
        <f>+IFERROR(VLOOKUP(CONCATENATE(A74,$D$10,D74),'ID1&amp;5'!B:J,9,FALSE),"-")</f>
        <v>-</v>
      </c>
      <c r="S74" s="78" t="str">
        <f>+IFERROR(VLOOKUP(E74,'ID1&amp;5'!K:L,2,FALSE),"-")</f>
        <v>-</v>
      </c>
      <c r="T74" s="79" t="str">
        <f>+IFERROR(VLOOKUP(CONCATENATE(A74,$E$10,E74),'ID1&amp;5'!B:J,9,FALSE),"-")</f>
        <v>-</v>
      </c>
      <c r="U74" s="78" t="str">
        <f>+IFERROR(VLOOKUP(F74,'ID1&amp;5'!K:L,2,FALSE),"-")</f>
        <v>-</v>
      </c>
      <c r="V74" s="79" t="str">
        <f>+IFERROR(VLOOKUP(CONCATENATE(A74,$F$10,F74),'ID1&amp;5'!B:J,9,FALSE),"-")</f>
        <v>-</v>
      </c>
      <c r="W74" s="26" t="str">
        <f>+IFERROR(VLOOKUP(A74,'ID6&amp;7'!A:I,9,FALSE),"-")</f>
        <v>-</v>
      </c>
      <c r="X74" s="26" t="str">
        <f>+IFERROR(VLOOKUP(A74,'ID6&amp;7'!A:J,10,FALSE),"-")</f>
        <v>-</v>
      </c>
      <c r="Y74" s="26"/>
      <c r="Z74" s="27" t="str">
        <f t="shared" si="2"/>
        <v>Por iniciar</v>
      </c>
      <c r="AA74" s="65"/>
    </row>
    <row r="75" spans="1:27">
      <c r="A75" s="20"/>
      <c r="B75" s="60"/>
      <c r="C75" s="60"/>
      <c r="D75" s="60"/>
      <c r="E75" s="60"/>
      <c r="F75" s="60"/>
      <c r="G75" s="60"/>
      <c r="H75" s="65" t="s">
        <v>113</v>
      </c>
      <c r="I75" s="21" t="s">
        <v>1144</v>
      </c>
      <c r="J75" s="26">
        <f>+COUNTIF('ID1&amp;5'!G:G,'1. Status'!I75)</f>
        <v>0</v>
      </c>
      <c r="K75" s="79" t="str">
        <f>+IFERROR(VLOOKUP(CONCATENATE(A75,$B$10,B75),'ID1&amp;5'!B:J,8,FALSE),"-")</f>
        <v>-</v>
      </c>
      <c r="L75" s="78" t="str">
        <f>+IFERROR(VLOOKUP(B75,'ID1&amp;5'!K:L,2,FALSE),"-")</f>
        <v>-</v>
      </c>
      <c r="M75" s="79" t="str">
        <f>+IFERROR(VLOOKUP(CONCATENATE(A75,$B$10,B75),'ID1&amp;5'!B:J,9,FALSE),"-")</f>
        <v>-</v>
      </c>
      <c r="N75" s="79" t="str">
        <f>+IFERROR(VLOOKUP(CONCATENATE(A75,$C$10,C75),'ID1&amp;5'!B:J,8,FALSE),"-")</f>
        <v>-</v>
      </c>
      <c r="O75" s="78" t="str">
        <f>+IFERROR(VLOOKUP(C75,'ID1&amp;5'!K:L,2,FALSE),"-")</f>
        <v>-</v>
      </c>
      <c r="P75" s="79" t="str">
        <f>+IFERROR(VLOOKUP(CONCATENATE(A75,$C$10,C75),'ID1&amp;5'!B:J,9,FALSE),"-")</f>
        <v>-</v>
      </c>
      <c r="Q75" s="78" t="str">
        <f>+IFERROR(VLOOKUP(D75,'ID1&amp;5'!K:L,2,FALSE),"-")</f>
        <v>-</v>
      </c>
      <c r="R75" s="26" t="str">
        <f>+IFERROR(VLOOKUP(CONCATENATE(A75,$D$10,D75),'ID1&amp;5'!B:J,9,FALSE),"-")</f>
        <v>-</v>
      </c>
      <c r="S75" s="78" t="str">
        <f>+IFERROR(VLOOKUP(E75,'ID1&amp;5'!K:L,2,FALSE),"-")</f>
        <v>-</v>
      </c>
      <c r="T75" s="79" t="str">
        <f>+IFERROR(VLOOKUP(CONCATENATE(A75,$E$10,E75),'ID1&amp;5'!B:J,9,FALSE),"-")</f>
        <v>-</v>
      </c>
      <c r="U75" s="78" t="str">
        <f>+IFERROR(VLOOKUP(F75,'ID1&amp;5'!K:L,2,FALSE),"-")</f>
        <v>-</v>
      </c>
      <c r="V75" s="79" t="str">
        <f>+IFERROR(VLOOKUP(CONCATENATE(A75,$F$10,F75),'ID1&amp;5'!B:J,9,FALSE),"-")</f>
        <v>-</v>
      </c>
      <c r="W75" s="26" t="str">
        <f>+IFERROR(VLOOKUP(A75,'ID6&amp;7'!A:I,9,FALSE),"-")</f>
        <v>-</v>
      </c>
      <c r="X75" s="26" t="str">
        <f>+IFERROR(VLOOKUP(A75,'ID6&amp;7'!A:J,10,FALSE),"-")</f>
        <v>-</v>
      </c>
      <c r="Y75" s="26"/>
      <c r="Z75" s="27" t="str">
        <f t="shared" si="2"/>
        <v>Por iniciar</v>
      </c>
      <c r="AA75" s="65"/>
    </row>
    <row r="76" spans="1:27">
      <c r="A76" s="20"/>
      <c r="B76" s="60"/>
      <c r="C76" s="60"/>
      <c r="D76" s="60"/>
      <c r="E76" s="60"/>
      <c r="F76" s="60"/>
      <c r="G76" s="60"/>
      <c r="H76" s="65" t="s">
        <v>113</v>
      </c>
      <c r="I76" s="21" t="s">
        <v>636</v>
      </c>
      <c r="J76" s="26">
        <f>+COUNTIF('ID1&amp;5'!G:G,'1. Status'!I76)</f>
        <v>0</v>
      </c>
      <c r="K76" s="79" t="str">
        <f>+IFERROR(VLOOKUP(CONCATENATE(A76,$B$10,B76),'ID1&amp;5'!B:J,8,FALSE),"-")</f>
        <v>-</v>
      </c>
      <c r="L76" s="78" t="str">
        <f>+IFERROR(VLOOKUP(B76,'ID1&amp;5'!K:L,2,FALSE),"-")</f>
        <v>-</v>
      </c>
      <c r="M76" s="79" t="str">
        <f>+IFERROR(VLOOKUP(CONCATENATE(A76,$B$10,B76),'ID1&amp;5'!B:J,9,FALSE),"-")</f>
        <v>-</v>
      </c>
      <c r="N76" s="79" t="str">
        <f>+IFERROR(VLOOKUP(CONCATENATE(A76,$C$10,C76),'ID1&amp;5'!B:J,8,FALSE),"-")</f>
        <v>-</v>
      </c>
      <c r="O76" s="78" t="str">
        <f>+IFERROR(VLOOKUP(C76,'ID1&amp;5'!K:L,2,FALSE),"-")</f>
        <v>-</v>
      </c>
      <c r="P76" s="79" t="str">
        <f>+IFERROR(VLOOKUP(CONCATENATE(A76,$C$10,C76),'ID1&amp;5'!B:J,9,FALSE),"-")</f>
        <v>-</v>
      </c>
      <c r="Q76" s="78" t="str">
        <f>+IFERROR(VLOOKUP(D76,'ID1&amp;5'!K:L,2,FALSE),"-")</f>
        <v>-</v>
      </c>
      <c r="R76" s="26" t="str">
        <f>+IFERROR(VLOOKUP(CONCATENATE(A76,$D$10,D76),'ID1&amp;5'!B:J,9,FALSE),"-")</f>
        <v>-</v>
      </c>
      <c r="S76" s="78" t="str">
        <f>+IFERROR(VLOOKUP(E76,'ID1&amp;5'!K:L,2,FALSE),"-")</f>
        <v>-</v>
      </c>
      <c r="T76" s="79" t="str">
        <f>+IFERROR(VLOOKUP(CONCATENATE(A76,$E$10,E76),'ID1&amp;5'!B:J,9,FALSE),"-")</f>
        <v>-</v>
      </c>
      <c r="U76" s="78" t="str">
        <f>+IFERROR(VLOOKUP(F76,'ID1&amp;5'!K:L,2,FALSE),"-")</f>
        <v>-</v>
      </c>
      <c r="V76" s="79" t="str">
        <f>+IFERROR(VLOOKUP(CONCATENATE(A76,$F$10,F76),'ID1&amp;5'!B:J,9,FALSE),"-")</f>
        <v>-</v>
      </c>
      <c r="W76" s="26" t="str">
        <f>+IFERROR(VLOOKUP(A76,'ID6&amp;7'!A:I,9,FALSE),"-")</f>
        <v>-</v>
      </c>
      <c r="X76" s="26" t="str">
        <f>+IFERROR(VLOOKUP(A76,'ID6&amp;7'!A:J,10,FALSE),"-")</f>
        <v>-</v>
      </c>
      <c r="Y76" s="26"/>
      <c r="Z76" s="27" t="str">
        <f t="shared" si="2"/>
        <v>Por iniciar</v>
      </c>
      <c r="AA76" s="65"/>
    </row>
    <row r="77" spans="1:27">
      <c r="A77" s="20"/>
      <c r="B77" s="60"/>
      <c r="C77" s="60"/>
      <c r="D77" s="60"/>
      <c r="E77" s="60"/>
      <c r="F77" s="60"/>
      <c r="G77" s="60"/>
      <c r="H77" s="65" t="s">
        <v>113</v>
      </c>
      <c r="I77" s="21" t="s">
        <v>1145</v>
      </c>
      <c r="J77" s="26">
        <f>+COUNTIF('ID1&amp;5'!G:G,'1. Status'!I77)</f>
        <v>0</v>
      </c>
      <c r="K77" s="79" t="str">
        <f>+IFERROR(VLOOKUP(CONCATENATE(A77,$B$10,B77),'ID1&amp;5'!B:J,8,FALSE),"-")</f>
        <v>-</v>
      </c>
      <c r="L77" s="78" t="str">
        <f>+IFERROR(VLOOKUP(B77,'ID1&amp;5'!K:L,2,FALSE),"-")</f>
        <v>-</v>
      </c>
      <c r="M77" s="79" t="str">
        <f>+IFERROR(VLOOKUP(CONCATENATE(A77,$B$10,B77),'ID1&amp;5'!B:J,9,FALSE),"-")</f>
        <v>-</v>
      </c>
      <c r="N77" s="79" t="str">
        <f>+IFERROR(VLOOKUP(CONCATENATE(A77,$C$10,C77),'ID1&amp;5'!B:J,8,FALSE),"-")</f>
        <v>-</v>
      </c>
      <c r="O77" s="78" t="str">
        <f>+IFERROR(VLOOKUP(C77,'ID1&amp;5'!K:L,2,FALSE),"-")</f>
        <v>-</v>
      </c>
      <c r="P77" s="79" t="str">
        <f>+IFERROR(VLOOKUP(CONCATENATE(A77,$C$10,C77),'ID1&amp;5'!B:J,9,FALSE),"-")</f>
        <v>-</v>
      </c>
      <c r="Q77" s="78" t="str">
        <f>+IFERROR(VLOOKUP(D77,'ID1&amp;5'!K:L,2,FALSE),"-")</f>
        <v>-</v>
      </c>
      <c r="R77" s="26" t="str">
        <f>+IFERROR(VLOOKUP(CONCATENATE(A77,$D$10,D77),'ID1&amp;5'!B:J,9,FALSE),"-")</f>
        <v>-</v>
      </c>
      <c r="S77" s="78" t="str">
        <f>+IFERROR(VLOOKUP(E77,'ID1&amp;5'!K:L,2,FALSE),"-")</f>
        <v>-</v>
      </c>
      <c r="T77" s="79" t="str">
        <f>+IFERROR(VLOOKUP(CONCATENATE(A77,$E$10,E77),'ID1&amp;5'!B:J,9,FALSE),"-")</f>
        <v>-</v>
      </c>
      <c r="U77" s="78" t="str">
        <f>+IFERROR(VLOOKUP(F77,'ID1&amp;5'!K:L,2,FALSE),"-")</f>
        <v>-</v>
      </c>
      <c r="V77" s="79" t="str">
        <f>+IFERROR(VLOOKUP(CONCATENATE(A77,$F$10,F77),'ID1&amp;5'!B:J,9,FALSE),"-")</f>
        <v>-</v>
      </c>
      <c r="W77" s="26" t="str">
        <f>+IFERROR(VLOOKUP(A77,'ID6&amp;7'!A:I,9,FALSE),"-")</f>
        <v>-</v>
      </c>
      <c r="X77" s="26" t="str">
        <f>+IFERROR(VLOOKUP(A77,'ID6&amp;7'!A:J,10,FALSE),"-")</f>
        <v>-</v>
      </c>
      <c r="Y77" s="26"/>
      <c r="Z77" s="27" t="str">
        <f t="shared" si="2"/>
        <v>Por iniciar</v>
      </c>
      <c r="AA77" s="65"/>
    </row>
    <row r="78" spans="1:27">
      <c r="A78" s="20"/>
      <c r="B78" s="60"/>
      <c r="C78" s="60"/>
      <c r="D78" s="60"/>
      <c r="E78" s="60"/>
      <c r="F78" s="60"/>
      <c r="G78" s="60"/>
      <c r="H78" s="65" t="s">
        <v>113</v>
      </c>
      <c r="I78" s="21" t="s">
        <v>1146</v>
      </c>
      <c r="J78" s="26">
        <f>+COUNTIF('ID1&amp;5'!G:G,'1. Status'!I78)</f>
        <v>0</v>
      </c>
      <c r="K78" s="79" t="str">
        <f>+IFERROR(VLOOKUP(CONCATENATE(A78,$B$10,B78),'ID1&amp;5'!B:J,8,FALSE),"-")</f>
        <v>-</v>
      </c>
      <c r="L78" s="78" t="str">
        <f>+IFERROR(VLOOKUP(B78,'ID1&amp;5'!K:L,2,FALSE),"-")</f>
        <v>-</v>
      </c>
      <c r="M78" s="79" t="str">
        <f>+IFERROR(VLOOKUP(CONCATENATE(A78,$B$10,B78),'ID1&amp;5'!B:J,9,FALSE),"-")</f>
        <v>-</v>
      </c>
      <c r="N78" s="79" t="str">
        <f>+IFERROR(VLOOKUP(CONCATENATE(A78,$C$10,C78),'ID1&amp;5'!B:J,8,FALSE),"-")</f>
        <v>-</v>
      </c>
      <c r="O78" s="78" t="str">
        <f>+IFERROR(VLOOKUP(C78,'ID1&amp;5'!K:L,2,FALSE),"-")</f>
        <v>-</v>
      </c>
      <c r="P78" s="79" t="str">
        <f>+IFERROR(VLOOKUP(CONCATENATE(A78,$C$10,C78),'ID1&amp;5'!B:J,9,FALSE),"-")</f>
        <v>-</v>
      </c>
      <c r="Q78" s="78" t="str">
        <f>+IFERROR(VLOOKUP(D78,'ID1&amp;5'!K:L,2,FALSE),"-")</f>
        <v>-</v>
      </c>
      <c r="R78" s="26" t="str">
        <f>+IFERROR(VLOOKUP(CONCATENATE(A78,$D$10,D78),'ID1&amp;5'!B:J,9,FALSE),"-")</f>
        <v>-</v>
      </c>
      <c r="S78" s="78" t="str">
        <f>+IFERROR(VLOOKUP(E78,'ID1&amp;5'!K:L,2,FALSE),"-")</f>
        <v>-</v>
      </c>
      <c r="T78" s="79" t="str">
        <f>+IFERROR(VLOOKUP(CONCATENATE(A78,$E$10,E78),'ID1&amp;5'!B:J,9,FALSE),"-")</f>
        <v>-</v>
      </c>
      <c r="U78" s="78" t="str">
        <f>+IFERROR(VLOOKUP(F78,'ID1&amp;5'!K:L,2,FALSE),"-")</f>
        <v>-</v>
      </c>
      <c r="V78" s="79" t="str">
        <f>+IFERROR(VLOOKUP(CONCATENATE(A78,$F$10,F78),'ID1&amp;5'!B:J,9,FALSE),"-")</f>
        <v>-</v>
      </c>
      <c r="W78" s="26" t="str">
        <f>+IFERROR(VLOOKUP(A78,'ID6&amp;7'!A:I,9,FALSE),"-")</f>
        <v>-</v>
      </c>
      <c r="X78" s="26" t="str">
        <f>+IFERROR(VLOOKUP(A78,'ID6&amp;7'!A:J,10,FALSE),"-")</f>
        <v>-</v>
      </c>
      <c r="Y78" s="26"/>
      <c r="Z78" s="27" t="str">
        <f t="shared" si="2"/>
        <v>Por iniciar</v>
      </c>
      <c r="AA78" s="65"/>
    </row>
    <row r="79" spans="1:27">
      <c r="A79" s="20"/>
      <c r="B79" s="60"/>
      <c r="C79" s="60"/>
      <c r="D79" s="60"/>
      <c r="E79" s="60"/>
      <c r="F79" s="60"/>
      <c r="G79" s="60"/>
      <c r="H79" s="65" t="s">
        <v>113</v>
      </c>
      <c r="I79" s="21" t="s">
        <v>1147</v>
      </c>
      <c r="J79" s="26">
        <f>+COUNTIF('ID1&amp;5'!G:G,'1. Status'!I79)</f>
        <v>0</v>
      </c>
      <c r="K79" s="79" t="str">
        <f>+IFERROR(VLOOKUP(CONCATENATE(A79,$B$10,B79),'ID1&amp;5'!B:J,8,FALSE),"-")</f>
        <v>-</v>
      </c>
      <c r="L79" s="78" t="str">
        <f>+IFERROR(VLOOKUP(B79,'ID1&amp;5'!K:L,2,FALSE),"-")</f>
        <v>-</v>
      </c>
      <c r="M79" s="79" t="str">
        <f>+IFERROR(VLOOKUP(CONCATENATE(A79,$B$10,B79),'ID1&amp;5'!B:J,9,FALSE),"-")</f>
        <v>-</v>
      </c>
      <c r="N79" s="79" t="str">
        <f>+IFERROR(VLOOKUP(CONCATENATE(A79,$C$10,C79),'ID1&amp;5'!B:J,8,FALSE),"-")</f>
        <v>-</v>
      </c>
      <c r="O79" s="78" t="str">
        <f>+IFERROR(VLOOKUP(C79,'ID1&amp;5'!K:L,2,FALSE),"-")</f>
        <v>-</v>
      </c>
      <c r="P79" s="79" t="str">
        <f>+IFERROR(VLOOKUP(CONCATENATE(A79,$C$10,C79),'ID1&amp;5'!B:J,9,FALSE),"-")</f>
        <v>-</v>
      </c>
      <c r="Q79" s="78" t="str">
        <f>+IFERROR(VLOOKUP(D79,'ID1&amp;5'!K:L,2,FALSE),"-")</f>
        <v>-</v>
      </c>
      <c r="R79" s="26" t="str">
        <f>+IFERROR(VLOOKUP(CONCATENATE(A79,$D$10,D79),'ID1&amp;5'!B:J,9,FALSE),"-")</f>
        <v>-</v>
      </c>
      <c r="S79" s="78" t="str">
        <f>+IFERROR(VLOOKUP(E79,'ID1&amp;5'!K:L,2,FALSE),"-")</f>
        <v>-</v>
      </c>
      <c r="T79" s="79" t="str">
        <f>+IFERROR(VLOOKUP(CONCATENATE(A79,$E$10,E79),'ID1&amp;5'!B:J,9,FALSE),"-")</f>
        <v>-</v>
      </c>
      <c r="U79" s="78" t="str">
        <f>+IFERROR(VLOOKUP(F79,'ID1&amp;5'!K:L,2,FALSE),"-")</f>
        <v>-</v>
      </c>
      <c r="V79" s="79" t="str">
        <f>+IFERROR(VLOOKUP(CONCATENATE(A79,$F$10,F79),'ID1&amp;5'!B:J,9,FALSE),"-")</f>
        <v>-</v>
      </c>
      <c r="W79" s="26" t="str">
        <f>+IFERROR(VLOOKUP(A79,'ID6&amp;7'!A:I,9,FALSE),"-")</f>
        <v>-</v>
      </c>
      <c r="X79" s="26" t="str">
        <f>+IFERROR(VLOOKUP(A79,'ID6&amp;7'!A:J,10,FALSE),"-")</f>
        <v>-</v>
      </c>
      <c r="Y79" s="26"/>
      <c r="Z79" s="27" t="str">
        <f t="shared" si="2"/>
        <v>Por iniciar</v>
      </c>
      <c r="AA79" s="65"/>
    </row>
    <row r="80" spans="1:27">
      <c r="A80" s="20"/>
      <c r="B80" s="60"/>
      <c r="C80" s="60"/>
      <c r="D80" s="60"/>
      <c r="E80" s="60"/>
      <c r="F80" s="60"/>
      <c r="G80" s="60"/>
      <c r="H80" s="65" t="s">
        <v>113</v>
      </c>
      <c r="I80" s="21" t="s">
        <v>1148</v>
      </c>
      <c r="J80" s="26">
        <f>+COUNTIF('ID1&amp;5'!G:G,'1. Status'!I80)</f>
        <v>0</v>
      </c>
      <c r="K80" s="79" t="str">
        <f>+IFERROR(VLOOKUP(CONCATENATE(A80,$B$10,B80),'ID1&amp;5'!B:J,8,FALSE),"-")</f>
        <v>-</v>
      </c>
      <c r="L80" s="78" t="str">
        <f>+IFERROR(VLOOKUP(B80,'ID1&amp;5'!K:L,2,FALSE),"-")</f>
        <v>-</v>
      </c>
      <c r="M80" s="79" t="str">
        <f>+IFERROR(VLOOKUP(CONCATENATE(A80,$B$10,B80),'ID1&amp;5'!B:J,9,FALSE),"-")</f>
        <v>-</v>
      </c>
      <c r="N80" s="79" t="str">
        <f>+IFERROR(VLOOKUP(CONCATENATE(A80,$C$10,C80),'ID1&amp;5'!B:J,8,FALSE),"-")</f>
        <v>-</v>
      </c>
      <c r="O80" s="78" t="str">
        <f>+IFERROR(VLOOKUP(C80,'ID1&amp;5'!K:L,2,FALSE),"-")</f>
        <v>-</v>
      </c>
      <c r="P80" s="79" t="str">
        <f>+IFERROR(VLOOKUP(CONCATENATE(A80,$C$10,C80),'ID1&amp;5'!B:J,9,FALSE),"-")</f>
        <v>-</v>
      </c>
      <c r="Q80" s="78" t="str">
        <f>+IFERROR(VLOOKUP(D80,'ID1&amp;5'!K:L,2,FALSE),"-")</f>
        <v>-</v>
      </c>
      <c r="R80" s="26" t="str">
        <f>+IFERROR(VLOOKUP(CONCATENATE(A80,$D$10,D80),'ID1&amp;5'!B:J,9,FALSE),"-")</f>
        <v>-</v>
      </c>
      <c r="S80" s="78" t="str">
        <f>+IFERROR(VLOOKUP(E80,'ID1&amp;5'!K:L,2,FALSE),"-")</f>
        <v>-</v>
      </c>
      <c r="T80" s="79" t="str">
        <f>+IFERROR(VLOOKUP(CONCATENATE(A80,$E$10,E80),'ID1&amp;5'!B:J,9,FALSE),"-")</f>
        <v>-</v>
      </c>
      <c r="U80" s="78" t="str">
        <f>+IFERROR(VLOOKUP(F80,'ID1&amp;5'!K:L,2,FALSE),"-")</f>
        <v>-</v>
      </c>
      <c r="V80" s="79" t="str">
        <f>+IFERROR(VLOOKUP(CONCATENATE(A80,$F$10,F80),'ID1&amp;5'!B:J,9,FALSE),"-")</f>
        <v>-</v>
      </c>
      <c r="W80" s="26" t="str">
        <f>+IFERROR(VLOOKUP(A80,'ID6&amp;7'!A:I,9,FALSE),"-")</f>
        <v>-</v>
      </c>
      <c r="X80" s="26" t="str">
        <f>+IFERROR(VLOOKUP(A80,'ID6&amp;7'!A:J,10,FALSE),"-")</f>
        <v>-</v>
      </c>
      <c r="Y80" s="26"/>
      <c r="Z80" s="27" t="str">
        <f t="shared" si="2"/>
        <v>Por iniciar</v>
      </c>
      <c r="AA80" s="65"/>
    </row>
    <row r="81" spans="1:27">
      <c r="A81" s="20"/>
      <c r="B81" s="60"/>
      <c r="C81" s="60"/>
      <c r="D81" s="60"/>
      <c r="E81" s="60"/>
      <c r="F81" s="60"/>
      <c r="G81" s="60"/>
      <c r="H81" s="65" t="s">
        <v>113</v>
      </c>
      <c r="I81" s="21" t="s">
        <v>1149</v>
      </c>
      <c r="J81" s="26">
        <f>+COUNTIF('ID1&amp;5'!G:G,'1. Status'!I81)</f>
        <v>0</v>
      </c>
      <c r="K81" s="79" t="str">
        <f>+IFERROR(VLOOKUP(CONCATENATE(A81,$B$10,B81),'ID1&amp;5'!B:J,8,FALSE),"-")</f>
        <v>-</v>
      </c>
      <c r="L81" s="78" t="str">
        <f>+IFERROR(VLOOKUP(B81,'ID1&amp;5'!K:L,2,FALSE),"-")</f>
        <v>-</v>
      </c>
      <c r="M81" s="79" t="str">
        <f>+IFERROR(VLOOKUP(CONCATENATE(A81,$B$10,B81),'ID1&amp;5'!B:J,9,FALSE),"-")</f>
        <v>-</v>
      </c>
      <c r="N81" s="79" t="str">
        <f>+IFERROR(VLOOKUP(CONCATENATE(A81,$C$10,C81),'ID1&amp;5'!B:J,8,FALSE),"-")</f>
        <v>-</v>
      </c>
      <c r="O81" s="78" t="str">
        <f>+IFERROR(VLOOKUP(C81,'ID1&amp;5'!K:L,2,FALSE),"-")</f>
        <v>-</v>
      </c>
      <c r="P81" s="79" t="str">
        <f>+IFERROR(VLOOKUP(CONCATENATE(A81,$C$10,C81),'ID1&amp;5'!B:J,9,FALSE),"-")</f>
        <v>-</v>
      </c>
      <c r="Q81" s="78" t="str">
        <f>+IFERROR(VLOOKUP(D81,'ID1&amp;5'!K:L,2,FALSE),"-")</f>
        <v>-</v>
      </c>
      <c r="R81" s="26" t="str">
        <f>+IFERROR(VLOOKUP(CONCATENATE(A81,$D$10,D81),'ID1&amp;5'!B:J,9,FALSE),"-")</f>
        <v>-</v>
      </c>
      <c r="S81" s="78" t="str">
        <f>+IFERROR(VLOOKUP(E81,'ID1&amp;5'!K:L,2,FALSE),"-")</f>
        <v>-</v>
      </c>
      <c r="T81" s="79" t="str">
        <f>+IFERROR(VLOOKUP(CONCATENATE(A81,$E$10,E81),'ID1&amp;5'!B:J,9,FALSE),"-")</f>
        <v>-</v>
      </c>
      <c r="U81" s="78" t="str">
        <f>+IFERROR(VLOOKUP(F81,'ID1&amp;5'!K:L,2,FALSE),"-")</f>
        <v>-</v>
      </c>
      <c r="V81" s="79" t="str">
        <f>+IFERROR(VLOOKUP(CONCATENATE(A81,$F$10,F81),'ID1&amp;5'!B:J,9,FALSE),"-")</f>
        <v>-</v>
      </c>
      <c r="W81" s="26" t="str">
        <f>+IFERROR(VLOOKUP(A81,'ID6&amp;7'!A:I,9,FALSE),"-")</f>
        <v>-</v>
      </c>
      <c r="X81" s="26" t="str">
        <f>+IFERROR(VLOOKUP(A81,'ID6&amp;7'!A:J,10,FALSE),"-")</f>
        <v>-</v>
      </c>
      <c r="Y81" s="26"/>
      <c r="Z81" s="27" t="str">
        <f t="shared" si="2"/>
        <v>Por iniciar</v>
      </c>
      <c r="AA81" s="65"/>
    </row>
    <row r="82" spans="1:27">
      <c r="A82" s="20"/>
      <c r="B82" s="60"/>
      <c r="C82" s="60"/>
      <c r="D82" s="60"/>
      <c r="E82" s="60"/>
      <c r="F82" s="60"/>
      <c r="G82" s="60"/>
      <c r="H82" s="65" t="s">
        <v>113</v>
      </c>
      <c r="I82" s="21" t="s">
        <v>1150</v>
      </c>
      <c r="J82" s="26">
        <f>+COUNTIF('ID1&amp;5'!G:G,'1. Status'!I82)</f>
        <v>0</v>
      </c>
      <c r="K82" s="79" t="str">
        <f>+IFERROR(VLOOKUP(CONCATENATE(A82,$B$10,B82),'ID1&amp;5'!B:J,8,FALSE),"-")</f>
        <v>-</v>
      </c>
      <c r="L82" s="78" t="str">
        <f>+IFERROR(VLOOKUP(B82,'ID1&amp;5'!K:L,2,FALSE),"-")</f>
        <v>-</v>
      </c>
      <c r="M82" s="79" t="str">
        <f>+IFERROR(VLOOKUP(CONCATENATE(A82,$B$10,B82),'ID1&amp;5'!B:J,9,FALSE),"-")</f>
        <v>-</v>
      </c>
      <c r="N82" s="79" t="str">
        <f>+IFERROR(VLOOKUP(CONCATENATE(A82,$C$10,C82),'ID1&amp;5'!B:J,8,FALSE),"-")</f>
        <v>-</v>
      </c>
      <c r="O82" s="78" t="str">
        <f>+IFERROR(VLOOKUP(C82,'ID1&amp;5'!K:L,2,FALSE),"-")</f>
        <v>-</v>
      </c>
      <c r="P82" s="79" t="str">
        <f>+IFERROR(VLOOKUP(CONCATENATE(A82,$C$10,C82),'ID1&amp;5'!B:J,9,FALSE),"-")</f>
        <v>-</v>
      </c>
      <c r="Q82" s="78" t="str">
        <f>+IFERROR(VLOOKUP(D82,'ID1&amp;5'!K:L,2,FALSE),"-")</f>
        <v>-</v>
      </c>
      <c r="R82" s="26" t="str">
        <f>+IFERROR(VLOOKUP(CONCATENATE(A82,$D$10,D82),'ID1&amp;5'!B:J,9,FALSE),"-")</f>
        <v>-</v>
      </c>
      <c r="S82" s="78" t="str">
        <f>+IFERROR(VLOOKUP(E82,'ID1&amp;5'!K:L,2,FALSE),"-")</f>
        <v>-</v>
      </c>
      <c r="T82" s="79" t="str">
        <f>+IFERROR(VLOOKUP(CONCATENATE(A82,$E$10,E82),'ID1&amp;5'!B:J,9,FALSE),"-")</f>
        <v>-</v>
      </c>
      <c r="U82" s="78" t="str">
        <f>+IFERROR(VLOOKUP(F82,'ID1&amp;5'!K:L,2,FALSE),"-")</f>
        <v>-</v>
      </c>
      <c r="V82" s="79" t="str">
        <f>+IFERROR(VLOOKUP(CONCATENATE(A82,$F$10,F82),'ID1&amp;5'!B:J,9,FALSE),"-")</f>
        <v>-</v>
      </c>
      <c r="W82" s="26" t="str">
        <f>+IFERROR(VLOOKUP(A82,'ID6&amp;7'!A:I,9,FALSE),"-")</f>
        <v>-</v>
      </c>
      <c r="X82" s="26" t="str">
        <f>+IFERROR(VLOOKUP(A82,'ID6&amp;7'!A:J,10,FALSE),"-")</f>
        <v>-</v>
      </c>
      <c r="Y82" s="26"/>
      <c r="Z82" s="27" t="str">
        <f t="shared" si="2"/>
        <v>Por iniciar</v>
      </c>
      <c r="AA82" s="65"/>
    </row>
    <row r="83" spans="1:27">
      <c r="A83" s="20"/>
      <c r="B83" s="60"/>
      <c r="C83" s="60"/>
      <c r="D83" s="60"/>
      <c r="E83" s="60"/>
      <c r="F83" s="60"/>
      <c r="G83" s="60"/>
      <c r="H83" s="65" t="s">
        <v>113</v>
      </c>
      <c r="I83" s="21" t="s">
        <v>295</v>
      </c>
      <c r="J83" s="26">
        <f>+COUNTIF('ID1&amp;5'!G:G,'1. Status'!I83)</f>
        <v>0</v>
      </c>
      <c r="K83" s="79" t="str">
        <f>+IFERROR(VLOOKUP(CONCATENATE(A83,$B$10,B83),'ID1&amp;5'!B:J,8,FALSE),"-")</f>
        <v>-</v>
      </c>
      <c r="L83" s="78" t="str">
        <f>+IFERROR(VLOOKUP(B83,'ID1&amp;5'!K:L,2,FALSE),"-")</f>
        <v>-</v>
      </c>
      <c r="M83" s="79" t="str">
        <f>+IFERROR(VLOOKUP(CONCATENATE(A83,$B$10,B83),'ID1&amp;5'!B:J,9,FALSE),"-")</f>
        <v>-</v>
      </c>
      <c r="N83" s="79" t="str">
        <f>+IFERROR(VLOOKUP(CONCATENATE(A83,$C$10,C83),'ID1&amp;5'!B:J,8,FALSE),"-")</f>
        <v>-</v>
      </c>
      <c r="O83" s="78" t="str">
        <f>+IFERROR(VLOOKUP(C83,'ID1&amp;5'!K:L,2,FALSE),"-")</f>
        <v>-</v>
      </c>
      <c r="P83" s="79" t="str">
        <f>+IFERROR(VLOOKUP(CONCATENATE(A83,$C$10,C83),'ID1&amp;5'!B:J,9,FALSE),"-")</f>
        <v>-</v>
      </c>
      <c r="Q83" s="78" t="str">
        <f>+IFERROR(VLOOKUP(D83,'ID1&amp;5'!K:L,2,FALSE),"-")</f>
        <v>-</v>
      </c>
      <c r="R83" s="26" t="str">
        <f>+IFERROR(VLOOKUP(CONCATENATE(A83,$D$10,D83),'ID1&amp;5'!B:J,9,FALSE),"-")</f>
        <v>-</v>
      </c>
      <c r="S83" s="78" t="str">
        <f>+IFERROR(VLOOKUP(E83,'ID1&amp;5'!K:L,2,FALSE),"-")</f>
        <v>-</v>
      </c>
      <c r="T83" s="79" t="str">
        <f>+IFERROR(VLOOKUP(CONCATENATE(A83,$E$10,E83),'ID1&amp;5'!B:J,9,FALSE),"-")</f>
        <v>-</v>
      </c>
      <c r="U83" s="78" t="str">
        <f>+IFERROR(VLOOKUP(F83,'ID1&amp;5'!K:L,2,FALSE),"-")</f>
        <v>-</v>
      </c>
      <c r="V83" s="79" t="str">
        <f>+IFERROR(VLOOKUP(CONCATENATE(A83,$F$10,F83),'ID1&amp;5'!B:J,9,FALSE),"-")</f>
        <v>-</v>
      </c>
      <c r="W83" s="26" t="str">
        <f>+IFERROR(VLOOKUP(A83,'ID6&amp;7'!A:I,9,FALSE),"-")</f>
        <v>-</v>
      </c>
      <c r="X83" s="26" t="str">
        <f>+IFERROR(VLOOKUP(A83,'ID6&amp;7'!A:J,10,FALSE),"-")</f>
        <v>-</v>
      </c>
      <c r="Y83" s="26"/>
      <c r="Z83" s="27" t="str">
        <f t="shared" si="2"/>
        <v>Por iniciar</v>
      </c>
      <c r="AA83" s="65"/>
    </row>
    <row r="84" spans="1:27">
      <c r="A84" s="20"/>
      <c r="B84" s="60"/>
      <c r="C84" s="60"/>
      <c r="D84" s="60"/>
      <c r="E84" s="60"/>
      <c r="F84" s="60"/>
      <c r="G84" s="60"/>
      <c r="H84" s="65" t="s">
        <v>113</v>
      </c>
      <c r="I84" s="21" t="s">
        <v>296</v>
      </c>
      <c r="J84" s="26">
        <f>+COUNTIF('ID1&amp;5'!G:G,'1. Status'!I84)</f>
        <v>0</v>
      </c>
      <c r="K84" s="79" t="str">
        <f>+IFERROR(VLOOKUP(CONCATENATE(A84,$B$10,B84),'ID1&amp;5'!B:J,8,FALSE),"-")</f>
        <v>-</v>
      </c>
      <c r="L84" s="78" t="str">
        <f>+IFERROR(VLOOKUP(B84,'ID1&amp;5'!K:L,2,FALSE),"-")</f>
        <v>-</v>
      </c>
      <c r="M84" s="79" t="str">
        <f>+IFERROR(VLOOKUP(CONCATENATE(A84,$B$10,B84),'ID1&amp;5'!B:J,9,FALSE),"-")</f>
        <v>-</v>
      </c>
      <c r="N84" s="79" t="str">
        <f>+IFERROR(VLOOKUP(CONCATENATE(A84,$C$10,C84),'ID1&amp;5'!B:J,8,FALSE),"-")</f>
        <v>-</v>
      </c>
      <c r="O84" s="78" t="str">
        <f>+IFERROR(VLOOKUP(C84,'ID1&amp;5'!K:L,2,FALSE),"-")</f>
        <v>-</v>
      </c>
      <c r="P84" s="79" t="str">
        <f>+IFERROR(VLOOKUP(CONCATENATE(A84,$C$10,C84),'ID1&amp;5'!B:J,9,FALSE),"-")</f>
        <v>-</v>
      </c>
      <c r="Q84" s="78" t="str">
        <f>+IFERROR(VLOOKUP(D84,'ID1&amp;5'!K:L,2,FALSE),"-")</f>
        <v>-</v>
      </c>
      <c r="R84" s="26" t="str">
        <f>+IFERROR(VLOOKUP(CONCATENATE(A84,$D$10,D84),'ID1&amp;5'!B:J,9,FALSE),"-")</f>
        <v>-</v>
      </c>
      <c r="S84" s="78" t="str">
        <f>+IFERROR(VLOOKUP(E84,'ID1&amp;5'!K:L,2,FALSE),"-")</f>
        <v>-</v>
      </c>
      <c r="T84" s="79" t="str">
        <f>+IFERROR(VLOOKUP(CONCATENATE(A84,$E$10,E84),'ID1&amp;5'!B:J,9,FALSE),"-")</f>
        <v>-</v>
      </c>
      <c r="U84" s="78" t="str">
        <f>+IFERROR(VLOOKUP(F84,'ID1&amp;5'!K:L,2,FALSE),"-")</f>
        <v>-</v>
      </c>
      <c r="V84" s="79" t="str">
        <f>+IFERROR(VLOOKUP(CONCATENATE(A84,$F$10,F84),'ID1&amp;5'!B:J,9,FALSE),"-")</f>
        <v>-</v>
      </c>
      <c r="W84" s="26" t="str">
        <f>+IFERROR(VLOOKUP(A84,'ID6&amp;7'!A:I,9,FALSE),"-")</f>
        <v>-</v>
      </c>
      <c r="X84" s="26" t="str">
        <f>+IFERROR(VLOOKUP(A84,'ID6&amp;7'!A:J,10,FALSE),"-")</f>
        <v>-</v>
      </c>
      <c r="Y84" s="26"/>
      <c r="Z84" s="27" t="str">
        <f t="shared" si="2"/>
        <v>Por iniciar</v>
      </c>
      <c r="AA84" s="65"/>
    </row>
    <row r="85" spans="1:27">
      <c r="A85" s="20"/>
      <c r="B85" s="60"/>
      <c r="C85" s="60"/>
      <c r="D85" s="60"/>
      <c r="E85" s="60"/>
      <c r="F85" s="60"/>
      <c r="G85" s="60"/>
      <c r="H85" s="65" t="s">
        <v>113</v>
      </c>
      <c r="I85" s="21" t="s">
        <v>1151</v>
      </c>
      <c r="J85" s="26">
        <f>+COUNTIF('ID1&amp;5'!G:G,'1. Status'!I85)</f>
        <v>0</v>
      </c>
      <c r="K85" s="79" t="str">
        <f>+IFERROR(VLOOKUP(CONCATENATE(A85,$B$10,B85),'ID1&amp;5'!B:J,8,FALSE),"-")</f>
        <v>-</v>
      </c>
      <c r="L85" s="78" t="str">
        <f>+IFERROR(VLOOKUP(B85,'ID1&amp;5'!K:L,2,FALSE),"-")</f>
        <v>-</v>
      </c>
      <c r="M85" s="79" t="str">
        <f>+IFERROR(VLOOKUP(CONCATENATE(A85,$B$10,B85),'ID1&amp;5'!B:J,9,FALSE),"-")</f>
        <v>-</v>
      </c>
      <c r="N85" s="79" t="str">
        <f>+IFERROR(VLOOKUP(CONCATENATE(A85,$C$10,C85),'ID1&amp;5'!B:J,8,FALSE),"-")</f>
        <v>-</v>
      </c>
      <c r="O85" s="78" t="str">
        <f>+IFERROR(VLOOKUP(C85,'ID1&amp;5'!K:L,2,FALSE),"-")</f>
        <v>-</v>
      </c>
      <c r="P85" s="79" t="str">
        <f>+IFERROR(VLOOKUP(CONCATENATE(A85,$C$10,C85),'ID1&amp;5'!B:J,9,FALSE),"-")</f>
        <v>-</v>
      </c>
      <c r="Q85" s="78" t="str">
        <f>+IFERROR(VLOOKUP(D85,'ID1&amp;5'!K:L,2,FALSE),"-")</f>
        <v>-</v>
      </c>
      <c r="R85" s="26" t="str">
        <f>+IFERROR(VLOOKUP(CONCATENATE(A85,$D$10,D85),'ID1&amp;5'!B:J,9,FALSE),"-")</f>
        <v>-</v>
      </c>
      <c r="S85" s="78" t="str">
        <f>+IFERROR(VLOOKUP(E85,'ID1&amp;5'!K:L,2,FALSE),"-")</f>
        <v>-</v>
      </c>
      <c r="T85" s="79" t="str">
        <f>+IFERROR(VLOOKUP(CONCATENATE(A85,$E$10,E85),'ID1&amp;5'!B:J,9,FALSE),"-")</f>
        <v>-</v>
      </c>
      <c r="U85" s="78" t="str">
        <f>+IFERROR(VLOOKUP(F85,'ID1&amp;5'!K:L,2,FALSE),"-")</f>
        <v>-</v>
      </c>
      <c r="V85" s="79" t="str">
        <f>+IFERROR(VLOOKUP(CONCATENATE(A85,$F$10,F85),'ID1&amp;5'!B:J,9,FALSE),"-")</f>
        <v>-</v>
      </c>
      <c r="W85" s="26" t="str">
        <f>+IFERROR(VLOOKUP(A85,'ID6&amp;7'!A:I,9,FALSE),"-")</f>
        <v>-</v>
      </c>
      <c r="X85" s="26" t="str">
        <f>+IFERROR(VLOOKUP(A85,'ID6&amp;7'!A:J,10,FALSE),"-")</f>
        <v>-</v>
      </c>
      <c r="Y85" s="26"/>
      <c r="Z85" s="27" t="str">
        <f t="shared" si="2"/>
        <v>Por iniciar</v>
      </c>
      <c r="AA85" s="65"/>
    </row>
    <row r="86" spans="1:27">
      <c r="A86" s="20"/>
      <c r="B86" s="60"/>
      <c r="C86" s="60"/>
      <c r="D86" s="60"/>
      <c r="E86" s="60"/>
      <c r="F86" s="60"/>
      <c r="G86" s="60"/>
      <c r="H86" s="65" t="s">
        <v>113</v>
      </c>
      <c r="I86" s="21" t="s">
        <v>1152</v>
      </c>
      <c r="J86" s="26">
        <f>+COUNTIF('ID1&amp;5'!G:G,'1. Status'!I86)</f>
        <v>0</v>
      </c>
      <c r="K86" s="79" t="str">
        <f>+IFERROR(VLOOKUP(CONCATENATE(A86,$B$10,B86),'ID1&amp;5'!B:J,8,FALSE),"-")</f>
        <v>-</v>
      </c>
      <c r="L86" s="78" t="str">
        <f>+IFERROR(VLOOKUP(B86,'ID1&amp;5'!K:L,2,FALSE),"-")</f>
        <v>-</v>
      </c>
      <c r="M86" s="79" t="str">
        <f>+IFERROR(VLOOKUP(CONCATENATE(A86,$B$10,B86),'ID1&amp;5'!B:J,9,FALSE),"-")</f>
        <v>-</v>
      </c>
      <c r="N86" s="79" t="str">
        <f>+IFERROR(VLOOKUP(CONCATENATE(A86,$C$10,C86),'ID1&amp;5'!B:J,8,FALSE),"-")</f>
        <v>-</v>
      </c>
      <c r="O86" s="78" t="str">
        <f>+IFERROR(VLOOKUP(C86,'ID1&amp;5'!K:L,2,FALSE),"-")</f>
        <v>-</v>
      </c>
      <c r="P86" s="79" t="str">
        <f>+IFERROR(VLOOKUP(CONCATENATE(A86,$C$10,C86),'ID1&amp;5'!B:J,9,FALSE),"-")</f>
        <v>-</v>
      </c>
      <c r="Q86" s="78" t="str">
        <f>+IFERROR(VLOOKUP(D86,'ID1&amp;5'!K:L,2,FALSE),"-")</f>
        <v>-</v>
      </c>
      <c r="R86" s="26" t="str">
        <f>+IFERROR(VLOOKUP(CONCATENATE(A86,$D$10,D86),'ID1&amp;5'!B:J,9,FALSE),"-")</f>
        <v>-</v>
      </c>
      <c r="S86" s="78" t="str">
        <f>+IFERROR(VLOOKUP(E86,'ID1&amp;5'!K:L,2,FALSE),"-")</f>
        <v>-</v>
      </c>
      <c r="T86" s="79" t="str">
        <f>+IFERROR(VLOOKUP(CONCATENATE(A86,$E$10,E86),'ID1&amp;5'!B:J,9,FALSE),"-")</f>
        <v>-</v>
      </c>
      <c r="U86" s="78" t="str">
        <f>+IFERROR(VLOOKUP(F86,'ID1&amp;5'!K:L,2,FALSE),"-")</f>
        <v>-</v>
      </c>
      <c r="V86" s="79" t="str">
        <f>+IFERROR(VLOOKUP(CONCATENATE(A86,$F$10,F86),'ID1&amp;5'!B:J,9,FALSE),"-")</f>
        <v>-</v>
      </c>
      <c r="W86" s="26" t="str">
        <f>+IFERROR(VLOOKUP(A86,'ID6&amp;7'!A:I,9,FALSE),"-")</f>
        <v>-</v>
      </c>
      <c r="X86" s="26" t="str">
        <f>+IFERROR(VLOOKUP(A86,'ID6&amp;7'!A:J,10,FALSE),"-")</f>
        <v>-</v>
      </c>
      <c r="Y86" s="26"/>
      <c r="Z86" s="27" t="str">
        <f t="shared" si="2"/>
        <v>Por iniciar</v>
      </c>
      <c r="AA86" s="65"/>
    </row>
    <row r="87" spans="1:27">
      <c r="A87" s="20"/>
      <c r="B87" s="60"/>
      <c r="C87" s="60"/>
      <c r="D87" s="60"/>
      <c r="E87" s="60"/>
      <c r="F87" s="60"/>
      <c r="G87" s="60"/>
      <c r="H87" s="65" t="s">
        <v>113</v>
      </c>
      <c r="I87" s="21" t="s">
        <v>1153</v>
      </c>
      <c r="J87" s="26">
        <f>+COUNTIF('ID1&amp;5'!G:G,'1. Status'!I87)</f>
        <v>0</v>
      </c>
      <c r="K87" s="79" t="str">
        <f>+IFERROR(VLOOKUP(CONCATENATE(A87,$B$10,B87),'ID1&amp;5'!B:J,8,FALSE),"-")</f>
        <v>-</v>
      </c>
      <c r="L87" s="78" t="str">
        <f>+IFERROR(VLOOKUP(B87,'ID1&amp;5'!K:L,2,FALSE),"-")</f>
        <v>-</v>
      </c>
      <c r="M87" s="79" t="str">
        <f>+IFERROR(VLOOKUP(CONCATENATE(A87,$B$10,B87),'ID1&amp;5'!B:J,9,FALSE),"-")</f>
        <v>-</v>
      </c>
      <c r="N87" s="79" t="str">
        <f>+IFERROR(VLOOKUP(CONCATENATE(A87,$C$10,C87),'ID1&amp;5'!B:J,8,FALSE),"-")</f>
        <v>-</v>
      </c>
      <c r="O87" s="78" t="str">
        <f>+IFERROR(VLOOKUP(C87,'ID1&amp;5'!K:L,2,FALSE),"-")</f>
        <v>-</v>
      </c>
      <c r="P87" s="79" t="str">
        <f>+IFERROR(VLOOKUP(CONCATENATE(A87,$C$10,C87),'ID1&amp;5'!B:J,9,FALSE),"-")</f>
        <v>-</v>
      </c>
      <c r="Q87" s="78" t="str">
        <f>+IFERROR(VLOOKUP(D87,'ID1&amp;5'!K:L,2,FALSE),"-")</f>
        <v>-</v>
      </c>
      <c r="R87" s="26" t="str">
        <f>+IFERROR(VLOOKUP(CONCATENATE(A87,$D$10,D87),'ID1&amp;5'!B:J,9,FALSE),"-")</f>
        <v>-</v>
      </c>
      <c r="S87" s="78" t="str">
        <f>+IFERROR(VLOOKUP(E87,'ID1&amp;5'!K:L,2,FALSE),"-")</f>
        <v>-</v>
      </c>
      <c r="T87" s="79" t="str">
        <f>+IFERROR(VLOOKUP(CONCATENATE(A87,$E$10,E87),'ID1&amp;5'!B:J,9,FALSE),"-")</f>
        <v>-</v>
      </c>
      <c r="U87" s="78" t="str">
        <f>+IFERROR(VLOOKUP(F87,'ID1&amp;5'!K:L,2,FALSE),"-")</f>
        <v>-</v>
      </c>
      <c r="V87" s="79" t="str">
        <f>+IFERROR(VLOOKUP(CONCATENATE(A87,$F$10,F87),'ID1&amp;5'!B:J,9,FALSE),"-")</f>
        <v>-</v>
      </c>
      <c r="W87" s="26" t="str">
        <f>+IFERROR(VLOOKUP(A87,'ID6&amp;7'!A:I,9,FALSE),"-")</f>
        <v>-</v>
      </c>
      <c r="X87" s="26" t="str">
        <f>+IFERROR(VLOOKUP(A87,'ID6&amp;7'!A:J,10,FALSE),"-")</f>
        <v>-</v>
      </c>
      <c r="Y87" s="26"/>
      <c r="Z87" s="27" t="str">
        <f t="shared" si="2"/>
        <v>Por iniciar</v>
      </c>
      <c r="AA87" s="65"/>
    </row>
    <row r="88" spans="1:27">
      <c r="A88" s="20"/>
      <c r="B88" s="60"/>
      <c r="C88" s="60"/>
      <c r="D88" s="60"/>
      <c r="E88" s="60"/>
      <c r="F88" s="60"/>
      <c r="G88" s="60"/>
      <c r="H88" s="65" t="s">
        <v>113</v>
      </c>
      <c r="I88" s="21" t="s">
        <v>1154</v>
      </c>
      <c r="J88" s="26">
        <f>+COUNTIF('ID1&amp;5'!G:G,'1. Status'!I88)</f>
        <v>0</v>
      </c>
      <c r="K88" s="79" t="str">
        <f>+IFERROR(VLOOKUP(CONCATENATE(A88,$B$10,B88),'ID1&amp;5'!B:J,8,FALSE),"-")</f>
        <v>-</v>
      </c>
      <c r="L88" s="78" t="str">
        <f>+IFERROR(VLOOKUP(B88,'ID1&amp;5'!K:L,2,FALSE),"-")</f>
        <v>-</v>
      </c>
      <c r="M88" s="79" t="str">
        <f>+IFERROR(VLOOKUP(CONCATENATE(A88,$B$10,B88),'ID1&amp;5'!B:J,9,FALSE),"-")</f>
        <v>-</v>
      </c>
      <c r="N88" s="79" t="str">
        <f>+IFERROR(VLOOKUP(CONCATENATE(A88,$C$10,C88),'ID1&amp;5'!B:J,8,FALSE),"-")</f>
        <v>-</v>
      </c>
      <c r="O88" s="78" t="str">
        <f>+IFERROR(VLOOKUP(C88,'ID1&amp;5'!K:L,2,FALSE),"-")</f>
        <v>-</v>
      </c>
      <c r="P88" s="79" t="str">
        <f>+IFERROR(VLOOKUP(CONCATENATE(A88,$C$10,C88),'ID1&amp;5'!B:J,9,FALSE),"-")</f>
        <v>-</v>
      </c>
      <c r="Q88" s="78" t="str">
        <f>+IFERROR(VLOOKUP(D88,'ID1&amp;5'!K:L,2,FALSE),"-")</f>
        <v>-</v>
      </c>
      <c r="R88" s="26" t="str">
        <f>+IFERROR(VLOOKUP(CONCATENATE(A88,$D$10,D88),'ID1&amp;5'!B:J,9,FALSE),"-")</f>
        <v>-</v>
      </c>
      <c r="S88" s="78" t="str">
        <f>+IFERROR(VLOOKUP(E88,'ID1&amp;5'!K:L,2,FALSE),"-")</f>
        <v>-</v>
      </c>
      <c r="T88" s="79" t="str">
        <f>+IFERROR(VLOOKUP(CONCATENATE(A88,$E$10,E88),'ID1&amp;5'!B:J,9,FALSE),"-")</f>
        <v>-</v>
      </c>
      <c r="U88" s="78" t="str">
        <f>+IFERROR(VLOOKUP(F88,'ID1&amp;5'!K:L,2,FALSE),"-")</f>
        <v>-</v>
      </c>
      <c r="V88" s="79" t="str">
        <f>+IFERROR(VLOOKUP(CONCATENATE(A88,$F$10,F88),'ID1&amp;5'!B:J,9,FALSE),"-")</f>
        <v>-</v>
      </c>
      <c r="W88" s="26" t="str">
        <f>+IFERROR(VLOOKUP(A88,'ID6&amp;7'!A:I,9,FALSE),"-")</f>
        <v>-</v>
      </c>
      <c r="X88" s="26" t="str">
        <f>+IFERROR(VLOOKUP(A88,'ID6&amp;7'!A:J,10,FALSE),"-")</f>
        <v>-</v>
      </c>
      <c r="Y88" s="26"/>
      <c r="Z88" s="27" t="str">
        <f t="shared" si="2"/>
        <v>Por iniciar</v>
      </c>
      <c r="AA88" s="65"/>
    </row>
    <row r="89" spans="1:27">
      <c r="A89" s="20"/>
      <c r="B89" s="60"/>
      <c r="C89" s="60"/>
      <c r="D89" s="60"/>
      <c r="E89" s="60"/>
      <c r="F89" s="60"/>
      <c r="G89" s="60"/>
      <c r="H89" s="65" t="s">
        <v>113</v>
      </c>
      <c r="I89" s="21" t="s">
        <v>297</v>
      </c>
      <c r="J89" s="26">
        <f>+COUNTIF('ID1&amp;5'!G:G,'1. Status'!I89)</f>
        <v>0</v>
      </c>
      <c r="K89" s="79" t="str">
        <f>+IFERROR(VLOOKUP(CONCATENATE(A89,$B$10,B89),'ID1&amp;5'!B:J,8,FALSE),"-")</f>
        <v>-</v>
      </c>
      <c r="L89" s="78" t="str">
        <f>+IFERROR(VLOOKUP(B89,'ID1&amp;5'!K:L,2,FALSE),"-")</f>
        <v>-</v>
      </c>
      <c r="M89" s="79" t="str">
        <f>+IFERROR(VLOOKUP(CONCATENATE(A89,$B$10,B89),'ID1&amp;5'!B:J,9,FALSE),"-")</f>
        <v>-</v>
      </c>
      <c r="N89" s="79" t="str">
        <f>+IFERROR(VLOOKUP(CONCATENATE(A89,$C$10,C89),'ID1&amp;5'!B:J,8,FALSE),"-")</f>
        <v>-</v>
      </c>
      <c r="O89" s="78" t="str">
        <f>+IFERROR(VLOOKUP(C89,'ID1&amp;5'!K:L,2,FALSE),"-")</f>
        <v>-</v>
      </c>
      <c r="P89" s="79" t="str">
        <f>+IFERROR(VLOOKUP(CONCATENATE(A89,$C$10,C89),'ID1&amp;5'!B:J,9,FALSE),"-")</f>
        <v>-</v>
      </c>
      <c r="Q89" s="78" t="str">
        <f>+IFERROR(VLOOKUP(D89,'ID1&amp;5'!K:L,2,FALSE),"-")</f>
        <v>-</v>
      </c>
      <c r="R89" s="26" t="str">
        <f>+IFERROR(VLOOKUP(CONCATENATE(A89,$D$10,D89),'ID1&amp;5'!B:J,9,FALSE),"-")</f>
        <v>-</v>
      </c>
      <c r="S89" s="78" t="str">
        <f>+IFERROR(VLOOKUP(E89,'ID1&amp;5'!K:L,2,FALSE),"-")</f>
        <v>-</v>
      </c>
      <c r="T89" s="79" t="str">
        <f>+IFERROR(VLOOKUP(CONCATENATE(A89,$E$10,E89),'ID1&amp;5'!B:J,9,FALSE),"-")</f>
        <v>-</v>
      </c>
      <c r="U89" s="78" t="str">
        <f>+IFERROR(VLOOKUP(F89,'ID1&amp;5'!K:L,2,FALSE),"-")</f>
        <v>-</v>
      </c>
      <c r="V89" s="79" t="str">
        <f>+IFERROR(VLOOKUP(CONCATENATE(A89,$F$10,F89),'ID1&amp;5'!B:J,9,FALSE),"-")</f>
        <v>-</v>
      </c>
      <c r="W89" s="26" t="str">
        <f>+IFERROR(VLOOKUP(A89,'ID6&amp;7'!A:I,9,FALSE),"-")</f>
        <v>-</v>
      </c>
      <c r="X89" s="26" t="str">
        <f>+IFERROR(VLOOKUP(A89,'ID6&amp;7'!A:J,10,FALSE),"-")</f>
        <v>-</v>
      </c>
      <c r="Y89" s="26"/>
      <c r="Z89" s="27" t="str">
        <f t="shared" si="2"/>
        <v>Por iniciar</v>
      </c>
      <c r="AA89" s="65"/>
    </row>
    <row r="90" spans="1:27">
      <c r="A90" s="20"/>
      <c r="B90" s="60"/>
      <c r="C90" s="60"/>
      <c r="D90" s="60"/>
      <c r="E90" s="60"/>
      <c r="F90" s="60"/>
      <c r="G90" s="60"/>
      <c r="H90" s="65" t="s">
        <v>113</v>
      </c>
      <c r="I90" s="21" t="s">
        <v>637</v>
      </c>
      <c r="J90" s="26">
        <f>+COUNTIF('ID1&amp;5'!G:G,'1. Status'!I90)</f>
        <v>0</v>
      </c>
      <c r="K90" s="79" t="str">
        <f>+IFERROR(VLOOKUP(CONCATENATE(A90,$B$10,B90),'ID1&amp;5'!B:J,8,FALSE),"-")</f>
        <v>-</v>
      </c>
      <c r="L90" s="78" t="str">
        <f>+IFERROR(VLOOKUP(B90,'ID1&amp;5'!K:L,2,FALSE),"-")</f>
        <v>-</v>
      </c>
      <c r="M90" s="79" t="str">
        <f>+IFERROR(VLOOKUP(CONCATENATE(A90,$B$10,B90),'ID1&amp;5'!B:J,9,FALSE),"-")</f>
        <v>-</v>
      </c>
      <c r="N90" s="79" t="str">
        <f>+IFERROR(VLOOKUP(CONCATENATE(A90,$C$10,C90),'ID1&amp;5'!B:J,8,FALSE),"-")</f>
        <v>-</v>
      </c>
      <c r="O90" s="78" t="str">
        <f>+IFERROR(VLOOKUP(C90,'ID1&amp;5'!K:L,2,FALSE),"-")</f>
        <v>-</v>
      </c>
      <c r="P90" s="79" t="str">
        <f>+IFERROR(VLOOKUP(CONCATENATE(A90,$C$10,C90),'ID1&amp;5'!B:J,9,FALSE),"-")</f>
        <v>-</v>
      </c>
      <c r="Q90" s="78" t="str">
        <f>+IFERROR(VLOOKUP(D90,'ID1&amp;5'!K:L,2,FALSE),"-")</f>
        <v>-</v>
      </c>
      <c r="R90" s="26" t="str">
        <f>+IFERROR(VLOOKUP(CONCATENATE(A90,$D$10,D90),'ID1&amp;5'!B:J,9,FALSE),"-")</f>
        <v>-</v>
      </c>
      <c r="S90" s="78" t="str">
        <f>+IFERROR(VLOOKUP(E90,'ID1&amp;5'!K:L,2,FALSE),"-")</f>
        <v>-</v>
      </c>
      <c r="T90" s="79" t="str">
        <f>+IFERROR(VLOOKUP(CONCATENATE(A90,$E$10,E90),'ID1&amp;5'!B:J,9,FALSE),"-")</f>
        <v>-</v>
      </c>
      <c r="U90" s="78" t="str">
        <f>+IFERROR(VLOOKUP(F90,'ID1&amp;5'!K:L,2,FALSE),"-")</f>
        <v>-</v>
      </c>
      <c r="V90" s="79" t="str">
        <f>+IFERROR(VLOOKUP(CONCATENATE(A90,$F$10,F90),'ID1&amp;5'!B:J,9,FALSE),"-")</f>
        <v>-</v>
      </c>
      <c r="W90" s="26" t="str">
        <f>+IFERROR(VLOOKUP(A90,'ID6&amp;7'!A:I,9,FALSE),"-")</f>
        <v>-</v>
      </c>
      <c r="X90" s="26" t="str">
        <f>+IFERROR(VLOOKUP(A90,'ID6&amp;7'!A:J,10,FALSE),"-")</f>
        <v>-</v>
      </c>
      <c r="Y90" s="26"/>
      <c r="Z90" s="27" t="str">
        <f t="shared" si="2"/>
        <v>Por iniciar</v>
      </c>
      <c r="AA90" s="65"/>
    </row>
    <row r="91" spans="1:27">
      <c r="A91" s="20"/>
      <c r="B91" s="60"/>
      <c r="C91" s="60"/>
      <c r="D91" s="60"/>
      <c r="E91" s="60"/>
      <c r="F91" s="60"/>
      <c r="G91" s="60"/>
      <c r="H91" s="65" t="s">
        <v>113</v>
      </c>
      <c r="I91" s="21" t="s">
        <v>299</v>
      </c>
      <c r="J91" s="26">
        <f>+COUNTIF('ID1&amp;5'!G:G,'1. Status'!I91)</f>
        <v>0</v>
      </c>
      <c r="K91" s="79" t="str">
        <f>+IFERROR(VLOOKUP(CONCATENATE(A91,$B$10,B91),'ID1&amp;5'!B:J,8,FALSE),"-")</f>
        <v>-</v>
      </c>
      <c r="L91" s="78" t="str">
        <f>+IFERROR(VLOOKUP(B91,'ID1&amp;5'!K:L,2,FALSE),"-")</f>
        <v>-</v>
      </c>
      <c r="M91" s="79" t="str">
        <f>+IFERROR(VLOOKUP(CONCATENATE(A91,$B$10,B91),'ID1&amp;5'!B:J,9,FALSE),"-")</f>
        <v>-</v>
      </c>
      <c r="N91" s="79" t="str">
        <f>+IFERROR(VLOOKUP(CONCATENATE(A91,$C$10,C91),'ID1&amp;5'!B:J,8,FALSE),"-")</f>
        <v>-</v>
      </c>
      <c r="O91" s="78" t="str">
        <f>+IFERROR(VLOOKUP(C91,'ID1&amp;5'!K:L,2,FALSE),"-")</f>
        <v>-</v>
      </c>
      <c r="P91" s="79" t="str">
        <f>+IFERROR(VLOOKUP(CONCATENATE(A91,$C$10,C91),'ID1&amp;5'!B:J,9,FALSE),"-")</f>
        <v>-</v>
      </c>
      <c r="Q91" s="78" t="str">
        <f>+IFERROR(VLOOKUP(D91,'ID1&amp;5'!K:L,2,FALSE),"-")</f>
        <v>-</v>
      </c>
      <c r="R91" s="26" t="str">
        <f>+IFERROR(VLOOKUP(CONCATENATE(A91,$D$10,D91),'ID1&amp;5'!B:J,9,FALSE),"-")</f>
        <v>-</v>
      </c>
      <c r="S91" s="78" t="str">
        <f>+IFERROR(VLOOKUP(E91,'ID1&amp;5'!K:L,2,FALSE),"-")</f>
        <v>-</v>
      </c>
      <c r="T91" s="79" t="str">
        <f>+IFERROR(VLOOKUP(CONCATENATE(A91,$E$10,E91),'ID1&amp;5'!B:J,9,FALSE),"-")</f>
        <v>-</v>
      </c>
      <c r="U91" s="78" t="str">
        <f>+IFERROR(VLOOKUP(F91,'ID1&amp;5'!K:L,2,FALSE),"-")</f>
        <v>-</v>
      </c>
      <c r="V91" s="79" t="str">
        <f>+IFERROR(VLOOKUP(CONCATENATE(A91,$F$10,F91),'ID1&amp;5'!B:J,9,FALSE),"-")</f>
        <v>-</v>
      </c>
      <c r="W91" s="26" t="str">
        <f>+IFERROR(VLOOKUP(A91,'ID6&amp;7'!A:I,9,FALSE),"-")</f>
        <v>-</v>
      </c>
      <c r="X91" s="26" t="str">
        <f>+IFERROR(VLOOKUP(A91,'ID6&amp;7'!A:J,10,FALSE),"-")</f>
        <v>-</v>
      </c>
      <c r="Y91" s="26"/>
      <c r="Z91" s="27" t="str">
        <f t="shared" si="2"/>
        <v>Por iniciar</v>
      </c>
      <c r="AA91" s="65"/>
    </row>
    <row r="92" spans="1:27">
      <c r="A92" s="20"/>
      <c r="B92" s="60"/>
      <c r="C92" s="60"/>
      <c r="D92" s="60"/>
      <c r="E92" s="60"/>
      <c r="F92" s="60"/>
      <c r="G92" s="60"/>
      <c r="H92" s="65" t="s">
        <v>113</v>
      </c>
      <c r="I92" s="21" t="s">
        <v>1155</v>
      </c>
      <c r="J92" s="26">
        <f>+COUNTIF('ID1&amp;5'!G:G,'1. Status'!I92)</f>
        <v>1</v>
      </c>
      <c r="K92" s="79" t="str">
        <f>+IFERROR(VLOOKUP(CONCATENATE(A92,$B$10,B92),'ID1&amp;5'!B:J,8,FALSE),"-")</f>
        <v>-</v>
      </c>
      <c r="L92" s="78" t="str">
        <f>+IFERROR(VLOOKUP(B92,'ID1&amp;5'!K:L,2,FALSE),"-")</f>
        <v>-</v>
      </c>
      <c r="M92" s="79" t="str">
        <f>+IFERROR(VLOOKUP(CONCATENATE(A92,$B$10,B92),'ID1&amp;5'!B:J,9,FALSE),"-")</f>
        <v>-</v>
      </c>
      <c r="N92" s="79" t="str">
        <f>+IFERROR(VLOOKUP(CONCATENATE(A92,$C$10,C92),'ID1&amp;5'!B:J,8,FALSE),"-")</f>
        <v>-</v>
      </c>
      <c r="O92" s="78" t="str">
        <f>+IFERROR(VLOOKUP(C92,'ID1&amp;5'!K:L,2,FALSE),"-")</f>
        <v>-</v>
      </c>
      <c r="P92" s="79" t="str">
        <f>+IFERROR(VLOOKUP(CONCATENATE(A92,$C$10,C92),'ID1&amp;5'!B:J,9,FALSE),"-")</f>
        <v>-</v>
      </c>
      <c r="Q92" s="78" t="str">
        <f>+IFERROR(VLOOKUP(D92,'ID1&amp;5'!K:L,2,FALSE),"-")</f>
        <v>-</v>
      </c>
      <c r="R92" s="26" t="str">
        <f>+IFERROR(VLOOKUP(CONCATENATE(A92,$D$10,D92),'ID1&amp;5'!B:J,9,FALSE),"-")</f>
        <v>-</v>
      </c>
      <c r="S92" s="78" t="str">
        <f>+IFERROR(VLOOKUP(E92,'ID1&amp;5'!K:L,2,FALSE),"-")</f>
        <v>-</v>
      </c>
      <c r="T92" s="79" t="str">
        <f>+IFERROR(VLOOKUP(CONCATENATE(A92,$E$10,E92),'ID1&amp;5'!B:J,9,FALSE),"-")</f>
        <v>-</v>
      </c>
      <c r="U92" s="78" t="str">
        <f>+IFERROR(VLOOKUP(F92,'ID1&amp;5'!K:L,2,FALSE),"-")</f>
        <v>-</v>
      </c>
      <c r="V92" s="79" t="str">
        <f>+IFERROR(VLOOKUP(CONCATENATE(A92,$F$10,F92),'ID1&amp;5'!B:J,9,FALSE),"-")</f>
        <v>-</v>
      </c>
      <c r="W92" s="26" t="str">
        <f>+IFERROR(VLOOKUP(A92,'ID6&amp;7'!A:I,9,FALSE),"-")</f>
        <v>-</v>
      </c>
      <c r="X92" s="26" t="str">
        <f>+IFERROR(VLOOKUP(A92,'ID6&amp;7'!A:J,10,FALSE),"-")</f>
        <v>-</v>
      </c>
      <c r="Y92" s="26"/>
      <c r="Z92" s="27" t="str">
        <f t="shared" si="2"/>
        <v>Em testes</v>
      </c>
      <c r="AA92" s="65"/>
    </row>
    <row r="93" spans="1:27">
      <c r="A93" s="20"/>
      <c r="B93" s="60"/>
      <c r="C93" s="60"/>
      <c r="D93" s="60"/>
      <c r="E93" s="60"/>
      <c r="F93" s="60"/>
      <c r="G93" s="60"/>
      <c r="H93" s="65" t="s">
        <v>113</v>
      </c>
      <c r="I93" s="21" t="s">
        <v>1156</v>
      </c>
      <c r="J93" s="26">
        <f>+COUNTIF('ID1&amp;5'!G:G,'1. Status'!I93)</f>
        <v>0</v>
      </c>
      <c r="K93" s="79" t="str">
        <f>+IFERROR(VLOOKUP(CONCATENATE(A93,$B$10,B93),'ID1&amp;5'!B:J,8,FALSE),"-")</f>
        <v>-</v>
      </c>
      <c r="L93" s="78" t="str">
        <f>+IFERROR(VLOOKUP(B93,'ID1&amp;5'!K:L,2,FALSE),"-")</f>
        <v>-</v>
      </c>
      <c r="M93" s="79" t="str">
        <f>+IFERROR(VLOOKUP(CONCATENATE(A93,$B$10,B93),'ID1&amp;5'!B:J,9,FALSE),"-")</f>
        <v>-</v>
      </c>
      <c r="N93" s="79" t="str">
        <f>+IFERROR(VLOOKUP(CONCATENATE(A93,$C$10,C93),'ID1&amp;5'!B:J,8,FALSE),"-")</f>
        <v>-</v>
      </c>
      <c r="O93" s="78" t="str">
        <f>+IFERROR(VLOOKUP(C93,'ID1&amp;5'!K:L,2,FALSE),"-")</f>
        <v>-</v>
      </c>
      <c r="P93" s="79" t="str">
        <f>+IFERROR(VLOOKUP(CONCATENATE(A93,$C$10,C93),'ID1&amp;5'!B:J,9,FALSE),"-")</f>
        <v>-</v>
      </c>
      <c r="Q93" s="78" t="str">
        <f>+IFERROR(VLOOKUP(D93,'ID1&amp;5'!K:L,2,FALSE),"-")</f>
        <v>-</v>
      </c>
      <c r="R93" s="26" t="str">
        <f>+IFERROR(VLOOKUP(CONCATENATE(A93,$D$10,D93),'ID1&amp;5'!B:J,9,FALSE),"-")</f>
        <v>-</v>
      </c>
      <c r="S93" s="78" t="str">
        <f>+IFERROR(VLOOKUP(E93,'ID1&amp;5'!K:L,2,FALSE),"-")</f>
        <v>-</v>
      </c>
      <c r="T93" s="79" t="str">
        <f>+IFERROR(VLOOKUP(CONCATENATE(A93,$E$10,E93),'ID1&amp;5'!B:J,9,FALSE),"-")</f>
        <v>-</v>
      </c>
      <c r="U93" s="78" t="str">
        <f>+IFERROR(VLOOKUP(F93,'ID1&amp;5'!K:L,2,FALSE),"-")</f>
        <v>-</v>
      </c>
      <c r="V93" s="79" t="str">
        <f>+IFERROR(VLOOKUP(CONCATENATE(A93,$F$10,F93),'ID1&amp;5'!B:J,9,FALSE),"-")</f>
        <v>-</v>
      </c>
      <c r="W93" s="26" t="str">
        <f>+IFERROR(VLOOKUP(A93,'ID6&amp;7'!A:I,9,FALSE),"-")</f>
        <v>-</v>
      </c>
      <c r="X93" s="26" t="str">
        <f>+IFERROR(VLOOKUP(A93,'ID6&amp;7'!A:J,10,FALSE),"-")</f>
        <v>-</v>
      </c>
      <c r="Y93" s="26"/>
      <c r="Z93" s="27" t="str">
        <f t="shared" si="2"/>
        <v>Por iniciar</v>
      </c>
      <c r="AA93" s="65"/>
    </row>
    <row r="94" spans="1:27">
      <c r="A94" s="20"/>
      <c r="B94" s="60"/>
      <c r="C94" s="60"/>
      <c r="D94" s="60"/>
      <c r="E94" s="60"/>
      <c r="F94" s="60"/>
      <c r="G94" s="60"/>
      <c r="H94" s="65" t="s">
        <v>113</v>
      </c>
      <c r="I94" s="21" t="s">
        <v>1157</v>
      </c>
      <c r="J94" s="26">
        <f>+COUNTIF('ID1&amp;5'!G:G,'1. Status'!I94)</f>
        <v>1</v>
      </c>
      <c r="K94" s="79" t="str">
        <f>+IFERROR(VLOOKUP(CONCATENATE(A94,$B$10,B94),'ID1&amp;5'!B:J,8,FALSE),"-")</f>
        <v>-</v>
      </c>
      <c r="L94" s="78" t="str">
        <f>+IFERROR(VLOOKUP(B94,'ID1&amp;5'!K:L,2,FALSE),"-")</f>
        <v>-</v>
      </c>
      <c r="M94" s="79" t="str">
        <f>+IFERROR(VLOOKUP(CONCATENATE(A94,$B$10,B94),'ID1&amp;5'!B:J,9,FALSE),"-")</f>
        <v>-</v>
      </c>
      <c r="N94" s="79" t="str">
        <f>+IFERROR(VLOOKUP(CONCATENATE(A94,$C$10,C94),'ID1&amp;5'!B:J,8,FALSE),"-")</f>
        <v>-</v>
      </c>
      <c r="O94" s="78" t="str">
        <f>+IFERROR(VLOOKUP(C94,'ID1&amp;5'!K:L,2,FALSE),"-")</f>
        <v>-</v>
      </c>
      <c r="P94" s="79" t="str">
        <f>+IFERROR(VLOOKUP(CONCATENATE(A94,$C$10,C94),'ID1&amp;5'!B:J,9,FALSE),"-")</f>
        <v>-</v>
      </c>
      <c r="Q94" s="78" t="str">
        <f>+IFERROR(VLOOKUP(D94,'ID1&amp;5'!K:L,2,FALSE),"-")</f>
        <v>-</v>
      </c>
      <c r="R94" s="26" t="str">
        <f>+IFERROR(VLOOKUP(CONCATENATE(A94,$D$10,D94),'ID1&amp;5'!B:J,9,FALSE),"-")</f>
        <v>-</v>
      </c>
      <c r="S94" s="78" t="str">
        <f>+IFERROR(VLOOKUP(E94,'ID1&amp;5'!K:L,2,FALSE),"-")</f>
        <v>-</v>
      </c>
      <c r="T94" s="79" t="str">
        <f>+IFERROR(VLOOKUP(CONCATENATE(A94,$E$10,E94),'ID1&amp;5'!B:J,9,FALSE),"-")</f>
        <v>-</v>
      </c>
      <c r="U94" s="78" t="str">
        <f>+IFERROR(VLOOKUP(F94,'ID1&amp;5'!K:L,2,FALSE),"-")</f>
        <v>-</v>
      </c>
      <c r="V94" s="79" t="str">
        <f>+IFERROR(VLOOKUP(CONCATENATE(A94,$F$10,F94),'ID1&amp;5'!B:J,9,FALSE),"-")</f>
        <v>-</v>
      </c>
      <c r="W94" s="26" t="str">
        <f>+IFERROR(VLOOKUP(A94,'ID6&amp;7'!A:I,9,FALSE),"-")</f>
        <v>-</v>
      </c>
      <c r="X94" s="26" t="str">
        <f>+IFERROR(VLOOKUP(A94,'ID6&amp;7'!A:J,10,FALSE),"-")</f>
        <v>-</v>
      </c>
      <c r="Y94" s="26"/>
      <c r="Z94" s="27" t="str">
        <f t="shared" si="2"/>
        <v>Em testes</v>
      </c>
      <c r="AA94" s="65"/>
    </row>
    <row r="95" spans="1:27">
      <c r="A95" s="20"/>
      <c r="B95" s="60"/>
      <c r="C95" s="60"/>
      <c r="D95" s="60"/>
      <c r="E95" s="60"/>
      <c r="F95" s="60"/>
      <c r="G95" s="60"/>
      <c r="H95" s="65" t="s">
        <v>113</v>
      </c>
      <c r="I95" s="21" t="s">
        <v>1158</v>
      </c>
      <c r="J95" s="26">
        <f>+COUNTIF('ID1&amp;5'!G:G,'1. Status'!I95)</f>
        <v>0</v>
      </c>
      <c r="K95" s="79" t="str">
        <f>+IFERROR(VLOOKUP(CONCATENATE(A95,$B$10,B95),'ID1&amp;5'!B:J,8,FALSE),"-")</f>
        <v>-</v>
      </c>
      <c r="L95" s="78" t="str">
        <f>+IFERROR(VLOOKUP(B95,'ID1&amp;5'!K:L,2,FALSE),"-")</f>
        <v>-</v>
      </c>
      <c r="M95" s="79" t="str">
        <f>+IFERROR(VLOOKUP(CONCATENATE(A95,$B$10,B95),'ID1&amp;5'!B:J,9,FALSE),"-")</f>
        <v>-</v>
      </c>
      <c r="N95" s="79" t="str">
        <f>+IFERROR(VLOOKUP(CONCATENATE(A95,$C$10,C95),'ID1&amp;5'!B:J,8,FALSE),"-")</f>
        <v>-</v>
      </c>
      <c r="O95" s="78" t="str">
        <f>+IFERROR(VLOOKUP(C95,'ID1&amp;5'!K:L,2,FALSE),"-")</f>
        <v>-</v>
      </c>
      <c r="P95" s="79" t="str">
        <f>+IFERROR(VLOOKUP(CONCATENATE(A95,$C$10,C95),'ID1&amp;5'!B:J,9,FALSE),"-")</f>
        <v>-</v>
      </c>
      <c r="Q95" s="78" t="str">
        <f>+IFERROR(VLOOKUP(D95,'ID1&amp;5'!K:L,2,FALSE),"-")</f>
        <v>-</v>
      </c>
      <c r="R95" s="26" t="str">
        <f>+IFERROR(VLOOKUP(CONCATENATE(A95,$D$10,D95),'ID1&amp;5'!B:J,9,FALSE),"-")</f>
        <v>-</v>
      </c>
      <c r="S95" s="78" t="str">
        <f>+IFERROR(VLOOKUP(E95,'ID1&amp;5'!K:L,2,FALSE),"-")</f>
        <v>-</v>
      </c>
      <c r="T95" s="79" t="str">
        <f>+IFERROR(VLOOKUP(CONCATENATE(A95,$E$10,E95),'ID1&amp;5'!B:J,9,FALSE),"-")</f>
        <v>-</v>
      </c>
      <c r="U95" s="78" t="str">
        <f>+IFERROR(VLOOKUP(F95,'ID1&amp;5'!K:L,2,FALSE),"-")</f>
        <v>-</v>
      </c>
      <c r="V95" s="79" t="str">
        <f>+IFERROR(VLOOKUP(CONCATENATE(A95,$F$10,F95),'ID1&amp;5'!B:J,9,FALSE),"-")</f>
        <v>-</v>
      </c>
      <c r="W95" s="26" t="str">
        <f>+IFERROR(VLOOKUP(A95,'ID6&amp;7'!A:I,9,FALSE),"-")</f>
        <v>-</v>
      </c>
      <c r="X95" s="26" t="str">
        <f>+IFERROR(VLOOKUP(A95,'ID6&amp;7'!A:J,10,FALSE),"-")</f>
        <v>-</v>
      </c>
      <c r="Y95" s="26"/>
      <c r="Z95" s="27" t="str">
        <f t="shared" si="2"/>
        <v>Por iniciar</v>
      </c>
      <c r="AA95" s="65"/>
    </row>
    <row r="96" spans="1:27">
      <c r="A96" s="20"/>
      <c r="B96" s="60"/>
      <c r="C96" s="60"/>
      <c r="D96" s="60"/>
      <c r="E96" s="60"/>
      <c r="F96" s="60"/>
      <c r="G96" s="60"/>
      <c r="H96" s="65" t="s">
        <v>113</v>
      </c>
      <c r="I96" s="21" t="s">
        <v>1159</v>
      </c>
      <c r="J96" s="26">
        <f>+COUNTIF('ID1&amp;5'!G:G,'1. Status'!I96)</f>
        <v>0</v>
      </c>
      <c r="K96" s="79" t="str">
        <f>+IFERROR(VLOOKUP(CONCATENATE(A96,$B$10,B96),'ID1&amp;5'!B:J,8,FALSE),"-")</f>
        <v>-</v>
      </c>
      <c r="L96" s="78" t="str">
        <f>+IFERROR(VLOOKUP(B96,'ID1&amp;5'!K:L,2,FALSE),"-")</f>
        <v>-</v>
      </c>
      <c r="M96" s="79" t="str">
        <f>+IFERROR(VLOOKUP(CONCATENATE(A96,$B$10,B96),'ID1&amp;5'!B:J,9,FALSE),"-")</f>
        <v>-</v>
      </c>
      <c r="N96" s="79" t="str">
        <f>+IFERROR(VLOOKUP(CONCATENATE(A96,$C$10,C96),'ID1&amp;5'!B:J,8,FALSE),"-")</f>
        <v>-</v>
      </c>
      <c r="O96" s="78" t="str">
        <f>+IFERROR(VLOOKUP(C96,'ID1&amp;5'!K:L,2,FALSE),"-")</f>
        <v>-</v>
      </c>
      <c r="P96" s="79" t="str">
        <f>+IFERROR(VLOOKUP(CONCATENATE(A96,$C$10,C96),'ID1&amp;5'!B:J,9,FALSE),"-")</f>
        <v>-</v>
      </c>
      <c r="Q96" s="78" t="str">
        <f>+IFERROR(VLOOKUP(D96,'ID1&amp;5'!K:L,2,FALSE),"-")</f>
        <v>-</v>
      </c>
      <c r="R96" s="26" t="str">
        <f>+IFERROR(VLOOKUP(CONCATENATE(A96,$D$10,D96),'ID1&amp;5'!B:J,9,FALSE),"-")</f>
        <v>-</v>
      </c>
      <c r="S96" s="78" t="str">
        <f>+IFERROR(VLOOKUP(E96,'ID1&amp;5'!K:L,2,FALSE),"-")</f>
        <v>-</v>
      </c>
      <c r="T96" s="79" t="str">
        <f>+IFERROR(VLOOKUP(CONCATENATE(A96,$E$10,E96),'ID1&amp;5'!B:J,9,FALSE),"-")</f>
        <v>-</v>
      </c>
      <c r="U96" s="78" t="str">
        <f>+IFERROR(VLOOKUP(F96,'ID1&amp;5'!K:L,2,FALSE),"-")</f>
        <v>-</v>
      </c>
      <c r="V96" s="79" t="str">
        <f>+IFERROR(VLOOKUP(CONCATENATE(A96,$F$10,F96),'ID1&amp;5'!B:J,9,FALSE),"-")</f>
        <v>-</v>
      </c>
      <c r="W96" s="26" t="str">
        <f>+IFERROR(VLOOKUP(A96,'ID6&amp;7'!A:I,9,FALSE),"-")</f>
        <v>-</v>
      </c>
      <c r="X96" s="26" t="str">
        <f>+IFERROR(VLOOKUP(A96,'ID6&amp;7'!A:J,10,FALSE),"-")</f>
        <v>-</v>
      </c>
      <c r="Y96" s="26"/>
      <c r="Z96" s="27" t="str">
        <f t="shared" si="2"/>
        <v>Por iniciar</v>
      </c>
      <c r="AA96" s="65"/>
    </row>
    <row r="97" spans="1:27">
      <c r="A97" s="20"/>
      <c r="B97" s="60"/>
      <c r="C97" s="60"/>
      <c r="D97" s="60"/>
      <c r="E97" s="60"/>
      <c r="F97" s="60"/>
      <c r="G97" s="60"/>
      <c r="H97" s="65" t="s">
        <v>113</v>
      </c>
      <c r="I97" s="21" t="s">
        <v>1160</v>
      </c>
      <c r="J97" s="26">
        <f>+COUNTIF('ID1&amp;5'!G:G,'1. Status'!I97)</f>
        <v>0</v>
      </c>
      <c r="K97" s="79" t="str">
        <f>+IFERROR(VLOOKUP(CONCATENATE(A97,$B$10,B97),'ID1&amp;5'!B:J,8,FALSE),"-")</f>
        <v>-</v>
      </c>
      <c r="L97" s="78" t="str">
        <f>+IFERROR(VLOOKUP(B97,'ID1&amp;5'!K:L,2,FALSE),"-")</f>
        <v>-</v>
      </c>
      <c r="M97" s="79" t="str">
        <f>+IFERROR(VLOOKUP(CONCATENATE(A97,$B$10,B97),'ID1&amp;5'!B:J,9,FALSE),"-")</f>
        <v>-</v>
      </c>
      <c r="N97" s="79" t="str">
        <f>+IFERROR(VLOOKUP(CONCATENATE(A97,$C$10,C97),'ID1&amp;5'!B:J,8,FALSE),"-")</f>
        <v>-</v>
      </c>
      <c r="O97" s="78" t="str">
        <f>+IFERROR(VLOOKUP(C97,'ID1&amp;5'!K:L,2,FALSE),"-")</f>
        <v>-</v>
      </c>
      <c r="P97" s="79" t="str">
        <f>+IFERROR(VLOOKUP(CONCATENATE(A97,$C$10,C97),'ID1&amp;5'!B:J,9,FALSE),"-")</f>
        <v>-</v>
      </c>
      <c r="Q97" s="78" t="str">
        <f>+IFERROR(VLOOKUP(D97,'ID1&amp;5'!K:L,2,FALSE),"-")</f>
        <v>-</v>
      </c>
      <c r="R97" s="26" t="str">
        <f>+IFERROR(VLOOKUP(CONCATENATE(A97,$D$10,D97),'ID1&amp;5'!B:J,9,FALSE),"-")</f>
        <v>-</v>
      </c>
      <c r="S97" s="78" t="str">
        <f>+IFERROR(VLOOKUP(E97,'ID1&amp;5'!K:L,2,FALSE),"-")</f>
        <v>-</v>
      </c>
      <c r="T97" s="79" t="str">
        <f>+IFERROR(VLOOKUP(CONCATENATE(A97,$E$10,E97),'ID1&amp;5'!B:J,9,FALSE),"-")</f>
        <v>-</v>
      </c>
      <c r="U97" s="78" t="str">
        <f>+IFERROR(VLOOKUP(F97,'ID1&amp;5'!K:L,2,FALSE),"-")</f>
        <v>-</v>
      </c>
      <c r="V97" s="79" t="str">
        <f>+IFERROR(VLOOKUP(CONCATENATE(A97,$F$10,F97),'ID1&amp;5'!B:J,9,FALSE),"-")</f>
        <v>-</v>
      </c>
      <c r="W97" s="26" t="str">
        <f>+IFERROR(VLOOKUP(A97,'ID6&amp;7'!A:I,9,FALSE),"-")</f>
        <v>-</v>
      </c>
      <c r="X97" s="26" t="str">
        <f>+IFERROR(VLOOKUP(A97,'ID6&amp;7'!A:J,10,FALSE),"-")</f>
        <v>-</v>
      </c>
      <c r="Y97" s="26"/>
      <c r="Z97" s="27" t="str">
        <f t="shared" si="2"/>
        <v>Por iniciar</v>
      </c>
      <c r="AA97" s="65"/>
    </row>
    <row r="98" spans="1:27">
      <c r="A98" s="20"/>
      <c r="B98" s="60"/>
      <c r="C98" s="60"/>
      <c r="D98" s="60"/>
      <c r="E98" s="60"/>
      <c r="F98" s="60"/>
      <c r="G98" s="60"/>
      <c r="H98" s="65" t="s">
        <v>113</v>
      </c>
      <c r="I98" s="21" t="s">
        <v>1161</v>
      </c>
      <c r="J98" s="26">
        <f>+COUNTIF('ID1&amp;5'!G:G,'1. Status'!I98)</f>
        <v>0</v>
      </c>
      <c r="K98" s="79" t="str">
        <f>+IFERROR(VLOOKUP(CONCATENATE(A98,$B$10,B98),'ID1&amp;5'!B:J,8,FALSE),"-")</f>
        <v>-</v>
      </c>
      <c r="L98" s="78" t="str">
        <f>+IFERROR(VLOOKUP(B98,'ID1&amp;5'!K:L,2,FALSE),"-")</f>
        <v>-</v>
      </c>
      <c r="M98" s="79" t="str">
        <f>+IFERROR(VLOOKUP(CONCATENATE(A98,$B$10,B98),'ID1&amp;5'!B:J,9,FALSE),"-")</f>
        <v>-</v>
      </c>
      <c r="N98" s="79" t="str">
        <f>+IFERROR(VLOOKUP(CONCATENATE(A98,$C$10,C98),'ID1&amp;5'!B:J,8,FALSE),"-")</f>
        <v>-</v>
      </c>
      <c r="O98" s="78" t="str">
        <f>+IFERROR(VLOOKUP(C98,'ID1&amp;5'!K:L,2,FALSE),"-")</f>
        <v>-</v>
      </c>
      <c r="P98" s="79" t="str">
        <f>+IFERROR(VLOOKUP(CONCATENATE(A98,$C$10,C98),'ID1&amp;5'!B:J,9,FALSE),"-")</f>
        <v>-</v>
      </c>
      <c r="Q98" s="78" t="str">
        <f>+IFERROR(VLOOKUP(D98,'ID1&amp;5'!K:L,2,FALSE),"-")</f>
        <v>-</v>
      </c>
      <c r="R98" s="26" t="str">
        <f>+IFERROR(VLOOKUP(CONCATENATE(A98,$D$10,D98),'ID1&amp;5'!B:J,9,FALSE),"-")</f>
        <v>-</v>
      </c>
      <c r="S98" s="78" t="str">
        <f>+IFERROR(VLOOKUP(E98,'ID1&amp;5'!K:L,2,FALSE),"-")</f>
        <v>-</v>
      </c>
      <c r="T98" s="79" t="str">
        <f>+IFERROR(VLOOKUP(CONCATENATE(A98,$E$10,E98),'ID1&amp;5'!B:J,9,FALSE),"-")</f>
        <v>-</v>
      </c>
      <c r="U98" s="78" t="str">
        <f>+IFERROR(VLOOKUP(F98,'ID1&amp;5'!K:L,2,FALSE),"-")</f>
        <v>-</v>
      </c>
      <c r="V98" s="79" t="str">
        <f>+IFERROR(VLOOKUP(CONCATENATE(A98,$F$10,F98),'ID1&amp;5'!B:J,9,FALSE),"-")</f>
        <v>-</v>
      </c>
      <c r="W98" s="26" t="str">
        <f>+IFERROR(VLOOKUP(A98,'ID6&amp;7'!A:I,9,FALSE),"-")</f>
        <v>-</v>
      </c>
      <c r="X98" s="26" t="str">
        <f>+IFERROR(VLOOKUP(A98,'ID6&amp;7'!A:J,10,FALSE),"-")</f>
        <v>-</v>
      </c>
      <c r="Y98" s="26"/>
      <c r="Z98" s="27" t="str">
        <f t="shared" si="2"/>
        <v>Por iniciar</v>
      </c>
      <c r="AA98" s="65"/>
    </row>
    <row r="99" spans="1:27">
      <c r="A99" s="20"/>
      <c r="B99" s="60"/>
      <c r="C99" s="60"/>
      <c r="D99" s="60"/>
      <c r="E99" s="60"/>
      <c r="F99" s="60"/>
      <c r="G99" s="60"/>
      <c r="H99" s="65" t="s">
        <v>113</v>
      </c>
      <c r="I99" s="21" t="s">
        <v>1162</v>
      </c>
      <c r="J99" s="26">
        <f>+COUNTIF('ID1&amp;5'!G:G,'1. Status'!I99)</f>
        <v>0</v>
      </c>
      <c r="K99" s="79" t="str">
        <f>+IFERROR(VLOOKUP(CONCATENATE(A99,$B$10,B99),'ID1&amp;5'!B:J,8,FALSE),"-")</f>
        <v>-</v>
      </c>
      <c r="L99" s="78" t="str">
        <f>+IFERROR(VLOOKUP(B99,'ID1&amp;5'!K:L,2,FALSE),"-")</f>
        <v>-</v>
      </c>
      <c r="M99" s="79" t="str">
        <f>+IFERROR(VLOOKUP(CONCATENATE(A99,$B$10,B99),'ID1&amp;5'!B:J,9,FALSE),"-")</f>
        <v>-</v>
      </c>
      <c r="N99" s="79" t="str">
        <f>+IFERROR(VLOOKUP(CONCATENATE(A99,$C$10,C99),'ID1&amp;5'!B:J,8,FALSE),"-")</f>
        <v>-</v>
      </c>
      <c r="O99" s="78" t="str">
        <f>+IFERROR(VLOOKUP(C99,'ID1&amp;5'!K:L,2,FALSE),"-")</f>
        <v>-</v>
      </c>
      <c r="P99" s="79" t="str">
        <f>+IFERROR(VLOOKUP(CONCATENATE(A99,$C$10,C99),'ID1&amp;5'!B:J,9,FALSE),"-")</f>
        <v>-</v>
      </c>
      <c r="Q99" s="78" t="str">
        <f>+IFERROR(VLOOKUP(D99,'ID1&amp;5'!K:L,2,FALSE),"-")</f>
        <v>-</v>
      </c>
      <c r="R99" s="26" t="str">
        <f>+IFERROR(VLOOKUP(CONCATENATE(A99,$D$10,D99),'ID1&amp;5'!B:J,9,FALSE),"-")</f>
        <v>-</v>
      </c>
      <c r="S99" s="78" t="str">
        <f>+IFERROR(VLOOKUP(E99,'ID1&amp;5'!K:L,2,FALSE),"-")</f>
        <v>-</v>
      </c>
      <c r="T99" s="79" t="str">
        <f>+IFERROR(VLOOKUP(CONCATENATE(A99,$E$10,E99),'ID1&amp;5'!B:J,9,FALSE),"-")</f>
        <v>-</v>
      </c>
      <c r="U99" s="78" t="str">
        <f>+IFERROR(VLOOKUP(F99,'ID1&amp;5'!K:L,2,FALSE),"-")</f>
        <v>-</v>
      </c>
      <c r="V99" s="79" t="str">
        <f>+IFERROR(VLOOKUP(CONCATENATE(A99,$F$10,F99),'ID1&amp;5'!B:J,9,FALSE),"-")</f>
        <v>-</v>
      </c>
      <c r="W99" s="26" t="str">
        <f>+IFERROR(VLOOKUP(A99,'ID6&amp;7'!A:I,9,FALSE),"-")</f>
        <v>-</v>
      </c>
      <c r="X99" s="26" t="str">
        <f>+IFERROR(VLOOKUP(A99,'ID6&amp;7'!A:J,10,FALSE),"-")</f>
        <v>-</v>
      </c>
      <c r="Y99" s="26"/>
      <c r="Z99" s="27" t="str">
        <f t="shared" si="2"/>
        <v>Por iniciar</v>
      </c>
      <c r="AA99" s="65"/>
    </row>
    <row r="100" spans="1:27">
      <c r="A100" s="20"/>
      <c r="B100" s="60"/>
      <c r="C100" s="60"/>
      <c r="D100" s="60"/>
      <c r="E100" s="60"/>
      <c r="F100" s="60"/>
      <c r="G100" s="60"/>
      <c r="H100" s="65" t="s">
        <v>113</v>
      </c>
      <c r="I100" s="21" t="s">
        <v>638</v>
      </c>
      <c r="J100" s="26">
        <f>+COUNTIF('ID1&amp;5'!G:G,'1. Status'!I100)</f>
        <v>0</v>
      </c>
      <c r="K100" s="79" t="str">
        <f>+IFERROR(VLOOKUP(CONCATENATE(A100,$B$10,B100),'ID1&amp;5'!B:J,8,FALSE),"-")</f>
        <v>-</v>
      </c>
      <c r="L100" s="78" t="str">
        <f>+IFERROR(VLOOKUP(B100,'ID1&amp;5'!K:L,2,FALSE),"-")</f>
        <v>-</v>
      </c>
      <c r="M100" s="79" t="str">
        <f>+IFERROR(VLOOKUP(CONCATENATE(A100,$B$10,B100),'ID1&amp;5'!B:J,9,FALSE),"-")</f>
        <v>-</v>
      </c>
      <c r="N100" s="79" t="str">
        <f>+IFERROR(VLOOKUP(CONCATENATE(A100,$C$10,C100),'ID1&amp;5'!B:J,8,FALSE),"-")</f>
        <v>-</v>
      </c>
      <c r="O100" s="78" t="str">
        <f>+IFERROR(VLOOKUP(C100,'ID1&amp;5'!K:L,2,FALSE),"-")</f>
        <v>-</v>
      </c>
      <c r="P100" s="79" t="str">
        <f>+IFERROR(VLOOKUP(CONCATENATE(A100,$C$10,C100),'ID1&amp;5'!B:J,9,FALSE),"-")</f>
        <v>-</v>
      </c>
      <c r="Q100" s="78" t="str">
        <f>+IFERROR(VLOOKUP(D100,'ID1&amp;5'!K:L,2,FALSE),"-")</f>
        <v>-</v>
      </c>
      <c r="R100" s="26" t="str">
        <f>+IFERROR(VLOOKUP(CONCATENATE(A100,$D$10,D100),'ID1&amp;5'!B:J,9,FALSE),"-")</f>
        <v>-</v>
      </c>
      <c r="S100" s="78" t="str">
        <f>+IFERROR(VLOOKUP(E100,'ID1&amp;5'!K:L,2,FALSE),"-")</f>
        <v>-</v>
      </c>
      <c r="T100" s="79" t="str">
        <f>+IFERROR(VLOOKUP(CONCATENATE(A100,$E$10,E100),'ID1&amp;5'!B:J,9,FALSE),"-")</f>
        <v>-</v>
      </c>
      <c r="U100" s="78" t="str">
        <f>+IFERROR(VLOOKUP(F100,'ID1&amp;5'!K:L,2,FALSE),"-")</f>
        <v>-</v>
      </c>
      <c r="V100" s="79" t="str">
        <f>+IFERROR(VLOOKUP(CONCATENATE(A100,$F$10,F100),'ID1&amp;5'!B:J,9,FALSE),"-")</f>
        <v>-</v>
      </c>
      <c r="W100" s="26" t="str">
        <f>+IFERROR(VLOOKUP(A100,'ID6&amp;7'!A:I,9,FALSE),"-")</f>
        <v>-</v>
      </c>
      <c r="X100" s="26" t="str">
        <f>+IFERROR(VLOOKUP(A100,'ID6&amp;7'!A:J,10,FALSE),"-")</f>
        <v>-</v>
      </c>
      <c r="Y100" s="26"/>
      <c r="Z100" s="27" t="str">
        <f t="shared" si="2"/>
        <v>Por iniciar</v>
      </c>
      <c r="AA100" s="65"/>
    </row>
    <row r="101" spans="1:27">
      <c r="A101" s="20"/>
      <c r="B101" s="60"/>
      <c r="C101" s="60"/>
      <c r="D101" s="60"/>
      <c r="E101" s="60"/>
      <c r="F101" s="60"/>
      <c r="G101" s="60"/>
      <c r="H101" s="65" t="s">
        <v>113</v>
      </c>
      <c r="I101" s="21" t="s">
        <v>301</v>
      </c>
      <c r="J101" s="26">
        <f>+COUNTIF('ID1&amp;5'!G:G,'1. Status'!I101)</f>
        <v>0</v>
      </c>
      <c r="K101" s="79" t="str">
        <f>+IFERROR(VLOOKUP(CONCATENATE(A101,$B$10,B101),'ID1&amp;5'!B:J,8,FALSE),"-")</f>
        <v>-</v>
      </c>
      <c r="L101" s="78" t="str">
        <f>+IFERROR(VLOOKUP(B101,'ID1&amp;5'!K:L,2,FALSE),"-")</f>
        <v>-</v>
      </c>
      <c r="M101" s="79" t="str">
        <f>+IFERROR(VLOOKUP(CONCATENATE(A101,$B$10,B101),'ID1&amp;5'!B:J,9,FALSE),"-")</f>
        <v>-</v>
      </c>
      <c r="N101" s="79" t="str">
        <f>+IFERROR(VLOOKUP(CONCATENATE(A101,$C$10,C101),'ID1&amp;5'!B:J,8,FALSE),"-")</f>
        <v>-</v>
      </c>
      <c r="O101" s="78" t="str">
        <f>+IFERROR(VLOOKUP(C101,'ID1&amp;5'!K:L,2,FALSE),"-")</f>
        <v>-</v>
      </c>
      <c r="P101" s="79" t="str">
        <f>+IFERROR(VLOOKUP(CONCATENATE(A101,$C$10,C101),'ID1&amp;5'!B:J,9,FALSE),"-")</f>
        <v>-</v>
      </c>
      <c r="Q101" s="78" t="str">
        <f>+IFERROR(VLOOKUP(D101,'ID1&amp;5'!K:L,2,FALSE),"-")</f>
        <v>-</v>
      </c>
      <c r="R101" s="26" t="str">
        <f>+IFERROR(VLOOKUP(CONCATENATE(A101,$D$10,D101),'ID1&amp;5'!B:J,9,FALSE),"-")</f>
        <v>-</v>
      </c>
      <c r="S101" s="78" t="str">
        <f>+IFERROR(VLOOKUP(E101,'ID1&amp;5'!K:L,2,FALSE),"-")</f>
        <v>-</v>
      </c>
      <c r="T101" s="79" t="str">
        <f>+IFERROR(VLOOKUP(CONCATENATE(A101,$E$10,E101),'ID1&amp;5'!B:J,9,FALSE),"-")</f>
        <v>-</v>
      </c>
      <c r="U101" s="78" t="str">
        <f>+IFERROR(VLOOKUP(F101,'ID1&amp;5'!K:L,2,FALSE),"-")</f>
        <v>-</v>
      </c>
      <c r="V101" s="79" t="str">
        <f>+IFERROR(VLOOKUP(CONCATENATE(A101,$F$10,F101),'ID1&amp;5'!B:J,9,FALSE),"-")</f>
        <v>-</v>
      </c>
      <c r="W101" s="26" t="str">
        <f>+IFERROR(VLOOKUP(A101,'ID6&amp;7'!A:I,9,FALSE),"-")</f>
        <v>-</v>
      </c>
      <c r="X101" s="26" t="str">
        <f>+IFERROR(VLOOKUP(A101,'ID6&amp;7'!A:J,10,FALSE),"-")</f>
        <v>-</v>
      </c>
      <c r="Y101" s="26"/>
      <c r="Z101" s="27" t="str">
        <f t="shared" si="2"/>
        <v>Por iniciar</v>
      </c>
      <c r="AA101" s="65"/>
    </row>
    <row r="102" spans="1:27">
      <c r="A102" s="20"/>
      <c r="B102" s="60"/>
      <c r="C102" s="60"/>
      <c r="D102" s="60"/>
      <c r="E102" s="60"/>
      <c r="F102" s="60"/>
      <c r="G102" s="60"/>
      <c r="H102" s="65" t="s">
        <v>113</v>
      </c>
      <c r="I102" s="21" t="s">
        <v>639</v>
      </c>
      <c r="J102" s="26">
        <f>+COUNTIF('ID1&amp;5'!G:G,'1. Status'!I102)</f>
        <v>0</v>
      </c>
      <c r="K102" s="79" t="str">
        <f>+IFERROR(VLOOKUP(CONCATENATE(A102,$B$10,B102),'ID1&amp;5'!B:J,8,FALSE),"-")</f>
        <v>-</v>
      </c>
      <c r="L102" s="78" t="str">
        <f>+IFERROR(VLOOKUP(B102,'ID1&amp;5'!K:L,2,FALSE),"-")</f>
        <v>-</v>
      </c>
      <c r="M102" s="79" t="str">
        <f>+IFERROR(VLOOKUP(CONCATENATE(A102,$B$10,B102),'ID1&amp;5'!B:J,9,FALSE),"-")</f>
        <v>-</v>
      </c>
      <c r="N102" s="79" t="str">
        <f>+IFERROR(VLOOKUP(CONCATENATE(A102,$C$10,C102),'ID1&amp;5'!B:J,8,FALSE),"-")</f>
        <v>-</v>
      </c>
      <c r="O102" s="78" t="str">
        <f>+IFERROR(VLOOKUP(C102,'ID1&amp;5'!K:L,2,FALSE),"-")</f>
        <v>-</v>
      </c>
      <c r="P102" s="79" t="str">
        <f>+IFERROR(VLOOKUP(CONCATENATE(A102,$C$10,C102),'ID1&amp;5'!B:J,9,FALSE),"-")</f>
        <v>-</v>
      </c>
      <c r="Q102" s="78" t="str">
        <f>+IFERROR(VLOOKUP(D102,'ID1&amp;5'!K:L,2,FALSE),"-")</f>
        <v>-</v>
      </c>
      <c r="R102" s="26" t="str">
        <f>+IFERROR(VLOOKUP(CONCATENATE(A102,$D$10,D102),'ID1&amp;5'!B:J,9,FALSE),"-")</f>
        <v>-</v>
      </c>
      <c r="S102" s="78" t="str">
        <f>+IFERROR(VLOOKUP(E102,'ID1&amp;5'!K:L,2,FALSE),"-")</f>
        <v>-</v>
      </c>
      <c r="T102" s="79" t="str">
        <f>+IFERROR(VLOOKUP(CONCATENATE(A102,$E$10,E102),'ID1&amp;5'!B:J,9,FALSE),"-")</f>
        <v>-</v>
      </c>
      <c r="U102" s="78" t="str">
        <f>+IFERROR(VLOOKUP(F102,'ID1&amp;5'!K:L,2,FALSE),"-")</f>
        <v>-</v>
      </c>
      <c r="V102" s="79" t="str">
        <f>+IFERROR(VLOOKUP(CONCATENATE(A102,$F$10,F102),'ID1&amp;5'!B:J,9,FALSE),"-")</f>
        <v>-</v>
      </c>
      <c r="W102" s="26" t="str">
        <f>+IFERROR(VLOOKUP(A102,'ID6&amp;7'!A:I,9,FALSE),"-")</f>
        <v>-</v>
      </c>
      <c r="X102" s="26" t="str">
        <f>+IFERROR(VLOOKUP(A102,'ID6&amp;7'!A:J,10,FALSE),"-")</f>
        <v>-</v>
      </c>
      <c r="Y102" s="26"/>
      <c r="Z102" s="27" t="str">
        <f t="shared" si="2"/>
        <v>Por iniciar</v>
      </c>
      <c r="AA102" s="65"/>
    </row>
    <row r="103" spans="1:27">
      <c r="A103" s="20"/>
      <c r="B103" s="60"/>
      <c r="C103" s="60"/>
      <c r="D103" s="60"/>
      <c r="E103" s="60"/>
      <c r="F103" s="60"/>
      <c r="G103" s="60"/>
      <c r="H103" s="65" t="s">
        <v>113</v>
      </c>
      <c r="I103" s="21" t="s">
        <v>1163</v>
      </c>
      <c r="J103" s="26">
        <f>+COUNTIF('ID1&amp;5'!G:G,'1. Status'!I103)</f>
        <v>0</v>
      </c>
      <c r="K103" s="79" t="str">
        <f>+IFERROR(VLOOKUP(CONCATENATE(A103,$B$10,B103),'ID1&amp;5'!B:J,8,FALSE),"-")</f>
        <v>-</v>
      </c>
      <c r="L103" s="78" t="str">
        <f>+IFERROR(VLOOKUP(B103,'ID1&amp;5'!K:L,2,FALSE),"-")</f>
        <v>-</v>
      </c>
      <c r="M103" s="79" t="str">
        <f>+IFERROR(VLOOKUP(CONCATENATE(A103,$B$10,B103),'ID1&amp;5'!B:J,9,FALSE),"-")</f>
        <v>-</v>
      </c>
      <c r="N103" s="79" t="str">
        <f>+IFERROR(VLOOKUP(CONCATENATE(A103,$C$10,C103),'ID1&amp;5'!B:J,8,FALSE),"-")</f>
        <v>-</v>
      </c>
      <c r="O103" s="78" t="str">
        <f>+IFERROR(VLOOKUP(C103,'ID1&amp;5'!K:L,2,FALSE),"-")</f>
        <v>-</v>
      </c>
      <c r="P103" s="79" t="str">
        <f>+IFERROR(VLOOKUP(CONCATENATE(A103,$C$10,C103),'ID1&amp;5'!B:J,9,FALSE),"-")</f>
        <v>-</v>
      </c>
      <c r="Q103" s="78" t="str">
        <f>+IFERROR(VLOOKUP(D103,'ID1&amp;5'!K:L,2,FALSE),"-")</f>
        <v>-</v>
      </c>
      <c r="R103" s="26" t="str">
        <f>+IFERROR(VLOOKUP(CONCATENATE(A103,$D$10,D103),'ID1&amp;5'!B:J,9,FALSE),"-")</f>
        <v>-</v>
      </c>
      <c r="S103" s="78" t="str">
        <f>+IFERROR(VLOOKUP(E103,'ID1&amp;5'!K:L,2,FALSE),"-")</f>
        <v>-</v>
      </c>
      <c r="T103" s="79" t="str">
        <f>+IFERROR(VLOOKUP(CONCATENATE(A103,$E$10,E103),'ID1&amp;5'!B:J,9,FALSE),"-")</f>
        <v>-</v>
      </c>
      <c r="U103" s="78" t="str">
        <f>+IFERROR(VLOOKUP(F103,'ID1&amp;5'!K:L,2,FALSE),"-")</f>
        <v>-</v>
      </c>
      <c r="V103" s="79" t="str">
        <f>+IFERROR(VLOOKUP(CONCATENATE(A103,$F$10,F103),'ID1&amp;5'!B:J,9,FALSE),"-")</f>
        <v>-</v>
      </c>
      <c r="W103" s="26" t="str">
        <f>+IFERROR(VLOOKUP(A103,'ID6&amp;7'!A:I,9,FALSE),"-")</f>
        <v>-</v>
      </c>
      <c r="X103" s="26" t="str">
        <f>+IFERROR(VLOOKUP(A103,'ID6&amp;7'!A:J,10,FALSE),"-")</f>
        <v>-</v>
      </c>
      <c r="Y103" s="26"/>
      <c r="Z103" s="27" t="str">
        <f t="shared" si="2"/>
        <v>Por iniciar</v>
      </c>
      <c r="AA103" s="65"/>
    </row>
    <row r="104" spans="1:27">
      <c r="A104" s="20"/>
      <c r="B104" s="60"/>
      <c r="C104" s="60"/>
      <c r="D104" s="60"/>
      <c r="E104" s="60"/>
      <c r="F104" s="60"/>
      <c r="G104" s="60"/>
      <c r="H104" s="65" t="s">
        <v>113</v>
      </c>
      <c r="I104" s="21" t="s">
        <v>1164</v>
      </c>
      <c r="J104" s="26">
        <f>+COUNTIF('ID1&amp;5'!G:G,'1. Status'!I104)</f>
        <v>0</v>
      </c>
      <c r="K104" s="79" t="str">
        <f>+IFERROR(VLOOKUP(CONCATENATE(A104,$B$10,B104),'ID1&amp;5'!B:J,8,FALSE),"-")</f>
        <v>-</v>
      </c>
      <c r="L104" s="78" t="str">
        <f>+IFERROR(VLOOKUP(B104,'ID1&amp;5'!K:L,2,FALSE),"-")</f>
        <v>-</v>
      </c>
      <c r="M104" s="79" t="str">
        <f>+IFERROR(VLOOKUP(CONCATENATE(A104,$B$10,B104),'ID1&amp;5'!B:J,9,FALSE),"-")</f>
        <v>-</v>
      </c>
      <c r="N104" s="79" t="str">
        <f>+IFERROR(VLOOKUP(CONCATENATE(A104,$C$10,C104),'ID1&amp;5'!B:J,8,FALSE),"-")</f>
        <v>-</v>
      </c>
      <c r="O104" s="78" t="str">
        <f>+IFERROR(VLOOKUP(C104,'ID1&amp;5'!K:L,2,FALSE),"-")</f>
        <v>-</v>
      </c>
      <c r="P104" s="79" t="str">
        <f>+IFERROR(VLOOKUP(CONCATENATE(A104,$C$10,C104),'ID1&amp;5'!B:J,9,FALSE),"-")</f>
        <v>-</v>
      </c>
      <c r="Q104" s="78" t="str">
        <f>+IFERROR(VLOOKUP(D104,'ID1&amp;5'!K:L,2,FALSE),"-")</f>
        <v>-</v>
      </c>
      <c r="R104" s="26" t="str">
        <f>+IFERROR(VLOOKUP(CONCATENATE(A104,$D$10,D104),'ID1&amp;5'!B:J,9,FALSE),"-")</f>
        <v>-</v>
      </c>
      <c r="S104" s="78" t="str">
        <f>+IFERROR(VLOOKUP(E104,'ID1&amp;5'!K:L,2,FALSE),"-")</f>
        <v>-</v>
      </c>
      <c r="T104" s="79" t="str">
        <f>+IFERROR(VLOOKUP(CONCATENATE(A104,$E$10,E104),'ID1&amp;5'!B:J,9,FALSE),"-")</f>
        <v>-</v>
      </c>
      <c r="U104" s="78" t="str">
        <f>+IFERROR(VLOOKUP(F104,'ID1&amp;5'!K:L,2,FALSE),"-")</f>
        <v>-</v>
      </c>
      <c r="V104" s="79" t="str">
        <f>+IFERROR(VLOOKUP(CONCATENATE(A104,$F$10,F104),'ID1&amp;5'!B:J,9,FALSE),"-")</f>
        <v>-</v>
      </c>
      <c r="W104" s="26" t="str">
        <f>+IFERROR(VLOOKUP(A104,'ID6&amp;7'!A:I,9,FALSE),"-")</f>
        <v>-</v>
      </c>
      <c r="X104" s="26" t="str">
        <f>+IFERROR(VLOOKUP(A104,'ID6&amp;7'!A:J,10,FALSE),"-")</f>
        <v>-</v>
      </c>
      <c r="Y104" s="26"/>
      <c r="Z104" s="27" t="str">
        <f t="shared" si="2"/>
        <v>Por iniciar</v>
      </c>
      <c r="AA104" s="65"/>
    </row>
    <row r="105" spans="1:27">
      <c r="A105" s="20"/>
      <c r="B105" s="60"/>
      <c r="C105" s="60"/>
      <c r="D105" s="60"/>
      <c r="E105" s="60"/>
      <c r="F105" s="60"/>
      <c r="G105" s="60"/>
      <c r="H105" s="65" t="s">
        <v>113</v>
      </c>
      <c r="I105" s="21" t="s">
        <v>1165</v>
      </c>
      <c r="J105" s="26">
        <f>+COUNTIF('ID1&amp;5'!G:G,'1. Status'!I105)</f>
        <v>0</v>
      </c>
      <c r="K105" s="79" t="str">
        <f>+IFERROR(VLOOKUP(CONCATENATE(A105,$B$10,B105),'ID1&amp;5'!B:J,8,FALSE),"-")</f>
        <v>-</v>
      </c>
      <c r="L105" s="78" t="str">
        <f>+IFERROR(VLOOKUP(B105,'ID1&amp;5'!K:L,2,FALSE),"-")</f>
        <v>-</v>
      </c>
      <c r="M105" s="79" t="str">
        <f>+IFERROR(VLOOKUP(CONCATENATE(A105,$B$10,B105),'ID1&amp;5'!B:J,9,FALSE),"-")</f>
        <v>-</v>
      </c>
      <c r="N105" s="79" t="str">
        <f>+IFERROR(VLOOKUP(CONCATENATE(A105,$C$10,C105),'ID1&amp;5'!B:J,8,FALSE),"-")</f>
        <v>-</v>
      </c>
      <c r="O105" s="78" t="str">
        <f>+IFERROR(VLOOKUP(C105,'ID1&amp;5'!K:L,2,FALSE),"-")</f>
        <v>-</v>
      </c>
      <c r="P105" s="79" t="str">
        <f>+IFERROR(VLOOKUP(CONCATENATE(A105,$C$10,C105),'ID1&amp;5'!B:J,9,FALSE),"-")</f>
        <v>-</v>
      </c>
      <c r="Q105" s="78" t="str">
        <f>+IFERROR(VLOOKUP(D105,'ID1&amp;5'!K:L,2,FALSE),"-")</f>
        <v>-</v>
      </c>
      <c r="R105" s="26" t="str">
        <f>+IFERROR(VLOOKUP(CONCATENATE(A105,$D$10,D105),'ID1&amp;5'!B:J,9,FALSE),"-")</f>
        <v>-</v>
      </c>
      <c r="S105" s="78" t="str">
        <f>+IFERROR(VLOOKUP(E105,'ID1&amp;5'!K:L,2,FALSE),"-")</f>
        <v>-</v>
      </c>
      <c r="T105" s="79" t="str">
        <f>+IFERROR(VLOOKUP(CONCATENATE(A105,$E$10,E105),'ID1&amp;5'!B:J,9,FALSE),"-")</f>
        <v>-</v>
      </c>
      <c r="U105" s="78" t="str">
        <f>+IFERROR(VLOOKUP(F105,'ID1&amp;5'!K:L,2,FALSE),"-")</f>
        <v>-</v>
      </c>
      <c r="V105" s="79" t="str">
        <f>+IFERROR(VLOOKUP(CONCATENATE(A105,$F$10,F105),'ID1&amp;5'!B:J,9,FALSE),"-")</f>
        <v>-</v>
      </c>
      <c r="W105" s="26" t="str">
        <f>+IFERROR(VLOOKUP(A105,'ID6&amp;7'!A:I,9,FALSE),"-")</f>
        <v>-</v>
      </c>
      <c r="X105" s="26" t="str">
        <f>+IFERROR(VLOOKUP(A105,'ID6&amp;7'!A:J,10,FALSE),"-")</f>
        <v>-</v>
      </c>
      <c r="Y105" s="26"/>
      <c r="Z105" s="27" t="str">
        <f t="shared" si="2"/>
        <v>Por iniciar</v>
      </c>
      <c r="AA105" s="65"/>
    </row>
    <row r="106" spans="1:27">
      <c r="A106" s="20"/>
      <c r="B106" s="60"/>
      <c r="C106" s="60"/>
      <c r="D106" s="60"/>
      <c r="E106" s="60"/>
      <c r="F106" s="60"/>
      <c r="G106" s="60"/>
      <c r="H106" s="65" t="s">
        <v>113</v>
      </c>
      <c r="I106" s="21" t="s">
        <v>302</v>
      </c>
      <c r="J106" s="26">
        <f>+COUNTIF('ID1&amp;5'!G:G,'1. Status'!I106)</f>
        <v>0</v>
      </c>
      <c r="K106" s="79" t="str">
        <f>+IFERROR(VLOOKUP(CONCATENATE(A106,$B$10,B106),'ID1&amp;5'!B:J,8,FALSE),"-")</f>
        <v>-</v>
      </c>
      <c r="L106" s="78" t="str">
        <f>+IFERROR(VLOOKUP(B106,'ID1&amp;5'!K:L,2,FALSE),"-")</f>
        <v>-</v>
      </c>
      <c r="M106" s="79" t="str">
        <f>+IFERROR(VLOOKUP(CONCATENATE(A106,$B$10,B106),'ID1&amp;5'!B:J,9,FALSE),"-")</f>
        <v>-</v>
      </c>
      <c r="N106" s="79" t="str">
        <f>+IFERROR(VLOOKUP(CONCATENATE(A106,$C$10,C106),'ID1&amp;5'!B:J,8,FALSE),"-")</f>
        <v>-</v>
      </c>
      <c r="O106" s="78" t="str">
        <f>+IFERROR(VLOOKUP(C106,'ID1&amp;5'!K:L,2,FALSE),"-")</f>
        <v>-</v>
      </c>
      <c r="P106" s="79" t="str">
        <f>+IFERROR(VLOOKUP(CONCATENATE(A106,$C$10,C106),'ID1&amp;5'!B:J,9,FALSE),"-")</f>
        <v>-</v>
      </c>
      <c r="Q106" s="78" t="str">
        <f>+IFERROR(VLOOKUP(D106,'ID1&amp;5'!K:L,2,FALSE),"-")</f>
        <v>-</v>
      </c>
      <c r="R106" s="26" t="str">
        <f>+IFERROR(VLOOKUP(CONCATENATE(A106,$D$10,D106),'ID1&amp;5'!B:J,9,FALSE),"-")</f>
        <v>-</v>
      </c>
      <c r="S106" s="78" t="str">
        <f>+IFERROR(VLOOKUP(E106,'ID1&amp;5'!K:L,2,FALSE),"-")</f>
        <v>-</v>
      </c>
      <c r="T106" s="79" t="str">
        <f>+IFERROR(VLOOKUP(CONCATENATE(A106,$E$10,E106),'ID1&amp;5'!B:J,9,FALSE),"-")</f>
        <v>-</v>
      </c>
      <c r="U106" s="78" t="str">
        <f>+IFERROR(VLOOKUP(F106,'ID1&amp;5'!K:L,2,FALSE),"-")</f>
        <v>-</v>
      </c>
      <c r="V106" s="79" t="str">
        <f>+IFERROR(VLOOKUP(CONCATENATE(A106,$F$10,F106),'ID1&amp;5'!B:J,9,FALSE),"-")</f>
        <v>-</v>
      </c>
      <c r="W106" s="26" t="str">
        <f>+IFERROR(VLOOKUP(A106,'ID6&amp;7'!A:I,9,FALSE),"-")</f>
        <v>-</v>
      </c>
      <c r="X106" s="26" t="str">
        <f>+IFERROR(VLOOKUP(A106,'ID6&amp;7'!A:J,10,FALSE),"-")</f>
        <v>-</v>
      </c>
      <c r="Y106" s="26"/>
      <c r="Z106" s="27" t="str">
        <f t="shared" si="2"/>
        <v>Por iniciar</v>
      </c>
      <c r="AA106" s="65"/>
    </row>
    <row r="107" spans="1:27">
      <c r="A107" s="20"/>
      <c r="B107" s="60"/>
      <c r="C107" s="60"/>
      <c r="D107" s="60"/>
      <c r="E107" s="60"/>
      <c r="F107" s="60"/>
      <c r="G107" s="60"/>
      <c r="H107" s="65" t="s">
        <v>113</v>
      </c>
      <c r="I107" s="21" t="s">
        <v>1166</v>
      </c>
      <c r="J107" s="26">
        <f>+COUNTIF('ID1&amp;5'!G:G,'1. Status'!I107)</f>
        <v>0</v>
      </c>
      <c r="K107" s="79" t="str">
        <f>+IFERROR(VLOOKUP(CONCATENATE(A107,$B$10,B107),'ID1&amp;5'!B:J,8,FALSE),"-")</f>
        <v>-</v>
      </c>
      <c r="L107" s="78" t="str">
        <f>+IFERROR(VLOOKUP(B107,'ID1&amp;5'!K:L,2,FALSE),"-")</f>
        <v>-</v>
      </c>
      <c r="M107" s="79" t="str">
        <f>+IFERROR(VLOOKUP(CONCATENATE(A107,$B$10,B107),'ID1&amp;5'!B:J,9,FALSE),"-")</f>
        <v>-</v>
      </c>
      <c r="N107" s="79" t="str">
        <f>+IFERROR(VLOOKUP(CONCATENATE(A107,$C$10,C107),'ID1&amp;5'!B:J,8,FALSE),"-")</f>
        <v>-</v>
      </c>
      <c r="O107" s="78" t="str">
        <f>+IFERROR(VLOOKUP(C107,'ID1&amp;5'!K:L,2,FALSE),"-")</f>
        <v>-</v>
      </c>
      <c r="P107" s="79" t="str">
        <f>+IFERROR(VLOOKUP(CONCATENATE(A107,$C$10,C107),'ID1&amp;5'!B:J,9,FALSE),"-")</f>
        <v>-</v>
      </c>
      <c r="Q107" s="78" t="str">
        <f>+IFERROR(VLOOKUP(D107,'ID1&amp;5'!K:L,2,FALSE),"-")</f>
        <v>-</v>
      </c>
      <c r="R107" s="26" t="str">
        <f>+IFERROR(VLOOKUP(CONCATENATE(A107,$D$10,D107),'ID1&amp;5'!B:J,9,FALSE),"-")</f>
        <v>-</v>
      </c>
      <c r="S107" s="78" t="str">
        <f>+IFERROR(VLOOKUP(E107,'ID1&amp;5'!K:L,2,FALSE),"-")</f>
        <v>-</v>
      </c>
      <c r="T107" s="79" t="str">
        <f>+IFERROR(VLOOKUP(CONCATENATE(A107,$E$10,E107),'ID1&amp;5'!B:J,9,FALSE),"-")</f>
        <v>-</v>
      </c>
      <c r="U107" s="78" t="str">
        <f>+IFERROR(VLOOKUP(F107,'ID1&amp;5'!K:L,2,FALSE),"-")</f>
        <v>-</v>
      </c>
      <c r="V107" s="79" t="str">
        <f>+IFERROR(VLOOKUP(CONCATENATE(A107,$F$10,F107),'ID1&amp;5'!B:J,9,FALSE),"-")</f>
        <v>-</v>
      </c>
      <c r="W107" s="26" t="str">
        <f>+IFERROR(VLOOKUP(A107,'ID6&amp;7'!A:I,9,FALSE),"-")</f>
        <v>-</v>
      </c>
      <c r="X107" s="26" t="str">
        <f>+IFERROR(VLOOKUP(A107,'ID6&amp;7'!A:J,10,FALSE),"-")</f>
        <v>-</v>
      </c>
      <c r="Y107" s="26"/>
      <c r="Z107" s="27" t="str">
        <f t="shared" si="2"/>
        <v>Por iniciar</v>
      </c>
      <c r="AA107" s="65"/>
    </row>
    <row r="108" spans="1:27">
      <c r="A108" s="20"/>
      <c r="B108" s="60"/>
      <c r="C108" s="60"/>
      <c r="D108" s="60"/>
      <c r="E108" s="60"/>
      <c r="F108" s="60"/>
      <c r="G108" s="60"/>
      <c r="H108" s="65" t="s">
        <v>113</v>
      </c>
      <c r="I108" s="21" t="s">
        <v>1167</v>
      </c>
      <c r="J108" s="26">
        <f>+COUNTIF('ID1&amp;5'!G:G,'1. Status'!I108)</f>
        <v>0</v>
      </c>
      <c r="K108" s="79" t="str">
        <f>+IFERROR(VLOOKUP(CONCATENATE(A108,$B$10,B108),'ID1&amp;5'!B:J,8,FALSE),"-")</f>
        <v>-</v>
      </c>
      <c r="L108" s="78" t="str">
        <f>+IFERROR(VLOOKUP(B108,'ID1&amp;5'!K:L,2,FALSE),"-")</f>
        <v>-</v>
      </c>
      <c r="M108" s="79" t="str">
        <f>+IFERROR(VLOOKUP(CONCATENATE(A108,$B$10,B108),'ID1&amp;5'!B:J,9,FALSE),"-")</f>
        <v>-</v>
      </c>
      <c r="N108" s="79" t="str">
        <f>+IFERROR(VLOOKUP(CONCATENATE(A108,$C$10,C108),'ID1&amp;5'!B:J,8,FALSE),"-")</f>
        <v>-</v>
      </c>
      <c r="O108" s="78" t="str">
        <f>+IFERROR(VLOOKUP(C108,'ID1&amp;5'!K:L,2,FALSE),"-")</f>
        <v>-</v>
      </c>
      <c r="P108" s="79" t="str">
        <f>+IFERROR(VLOOKUP(CONCATENATE(A108,$C$10,C108),'ID1&amp;5'!B:J,9,FALSE),"-")</f>
        <v>-</v>
      </c>
      <c r="Q108" s="78" t="str">
        <f>+IFERROR(VLOOKUP(D108,'ID1&amp;5'!K:L,2,FALSE),"-")</f>
        <v>-</v>
      </c>
      <c r="R108" s="26" t="str">
        <f>+IFERROR(VLOOKUP(CONCATENATE(A108,$D$10,D108),'ID1&amp;5'!B:J,9,FALSE),"-")</f>
        <v>-</v>
      </c>
      <c r="S108" s="78" t="str">
        <f>+IFERROR(VLOOKUP(E108,'ID1&amp;5'!K:L,2,FALSE),"-")</f>
        <v>-</v>
      </c>
      <c r="T108" s="79" t="str">
        <f>+IFERROR(VLOOKUP(CONCATENATE(A108,$E$10,E108),'ID1&amp;5'!B:J,9,FALSE),"-")</f>
        <v>-</v>
      </c>
      <c r="U108" s="78" t="str">
        <f>+IFERROR(VLOOKUP(F108,'ID1&amp;5'!K:L,2,FALSE),"-")</f>
        <v>-</v>
      </c>
      <c r="V108" s="79" t="str">
        <f>+IFERROR(VLOOKUP(CONCATENATE(A108,$F$10,F108),'ID1&amp;5'!B:J,9,FALSE),"-")</f>
        <v>-</v>
      </c>
      <c r="W108" s="26" t="str">
        <f>+IFERROR(VLOOKUP(A108,'ID6&amp;7'!A:I,9,FALSE),"-")</f>
        <v>-</v>
      </c>
      <c r="X108" s="26" t="str">
        <f>+IFERROR(VLOOKUP(A108,'ID6&amp;7'!A:J,10,FALSE),"-")</f>
        <v>-</v>
      </c>
      <c r="Y108" s="26"/>
      <c r="Z108" s="27" t="str">
        <f t="shared" si="2"/>
        <v>Por iniciar</v>
      </c>
      <c r="AA108" s="65"/>
    </row>
    <row r="109" spans="1:27">
      <c r="A109" s="20"/>
      <c r="B109" s="60"/>
      <c r="C109" s="60"/>
      <c r="D109" s="60"/>
      <c r="E109" s="60"/>
      <c r="F109" s="60"/>
      <c r="G109" s="60"/>
      <c r="H109" s="65" t="s">
        <v>113</v>
      </c>
      <c r="I109" s="21" t="s">
        <v>1168</v>
      </c>
      <c r="J109" s="26">
        <f>+COUNTIF('ID1&amp;5'!G:G,'1. Status'!I109)</f>
        <v>0</v>
      </c>
      <c r="K109" s="79" t="str">
        <f>+IFERROR(VLOOKUP(CONCATENATE(A109,$B$10,B109),'ID1&amp;5'!B:J,8,FALSE),"-")</f>
        <v>-</v>
      </c>
      <c r="L109" s="78" t="str">
        <f>+IFERROR(VLOOKUP(B109,'ID1&amp;5'!K:L,2,FALSE),"-")</f>
        <v>-</v>
      </c>
      <c r="M109" s="79" t="str">
        <f>+IFERROR(VLOOKUP(CONCATENATE(A109,$B$10,B109),'ID1&amp;5'!B:J,9,FALSE),"-")</f>
        <v>-</v>
      </c>
      <c r="N109" s="79" t="str">
        <f>+IFERROR(VLOOKUP(CONCATENATE(A109,$C$10,C109),'ID1&amp;5'!B:J,8,FALSE),"-")</f>
        <v>-</v>
      </c>
      <c r="O109" s="78" t="str">
        <f>+IFERROR(VLOOKUP(C109,'ID1&amp;5'!K:L,2,FALSE),"-")</f>
        <v>-</v>
      </c>
      <c r="P109" s="79" t="str">
        <f>+IFERROR(VLOOKUP(CONCATENATE(A109,$C$10,C109),'ID1&amp;5'!B:J,9,FALSE),"-")</f>
        <v>-</v>
      </c>
      <c r="Q109" s="78" t="str">
        <f>+IFERROR(VLOOKUP(D109,'ID1&amp;5'!K:L,2,FALSE),"-")</f>
        <v>-</v>
      </c>
      <c r="R109" s="26" t="str">
        <f>+IFERROR(VLOOKUP(CONCATENATE(A109,$D$10,D109),'ID1&amp;5'!B:J,9,FALSE),"-")</f>
        <v>-</v>
      </c>
      <c r="S109" s="78" t="str">
        <f>+IFERROR(VLOOKUP(E109,'ID1&amp;5'!K:L,2,FALSE),"-")</f>
        <v>-</v>
      </c>
      <c r="T109" s="79" t="str">
        <f>+IFERROR(VLOOKUP(CONCATENATE(A109,$E$10,E109),'ID1&amp;5'!B:J,9,FALSE),"-")</f>
        <v>-</v>
      </c>
      <c r="U109" s="78" t="str">
        <f>+IFERROR(VLOOKUP(F109,'ID1&amp;5'!K:L,2,FALSE),"-")</f>
        <v>-</v>
      </c>
      <c r="V109" s="79" t="str">
        <f>+IFERROR(VLOOKUP(CONCATENATE(A109,$F$10,F109),'ID1&amp;5'!B:J,9,FALSE),"-")</f>
        <v>-</v>
      </c>
      <c r="W109" s="26" t="str">
        <f>+IFERROR(VLOOKUP(A109,'ID6&amp;7'!A:I,9,FALSE),"-")</f>
        <v>-</v>
      </c>
      <c r="X109" s="26" t="str">
        <f>+IFERROR(VLOOKUP(A109,'ID6&amp;7'!A:J,10,FALSE),"-")</f>
        <v>-</v>
      </c>
      <c r="Y109" s="26"/>
      <c r="Z109" s="27" t="str">
        <f t="shared" si="2"/>
        <v>Por iniciar</v>
      </c>
      <c r="AA109" s="65"/>
    </row>
    <row r="110" spans="1:27">
      <c r="A110" s="20"/>
      <c r="B110" s="60"/>
      <c r="C110" s="60"/>
      <c r="D110" s="60"/>
      <c r="E110" s="60"/>
      <c r="F110" s="60"/>
      <c r="G110" s="60"/>
      <c r="H110" s="65" t="s">
        <v>113</v>
      </c>
      <c r="I110" s="21" t="s">
        <v>1169</v>
      </c>
      <c r="J110" s="26">
        <f>+COUNTIF('ID1&amp;5'!G:G,'1. Status'!I110)</f>
        <v>0</v>
      </c>
      <c r="K110" s="79" t="str">
        <f>+IFERROR(VLOOKUP(CONCATENATE(A110,$B$10,B110),'ID1&amp;5'!B:J,8,FALSE),"-")</f>
        <v>-</v>
      </c>
      <c r="L110" s="78" t="str">
        <f>+IFERROR(VLOOKUP(B110,'ID1&amp;5'!K:L,2,FALSE),"-")</f>
        <v>-</v>
      </c>
      <c r="M110" s="79" t="str">
        <f>+IFERROR(VLOOKUP(CONCATENATE(A110,$B$10,B110),'ID1&amp;5'!B:J,9,FALSE),"-")</f>
        <v>-</v>
      </c>
      <c r="N110" s="79" t="str">
        <f>+IFERROR(VLOOKUP(CONCATENATE(A110,$C$10,C110),'ID1&amp;5'!B:J,8,FALSE),"-")</f>
        <v>-</v>
      </c>
      <c r="O110" s="78" t="str">
        <f>+IFERROR(VLOOKUP(C110,'ID1&amp;5'!K:L,2,FALSE),"-")</f>
        <v>-</v>
      </c>
      <c r="P110" s="79" t="str">
        <f>+IFERROR(VLOOKUP(CONCATENATE(A110,$C$10,C110),'ID1&amp;5'!B:J,9,FALSE),"-")</f>
        <v>-</v>
      </c>
      <c r="Q110" s="78" t="str">
        <f>+IFERROR(VLOOKUP(D110,'ID1&amp;5'!K:L,2,FALSE),"-")</f>
        <v>-</v>
      </c>
      <c r="R110" s="26" t="str">
        <f>+IFERROR(VLOOKUP(CONCATENATE(A110,$D$10,D110),'ID1&amp;5'!B:J,9,FALSE),"-")</f>
        <v>-</v>
      </c>
      <c r="S110" s="78" t="str">
        <f>+IFERROR(VLOOKUP(E110,'ID1&amp;5'!K:L,2,FALSE),"-")</f>
        <v>-</v>
      </c>
      <c r="T110" s="79" t="str">
        <f>+IFERROR(VLOOKUP(CONCATENATE(A110,$E$10,E110),'ID1&amp;5'!B:J,9,FALSE),"-")</f>
        <v>-</v>
      </c>
      <c r="U110" s="78" t="str">
        <f>+IFERROR(VLOOKUP(F110,'ID1&amp;5'!K:L,2,FALSE),"-")</f>
        <v>-</v>
      </c>
      <c r="V110" s="79" t="str">
        <f>+IFERROR(VLOOKUP(CONCATENATE(A110,$F$10,F110),'ID1&amp;5'!B:J,9,FALSE),"-")</f>
        <v>-</v>
      </c>
      <c r="W110" s="26" t="str">
        <f>+IFERROR(VLOOKUP(A110,'ID6&amp;7'!A:I,9,FALSE),"-")</f>
        <v>-</v>
      </c>
      <c r="X110" s="26" t="str">
        <f>+IFERROR(VLOOKUP(A110,'ID6&amp;7'!A:J,10,FALSE),"-")</f>
        <v>-</v>
      </c>
      <c r="Y110" s="26"/>
      <c r="Z110" s="27" t="str">
        <f t="shared" si="2"/>
        <v>Por iniciar</v>
      </c>
      <c r="AA110" s="65"/>
    </row>
    <row r="111" spans="1:27">
      <c r="A111" s="20"/>
      <c r="B111" s="60"/>
      <c r="C111" s="60"/>
      <c r="D111" s="60"/>
      <c r="E111" s="60"/>
      <c r="F111" s="60"/>
      <c r="G111" s="60"/>
      <c r="H111" s="65" t="s">
        <v>113</v>
      </c>
      <c r="I111" s="21" t="s">
        <v>640</v>
      </c>
      <c r="J111" s="26">
        <f>+COUNTIF('ID1&amp;5'!G:G,'1. Status'!I111)</f>
        <v>1</v>
      </c>
      <c r="K111" s="79" t="str">
        <f>+IFERROR(VLOOKUP(CONCATENATE(A111,$B$10,B111),'ID1&amp;5'!B:J,8,FALSE),"-")</f>
        <v>-</v>
      </c>
      <c r="L111" s="78" t="str">
        <f>+IFERROR(VLOOKUP(B111,'ID1&amp;5'!K:L,2,FALSE),"-")</f>
        <v>-</v>
      </c>
      <c r="M111" s="79" t="str">
        <f>+IFERROR(VLOOKUP(CONCATENATE(A111,$B$10,B111),'ID1&amp;5'!B:J,9,FALSE),"-")</f>
        <v>-</v>
      </c>
      <c r="N111" s="79" t="str">
        <f>+IFERROR(VLOOKUP(CONCATENATE(A111,$C$10,C111),'ID1&amp;5'!B:J,8,FALSE),"-")</f>
        <v>-</v>
      </c>
      <c r="O111" s="78" t="str">
        <f>+IFERROR(VLOOKUP(C111,'ID1&amp;5'!K:L,2,FALSE),"-")</f>
        <v>-</v>
      </c>
      <c r="P111" s="79" t="str">
        <f>+IFERROR(VLOOKUP(CONCATENATE(A111,$C$10,C111),'ID1&amp;5'!B:J,9,FALSE),"-")</f>
        <v>-</v>
      </c>
      <c r="Q111" s="78" t="str">
        <f>+IFERROR(VLOOKUP(D111,'ID1&amp;5'!K:L,2,FALSE),"-")</f>
        <v>-</v>
      </c>
      <c r="R111" s="26" t="str">
        <f>+IFERROR(VLOOKUP(CONCATENATE(A111,$D$10,D111),'ID1&amp;5'!B:J,9,FALSE),"-")</f>
        <v>-</v>
      </c>
      <c r="S111" s="78" t="str">
        <f>+IFERROR(VLOOKUP(E111,'ID1&amp;5'!K:L,2,FALSE),"-")</f>
        <v>-</v>
      </c>
      <c r="T111" s="79" t="str">
        <f>+IFERROR(VLOOKUP(CONCATENATE(A111,$E$10,E111),'ID1&amp;5'!B:J,9,FALSE),"-")</f>
        <v>-</v>
      </c>
      <c r="U111" s="78" t="str">
        <f>+IFERROR(VLOOKUP(F111,'ID1&amp;5'!K:L,2,FALSE),"-")</f>
        <v>-</v>
      </c>
      <c r="V111" s="79" t="str">
        <f>+IFERROR(VLOOKUP(CONCATENATE(A111,$F$10,F111),'ID1&amp;5'!B:J,9,FALSE),"-")</f>
        <v>-</v>
      </c>
      <c r="W111" s="26" t="str">
        <f>+IFERROR(VLOOKUP(A111,'ID6&amp;7'!A:I,9,FALSE),"-")</f>
        <v>-</v>
      </c>
      <c r="X111" s="26" t="str">
        <f>+IFERROR(VLOOKUP(A111,'ID6&amp;7'!A:J,10,FALSE),"-")</f>
        <v>-</v>
      </c>
      <c r="Y111" s="26"/>
      <c r="Z111" s="27" t="str">
        <f t="shared" si="2"/>
        <v>Em testes</v>
      </c>
      <c r="AA111" s="65"/>
    </row>
    <row r="112" spans="1:27">
      <c r="A112" s="20"/>
      <c r="B112" s="60"/>
      <c r="C112" s="60"/>
      <c r="D112" s="60"/>
      <c r="E112" s="60"/>
      <c r="F112" s="60"/>
      <c r="G112" s="60"/>
      <c r="H112" s="65" t="s">
        <v>113</v>
      </c>
      <c r="I112" s="21" t="s">
        <v>1170</v>
      </c>
      <c r="J112" s="26">
        <f>+COUNTIF('ID1&amp;5'!G:G,'1. Status'!I112)</f>
        <v>0</v>
      </c>
      <c r="K112" s="79" t="str">
        <f>+IFERROR(VLOOKUP(CONCATENATE(A112,$B$10,B112),'ID1&amp;5'!B:J,8,FALSE),"-")</f>
        <v>-</v>
      </c>
      <c r="L112" s="78" t="str">
        <f>+IFERROR(VLOOKUP(B112,'ID1&amp;5'!K:L,2,FALSE),"-")</f>
        <v>-</v>
      </c>
      <c r="M112" s="79" t="str">
        <f>+IFERROR(VLOOKUP(CONCATENATE(A112,$B$10,B112),'ID1&amp;5'!B:J,9,FALSE),"-")</f>
        <v>-</v>
      </c>
      <c r="N112" s="79" t="str">
        <f>+IFERROR(VLOOKUP(CONCATENATE(A112,$C$10,C112),'ID1&amp;5'!B:J,8,FALSE),"-")</f>
        <v>-</v>
      </c>
      <c r="O112" s="78" t="str">
        <f>+IFERROR(VLOOKUP(C112,'ID1&amp;5'!K:L,2,FALSE),"-")</f>
        <v>-</v>
      </c>
      <c r="P112" s="79" t="str">
        <f>+IFERROR(VLOOKUP(CONCATENATE(A112,$C$10,C112),'ID1&amp;5'!B:J,9,FALSE),"-")</f>
        <v>-</v>
      </c>
      <c r="Q112" s="78" t="str">
        <f>+IFERROR(VLOOKUP(D112,'ID1&amp;5'!K:L,2,FALSE),"-")</f>
        <v>-</v>
      </c>
      <c r="R112" s="26" t="str">
        <f>+IFERROR(VLOOKUP(CONCATENATE(A112,$D$10,D112),'ID1&amp;5'!B:J,9,FALSE),"-")</f>
        <v>-</v>
      </c>
      <c r="S112" s="78" t="str">
        <f>+IFERROR(VLOOKUP(E112,'ID1&amp;5'!K:L,2,FALSE),"-")</f>
        <v>-</v>
      </c>
      <c r="T112" s="79" t="str">
        <f>+IFERROR(VLOOKUP(CONCATENATE(A112,$E$10,E112),'ID1&amp;5'!B:J,9,FALSE),"-")</f>
        <v>-</v>
      </c>
      <c r="U112" s="78" t="str">
        <f>+IFERROR(VLOOKUP(F112,'ID1&amp;5'!K:L,2,FALSE),"-")</f>
        <v>-</v>
      </c>
      <c r="V112" s="79" t="str">
        <f>+IFERROR(VLOOKUP(CONCATENATE(A112,$F$10,F112),'ID1&amp;5'!B:J,9,FALSE),"-")</f>
        <v>-</v>
      </c>
      <c r="W112" s="26" t="str">
        <f>+IFERROR(VLOOKUP(A112,'ID6&amp;7'!A:I,9,FALSE),"-")</f>
        <v>-</v>
      </c>
      <c r="X112" s="26" t="str">
        <f>+IFERROR(VLOOKUP(A112,'ID6&amp;7'!A:J,10,FALSE),"-")</f>
        <v>-</v>
      </c>
      <c r="Y112" s="26"/>
      <c r="Z112" s="27" t="str">
        <f t="shared" si="2"/>
        <v>Por iniciar</v>
      </c>
      <c r="AA112" s="65"/>
    </row>
    <row r="113" spans="1:27">
      <c r="A113" s="20"/>
      <c r="B113" s="60"/>
      <c r="C113" s="60"/>
      <c r="D113" s="60"/>
      <c r="E113" s="60"/>
      <c r="F113" s="60"/>
      <c r="G113" s="60"/>
      <c r="H113" s="65" t="s">
        <v>113</v>
      </c>
      <c r="I113" s="21" t="s">
        <v>1171</v>
      </c>
      <c r="J113" s="26">
        <f>+COUNTIF('ID1&amp;5'!G:G,'1. Status'!I113)</f>
        <v>0</v>
      </c>
      <c r="K113" s="79" t="str">
        <f>+IFERROR(VLOOKUP(CONCATENATE(A113,$B$10,B113),'ID1&amp;5'!B:J,8,FALSE),"-")</f>
        <v>-</v>
      </c>
      <c r="L113" s="78" t="str">
        <f>+IFERROR(VLOOKUP(B113,'ID1&amp;5'!K:L,2,FALSE),"-")</f>
        <v>-</v>
      </c>
      <c r="M113" s="79" t="str">
        <f>+IFERROR(VLOOKUP(CONCATENATE(A113,$B$10,B113),'ID1&amp;5'!B:J,9,FALSE),"-")</f>
        <v>-</v>
      </c>
      <c r="N113" s="79" t="str">
        <f>+IFERROR(VLOOKUP(CONCATENATE(A113,$C$10,C113),'ID1&amp;5'!B:J,8,FALSE),"-")</f>
        <v>-</v>
      </c>
      <c r="O113" s="78" t="str">
        <f>+IFERROR(VLOOKUP(C113,'ID1&amp;5'!K:L,2,FALSE),"-")</f>
        <v>-</v>
      </c>
      <c r="P113" s="79" t="str">
        <f>+IFERROR(VLOOKUP(CONCATENATE(A113,$C$10,C113),'ID1&amp;5'!B:J,9,FALSE),"-")</f>
        <v>-</v>
      </c>
      <c r="Q113" s="78" t="str">
        <f>+IFERROR(VLOOKUP(D113,'ID1&amp;5'!K:L,2,FALSE),"-")</f>
        <v>-</v>
      </c>
      <c r="R113" s="26" t="str">
        <f>+IFERROR(VLOOKUP(CONCATENATE(A113,$D$10,D113),'ID1&amp;5'!B:J,9,FALSE),"-")</f>
        <v>-</v>
      </c>
      <c r="S113" s="78" t="str">
        <f>+IFERROR(VLOOKUP(E113,'ID1&amp;5'!K:L,2,FALSE),"-")</f>
        <v>-</v>
      </c>
      <c r="T113" s="79" t="str">
        <f>+IFERROR(VLOOKUP(CONCATENATE(A113,$E$10,E113),'ID1&amp;5'!B:J,9,FALSE),"-")</f>
        <v>-</v>
      </c>
      <c r="U113" s="78" t="str">
        <f>+IFERROR(VLOOKUP(F113,'ID1&amp;5'!K:L,2,FALSE),"-")</f>
        <v>-</v>
      </c>
      <c r="V113" s="79" t="str">
        <f>+IFERROR(VLOOKUP(CONCATENATE(A113,$F$10,F113),'ID1&amp;5'!B:J,9,FALSE),"-")</f>
        <v>-</v>
      </c>
      <c r="W113" s="26" t="str">
        <f>+IFERROR(VLOOKUP(A113,'ID6&amp;7'!A:I,9,FALSE),"-")</f>
        <v>-</v>
      </c>
      <c r="X113" s="26" t="str">
        <f>+IFERROR(VLOOKUP(A113,'ID6&amp;7'!A:J,10,FALSE),"-")</f>
        <v>-</v>
      </c>
      <c r="Y113" s="26"/>
      <c r="Z113" s="27" t="str">
        <f t="shared" si="2"/>
        <v>Por iniciar</v>
      </c>
      <c r="AA113" s="65"/>
    </row>
    <row r="114" spans="1:27">
      <c r="A114" s="20"/>
      <c r="B114" s="60"/>
      <c r="C114" s="60"/>
      <c r="D114" s="60"/>
      <c r="E114" s="60"/>
      <c r="F114" s="60"/>
      <c r="G114" s="60"/>
      <c r="H114" s="65" t="s">
        <v>113</v>
      </c>
      <c r="I114" s="21" t="s">
        <v>1172</v>
      </c>
      <c r="J114" s="26">
        <f>+COUNTIF('ID1&amp;5'!G:G,'1. Status'!I114)</f>
        <v>0</v>
      </c>
      <c r="K114" s="79" t="str">
        <f>+IFERROR(VLOOKUP(CONCATENATE(A114,$B$10,B114),'ID1&amp;5'!B:J,8,FALSE),"-")</f>
        <v>-</v>
      </c>
      <c r="L114" s="78" t="str">
        <f>+IFERROR(VLOOKUP(B114,'ID1&amp;5'!K:L,2,FALSE),"-")</f>
        <v>-</v>
      </c>
      <c r="M114" s="79" t="str">
        <f>+IFERROR(VLOOKUP(CONCATENATE(A114,$B$10,B114),'ID1&amp;5'!B:J,9,FALSE),"-")</f>
        <v>-</v>
      </c>
      <c r="N114" s="79" t="str">
        <f>+IFERROR(VLOOKUP(CONCATENATE(A114,$C$10,C114),'ID1&amp;5'!B:J,8,FALSE),"-")</f>
        <v>-</v>
      </c>
      <c r="O114" s="78" t="str">
        <f>+IFERROR(VLOOKUP(C114,'ID1&amp;5'!K:L,2,FALSE),"-")</f>
        <v>-</v>
      </c>
      <c r="P114" s="79" t="str">
        <f>+IFERROR(VLOOKUP(CONCATENATE(A114,$C$10,C114),'ID1&amp;5'!B:J,9,FALSE),"-")</f>
        <v>-</v>
      </c>
      <c r="Q114" s="78" t="str">
        <f>+IFERROR(VLOOKUP(D114,'ID1&amp;5'!K:L,2,FALSE),"-")</f>
        <v>-</v>
      </c>
      <c r="R114" s="26" t="str">
        <f>+IFERROR(VLOOKUP(CONCATENATE(A114,$D$10,D114),'ID1&amp;5'!B:J,9,FALSE),"-")</f>
        <v>-</v>
      </c>
      <c r="S114" s="78" t="str">
        <f>+IFERROR(VLOOKUP(E114,'ID1&amp;5'!K:L,2,FALSE),"-")</f>
        <v>-</v>
      </c>
      <c r="T114" s="79" t="str">
        <f>+IFERROR(VLOOKUP(CONCATENATE(A114,$E$10,E114),'ID1&amp;5'!B:J,9,FALSE),"-")</f>
        <v>-</v>
      </c>
      <c r="U114" s="78" t="str">
        <f>+IFERROR(VLOOKUP(F114,'ID1&amp;5'!K:L,2,FALSE),"-")</f>
        <v>-</v>
      </c>
      <c r="V114" s="79" t="str">
        <f>+IFERROR(VLOOKUP(CONCATENATE(A114,$F$10,F114),'ID1&amp;5'!B:J,9,FALSE),"-")</f>
        <v>-</v>
      </c>
      <c r="W114" s="26" t="str">
        <f>+IFERROR(VLOOKUP(A114,'ID6&amp;7'!A:I,9,FALSE),"-")</f>
        <v>-</v>
      </c>
      <c r="X114" s="26" t="str">
        <f>+IFERROR(VLOOKUP(A114,'ID6&amp;7'!A:J,10,FALSE),"-")</f>
        <v>-</v>
      </c>
      <c r="Y114" s="26"/>
      <c r="Z114" s="27" t="str">
        <f t="shared" si="2"/>
        <v>Por iniciar</v>
      </c>
      <c r="AA114" s="65"/>
    </row>
    <row r="115" spans="1:27">
      <c r="A115" s="20"/>
      <c r="B115" s="60"/>
      <c r="C115" s="60"/>
      <c r="D115" s="60"/>
      <c r="E115" s="60"/>
      <c r="F115" s="60"/>
      <c r="G115" s="60"/>
      <c r="H115" s="65" t="s">
        <v>113</v>
      </c>
      <c r="I115" s="21" t="s">
        <v>1173</v>
      </c>
      <c r="J115" s="26">
        <f>+COUNTIF('ID1&amp;5'!G:G,'1. Status'!I115)</f>
        <v>0</v>
      </c>
      <c r="K115" s="79" t="str">
        <f>+IFERROR(VLOOKUP(CONCATENATE(A115,$B$10,B115),'ID1&amp;5'!B:J,8,FALSE),"-")</f>
        <v>-</v>
      </c>
      <c r="L115" s="78" t="str">
        <f>+IFERROR(VLOOKUP(B115,'ID1&amp;5'!K:L,2,FALSE),"-")</f>
        <v>-</v>
      </c>
      <c r="M115" s="79" t="str">
        <f>+IFERROR(VLOOKUP(CONCATENATE(A115,$B$10,B115),'ID1&amp;5'!B:J,9,FALSE),"-")</f>
        <v>-</v>
      </c>
      <c r="N115" s="79" t="str">
        <f>+IFERROR(VLOOKUP(CONCATENATE(A115,$C$10,C115),'ID1&amp;5'!B:J,8,FALSE),"-")</f>
        <v>-</v>
      </c>
      <c r="O115" s="78" t="str">
        <f>+IFERROR(VLOOKUP(C115,'ID1&amp;5'!K:L,2,FALSE),"-")</f>
        <v>-</v>
      </c>
      <c r="P115" s="79" t="str">
        <f>+IFERROR(VLOOKUP(CONCATENATE(A115,$C$10,C115),'ID1&amp;5'!B:J,9,FALSE),"-")</f>
        <v>-</v>
      </c>
      <c r="Q115" s="78" t="str">
        <f>+IFERROR(VLOOKUP(D115,'ID1&amp;5'!K:L,2,FALSE),"-")</f>
        <v>-</v>
      </c>
      <c r="R115" s="26" t="str">
        <f>+IFERROR(VLOOKUP(CONCATENATE(A115,$D$10,D115),'ID1&amp;5'!B:J,9,FALSE),"-")</f>
        <v>-</v>
      </c>
      <c r="S115" s="78" t="str">
        <f>+IFERROR(VLOOKUP(E115,'ID1&amp;5'!K:L,2,FALSE),"-")</f>
        <v>-</v>
      </c>
      <c r="T115" s="79" t="str">
        <f>+IFERROR(VLOOKUP(CONCATENATE(A115,$E$10,E115),'ID1&amp;5'!B:J,9,FALSE),"-")</f>
        <v>-</v>
      </c>
      <c r="U115" s="78" t="str">
        <f>+IFERROR(VLOOKUP(F115,'ID1&amp;5'!K:L,2,FALSE),"-")</f>
        <v>-</v>
      </c>
      <c r="V115" s="79" t="str">
        <f>+IFERROR(VLOOKUP(CONCATENATE(A115,$F$10,F115),'ID1&amp;5'!B:J,9,FALSE),"-")</f>
        <v>-</v>
      </c>
      <c r="W115" s="26" t="str">
        <f>+IFERROR(VLOOKUP(A115,'ID6&amp;7'!A:I,9,FALSE),"-")</f>
        <v>-</v>
      </c>
      <c r="X115" s="26" t="str">
        <f>+IFERROR(VLOOKUP(A115,'ID6&amp;7'!A:J,10,FALSE),"-")</f>
        <v>-</v>
      </c>
      <c r="Y115" s="26"/>
      <c r="Z115" s="27" t="str">
        <f t="shared" si="2"/>
        <v>Por iniciar</v>
      </c>
      <c r="AA115" s="65"/>
    </row>
    <row r="116" spans="1:27">
      <c r="A116" s="20"/>
      <c r="B116" s="60"/>
      <c r="C116" s="60"/>
      <c r="D116" s="60"/>
      <c r="E116" s="60"/>
      <c r="F116" s="60"/>
      <c r="G116" s="60"/>
      <c r="H116" s="65" t="s">
        <v>113</v>
      </c>
      <c r="I116" s="21" t="s">
        <v>641</v>
      </c>
      <c r="J116" s="26">
        <f>+COUNTIF('ID1&amp;5'!G:G,'1. Status'!I116)</f>
        <v>1</v>
      </c>
      <c r="K116" s="79" t="str">
        <f>+IFERROR(VLOOKUP(CONCATENATE(A116,$B$10,B116),'ID1&amp;5'!B:J,8,FALSE),"-")</f>
        <v>-</v>
      </c>
      <c r="L116" s="78" t="str">
        <f>+IFERROR(VLOOKUP(B116,'ID1&amp;5'!K:L,2,FALSE),"-")</f>
        <v>-</v>
      </c>
      <c r="M116" s="79" t="str">
        <f>+IFERROR(VLOOKUP(CONCATENATE(A116,$B$10,B116),'ID1&amp;5'!B:J,9,FALSE),"-")</f>
        <v>-</v>
      </c>
      <c r="N116" s="79" t="str">
        <f>+IFERROR(VLOOKUP(CONCATENATE(A116,$C$10,C116),'ID1&amp;5'!B:J,8,FALSE),"-")</f>
        <v>-</v>
      </c>
      <c r="O116" s="78" t="str">
        <f>+IFERROR(VLOOKUP(C116,'ID1&amp;5'!K:L,2,FALSE),"-")</f>
        <v>-</v>
      </c>
      <c r="P116" s="79" t="str">
        <f>+IFERROR(VLOOKUP(CONCATENATE(A116,$C$10,C116),'ID1&amp;5'!B:J,9,FALSE),"-")</f>
        <v>-</v>
      </c>
      <c r="Q116" s="78" t="str">
        <f>+IFERROR(VLOOKUP(D116,'ID1&amp;5'!K:L,2,FALSE),"-")</f>
        <v>-</v>
      </c>
      <c r="R116" s="26" t="str">
        <f>+IFERROR(VLOOKUP(CONCATENATE(A116,$D$10,D116),'ID1&amp;5'!B:J,9,FALSE),"-")</f>
        <v>-</v>
      </c>
      <c r="S116" s="78" t="str">
        <f>+IFERROR(VLOOKUP(E116,'ID1&amp;5'!K:L,2,FALSE),"-")</f>
        <v>-</v>
      </c>
      <c r="T116" s="79" t="str">
        <f>+IFERROR(VLOOKUP(CONCATENATE(A116,$E$10,E116),'ID1&amp;5'!B:J,9,FALSE),"-")</f>
        <v>-</v>
      </c>
      <c r="U116" s="78" t="str">
        <f>+IFERROR(VLOOKUP(F116,'ID1&amp;5'!K:L,2,FALSE),"-")</f>
        <v>-</v>
      </c>
      <c r="V116" s="79" t="str">
        <f>+IFERROR(VLOOKUP(CONCATENATE(A116,$F$10,F116),'ID1&amp;5'!B:J,9,FALSE),"-")</f>
        <v>-</v>
      </c>
      <c r="W116" s="26" t="str">
        <f>+IFERROR(VLOOKUP(A116,'ID6&amp;7'!A:I,9,FALSE),"-")</f>
        <v>-</v>
      </c>
      <c r="X116" s="26" t="str">
        <f>+IFERROR(VLOOKUP(A116,'ID6&amp;7'!A:J,10,FALSE),"-")</f>
        <v>-</v>
      </c>
      <c r="Y116" s="26"/>
      <c r="Z116" s="27" t="str">
        <f t="shared" si="2"/>
        <v>Em testes</v>
      </c>
      <c r="AA116" s="65"/>
    </row>
    <row r="117" spans="1:27">
      <c r="A117" s="20"/>
      <c r="B117" s="60"/>
      <c r="C117" s="60"/>
      <c r="D117" s="60"/>
      <c r="E117" s="60"/>
      <c r="F117" s="60"/>
      <c r="G117" s="60"/>
      <c r="H117" s="65" t="s">
        <v>113</v>
      </c>
      <c r="I117" s="21" t="s">
        <v>642</v>
      </c>
      <c r="J117" s="26">
        <f>+COUNTIF('ID1&amp;5'!G:G,'1. Status'!I117)</f>
        <v>0</v>
      </c>
      <c r="K117" s="79" t="str">
        <f>+IFERROR(VLOOKUP(CONCATENATE(A117,$B$10,B117),'ID1&amp;5'!B:J,8,FALSE),"-")</f>
        <v>-</v>
      </c>
      <c r="L117" s="78" t="str">
        <f>+IFERROR(VLOOKUP(B117,'ID1&amp;5'!K:L,2,FALSE),"-")</f>
        <v>-</v>
      </c>
      <c r="M117" s="79" t="str">
        <f>+IFERROR(VLOOKUP(CONCATENATE(A117,$B$10,B117),'ID1&amp;5'!B:J,9,FALSE),"-")</f>
        <v>-</v>
      </c>
      <c r="N117" s="79" t="str">
        <f>+IFERROR(VLOOKUP(CONCATENATE(A117,$C$10,C117),'ID1&amp;5'!B:J,8,FALSE),"-")</f>
        <v>-</v>
      </c>
      <c r="O117" s="78" t="str">
        <f>+IFERROR(VLOOKUP(C117,'ID1&amp;5'!K:L,2,FALSE),"-")</f>
        <v>-</v>
      </c>
      <c r="P117" s="79" t="str">
        <f>+IFERROR(VLOOKUP(CONCATENATE(A117,$C$10,C117),'ID1&amp;5'!B:J,9,FALSE),"-")</f>
        <v>-</v>
      </c>
      <c r="Q117" s="78" t="str">
        <f>+IFERROR(VLOOKUP(D117,'ID1&amp;5'!K:L,2,FALSE),"-")</f>
        <v>-</v>
      </c>
      <c r="R117" s="26" t="str">
        <f>+IFERROR(VLOOKUP(CONCATENATE(A117,$D$10,D117),'ID1&amp;5'!B:J,9,FALSE),"-")</f>
        <v>-</v>
      </c>
      <c r="S117" s="78" t="str">
        <f>+IFERROR(VLOOKUP(E117,'ID1&amp;5'!K:L,2,FALSE),"-")</f>
        <v>-</v>
      </c>
      <c r="T117" s="79" t="str">
        <f>+IFERROR(VLOOKUP(CONCATENATE(A117,$E$10,E117),'ID1&amp;5'!B:J,9,FALSE),"-")</f>
        <v>-</v>
      </c>
      <c r="U117" s="78" t="str">
        <f>+IFERROR(VLOOKUP(F117,'ID1&amp;5'!K:L,2,FALSE),"-")</f>
        <v>-</v>
      </c>
      <c r="V117" s="79" t="str">
        <f>+IFERROR(VLOOKUP(CONCATENATE(A117,$F$10,F117),'ID1&amp;5'!B:J,9,FALSE),"-")</f>
        <v>-</v>
      </c>
      <c r="W117" s="26" t="str">
        <f>+IFERROR(VLOOKUP(A117,'ID6&amp;7'!A:I,9,FALSE),"-")</f>
        <v>-</v>
      </c>
      <c r="X117" s="26" t="str">
        <f>+IFERROR(VLOOKUP(A117,'ID6&amp;7'!A:J,10,FALSE),"-")</f>
        <v>-</v>
      </c>
      <c r="Y117" s="26"/>
      <c r="Z117" s="27" t="str">
        <f t="shared" si="2"/>
        <v>Por iniciar</v>
      </c>
      <c r="AA117" s="65"/>
    </row>
    <row r="118" spans="1:27">
      <c r="A118" s="20"/>
      <c r="B118" s="60"/>
      <c r="C118" s="60"/>
      <c r="D118" s="60"/>
      <c r="E118" s="60"/>
      <c r="F118" s="60"/>
      <c r="G118" s="60"/>
      <c r="H118" s="65" t="s">
        <v>113</v>
      </c>
      <c r="I118" s="21" t="s">
        <v>643</v>
      </c>
      <c r="J118" s="26">
        <f>+COUNTIF('ID1&amp;5'!G:G,'1. Status'!I118)</f>
        <v>1</v>
      </c>
      <c r="K118" s="79" t="str">
        <f>+IFERROR(VLOOKUP(CONCATENATE(A118,$B$10,B118),'ID1&amp;5'!B:J,8,FALSE),"-")</f>
        <v>-</v>
      </c>
      <c r="L118" s="78" t="str">
        <f>+IFERROR(VLOOKUP(B118,'ID1&amp;5'!K:L,2,FALSE),"-")</f>
        <v>-</v>
      </c>
      <c r="M118" s="79" t="str">
        <f>+IFERROR(VLOOKUP(CONCATENATE(A118,$B$10,B118),'ID1&amp;5'!B:J,9,FALSE),"-")</f>
        <v>-</v>
      </c>
      <c r="N118" s="79" t="str">
        <f>+IFERROR(VLOOKUP(CONCATENATE(A118,$C$10,C118),'ID1&amp;5'!B:J,8,FALSE),"-")</f>
        <v>-</v>
      </c>
      <c r="O118" s="78" t="str">
        <f>+IFERROR(VLOOKUP(C118,'ID1&amp;5'!K:L,2,FALSE),"-")</f>
        <v>-</v>
      </c>
      <c r="P118" s="79" t="str">
        <f>+IFERROR(VLOOKUP(CONCATENATE(A118,$C$10,C118),'ID1&amp;5'!B:J,9,FALSE),"-")</f>
        <v>-</v>
      </c>
      <c r="Q118" s="78" t="str">
        <f>+IFERROR(VLOOKUP(D118,'ID1&amp;5'!K:L,2,FALSE),"-")</f>
        <v>-</v>
      </c>
      <c r="R118" s="26" t="str">
        <f>+IFERROR(VLOOKUP(CONCATENATE(A118,$D$10,D118),'ID1&amp;5'!B:J,9,FALSE),"-")</f>
        <v>-</v>
      </c>
      <c r="S118" s="78" t="str">
        <f>+IFERROR(VLOOKUP(E118,'ID1&amp;5'!K:L,2,FALSE),"-")</f>
        <v>-</v>
      </c>
      <c r="T118" s="79" t="str">
        <f>+IFERROR(VLOOKUP(CONCATENATE(A118,$E$10,E118),'ID1&amp;5'!B:J,9,FALSE),"-")</f>
        <v>-</v>
      </c>
      <c r="U118" s="78" t="str">
        <f>+IFERROR(VLOOKUP(F118,'ID1&amp;5'!K:L,2,FALSE),"-")</f>
        <v>-</v>
      </c>
      <c r="V118" s="79" t="str">
        <f>+IFERROR(VLOOKUP(CONCATENATE(A118,$F$10,F118),'ID1&amp;5'!B:J,9,FALSE),"-")</f>
        <v>-</v>
      </c>
      <c r="W118" s="26" t="str">
        <f>+IFERROR(VLOOKUP(A118,'ID6&amp;7'!A:I,9,FALSE),"-")</f>
        <v>-</v>
      </c>
      <c r="X118" s="26" t="str">
        <f>+IFERROR(VLOOKUP(A118,'ID6&amp;7'!A:J,10,FALSE),"-")</f>
        <v>-</v>
      </c>
      <c r="Y118" s="26"/>
      <c r="Z118" s="27" t="str">
        <f t="shared" si="2"/>
        <v>Em testes</v>
      </c>
      <c r="AA118" s="65"/>
    </row>
    <row r="119" spans="1:27">
      <c r="A119" s="20"/>
      <c r="B119" s="60"/>
      <c r="C119" s="60"/>
      <c r="D119" s="60"/>
      <c r="E119" s="60"/>
      <c r="F119" s="60"/>
      <c r="G119" s="60"/>
      <c r="H119" s="65" t="s">
        <v>113</v>
      </c>
      <c r="I119" s="21" t="s">
        <v>1174</v>
      </c>
      <c r="J119" s="26">
        <f>+COUNTIF('ID1&amp;5'!G:G,'1. Status'!I119)</f>
        <v>1</v>
      </c>
      <c r="K119" s="79" t="str">
        <f>+IFERROR(VLOOKUP(CONCATENATE(A119,$B$10,B119),'ID1&amp;5'!B:J,8,FALSE),"-")</f>
        <v>-</v>
      </c>
      <c r="L119" s="78" t="str">
        <f>+IFERROR(VLOOKUP(B119,'ID1&amp;5'!K:L,2,FALSE),"-")</f>
        <v>-</v>
      </c>
      <c r="M119" s="79" t="str">
        <f>+IFERROR(VLOOKUP(CONCATENATE(A119,$B$10,B119),'ID1&amp;5'!B:J,9,FALSE),"-")</f>
        <v>-</v>
      </c>
      <c r="N119" s="79" t="str">
        <f>+IFERROR(VLOOKUP(CONCATENATE(A119,$C$10,C119),'ID1&amp;5'!B:J,8,FALSE),"-")</f>
        <v>-</v>
      </c>
      <c r="O119" s="78" t="str">
        <f>+IFERROR(VLOOKUP(C119,'ID1&amp;5'!K:L,2,FALSE),"-")</f>
        <v>-</v>
      </c>
      <c r="P119" s="79" t="str">
        <f>+IFERROR(VLOOKUP(CONCATENATE(A119,$C$10,C119),'ID1&amp;5'!B:J,9,FALSE),"-")</f>
        <v>-</v>
      </c>
      <c r="Q119" s="78" t="str">
        <f>+IFERROR(VLOOKUP(D119,'ID1&amp;5'!K:L,2,FALSE),"-")</f>
        <v>-</v>
      </c>
      <c r="R119" s="26" t="str">
        <f>+IFERROR(VLOOKUP(CONCATENATE(A119,$D$10,D119),'ID1&amp;5'!B:J,9,FALSE),"-")</f>
        <v>-</v>
      </c>
      <c r="S119" s="78" t="str">
        <f>+IFERROR(VLOOKUP(E119,'ID1&amp;5'!K:L,2,FALSE),"-")</f>
        <v>-</v>
      </c>
      <c r="T119" s="79" t="str">
        <f>+IFERROR(VLOOKUP(CONCATENATE(A119,$E$10,E119),'ID1&amp;5'!B:J,9,FALSE),"-")</f>
        <v>-</v>
      </c>
      <c r="U119" s="78" t="str">
        <f>+IFERROR(VLOOKUP(F119,'ID1&amp;5'!K:L,2,FALSE),"-")</f>
        <v>-</v>
      </c>
      <c r="V119" s="79" t="str">
        <f>+IFERROR(VLOOKUP(CONCATENATE(A119,$F$10,F119),'ID1&amp;5'!B:J,9,FALSE),"-")</f>
        <v>-</v>
      </c>
      <c r="W119" s="26" t="str">
        <f>+IFERROR(VLOOKUP(A119,'ID6&amp;7'!A:I,9,FALSE),"-")</f>
        <v>-</v>
      </c>
      <c r="X119" s="26" t="str">
        <f>+IFERROR(VLOOKUP(A119,'ID6&amp;7'!A:J,10,FALSE),"-")</f>
        <v>-</v>
      </c>
      <c r="Y119" s="26"/>
      <c r="Z119" s="27" t="str">
        <f t="shared" si="2"/>
        <v>Em testes</v>
      </c>
      <c r="AA119" s="65"/>
    </row>
    <row r="120" spans="1:27">
      <c r="A120" s="20"/>
      <c r="B120" s="60"/>
      <c r="C120" s="60"/>
      <c r="D120" s="60"/>
      <c r="E120" s="60"/>
      <c r="F120" s="60"/>
      <c r="G120" s="60"/>
      <c r="H120" s="65" t="s">
        <v>113</v>
      </c>
      <c r="I120" s="21" t="s">
        <v>1175</v>
      </c>
      <c r="J120" s="26">
        <f>+COUNTIF('ID1&amp;5'!G:G,'1. Status'!I120)</f>
        <v>0</v>
      </c>
      <c r="K120" s="79" t="str">
        <f>+IFERROR(VLOOKUP(CONCATENATE(A120,$B$10,B120),'ID1&amp;5'!B:J,8,FALSE),"-")</f>
        <v>-</v>
      </c>
      <c r="L120" s="78" t="str">
        <f>+IFERROR(VLOOKUP(B120,'ID1&amp;5'!K:L,2,FALSE),"-")</f>
        <v>-</v>
      </c>
      <c r="M120" s="79" t="str">
        <f>+IFERROR(VLOOKUP(CONCATENATE(A120,$B$10,B120),'ID1&amp;5'!B:J,9,FALSE),"-")</f>
        <v>-</v>
      </c>
      <c r="N120" s="79" t="str">
        <f>+IFERROR(VLOOKUP(CONCATENATE(A120,$C$10,C120),'ID1&amp;5'!B:J,8,FALSE),"-")</f>
        <v>-</v>
      </c>
      <c r="O120" s="78" t="str">
        <f>+IFERROR(VLOOKUP(C120,'ID1&amp;5'!K:L,2,FALSE),"-")</f>
        <v>-</v>
      </c>
      <c r="P120" s="79" t="str">
        <f>+IFERROR(VLOOKUP(CONCATENATE(A120,$C$10,C120),'ID1&amp;5'!B:J,9,FALSE),"-")</f>
        <v>-</v>
      </c>
      <c r="Q120" s="78" t="str">
        <f>+IFERROR(VLOOKUP(D120,'ID1&amp;5'!K:L,2,FALSE),"-")</f>
        <v>-</v>
      </c>
      <c r="R120" s="26" t="str">
        <f>+IFERROR(VLOOKUP(CONCATENATE(A120,$D$10,D120),'ID1&amp;5'!B:J,9,FALSE),"-")</f>
        <v>-</v>
      </c>
      <c r="S120" s="78" t="str">
        <f>+IFERROR(VLOOKUP(E120,'ID1&amp;5'!K:L,2,FALSE),"-")</f>
        <v>-</v>
      </c>
      <c r="T120" s="79" t="str">
        <f>+IFERROR(VLOOKUP(CONCATENATE(A120,$E$10,E120),'ID1&amp;5'!B:J,9,FALSE),"-")</f>
        <v>-</v>
      </c>
      <c r="U120" s="78" t="str">
        <f>+IFERROR(VLOOKUP(F120,'ID1&amp;5'!K:L,2,FALSE),"-")</f>
        <v>-</v>
      </c>
      <c r="V120" s="79" t="str">
        <f>+IFERROR(VLOOKUP(CONCATENATE(A120,$F$10,F120),'ID1&amp;5'!B:J,9,FALSE),"-")</f>
        <v>-</v>
      </c>
      <c r="W120" s="26" t="str">
        <f>+IFERROR(VLOOKUP(A120,'ID6&amp;7'!A:I,9,FALSE),"-")</f>
        <v>-</v>
      </c>
      <c r="X120" s="26" t="str">
        <f>+IFERROR(VLOOKUP(A120,'ID6&amp;7'!A:J,10,FALSE),"-")</f>
        <v>-</v>
      </c>
      <c r="Y120" s="26"/>
      <c r="Z120" s="27" t="str">
        <f t="shared" si="2"/>
        <v>Por iniciar</v>
      </c>
      <c r="AA120" s="65"/>
    </row>
    <row r="121" spans="1:27">
      <c r="A121" s="20"/>
      <c r="B121" s="60"/>
      <c r="C121" s="60"/>
      <c r="D121" s="60"/>
      <c r="E121" s="60"/>
      <c r="F121" s="60"/>
      <c r="G121" s="60"/>
      <c r="H121" s="65" t="s">
        <v>113</v>
      </c>
      <c r="I121" s="21" t="s">
        <v>1176</v>
      </c>
      <c r="J121" s="26">
        <f>+COUNTIF('ID1&amp;5'!G:G,'1. Status'!I121)</f>
        <v>0</v>
      </c>
      <c r="K121" s="79" t="str">
        <f>+IFERROR(VLOOKUP(CONCATENATE(A121,$B$10,B121),'ID1&amp;5'!B:J,8,FALSE),"-")</f>
        <v>-</v>
      </c>
      <c r="L121" s="78" t="str">
        <f>+IFERROR(VLOOKUP(B121,'ID1&amp;5'!K:L,2,FALSE),"-")</f>
        <v>-</v>
      </c>
      <c r="M121" s="79" t="str">
        <f>+IFERROR(VLOOKUP(CONCATENATE(A121,$B$10,B121),'ID1&amp;5'!B:J,9,FALSE),"-")</f>
        <v>-</v>
      </c>
      <c r="N121" s="79" t="str">
        <f>+IFERROR(VLOOKUP(CONCATENATE(A121,$C$10,C121),'ID1&amp;5'!B:J,8,FALSE),"-")</f>
        <v>-</v>
      </c>
      <c r="O121" s="78" t="str">
        <f>+IFERROR(VLOOKUP(C121,'ID1&amp;5'!K:L,2,FALSE),"-")</f>
        <v>-</v>
      </c>
      <c r="P121" s="79" t="str">
        <f>+IFERROR(VLOOKUP(CONCATENATE(A121,$C$10,C121),'ID1&amp;5'!B:J,9,FALSE),"-")</f>
        <v>-</v>
      </c>
      <c r="Q121" s="78" t="str">
        <f>+IFERROR(VLOOKUP(D121,'ID1&amp;5'!K:L,2,FALSE),"-")</f>
        <v>-</v>
      </c>
      <c r="R121" s="26" t="str">
        <f>+IFERROR(VLOOKUP(CONCATENATE(A121,$D$10,D121),'ID1&amp;5'!B:J,9,FALSE),"-")</f>
        <v>-</v>
      </c>
      <c r="S121" s="78" t="str">
        <f>+IFERROR(VLOOKUP(E121,'ID1&amp;5'!K:L,2,FALSE),"-")</f>
        <v>-</v>
      </c>
      <c r="T121" s="79" t="str">
        <f>+IFERROR(VLOOKUP(CONCATENATE(A121,$E$10,E121),'ID1&amp;5'!B:J,9,FALSE),"-")</f>
        <v>-</v>
      </c>
      <c r="U121" s="78" t="str">
        <f>+IFERROR(VLOOKUP(F121,'ID1&amp;5'!K:L,2,FALSE),"-")</f>
        <v>-</v>
      </c>
      <c r="V121" s="79" t="str">
        <f>+IFERROR(VLOOKUP(CONCATENATE(A121,$F$10,F121),'ID1&amp;5'!B:J,9,FALSE),"-")</f>
        <v>-</v>
      </c>
      <c r="W121" s="26" t="str">
        <f>+IFERROR(VLOOKUP(A121,'ID6&amp;7'!A:I,9,FALSE),"-")</f>
        <v>-</v>
      </c>
      <c r="X121" s="26" t="str">
        <f>+IFERROR(VLOOKUP(A121,'ID6&amp;7'!A:J,10,FALSE),"-")</f>
        <v>-</v>
      </c>
      <c r="Y121" s="26"/>
      <c r="Z121" s="27" t="str">
        <f t="shared" si="2"/>
        <v>Por iniciar</v>
      </c>
      <c r="AA121" s="65"/>
    </row>
    <row r="122" spans="1:27">
      <c r="A122" s="20"/>
      <c r="B122" s="60"/>
      <c r="C122" s="60"/>
      <c r="D122" s="60"/>
      <c r="E122" s="60"/>
      <c r="F122" s="60"/>
      <c r="G122" s="60"/>
      <c r="H122" s="65" t="s">
        <v>113</v>
      </c>
      <c r="I122" s="21" t="s">
        <v>1177</v>
      </c>
      <c r="J122" s="26">
        <f>+COUNTIF('ID1&amp;5'!G:G,'1. Status'!I122)</f>
        <v>0</v>
      </c>
      <c r="K122" s="79" t="str">
        <f>+IFERROR(VLOOKUP(CONCATENATE(A122,$B$10,B122),'ID1&amp;5'!B:J,8,FALSE),"-")</f>
        <v>-</v>
      </c>
      <c r="L122" s="78" t="str">
        <f>+IFERROR(VLOOKUP(B122,'ID1&amp;5'!K:L,2,FALSE),"-")</f>
        <v>-</v>
      </c>
      <c r="M122" s="79" t="str">
        <f>+IFERROR(VLOOKUP(CONCATENATE(A122,$B$10,B122),'ID1&amp;5'!B:J,9,FALSE),"-")</f>
        <v>-</v>
      </c>
      <c r="N122" s="79" t="str">
        <f>+IFERROR(VLOOKUP(CONCATENATE(A122,$C$10,C122),'ID1&amp;5'!B:J,8,FALSE),"-")</f>
        <v>-</v>
      </c>
      <c r="O122" s="78" t="str">
        <f>+IFERROR(VLOOKUP(C122,'ID1&amp;5'!K:L,2,FALSE),"-")</f>
        <v>-</v>
      </c>
      <c r="P122" s="79" t="str">
        <f>+IFERROR(VLOOKUP(CONCATENATE(A122,$C$10,C122),'ID1&amp;5'!B:J,9,FALSE),"-")</f>
        <v>-</v>
      </c>
      <c r="Q122" s="78" t="str">
        <f>+IFERROR(VLOOKUP(D122,'ID1&amp;5'!K:L,2,FALSE),"-")</f>
        <v>-</v>
      </c>
      <c r="R122" s="26" t="str">
        <f>+IFERROR(VLOOKUP(CONCATENATE(A122,$D$10,D122),'ID1&amp;5'!B:J,9,FALSE),"-")</f>
        <v>-</v>
      </c>
      <c r="S122" s="78" t="str">
        <f>+IFERROR(VLOOKUP(E122,'ID1&amp;5'!K:L,2,FALSE),"-")</f>
        <v>-</v>
      </c>
      <c r="T122" s="79" t="str">
        <f>+IFERROR(VLOOKUP(CONCATENATE(A122,$E$10,E122),'ID1&amp;5'!B:J,9,FALSE),"-")</f>
        <v>-</v>
      </c>
      <c r="U122" s="78" t="str">
        <f>+IFERROR(VLOOKUP(F122,'ID1&amp;5'!K:L,2,FALSE),"-")</f>
        <v>-</v>
      </c>
      <c r="V122" s="79" t="str">
        <f>+IFERROR(VLOOKUP(CONCATENATE(A122,$F$10,F122),'ID1&amp;5'!B:J,9,FALSE),"-")</f>
        <v>-</v>
      </c>
      <c r="W122" s="26" t="str">
        <f>+IFERROR(VLOOKUP(A122,'ID6&amp;7'!A:I,9,FALSE),"-")</f>
        <v>-</v>
      </c>
      <c r="X122" s="26" t="str">
        <f>+IFERROR(VLOOKUP(A122,'ID6&amp;7'!A:J,10,FALSE),"-")</f>
        <v>-</v>
      </c>
      <c r="Y122" s="26"/>
      <c r="Z122" s="27" t="str">
        <f t="shared" si="2"/>
        <v>Por iniciar</v>
      </c>
      <c r="AA122" s="65"/>
    </row>
    <row r="123" spans="1:27">
      <c r="A123" s="20"/>
      <c r="B123" s="60"/>
      <c r="C123" s="60"/>
      <c r="D123" s="60"/>
      <c r="E123" s="60"/>
      <c r="F123" s="60"/>
      <c r="G123" s="60"/>
      <c r="H123" s="65" t="s">
        <v>113</v>
      </c>
      <c r="I123" s="21" t="s">
        <v>1178</v>
      </c>
      <c r="J123" s="26">
        <f>+COUNTIF('ID1&amp;5'!G:G,'1. Status'!I123)</f>
        <v>0</v>
      </c>
      <c r="K123" s="79" t="str">
        <f>+IFERROR(VLOOKUP(CONCATENATE(A123,$B$10,B123),'ID1&amp;5'!B:J,8,FALSE),"-")</f>
        <v>-</v>
      </c>
      <c r="L123" s="78" t="str">
        <f>+IFERROR(VLOOKUP(B123,'ID1&amp;5'!K:L,2,FALSE),"-")</f>
        <v>-</v>
      </c>
      <c r="M123" s="79" t="str">
        <f>+IFERROR(VLOOKUP(CONCATENATE(A123,$B$10,B123),'ID1&amp;5'!B:J,9,FALSE),"-")</f>
        <v>-</v>
      </c>
      <c r="N123" s="79" t="str">
        <f>+IFERROR(VLOOKUP(CONCATENATE(A123,$C$10,C123),'ID1&amp;5'!B:J,8,FALSE),"-")</f>
        <v>-</v>
      </c>
      <c r="O123" s="78" t="str">
        <f>+IFERROR(VLOOKUP(C123,'ID1&amp;5'!K:L,2,FALSE),"-")</f>
        <v>-</v>
      </c>
      <c r="P123" s="79" t="str">
        <f>+IFERROR(VLOOKUP(CONCATENATE(A123,$C$10,C123),'ID1&amp;5'!B:J,9,FALSE),"-")</f>
        <v>-</v>
      </c>
      <c r="Q123" s="78" t="str">
        <f>+IFERROR(VLOOKUP(D123,'ID1&amp;5'!K:L,2,FALSE),"-")</f>
        <v>-</v>
      </c>
      <c r="R123" s="26" t="str">
        <f>+IFERROR(VLOOKUP(CONCATENATE(A123,$D$10,D123),'ID1&amp;5'!B:J,9,FALSE),"-")</f>
        <v>-</v>
      </c>
      <c r="S123" s="78" t="str">
        <f>+IFERROR(VLOOKUP(E123,'ID1&amp;5'!K:L,2,FALSE),"-")</f>
        <v>-</v>
      </c>
      <c r="T123" s="79" t="str">
        <f>+IFERROR(VLOOKUP(CONCATENATE(A123,$E$10,E123),'ID1&amp;5'!B:J,9,FALSE),"-")</f>
        <v>-</v>
      </c>
      <c r="U123" s="78" t="str">
        <f>+IFERROR(VLOOKUP(F123,'ID1&amp;5'!K:L,2,FALSE),"-")</f>
        <v>-</v>
      </c>
      <c r="V123" s="79" t="str">
        <f>+IFERROR(VLOOKUP(CONCATENATE(A123,$F$10,F123),'ID1&amp;5'!B:J,9,FALSE),"-")</f>
        <v>-</v>
      </c>
      <c r="W123" s="26" t="str">
        <f>+IFERROR(VLOOKUP(A123,'ID6&amp;7'!A:I,9,FALSE),"-")</f>
        <v>-</v>
      </c>
      <c r="X123" s="26" t="str">
        <f>+IFERROR(VLOOKUP(A123,'ID6&amp;7'!A:J,10,FALSE),"-")</f>
        <v>-</v>
      </c>
      <c r="Y123" s="26"/>
      <c r="Z123" s="27" t="str">
        <f t="shared" si="2"/>
        <v>Por iniciar</v>
      </c>
      <c r="AA123" s="65"/>
    </row>
    <row r="124" spans="1:27">
      <c r="A124" s="20"/>
      <c r="B124" s="60"/>
      <c r="C124" s="60"/>
      <c r="D124" s="60"/>
      <c r="E124" s="60"/>
      <c r="F124" s="60"/>
      <c r="G124" s="60"/>
      <c r="H124" s="65" t="s">
        <v>113</v>
      </c>
      <c r="I124" s="21" t="s">
        <v>1179</v>
      </c>
      <c r="J124" s="26">
        <f>+COUNTIF('ID1&amp;5'!G:G,'1. Status'!I124)</f>
        <v>1</v>
      </c>
      <c r="K124" s="79" t="str">
        <f>+IFERROR(VLOOKUP(CONCATENATE(A124,$B$10,B124),'ID1&amp;5'!B:J,8,FALSE),"-")</f>
        <v>-</v>
      </c>
      <c r="L124" s="78" t="str">
        <f>+IFERROR(VLOOKUP(B124,'ID1&amp;5'!K:L,2,FALSE),"-")</f>
        <v>-</v>
      </c>
      <c r="M124" s="79" t="str">
        <f>+IFERROR(VLOOKUP(CONCATENATE(A124,$B$10,B124),'ID1&amp;5'!B:J,9,FALSE),"-")</f>
        <v>-</v>
      </c>
      <c r="N124" s="79" t="str">
        <f>+IFERROR(VLOOKUP(CONCATENATE(A124,$C$10,C124),'ID1&amp;5'!B:J,8,FALSE),"-")</f>
        <v>-</v>
      </c>
      <c r="O124" s="78" t="str">
        <f>+IFERROR(VLOOKUP(C124,'ID1&amp;5'!K:L,2,FALSE),"-")</f>
        <v>-</v>
      </c>
      <c r="P124" s="79" t="str">
        <f>+IFERROR(VLOOKUP(CONCATENATE(A124,$C$10,C124),'ID1&amp;5'!B:J,9,FALSE),"-")</f>
        <v>-</v>
      </c>
      <c r="Q124" s="78" t="str">
        <f>+IFERROR(VLOOKUP(D124,'ID1&amp;5'!K:L,2,FALSE),"-")</f>
        <v>-</v>
      </c>
      <c r="R124" s="26" t="str">
        <f>+IFERROR(VLOOKUP(CONCATENATE(A124,$D$10,D124),'ID1&amp;5'!B:J,9,FALSE),"-")</f>
        <v>-</v>
      </c>
      <c r="S124" s="78" t="str">
        <f>+IFERROR(VLOOKUP(E124,'ID1&amp;5'!K:L,2,FALSE),"-")</f>
        <v>-</v>
      </c>
      <c r="T124" s="79" t="str">
        <f>+IFERROR(VLOOKUP(CONCATENATE(A124,$E$10,E124),'ID1&amp;5'!B:J,9,FALSE),"-")</f>
        <v>-</v>
      </c>
      <c r="U124" s="78" t="str">
        <f>+IFERROR(VLOOKUP(F124,'ID1&amp;5'!K:L,2,FALSE),"-")</f>
        <v>-</v>
      </c>
      <c r="V124" s="79" t="str">
        <f>+IFERROR(VLOOKUP(CONCATENATE(A124,$F$10,F124),'ID1&amp;5'!B:J,9,FALSE),"-")</f>
        <v>-</v>
      </c>
      <c r="W124" s="26" t="str">
        <f>+IFERROR(VLOOKUP(A124,'ID6&amp;7'!A:I,9,FALSE),"-")</f>
        <v>-</v>
      </c>
      <c r="X124" s="26" t="str">
        <f>+IFERROR(VLOOKUP(A124,'ID6&amp;7'!A:J,10,FALSE),"-")</f>
        <v>-</v>
      </c>
      <c r="Y124" s="26"/>
      <c r="Z124" s="27" t="str">
        <f t="shared" si="2"/>
        <v>Em testes</v>
      </c>
      <c r="AA124" s="65"/>
    </row>
    <row r="125" spans="1:27">
      <c r="A125" s="20"/>
      <c r="B125" s="60"/>
      <c r="C125" s="60"/>
      <c r="D125" s="60"/>
      <c r="E125" s="60"/>
      <c r="F125" s="60"/>
      <c r="G125" s="60"/>
      <c r="H125" s="65" t="s">
        <v>113</v>
      </c>
      <c r="I125" s="21" t="s">
        <v>1180</v>
      </c>
      <c r="J125" s="26">
        <f>+COUNTIF('ID1&amp;5'!G:G,'1. Status'!I125)</f>
        <v>0</v>
      </c>
      <c r="K125" s="79" t="str">
        <f>+IFERROR(VLOOKUP(CONCATENATE(A125,$B$10,B125),'ID1&amp;5'!B:J,8,FALSE),"-")</f>
        <v>-</v>
      </c>
      <c r="L125" s="78" t="str">
        <f>+IFERROR(VLOOKUP(B125,'ID1&amp;5'!K:L,2,FALSE),"-")</f>
        <v>-</v>
      </c>
      <c r="M125" s="79" t="str">
        <f>+IFERROR(VLOOKUP(CONCATENATE(A125,$B$10,B125),'ID1&amp;5'!B:J,9,FALSE),"-")</f>
        <v>-</v>
      </c>
      <c r="N125" s="79" t="str">
        <f>+IFERROR(VLOOKUP(CONCATENATE(A125,$C$10,C125),'ID1&amp;5'!B:J,8,FALSE),"-")</f>
        <v>-</v>
      </c>
      <c r="O125" s="78" t="str">
        <f>+IFERROR(VLOOKUP(C125,'ID1&amp;5'!K:L,2,FALSE),"-")</f>
        <v>-</v>
      </c>
      <c r="P125" s="79" t="str">
        <f>+IFERROR(VLOOKUP(CONCATENATE(A125,$C$10,C125),'ID1&amp;5'!B:J,9,FALSE),"-")</f>
        <v>-</v>
      </c>
      <c r="Q125" s="78" t="str">
        <f>+IFERROR(VLOOKUP(D125,'ID1&amp;5'!K:L,2,FALSE),"-")</f>
        <v>-</v>
      </c>
      <c r="R125" s="26" t="str">
        <f>+IFERROR(VLOOKUP(CONCATENATE(A125,$D$10,D125),'ID1&amp;5'!B:J,9,FALSE),"-")</f>
        <v>-</v>
      </c>
      <c r="S125" s="78" t="str">
        <f>+IFERROR(VLOOKUP(E125,'ID1&amp;5'!K:L,2,FALSE),"-")</f>
        <v>-</v>
      </c>
      <c r="T125" s="79" t="str">
        <f>+IFERROR(VLOOKUP(CONCATENATE(A125,$E$10,E125),'ID1&amp;5'!B:J,9,FALSE),"-")</f>
        <v>-</v>
      </c>
      <c r="U125" s="78" t="str">
        <f>+IFERROR(VLOOKUP(F125,'ID1&amp;5'!K:L,2,FALSE),"-")</f>
        <v>-</v>
      </c>
      <c r="V125" s="79" t="str">
        <f>+IFERROR(VLOOKUP(CONCATENATE(A125,$F$10,F125),'ID1&amp;5'!B:J,9,FALSE),"-")</f>
        <v>-</v>
      </c>
      <c r="W125" s="26" t="str">
        <f>+IFERROR(VLOOKUP(A125,'ID6&amp;7'!A:I,9,FALSE),"-")</f>
        <v>-</v>
      </c>
      <c r="X125" s="26" t="str">
        <f>+IFERROR(VLOOKUP(A125,'ID6&amp;7'!A:J,10,FALSE),"-")</f>
        <v>-</v>
      </c>
      <c r="Y125" s="26"/>
      <c r="Z125" s="27" t="str">
        <f t="shared" si="2"/>
        <v>Por iniciar</v>
      </c>
      <c r="AA125" s="65"/>
    </row>
    <row r="126" spans="1:27">
      <c r="A126" s="20"/>
      <c r="B126" s="60"/>
      <c r="C126" s="60"/>
      <c r="D126" s="60"/>
      <c r="E126" s="60"/>
      <c r="F126" s="60"/>
      <c r="G126" s="60"/>
      <c r="H126" s="65" t="s">
        <v>113</v>
      </c>
      <c r="I126" s="21" t="s">
        <v>644</v>
      </c>
      <c r="J126" s="26">
        <f>+COUNTIF('ID1&amp;5'!G:G,'1. Status'!I126)</f>
        <v>1</v>
      </c>
      <c r="K126" s="79" t="str">
        <f>+IFERROR(VLOOKUP(CONCATENATE(A126,$B$10,B126),'ID1&amp;5'!B:J,8,FALSE),"-")</f>
        <v>-</v>
      </c>
      <c r="L126" s="78" t="str">
        <f>+IFERROR(VLOOKUP(B126,'ID1&amp;5'!K:L,2,FALSE),"-")</f>
        <v>-</v>
      </c>
      <c r="M126" s="79" t="str">
        <f>+IFERROR(VLOOKUP(CONCATENATE(A126,$B$10,B126),'ID1&amp;5'!B:J,9,FALSE),"-")</f>
        <v>-</v>
      </c>
      <c r="N126" s="79" t="str">
        <f>+IFERROR(VLOOKUP(CONCATENATE(A126,$C$10,C126),'ID1&amp;5'!B:J,8,FALSE),"-")</f>
        <v>-</v>
      </c>
      <c r="O126" s="78" t="str">
        <f>+IFERROR(VLOOKUP(C126,'ID1&amp;5'!K:L,2,FALSE),"-")</f>
        <v>-</v>
      </c>
      <c r="P126" s="79" t="str">
        <f>+IFERROR(VLOOKUP(CONCATENATE(A126,$C$10,C126),'ID1&amp;5'!B:J,9,FALSE),"-")</f>
        <v>-</v>
      </c>
      <c r="Q126" s="78" t="str">
        <f>+IFERROR(VLOOKUP(D126,'ID1&amp;5'!K:L,2,FALSE),"-")</f>
        <v>-</v>
      </c>
      <c r="R126" s="26" t="str">
        <f>+IFERROR(VLOOKUP(CONCATENATE(A126,$D$10,D126),'ID1&amp;5'!B:J,9,FALSE),"-")</f>
        <v>-</v>
      </c>
      <c r="S126" s="78" t="str">
        <f>+IFERROR(VLOOKUP(E126,'ID1&amp;5'!K:L,2,FALSE),"-")</f>
        <v>-</v>
      </c>
      <c r="T126" s="79" t="str">
        <f>+IFERROR(VLOOKUP(CONCATENATE(A126,$E$10,E126),'ID1&amp;5'!B:J,9,FALSE),"-")</f>
        <v>-</v>
      </c>
      <c r="U126" s="78" t="str">
        <f>+IFERROR(VLOOKUP(F126,'ID1&amp;5'!K:L,2,FALSE),"-")</f>
        <v>-</v>
      </c>
      <c r="V126" s="79" t="str">
        <f>+IFERROR(VLOOKUP(CONCATENATE(A126,$F$10,F126),'ID1&amp;5'!B:J,9,FALSE),"-")</f>
        <v>-</v>
      </c>
      <c r="W126" s="26" t="str">
        <f>+IFERROR(VLOOKUP(A126,'ID6&amp;7'!A:I,9,FALSE),"-")</f>
        <v>-</v>
      </c>
      <c r="X126" s="26" t="str">
        <f>+IFERROR(VLOOKUP(A126,'ID6&amp;7'!A:J,10,FALSE),"-")</f>
        <v>-</v>
      </c>
      <c r="Y126" s="26"/>
      <c r="Z126" s="27" t="str">
        <f t="shared" si="2"/>
        <v>Em testes</v>
      </c>
      <c r="AA126" s="65"/>
    </row>
    <row r="127" spans="1:27">
      <c r="A127" s="20"/>
      <c r="B127" s="60"/>
      <c r="C127" s="60"/>
      <c r="D127" s="60"/>
      <c r="E127" s="60"/>
      <c r="F127" s="60"/>
      <c r="G127" s="60"/>
      <c r="H127" s="65" t="s">
        <v>113</v>
      </c>
      <c r="I127" s="21" t="s">
        <v>1181</v>
      </c>
      <c r="J127" s="26">
        <f>+COUNTIF('ID1&amp;5'!G:G,'1. Status'!I127)</f>
        <v>0</v>
      </c>
      <c r="K127" s="79" t="str">
        <f>+IFERROR(VLOOKUP(CONCATENATE(A127,$B$10,B127),'ID1&amp;5'!B:J,8,FALSE),"-")</f>
        <v>-</v>
      </c>
      <c r="L127" s="78" t="str">
        <f>+IFERROR(VLOOKUP(B127,'ID1&amp;5'!K:L,2,FALSE),"-")</f>
        <v>-</v>
      </c>
      <c r="M127" s="79" t="str">
        <f>+IFERROR(VLOOKUP(CONCATENATE(A127,$B$10,B127),'ID1&amp;5'!B:J,9,FALSE),"-")</f>
        <v>-</v>
      </c>
      <c r="N127" s="79" t="str">
        <f>+IFERROR(VLOOKUP(CONCATENATE(A127,$C$10,C127),'ID1&amp;5'!B:J,8,FALSE),"-")</f>
        <v>-</v>
      </c>
      <c r="O127" s="78" t="str">
        <f>+IFERROR(VLOOKUP(C127,'ID1&amp;5'!K:L,2,FALSE),"-")</f>
        <v>-</v>
      </c>
      <c r="P127" s="79" t="str">
        <f>+IFERROR(VLOOKUP(CONCATENATE(A127,$C$10,C127),'ID1&amp;5'!B:J,9,FALSE),"-")</f>
        <v>-</v>
      </c>
      <c r="Q127" s="78" t="str">
        <f>+IFERROR(VLOOKUP(D127,'ID1&amp;5'!K:L,2,FALSE),"-")</f>
        <v>-</v>
      </c>
      <c r="R127" s="26" t="str">
        <f>+IFERROR(VLOOKUP(CONCATENATE(A127,$D$10,D127),'ID1&amp;5'!B:J,9,FALSE),"-")</f>
        <v>-</v>
      </c>
      <c r="S127" s="78" t="str">
        <f>+IFERROR(VLOOKUP(E127,'ID1&amp;5'!K:L,2,FALSE),"-")</f>
        <v>-</v>
      </c>
      <c r="T127" s="79" t="str">
        <f>+IFERROR(VLOOKUP(CONCATENATE(A127,$E$10,E127),'ID1&amp;5'!B:J,9,FALSE),"-")</f>
        <v>-</v>
      </c>
      <c r="U127" s="78" t="str">
        <f>+IFERROR(VLOOKUP(F127,'ID1&amp;5'!K:L,2,FALSE),"-")</f>
        <v>-</v>
      </c>
      <c r="V127" s="79" t="str">
        <f>+IFERROR(VLOOKUP(CONCATENATE(A127,$F$10,F127),'ID1&amp;5'!B:J,9,FALSE),"-")</f>
        <v>-</v>
      </c>
      <c r="W127" s="26" t="str">
        <f>+IFERROR(VLOOKUP(A127,'ID6&amp;7'!A:I,9,FALSE),"-")</f>
        <v>-</v>
      </c>
      <c r="X127" s="26" t="str">
        <f>+IFERROR(VLOOKUP(A127,'ID6&amp;7'!A:J,10,FALSE),"-")</f>
        <v>-</v>
      </c>
      <c r="Y127" s="26"/>
      <c r="Z127" s="27" t="str">
        <f t="shared" si="2"/>
        <v>Por iniciar</v>
      </c>
      <c r="AA127" s="65"/>
    </row>
    <row r="128" spans="1:27">
      <c r="A128" s="20"/>
      <c r="B128" s="60"/>
      <c r="C128" s="60"/>
      <c r="D128" s="60"/>
      <c r="E128" s="60"/>
      <c r="F128" s="60"/>
      <c r="G128" s="60"/>
      <c r="H128" s="65" t="s">
        <v>113</v>
      </c>
      <c r="I128" s="21" t="s">
        <v>1182</v>
      </c>
      <c r="J128" s="26">
        <f>+COUNTIF('ID1&amp;5'!G:G,'1. Status'!I128)</f>
        <v>0</v>
      </c>
      <c r="K128" s="79" t="str">
        <f>+IFERROR(VLOOKUP(CONCATENATE(A128,$B$10,B128),'ID1&amp;5'!B:J,8,FALSE),"-")</f>
        <v>-</v>
      </c>
      <c r="L128" s="78" t="str">
        <f>+IFERROR(VLOOKUP(B128,'ID1&amp;5'!K:L,2,FALSE),"-")</f>
        <v>-</v>
      </c>
      <c r="M128" s="79" t="str">
        <f>+IFERROR(VLOOKUP(CONCATENATE(A128,$B$10,B128),'ID1&amp;5'!B:J,9,FALSE),"-")</f>
        <v>-</v>
      </c>
      <c r="N128" s="79" t="str">
        <f>+IFERROR(VLOOKUP(CONCATENATE(A128,$C$10,C128),'ID1&amp;5'!B:J,8,FALSE),"-")</f>
        <v>-</v>
      </c>
      <c r="O128" s="78" t="str">
        <f>+IFERROR(VLOOKUP(C128,'ID1&amp;5'!K:L,2,FALSE),"-")</f>
        <v>-</v>
      </c>
      <c r="P128" s="79" t="str">
        <f>+IFERROR(VLOOKUP(CONCATENATE(A128,$C$10,C128),'ID1&amp;5'!B:J,9,FALSE),"-")</f>
        <v>-</v>
      </c>
      <c r="Q128" s="78" t="str">
        <f>+IFERROR(VLOOKUP(D128,'ID1&amp;5'!K:L,2,FALSE),"-")</f>
        <v>-</v>
      </c>
      <c r="R128" s="26" t="str">
        <f>+IFERROR(VLOOKUP(CONCATENATE(A128,$D$10,D128),'ID1&amp;5'!B:J,9,FALSE),"-")</f>
        <v>-</v>
      </c>
      <c r="S128" s="78" t="str">
        <f>+IFERROR(VLOOKUP(E128,'ID1&amp;5'!K:L,2,FALSE),"-")</f>
        <v>-</v>
      </c>
      <c r="T128" s="79" t="str">
        <f>+IFERROR(VLOOKUP(CONCATENATE(A128,$E$10,E128),'ID1&amp;5'!B:J,9,FALSE),"-")</f>
        <v>-</v>
      </c>
      <c r="U128" s="78" t="str">
        <f>+IFERROR(VLOOKUP(F128,'ID1&amp;5'!K:L,2,FALSE),"-")</f>
        <v>-</v>
      </c>
      <c r="V128" s="79" t="str">
        <f>+IFERROR(VLOOKUP(CONCATENATE(A128,$F$10,F128),'ID1&amp;5'!B:J,9,FALSE),"-")</f>
        <v>-</v>
      </c>
      <c r="W128" s="26" t="str">
        <f>+IFERROR(VLOOKUP(A128,'ID6&amp;7'!A:I,9,FALSE),"-")</f>
        <v>-</v>
      </c>
      <c r="X128" s="26" t="str">
        <f>+IFERROR(VLOOKUP(A128,'ID6&amp;7'!A:J,10,FALSE),"-")</f>
        <v>-</v>
      </c>
      <c r="Y128" s="26"/>
      <c r="Z128" s="27" t="str">
        <f t="shared" ref="Z128:Z191" si="3">+IF(J128=0,"Por iniciar",IF(OR(K128="-",M128="-",P128="-",R128="-",T128="-",V128="-"),"Em testes",IF(AND(M128=0,P128=0,R128=0,T128&lt;&gt;K128,V128&lt;&gt;K128),"OK","NOK")))</f>
        <v>Por iniciar</v>
      </c>
      <c r="AA128" s="65"/>
    </row>
    <row r="129" spans="1:27">
      <c r="A129" s="20"/>
      <c r="B129" s="60"/>
      <c r="C129" s="60"/>
      <c r="D129" s="60"/>
      <c r="E129" s="60"/>
      <c r="F129" s="60"/>
      <c r="G129" s="60"/>
      <c r="H129" s="65" t="s">
        <v>113</v>
      </c>
      <c r="I129" s="21" t="s">
        <v>292</v>
      </c>
      <c r="J129" s="26">
        <f>+COUNTIF('ID1&amp;5'!G:G,'1. Status'!I129)</f>
        <v>0</v>
      </c>
      <c r="K129" s="79" t="str">
        <f>+IFERROR(VLOOKUP(CONCATENATE(A129,$B$10,B129),'ID1&amp;5'!B:J,8,FALSE),"-")</f>
        <v>-</v>
      </c>
      <c r="L129" s="78" t="str">
        <f>+IFERROR(VLOOKUP(B129,'ID1&amp;5'!K:L,2,FALSE),"-")</f>
        <v>-</v>
      </c>
      <c r="M129" s="79" t="str">
        <f>+IFERROR(VLOOKUP(CONCATENATE(A129,$B$10,B129),'ID1&amp;5'!B:J,9,FALSE),"-")</f>
        <v>-</v>
      </c>
      <c r="N129" s="79" t="str">
        <f>+IFERROR(VLOOKUP(CONCATENATE(A129,$C$10,C129),'ID1&amp;5'!B:J,8,FALSE),"-")</f>
        <v>-</v>
      </c>
      <c r="O129" s="78" t="str">
        <f>+IFERROR(VLOOKUP(C129,'ID1&amp;5'!K:L,2,FALSE),"-")</f>
        <v>-</v>
      </c>
      <c r="P129" s="79" t="str">
        <f>+IFERROR(VLOOKUP(CONCATENATE(A129,$C$10,C129),'ID1&amp;5'!B:J,9,FALSE),"-")</f>
        <v>-</v>
      </c>
      <c r="Q129" s="78" t="str">
        <f>+IFERROR(VLOOKUP(D129,'ID1&amp;5'!K:L,2,FALSE),"-")</f>
        <v>-</v>
      </c>
      <c r="R129" s="26" t="str">
        <f>+IFERROR(VLOOKUP(CONCATENATE(A129,$D$10,D129),'ID1&amp;5'!B:J,9,FALSE),"-")</f>
        <v>-</v>
      </c>
      <c r="S129" s="78" t="str">
        <f>+IFERROR(VLOOKUP(E129,'ID1&amp;5'!K:L,2,FALSE),"-")</f>
        <v>-</v>
      </c>
      <c r="T129" s="79" t="str">
        <f>+IFERROR(VLOOKUP(CONCATENATE(A129,$E$10,E129),'ID1&amp;5'!B:J,9,FALSE),"-")</f>
        <v>-</v>
      </c>
      <c r="U129" s="78" t="str">
        <f>+IFERROR(VLOOKUP(F129,'ID1&amp;5'!K:L,2,FALSE),"-")</f>
        <v>-</v>
      </c>
      <c r="V129" s="79" t="str">
        <f>+IFERROR(VLOOKUP(CONCATENATE(A129,$F$10,F129),'ID1&amp;5'!B:J,9,FALSE),"-")</f>
        <v>-</v>
      </c>
      <c r="W129" s="26" t="str">
        <f>+IFERROR(VLOOKUP(A129,'ID6&amp;7'!A:I,9,FALSE),"-")</f>
        <v>-</v>
      </c>
      <c r="X129" s="26" t="str">
        <f>+IFERROR(VLOOKUP(A129,'ID6&amp;7'!A:J,10,FALSE),"-")</f>
        <v>-</v>
      </c>
      <c r="Y129" s="26"/>
      <c r="Z129" s="27" t="str">
        <f t="shared" si="3"/>
        <v>Por iniciar</v>
      </c>
      <c r="AA129" s="65"/>
    </row>
    <row r="130" spans="1:27">
      <c r="A130" s="20"/>
      <c r="B130" s="60"/>
      <c r="C130" s="60"/>
      <c r="D130" s="60"/>
      <c r="E130" s="60"/>
      <c r="F130" s="60"/>
      <c r="G130" s="60"/>
      <c r="H130" s="65" t="s">
        <v>113</v>
      </c>
      <c r="I130" s="21" t="s">
        <v>1183</v>
      </c>
      <c r="J130" s="26">
        <f>+COUNTIF('ID1&amp;5'!G:G,'1. Status'!I130)</f>
        <v>0</v>
      </c>
      <c r="K130" s="79" t="str">
        <f>+IFERROR(VLOOKUP(CONCATENATE(A130,$B$10,B130),'ID1&amp;5'!B:J,8,FALSE),"-")</f>
        <v>-</v>
      </c>
      <c r="L130" s="78" t="str">
        <f>+IFERROR(VLOOKUP(B130,'ID1&amp;5'!K:L,2,FALSE),"-")</f>
        <v>-</v>
      </c>
      <c r="M130" s="79" t="str">
        <f>+IFERROR(VLOOKUP(CONCATENATE(A130,$B$10,B130),'ID1&amp;5'!B:J,9,FALSE),"-")</f>
        <v>-</v>
      </c>
      <c r="N130" s="79" t="str">
        <f>+IFERROR(VLOOKUP(CONCATENATE(A130,$C$10,C130),'ID1&amp;5'!B:J,8,FALSE),"-")</f>
        <v>-</v>
      </c>
      <c r="O130" s="78" t="str">
        <f>+IFERROR(VLOOKUP(C130,'ID1&amp;5'!K:L,2,FALSE),"-")</f>
        <v>-</v>
      </c>
      <c r="P130" s="79" t="str">
        <f>+IFERROR(VLOOKUP(CONCATENATE(A130,$C$10,C130),'ID1&amp;5'!B:J,9,FALSE),"-")</f>
        <v>-</v>
      </c>
      <c r="Q130" s="78" t="str">
        <f>+IFERROR(VLOOKUP(D130,'ID1&amp;5'!K:L,2,FALSE),"-")</f>
        <v>-</v>
      </c>
      <c r="R130" s="26" t="str">
        <f>+IFERROR(VLOOKUP(CONCATENATE(A130,$D$10,D130),'ID1&amp;5'!B:J,9,FALSE),"-")</f>
        <v>-</v>
      </c>
      <c r="S130" s="78" t="str">
        <f>+IFERROR(VLOOKUP(E130,'ID1&amp;5'!K:L,2,FALSE),"-")</f>
        <v>-</v>
      </c>
      <c r="T130" s="79" t="str">
        <f>+IFERROR(VLOOKUP(CONCATENATE(A130,$E$10,E130),'ID1&amp;5'!B:J,9,FALSE),"-")</f>
        <v>-</v>
      </c>
      <c r="U130" s="78" t="str">
        <f>+IFERROR(VLOOKUP(F130,'ID1&amp;5'!K:L,2,FALSE),"-")</f>
        <v>-</v>
      </c>
      <c r="V130" s="79" t="str">
        <f>+IFERROR(VLOOKUP(CONCATENATE(A130,$F$10,F130),'ID1&amp;5'!B:J,9,FALSE),"-")</f>
        <v>-</v>
      </c>
      <c r="W130" s="26" t="str">
        <f>+IFERROR(VLOOKUP(A130,'ID6&amp;7'!A:I,9,FALSE),"-")</f>
        <v>-</v>
      </c>
      <c r="X130" s="26" t="str">
        <f>+IFERROR(VLOOKUP(A130,'ID6&amp;7'!A:J,10,FALSE),"-")</f>
        <v>-</v>
      </c>
      <c r="Y130" s="26"/>
      <c r="Z130" s="27" t="str">
        <f t="shared" si="3"/>
        <v>Por iniciar</v>
      </c>
      <c r="AA130" s="65"/>
    </row>
    <row r="131" spans="1:27">
      <c r="A131" s="20"/>
      <c r="B131" s="60"/>
      <c r="C131" s="60"/>
      <c r="D131" s="60"/>
      <c r="E131" s="60"/>
      <c r="F131" s="60"/>
      <c r="G131" s="60"/>
      <c r="H131" s="65" t="s">
        <v>113</v>
      </c>
      <c r="I131" s="21" t="s">
        <v>1184</v>
      </c>
      <c r="J131" s="26">
        <f>+COUNTIF('ID1&amp;5'!G:G,'1. Status'!I131)</f>
        <v>0</v>
      </c>
      <c r="K131" s="79" t="str">
        <f>+IFERROR(VLOOKUP(CONCATENATE(A131,$B$10,B131),'ID1&amp;5'!B:J,8,FALSE),"-")</f>
        <v>-</v>
      </c>
      <c r="L131" s="78" t="str">
        <f>+IFERROR(VLOOKUP(B131,'ID1&amp;5'!K:L,2,FALSE),"-")</f>
        <v>-</v>
      </c>
      <c r="M131" s="79" t="str">
        <f>+IFERROR(VLOOKUP(CONCATENATE(A131,$B$10,B131),'ID1&amp;5'!B:J,9,FALSE),"-")</f>
        <v>-</v>
      </c>
      <c r="N131" s="79" t="str">
        <f>+IFERROR(VLOOKUP(CONCATENATE(A131,$C$10,C131),'ID1&amp;5'!B:J,8,FALSE),"-")</f>
        <v>-</v>
      </c>
      <c r="O131" s="78" t="str">
        <f>+IFERROR(VLOOKUP(C131,'ID1&amp;5'!K:L,2,FALSE),"-")</f>
        <v>-</v>
      </c>
      <c r="P131" s="79" t="str">
        <f>+IFERROR(VLOOKUP(CONCATENATE(A131,$C$10,C131),'ID1&amp;5'!B:J,9,FALSE),"-")</f>
        <v>-</v>
      </c>
      <c r="Q131" s="78" t="str">
        <f>+IFERROR(VLOOKUP(D131,'ID1&amp;5'!K:L,2,FALSE),"-")</f>
        <v>-</v>
      </c>
      <c r="R131" s="26" t="str">
        <f>+IFERROR(VLOOKUP(CONCATENATE(A131,$D$10,D131),'ID1&amp;5'!B:J,9,FALSE),"-")</f>
        <v>-</v>
      </c>
      <c r="S131" s="78" t="str">
        <f>+IFERROR(VLOOKUP(E131,'ID1&amp;5'!K:L,2,FALSE),"-")</f>
        <v>-</v>
      </c>
      <c r="T131" s="79" t="str">
        <f>+IFERROR(VLOOKUP(CONCATENATE(A131,$E$10,E131),'ID1&amp;5'!B:J,9,FALSE),"-")</f>
        <v>-</v>
      </c>
      <c r="U131" s="78" t="str">
        <f>+IFERROR(VLOOKUP(F131,'ID1&amp;5'!K:L,2,FALSE),"-")</f>
        <v>-</v>
      </c>
      <c r="V131" s="79" t="str">
        <f>+IFERROR(VLOOKUP(CONCATENATE(A131,$F$10,F131),'ID1&amp;5'!B:J,9,FALSE),"-")</f>
        <v>-</v>
      </c>
      <c r="W131" s="26" t="str">
        <f>+IFERROR(VLOOKUP(A131,'ID6&amp;7'!A:I,9,FALSE),"-")</f>
        <v>-</v>
      </c>
      <c r="X131" s="26" t="str">
        <f>+IFERROR(VLOOKUP(A131,'ID6&amp;7'!A:J,10,FALSE),"-")</f>
        <v>-</v>
      </c>
      <c r="Y131" s="26"/>
      <c r="Z131" s="27" t="str">
        <f t="shared" si="3"/>
        <v>Por iniciar</v>
      </c>
      <c r="AA131" s="65"/>
    </row>
    <row r="132" spans="1:27">
      <c r="A132" s="20"/>
      <c r="B132" s="60"/>
      <c r="C132" s="60"/>
      <c r="D132" s="60"/>
      <c r="E132" s="60"/>
      <c r="F132" s="60"/>
      <c r="G132" s="60"/>
      <c r="H132" s="65" t="s">
        <v>113</v>
      </c>
      <c r="I132" s="21" t="s">
        <v>1185</v>
      </c>
      <c r="J132" s="26">
        <f>+COUNTIF('ID1&amp;5'!G:G,'1. Status'!I132)</f>
        <v>0</v>
      </c>
      <c r="K132" s="79" t="str">
        <f>+IFERROR(VLOOKUP(CONCATENATE(A132,$B$10,B132),'ID1&amp;5'!B:J,8,FALSE),"-")</f>
        <v>-</v>
      </c>
      <c r="L132" s="78" t="str">
        <f>+IFERROR(VLOOKUP(B132,'ID1&amp;5'!K:L,2,FALSE),"-")</f>
        <v>-</v>
      </c>
      <c r="M132" s="79" t="str">
        <f>+IFERROR(VLOOKUP(CONCATENATE(A132,$B$10,B132),'ID1&amp;5'!B:J,9,FALSE),"-")</f>
        <v>-</v>
      </c>
      <c r="N132" s="79" t="str">
        <f>+IFERROR(VLOOKUP(CONCATENATE(A132,$C$10,C132),'ID1&amp;5'!B:J,8,FALSE),"-")</f>
        <v>-</v>
      </c>
      <c r="O132" s="78" t="str">
        <f>+IFERROR(VLOOKUP(C132,'ID1&amp;5'!K:L,2,FALSE),"-")</f>
        <v>-</v>
      </c>
      <c r="P132" s="79" t="str">
        <f>+IFERROR(VLOOKUP(CONCATENATE(A132,$C$10,C132),'ID1&amp;5'!B:J,9,FALSE),"-")</f>
        <v>-</v>
      </c>
      <c r="Q132" s="78" t="str">
        <f>+IFERROR(VLOOKUP(D132,'ID1&amp;5'!K:L,2,FALSE),"-")</f>
        <v>-</v>
      </c>
      <c r="R132" s="26" t="str">
        <f>+IFERROR(VLOOKUP(CONCATENATE(A132,$D$10,D132),'ID1&amp;5'!B:J,9,FALSE),"-")</f>
        <v>-</v>
      </c>
      <c r="S132" s="78" t="str">
        <f>+IFERROR(VLOOKUP(E132,'ID1&amp;5'!K:L,2,FALSE),"-")</f>
        <v>-</v>
      </c>
      <c r="T132" s="79" t="str">
        <f>+IFERROR(VLOOKUP(CONCATENATE(A132,$E$10,E132),'ID1&amp;5'!B:J,9,FALSE),"-")</f>
        <v>-</v>
      </c>
      <c r="U132" s="78" t="str">
        <f>+IFERROR(VLOOKUP(F132,'ID1&amp;5'!K:L,2,FALSE),"-")</f>
        <v>-</v>
      </c>
      <c r="V132" s="79" t="str">
        <f>+IFERROR(VLOOKUP(CONCATENATE(A132,$F$10,F132),'ID1&amp;5'!B:J,9,FALSE),"-")</f>
        <v>-</v>
      </c>
      <c r="W132" s="26" t="str">
        <f>+IFERROR(VLOOKUP(A132,'ID6&amp;7'!A:I,9,FALSE),"-")</f>
        <v>-</v>
      </c>
      <c r="X132" s="26" t="str">
        <f>+IFERROR(VLOOKUP(A132,'ID6&amp;7'!A:J,10,FALSE),"-")</f>
        <v>-</v>
      </c>
      <c r="Y132" s="26"/>
      <c r="Z132" s="27" t="str">
        <f t="shared" si="3"/>
        <v>Por iniciar</v>
      </c>
      <c r="AA132" s="65"/>
    </row>
    <row r="133" spans="1:27">
      <c r="A133" s="20"/>
      <c r="B133" s="60"/>
      <c r="C133" s="60"/>
      <c r="D133" s="60"/>
      <c r="E133" s="60"/>
      <c r="F133" s="60"/>
      <c r="G133" s="60"/>
      <c r="H133" s="65" t="s">
        <v>113</v>
      </c>
      <c r="I133" s="21" t="s">
        <v>1186</v>
      </c>
      <c r="J133" s="26">
        <f>+COUNTIF('ID1&amp;5'!G:G,'1. Status'!I133)</f>
        <v>0</v>
      </c>
      <c r="K133" s="79" t="str">
        <f>+IFERROR(VLOOKUP(CONCATENATE(A133,$B$10,B133),'ID1&amp;5'!B:J,8,FALSE),"-")</f>
        <v>-</v>
      </c>
      <c r="L133" s="78" t="str">
        <f>+IFERROR(VLOOKUP(B133,'ID1&amp;5'!K:L,2,FALSE),"-")</f>
        <v>-</v>
      </c>
      <c r="M133" s="79" t="str">
        <f>+IFERROR(VLOOKUP(CONCATENATE(A133,$B$10,B133),'ID1&amp;5'!B:J,9,FALSE),"-")</f>
        <v>-</v>
      </c>
      <c r="N133" s="79" t="str">
        <f>+IFERROR(VLOOKUP(CONCATENATE(A133,$C$10,C133),'ID1&amp;5'!B:J,8,FALSE),"-")</f>
        <v>-</v>
      </c>
      <c r="O133" s="78" t="str">
        <f>+IFERROR(VLOOKUP(C133,'ID1&amp;5'!K:L,2,FALSE),"-")</f>
        <v>-</v>
      </c>
      <c r="P133" s="79" t="str">
        <f>+IFERROR(VLOOKUP(CONCATENATE(A133,$C$10,C133),'ID1&amp;5'!B:J,9,FALSE),"-")</f>
        <v>-</v>
      </c>
      <c r="Q133" s="78" t="str">
        <f>+IFERROR(VLOOKUP(D133,'ID1&amp;5'!K:L,2,FALSE),"-")</f>
        <v>-</v>
      </c>
      <c r="R133" s="26" t="str">
        <f>+IFERROR(VLOOKUP(CONCATENATE(A133,$D$10,D133),'ID1&amp;5'!B:J,9,FALSE),"-")</f>
        <v>-</v>
      </c>
      <c r="S133" s="78" t="str">
        <f>+IFERROR(VLOOKUP(E133,'ID1&amp;5'!K:L,2,FALSE),"-")</f>
        <v>-</v>
      </c>
      <c r="T133" s="79" t="str">
        <f>+IFERROR(VLOOKUP(CONCATENATE(A133,$E$10,E133),'ID1&amp;5'!B:J,9,FALSE),"-")</f>
        <v>-</v>
      </c>
      <c r="U133" s="78" t="str">
        <f>+IFERROR(VLOOKUP(F133,'ID1&amp;5'!K:L,2,FALSE),"-")</f>
        <v>-</v>
      </c>
      <c r="V133" s="79" t="str">
        <f>+IFERROR(VLOOKUP(CONCATENATE(A133,$F$10,F133),'ID1&amp;5'!B:J,9,FALSE),"-")</f>
        <v>-</v>
      </c>
      <c r="W133" s="26" t="str">
        <f>+IFERROR(VLOOKUP(A133,'ID6&amp;7'!A:I,9,FALSE),"-")</f>
        <v>-</v>
      </c>
      <c r="X133" s="26" t="str">
        <f>+IFERROR(VLOOKUP(A133,'ID6&amp;7'!A:J,10,FALSE),"-")</f>
        <v>-</v>
      </c>
      <c r="Y133" s="26"/>
      <c r="Z133" s="27" t="str">
        <f t="shared" si="3"/>
        <v>Por iniciar</v>
      </c>
      <c r="AA133" s="65"/>
    </row>
    <row r="134" spans="1:27">
      <c r="A134" s="20"/>
      <c r="B134" s="60"/>
      <c r="C134" s="60"/>
      <c r="D134" s="60"/>
      <c r="E134" s="60"/>
      <c r="F134" s="60"/>
      <c r="G134" s="60"/>
      <c r="H134" s="65" t="s">
        <v>113</v>
      </c>
      <c r="I134" s="21" t="s">
        <v>1187</v>
      </c>
      <c r="J134" s="26">
        <f>+COUNTIF('ID1&amp;5'!G:G,'1. Status'!I134)</f>
        <v>0</v>
      </c>
      <c r="K134" s="79" t="str">
        <f>+IFERROR(VLOOKUP(CONCATENATE(A134,$B$10,B134),'ID1&amp;5'!B:J,8,FALSE),"-")</f>
        <v>-</v>
      </c>
      <c r="L134" s="78" t="str">
        <f>+IFERROR(VLOOKUP(B134,'ID1&amp;5'!K:L,2,FALSE),"-")</f>
        <v>-</v>
      </c>
      <c r="M134" s="79" t="str">
        <f>+IFERROR(VLOOKUP(CONCATENATE(A134,$B$10,B134),'ID1&amp;5'!B:J,9,FALSE),"-")</f>
        <v>-</v>
      </c>
      <c r="N134" s="79" t="str">
        <f>+IFERROR(VLOOKUP(CONCATENATE(A134,$C$10,C134),'ID1&amp;5'!B:J,8,FALSE),"-")</f>
        <v>-</v>
      </c>
      <c r="O134" s="78" t="str">
        <f>+IFERROR(VLOOKUP(C134,'ID1&amp;5'!K:L,2,FALSE),"-")</f>
        <v>-</v>
      </c>
      <c r="P134" s="79" t="str">
        <f>+IFERROR(VLOOKUP(CONCATENATE(A134,$C$10,C134),'ID1&amp;5'!B:J,9,FALSE),"-")</f>
        <v>-</v>
      </c>
      <c r="Q134" s="78" t="str">
        <f>+IFERROR(VLOOKUP(D134,'ID1&amp;5'!K:L,2,FALSE),"-")</f>
        <v>-</v>
      </c>
      <c r="R134" s="26" t="str">
        <f>+IFERROR(VLOOKUP(CONCATENATE(A134,$D$10,D134),'ID1&amp;5'!B:J,9,FALSE),"-")</f>
        <v>-</v>
      </c>
      <c r="S134" s="78" t="str">
        <f>+IFERROR(VLOOKUP(E134,'ID1&amp;5'!K:L,2,FALSE),"-")</f>
        <v>-</v>
      </c>
      <c r="T134" s="79" t="str">
        <f>+IFERROR(VLOOKUP(CONCATENATE(A134,$E$10,E134),'ID1&amp;5'!B:J,9,FALSE),"-")</f>
        <v>-</v>
      </c>
      <c r="U134" s="78" t="str">
        <f>+IFERROR(VLOOKUP(F134,'ID1&amp;5'!K:L,2,FALSE),"-")</f>
        <v>-</v>
      </c>
      <c r="V134" s="79" t="str">
        <f>+IFERROR(VLOOKUP(CONCATENATE(A134,$F$10,F134),'ID1&amp;5'!B:J,9,FALSE),"-")</f>
        <v>-</v>
      </c>
      <c r="W134" s="26" t="str">
        <f>+IFERROR(VLOOKUP(A134,'ID6&amp;7'!A:I,9,FALSE),"-")</f>
        <v>-</v>
      </c>
      <c r="X134" s="26" t="str">
        <f>+IFERROR(VLOOKUP(A134,'ID6&amp;7'!A:J,10,FALSE),"-")</f>
        <v>-</v>
      </c>
      <c r="Y134" s="26"/>
      <c r="Z134" s="27" t="str">
        <f t="shared" si="3"/>
        <v>Por iniciar</v>
      </c>
      <c r="AA134" s="65"/>
    </row>
    <row r="135" spans="1:27">
      <c r="A135" s="20"/>
      <c r="B135" s="60"/>
      <c r="C135" s="60"/>
      <c r="D135" s="60"/>
      <c r="E135" s="60"/>
      <c r="F135" s="60"/>
      <c r="G135" s="60"/>
      <c r="H135" s="65" t="s">
        <v>113</v>
      </c>
      <c r="I135" s="21" t="s">
        <v>300</v>
      </c>
      <c r="J135" s="26">
        <f>+COUNTIF('ID1&amp;5'!G:G,'1. Status'!I135)</f>
        <v>0</v>
      </c>
      <c r="K135" s="79" t="str">
        <f>+IFERROR(VLOOKUP(CONCATENATE(A135,$B$10,B135),'ID1&amp;5'!B:J,8,FALSE),"-")</f>
        <v>-</v>
      </c>
      <c r="L135" s="78" t="str">
        <f>+IFERROR(VLOOKUP(B135,'ID1&amp;5'!K:L,2,FALSE),"-")</f>
        <v>-</v>
      </c>
      <c r="M135" s="79" t="str">
        <f>+IFERROR(VLOOKUP(CONCATENATE(A135,$B$10,B135),'ID1&amp;5'!B:J,9,FALSE),"-")</f>
        <v>-</v>
      </c>
      <c r="N135" s="79" t="str">
        <f>+IFERROR(VLOOKUP(CONCATENATE(A135,$C$10,C135),'ID1&amp;5'!B:J,8,FALSE),"-")</f>
        <v>-</v>
      </c>
      <c r="O135" s="78" t="str">
        <f>+IFERROR(VLOOKUP(C135,'ID1&amp;5'!K:L,2,FALSE),"-")</f>
        <v>-</v>
      </c>
      <c r="P135" s="79" t="str">
        <f>+IFERROR(VLOOKUP(CONCATENATE(A135,$C$10,C135),'ID1&amp;5'!B:J,9,FALSE),"-")</f>
        <v>-</v>
      </c>
      <c r="Q135" s="78" t="str">
        <f>+IFERROR(VLOOKUP(D135,'ID1&amp;5'!K:L,2,FALSE),"-")</f>
        <v>-</v>
      </c>
      <c r="R135" s="26" t="str">
        <f>+IFERROR(VLOOKUP(CONCATENATE(A135,$D$10,D135),'ID1&amp;5'!B:J,9,FALSE),"-")</f>
        <v>-</v>
      </c>
      <c r="S135" s="78" t="str">
        <f>+IFERROR(VLOOKUP(E135,'ID1&amp;5'!K:L,2,FALSE),"-")</f>
        <v>-</v>
      </c>
      <c r="T135" s="79" t="str">
        <f>+IFERROR(VLOOKUP(CONCATENATE(A135,$E$10,E135),'ID1&amp;5'!B:J,9,FALSE),"-")</f>
        <v>-</v>
      </c>
      <c r="U135" s="78" t="str">
        <f>+IFERROR(VLOOKUP(F135,'ID1&amp;5'!K:L,2,FALSE),"-")</f>
        <v>-</v>
      </c>
      <c r="V135" s="79" t="str">
        <f>+IFERROR(VLOOKUP(CONCATENATE(A135,$F$10,F135),'ID1&amp;5'!B:J,9,FALSE),"-")</f>
        <v>-</v>
      </c>
      <c r="W135" s="26" t="str">
        <f>+IFERROR(VLOOKUP(A135,'ID6&amp;7'!A:I,9,FALSE),"-")</f>
        <v>-</v>
      </c>
      <c r="X135" s="26" t="str">
        <f>+IFERROR(VLOOKUP(A135,'ID6&amp;7'!A:J,10,FALSE),"-")</f>
        <v>-</v>
      </c>
      <c r="Y135" s="26"/>
      <c r="Z135" s="27" t="str">
        <f t="shared" si="3"/>
        <v>Por iniciar</v>
      </c>
      <c r="AA135" s="65"/>
    </row>
    <row r="136" spans="1:27">
      <c r="A136" s="20"/>
      <c r="B136" s="60"/>
      <c r="C136" s="60"/>
      <c r="D136" s="60"/>
      <c r="E136" s="60"/>
      <c r="F136" s="60"/>
      <c r="G136" s="60"/>
      <c r="H136" s="65" t="s">
        <v>113</v>
      </c>
      <c r="I136" s="21" t="s">
        <v>1188</v>
      </c>
      <c r="J136" s="26">
        <f>+COUNTIF('ID1&amp;5'!G:G,'1. Status'!I136)</f>
        <v>1</v>
      </c>
      <c r="K136" s="79" t="str">
        <f>+IFERROR(VLOOKUP(CONCATENATE(A136,$B$10,B136),'ID1&amp;5'!B:J,8,FALSE),"-")</f>
        <v>-</v>
      </c>
      <c r="L136" s="78" t="str">
        <f>+IFERROR(VLOOKUP(B136,'ID1&amp;5'!K:L,2,FALSE),"-")</f>
        <v>-</v>
      </c>
      <c r="M136" s="79" t="str">
        <f>+IFERROR(VLOOKUP(CONCATENATE(A136,$B$10,B136),'ID1&amp;5'!B:J,9,FALSE),"-")</f>
        <v>-</v>
      </c>
      <c r="N136" s="79" t="str">
        <f>+IFERROR(VLOOKUP(CONCATENATE(A136,$C$10,C136),'ID1&amp;5'!B:J,8,FALSE),"-")</f>
        <v>-</v>
      </c>
      <c r="O136" s="78" t="str">
        <f>+IFERROR(VLOOKUP(C136,'ID1&amp;5'!K:L,2,FALSE),"-")</f>
        <v>-</v>
      </c>
      <c r="P136" s="79" t="str">
        <f>+IFERROR(VLOOKUP(CONCATENATE(A136,$C$10,C136),'ID1&amp;5'!B:J,9,FALSE),"-")</f>
        <v>-</v>
      </c>
      <c r="Q136" s="78" t="str">
        <f>+IFERROR(VLOOKUP(D136,'ID1&amp;5'!K:L,2,FALSE),"-")</f>
        <v>-</v>
      </c>
      <c r="R136" s="26" t="str">
        <f>+IFERROR(VLOOKUP(CONCATENATE(A136,$D$10,D136),'ID1&amp;5'!B:J,9,FALSE),"-")</f>
        <v>-</v>
      </c>
      <c r="S136" s="78" t="str">
        <f>+IFERROR(VLOOKUP(E136,'ID1&amp;5'!K:L,2,FALSE),"-")</f>
        <v>-</v>
      </c>
      <c r="T136" s="79" t="str">
        <f>+IFERROR(VLOOKUP(CONCATENATE(A136,$E$10,E136),'ID1&amp;5'!B:J,9,FALSE),"-")</f>
        <v>-</v>
      </c>
      <c r="U136" s="78" t="str">
        <f>+IFERROR(VLOOKUP(F136,'ID1&amp;5'!K:L,2,FALSE),"-")</f>
        <v>-</v>
      </c>
      <c r="V136" s="79" t="str">
        <f>+IFERROR(VLOOKUP(CONCATENATE(A136,$F$10,F136),'ID1&amp;5'!B:J,9,FALSE),"-")</f>
        <v>-</v>
      </c>
      <c r="W136" s="26" t="str">
        <f>+IFERROR(VLOOKUP(A136,'ID6&amp;7'!A:I,9,FALSE),"-")</f>
        <v>-</v>
      </c>
      <c r="X136" s="26" t="str">
        <f>+IFERROR(VLOOKUP(A136,'ID6&amp;7'!A:J,10,FALSE),"-")</f>
        <v>-</v>
      </c>
      <c r="Y136" s="26"/>
      <c r="Z136" s="27" t="str">
        <f t="shared" si="3"/>
        <v>Em testes</v>
      </c>
      <c r="AA136" s="65"/>
    </row>
    <row r="137" spans="1:27">
      <c r="A137" s="20"/>
      <c r="B137" s="60"/>
      <c r="C137" s="60"/>
      <c r="D137" s="60"/>
      <c r="E137" s="60"/>
      <c r="F137" s="60"/>
      <c r="G137" s="60"/>
      <c r="H137" s="65" t="s">
        <v>113</v>
      </c>
      <c r="I137" s="21" t="s">
        <v>1189</v>
      </c>
      <c r="J137" s="26">
        <f>+COUNTIF('ID1&amp;5'!G:G,'1. Status'!I137)</f>
        <v>0</v>
      </c>
      <c r="K137" s="79" t="str">
        <f>+IFERROR(VLOOKUP(CONCATENATE(A137,$B$10,B137),'ID1&amp;5'!B:J,8,FALSE),"-")</f>
        <v>-</v>
      </c>
      <c r="L137" s="78" t="str">
        <f>+IFERROR(VLOOKUP(B137,'ID1&amp;5'!K:L,2,FALSE),"-")</f>
        <v>-</v>
      </c>
      <c r="M137" s="79" t="str">
        <f>+IFERROR(VLOOKUP(CONCATENATE(A137,$B$10,B137),'ID1&amp;5'!B:J,9,FALSE),"-")</f>
        <v>-</v>
      </c>
      <c r="N137" s="79" t="str">
        <f>+IFERROR(VLOOKUP(CONCATENATE(A137,$C$10,C137),'ID1&amp;5'!B:J,8,FALSE),"-")</f>
        <v>-</v>
      </c>
      <c r="O137" s="78" t="str">
        <f>+IFERROR(VLOOKUP(C137,'ID1&amp;5'!K:L,2,FALSE),"-")</f>
        <v>-</v>
      </c>
      <c r="P137" s="79" t="str">
        <f>+IFERROR(VLOOKUP(CONCATENATE(A137,$C$10,C137),'ID1&amp;5'!B:J,9,FALSE),"-")</f>
        <v>-</v>
      </c>
      <c r="Q137" s="78" t="str">
        <f>+IFERROR(VLOOKUP(D137,'ID1&amp;5'!K:L,2,FALSE),"-")</f>
        <v>-</v>
      </c>
      <c r="R137" s="26" t="str">
        <f>+IFERROR(VLOOKUP(CONCATENATE(A137,$D$10,D137),'ID1&amp;5'!B:J,9,FALSE),"-")</f>
        <v>-</v>
      </c>
      <c r="S137" s="78" t="str">
        <f>+IFERROR(VLOOKUP(E137,'ID1&amp;5'!K:L,2,FALSE),"-")</f>
        <v>-</v>
      </c>
      <c r="T137" s="79" t="str">
        <f>+IFERROR(VLOOKUP(CONCATENATE(A137,$E$10,E137),'ID1&amp;5'!B:J,9,FALSE),"-")</f>
        <v>-</v>
      </c>
      <c r="U137" s="78" t="str">
        <f>+IFERROR(VLOOKUP(F137,'ID1&amp;5'!K:L,2,FALSE),"-")</f>
        <v>-</v>
      </c>
      <c r="V137" s="79" t="str">
        <f>+IFERROR(VLOOKUP(CONCATENATE(A137,$F$10,F137),'ID1&amp;5'!B:J,9,FALSE),"-")</f>
        <v>-</v>
      </c>
      <c r="W137" s="26" t="str">
        <f>+IFERROR(VLOOKUP(A137,'ID6&amp;7'!A:I,9,FALSE),"-")</f>
        <v>-</v>
      </c>
      <c r="X137" s="26" t="str">
        <f>+IFERROR(VLOOKUP(A137,'ID6&amp;7'!A:J,10,FALSE),"-")</f>
        <v>-</v>
      </c>
      <c r="Y137" s="26"/>
      <c r="Z137" s="27" t="str">
        <f t="shared" si="3"/>
        <v>Por iniciar</v>
      </c>
      <c r="AA137" s="65"/>
    </row>
    <row r="138" spans="1:27">
      <c r="A138" s="20"/>
      <c r="B138" s="60"/>
      <c r="C138" s="60"/>
      <c r="D138" s="60"/>
      <c r="E138" s="60"/>
      <c r="F138" s="60"/>
      <c r="G138" s="60"/>
      <c r="H138" s="65" t="s">
        <v>113</v>
      </c>
      <c r="I138" s="21" t="s">
        <v>1190</v>
      </c>
      <c r="J138" s="26">
        <f>+COUNTIF('ID1&amp;5'!G:G,'1. Status'!I138)</f>
        <v>0</v>
      </c>
      <c r="K138" s="79" t="str">
        <f>+IFERROR(VLOOKUP(CONCATENATE(A138,$B$10,B138),'ID1&amp;5'!B:J,8,FALSE),"-")</f>
        <v>-</v>
      </c>
      <c r="L138" s="78" t="str">
        <f>+IFERROR(VLOOKUP(B138,'ID1&amp;5'!K:L,2,FALSE),"-")</f>
        <v>-</v>
      </c>
      <c r="M138" s="79" t="str">
        <f>+IFERROR(VLOOKUP(CONCATENATE(A138,$B$10,B138),'ID1&amp;5'!B:J,9,FALSE),"-")</f>
        <v>-</v>
      </c>
      <c r="N138" s="79" t="str">
        <f>+IFERROR(VLOOKUP(CONCATENATE(A138,$C$10,C138),'ID1&amp;5'!B:J,8,FALSE),"-")</f>
        <v>-</v>
      </c>
      <c r="O138" s="78" t="str">
        <f>+IFERROR(VLOOKUP(C138,'ID1&amp;5'!K:L,2,FALSE),"-")</f>
        <v>-</v>
      </c>
      <c r="P138" s="79" t="str">
        <f>+IFERROR(VLOOKUP(CONCATENATE(A138,$C$10,C138),'ID1&amp;5'!B:J,9,FALSE),"-")</f>
        <v>-</v>
      </c>
      <c r="Q138" s="78" t="str">
        <f>+IFERROR(VLOOKUP(D138,'ID1&amp;5'!K:L,2,FALSE),"-")</f>
        <v>-</v>
      </c>
      <c r="R138" s="26" t="str">
        <f>+IFERROR(VLOOKUP(CONCATENATE(A138,$D$10,D138),'ID1&amp;5'!B:J,9,FALSE),"-")</f>
        <v>-</v>
      </c>
      <c r="S138" s="78" t="str">
        <f>+IFERROR(VLOOKUP(E138,'ID1&amp;5'!K:L,2,FALSE),"-")</f>
        <v>-</v>
      </c>
      <c r="T138" s="79" t="str">
        <f>+IFERROR(VLOOKUP(CONCATENATE(A138,$E$10,E138),'ID1&amp;5'!B:J,9,FALSE),"-")</f>
        <v>-</v>
      </c>
      <c r="U138" s="78" t="str">
        <f>+IFERROR(VLOOKUP(F138,'ID1&amp;5'!K:L,2,FALSE),"-")</f>
        <v>-</v>
      </c>
      <c r="V138" s="79" t="str">
        <f>+IFERROR(VLOOKUP(CONCATENATE(A138,$F$10,F138),'ID1&amp;5'!B:J,9,FALSE),"-")</f>
        <v>-</v>
      </c>
      <c r="W138" s="26" t="str">
        <f>+IFERROR(VLOOKUP(A138,'ID6&amp;7'!A:I,9,FALSE),"-")</f>
        <v>-</v>
      </c>
      <c r="X138" s="26" t="str">
        <f>+IFERROR(VLOOKUP(A138,'ID6&amp;7'!A:J,10,FALSE),"-")</f>
        <v>-</v>
      </c>
      <c r="Y138" s="26"/>
      <c r="Z138" s="27" t="str">
        <f t="shared" si="3"/>
        <v>Por iniciar</v>
      </c>
      <c r="AA138" s="65"/>
    </row>
    <row r="139" spans="1:27">
      <c r="A139" s="20"/>
      <c r="B139" s="60"/>
      <c r="C139" s="60"/>
      <c r="D139" s="60"/>
      <c r="E139" s="60"/>
      <c r="F139" s="60"/>
      <c r="G139" s="60"/>
      <c r="H139" s="65" t="s">
        <v>113</v>
      </c>
      <c r="I139" s="21" t="s">
        <v>1191</v>
      </c>
      <c r="J139" s="26">
        <f>+COUNTIF('ID1&amp;5'!G:G,'1. Status'!I139)</f>
        <v>0</v>
      </c>
      <c r="K139" s="79" t="str">
        <f>+IFERROR(VLOOKUP(CONCATENATE(A139,$B$10,B139),'ID1&amp;5'!B:J,8,FALSE),"-")</f>
        <v>-</v>
      </c>
      <c r="L139" s="78" t="str">
        <f>+IFERROR(VLOOKUP(B139,'ID1&amp;5'!K:L,2,FALSE),"-")</f>
        <v>-</v>
      </c>
      <c r="M139" s="79" t="str">
        <f>+IFERROR(VLOOKUP(CONCATENATE(A139,$B$10,B139),'ID1&amp;5'!B:J,9,FALSE),"-")</f>
        <v>-</v>
      </c>
      <c r="N139" s="79" t="str">
        <f>+IFERROR(VLOOKUP(CONCATENATE(A139,$C$10,C139),'ID1&amp;5'!B:J,8,FALSE),"-")</f>
        <v>-</v>
      </c>
      <c r="O139" s="78" t="str">
        <f>+IFERROR(VLOOKUP(C139,'ID1&amp;5'!K:L,2,FALSE),"-")</f>
        <v>-</v>
      </c>
      <c r="P139" s="79" t="str">
        <f>+IFERROR(VLOOKUP(CONCATENATE(A139,$C$10,C139),'ID1&amp;5'!B:J,9,FALSE),"-")</f>
        <v>-</v>
      </c>
      <c r="Q139" s="78" t="str">
        <f>+IFERROR(VLOOKUP(D139,'ID1&amp;5'!K:L,2,FALSE),"-")</f>
        <v>-</v>
      </c>
      <c r="R139" s="26" t="str">
        <f>+IFERROR(VLOOKUP(CONCATENATE(A139,$D$10,D139),'ID1&amp;5'!B:J,9,FALSE),"-")</f>
        <v>-</v>
      </c>
      <c r="S139" s="78" t="str">
        <f>+IFERROR(VLOOKUP(E139,'ID1&amp;5'!K:L,2,FALSE),"-")</f>
        <v>-</v>
      </c>
      <c r="T139" s="79" t="str">
        <f>+IFERROR(VLOOKUP(CONCATENATE(A139,$E$10,E139),'ID1&amp;5'!B:J,9,FALSE),"-")</f>
        <v>-</v>
      </c>
      <c r="U139" s="78" t="str">
        <f>+IFERROR(VLOOKUP(F139,'ID1&amp;5'!K:L,2,FALSE),"-")</f>
        <v>-</v>
      </c>
      <c r="V139" s="79" t="str">
        <f>+IFERROR(VLOOKUP(CONCATENATE(A139,$F$10,F139),'ID1&amp;5'!B:J,9,FALSE),"-")</f>
        <v>-</v>
      </c>
      <c r="W139" s="26" t="str">
        <f>+IFERROR(VLOOKUP(A139,'ID6&amp;7'!A:I,9,FALSE),"-")</f>
        <v>-</v>
      </c>
      <c r="X139" s="26" t="str">
        <f>+IFERROR(VLOOKUP(A139,'ID6&amp;7'!A:J,10,FALSE),"-")</f>
        <v>-</v>
      </c>
      <c r="Y139" s="26"/>
      <c r="Z139" s="27" t="str">
        <f t="shared" si="3"/>
        <v>Por iniciar</v>
      </c>
      <c r="AA139" s="65"/>
    </row>
    <row r="140" spans="1:27">
      <c r="A140" s="20"/>
      <c r="B140" s="60"/>
      <c r="C140" s="60"/>
      <c r="D140" s="60"/>
      <c r="E140" s="60"/>
      <c r="F140" s="60"/>
      <c r="G140" s="60"/>
      <c r="H140" s="65" t="s">
        <v>113</v>
      </c>
      <c r="I140" s="21" t="s">
        <v>1192</v>
      </c>
      <c r="J140" s="26">
        <f>+COUNTIF('ID1&amp;5'!G:G,'1. Status'!I140)</f>
        <v>0</v>
      </c>
      <c r="K140" s="79" t="str">
        <f>+IFERROR(VLOOKUP(CONCATENATE(A140,$B$10,B140),'ID1&amp;5'!B:J,8,FALSE),"-")</f>
        <v>-</v>
      </c>
      <c r="L140" s="78" t="str">
        <f>+IFERROR(VLOOKUP(B140,'ID1&amp;5'!K:L,2,FALSE),"-")</f>
        <v>-</v>
      </c>
      <c r="M140" s="79" t="str">
        <f>+IFERROR(VLOOKUP(CONCATENATE(A140,$B$10,B140),'ID1&amp;5'!B:J,9,FALSE),"-")</f>
        <v>-</v>
      </c>
      <c r="N140" s="79" t="str">
        <f>+IFERROR(VLOOKUP(CONCATENATE(A140,$C$10,C140),'ID1&amp;5'!B:J,8,FALSE),"-")</f>
        <v>-</v>
      </c>
      <c r="O140" s="78" t="str">
        <f>+IFERROR(VLOOKUP(C140,'ID1&amp;5'!K:L,2,FALSE),"-")</f>
        <v>-</v>
      </c>
      <c r="P140" s="79" t="str">
        <f>+IFERROR(VLOOKUP(CONCATENATE(A140,$C$10,C140),'ID1&amp;5'!B:J,9,FALSE),"-")</f>
        <v>-</v>
      </c>
      <c r="Q140" s="78" t="str">
        <f>+IFERROR(VLOOKUP(D140,'ID1&amp;5'!K:L,2,FALSE),"-")</f>
        <v>-</v>
      </c>
      <c r="R140" s="26" t="str">
        <f>+IFERROR(VLOOKUP(CONCATENATE(A140,$D$10,D140),'ID1&amp;5'!B:J,9,FALSE),"-")</f>
        <v>-</v>
      </c>
      <c r="S140" s="78" t="str">
        <f>+IFERROR(VLOOKUP(E140,'ID1&amp;5'!K:L,2,FALSE),"-")</f>
        <v>-</v>
      </c>
      <c r="T140" s="79" t="str">
        <f>+IFERROR(VLOOKUP(CONCATENATE(A140,$E$10,E140),'ID1&amp;5'!B:J,9,FALSE),"-")</f>
        <v>-</v>
      </c>
      <c r="U140" s="78" t="str">
        <f>+IFERROR(VLOOKUP(F140,'ID1&amp;5'!K:L,2,FALSE),"-")</f>
        <v>-</v>
      </c>
      <c r="V140" s="79" t="str">
        <f>+IFERROR(VLOOKUP(CONCATENATE(A140,$F$10,F140),'ID1&amp;5'!B:J,9,FALSE),"-")</f>
        <v>-</v>
      </c>
      <c r="W140" s="26" t="str">
        <f>+IFERROR(VLOOKUP(A140,'ID6&amp;7'!A:I,9,FALSE),"-")</f>
        <v>-</v>
      </c>
      <c r="X140" s="26" t="str">
        <f>+IFERROR(VLOOKUP(A140,'ID6&amp;7'!A:J,10,FALSE),"-")</f>
        <v>-</v>
      </c>
      <c r="Y140" s="26"/>
      <c r="Z140" s="27" t="str">
        <f t="shared" si="3"/>
        <v>Por iniciar</v>
      </c>
      <c r="AA140" s="65"/>
    </row>
    <row r="141" spans="1:27">
      <c r="A141" s="20"/>
      <c r="B141" s="60"/>
      <c r="C141" s="60"/>
      <c r="D141" s="60"/>
      <c r="E141" s="60"/>
      <c r="F141" s="60"/>
      <c r="G141" s="60"/>
      <c r="H141" s="65" t="s">
        <v>113</v>
      </c>
      <c r="I141" s="21" t="s">
        <v>1193</v>
      </c>
      <c r="J141" s="26">
        <f>+COUNTIF('ID1&amp;5'!G:G,'1. Status'!I141)</f>
        <v>0</v>
      </c>
      <c r="K141" s="79" t="str">
        <f>+IFERROR(VLOOKUP(CONCATENATE(A141,$B$10,B141),'ID1&amp;5'!B:J,8,FALSE),"-")</f>
        <v>-</v>
      </c>
      <c r="L141" s="78" t="str">
        <f>+IFERROR(VLOOKUP(B141,'ID1&amp;5'!K:L,2,FALSE),"-")</f>
        <v>-</v>
      </c>
      <c r="M141" s="79" t="str">
        <f>+IFERROR(VLOOKUP(CONCATENATE(A141,$B$10,B141),'ID1&amp;5'!B:J,9,FALSE),"-")</f>
        <v>-</v>
      </c>
      <c r="N141" s="79" t="str">
        <f>+IFERROR(VLOOKUP(CONCATENATE(A141,$C$10,C141),'ID1&amp;5'!B:J,8,FALSE),"-")</f>
        <v>-</v>
      </c>
      <c r="O141" s="78" t="str">
        <f>+IFERROR(VLOOKUP(C141,'ID1&amp;5'!K:L,2,FALSE),"-")</f>
        <v>-</v>
      </c>
      <c r="P141" s="79" t="str">
        <f>+IFERROR(VLOOKUP(CONCATENATE(A141,$C$10,C141),'ID1&amp;5'!B:J,9,FALSE),"-")</f>
        <v>-</v>
      </c>
      <c r="Q141" s="78" t="str">
        <f>+IFERROR(VLOOKUP(D141,'ID1&amp;5'!K:L,2,FALSE),"-")</f>
        <v>-</v>
      </c>
      <c r="R141" s="26" t="str">
        <f>+IFERROR(VLOOKUP(CONCATENATE(A141,$D$10,D141),'ID1&amp;5'!B:J,9,FALSE),"-")</f>
        <v>-</v>
      </c>
      <c r="S141" s="78" t="str">
        <f>+IFERROR(VLOOKUP(E141,'ID1&amp;5'!K:L,2,FALSE),"-")</f>
        <v>-</v>
      </c>
      <c r="T141" s="79" t="str">
        <f>+IFERROR(VLOOKUP(CONCATENATE(A141,$E$10,E141),'ID1&amp;5'!B:J,9,FALSE),"-")</f>
        <v>-</v>
      </c>
      <c r="U141" s="78" t="str">
        <f>+IFERROR(VLOOKUP(F141,'ID1&amp;5'!K:L,2,FALSE),"-")</f>
        <v>-</v>
      </c>
      <c r="V141" s="79" t="str">
        <f>+IFERROR(VLOOKUP(CONCATENATE(A141,$F$10,F141),'ID1&amp;5'!B:J,9,FALSE),"-")</f>
        <v>-</v>
      </c>
      <c r="W141" s="26" t="str">
        <f>+IFERROR(VLOOKUP(A141,'ID6&amp;7'!A:I,9,FALSE),"-")</f>
        <v>-</v>
      </c>
      <c r="X141" s="26" t="str">
        <f>+IFERROR(VLOOKUP(A141,'ID6&amp;7'!A:J,10,FALSE),"-")</f>
        <v>-</v>
      </c>
      <c r="Y141" s="26"/>
      <c r="Z141" s="27" t="str">
        <f t="shared" si="3"/>
        <v>Por iniciar</v>
      </c>
      <c r="AA141" s="65"/>
    </row>
    <row r="142" spans="1:27">
      <c r="A142" s="20"/>
      <c r="B142" s="60"/>
      <c r="C142" s="60"/>
      <c r="D142" s="60"/>
      <c r="E142" s="60"/>
      <c r="F142" s="60"/>
      <c r="G142" s="60"/>
      <c r="H142" s="65" t="s">
        <v>113</v>
      </c>
      <c r="I142" s="21" t="s">
        <v>1194</v>
      </c>
      <c r="J142" s="26">
        <f>+COUNTIF('ID1&amp;5'!G:G,'1. Status'!I142)</f>
        <v>0</v>
      </c>
      <c r="K142" s="79" t="str">
        <f>+IFERROR(VLOOKUP(CONCATENATE(A142,$B$10,B142),'ID1&amp;5'!B:J,8,FALSE),"-")</f>
        <v>-</v>
      </c>
      <c r="L142" s="78" t="str">
        <f>+IFERROR(VLOOKUP(B142,'ID1&amp;5'!K:L,2,FALSE),"-")</f>
        <v>-</v>
      </c>
      <c r="M142" s="79" t="str">
        <f>+IFERROR(VLOOKUP(CONCATENATE(A142,$B$10,B142),'ID1&amp;5'!B:J,9,FALSE),"-")</f>
        <v>-</v>
      </c>
      <c r="N142" s="79" t="str">
        <f>+IFERROR(VLOOKUP(CONCATENATE(A142,$C$10,C142),'ID1&amp;5'!B:J,8,FALSE),"-")</f>
        <v>-</v>
      </c>
      <c r="O142" s="78" t="str">
        <f>+IFERROR(VLOOKUP(C142,'ID1&amp;5'!K:L,2,FALSE),"-")</f>
        <v>-</v>
      </c>
      <c r="P142" s="79" t="str">
        <f>+IFERROR(VLOOKUP(CONCATENATE(A142,$C$10,C142),'ID1&amp;5'!B:J,9,FALSE),"-")</f>
        <v>-</v>
      </c>
      <c r="Q142" s="78" t="str">
        <f>+IFERROR(VLOOKUP(D142,'ID1&amp;5'!K:L,2,FALSE),"-")</f>
        <v>-</v>
      </c>
      <c r="R142" s="26" t="str">
        <f>+IFERROR(VLOOKUP(CONCATENATE(A142,$D$10,D142),'ID1&amp;5'!B:J,9,FALSE),"-")</f>
        <v>-</v>
      </c>
      <c r="S142" s="78" t="str">
        <f>+IFERROR(VLOOKUP(E142,'ID1&amp;5'!K:L,2,FALSE),"-")</f>
        <v>-</v>
      </c>
      <c r="T142" s="79" t="str">
        <f>+IFERROR(VLOOKUP(CONCATENATE(A142,$E$10,E142),'ID1&amp;5'!B:J,9,FALSE),"-")</f>
        <v>-</v>
      </c>
      <c r="U142" s="78" t="str">
        <f>+IFERROR(VLOOKUP(F142,'ID1&amp;5'!K:L,2,FALSE),"-")</f>
        <v>-</v>
      </c>
      <c r="V142" s="79" t="str">
        <f>+IFERROR(VLOOKUP(CONCATENATE(A142,$F$10,F142),'ID1&amp;5'!B:J,9,FALSE),"-")</f>
        <v>-</v>
      </c>
      <c r="W142" s="26" t="str">
        <f>+IFERROR(VLOOKUP(A142,'ID6&amp;7'!A:I,9,FALSE),"-")</f>
        <v>-</v>
      </c>
      <c r="X142" s="26" t="str">
        <f>+IFERROR(VLOOKUP(A142,'ID6&amp;7'!A:J,10,FALSE),"-")</f>
        <v>-</v>
      </c>
      <c r="Y142" s="26"/>
      <c r="Z142" s="27" t="str">
        <f t="shared" si="3"/>
        <v>Por iniciar</v>
      </c>
      <c r="AA142" s="65"/>
    </row>
    <row r="143" spans="1:27">
      <c r="A143" s="20"/>
      <c r="B143" s="60"/>
      <c r="C143" s="60"/>
      <c r="D143" s="60"/>
      <c r="E143" s="60"/>
      <c r="F143" s="60"/>
      <c r="G143" s="60"/>
      <c r="H143" s="65" t="s">
        <v>113</v>
      </c>
      <c r="I143" s="21" t="s">
        <v>1195</v>
      </c>
      <c r="J143" s="26">
        <f>+COUNTIF('ID1&amp;5'!G:G,'1. Status'!I143)</f>
        <v>0</v>
      </c>
      <c r="K143" s="79" t="str">
        <f>+IFERROR(VLOOKUP(CONCATENATE(A143,$B$10,B143),'ID1&amp;5'!B:J,8,FALSE),"-")</f>
        <v>-</v>
      </c>
      <c r="L143" s="78" t="str">
        <f>+IFERROR(VLOOKUP(B143,'ID1&amp;5'!K:L,2,FALSE),"-")</f>
        <v>-</v>
      </c>
      <c r="M143" s="79" t="str">
        <f>+IFERROR(VLOOKUP(CONCATENATE(A143,$B$10,B143),'ID1&amp;5'!B:J,9,FALSE),"-")</f>
        <v>-</v>
      </c>
      <c r="N143" s="79" t="str">
        <f>+IFERROR(VLOOKUP(CONCATENATE(A143,$C$10,C143),'ID1&amp;5'!B:J,8,FALSE),"-")</f>
        <v>-</v>
      </c>
      <c r="O143" s="78" t="str">
        <f>+IFERROR(VLOOKUP(C143,'ID1&amp;5'!K:L,2,FALSE),"-")</f>
        <v>-</v>
      </c>
      <c r="P143" s="79" t="str">
        <f>+IFERROR(VLOOKUP(CONCATENATE(A143,$C$10,C143),'ID1&amp;5'!B:J,9,FALSE),"-")</f>
        <v>-</v>
      </c>
      <c r="Q143" s="78" t="str">
        <f>+IFERROR(VLOOKUP(D143,'ID1&amp;5'!K:L,2,FALSE),"-")</f>
        <v>-</v>
      </c>
      <c r="R143" s="26" t="str">
        <f>+IFERROR(VLOOKUP(CONCATENATE(A143,$D$10,D143),'ID1&amp;5'!B:J,9,FALSE),"-")</f>
        <v>-</v>
      </c>
      <c r="S143" s="78" t="str">
        <f>+IFERROR(VLOOKUP(E143,'ID1&amp;5'!K:L,2,FALSE),"-")</f>
        <v>-</v>
      </c>
      <c r="T143" s="79" t="str">
        <f>+IFERROR(VLOOKUP(CONCATENATE(A143,$E$10,E143),'ID1&amp;5'!B:J,9,FALSE),"-")</f>
        <v>-</v>
      </c>
      <c r="U143" s="78" t="str">
        <f>+IFERROR(VLOOKUP(F143,'ID1&amp;5'!K:L,2,FALSE),"-")</f>
        <v>-</v>
      </c>
      <c r="V143" s="79" t="str">
        <f>+IFERROR(VLOOKUP(CONCATENATE(A143,$F$10,F143),'ID1&amp;5'!B:J,9,FALSE),"-")</f>
        <v>-</v>
      </c>
      <c r="W143" s="26" t="str">
        <f>+IFERROR(VLOOKUP(A143,'ID6&amp;7'!A:I,9,FALSE),"-")</f>
        <v>-</v>
      </c>
      <c r="X143" s="26" t="str">
        <f>+IFERROR(VLOOKUP(A143,'ID6&amp;7'!A:J,10,FALSE),"-")</f>
        <v>-</v>
      </c>
      <c r="Y143" s="26"/>
      <c r="Z143" s="27" t="str">
        <f t="shared" si="3"/>
        <v>Por iniciar</v>
      </c>
      <c r="AA143" s="65"/>
    </row>
    <row r="144" spans="1:27">
      <c r="A144" s="20"/>
      <c r="B144" s="60"/>
      <c r="C144" s="60"/>
      <c r="D144" s="60"/>
      <c r="E144" s="60"/>
      <c r="F144" s="60"/>
      <c r="G144" s="60"/>
      <c r="H144" s="65" t="s">
        <v>113</v>
      </c>
      <c r="I144" s="21" t="s">
        <v>645</v>
      </c>
      <c r="J144" s="26">
        <f>+COUNTIF('ID1&amp;5'!G:G,'1. Status'!I144)</f>
        <v>0</v>
      </c>
      <c r="K144" s="79" t="str">
        <f>+IFERROR(VLOOKUP(CONCATENATE(A144,$B$10,B144),'ID1&amp;5'!B:J,8,FALSE),"-")</f>
        <v>-</v>
      </c>
      <c r="L144" s="78" t="str">
        <f>+IFERROR(VLOOKUP(B144,'ID1&amp;5'!K:L,2,FALSE),"-")</f>
        <v>-</v>
      </c>
      <c r="M144" s="79" t="str">
        <f>+IFERROR(VLOOKUP(CONCATENATE(A144,$B$10,B144),'ID1&amp;5'!B:J,9,FALSE),"-")</f>
        <v>-</v>
      </c>
      <c r="N144" s="79" t="str">
        <f>+IFERROR(VLOOKUP(CONCATENATE(A144,$C$10,C144),'ID1&amp;5'!B:J,8,FALSE),"-")</f>
        <v>-</v>
      </c>
      <c r="O144" s="78" t="str">
        <f>+IFERROR(VLOOKUP(C144,'ID1&amp;5'!K:L,2,FALSE),"-")</f>
        <v>-</v>
      </c>
      <c r="P144" s="79" t="str">
        <f>+IFERROR(VLOOKUP(CONCATENATE(A144,$C$10,C144),'ID1&amp;5'!B:J,9,FALSE),"-")</f>
        <v>-</v>
      </c>
      <c r="Q144" s="78" t="str">
        <f>+IFERROR(VLOOKUP(D144,'ID1&amp;5'!K:L,2,FALSE),"-")</f>
        <v>-</v>
      </c>
      <c r="R144" s="26" t="str">
        <f>+IFERROR(VLOOKUP(CONCATENATE(A144,$D$10,D144),'ID1&amp;5'!B:J,9,FALSE),"-")</f>
        <v>-</v>
      </c>
      <c r="S144" s="78" t="str">
        <f>+IFERROR(VLOOKUP(E144,'ID1&amp;5'!K:L,2,FALSE),"-")</f>
        <v>-</v>
      </c>
      <c r="T144" s="79" t="str">
        <f>+IFERROR(VLOOKUP(CONCATENATE(A144,$E$10,E144),'ID1&amp;5'!B:J,9,FALSE),"-")</f>
        <v>-</v>
      </c>
      <c r="U144" s="78" t="str">
        <f>+IFERROR(VLOOKUP(F144,'ID1&amp;5'!K:L,2,FALSE),"-")</f>
        <v>-</v>
      </c>
      <c r="V144" s="79" t="str">
        <f>+IFERROR(VLOOKUP(CONCATENATE(A144,$F$10,F144),'ID1&amp;5'!B:J,9,FALSE),"-")</f>
        <v>-</v>
      </c>
      <c r="W144" s="26" t="str">
        <f>+IFERROR(VLOOKUP(A144,'ID6&amp;7'!A:I,9,FALSE),"-")</f>
        <v>-</v>
      </c>
      <c r="X144" s="26" t="str">
        <f>+IFERROR(VLOOKUP(A144,'ID6&amp;7'!A:J,10,FALSE),"-")</f>
        <v>-</v>
      </c>
      <c r="Y144" s="26"/>
      <c r="Z144" s="27" t="str">
        <f t="shared" si="3"/>
        <v>Por iniciar</v>
      </c>
      <c r="AA144" s="65"/>
    </row>
    <row r="145" spans="1:27">
      <c r="A145" s="20"/>
      <c r="B145" s="60"/>
      <c r="C145" s="60"/>
      <c r="D145" s="60"/>
      <c r="E145" s="60"/>
      <c r="F145" s="60"/>
      <c r="G145" s="60"/>
      <c r="H145" s="65" t="s">
        <v>113</v>
      </c>
      <c r="I145" s="21" t="s">
        <v>1196</v>
      </c>
      <c r="J145" s="26">
        <f>+COUNTIF('ID1&amp;5'!G:G,'1. Status'!I145)</f>
        <v>0</v>
      </c>
      <c r="K145" s="79" t="str">
        <f>+IFERROR(VLOOKUP(CONCATENATE(A145,$B$10,B145),'ID1&amp;5'!B:J,8,FALSE),"-")</f>
        <v>-</v>
      </c>
      <c r="L145" s="78" t="str">
        <f>+IFERROR(VLOOKUP(B145,'ID1&amp;5'!K:L,2,FALSE),"-")</f>
        <v>-</v>
      </c>
      <c r="M145" s="79" t="str">
        <f>+IFERROR(VLOOKUP(CONCATENATE(A145,$B$10,B145),'ID1&amp;5'!B:J,9,FALSE),"-")</f>
        <v>-</v>
      </c>
      <c r="N145" s="79" t="str">
        <f>+IFERROR(VLOOKUP(CONCATENATE(A145,$C$10,C145),'ID1&amp;5'!B:J,8,FALSE),"-")</f>
        <v>-</v>
      </c>
      <c r="O145" s="78" t="str">
        <f>+IFERROR(VLOOKUP(C145,'ID1&amp;5'!K:L,2,FALSE),"-")</f>
        <v>-</v>
      </c>
      <c r="P145" s="79" t="str">
        <f>+IFERROR(VLOOKUP(CONCATENATE(A145,$C$10,C145),'ID1&amp;5'!B:J,9,FALSE),"-")</f>
        <v>-</v>
      </c>
      <c r="Q145" s="78" t="str">
        <f>+IFERROR(VLOOKUP(D145,'ID1&amp;5'!K:L,2,FALSE),"-")</f>
        <v>-</v>
      </c>
      <c r="R145" s="26" t="str">
        <f>+IFERROR(VLOOKUP(CONCATENATE(A145,$D$10,D145),'ID1&amp;5'!B:J,9,FALSE),"-")</f>
        <v>-</v>
      </c>
      <c r="S145" s="78" t="str">
        <f>+IFERROR(VLOOKUP(E145,'ID1&amp;5'!K:L,2,FALSE),"-")</f>
        <v>-</v>
      </c>
      <c r="T145" s="79" t="str">
        <f>+IFERROR(VLOOKUP(CONCATENATE(A145,$E$10,E145),'ID1&amp;5'!B:J,9,FALSE),"-")</f>
        <v>-</v>
      </c>
      <c r="U145" s="78" t="str">
        <f>+IFERROR(VLOOKUP(F145,'ID1&amp;5'!K:L,2,FALSE),"-")</f>
        <v>-</v>
      </c>
      <c r="V145" s="79" t="str">
        <f>+IFERROR(VLOOKUP(CONCATENATE(A145,$F$10,F145),'ID1&amp;5'!B:J,9,FALSE),"-")</f>
        <v>-</v>
      </c>
      <c r="W145" s="26" t="str">
        <f>+IFERROR(VLOOKUP(A145,'ID6&amp;7'!A:I,9,FALSE),"-")</f>
        <v>-</v>
      </c>
      <c r="X145" s="26" t="str">
        <f>+IFERROR(VLOOKUP(A145,'ID6&amp;7'!A:J,10,FALSE),"-")</f>
        <v>-</v>
      </c>
      <c r="Y145" s="26"/>
      <c r="Z145" s="27" t="str">
        <f t="shared" si="3"/>
        <v>Por iniciar</v>
      </c>
      <c r="AA145" s="65"/>
    </row>
    <row r="146" spans="1:27">
      <c r="A146" s="20"/>
      <c r="B146" s="60"/>
      <c r="C146" s="60"/>
      <c r="D146" s="60"/>
      <c r="E146" s="60"/>
      <c r="F146" s="60"/>
      <c r="G146" s="60"/>
      <c r="H146" s="65" t="s">
        <v>113</v>
      </c>
      <c r="I146" s="21" t="s">
        <v>1197</v>
      </c>
      <c r="J146" s="26">
        <f>+COUNTIF('ID1&amp;5'!G:G,'1. Status'!I146)</f>
        <v>0</v>
      </c>
      <c r="K146" s="79" t="str">
        <f>+IFERROR(VLOOKUP(CONCATENATE(A146,$B$10,B146),'ID1&amp;5'!B:J,8,FALSE),"-")</f>
        <v>-</v>
      </c>
      <c r="L146" s="78" t="str">
        <f>+IFERROR(VLOOKUP(B146,'ID1&amp;5'!K:L,2,FALSE),"-")</f>
        <v>-</v>
      </c>
      <c r="M146" s="79" t="str">
        <f>+IFERROR(VLOOKUP(CONCATENATE(A146,$B$10,B146),'ID1&amp;5'!B:J,9,FALSE),"-")</f>
        <v>-</v>
      </c>
      <c r="N146" s="79" t="str">
        <f>+IFERROR(VLOOKUP(CONCATENATE(A146,$C$10,C146),'ID1&amp;5'!B:J,8,FALSE),"-")</f>
        <v>-</v>
      </c>
      <c r="O146" s="78" t="str">
        <f>+IFERROR(VLOOKUP(C146,'ID1&amp;5'!K:L,2,FALSE),"-")</f>
        <v>-</v>
      </c>
      <c r="P146" s="79" t="str">
        <f>+IFERROR(VLOOKUP(CONCATENATE(A146,$C$10,C146),'ID1&amp;5'!B:J,9,FALSE),"-")</f>
        <v>-</v>
      </c>
      <c r="Q146" s="78" t="str">
        <f>+IFERROR(VLOOKUP(D146,'ID1&amp;5'!K:L,2,FALSE),"-")</f>
        <v>-</v>
      </c>
      <c r="R146" s="26" t="str">
        <f>+IFERROR(VLOOKUP(CONCATENATE(A146,$D$10,D146),'ID1&amp;5'!B:J,9,FALSE),"-")</f>
        <v>-</v>
      </c>
      <c r="S146" s="78" t="str">
        <f>+IFERROR(VLOOKUP(E146,'ID1&amp;5'!K:L,2,FALSE),"-")</f>
        <v>-</v>
      </c>
      <c r="T146" s="79" t="str">
        <f>+IFERROR(VLOOKUP(CONCATENATE(A146,$E$10,E146),'ID1&amp;5'!B:J,9,FALSE),"-")</f>
        <v>-</v>
      </c>
      <c r="U146" s="78" t="str">
        <f>+IFERROR(VLOOKUP(F146,'ID1&amp;5'!K:L,2,FALSE),"-")</f>
        <v>-</v>
      </c>
      <c r="V146" s="79" t="str">
        <f>+IFERROR(VLOOKUP(CONCATENATE(A146,$F$10,F146),'ID1&amp;5'!B:J,9,FALSE),"-")</f>
        <v>-</v>
      </c>
      <c r="W146" s="26" t="str">
        <f>+IFERROR(VLOOKUP(A146,'ID6&amp;7'!A:I,9,FALSE),"-")</f>
        <v>-</v>
      </c>
      <c r="X146" s="26" t="str">
        <f>+IFERROR(VLOOKUP(A146,'ID6&amp;7'!A:J,10,FALSE),"-")</f>
        <v>-</v>
      </c>
      <c r="Y146" s="26"/>
      <c r="Z146" s="27" t="str">
        <f t="shared" si="3"/>
        <v>Por iniciar</v>
      </c>
      <c r="AA146" s="65"/>
    </row>
    <row r="147" spans="1:27">
      <c r="A147" s="20"/>
      <c r="B147" s="60"/>
      <c r="C147" s="60"/>
      <c r="D147" s="60"/>
      <c r="E147" s="60"/>
      <c r="F147" s="60"/>
      <c r="G147" s="60"/>
      <c r="H147" s="65" t="s">
        <v>113</v>
      </c>
      <c r="I147" s="21" t="s">
        <v>1198</v>
      </c>
      <c r="J147" s="26">
        <f>+COUNTIF('ID1&amp;5'!G:G,'1. Status'!I147)</f>
        <v>0</v>
      </c>
      <c r="K147" s="79" t="str">
        <f>+IFERROR(VLOOKUP(CONCATENATE(A147,$B$10,B147),'ID1&amp;5'!B:J,8,FALSE),"-")</f>
        <v>-</v>
      </c>
      <c r="L147" s="78" t="str">
        <f>+IFERROR(VLOOKUP(B147,'ID1&amp;5'!K:L,2,FALSE),"-")</f>
        <v>-</v>
      </c>
      <c r="M147" s="79" t="str">
        <f>+IFERROR(VLOOKUP(CONCATENATE(A147,$B$10,B147),'ID1&amp;5'!B:J,9,FALSE),"-")</f>
        <v>-</v>
      </c>
      <c r="N147" s="79" t="str">
        <f>+IFERROR(VLOOKUP(CONCATENATE(A147,$C$10,C147),'ID1&amp;5'!B:J,8,FALSE),"-")</f>
        <v>-</v>
      </c>
      <c r="O147" s="78" t="str">
        <f>+IFERROR(VLOOKUP(C147,'ID1&amp;5'!K:L,2,FALSE),"-")</f>
        <v>-</v>
      </c>
      <c r="P147" s="79" t="str">
        <f>+IFERROR(VLOOKUP(CONCATENATE(A147,$C$10,C147),'ID1&amp;5'!B:J,9,FALSE),"-")</f>
        <v>-</v>
      </c>
      <c r="Q147" s="78" t="str">
        <f>+IFERROR(VLOOKUP(D147,'ID1&amp;5'!K:L,2,FALSE),"-")</f>
        <v>-</v>
      </c>
      <c r="R147" s="26" t="str">
        <f>+IFERROR(VLOOKUP(CONCATENATE(A147,$D$10,D147),'ID1&amp;5'!B:J,9,FALSE),"-")</f>
        <v>-</v>
      </c>
      <c r="S147" s="78" t="str">
        <f>+IFERROR(VLOOKUP(E147,'ID1&amp;5'!K:L,2,FALSE),"-")</f>
        <v>-</v>
      </c>
      <c r="T147" s="79" t="str">
        <f>+IFERROR(VLOOKUP(CONCATENATE(A147,$E$10,E147),'ID1&amp;5'!B:J,9,FALSE),"-")</f>
        <v>-</v>
      </c>
      <c r="U147" s="78" t="str">
        <f>+IFERROR(VLOOKUP(F147,'ID1&amp;5'!K:L,2,FALSE),"-")</f>
        <v>-</v>
      </c>
      <c r="V147" s="79" t="str">
        <f>+IFERROR(VLOOKUP(CONCATENATE(A147,$F$10,F147),'ID1&amp;5'!B:J,9,FALSE),"-")</f>
        <v>-</v>
      </c>
      <c r="W147" s="26" t="str">
        <f>+IFERROR(VLOOKUP(A147,'ID6&amp;7'!A:I,9,FALSE),"-")</f>
        <v>-</v>
      </c>
      <c r="X147" s="26" t="str">
        <f>+IFERROR(VLOOKUP(A147,'ID6&amp;7'!A:J,10,FALSE),"-")</f>
        <v>-</v>
      </c>
      <c r="Y147" s="26"/>
      <c r="Z147" s="27" t="str">
        <f t="shared" si="3"/>
        <v>Por iniciar</v>
      </c>
      <c r="AA147" s="65"/>
    </row>
    <row r="148" spans="1:27">
      <c r="A148" s="20"/>
      <c r="B148" s="60"/>
      <c r="C148" s="60"/>
      <c r="D148" s="60"/>
      <c r="E148" s="60"/>
      <c r="F148" s="60"/>
      <c r="G148" s="60"/>
      <c r="H148" s="65" t="s">
        <v>113</v>
      </c>
      <c r="I148" s="21" t="s">
        <v>1199</v>
      </c>
      <c r="J148" s="26">
        <f>+COUNTIF('ID1&amp;5'!G:G,'1. Status'!I148)</f>
        <v>0</v>
      </c>
      <c r="K148" s="79" t="str">
        <f>+IFERROR(VLOOKUP(CONCATENATE(A148,$B$10,B148),'ID1&amp;5'!B:J,8,FALSE),"-")</f>
        <v>-</v>
      </c>
      <c r="L148" s="78" t="str">
        <f>+IFERROR(VLOOKUP(B148,'ID1&amp;5'!K:L,2,FALSE),"-")</f>
        <v>-</v>
      </c>
      <c r="M148" s="79" t="str">
        <f>+IFERROR(VLOOKUP(CONCATENATE(A148,$B$10,B148),'ID1&amp;5'!B:J,9,FALSE),"-")</f>
        <v>-</v>
      </c>
      <c r="N148" s="79" t="str">
        <f>+IFERROR(VLOOKUP(CONCATENATE(A148,$C$10,C148),'ID1&amp;5'!B:J,8,FALSE),"-")</f>
        <v>-</v>
      </c>
      <c r="O148" s="78" t="str">
        <f>+IFERROR(VLOOKUP(C148,'ID1&amp;5'!K:L,2,FALSE),"-")</f>
        <v>-</v>
      </c>
      <c r="P148" s="79" t="str">
        <f>+IFERROR(VLOOKUP(CONCATENATE(A148,$C$10,C148),'ID1&amp;5'!B:J,9,FALSE),"-")</f>
        <v>-</v>
      </c>
      <c r="Q148" s="78" t="str">
        <f>+IFERROR(VLOOKUP(D148,'ID1&amp;5'!K:L,2,FALSE),"-")</f>
        <v>-</v>
      </c>
      <c r="R148" s="26" t="str">
        <f>+IFERROR(VLOOKUP(CONCATENATE(A148,$D$10,D148),'ID1&amp;5'!B:J,9,FALSE),"-")</f>
        <v>-</v>
      </c>
      <c r="S148" s="78" t="str">
        <f>+IFERROR(VLOOKUP(E148,'ID1&amp;5'!K:L,2,FALSE),"-")</f>
        <v>-</v>
      </c>
      <c r="T148" s="79" t="str">
        <f>+IFERROR(VLOOKUP(CONCATENATE(A148,$E$10,E148),'ID1&amp;5'!B:J,9,FALSE),"-")</f>
        <v>-</v>
      </c>
      <c r="U148" s="78" t="str">
        <f>+IFERROR(VLOOKUP(F148,'ID1&amp;5'!K:L,2,FALSE),"-")</f>
        <v>-</v>
      </c>
      <c r="V148" s="79" t="str">
        <f>+IFERROR(VLOOKUP(CONCATENATE(A148,$F$10,F148),'ID1&amp;5'!B:J,9,FALSE),"-")</f>
        <v>-</v>
      </c>
      <c r="W148" s="26" t="str">
        <f>+IFERROR(VLOOKUP(A148,'ID6&amp;7'!A:I,9,FALSE),"-")</f>
        <v>-</v>
      </c>
      <c r="X148" s="26" t="str">
        <f>+IFERROR(VLOOKUP(A148,'ID6&amp;7'!A:J,10,FALSE),"-")</f>
        <v>-</v>
      </c>
      <c r="Y148" s="26"/>
      <c r="Z148" s="27" t="str">
        <f t="shared" si="3"/>
        <v>Por iniciar</v>
      </c>
      <c r="AA148" s="65"/>
    </row>
    <row r="149" spans="1:27">
      <c r="A149" s="20"/>
      <c r="B149" s="60"/>
      <c r="C149" s="60"/>
      <c r="D149" s="60"/>
      <c r="E149" s="60"/>
      <c r="F149" s="60"/>
      <c r="G149" s="60"/>
      <c r="H149" s="65" t="s">
        <v>113</v>
      </c>
      <c r="I149" s="21" t="s">
        <v>1200</v>
      </c>
      <c r="J149" s="26">
        <f>+COUNTIF('ID1&amp;5'!G:G,'1. Status'!I149)</f>
        <v>0</v>
      </c>
      <c r="K149" s="79" t="str">
        <f>+IFERROR(VLOOKUP(CONCATENATE(A149,$B$10,B149),'ID1&amp;5'!B:J,8,FALSE),"-")</f>
        <v>-</v>
      </c>
      <c r="L149" s="78" t="str">
        <f>+IFERROR(VLOOKUP(B149,'ID1&amp;5'!K:L,2,FALSE),"-")</f>
        <v>-</v>
      </c>
      <c r="M149" s="79" t="str">
        <f>+IFERROR(VLOOKUP(CONCATENATE(A149,$B$10,B149),'ID1&amp;5'!B:J,9,FALSE),"-")</f>
        <v>-</v>
      </c>
      <c r="N149" s="79" t="str">
        <f>+IFERROR(VLOOKUP(CONCATENATE(A149,$C$10,C149),'ID1&amp;5'!B:J,8,FALSE),"-")</f>
        <v>-</v>
      </c>
      <c r="O149" s="78" t="str">
        <f>+IFERROR(VLOOKUP(C149,'ID1&amp;5'!K:L,2,FALSE),"-")</f>
        <v>-</v>
      </c>
      <c r="P149" s="79" t="str">
        <f>+IFERROR(VLOOKUP(CONCATENATE(A149,$C$10,C149),'ID1&amp;5'!B:J,9,FALSE),"-")</f>
        <v>-</v>
      </c>
      <c r="Q149" s="78" t="str">
        <f>+IFERROR(VLOOKUP(D149,'ID1&amp;5'!K:L,2,FALSE),"-")</f>
        <v>-</v>
      </c>
      <c r="R149" s="26" t="str">
        <f>+IFERROR(VLOOKUP(CONCATENATE(A149,$D$10,D149),'ID1&amp;5'!B:J,9,FALSE),"-")</f>
        <v>-</v>
      </c>
      <c r="S149" s="78" t="str">
        <f>+IFERROR(VLOOKUP(E149,'ID1&amp;5'!K:L,2,FALSE),"-")</f>
        <v>-</v>
      </c>
      <c r="T149" s="79" t="str">
        <f>+IFERROR(VLOOKUP(CONCATENATE(A149,$E$10,E149),'ID1&amp;5'!B:J,9,FALSE),"-")</f>
        <v>-</v>
      </c>
      <c r="U149" s="78" t="str">
        <f>+IFERROR(VLOOKUP(F149,'ID1&amp;5'!K:L,2,FALSE),"-")</f>
        <v>-</v>
      </c>
      <c r="V149" s="79" t="str">
        <f>+IFERROR(VLOOKUP(CONCATENATE(A149,$F$10,F149),'ID1&amp;5'!B:J,9,FALSE),"-")</f>
        <v>-</v>
      </c>
      <c r="W149" s="26" t="str">
        <f>+IFERROR(VLOOKUP(A149,'ID6&amp;7'!A:I,9,FALSE),"-")</f>
        <v>-</v>
      </c>
      <c r="X149" s="26" t="str">
        <f>+IFERROR(VLOOKUP(A149,'ID6&amp;7'!A:J,10,FALSE),"-")</f>
        <v>-</v>
      </c>
      <c r="Y149" s="26"/>
      <c r="Z149" s="27" t="str">
        <f t="shared" si="3"/>
        <v>Por iniciar</v>
      </c>
      <c r="AA149" s="65"/>
    </row>
    <row r="150" spans="1:27">
      <c r="A150" s="20"/>
      <c r="B150" s="60"/>
      <c r="C150" s="60"/>
      <c r="D150" s="60"/>
      <c r="E150" s="60"/>
      <c r="F150" s="60"/>
      <c r="G150" s="60"/>
      <c r="H150" s="65" t="s">
        <v>113</v>
      </c>
      <c r="I150" s="21" t="s">
        <v>1201</v>
      </c>
      <c r="J150" s="26">
        <f>+COUNTIF('ID1&amp;5'!G:G,'1. Status'!I150)</f>
        <v>0</v>
      </c>
      <c r="K150" s="79" t="str">
        <f>+IFERROR(VLOOKUP(CONCATENATE(A150,$B$10,B150),'ID1&amp;5'!B:J,8,FALSE),"-")</f>
        <v>-</v>
      </c>
      <c r="L150" s="78" t="str">
        <f>+IFERROR(VLOOKUP(B150,'ID1&amp;5'!K:L,2,FALSE),"-")</f>
        <v>-</v>
      </c>
      <c r="M150" s="79" t="str">
        <f>+IFERROR(VLOOKUP(CONCATENATE(A150,$B$10,B150),'ID1&amp;5'!B:J,9,FALSE),"-")</f>
        <v>-</v>
      </c>
      <c r="N150" s="79" t="str">
        <f>+IFERROR(VLOOKUP(CONCATENATE(A150,$C$10,C150),'ID1&amp;5'!B:J,8,FALSE),"-")</f>
        <v>-</v>
      </c>
      <c r="O150" s="78" t="str">
        <f>+IFERROR(VLOOKUP(C150,'ID1&amp;5'!K:L,2,FALSE),"-")</f>
        <v>-</v>
      </c>
      <c r="P150" s="79" t="str">
        <f>+IFERROR(VLOOKUP(CONCATENATE(A150,$C$10,C150),'ID1&amp;5'!B:J,9,FALSE),"-")</f>
        <v>-</v>
      </c>
      <c r="Q150" s="78" t="str">
        <f>+IFERROR(VLOOKUP(D150,'ID1&amp;5'!K:L,2,FALSE),"-")</f>
        <v>-</v>
      </c>
      <c r="R150" s="26" t="str">
        <f>+IFERROR(VLOOKUP(CONCATENATE(A150,$D$10,D150),'ID1&amp;5'!B:J,9,FALSE),"-")</f>
        <v>-</v>
      </c>
      <c r="S150" s="78" t="str">
        <f>+IFERROR(VLOOKUP(E150,'ID1&amp;5'!K:L,2,FALSE),"-")</f>
        <v>-</v>
      </c>
      <c r="T150" s="79" t="str">
        <f>+IFERROR(VLOOKUP(CONCATENATE(A150,$E$10,E150),'ID1&amp;5'!B:J,9,FALSE),"-")</f>
        <v>-</v>
      </c>
      <c r="U150" s="78" t="str">
        <f>+IFERROR(VLOOKUP(F150,'ID1&amp;5'!K:L,2,FALSE),"-")</f>
        <v>-</v>
      </c>
      <c r="V150" s="79" t="str">
        <f>+IFERROR(VLOOKUP(CONCATENATE(A150,$F$10,F150),'ID1&amp;5'!B:J,9,FALSE),"-")</f>
        <v>-</v>
      </c>
      <c r="W150" s="26" t="str">
        <f>+IFERROR(VLOOKUP(A150,'ID6&amp;7'!A:I,9,FALSE),"-")</f>
        <v>-</v>
      </c>
      <c r="X150" s="26" t="str">
        <f>+IFERROR(VLOOKUP(A150,'ID6&amp;7'!A:J,10,FALSE),"-")</f>
        <v>-</v>
      </c>
      <c r="Y150" s="26"/>
      <c r="Z150" s="27" t="str">
        <f t="shared" si="3"/>
        <v>Por iniciar</v>
      </c>
      <c r="AA150" s="65"/>
    </row>
    <row r="151" spans="1:27">
      <c r="A151" s="20"/>
      <c r="B151" s="60"/>
      <c r="C151" s="60"/>
      <c r="D151" s="60"/>
      <c r="E151" s="60"/>
      <c r="F151" s="60"/>
      <c r="G151" s="60"/>
      <c r="H151" s="65" t="s">
        <v>113</v>
      </c>
      <c r="I151" s="21" t="s">
        <v>1202</v>
      </c>
      <c r="J151" s="26">
        <f>+COUNTIF('ID1&amp;5'!G:G,'1. Status'!I151)</f>
        <v>0</v>
      </c>
      <c r="K151" s="79" t="str">
        <f>+IFERROR(VLOOKUP(CONCATENATE(A151,$B$10,B151),'ID1&amp;5'!B:J,8,FALSE),"-")</f>
        <v>-</v>
      </c>
      <c r="L151" s="78" t="str">
        <f>+IFERROR(VLOOKUP(B151,'ID1&amp;5'!K:L,2,FALSE),"-")</f>
        <v>-</v>
      </c>
      <c r="M151" s="79" t="str">
        <f>+IFERROR(VLOOKUP(CONCATENATE(A151,$B$10,B151),'ID1&amp;5'!B:J,9,FALSE),"-")</f>
        <v>-</v>
      </c>
      <c r="N151" s="79" t="str">
        <f>+IFERROR(VLOOKUP(CONCATENATE(A151,$C$10,C151),'ID1&amp;5'!B:J,8,FALSE),"-")</f>
        <v>-</v>
      </c>
      <c r="O151" s="78" t="str">
        <f>+IFERROR(VLOOKUP(C151,'ID1&amp;5'!K:L,2,FALSE),"-")</f>
        <v>-</v>
      </c>
      <c r="P151" s="79" t="str">
        <f>+IFERROR(VLOOKUP(CONCATENATE(A151,$C$10,C151),'ID1&amp;5'!B:J,9,FALSE),"-")</f>
        <v>-</v>
      </c>
      <c r="Q151" s="78" t="str">
        <f>+IFERROR(VLOOKUP(D151,'ID1&amp;5'!K:L,2,FALSE),"-")</f>
        <v>-</v>
      </c>
      <c r="R151" s="26" t="str">
        <f>+IFERROR(VLOOKUP(CONCATENATE(A151,$D$10,D151),'ID1&amp;5'!B:J,9,FALSE),"-")</f>
        <v>-</v>
      </c>
      <c r="S151" s="78" t="str">
        <f>+IFERROR(VLOOKUP(E151,'ID1&amp;5'!K:L,2,FALSE),"-")</f>
        <v>-</v>
      </c>
      <c r="T151" s="79" t="str">
        <f>+IFERROR(VLOOKUP(CONCATENATE(A151,$E$10,E151),'ID1&amp;5'!B:J,9,FALSE),"-")</f>
        <v>-</v>
      </c>
      <c r="U151" s="78" t="str">
        <f>+IFERROR(VLOOKUP(F151,'ID1&amp;5'!K:L,2,FALSE),"-")</f>
        <v>-</v>
      </c>
      <c r="V151" s="79" t="str">
        <f>+IFERROR(VLOOKUP(CONCATENATE(A151,$F$10,F151),'ID1&amp;5'!B:J,9,FALSE),"-")</f>
        <v>-</v>
      </c>
      <c r="W151" s="26" t="str">
        <f>+IFERROR(VLOOKUP(A151,'ID6&amp;7'!A:I,9,FALSE),"-")</f>
        <v>-</v>
      </c>
      <c r="X151" s="26" t="str">
        <f>+IFERROR(VLOOKUP(A151,'ID6&amp;7'!A:J,10,FALSE),"-")</f>
        <v>-</v>
      </c>
      <c r="Y151" s="26"/>
      <c r="Z151" s="27" t="str">
        <f t="shared" si="3"/>
        <v>Por iniciar</v>
      </c>
      <c r="AA151" s="65"/>
    </row>
    <row r="152" spans="1:27">
      <c r="A152" s="20"/>
      <c r="B152" s="60"/>
      <c r="C152" s="60"/>
      <c r="D152" s="60"/>
      <c r="E152" s="60"/>
      <c r="F152" s="60"/>
      <c r="G152" s="60"/>
      <c r="H152" s="65" t="s">
        <v>113</v>
      </c>
      <c r="I152" s="21" t="s">
        <v>1203</v>
      </c>
      <c r="J152" s="26">
        <f>+COUNTIF('ID1&amp;5'!G:G,'1. Status'!I152)</f>
        <v>0</v>
      </c>
      <c r="K152" s="79" t="str">
        <f>+IFERROR(VLOOKUP(CONCATENATE(A152,$B$10,B152),'ID1&amp;5'!B:J,8,FALSE),"-")</f>
        <v>-</v>
      </c>
      <c r="L152" s="78" t="str">
        <f>+IFERROR(VLOOKUP(B152,'ID1&amp;5'!K:L,2,FALSE),"-")</f>
        <v>-</v>
      </c>
      <c r="M152" s="79" t="str">
        <f>+IFERROR(VLOOKUP(CONCATENATE(A152,$B$10,B152),'ID1&amp;5'!B:J,9,FALSE),"-")</f>
        <v>-</v>
      </c>
      <c r="N152" s="79" t="str">
        <f>+IFERROR(VLOOKUP(CONCATENATE(A152,$C$10,C152),'ID1&amp;5'!B:J,8,FALSE),"-")</f>
        <v>-</v>
      </c>
      <c r="O152" s="78" t="str">
        <f>+IFERROR(VLOOKUP(C152,'ID1&amp;5'!K:L,2,FALSE),"-")</f>
        <v>-</v>
      </c>
      <c r="P152" s="79" t="str">
        <f>+IFERROR(VLOOKUP(CONCATENATE(A152,$C$10,C152),'ID1&amp;5'!B:J,9,FALSE),"-")</f>
        <v>-</v>
      </c>
      <c r="Q152" s="78" t="str">
        <f>+IFERROR(VLOOKUP(D152,'ID1&amp;5'!K:L,2,FALSE),"-")</f>
        <v>-</v>
      </c>
      <c r="R152" s="26" t="str">
        <f>+IFERROR(VLOOKUP(CONCATENATE(A152,$D$10,D152),'ID1&amp;5'!B:J,9,FALSE),"-")</f>
        <v>-</v>
      </c>
      <c r="S152" s="78" t="str">
        <f>+IFERROR(VLOOKUP(E152,'ID1&amp;5'!K:L,2,FALSE),"-")</f>
        <v>-</v>
      </c>
      <c r="T152" s="79" t="str">
        <f>+IFERROR(VLOOKUP(CONCATENATE(A152,$E$10,E152),'ID1&amp;5'!B:J,9,FALSE),"-")</f>
        <v>-</v>
      </c>
      <c r="U152" s="78" t="str">
        <f>+IFERROR(VLOOKUP(F152,'ID1&amp;5'!K:L,2,FALSE),"-")</f>
        <v>-</v>
      </c>
      <c r="V152" s="79" t="str">
        <f>+IFERROR(VLOOKUP(CONCATENATE(A152,$F$10,F152),'ID1&amp;5'!B:J,9,FALSE),"-")</f>
        <v>-</v>
      </c>
      <c r="W152" s="26" t="str">
        <f>+IFERROR(VLOOKUP(A152,'ID6&amp;7'!A:I,9,FALSE),"-")</f>
        <v>-</v>
      </c>
      <c r="X152" s="26" t="str">
        <f>+IFERROR(VLOOKUP(A152,'ID6&amp;7'!A:J,10,FALSE),"-")</f>
        <v>-</v>
      </c>
      <c r="Y152" s="26"/>
      <c r="Z152" s="27" t="str">
        <f t="shared" si="3"/>
        <v>Por iniciar</v>
      </c>
      <c r="AA152" s="65"/>
    </row>
    <row r="153" spans="1:27">
      <c r="A153" s="20"/>
      <c r="B153" s="60"/>
      <c r="C153" s="60"/>
      <c r="D153" s="60"/>
      <c r="E153" s="60"/>
      <c r="F153" s="60"/>
      <c r="G153" s="60"/>
      <c r="H153" s="65" t="s">
        <v>113</v>
      </c>
      <c r="I153" s="21" t="s">
        <v>288</v>
      </c>
      <c r="J153" s="26">
        <f>+COUNTIF('ID1&amp;5'!G:G,'1. Status'!I153)</f>
        <v>0</v>
      </c>
      <c r="K153" s="79" t="str">
        <f>+IFERROR(VLOOKUP(CONCATENATE(A153,$B$10,B153),'ID1&amp;5'!B:J,8,FALSE),"-")</f>
        <v>-</v>
      </c>
      <c r="L153" s="78" t="str">
        <f>+IFERROR(VLOOKUP(B153,'ID1&amp;5'!K:L,2,FALSE),"-")</f>
        <v>-</v>
      </c>
      <c r="M153" s="79" t="str">
        <f>+IFERROR(VLOOKUP(CONCATENATE(A153,$B$10,B153),'ID1&amp;5'!B:J,9,FALSE),"-")</f>
        <v>-</v>
      </c>
      <c r="N153" s="79" t="str">
        <f>+IFERROR(VLOOKUP(CONCATENATE(A153,$C$10,C153),'ID1&amp;5'!B:J,8,FALSE),"-")</f>
        <v>-</v>
      </c>
      <c r="O153" s="78" t="str">
        <f>+IFERROR(VLOOKUP(C153,'ID1&amp;5'!K:L,2,FALSE),"-")</f>
        <v>-</v>
      </c>
      <c r="P153" s="79" t="str">
        <f>+IFERROR(VLOOKUP(CONCATENATE(A153,$C$10,C153),'ID1&amp;5'!B:J,9,FALSE),"-")</f>
        <v>-</v>
      </c>
      <c r="Q153" s="78" t="str">
        <f>+IFERROR(VLOOKUP(D153,'ID1&amp;5'!K:L,2,FALSE),"-")</f>
        <v>-</v>
      </c>
      <c r="R153" s="26" t="str">
        <f>+IFERROR(VLOOKUP(CONCATENATE(A153,$D$10,D153),'ID1&amp;5'!B:J,9,FALSE),"-")</f>
        <v>-</v>
      </c>
      <c r="S153" s="78" t="str">
        <f>+IFERROR(VLOOKUP(E153,'ID1&amp;5'!K:L,2,FALSE),"-")</f>
        <v>-</v>
      </c>
      <c r="T153" s="79" t="str">
        <f>+IFERROR(VLOOKUP(CONCATENATE(A153,$E$10,E153),'ID1&amp;5'!B:J,9,FALSE),"-")</f>
        <v>-</v>
      </c>
      <c r="U153" s="78" t="str">
        <f>+IFERROR(VLOOKUP(F153,'ID1&amp;5'!K:L,2,FALSE),"-")</f>
        <v>-</v>
      </c>
      <c r="V153" s="79" t="str">
        <f>+IFERROR(VLOOKUP(CONCATENATE(A153,$F$10,F153),'ID1&amp;5'!B:J,9,FALSE),"-")</f>
        <v>-</v>
      </c>
      <c r="W153" s="26" t="str">
        <f>+IFERROR(VLOOKUP(A153,'ID6&amp;7'!A:I,9,FALSE),"-")</f>
        <v>-</v>
      </c>
      <c r="X153" s="26" t="str">
        <f>+IFERROR(VLOOKUP(A153,'ID6&amp;7'!A:J,10,FALSE),"-")</f>
        <v>-</v>
      </c>
      <c r="Y153" s="26"/>
      <c r="Z153" s="27" t="str">
        <f t="shared" si="3"/>
        <v>Por iniciar</v>
      </c>
      <c r="AA153" s="65"/>
    </row>
    <row r="154" spans="1:27">
      <c r="A154" s="20"/>
      <c r="B154" s="60"/>
      <c r="C154" s="60"/>
      <c r="D154" s="60"/>
      <c r="E154" s="60"/>
      <c r="F154" s="60"/>
      <c r="G154" s="60"/>
      <c r="H154" s="65" t="s">
        <v>113</v>
      </c>
      <c r="I154" s="21" t="s">
        <v>1204</v>
      </c>
      <c r="J154" s="26">
        <f>+COUNTIF('ID1&amp;5'!G:G,'1. Status'!I154)</f>
        <v>0</v>
      </c>
      <c r="K154" s="79" t="str">
        <f>+IFERROR(VLOOKUP(CONCATENATE(A154,$B$10,B154),'ID1&amp;5'!B:J,8,FALSE),"-")</f>
        <v>-</v>
      </c>
      <c r="L154" s="78" t="str">
        <f>+IFERROR(VLOOKUP(B154,'ID1&amp;5'!K:L,2,FALSE),"-")</f>
        <v>-</v>
      </c>
      <c r="M154" s="79" t="str">
        <f>+IFERROR(VLOOKUP(CONCATENATE(A154,$B$10,B154),'ID1&amp;5'!B:J,9,FALSE),"-")</f>
        <v>-</v>
      </c>
      <c r="N154" s="79" t="str">
        <f>+IFERROR(VLOOKUP(CONCATENATE(A154,$C$10,C154),'ID1&amp;5'!B:J,8,FALSE),"-")</f>
        <v>-</v>
      </c>
      <c r="O154" s="78" t="str">
        <f>+IFERROR(VLOOKUP(C154,'ID1&amp;5'!K:L,2,FALSE),"-")</f>
        <v>-</v>
      </c>
      <c r="P154" s="79" t="str">
        <f>+IFERROR(VLOOKUP(CONCATENATE(A154,$C$10,C154),'ID1&amp;5'!B:J,9,FALSE),"-")</f>
        <v>-</v>
      </c>
      <c r="Q154" s="78" t="str">
        <f>+IFERROR(VLOOKUP(D154,'ID1&amp;5'!K:L,2,FALSE),"-")</f>
        <v>-</v>
      </c>
      <c r="R154" s="26" t="str">
        <f>+IFERROR(VLOOKUP(CONCATENATE(A154,$D$10,D154),'ID1&amp;5'!B:J,9,FALSE),"-")</f>
        <v>-</v>
      </c>
      <c r="S154" s="78" t="str">
        <f>+IFERROR(VLOOKUP(E154,'ID1&amp;5'!K:L,2,FALSE),"-")</f>
        <v>-</v>
      </c>
      <c r="T154" s="79" t="str">
        <f>+IFERROR(VLOOKUP(CONCATENATE(A154,$E$10,E154),'ID1&amp;5'!B:J,9,FALSE),"-")</f>
        <v>-</v>
      </c>
      <c r="U154" s="78" t="str">
        <f>+IFERROR(VLOOKUP(F154,'ID1&amp;5'!K:L,2,FALSE),"-")</f>
        <v>-</v>
      </c>
      <c r="V154" s="79" t="str">
        <f>+IFERROR(VLOOKUP(CONCATENATE(A154,$F$10,F154),'ID1&amp;5'!B:J,9,FALSE),"-")</f>
        <v>-</v>
      </c>
      <c r="W154" s="26" t="str">
        <f>+IFERROR(VLOOKUP(A154,'ID6&amp;7'!A:I,9,FALSE),"-")</f>
        <v>-</v>
      </c>
      <c r="X154" s="26" t="str">
        <f>+IFERROR(VLOOKUP(A154,'ID6&amp;7'!A:J,10,FALSE),"-")</f>
        <v>-</v>
      </c>
      <c r="Y154" s="26"/>
      <c r="Z154" s="27" t="str">
        <f t="shared" si="3"/>
        <v>Por iniciar</v>
      </c>
      <c r="AA154" s="65"/>
    </row>
    <row r="155" spans="1:27">
      <c r="A155" s="20"/>
      <c r="B155" s="60"/>
      <c r="C155" s="60"/>
      <c r="D155" s="60"/>
      <c r="E155" s="60"/>
      <c r="F155" s="60"/>
      <c r="G155" s="60"/>
      <c r="H155" s="65" t="s">
        <v>113</v>
      </c>
      <c r="I155" s="21" t="s">
        <v>290</v>
      </c>
      <c r="J155" s="26">
        <f>+COUNTIF('ID1&amp;5'!G:G,'1. Status'!I155)</f>
        <v>0</v>
      </c>
      <c r="K155" s="79" t="str">
        <f>+IFERROR(VLOOKUP(CONCATENATE(A155,$B$10,B155),'ID1&amp;5'!B:J,8,FALSE),"-")</f>
        <v>-</v>
      </c>
      <c r="L155" s="78" t="str">
        <f>+IFERROR(VLOOKUP(B155,'ID1&amp;5'!K:L,2,FALSE),"-")</f>
        <v>-</v>
      </c>
      <c r="M155" s="79" t="str">
        <f>+IFERROR(VLOOKUP(CONCATENATE(A155,$B$10,B155),'ID1&amp;5'!B:J,9,FALSE),"-")</f>
        <v>-</v>
      </c>
      <c r="N155" s="79" t="str">
        <f>+IFERROR(VLOOKUP(CONCATENATE(A155,$C$10,C155),'ID1&amp;5'!B:J,8,FALSE),"-")</f>
        <v>-</v>
      </c>
      <c r="O155" s="78" t="str">
        <f>+IFERROR(VLOOKUP(C155,'ID1&amp;5'!K:L,2,FALSE),"-")</f>
        <v>-</v>
      </c>
      <c r="P155" s="79" t="str">
        <f>+IFERROR(VLOOKUP(CONCATENATE(A155,$C$10,C155),'ID1&amp;5'!B:J,9,FALSE),"-")</f>
        <v>-</v>
      </c>
      <c r="Q155" s="78" t="str">
        <f>+IFERROR(VLOOKUP(D155,'ID1&amp;5'!K:L,2,FALSE),"-")</f>
        <v>-</v>
      </c>
      <c r="R155" s="26" t="str">
        <f>+IFERROR(VLOOKUP(CONCATENATE(A155,$D$10,D155),'ID1&amp;5'!B:J,9,FALSE),"-")</f>
        <v>-</v>
      </c>
      <c r="S155" s="78" t="str">
        <f>+IFERROR(VLOOKUP(E155,'ID1&amp;5'!K:L,2,FALSE),"-")</f>
        <v>-</v>
      </c>
      <c r="T155" s="79" t="str">
        <f>+IFERROR(VLOOKUP(CONCATENATE(A155,$E$10,E155),'ID1&amp;5'!B:J,9,FALSE),"-")</f>
        <v>-</v>
      </c>
      <c r="U155" s="78" t="str">
        <f>+IFERROR(VLOOKUP(F155,'ID1&amp;5'!K:L,2,FALSE),"-")</f>
        <v>-</v>
      </c>
      <c r="V155" s="79" t="str">
        <f>+IFERROR(VLOOKUP(CONCATENATE(A155,$F$10,F155),'ID1&amp;5'!B:J,9,FALSE),"-")</f>
        <v>-</v>
      </c>
      <c r="W155" s="26" t="str">
        <f>+IFERROR(VLOOKUP(A155,'ID6&amp;7'!A:I,9,FALSE),"-")</f>
        <v>-</v>
      </c>
      <c r="X155" s="26" t="str">
        <f>+IFERROR(VLOOKUP(A155,'ID6&amp;7'!A:J,10,FALSE),"-")</f>
        <v>-</v>
      </c>
      <c r="Y155" s="26"/>
      <c r="Z155" s="27" t="str">
        <f t="shared" si="3"/>
        <v>Por iniciar</v>
      </c>
      <c r="AA155" s="65"/>
    </row>
    <row r="156" spans="1:27">
      <c r="A156" s="20"/>
      <c r="B156" s="60"/>
      <c r="C156" s="60"/>
      <c r="D156" s="60"/>
      <c r="E156" s="60"/>
      <c r="F156" s="60"/>
      <c r="G156" s="60"/>
      <c r="H156" s="65" t="s">
        <v>113</v>
      </c>
      <c r="I156" s="21" t="s">
        <v>1205</v>
      </c>
      <c r="J156" s="26">
        <f>+COUNTIF('ID1&amp;5'!G:G,'1. Status'!I156)</f>
        <v>0</v>
      </c>
      <c r="K156" s="79" t="str">
        <f>+IFERROR(VLOOKUP(CONCATENATE(A156,$B$10,B156),'ID1&amp;5'!B:J,8,FALSE),"-")</f>
        <v>-</v>
      </c>
      <c r="L156" s="78" t="str">
        <f>+IFERROR(VLOOKUP(B156,'ID1&amp;5'!K:L,2,FALSE),"-")</f>
        <v>-</v>
      </c>
      <c r="M156" s="79" t="str">
        <f>+IFERROR(VLOOKUP(CONCATENATE(A156,$B$10,B156),'ID1&amp;5'!B:J,9,FALSE),"-")</f>
        <v>-</v>
      </c>
      <c r="N156" s="79" t="str">
        <f>+IFERROR(VLOOKUP(CONCATENATE(A156,$C$10,C156),'ID1&amp;5'!B:J,8,FALSE),"-")</f>
        <v>-</v>
      </c>
      <c r="O156" s="78" t="str">
        <f>+IFERROR(VLOOKUP(C156,'ID1&amp;5'!K:L,2,FALSE),"-")</f>
        <v>-</v>
      </c>
      <c r="P156" s="79" t="str">
        <f>+IFERROR(VLOOKUP(CONCATENATE(A156,$C$10,C156),'ID1&amp;5'!B:J,9,FALSE),"-")</f>
        <v>-</v>
      </c>
      <c r="Q156" s="78" t="str">
        <f>+IFERROR(VLOOKUP(D156,'ID1&amp;5'!K:L,2,FALSE),"-")</f>
        <v>-</v>
      </c>
      <c r="R156" s="26" t="str">
        <f>+IFERROR(VLOOKUP(CONCATENATE(A156,$D$10,D156),'ID1&amp;5'!B:J,9,FALSE),"-")</f>
        <v>-</v>
      </c>
      <c r="S156" s="78" t="str">
        <f>+IFERROR(VLOOKUP(E156,'ID1&amp;5'!K:L,2,FALSE),"-")</f>
        <v>-</v>
      </c>
      <c r="T156" s="79" t="str">
        <f>+IFERROR(VLOOKUP(CONCATENATE(A156,$E$10,E156),'ID1&amp;5'!B:J,9,FALSE),"-")</f>
        <v>-</v>
      </c>
      <c r="U156" s="78" t="str">
        <f>+IFERROR(VLOOKUP(F156,'ID1&amp;5'!K:L,2,FALSE),"-")</f>
        <v>-</v>
      </c>
      <c r="V156" s="79" t="str">
        <f>+IFERROR(VLOOKUP(CONCATENATE(A156,$F$10,F156),'ID1&amp;5'!B:J,9,FALSE),"-")</f>
        <v>-</v>
      </c>
      <c r="W156" s="26" t="str">
        <f>+IFERROR(VLOOKUP(A156,'ID6&amp;7'!A:I,9,FALSE),"-")</f>
        <v>-</v>
      </c>
      <c r="X156" s="26" t="str">
        <f>+IFERROR(VLOOKUP(A156,'ID6&amp;7'!A:J,10,FALSE),"-")</f>
        <v>-</v>
      </c>
      <c r="Y156" s="26"/>
      <c r="Z156" s="27" t="str">
        <f t="shared" si="3"/>
        <v>Por iniciar</v>
      </c>
      <c r="AA156" s="65"/>
    </row>
    <row r="157" spans="1:27">
      <c r="A157" s="20"/>
      <c r="B157" s="60"/>
      <c r="C157" s="60"/>
      <c r="D157" s="60"/>
      <c r="E157" s="60"/>
      <c r="F157" s="60"/>
      <c r="G157" s="60"/>
      <c r="H157" s="65" t="s">
        <v>113</v>
      </c>
      <c r="I157" s="21" t="s">
        <v>291</v>
      </c>
      <c r="J157" s="26">
        <f>+COUNTIF('ID1&amp;5'!G:G,'1. Status'!I157)</f>
        <v>0</v>
      </c>
      <c r="K157" s="79" t="str">
        <f>+IFERROR(VLOOKUP(CONCATENATE(A157,$B$10,B157),'ID1&amp;5'!B:J,8,FALSE),"-")</f>
        <v>-</v>
      </c>
      <c r="L157" s="78" t="str">
        <f>+IFERROR(VLOOKUP(B157,'ID1&amp;5'!K:L,2,FALSE),"-")</f>
        <v>-</v>
      </c>
      <c r="M157" s="79" t="str">
        <f>+IFERROR(VLOOKUP(CONCATENATE(A157,$B$10,B157),'ID1&amp;5'!B:J,9,FALSE),"-")</f>
        <v>-</v>
      </c>
      <c r="N157" s="79" t="str">
        <f>+IFERROR(VLOOKUP(CONCATENATE(A157,$C$10,C157),'ID1&amp;5'!B:J,8,FALSE),"-")</f>
        <v>-</v>
      </c>
      <c r="O157" s="78" t="str">
        <f>+IFERROR(VLOOKUP(C157,'ID1&amp;5'!K:L,2,FALSE),"-")</f>
        <v>-</v>
      </c>
      <c r="P157" s="79" t="str">
        <f>+IFERROR(VLOOKUP(CONCATENATE(A157,$C$10,C157),'ID1&amp;5'!B:J,9,FALSE),"-")</f>
        <v>-</v>
      </c>
      <c r="Q157" s="78" t="str">
        <f>+IFERROR(VLOOKUP(D157,'ID1&amp;5'!K:L,2,FALSE),"-")</f>
        <v>-</v>
      </c>
      <c r="R157" s="26" t="str">
        <f>+IFERROR(VLOOKUP(CONCATENATE(A157,$D$10,D157),'ID1&amp;5'!B:J,9,FALSE),"-")</f>
        <v>-</v>
      </c>
      <c r="S157" s="78" t="str">
        <f>+IFERROR(VLOOKUP(E157,'ID1&amp;5'!K:L,2,FALSE),"-")</f>
        <v>-</v>
      </c>
      <c r="T157" s="79" t="str">
        <f>+IFERROR(VLOOKUP(CONCATENATE(A157,$E$10,E157),'ID1&amp;5'!B:J,9,FALSE),"-")</f>
        <v>-</v>
      </c>
      <c r="U157" s="78" t="str">
        <f>+IFERROR(VLOOKUP(F157,'ID1&amp;5'!K:L,2,FALSE),"-")</f>
        <v>-</v>
      </c>
      <c r="V157" s="79" t="str">
        <f>+IFERROR(VLOOKUP(CONCATENATE(A157,$F$10,F157),'ID1&amp;5'!B:J,9,FALSE),"-")</f>
        <v>-</v>
      </c>
      <c r="W157" s="26" t="str">
        <f>+IFERROR(VLOOKUP(A157,'ID6&amp;7'!A:I,9,FALSE),"-")</f>
        <v>-</v>
      </c>
      <c r="X157" s="26" t="str">
        <f>+IFERROR(VLOOKUP(A157,'ID6&amp;7'!A:J,10,FALSE),"-")</f>
        <v>-</v>
      </c>
      <c r="Y157" s="26"/>
      <c r="Z157" s="27" t="str">
        <f t="shared" si="3"/>
        <v>Por iniciar</v>
      </c>
      <c r="AA157" s="65"/>
    </row>
    <row r="158" spans="1:27">
      <c r="A158" s="20"/>
      <c r="B158" s="60"/>
      <c r="C158" s="60"/>
      <c r="D158" s="60"/>
      <c r="E158" s="60"/>
      <c r="F158" s="60"/>
      <c r="G158" s="60"/>
      <c r="H158" s="65" t="s">
        <v>113</v>
      </c>
      <c r="I158" s="21" t="s">
        <v>293</v>
      </c>
      <c r="J158" s="26">
        <f>+COUNTIF('ID1&amp;5'!G:G,'1. Status'!I158)</f>
        <v>0</v>
      </c>
      <c r="K158" s="79" t="str">
        <f>+IFERROR(VLOOKUP(CONCATENATE(A158,$B$10,B158),'ID1&amp;5'!B:J,8,FALSE),"-")</f>
        <v>-</v>
      </c>
      <c r="L158" s="78" t="str">
        <f>+IFERROR(VLOOKUP(B158,'ID1&amp;5'!K:L,2,FALSE),"-")</f>
        <v>-</v>
      </c>
      <c r="M158" s="79" t="str">
        <f>+IFERROR(VLOOKUP(CONCATENATE(A158,$B$10,B158),'ID1&amp;5'!B:J,9,FALSE),"-")</f>
        <v>-</v>
      </c>
      <c r="N158" s="79" t="str">
        <f>+IFERROR(VLOOKUP(CONCATENATE(A158,$C$10,C158),'ID1&amp;5'!B:J,8,FALSE),"-")</f>
        <v>-</v>
      </c>
      <c r="O158" s="78" t="str">
        <f>+IFERROR(VLOOKUP(C158,'ID1&amp;5'!K:L,2,FALSE),"-")</f>
        <v>-</v>
      </c>
      <c r="P158" s="79" t="str">
        <f>+IFERROR(VLOOKUP(CONCATENATE(A158,$C$10,C158),'ID1&amp;5'!B:J,9,FALSE),"-")</f>
        <v>-</v>
      </c>
      <c r="Q158" s="78" t="str">
        <f>+IFERROR(VLOOKUP(D158,'ID1&amp;5'!K:L,2,FALSE),"-")</f>
        <v>-</v>
      </c>
      <c r="R158" s="26" t="str">
        <f>+IFERROR(VLOOKUP(CONCATENATE(A158,$D$10,D158),'ID1&amp;5'!B:J,9,FALSE),"-")</f>
        <v>-</v>
      </c>
      <c r="S158" s="78" t="str">
        <f>+IFERROR(VLOOKUP(E158,'ID1&amp;5'!K:L,2,FALSE),"-")</f>
        <v>-</v>
      </c>
      <c r="T158" s="79" t="str">
        <f>+IFERROR(VLOOKUP(CONCATENATE(A158,$E$10,E158),'ID1&amp;5'!B:J,9,FALSE),"-")</f>
        <v>-</v>
      </c>
      <c r="U158" s="78" t="str">
        <f>+IFERROR(VLOOKUP(F158,'ID1&amp;5'!K:L,2,FALSE),"-")</f>
        <v>-</v>
      </c>
      <c r="V158" s="79" t="str">
        <f>+IFERROR(VLOOKUP(CONCATENATE(A158,$F$10,F158),'ID1&amp;5'!B:J,9,FALSE),"-")</f>
        <v>-</v>
      </c>
      <c r="W158" s="26" t="str">
        <f>+IFERROR(VLOOKUP(A158,'ID6&amp;7'!A:I,9,FALSE),"-")</f>
        <v>-</v>
      </c>
      <c r="X158" s="26" t="str">
        <f>+IFERROR(VLOOKUP(A158,'ID6&amp;7'!A:J,10,FALSE),"-")</f>
        <v>-</v>
      </c>
      <c r="Y158" s="26"/>
      <c r="Z158" s="27" t="str">
        <f t="shared" si="3"/>
        <v>Por iniciar</v>
      </c>
      <c r="AA158" s="65"/>
    </row>
    <row r="159" spans="1:27">
      <c r="A159" s="20"/>
      <c r="B159" s="60"/>
      <c r="C159" s="60"/>
      <c r="D159" s="60"/>
      <c r="E159" s="60"/>
      <c r="F159" s="60"/>
      <c r="G159" s="60"/>
      <c r="H159" s="65" t="s">
        <v>113</v>
      </c>
      <c r="I159" s="21" t="s">
        <v>294</v>
      </c>
      <c r="J159" s="26">
        <f>+COUNTIF('ID1&amp;5'!G:G,'1. Status'!I159)</f>
        <v>0</v>
      </c>
      <c r="K159" s="79" t="str">
        <f>+IFERROR(VLOOKUP(CONCATENATE(A159,$B$10,B159),'ID1&amp;5'!B:J,8,FALSE),"-")</f>
        <v>-</v>
      </c>
      <c r="L159" s="78" t="str">
        <f>+IFERROR(VLOOKUP(B159,'ID1&amp;5'!K:L,2,FALSE),"-")</f>
        <v>-</v>
      </c>
      <c r="M159" s="79" t="str">
        <f>+IFERROR(VLOOKUP(CONCATENATE(A159,$B$10,B159),'ID1&amp;5'!B:J,9,FALSE),"-")</f>
        <v>-</v>
      </c>
      <c r="N159" s="79" t="str">
        <f>+IFERROR(VLOOKUP(CONCATENATE(A159,$C$10,C159),'ID1&amp;5'!B:J,8,FALSE),"-")</f>
        <v>-</v>
      </c>
      <c r="O159" s="78" t="str">
        <f>+IFERROR(VLOOKUP(C159,'ID1&amp;5'!K:L,2,FALSE),"-")</f>
        <v>-</v>
      </c>
      <c r="P159" s="79" t="str">
        <f>+IFERROR(VLOOKUP(CONCATENATE(A159,$C$10,C159),'ID1&amp;5'!B:J,9,FALSE),"-")</f>
        <v>-</v>
      </c>
      <c r="Q159" s="78" t="str">
        <f>+IFERROR(VLOOKUP(D159,'ID1&amp;5'!K:L,2,FALSE),"-")</f>
        <v>-</v>
      </c>
      <c r="R159" s="26" t="str">
        <f>+IFERROR(VLOOKUP(CONCATENATE(A159,$D$10,D159),'ID1&amp;5'!B:J,9,FALSE),"-")</f>
        <v>-</v>
      </c>
      <c r="S159" s="78" t="str">
        <f>+IFERROR(VLOOKUP(E159,'ID1&amp;5'!K:L,2,FALSE),"-")</f>
        <v>-</v>
      </c>
      <c r="T159" s="79" t="str">
        <f>+IFERROR(VLOOKUP(CONCATENATE(A159,$E$10,E159),'ID1&amp;5'!B:J,9,FALSE),"-")</f>
        <v>-</v>
      </c>
      <c r="U159" s="78" t="str">
        <f>+IFERROR(VLOOKUP(F159,'ID1&amp;5'!K:L,2,FALSE),"-")</f>
        <v>-</v>
      </c>
      <c r="V159" s="79" t="str">
        <f>+IFERROR(VLOOKUP(CONCATENATE(A159,$F$10,F159),'ID1&amp;5'!B:J,9,FALSE),"-")</f>
        <v>-</v>
      </c>
      <c r="W159" s="26" t="str">
        <f>+IFERROR(VLOOKUP(A159,'ID6&amp;7'!A:I,9,FALSE),"-")</f>
        <v>-</v>
      </c>
      <c r="X159" s="26" t="str">
        <f>+IFERROR(VLOOKUP(A159,'ID6&amp;7'!A:J,10,FALSE),"-")</f>
        <v>-</v>
      </c>
      <c r="Y159" s="26"/>
      <c r="Z159" s="27" t="str">
        <f t="shared" si="3"/>
        <v>Por iniciar</v>
      </c>
      <c r="AA159" s="65"/>
    </row>
    <row r="160" spans="1:27">
      <c r="A160" s="20"/>
      <c r="B160" s="60"/>
      <c r="C160" s="60"/>
      <c r="D160" s="60"/>
      <c r="E160" s="60"/>
      <c r="F160" s="60"/>
      <c r="G160" s="60"/>
      <c r="H160" s="65" t="s">
        <v>113</v>
      </c>
      <c r="I160" s="21" t="s">
        <v>1206</v>
      </c>
      <c r="J160" s="26">
        <f>+COUNTIF('ID1&amp;5'!G:G,'1. Status'!I160)</f>
        <v>0</v>
      </c>
      <c r="K160" s="79" t="str">
        <f>+IFERROR(VLOOKUP(CONCATENATE(A160,$B$10,B160),'ID1&amp;5'!B:J,8,FALSE),"-")</f>
        <v>-</v>
      </c>
      <c r="L160" s="78" t="str">
        <f>+IFERROR(VLOOKUP(B160,'ID1&amp;5'!K:L,2,FALSE),"-")</f>
        <v>-</v>
      </c>
      <c r="M160" s="79" t="str">
        <f>+IFERROR(VLOOKUP(CONCATENATE(A160,$B$10,B160),'ID1&amp;5'!B:J,9,FALSE),"-")</f>
        <v>-</v>
      </c>
      <c r="N160" s="79" t="str">
        <f>+IFERROR(VLOOKUP(CONCATENATE(A160,$C$10,C160),'ID1&amp;5'!B:J,8,FALSE),"-")</f>
        <v>-</v>
      </c>
      <c r="O160" s="78" t="str">
        <f>+IFERROR(VLOOKUP(C160,'ID1&amp;5'!K:L,2,FALSE),"-")</f>
        <v>-</v>
      </c>
      <c r="P160" s="79" t="str">
        <f>+IFERROR(VLOOKUP(CONCATENATE(A160,$C$10,C160),'ID1&amp;5'!B:J,9,FALSE),"-")</f>
        <v>-</v>
      </c>
      <c r="Q160" s="78" t="str">
        <f>+IFERROR(VLOOKUP(D160,'ID1&amp;5'!K:L,2,FALSE),"-")</f>
        <v>-</v>
      </c>
      <c r="R160" s="26" t="str">
        <f>+IFERROR(VLOOKUP(CONCATENATE(A160,$D$10,D160),'ID1&amp;5'!B:J,9,FALSE),"-")</f>
        <v>-</v>
      </c>
      <c r="S160" s="78" t="str">
        <f>+IFERROR(VLOOKUP(E160,'ID1&amp;5'!K:L,2,FALSE),"-")</f>
        <v>-</v>
      </c>
      <c r="T160" s="79" t="str">
        <f>+IFERROR(VLOOKUP(CONCATENATE(A160,$E$10,E160),'ID1&amp;5'!B:J,9,FALSE),"-")</f>
        <v>-</v>
      </c>
      <c r="U160" s="78" t="str">
        <f>+IFERROR(VLOOKUP(F160,'ID1&amp;5'!K:L,2,FALSE),"-")</f>
        <v>-</v>
      </c>
      <c r="V160" s="79" t="str">
        <f>+IFERROR(VLOOKUP(CONCATENATE(A160,$F$10,F160),'ID1&amp;5'!B:J,9,FALSE),"-")</f>
        <v>-</v>
      </c>
      <c r="W160" s="26" t="str">
        <f>+IFERROR(VLOOKUP(A160,'ID6&amp;7'!A:I,9,FALSE),"-")</f>
        <v>-</v>
      </c>
      <c r="X160" s="26" t="str">
        <f>+IFERROR(VLOOKUP(A160,'ID6&amp;7'!A:J,10,FALSE),"-")</f>
        <v>-</v>
      </c>
      <c r="Y160" s="26"/>
      <c r="Z160" s="27" t="str">
        <f t="shared" si="3"/>
        <v>Por iniciar</v>
      </c>
      <c r="AA160" s="65"/>
    </row>
    <row r="161" spans="1:27">
      <c r="A161" s="20"/>
      <c r="B161" s="60"/>
      <c r="C161" s="60"/>
      <c r="D161" s="60"/>
      <c r="E161" s="60"/>
      <c r="F161" s="60"/>
      <c r="G161" s="60"/>
      <c r="H161" s="65" t="s">
        <v>113</v>
      </c>
      <c r="I161" s="21" t="s">
        <v>1207</v>
      </c>
      <c r="J161" s="26">
        <f>+COUNTIF('ID1&amp;5'!G:G,'1. Status'!I161)</f>
        <v>0</v>
      </c>
      <c r="K161" s="79" t="str">
        <f>+IFERROR(VLOOKUP(CONCATENATE(A161,$B$10,B161),'ID1&amp;5'!B:J,8,FALSE),"-")</f>
        <v>-</v>
      </c>
      <c r="L161" s="78" t="str">
        <f>+IFERROR(VLOOKUP(B161,'ID1&amp;5'!K:L,2,FALSE),"-")</f>
        <v>-</v>
      </c>
      <c r="M161" s="79" t="str">
        <f>+IFERROR(VLOOKUP(CONCATENATE(A161,$B$10,B161),'ID1&amp;5'!B:J,9,FALSE),"-")</f>
        <v>-</v>
      </c>
      <c r="N161" s="79" t="str">
        <f>+IFERROR(VLOOKUP(CONCATENATE(A161,$C$10,C161),'ID1&amp;5'!B:J,8,FALSE),"-")</f>
        <v>-</v>
      </c>
      <c r="O161" s="78" t="str">
        <f>+IFERROR(VLOOKUP(C161,'ID1&amp;5'!K:L,2,FALSE),"-")</f>
        <v>-</v>
      </c>
      <c r="P161" s="79" t="str">
        <f>+IFERROR(VLOOKUP(CONCATENATE(A161,$C$10,C161),'ID1&amp;5'!B:J,9,FALSE),"-")</f>
        <v>-</v>
      </c>
      <c r="Q161" s="78" t="str">
        <f>+IFERROR(VLOOKUP(D161,'ID1&amp;5'!K:L,2,FALSE),"-")</f>
        <v>-</v>
      </c>
      <c r="R161" s="26" t="str">
        <f>+IFERROR(VLOOKUP(CONCATENATE(A161,$D$10,D161),'ID1&amp;5'!B:J,9,FALSE),"-")</f>
        <v>-</v>
      </c>
      <c r="S161" s="78" t="str">
        <f>+IFERROR(VLOOKUP(E161,'ID1&amp;5'!K:L,2,FALSE),"-")</f>
        <v>-</v>
      </c>
      <c r="T161" s="79" t="str">
        <f>+IFERROR(VLOOKUP(CONCATENATE(A161,$E$10,E161),'ID1&amp;5'!B:J,9,FALSE),"-")</f>
        <v>-</v>
      </c>
      <c r="U161" s="78" t="str">
        <f>+IFERROR(VLOOKUP(F161,'ID1&amp;5'!K:L,2,FALSE),"-")</f>
        <v>-</v>
      </c>
      <c r="V161" s="79" t="str">
        <f>+IFERROR(VLOOKUP(CONCATENATE(A161,$F$10,F161),'ID1&amp;5'!B:J,9,FALSE),"-")</f>
        <v>-</v>
      </c>
      <c r="W161" s="26" t="str">
        <f>+IFERROR(VLOOKUP(A161,'ID6&amp;7'!A:I,9,FALSE),"-")</f>
        <v>-</v>
      </c>
      <c r="X161" s="26" t="str">
        <f>+IFERROR(VLOOKUP(A161,'ID6&amp;7'!A:J,10,FALSE),"-")</f>
        <v>-</v>
      </c>
      <c r="Y161" s="26"/>
      <c r="Z161" s="27" t="str">
        <f t="shared" si="3"/>
        <v>Por iniciar</v>
      </c>
      <c r="AA161" s="65"/>
    </row>
    <row r="162" spans="1:27">
      <c r="A162" s="20"/>
      <c r="B162" s="60"/>
      <c r="C162" s="60"/>
      <c r="D162" s="60"/>
      <c r="E162" s="60"/>
      <c r="F162" s="60"/>
      <c r="G162" s="60"/>
      <c r="H162" s="65" t="s">
        <v>113</v>
      </c>
      <c r="I162" s="21" t="s">
        <v>1208</v>
      </c>
      <c r="J162" s="26">
        <f>+COUNTIF('ID1&amp;5'!G:G,'1. Status'!I162)</f>
        <v>0</v>
      </c>
      <c r="K162" s="79" t="str">
        <f>+IFERROR(VLOOKUP(CONCATENATE(A162,$B$10,B162),'ID1&amp;5'!B:J,8,FALSE),"-")</f>
        <v>-</v>
      </c>
      <c r="L162" s="78" t="str">
        <f>+IFERROR(VLOOKUP(B162,'ID1&amp;5'!K:L,2,FALSE),"-")</f>
        <v>-</v>
      </c>
      <c r="M162" s="79" t="str">
        <f>+IFERROR(VLOOKUP(CONCATENATE(A162,$B$10,B162),'ID1&amp;5'!B:J,9,FALSE),"-")</f>
        <v>-</v>
      </c>
      <c r="N162" s="79" t="str">
        <f>+IFERROR(VLOOKUP(CONCATENATE(A162,$C$10,C162),'ID1&amp;5'!B:J,8,FALSE),"-")</f>
        <v>-</v>
      </c>
      <c r="O162" s="78" t="str">
        <f>+IFERROR(VLOOKUP(C162,'ID1&amp;5'!K:L,2,FALSE),"-")</f>
        <v>-</v>
      </c>
      <c r="P162" s="79" t="str">
        <f>+IFERROR(VLOOKUP(CONCATENATE(A162,$C$10,C162),'ID1&amp;5'!B:J,9,FALSE),"-")</f>
        <v>-</v>
      </c>
      <c r="Q162" s="78" t="str">
        <f>+IFERROR(VLOOKUP(D162,'ID1&amp;5'!K:L,2,FALSE),"-")</f>
        <v>-</v>
      </c>
      <c r="R162" s="26" t="str">
        <f>+IFERROR(VLOOKUP(CONCATENATE(A162,$D$10,D162),'ID1&amp;5'!B:J,9,FALSE),"-")</f>
        <v>-</v>
      </c>
      <c r="S162" s="78" t="str">
        <f>+IFERROR(VLOOKUP(E162,'ID1&amp;5'!K:L,2,FALSE),"-")</f>
        <v>-</v>
      </c>
      <c r="T162" s="79" t="str">
        <f>+IFERROR(VLOOKUP(CONCATENATE(A162,$E$10,E162),'ID1&amp;5'!B:J,9,FALSE),"-")</f>
        <v>-</v>
      </c>
      <c r="U162" s="78" t="str">
        <f>+IFERROR(VLOOKUP(F162,'ID1&amp;5'!K:L,2,FALSE),"-")</f>
        <v>-</v>
      </c>
      <c r="V162" s="79" t="str">
        <f>+IFERROR(VLOOKUP(CONCATENATE(A162,$F$10,F162),'ID1&amp;5'!B:J,9,FALSE),"-")</f>
        <v>-</v>
      </c>
      <c r="W162" s="26" t="str">
        <f>+IFERROR(VLOOKUP(A162,'ID6&amp;7'!A:I,9,FALSE),"-")</f>
        <v>-</v>
      </c>
      <c r="X162" s="26" t="str">
        <f>+IFERROR(VLOOKUP(A162,'ID6&amp;7'!A:J,10,FALSE),"-")</f>
        <v>-</v>
      </c>
      <c r="Y162" s="26"/>
      <c r="Z162" s="27" t="str">
        <f t="shared" si="3"/>
        <v>Por iniciar</v>
      </c>
      <c r="AA162" s="65"/>
    </row>
    <row r="163" spans="1:27">
      <c r="A163" s="20"/>
      <c r="B163" s="60"/>
      <c r="C163" s="60"/>
      <c r="D163" s="60"/>
      <c r="E163" s="60"/>
      <c r="F163" s="60"/>
      <c r="G163" s="60"/>
      <c r="H163" s="65" t="s">
        <v>113</v>
      </c>
      <c r="I163" s="21" t="s">
        <v>1209</v>
      </c>
      <c r="J163" s="26">
        <f>+COUNTIF('ID1&amp;5'!G:G,'1. Status'!I163)</f>
        <v>0</v>
      </c>
      <c r="K163" s="79" t="str">
        <f>+IFERROR(VLOOKUP(CONCATENATE(A163,$B$10,B163),'ID1&amp;5'!B:J,8,FALSE),"-")</f>
        <v>-</v>
      </c>
      <c r="L163" s="78" t="str">
        <f>+IFERROR(VLOOKUP(B163,'ID1&amp;5'!K:L,2,FALSE),"-")</f>
        <v>-</v>
      </c>
      <c r="M163" s="79" t="str">
        <f>+IFERROR(VLOOKUP(CONCATENATE(A163,$B$10,B163),'ID1&amp;5'!B:J,9,FALSE),"-")</f>
        <v>-</v>
      </c>
      <c r="N163" s="79" t="str">
        <f>+IFERROR(VLOOKUP(CONCATENATE(A163,$C$10,C163),'ID1&amp;5'!B:J,8,FALSE),"-")</f>
        <v>-</v>
      </c>
      <c r="O163" s="78" t="str">
        <f>+IFERROR(VLOOKUP(C163,'ID1&amp;5'!K:L,2,FALSE),"-")</f>
        <v>-</v>
      </c>
      <c r="P163" s="79" t="str">
        <f>+IFERROR(VLOOKUP(CONCATENATE(A163,$C$10,C163),'ID1&amp;5'!B:J,9,FALSE),"-")</f>
        <v>-</v>
      </c>
      <c r="Q163" s="78" t="str">
        <f>+IFERROR(VLOOKUP(D163,'ID1&amp;5'!K:L,2,FALSE),"-")</f>
        <v>-</v>
      </c>
      <c r="R163" s="26" t="str">
        <f>+IFERROR(VLOOKUP(CONCATENATE(A163,$D$10,D163),'ID1&amp;5'!B:J,9,FALSE),"-")</f>
        <v>-</v>
      </c>
      <c r="S163" s="78" t="str">
        <f>+IFERROR(VLOOKUP(E163,'ID1&amp;5'!K:L,2,FALSE),"-")</f>
        <v>-</v>
      </c>
      <c r="T163" s="79" t="str">
        <f>+IFERROR(VLOOKUP(CONCATENATE(A163,$E$10,E163),'ID1&amp;5'!B:J,9,FALSE),"-")</f>
        <v>-</v>
      </c>
      <c r="U163" s="78" t="str">
        <f>+IFERROR(VLOOKUP(F163,'ID1&amp;5'!K:L,2,FALSE),"-")</f>
        <v>-</v>
      </c>
      <c r="V163" s="79" t="str">
        <f>+IFERROR(VLOOKUP(CONCATENATE(A163,$F$10,F163),'ID1&amp;5'!B:J,9,FALSE),"-")</f>
        <v>-</v>
      </c>
      <c r="W163" s="26" t="str">
        <f>+IFERROR(VLOOKUP(A163,'ID6&amp;7'!A:I,9,FALSE),"-")</f>
        <v>-</v>
      </c>
      <c r="X163" s="26" t="str">
        <f>+IFERROR(VLOOKUP(A163,'ID6&amp;7'!A:J,10,FALSE),"-")</f>
        <v>-</v>
      </c>
      <c r="Y163" s="26"/>
      <c r="Z163" s="27" t="str">
        <f t="shared" si="3"/>
        <v>Por iniciar</v>
      </c>
      <c r="AA163" s="65"/>
    </row>
    <row r="164" spans="1:27">
      <c r="A164" s="20"/>
      <c r="B164" s="60"/>
      <c r="C164" s="60"/>
      <c r="D164" s="60"/>
      <c r="E164" s="60"/>
      <c r="F164" s="60"/>
      <c r="G164" s="60"/>
      <c r="H164" s="65" t="s">
        <v>113</v>
      </c>
      <c r="I164" s="21" t="s">
        <v>1210</v>
      </c>
      <c r="J164" s="26">
        <f>+COUNTIF('ID1&amp;5'!G:G,'1. Status'!I164)</f>
        <v>0</v>
      </c>
      <c r="K164" s="79" t="str">
        <f>+IFERROR(VLOOKUP(CONCATENATE(A164,$B$10,B164),'ID1&amp;5'!B:J,8,FALSE),"-")</f>
        <v>-</v>
      </c>
      <c r="L164" s="78" t="str">
        <f>+IFERROR(VLOOKUP(B164,'ID1&amp;5'!K:L,2,FALSE),"-")</f>
        <v>-</v>
      </c>
      <c r="M164" s="79" t="str">
        <f>+IFERROR(VLOOKUP(CONCATENATE(A164,$B$10,B164),'ID1&amp;5'!B:J,9,FALSE),"-")</f>
        <v>-</v>
      </c>
      <c r="N164" s="79" t="str">
        <f>+IFERROR(VLOOKUP(CONCATENATE(A164,$C$10,C164),'ID1&amp;5'!B:J,8,FALSE),"-")</f>
        <v>-</v>
      </c>
      <c r="O164" s="78" t="str">
        <f>+IFERROR(VLOOKUP(C164,'ID1&amp;5'!K:L,2,FALSE),"-")</f>
        <v>-</v>
      </c>
      <c r="P164" s="79" t="str">
        <f>+IFERROR(VLOOKUP(CONCATENATE(A164,$C$10,C164),'ID1&amp;5'!B:J,9,FALSE),"-")</f>
        <v>-</v>
      </c>
      <c r="Q164" s="78" t="str">
        <f>+IFERROR(VLOOKUP(D164,'ID1&amp;5'!K:L,2,FALSE),"-")</f>
        <v>-</v>
      </c>
      <c r="R164" s="26" t="str">
        <f>+IFERROR(VLOOKUP(CONCATENATE(A164,$D$10,D164),'ID1&amp;5'!B:J,9,FALSE),"-")</f>
        <v>-</v>
      </c>
      <c r="S164" s="78" t="str">
        <f>+IFERROR(VLOOKUP(E164,'ID1&amp;5'!K:L,2,FALSE),"-")</f>
        <v>-</v>
      </c>
      <c r="T164" s="79" t="str">
        <f>+IFERROR(VLOOKUP(CONCATENATE(A164,$E$10,E164),'ID1&amp;5'!B:J,9,FALSE),"-")</f>
        <v>-</v>
      </c>
      <c r="U164" s="78" t="str">
        <f>+IFERROR(VLOOKUP(F164,'ID1&amp;5'!K:L,2,FALSE),"-")</f>
        <v>-</v>
      </c>
      <c r="V164" s="79" t="str">
        <f>+IFERROR(VLOOKUP(CONCATENATE(A164,$F$10,F164),'ID1&amp;5'!B:J,9,FALSE),"-")</f>
        <v>-</v>
      </c>
      <c r="W164" s="26" t="str">
        <f>+IFERROR(VLOOKUP(A164,'ID6&amp;7'!A:I,9,FALSE),"-")</f>
        <v>-</v>
      </c>
      <c r="X164" s="26" t="str">
        <f>+IFERROR(VLOOKUP(A164,'ID6&amp;7'!A:J,10,FALSE),"-")</f>
        <v>-</v>
      </c>
      <c r="Y164" s="26"/>
      <c r="Z164" s="27" t="str">
        <f t="shared" si="3"/>
        <v>Por iniciar</v>
      </c>
      <c r="AA164" s="65"/>
    </row>
    <row r="165" spans="1:27">
      <c r="A165" s="20"/>
      <c r="B165" s="60"/>
      <c r="C165" s="60"/>
      <c r="D165" s="60"/>
      <c r="E165" s="60"/>
      <c r="F165" s="60"/>
      <c r="G165" s="60"/>
      <c r="H165" s="65" t="s">
        <v>113</v>
      </c>
      <c r="I165" s="21" t="s">
        <v>1211</v>
      </c>
      <c r="J165" s="26">
        <f>+COUNTIF('ID1&amp;5'!G:G,'1. Status'!I165)</f>
        <v>0</v>
      </c>
      <c r="K165" s="79" t="str">
        <f>+IFERROR(VLOOKUP(CONCATENATE(A165,$B$10,B165),'ID1&amp;5'!B:J,8,FALSE),"-")</f>
        <v>-</v>
      </c>
      <c r="L165" s="78" t="str">
        <f>+IFERROR(VLOOKUP(B165,'ID1&amp;5'!K:L,2,FALSE),"-")</f>
        <v>-</v>
      </c>
      <c r="M165" s="79" t="str">
        <f>+IFERROR(VLOOKUP(CONCATENATE(A165,$B$10,B165),'ID1&amp;5'!B:J,9,FALSE),"-")</f>
        <v>-</v>
      </c>
      <c r="N165" s="79" t="str">
        <f>+IFERROR(VLOOKUP(CONCATENATE(A165,$C$10,C165),'ID1&amp;5'!B:J,8,FALSE),"-")</f>
        <v>-</v>
      </c>
      <c r="O165" s="78" t="str">
        <f>+IFERROR(VLOOKUP(C165,'ID1&amp;5'!K:L,2,FALSE),"-")</f>
        <v>-</v>
      </c>
      <c r="P165" s="79" t="str">
        <f>+IFERROR(VLOOKUP(CONCATENATE(A165,$C$10,C165),'ID1&amp;5'!B:J,9,FALSE),"-")</f>
        <v>-</v>
      </c>
      <c r="Q165" s="78" t="str">
        <f>+IFERROR(VLOOKUP(D165,'ID1&amp;5'!K:L,2,FALSE),"-")</f>
        <v>-</v>
      </c>
      <c r="R165" s="26" t="str">
        <f>+IFERROR(VLOOKUP(CONCATENATE(A165,$D$10,D165),'ID1&amp;5'!B:J,9,FALSE),"-")</f>
        <v>-</v>
      </c>
      <c r="S165" s="78" t="str">
        <f>+IFERROR(VLOOKUP(E165,'ID1&amp;5'!K:L,2,FALSE),"-")</f>
        <v>-</v>
      </c>
      <c r="T165" s="79" t="str">
        <f>+IFERROR(VLOOKUP(CONCATENATE(A165,$E$10,E165),'ID1&amp;5'!B:J,9,FALSE),"-")</f>
        <v>-</v>
      </c>
      <c r="U165" s="78" t="str">
        <f>+IFERROR(VLOOKUP(F165,'ID1&amp;5'!K:L,2,FALSE),"-")</f>
        <v>-</v>
      </c>
      <c r="V165" s="79" t="str">
        <f>+IFERROR(VLOOKUP(CONCATENATE(A165,$F$10,F165),'ID1&amp;5'!B:J,9,FALSE),"-")</f>
        <v>-</v>
      </c>
      <c r="W165" s="26" t="str">
        <f>+IFERROR(VLOOKUP(A165,'ID6&amp;7'!A:I,9,FALSE),"-")</f>
        <v>-</v>
      </c>
      <c r="X165" s="26" t="str">
        <f>+IFERROR(VLOOKUP(A165,'ID6&amp;7'!A:J,10,FALSE),"-")</f>
        <v>-</v>
      </c>
      <c r="Y165" s="26"/>
      <c r="Z165" s="27" t="str">
        <f t="shared" si="3"/>
        <v>Por iniciar</v>
      </c>
      <c r="AA165" s="65"/>
    </row>
    <row r="166" spans="1:27">
      <c r="A166" s="20"/>
      <c r="B166" s="60"/>
      <c r="C166" s="60"/>
      <c r="D166" s="60"/>
      <c r="E166" s="60"/>
      <c r="F166" s="60"/>
      <c r="G166" s="60"/>
      <c r="H166" s="65" t="s">
        <v>113</v>
      </c>
      <c r="I166" s="21" t="s">
        <v>1212</v>
      </c>
      <c r="J166" s="26">
        <f>+COUNTIF('ID1&amp;5'!G:G,'1. Status'!I166)</f>
        <v>0</v>
      </c>
      <c r="K166" s="79" t="str">
        <f>+IFERROR(VLOOKUP(CONCATENATE(A166,$B$10,B166),'ID1&amp;5'!B:J,8,FALSE),"-")</f>
        <v>-</v>
      </c>
      <c r="L166" s="78" t="str">
        <f>+IFERROR(VLOOKUP(B166,'ID1&amp;5'!K:L,2,FALSE),"-")</f>
        <v>-</v>
      </c>
      <c r="M166" s="79" t="str">
        <f>+IFERROR(VLOOKUP(CONCATENATE(A166,$B$10,B166),'ID1&amp;5'!B:J,9,FALSE),"-")</f>
        <v>-</v>
      </c>
      <c r="N166" s="79" t="str">
        <f>+IFERROR(VLOOKUP(CONCATENATE(A166,$C$10,C166),'ID1&amp;5'!B:J,8,FALSE),"-")</f>
        <v>-</v>
      </c>
      <c r="O166" s="78" t="str">
        <f>+IFERROR(VLOOKUP(C166,'ID1&amp;5'!K:L,2,FALSE),"-")</f>
        <v>-</v>
      </c>
      <c r="P166" s="79" t="str">
        <f>+IFERROR(VLOOKUP(CONCATENATE(A166,$C$10,C166),'ID1&amp;5'!B:J,9,FALSE),"-")</f>
        <v>-</v>
      </c>
      <c r="Q166" s="78" t="str">
        <f>+IFERROR(VLOOKUP(D166,'ID1&amp;5'!K:L,2,FALSE),"-")</f>
        <v>-</v>
      </c>
      <c r="R166" s="26" t="str">
        <f>+IFERROR(VLOOKUP(CONCATENATE(A166,$D$10,D166),'ID1&amp;5'!B:J,9,FALSE),"-")</f>
        <v>-</v>
      </c>
      <c r="S166" s="78" t="str">
        <f>+IFERROR(VLOOKUP(E166,'ID1&amp;5'!K:L,2,FALSE),"-")</f>
        <v>-</v>
      </c>
      <c r="T166" s="79" t="str">
        <f>+IFERROR(VLOOKUP(CONCATENATE(A166,$E$10,E166),'ID1&amp;5'!B:J,9,FALSE),"-")</f>
        <v>-</v>
      </c>
      <c r="U166" s="78" t="str">
        <f>+IFERROR(VLOOKUP(F166,'ID1&amp;5'!K:L,2,FALSE),"-")</f>
        <v>-</v>
      </c>
      <c r="V166" s="79" t="str">
        <f>+IFERROR(VLOOKUP(CONCATENATE(A166,$F$10,F166),'ID1&amp;5'!B:J,9,FALSE),"-")</f>
        <v>-</v>
      </c>
      <c r="W166" s="26" t="str">
        <f>+IFERROR(VLOOKUP(A166,'ID6&amp;7'!A:I,9,FALSE),"-")</f>
        <v>-</v>
      </c>
      <c r="X166" s="26" t="str">
        <f>+IFERROR(VLOOKUP(A166,'ID6&amp;7'!A:J,10,FALSE),"-")</f>
        <v>-</v>
      </c>
      <c r="Y166" s="26"/>
      <c r="Z166" s="27" t="str">
        <f t="shared" si="3"/>
        <v>Por iniciar</v>
      </c>
      <c r="AA166" s="65"/>
    </row>
    <row r="167" spans="1:27">
      <c r="A167" s="20"/>
      <c r="B167" s="60"/>
      <c r="C167" s="60"/>
      <c r="D167" s="60"/>
      <c r="E167" s="60"/>
      <c r="F167" s="60"/>
      <c r="G167" s="60"/>
      <c r="H167" s="65" t="s">
        <v>113</v>
      </c>
      <c r="I167" s="21" t="s">
        <v>1213</v>
      </c>
      <c r="J167" s="26">
        <f>+COUNTIF('ID1&amp;5'!G:G,'1. Status'!I167)</f>
        <v>0</v>
      </c>
      <c r="K167" s="79" t="str">
        <f>+IFERROR(VLOOKUP(CONCATENATE(A167,$B$10,B167),'ID1&amp;5'!B:J,8,FALSE),"-")</f>
        <v>-</v>
      </c>
      <c r="L167" s="78" t="str">
        <f>+IFERROR(VLOOKUP(B167,'ID1&amp;5'!K:L,2,FALSE),"-")</f>
        <v>-</v>
      </c>
      <c r="M167" s="79" t="str">
        <f>+IFERROR(VLOOKUP(CONCATENATE(A167,$B$10,B167),'ID1&amp;5'!B:J,9,FALSE),"-")</f>
        <v>-</v>
      </c>
      <c r="N167" s="79" t="str">
        <f>+IFERROR(VLOOKUP(CONCATENATE(A167,$C$10,C167),'ID1&amp;5'!B:J,8,FALSE),"-")</f>
        <v>-</v>
      </c>
      <c r="O167" s="78" t="str">
        <f>+IFERROR(VLOOKUP(C167,'ID1&amp;5'!K:L,2,FALSE),"-")</f>
        <v>-</v>
      </c>
      <c r="P167" s="79" t="str">
        <f>+IFERROR(VLOOKUP(CONCATENATE(A167,$C$10,C167),'ID1&amp;5'!B:J,9,FALSE),"-")</f>
        <v>-</v>
      </c>
      <c r="Q167" s="78" t="str">
        <f>+IFERROR(VLOOKUP(D167,'ID1&amp;5'!K:L,2,FALSE),"-")</f>
        <v>-</v>
      </c>
      <c r="R167" s="26" t="str">
        <f>+IFERROR(VLOOKUP(CONCATENATE(A167,$D$10,D167),'ID1&amp;5'!B:J,9,FALSE),"-")</f>
        <v>-</v>
      </c>
      <c r="S167" s="78" t="str">
        <f>+IFERROR(VLOOKUP(E167,'ID1&amp;5'!K:L,2,FALSE),"-")</f>
        <v>-</v>
      </c>
      <c r="T167" s="79" t="str">
        <f>+IFERROR(VLOOKUP(CONCATENATE(A167,$E$10,E167),'ID1&amp;5'!B:J,9,FALSE),"-")</f>
        <v>-</v>
      </c>
      <c r="U167" s="78" t="str">
        <f>+IFERROR(VLOOKUP(F167,'ID1&amp;5'!K:L,2,FALSE),"-")</f>
        <v>-</v>
      </c>
      <c r="V167" s="79" t="str">
        <f>+IFERROR(VLOOKUP(CONCATENATE(A167,$F$10,F167),'ID1&amp;5'!B:J,9,FALSE),"-")</f>
        <v>-</v>
      </c>
      <c r="W167" s="26" t="str">
        <f>+IFERROR(VLOOKUP(A167,'ID6&amp;7'!A:I,9,FALSE),"-")</f>
        <v>-</v>
      </c>
      <c r="X167" s="26" t="str">
        <f>+IFERROR(VLOOKUP(A167,'ID6&amp;7'!A:J,10,FALSE),"-")</f>
        <v>-</v>
      </c>
      <c r="Y167" s="26"/>
      <c r="Z167" s="27" t="str">
        <f t="shared" si="3"/>
        <v>Por iniciar</v>
      </c>
      <c r="AA167" s="65"/>
    </row>
    <row r="168" spans="1:27">
      <c r="A168" s="20"/>
      <c r="B168" s="60"/>
      <c r="C168" s="60"/>
      <c r="D168" s="60"/>
      <c r="E168" s="60"/>
      <c r="F168" s="60"/>
      <c r="G168" s="60"/>
      <c r="H168" s="65" t="s">
        <v>113</v>
      </c>
      <c r="I168" s="21" t="s">
        <v>1214</v>
      </c>
      <c r="J168" s="26">
        <f>+COUNTIF('ID1&amp;5'!G:G,'1. Status'!I168)</f>
        <v>0</v>
      </c>
      <c r="K168" s="79" t="str">
        <f>+IFERROR(VLOOKUP(CONCATENATE(A168,$B$10,B168),'ID1&amp;5'!B:J,8,FALSE),"-")</f>
        <v>-</v>
      </c>
      <c r="L168" s="78" t="str">
        <f>+IFERROR(VLOOKUP(B168,'ID1&amp;5'!K:L,2,FALSE),"-")</f>
        <v>-</v>
      </c>
      <c r="M168" s="79" t="str">
        <f>+IFERROR(VLOOKUP(CONCATENATE(A168,$B$10,B168),'ID1&amp;5'!B:J,9,FALSE),"-")</f>
        <v>-</v>
      </c>
      <c r="N168" s="79" t="str">
        <f>+IFERROR(VLOOKUP(CONCATENATE(A168,$C$10,C168),'ID1&amp;5'!B:J,8,FALSE),"-")</f>
        <v>-</v>
      </c>
      <c r="O168" s="78" t="str">
        <f>+IFERROR(VLOOKUP(C168,'ID1&amp;5'!K:L,2,FALSE),"-")</f>
        <v>-</v>
      </c>
      <c r="P168" s="79" t="str">
        <f>+IFERROR(VLOOKUP(CONCATENATE(A168,$C$10,C168),'ID1&amp;5'!B:J,9,FALSE),"-")</f>
        <v>-</v>
      </c>
      <c r="Q168" s="78" t="str">
        <f>+IFERROR(VLOOKUP(D168,'ID1&amp;5'!K:L,2,FALSE),"-")</f>
        <v>-</v>
      </c>
      <c r="R168" s="26" t="str">
        <f>+IFERROR(VLOOKUP(CONCATENATE(A168,$D$10,D168),'ID1&amp;5'!B:J,9,FALSE),"-")</f>
        <v>-</v>
      </c>
      <c r="S168" s="78" t="str">
        <f>+IFERROR(VLOOKUP(E168,'ID1&amp;5'!K:L,2,FALSE),"-")</f>
        <v>-</v>
      </c>
      <c r="T168" s="79" t="str">
        <f>+IFERROR(VLOOKUP(CONCATENATE(A168,$E$10,E168),'ID1&amp;5'!B:J,9,FALSE),"-")</f>
        <v>-</v>
      </c>
      <c r="U168" s="78" t="str">
        <f>+IFERROR(VLOOKUP(F168,'ID1&amp;5'!K:L,2,FALSE),"-")</f>
        <v>-</v>
      </c>
      <c r="V168" s="79" t="str">
        <f>+IFERROR(VLOOKUP(CONCATENATE(A168,$F$10,F168),'ID1&amp;5'!B:J,9,FALSE),"-")</f>
        <v>-</v>
      </c>
      <c r="W168" s="26" t="str">
        <f>+IFERROR(VLOOKUP(A168,'ID6&amp;7'!A:I,9,FALSE),"-")</f>
        <v>-</v>
      </c>
      <c r="X168" s="26" t="str">
        <f>+IFERROR(VLOOKUP(A168,'ID6&amp;7'!A:J,10,FALSE),"-")</f>
        <v>-</v>
      </c>
      <c r="Y168" s="26"/>
      <c r="Z168" s="27" t="str">
        <f t="shared" si="3"/>
        <v>Por iniciar</v>
      </c>
      <c r="AA168" s="65"/>
    </row>
    <row r="169" spans="1:27">
      <c r="A169" s="20"/>
      <c r="B169" s="60"/>
      <c r="C169" s="60"/>
      <c r="D169" s="60"/>
      <c r="E169" s="60"/>
      <c r="F169" s="60"/>
      <c r="G169" s="60"/>
      <c r="H169" s="65" t="s">
        <v>113</v>
      </c>
      <c r="I169" s="21" t="s">
        <v>1215</v>
      </c>
      <c r="J169" s="26">
        <f>+COUNTIF('ID1&amp;5'!G:G,'1. Status'!I169)</f>
        <v>0</v>
      </c>
      <c r="K169" s="79" t="str">
        <f>+IFERROR(VLOOKUP(CONCATENATE(A169,$B$10,B169),'ID1&amp;5'!B:J,8,FALSE),"-")</f>
        <v>-</v>
      </c>
      <c r="L169" s="78" t="str">
        <f>+IFERROR(VLOOKUP(B169,'ID1&amp;5'!K:L,2,FALSE),"-")</f>
        <v>-</v>
      </c>
      <c r="M169" s="79" t="str">
        <f>+IFERROR(VLOOKUP(CONCATENATE(A169,$B$10,B169),'ID1&amp;5'!B:J,9,FALSE),"-")</f>
        <v>-</v>
      </c>
      <c r="N169" s="79" t="str">
        <f>+IFERROR(VLOOKUP(CONCATENATE(A169,$C$10,C169),'ID1&amp;5'!B:J,8,FALSE),"-")</f>
        <v>-</v>
      </c>
      <c r="O169" s="78" t="str">
        <f>+IFERROR(VLOOKUP(C169,'ID1&amp;5'!K:L,2,FALSE),"-")</f>
        <v>-</v>
      </c>
      <c r="P169" s="79" t="str">
        <f>+IFERROR(VLOOKUP(CONCATENATE(A169,$C$10,C169),'ID1&amp;5'!B:J,9,FALSE),"-")</f>
        <v>-</v>
      </c>
      <c r="Q169" s="78" t="str">
        <f>+IFERROR(VLOOKUP(D169,'ID1&amp;5'!K:L,2,FALSE),"-")</f>
        <v>-</v>
      </c>
      <c r="R169" s="26" t="str">
        <f>+IFERROR(VLOOKUP(CONCATENATE(A169,$D$10,D169),'ID1&amp;5'!B:J,9,FALSE),"-")</f>
        <v>-</v>
      </c>
      <c r="S169" s="78" t="str">
        <f>+IFERROR(VLOOKUP(E169,'ID1&amp;5'!K:L,2,FALSE),"-")</f>
        <v>-</v>
      </c>
      <c r="T169" s="79" t="str">
        <f>+IFERROR(VLOOKUP(CONCATENATE(A169,$E$10,E169),'ID1&amp;5'!B:J,9,FALSE),"-")</f>
        <v>-</v>
      </c>
      <c r="U169" s="78" t="str">
        <f>+IFERROR(VLOOKUP(F169,'ID1&amp;5'!K:L,2,FALSE),"-")</f>
        <v>-</v>
      </c>
      <c r="V169" s="79" t="str">
        <f>+IFERROR(VLOOKUP(CONCATENATE(A169,$F$10,F169),'ID1&amp;5'!B:J,9,FALSE),"-")</f>
        <v>-</v>
      </c>
      <c r="W169" s="26" t="str">
        <f>+IFERROR(VLOOKUP(A169,'ID6&amp;7'!A:I,9,FALSE),"-")</f>
        <v>-</v>
      </c>
      <c r="X169" s="26" t="str">
        <f>+IFERROR(VLOOKUP(A169,'ID6&amp;7'!A:J,10,FALSE),"-")</f>
        <v>-</v>
      </c>
      <c r="Y169" s="26"/>
      <c r="Z169" s="27" t="str">
        <f t="shared" si="3"/>
        <v>Por iniciar</v>
      </c>
      <c r="AA169" s="65"/>
    </row>
    <row r="170" spans="1:27">
      <c r="A170" s="20"/>
      <c r="B170" s="60"/>
      <c r="C170" s="60"/>
      <c r="D170" s="60"/>
      <c r="E170" s="60"/>
      <c r="F170" s="60"/>
      <c r="G170" s="60"/>
      <c r="H170" s="65" t="s">
        <v>113</v>
      </c>
      <c r="I170" s="21" t="s">
        <v>1216</v>
      </c>
      <c r="J170" s="26">
        <f>+COUNTIF('ID1&amp;5'!G:G,'1. Status'!I170)</f>
        <v>0</v>
      </c>
      <c r="K170" s="79" t="str">
        <f>+IFERROR(VLOOKUP(CONCATENATE(A170,$B$10,B170),'ID1&amp;5'!B:J,8,FALSE),"-")</f>
        <v>-</v>
      </c>
      <c r="L170" s="78" t="str">
        <f>+IFERROR(VLOOKUP(B170,'ID1&amp;5'!K:L,2,FALSE),"-")</f>
        <v>-</v>
      </c>
      <c r="M170" s="79" t="str">
        <f>+IFERROR(VLOOKUP(CONCATENATE(A170,$B$10,B170),'ID1&amp;5'!B:J,9,FALSE),"-")</f>
        <v>-</v>
      </c>
      <c r="N170" s="79" t="str">
        <f>+IFERROR(VLOOKUP(CONCATENATE(A170,$C$10,C170),'ID1&amp;5'!B:J,8,FALSE),"-")</f>
        <v>-</v>
      </c>
      <c r="O170" s="78" t="str">
        <f>+IFERROR(VLOOKUP(C170,'ID1&amp;5'!K:L,2,FALSE),"-")</f>
        <v>-</v>
      </c>
      <c r="P170" s="79" t="str">
        <f>+IFERROR(VLOOKUP(CONCATENATE(A170,$C$10,C170),'ID1&amp;5'!B:J,9,FALSE),"-")</f>
        <v>-</v>
      </c>
      <c r="Q170" s="78" t="str">
        <f>+IFERROR(VLOOKUP(D170,'ID1&amp;5'!K:L,2,FALSE),"-")</f>
        <v>-</v>
      </c>
      <c r="R170" s="26" t="str">
        <f>+IFERROR(VLOOKUP(CONCATENATE(A170,$D$10,D170),'ID1&amp;5'!B:J,9,FALSE),"-")</f>
        <v>-</v>
      </c>
      <c r="S170" s="78" t="str">
        <f>+IFERROR(VLOOKUP(E170,'ID1&amp;5'!K:L,2,FALSE),"-")</f>
        <v>-</v>
      </c>
      <c r="T170" s="79" t="str">
        <f>+IFERROR(VLOOKUP(CONCATENATE(A170,$E$10,E170),'ID1&amp;5'!B:J,9,FALSE),"-")</f>
        <v>-</v>
      </c>
      <c r="U170" s="78" t="str">
        <f>+IFERROR(VLOOKUP(F170,'ID1&amp;5'!K:L,2,FALSE),"-")</f>
        <v>-</v>
      </c>
      <c r="V170" s="79" t="str">
        <f>+IFERROR(VLOOKUP(CONCATENATE(A170,$F$10,F170),'ID1&amp;5'!B:J,9,FALSE),"-")</f>
        <v>-</v>
      </c>
      <c r="W170" s="26" t="str">
        <f>+IFERROR(VLOOKUP(A170,'ID6&amp;7'!A:I,9,FALSE),"-")</f>
        <v>-</v>
      </c>
      <c r="X170" s="26" t="str">
        <f>+IFERROR(VLOOKUP(A170,'ID6&amp;7'!A:J,10,FALSE),"-")</f>
        <v>-</v>
      </c>
      <c r="Y170" s="26"/>
      <c r="Z170" s="27" t="str">
        <f t="shared" si="3"/>
        <v>Por iniciar</v>
      </c>
      <c r="AA170" s="65"/>
    </row>
    <row r="171" spans="1:27">
      <c r="A171" s="20"/>
      <c r="B171" s="60"/>
      <c r="C171" s="60"/>
      <c r="D171" s="60"/>
      <c r="E171" s="60"/>
      <c r="F171" s="60"/>
      <c r="G171" s="60"/>
      <c r="H171" s="65" t="s">
        <v>113</v>
      </c>
      <c r="I171" s="21" t="s">
        <v>1217</v>
      </c>
      <c r="J171" s="26">
        <f>+COUNTIF('ID1&amp;5'!G:G,'1. Status'!I171)</f>
        <v>0</v>
      </c>
      <c r="K171" s="79" t="str">
        <f>+IFERROR(VLOOKUP(CONCATENATE(A171,$B$10,B171),'ID1&amp;5'!B:J,8,FALSE),"-")</f>
        <v>-</v>
      </c>
      <c r="L171" s="78" t="str">
        <f>+IFERROR(VLOOKUP(B171,'ID1&amp;5'!K:L,2,FALSE),"-")</f>
        <v>-</v>
      </c>
      <c r="M171" s="79" t="str">
        <f>+IFERROR(VLOOKUP(CONCATENATE(A171,$B$10,B171),'ID1&amp;5'!B:J,9,FALSE),"-")</f>
        <v>-</v>
      </c>
      <c r="N171" s="79" t="str">
        <f>+IFERROR(VLOOKUP(CONCATENATE(A171,$C$10,C171),'ID1&amp;5'!B:J,8,FALSE),"-")</f>
        <v>-</v>
      </c>
      <c r="O171" s="78" t="str">
        <f>+IFERROR(VLOOKUP(C171,'ID1&amp;5'!K:L,2,FALSE),"-")</f>
        <v>-</v>
      </c>
      <c r="P171" s="79" t="str">
        <f>+IFERROR(VLOOKUP(CONCATENATE(A171,$C$10,C171),'ID1&amp;5'!B:J,9,FALSE),"-")</f>
        <v>-</v>
      </c>
      <c r="Q171" s="78" t="str">
        <f>+IFERROR(VLOOKUP(D171,'ID1&amp;5'!K:L,2,FALSE),"-")</f>
        <v>-</v>
      </c>
      <c r="R171" s="26" t="str">
        <f>+IFERROR(VLOOKUP(CONCATENATE(A171,$D$10,D171),'ID1&amp;5'!B:J,9,FALSE),"-")</f>
        <v>-</v>
      </c>
      <c r="S171" s="78" t="str">
        <f>+IFERROR(VLOOKUP(E171,'ID1&amp;5'!K:L,2,FALSE),"-")</f>
        <v>-</v>
      </c>
      <c r="T171" s="79" t="str">
        <f>+IFERROR(VLOOKUP(CONCATENATE(A171,$E$10,E171),'ID1&amp;5'!B:J,9,FALSE),"-")</f>
        <v>-</v>
      </c>
      <c r="U171" s="78" t="str">
        <f>+IFERROR(VLOOKUP(F171,'ID1&amp;5'!K:L,2,FALSE),"-")</f>
        <v>-</v>
      </c>
      <c r="V171" s="79" t="str">
        <f>+IFERROR(VLOOKUP(CONCATENATE(A171,$F$10,F171),'ID1&amp;5'!B:J,9,FALSE),"-")</f>
        <v>-</v>
      </c>
      <c r="W171" s="26" t="str">
        <f>+IFERROR(VLOOKUP(A171,'ID6&amp;7'!A:I,9,FALSE),"-")</f>
        <v>-</v>
      </c>
      <c r="X171" s="26" t="str">
        <f>+IFERROR(VLOOKUP(A171,'ID6&amp;7'!A:J,10,FALSE),"-")</f>
        <v>-</v>
      </c>
      <c r="Y171" s="26"/>
      <c r="Z171" s="27" t="str">
        <f t="shared" si="3"/>
        <v>Por iniciar</v>
      </c>
      <c r="AA171" s="65"/>
    </row>
    <row r="172" spans="1:27">
      <c r="A172" s="20"/>
      <c r="B172" s="60"/>
      <c r="C172" s="60"/>
      <c r="D172" s="60"/>
      <c r="E172" s="60"/>
      <c r="F172" s="60"/>
      <c r="G172" s="60"/>
      <c r="H172" s="65" t="s">
        <v>113</v>
      </c>
      <c r="I172" s="21" t="s">
        <v>1218</v>
      </c>
      <c r="J172" s="26">
        <f>+COUNTIF('ID1&amp;5'!G:G,'1. Status'!I172)</f>
        <v>0</v>
      </c>
      <c r="K172" s="79" t="str">
        <f>+IFERROR(VLOOKUP(CONCATENATE(A172,$B$10,B172),'ID1&amp;5'!B:J,8,FALSE),"-")</f>
        <v>-</v>
      </c>
      <c r="L172" s="78" t="str">
        <f>+IFERROR(VLOOKUP(B172,'ID1&amp;5'!K:L,2,FALSE),"-")</f>
        <v>-</v>
      </c>
      <c r="M172" s="79" t="str">
        <f>+IFERROR(VLOOKUP(CONCATENATE(A172,$B$10,B172),'ID1&amp;5'!B:J,9,FALSE),"-")</f>
        <v>-</v>
      </c>
      <c r="N172" s="79" t="str">
        <f>+IFERROR(VLOOKUP(CONCATENATE(A172,$C$10,C172),'ID1&amp;5'!B:J,8,FALSE),"-")</f>
        <v>-</v>
      </c>
      <c r="O172" s="78" t="str">
        <f>+IFERROR(VLOOKUP(C172,'ID1&amp;5'!K:L,2,FALSE),"-")</f>
        <v>-</v>
      </c>
      <c r="P172" s="79" t="str">
        <f>+IFERROR(VLOOKUP(CONCATENATE(A172,$C$10,C172),'ID1&amp;5'!B:J,9,FALSE),"-")</f>
        <v>-</v>
      </c>
      <c r="Q172" s="78" t="str">
        <f>+IFERROR(VLOOKUP(D172,'ID1&amp;5'!K:L,2,FALSE),"-")</f>
        <v>-</v>
      </c>
      <c r="R172" s="26" t="str">
        <f>+IFERROR(VLOOKUP(CONCATENATE(A172,$D$10,D172),'ID1&amp;5'!B:J,9,FALSE),"-")</f>
        <v>-</v>
      </c>
      <c r="S172" s="78" t="str">
        <f>+IFERROR(VLOOKUP(E172,'ID1&amp;5'!K:L,2,FALSE),"-")</f>
        <v>-</v>
      </c>
      <c r="T172" s="79" t="str">
        <f>+IFERROR(VLOOKUP(CONCATENATE(A172,$E$10,E172),'ID1&amp;5'!B:J,9,FALSE),"-")</f>
        <v>-</v>
      </c>
      <c r="U172" s="78" t="str">
        <f>+IFERROR(VLOOKUP(F172,'ID1&amp;5'!K:L,2,FALSE),"-")</f>
        <v>-</v>
      </c>
      <c r="V172" s="79" t="str">
        <f>+IFERROR(VLOOKUP(CONCATENATE(A172,$F$10,F172),'ID1&amp;5'!B:J,9,FALSE),"-")</f>
        <v>-</v>
      </c>
      <c r="W172" s="26" t="str">
        <f>+IFERROR(VLOOKUP(A172,'ID6&amp;7'!A:I,9,FALSE),"-")</f>
        <v>-</v>
      </c>
      <c r="X172" s="26" t="str">
        <f>+IFERROR(VLOOKUP(A172,'ID6&amp;7'!A:J,10,FALSE),"-")</f>
        <v>-</v>
      </c>
      <c r="Y172" s="26"/>
      <c r="Z172" s="27" t="str">
        <f t="shared" si="3"/>
        <v>Por iniciar</v>
      </c>
      <c r="AA172" s="65"/>
    </row>
    <row r="173" spans="1:27">
      <c r="A173" s="20"/>
      <c r="B173" s="60"/>
      <c r="C173" s="60"/>
      <c r="D173" s="60"/>
      <c r="E173" s="60"/>
      <c r="F173" s="60"/>
      <c r="G173" s="60"/>
      <c r="H173" s="65" t="s">
        <v>113</v>
      </c>
      <c r="I173" s="21" t="s">
        <v>1219</v>
      </c>
      <c r="J173" s="26">
        <f>+COUNTIF('ID1&amp;5'!G:G,'1. Status'!I173)</f>
        <v>0</v>
      </c>
      <c r="K173" s="79" t="str">
        <f>+IFERROR(VLOOKUP(CONCATENATE(A173,$B$10,B173),'ID1&amp;5'!B:J,8,FALSE),"-")</f>
        <v>-</v>
      </c>
      <c r="L173" s="78" t="str">
        <f>+IFERROR(VLOOKUP(B173,'ID1&amp;5'!K:L,2,FALSE),"-")</f>
        <v>-</v>
      </c>
      <c r="M173" s="79" t="str">
        <f>+IFERROR(VLOOKUP(CONCATENATE(A173,$B$10,B173),'ID1&amp;5'!B:J,9,FALSE),"-")</f>
        <v>-</v>
      </c>
      <c r="N173" s="79" t="str">
        <f>+IFERROR(VLOOKUP(CONCATENATE(A173,$C$10,C173),'ID1&amp;5'!B:J,8,FALSE),"-")</f>
        <v>-</v>
      </c>
      <c r="O173" s="78" t="str">
        <f>+IFERROR(VLOOKUP(C173,'ID1&amp;5'!K:L,2,FALSE),"-")</f>
        <v>-</v>
      </c>
      <c r="P173" s="79" t="str">
        <f>+IFERROR(VLOOKUP(CONCATENATE(A173,$C$10,C173),'ID1&amp;5'!B:J,9,FALSE),"-")</f>
        <v>-</v>
      </c>
      <c r="Q173" s="78" t="str">
        <f>+IFERROR(VLOOKUP(D173,'ID1&amp;5'!K:L,2,FALSE),"-")</f>
        <v>-</v>
      </c>
      <c r="R173" s="26" t="str">
        <f>+IFERROR(VLOOKUP(CONCATENATE(A173,$D$10,D173),'ID1&amp;5'!B:J,9,FALSE),"-")</f>
        <v>-</v>
      </c>
      <c r="S173" s="78" t="str">
        <f>+IFERROR(VLOOKUP(E173,'ID1&amp;5'!K:L,2,FALSE),"-")</f>
        <v>-</v>
      </c>
      <c r="T173" s="79" t="str">
        <f>+IFERROR(VLOOKUP(CONCATENATE(A173,$E$10,E173),'ID1&amp;5'!B:J,9,FALSE),"-")</f>
        <v>-</v>
      </c>
      <c r="U173" s="78" t="str">
        <f>+IFERROR(VLOOKUP(F173,'ID1&amp;5'!K:L,2,FALSE),"-")</f>
        <v>-</v>
      </c>
      <c r="V173" s="79" t="str">
        <f>+IFERROR(VLOOKUP(CONCATENATE(A173,$F$10,F173),'ID1&amp;5'!B:J,9,FALSE),"-")</f>
        <v>-</v>
      </c>
      <c r="W173" s="26" t="str">
        <f>+IFERROR(VLOOKUP(A173,'ID6&amp;7'!A:I,9,FALSE),"-")</f>
        <v>-</v>
      </c>
      <c r="X173" s="26" t="str">
        <f>+IFERROR(VLOOKUP(A173,'ID6&amp;7'!A:J,10,FALSE),"-")</f>
        <v>-</v>
      </c>
      <c r="Y173" s="26"/>
      <c r="Z173" s="27" t="str">
        <f t="shared" si="3"/>
        <v>Por iniciar</v>
      </c>
      <c r="AA173" s="65"/>
    </row>
    <row r="174" spans="1:27">
      <c r="A174" s="20"/>
      <c r="B174" s="60"/>
      <c r="C174" s="60"/>
      <c r="D174" s="60"/>
      <c r="E174" s="60"/>
      <c r="F174" s="60"/>
      <c r="G174" s="60"/>
      <c r="H174" s="65" t="s">
        <v>113</v>
      </c>
      <c r="I174" s="21" t="s">
        <v>1220</v>
      </c>
      <c r="J174" s="26">
        <f>+COUNTIF('ID1&amp;5'!G:G,'1. Status'!I174)</f>
        <v>0</v>
      </c>
      <c r="K174" s="79" t="str">
        <f>+IFERROR(VLOOKUP(CONCATENATE(A174,$B$10,B174),'ID1&amp;5'!B:J,8,FALSE),"-")</f>
        <v>-</v>
      </c>
      <c r="L174" s="78" t="str">
        <f>+IFERROR(VLOOKUP(B174,'ID1&amp;5'!K:L,2,FALSE),"-")</f>
        <v>-</v>
      </c>
      <c r="M174" s="79" t="str">
        <f>+IFERROR(VLOOKUP(CONCATENATE(A174,$B$10,B174),'ID1&amp;5'!B:J,9,FALSE),"-")</f>
        <v>-</v>
      </c>
      <c r="N174" s="79" t="str">
        <f>+IFERROR(VLOOKUP(CONCATENATE(A174,$C$10,C174),'ID1&amp;5'!B:J,8,FALSE),"-")</f>
        <v>-</v>
      </c>
      <c r="O174" s="78" t="str">
        <f>+IFERROR(VLOOKUP(C174,'ID1&amp;5'!K:L,2,FALSE),"-")</f>
        <v>-</v>
      </c>
      <c r="P174" s="79" t="str">
        <f>+IFERROR(VLOOKUP(CONCATENATE(A174,$C$10,C174),'ID1&amp;5'!B:J,9,FALSE),"-")</f>
        <v>-</v>
      </c>
      <c r="Q174" s="78" t="str">
        <f>+IFERROR(VLOOKUP(D174,'ID1&amp;5'!K:L,2,FALSE),"-")</f>
        <v>-</v>
      </c>
      <c r="R174" s="26" t="str">
        <f>+IFERROR(VLOOKUP(CONCATENATE(A174,$D$10,D174),'ID1&amp;5'!B:J,9,FALSE),"-")</f>
        <v>-</v>
      </c>
      <c r="S174" s="78" t="str">
        <f>+IFERROR(VLOOKUP(E174,'ID1&amp;5'!K:L,2,FALSE),"-")</f>
        <v>-</v>
      </c>
      <c r="T174" s="79" t="str">
        <f>+IFERROR(VLOOKUP(CONCATENATE(A174,$E$10,E174),'ID1&amp;5'!B:J,9,FALSE),"-")</f>
        <v>-</v>
      </c>
      <c r="U174" s="78" t="str">
        <f>+IFERROR(VLOOKUP(F174,'ID1&amp;5'!K:L,2,FALSE),"-")</f>
        <v>-</v>
      </c>
      <c r="V174" s="79" t="str">
        <f>+IFERROR(VLOOKUP(CONCATENATE(A174,$F$10,F174),'ID1&amp;5'!B:J,9,FALSE),"-")</f>
        <v>-</v>
      </c>
      <c r="W174" s="26" t="str">
        <f>+IFERROR(VLOOKUP(A174,'ID6&amp;7'!A:I,9,FALSE),"-")</f>
        <v>-</v>
      </c>
      <c r="X174" s="26" t="str">
        <f>+IFERROR(VLOOKUP(A174,'ID6&amp;7'!A:J,10,FALSE),"-")</f>
        <v>-</v>
      </c>
      <c r="Y174" s="26"/>
      <c r="Z174" s="27" t="str">
        <f t="shared" si="3"/>
        <v>Por iniciar</v>
      </c>
      <c r="AA174" s="65"/>
    </row>
    <row r="175" spans="1:27">
      <c r="A175" s="20"/>
      <c r="B175" s="60"/>
      <c r="C175" s="60"/>
      <c r="D175" s="60"/>
      <c r="E175" s="60"/>
      <c r="F175" s="60"/>
      <c r="G175" s="60"/>
      <c r="H175" s="65" t="s">
        <v>113</v>
      </c>
      <c r="I175" s="21" t="s">
        <v>1221</v>
      </c>
      <c r="J175" s="26">
        <f>+COUNTIF('ID1&amp;5'!G:G,'1. Status'!I175)</f>
        <v>0</v>
      </c>
      <c r="K175" s="79" t="str">
        <f>+IFERROR(VLOOKUP(CONCATENATE(A175,$B$10,B175),'ID1&amp;5'!B:J,8,FALSE),"-")</f>
        <v>-</v>
      </c>
      <c r="L175" s="78" t="str">
        <f>+IFERROR(VLOOKUP(B175,'ID1&amp;5'!K:L,2,FALSE),"-")</f>
        <v>-</v>
      </c>
      <c r="M175" s="79" t="str">
        <f>+IFERROR(VLOOKUP(CONCATENATE(A175,$B$10,B175),'ID1&amp;5'!B:J,9,FALSE),"-")</f>
        <v>-</v>
      </c>
      <c r="N175" s="79" t="str">
        <f>+IFERROR(VLOOKUP(CONCATENATE(A175,$C$10,C175),'ID1&amp;5'!B:J,8,FALSE),"-")</f>
        <v>-</v>
      </c>
      <c r="O175" s="78" t="str">
        <f>+IFERROR(VLOOKUP(C175,'ID1&amp;5'!K:L,2,FALSE),"-")</f>
        <v>-</v>
      </c>
      <c r="P175" s="79" t="str">
        <f>+IFERROR(VLOOKUP(CONCATENATE(A175,$C$10,C175),'ID1&amp;5'!B:J,9,FALSE),"-")</f>
        <v>-</v>
      </c>
      <c r="Q175" s="78" t="str">
        <f>+IFERROR(VLOOKUP(D175,'ID1&amp;5'!K:L,2,FALSE),"-")</f>
        <v>-</v>
      </c>
      <c r="R175" s="26" t="str">
        <f>+IFERROR(VLOOKUP(CONCATENATE(A175,$D$10,D175),'ID1&amp;5'!B:J,9,FALSE),"-")</f>
        <v>-</v>
      </c>
      <c r="S175" s="78" t="str">
        <f>+IFERROR(VLOOKUP(E175,'ID1&amp;5'!K:L,2,FALSE),"-")</f>
        <v>-</v>
      </c>
      <c r="T175" s="79" t="str">
        <f>+IFERROR(VLOOKUP(CONCATENATE(A175,$E$10,E175),'ID1&amp;5'!B:J,9,FALSE),"-")</f>
        <v>-</v>
      </c>
      <c r="U175" s="78" t="str">
        <f>+IFERROR(VLOOKUP(F175,'ID1&amp;5'!K:L,2,FALSE),"-")</f>
        <v>-</v>
      </c>
      <c r="V175" s="79" t="str">
        <f>+IFERROR(VLOOKUP(CONCATENATE(A175,$F$10,F175),'ID1&amp;5'!B:J,9,FALSE),"-")</f>
        <v>-</v>
      </c>
      <c r="W175" s="26" t="str">
        <f>+IFERROR(VLOOKUP(A175,'ID6&amp;7'!A:I,9,FALSE),"-")</f>
        <v>-</v>
      </c>
      <c r="X175" s="26" t="str">
        <f>+IFERROR(VLOOKUP(A175,'ID6&amp;7'!A:J,10,FALSE),"-")</f>
        <v>-</v>
      </c>
      <c r="Y175" s="26"/>
      <c r="Z175" s="27" t="str">
        <f t="shared" si="3"/>
        <v>Por iniciar</v>
      </c>
      <c r="AA175" s="65"/>
    </row>
    <row r="176" spans="1:27">
      <c r="A176" s="20"/>
      <c r="B176" s="60"/>
      <c r="C176" s="60"/>
      <c r="D176" s="60"/>
      <c r="E176" s="60"/>
      <c r="F176" s="60"/>
      <c r="G176" s="60"/>
      <c r="H176" s="65" t="s">
        <v>113</v>
      </c>
      <c r="I176" s="21" t="s">
        <v>1222</v>
      </c>
      <c r="J176" s="26">
        <f>+COUNTIF('ID1&amp;5'!G:G,'1. Status'!I176)</f>
        <v>0</v>
      </c>
      <c r="K176" s="79" t="str">
        <f>+IFERROR(VLOOKUP(CONCATENATE(A176,$B$10,B176),'ID1&amp;5'!B:J,8,FALSE),"-")</f>
        <v>-</v>
      </c>
      <c r="L176" s="78" t="str">
        <f>+IFERROR(VLOOKUP(B176,'ID1&amp;5'!K:L,2,FALSE),"-")</f>
        <v>-</v>
      </c>
      <c r="M176" s="79" t="str">
        <f>+IFERROR(VLOOKUP(CONCATENATE(A176,$B$10,B176),'ID1&amp;5'!B:J,9,FALSE),"-")</f>
        <v>-</v>
      </c>
      <c r="N176" s="79" t="str">
        <f>+IFERROR(VLOOKUP(CONCATENATE(A176,$C$10,C176),'ID1&amp;5'!B:J,8,FALSE),"-")</f>
        <v>-</v>
      </c>
      <c r="O176" s="78" t="str">
        <f>+IFERROR(VLOOKUP(C176,'ID1&amp;5'!K:L,2,FALSE),"-")</f>
        <v>-</v>
      </c>
      <c r="P176" s="79" t="str">
        <f>+IFERROR(VLOOKUP(CONCATENATE(A176,$C$10,C176),'ID1&amp;5'!B:J,9,FALSE),"-")</f>
        <v>-</v>
      </c>
      <c r="Q176" s="78" t="str">
        <f>+IFERROR(VLOOKUP(D176,'ID1&amp;5'!K:L,2,FALSE),"-")</f>
        <v>-</v>
      </c>
      <c r="R176" s="26" t="str">
        <f>+IFERROR(VLOOKUP(CONCATENATE(A176,$D$10,D176),'ID1&amp;5'!B:J,9,FALSE),"-")</f>
        <v>-</v>
      </c>
      <c r="S176" s="78" t="str">
        <f>+IFERROR(VLOOKUP(E176,'ID1&amp;5'!K:L,2,FALSE),"-")</f>
        <v>-</v>
      </c>
      <c r="T176" s="79" t="str">
        <f>+IFERROR(VLOOKUP(CONCATENATE(A176,$E$10,E176),'ID1&amp;5'!B:J,9,FALSE),"-")</f>
        <v>-</v>
      </c>
      <c r="U176" s="78" t="str">
        <f>+IFERROR(VLOOKUP(F176,'ID1&amp;5'!K:L,2,FALSE),"-")</f>
        <v>-</v>
      </c>
      <c r="V176" s="79" t="str">
        <f>+IFERROR(VLOOKUP(CONCATENATE(A176,$F$10,F176),'ID1&amp;5'!B:J,9,FALSE),"-")</f>
        <v>-</v>
      </c>
      <c r="W176" s="26" t="str">
        <f>+IFERROR(VLOOKUP(A176,'ID6&amp;7'!A:I,9,FALSE),"-")</f>
        <v>-</v>
      </c>
      <c r="X176" s="26" t="str">
        <f>+IFERROR(VLOOKUP(A176,'ID6&amp;7'!A:J,10,FALSE),"-")</f>
        <v>-</v>
      </c>
      <c r="Y176" s="26"/>
      <c r="Z176" s="27" t="str">
        <f t="shared" si="3"/>
        <v>Por iniciar</v>
      </c>
      <c r="AA176" s="65"/>
    </row>
    <row r="177" spans="1:27">
      <c r="A177" s="20"/>
      <c r="B177" s="60"/>
      <c r="C177" s="60"/>
      <c r="D177" s="60"/>
      <c r="E177" s="60"/>
      <c r="F177" s="60"/>
      <c r="G177" s="60"/>
      <c r="H177" s="65" t="s">
        <v>113</v>
      </c>
      <c r="I177" s="21" t="s">
        <v>1223</v>
      </c>
      <c r="J177" s="26">
        <f>+COUNTIF('ID1&amp;5'!G:G,'1. Status'!I177)</f>
        <v>0</v>
      </c>
      <c r="K177" s="79" t="str">
        <f>+IFERROR(VLOOKUP(CONCATENATE(A177,$B$10,B177),'ID1&amp;5'!B:J,8,FALSE),"-")</f>
        <v>-</v>
      </c>
      <c r="L177" s="78" t="str">
        <f>+IFERROR(VLOOKUP(B177,'ID1&amp;5'!K:L,2,FALSE),"-")</f>
        <v>-</v>
      </c>
      <c r="M177" s="79" t="str">
        <f>+IFERROR(VLOOKUP(CONCATENATE(A177,$B$10,B177),'ID1&amp;5'!B:J,9,FALSE),"-")</f>
        <v>-</v>
      </c>
      <c r="N177" s="79" t="str">
        <f>+IFERROR(VLOOKUP(CONCATENATE(A177,$C$10,C177),'ID1&amp;5'!B:J,8,FALSE),"-")</f>
        <v>-</v>
      </c>
      <c r="O177" s="78" t="str">
        <f>+IFERROR(VLOOKUP(C177,'ID1&amp;5'!K:L,2,FALSE),"-")</f>
        <v>-</v>
      </c>
      <c r="P177" s="79" t="str">
        <f>+IFERROR(VLOOKUP(CONCATENATE(A177,$C$10,C177),'ID1&amp;5'!B:J,9,FALSE),"-")</f>
        <v>-</v>
      </c>
      <c r="Q177" s="78" t="str">
        <f>+IFERROR(VLOOKUP(D177,'ID1&amp;5'!K:L,2,FALSE),"-")</f>
        <v>-</v>
      </c>
      <c r="R177" s="26" t="str">
        <f>+IFERROR(VLOOKUP(CONCATENATE(A177,$D$10,D177),'ID1&amp;5'!B:J,9,FALSE),"-")</f>
        <v>-</v>
      </c>
      <c r="S177" s="78" t="str">
        <f>+IFERROR(VLOOKUP(E177,'ID1&amp;5'!K:L,2,FALSE),"-")</f>
        <v>-</v>
      </c>
      <c r="T177" s="79" t="str">
        <f>+IFERROR(VLOOKUP(CONCATENATE(A177,$E$10,E177),'ID1&amp;5'!B:J,9,FALSE),"-")</f>
        <v>-</v>
      </c>
      <c r="U177" s="78" t="str">
        <f>+IFERROR(VLOOKUP(F177,'ID1&amp;5'!K:L,2,FALSE),"-")</f>
        <v>-</v>
      </c>
      <c r="V177" s="79" t="str">
        <f>+IFERROR(VLOOKUP(CONCATENATE(A177,$F$10,F177),'ID1&amp;5'!B:J,9,FALSE),"-")</f>
        <v>-</v>
      </c>
      <c r="W177" s="26" t="str">
        <f>+IFERROR(VLOOKUP(A177,'ID6&amp;7'!A:I,9,FALSE),"-")</f>
        <v>-</v>
      </c>
      <c r="X177" s="26" t="str">
        <f>+IFERROR(VLOOKUP(A177,'ID6&amp;7'!A:J,10,FALSE),"-")</f>
        <v>-</v>
      </c>
      <c r="Y177" s="26"/>
      <c r="Z177" s="27" t="str">
        <f t="shared" si="3"/>
        <v>Por iniciar</v>
      </c>
      <c r="AA177" s="65"/>
    </row>
    <row r="178" spans="1:27">
      <c r="A178" s="20"/>
      <c r="B178" s="60"/>
      <c r="C178" s="60"/>
      <c r="D178" s="60"/>
      <c r="E178" s="60"/>
      <c r="F178" s="60"/>
      <c r="G178" s="60"/>
      <c r="H178" s="65" t="s">
        <v>113</v>
      </c>
      <c r="I178" s="21" t="s">
        <v>1224</v>
      </c>
      <c r="J178" s="26">
        <f>+COUNTIF('ID1&amp;5'!G:G,'1. Status'!I178)</f>
        <v>0</v>
      </c>
      <c r="K178" s="79" t="str">
        <f>+IFERROR(VLOOKUP(CONCATENATE(A178,$B$10,B178),'ID1&amp;5'!B:J,8,FALSE),"-")</f>
        <v>-</v>
      </c>
      <c r="L178" s="78" t="str">
        <f>+IFERROR(VLOOKUP(B178,'ID1&amp;5'!K:L,2,FALSE),"-")</f>
        <v>-</v>
      </c>
      <c r="M178" s="79" t="str">
        <f>+IFERROR(VLOOKUP(CONCATENATE(A178,$B$10,B178),'ID1&amp;5'!B:J,9,FALSE),"-")</f>
        <v>-</v>
      </c>
      <c r="N178" s="79" t="str">
        <f>+IFERROR(VLOOKUP(CONCATENATE(A178,$C$10,C178),'ID1&amp;5'!B:J,8,FALSE),"-")</f>
        <v>-</v>
      </c>
      <c r="O178" s="78" t="str">
        <f>+IFERROR(VLOOKUP(C178,'ID1&amp;5'!K:L,2,FALSE),"-")</f>
        <v>-</v>
      </c>
      <c r="P178" s="79" t="str">
        <f>+IFERROR(VLOOKUP(CONCATENATE(A178,$C$10,C178),'ID1&amp;5'!B:J,9,FALSE),"-")</f>
        <v>-</v>
      </c>
      <c r="Q178" s="78" t="str">
        <f>+IFERROR(VLOOKUP(D178,'ID1&amp;5'!K:L,2,FALSE),"-")</f>
        <v>-</v>
      </c>
      <c r="R178" s="26" t="str">
        <f>+IFERROR(VLOOKUP(CONCATENATE(A178,$D$10,D178),'ID1&amp;5'!B:J,9,FALSE),"-")</f>
        <v>-</v>
      </c>
      <c r="S178" s="78" t="str">
        <f>+IFERROR(VLOOKUP(E178,'ID1&amp;5'!K:L,2,FALSE),"-")</f>
        <v>-</v>
      </c>
      <c r="T178" s="79" t="str">
        <f>+IFERROR(VLOOKUP(CONCATENATE(A178,$E$10,E178),'ID1&amp;5'!B:J,9,FALSE),"-")</f>
        <v>-</v>
      </c>
      <c r="U178" s="78" t="str">
        <f>+IFERROR(VLOOKUP(F178,'ID1&amp;5'!K:L,2,FALSE),"-")</f>
        <v>-</v>
      </c>
      <c r="V178" s="79" t="str">
        <f>+IFERROR(VLOOKUP(CONCATENATE(A178,$F$10,F178),'ID1&amp;5'!B:J,9,FALSE),"-")</f>
        <v>-</v>
      </c>
      <c r="W178" s="26" t="str">
        <f>+IFERROR(VLOOKUP(A178,'ID6&amp;7'!A:I,9,FALSE),"-")</f>
        <v>-</v>
      </c>
      <c r="X178" s="26" t="str">
        <f>+IFERROR(VLOOKUP(A178,'ID6&amp;7'!A:J,10,FALSE),"-")</f>
        <v>-</v>
      </c>
      <c r="Y178" s="26"/>
      <c r="Z178" s="27" t="str">
        <f t="shared" si="3"/>
        <v>Por iniciar</v>
      </c>
      <c r="AA178" s="65"/>
    </row>
    <row r="179" spans="1:27">
      <c r="A179" s="20"/>
      <c r="B179" s="60"/>
      <c r="C179" s="60"/>
      <c r="D179" s="60"/>
      <c r="E179" s="60"/>
      <c r="F179" s="60"/>
      <c r="G179" s="60"/>
      <c r="H179" s="65" t="s">
        <v>113</v>
      </c>
      <c r="I179" s="21" t="s">
        <v>1225</v>
      </c>
      <c r="J179" s="26">
        <f>+COUNTIF('ID1&amp;5'!G:G,'1. Status'!I179)</f>
        <v>0</v>
      </c>
      <c r="K179" s="79" t="str">
        <f>+IFERROR(VLOOKUP(CONCATENATE(A179,$B$10,B179),'ID1&amp;5'!B:J,8,FALSE),"-")</f>
        <v>-</v>
      </c>
      <c r="L179" s="78" t="str">
        <f>+IFERROR(VLOOKUP(B179,'ID1&amp;5'!K:L,2,FALSE),"-")</f>
        <v>-</v>
      </c>
      <c r="M179" s="79" t="str">
        <f>+IFERROR(VLOOKUP(CONCATENATE(A179,$B$10,B179),'ID1&amp;5'!B:J,9,FALSE),"-")</f>
        <v>-</v>
      </c>
      <c r="N179" s="79" t="str">
        <f>+IFERROR(VLOOKUP(CONCATENATE(A179,$C$10,C179),'ID1&amp;5'!B:J,8,FALSE),"-")</f>
        <v>-</v>
      </c>
      <c r="O179" s="78" t="str">
        <f>+IFERROR(VLOOKUP(C179,'ID1&amp;5'!K:L,2,FALSE),"-")</f>
        <v>-</v>
      </c>
      <c r="P179" s="79" t="str">
        <f>+IFERROR(VLOOKUP(CONCATENATE(A179,$C$10,C179),'ID1&amp;5'!B:J,9,FALSE),"-")</f>
        <v>-</v>
      </c>
      <c r="Q179" s="78" t="str">
        <f>+IFERROR(VLOOKUP(D179,'ID1&amp;5'!K:L,2,FALSE),"-")</f>
        <v>-</v>
      </c>
      <c r="R179" s="26" t="str">
        <f>+IFERROR(VLOOKUP(CONCATENATE(A179,$D$10,D179),'ID1&amp;5'!B:J,9,FALSE),"-")</f>
        <v>-</v>
      </c>
      <c r="S179" s="78" t="str">
        <f>+IFERROR(VLOOKUP(E179,'ID1&amp;5'!K:L,2,FALSE),"-")</f>
        <v>-</v>
      </c>
      <c r="T179" s="79" t="str">
        <f>+IFERROR(VLOOKUP(CONCATENATE(A179,$E$10,E179),'ID1&amp;5'!B:J,9,FALSE),"-")</f>
        <v>-</v>
      </c>
      <c r="U179" s="78" t="str">
        <f>+IFERROR(VLOOKUP(F179,'ID1&amp;5'!K:L,2,FALSE),"-")</f>
        <v>-</v>
      </c>
      <c r="V179" s="79" t="str">
        <f>+IFERROR(VLOOKUP(CONCATENATE(A179,$F$10,F179),'ID1&amp;5'!B:J,9,FALSE),"-")</f>
        <v>-</v>
      </c>
      <c r="W179" s="26" t="str">
        <f>+IFERROR(VLOOKUP(A179,'ID6&amp;7'!A:I,9,FALSE),"-")</f>
        <v>-</v>
      </c>
      <c r="X179" s="26" t="str">
        <f>+IFERROR(VLOOKUP(A179,'ID6&amp;7'!A:J,10,FALSE),"-")</f>
        <v>-</v>
      </c>
      <c r="Y179" s="26"/>
      <c r="Z179" s="27" t="str">
        <f t="shared" si="3"/>
        <v>Por iniciar</v>
      </c>
      <c r="AA179" s="65"/>
    </row>
    <row r="180" spans="1:27">
      <c r="A180" s="20"/>
      <c r="B180" s="60"/>
      <c r="C180" s="60"/>
      <c r="D180" s="60"/>
      <c r="E180" s="60"/>
      <c r="F180" s="60"/>
      <c r="G180" s="60"/>
      <c r="H180" s="65" t="s">
        <v>113</v>
      </c>
      <c r="I180" s="21" t="s">
        <v>1226</v>
      </c>
      <c r="J180" s="26">
        <f>+COUNTIF('ID1&amp;5'!G:G,'1. Status'!I180)</f>
        <v>0</v>
      </c>
      <c r="K180" s="79" t="str">
        <f>+IFERROR(VLOOKUP(CONCATENATE(A180,$B$10,B180),'ID1&amp;5'!B:J,8,FALSE),"-")</f>
        <v>-</v>
      </c>
      <c r="L180" s="78" t="str">
        <f>+IFERROR(VLOOKUP(B180,'ID1&amp;5'!K:L,2,FALSE),"-")</f>
        <v>-</v>
      </c>
      <c r="M180" s="79" t="str">
        <f>+IFERROR(VLOOKUP(CONCATENATE(A180,$B$10,B180),'ID1&amp;5'!B:J,9,FALSE),"-")</f>
        <v>-</v>
      </c>
      <c r="N180" s="79" t="str">
        <f>+IFERROR(VLOOKUP(CONCATENATE(A180,$C$10,C180),'ID1&amp;5'!B:J,8,FALSE),"-")</f>
        <v>-</v>
      </c>
      <c r="O180" s="78" t="str">
        <f>+IFERROR(VLOOKUP(C180,'ID1&amp;5'!K:L,2,FALSE),"-")</f>
        <v>-</v>
      </c>
      <c r="P180" s="79" t="str">
        <f>+IFERROR(VLOOKUP(CONCATENATE(A180,$C$10,C180),'ID1&amp;5'!B:J,9,FALSE),"-")</f>
        <v>-</v>
      </c>
      <c r="Q180" s="78" t="str">
        <f>+IFERROR(VLOOKUP(D180,'ID1&amp;5'!K:L,2,FALSE),"-")</f>
        <v>-</v>
      </c>
      <c r="R180" s="26" t="str">
        <f>+IFERROR(VLOOKUP(CONCATENATE(A180,$D$10,D180),'ID1&amp;5'!B:J,9,FALSE),"-")</f>
        <v>-</v>
      </c>
      <c r="S180" s="78" t="str">
        <f>+IFERROR(VLOOKUP(E180,'ID1&amp;5'!K:L,2,FALSE),"-")</f>
        <v>-</v>
      </c>
      <c r="T180" s="79" t="str">
        <f>+IFERROR(VLOOKUP(CONCATENATE(A180,$E$10,E180),'ID1&amp;5'!B:J,9,FALSE),"-")</f>
        <v>-</v>
      </c>
      <c r="U180" s="78" t="str">
        <f>+IFERROR(VLOOKUP(F180,'ID1&amp;5'!K:L,2,FALSE),"-")</f>
        <v>-</v>
      </c>
      <c r="V180" s="79" t="str">
        <f>+IFERROR(VLOOKUP(CONCATENATE(A180,$F$10,F180),'ID1&amp;5'!B:J,9,FALSE),"-")</f>
        <v>-</v>
      </c>
      <c r="W180" s="26" t="str">
        <f>+IFERROR(VLOOKUP(A180,'ID6&amp;7'!A:I,9,FALSE),"-")</f>
        <v>-</v>
      </c>
      <c r="X180" s="26" t="str">
        <f>+IFERROR(VLOOKUP(A180,'ID6&amp;7'!A:J,10,FALSE),"-")</f>
        <v>-</v>
      </c>
      <c r="Y180" s="26"/>
      <c r="Z180" s="27" t="str">
        <f t="shared" si="3"/>
        <v>Por iniciar</v>
      </c>
      <c r="AA180" s="65"/>
    </row>
    <row r="181" spans="1:27">
      <c r="A181" s="20"/>
      <c r="B181" s="60"/>
      <c r="C181" s="60"/>
      <c r="D181" s="60"/>
      <c r="E181" s="60"/>
      <c r="F181" s="60"/>
      <c r="G181" s="60"/>
      <c r="H181" s="65" t="s">
        <v>113</v>
      </c>
      <c r="I181" s="21" t="s">
        <v>1227</v>
      </c>
      <c r="J181" s="26">
        <f>+COUNTIF('ID1&amp;5'!G:G,'1. Status'!I181)</f>
        <v>0</v>
      </c>
      <c r="K181" s="79" t="str">
        <f>+IFERROR(VLOOKUP(CONCATENATE(A181,$B$10,B181),'ID1&amp;5'!B:J,8,FALSE),"-")</f>
        <v>-</v>
      </c>
      <c r="L181" s="78" t="str">
        <f>+IFERROR(VLOOKUP(B181,'ID1&amp;5'!K:L,2,FALSE),"-")</f>
        <v>-</v>
      </c>
      <c r="M181" s="79" t="str">
        <f>+IFERROR(VLOOKUP(CONCATENATE(A181,$B$10,B181),'ID1&amp;5'!B:J,9,FALSE),"-")</f>
        <v>-</v>
      </c>
      <c r="N181" s="79" t="str">
        <f>+IFERROR(VLOOKUP(CONCATENATE(A181,$C$10,C181),'ID1&amp;5'!B:J,8,FALSE),"-")</f>
        <v>-</v>
      </c>
      <c r="O181" s="78" t="str">
        <f>+IFERROR(VLOOKUP(C181,'ID1&amp;5'!K:L,2,FALSE),"-")</f>
        <v>-</v>
      </c>
      <c r="P181" s="79" t="str">
        <f>+IFERROR(VLOOKUP(CONCATENATE(A181,$C$10,C181),'ID1&amp;5'!B:J,9,FALSE),"-")</f>
        <v>-</v>
      </c>
      <c r="Q181" s="78" t="str">
        <f>+IFERROR(VLOOKUP(D181,'ID1&amp;5'!K:L,2,FALSE),"-")</f>
        <v>-</v>
      </c>
      <c r="R181" s="26" t="str">
        <f>+IFERROR(VLOOKUP(CONCATENATE(A181,$D$10,D181),'ID1&amp;5'!B:J,9,FALSE),"-")</f>
        <v>-</v>
      </c>
      <c r="S181" s="78" t="str">
        <f>+IFERROR(VLOOKUP(E181,'ID1&amp;5'!K:L,2,FALSE),"-")</f>
        <v>-</v>
      </c>
      <c r="T181" s="79" t="str">
        <f>+IFERROR(VLOOKUP(CONCATENATE(A181,$E$10,E181),'ID1&amp;5'!B:J,9,FALSE),"-")</f>
        <v>-</v>
      </c>
      <c r="U181" s="78" t="str">
        <f>+IFERROR(VLOOKUP(F181,'ID1&amp;5'!K:L,2,FALSE),"-")</f>
        <v>-</v>
      </c>
      <c r="V181" s="79" t="str">
        <f>+IFERROR(VLOOKUP(CONCATENATE(A181,$F$10,F181),'ID1&amp;5'!B:J,9,FALSE),"-")</f>
        <v>-</v>
      </c>
      <c r="W181" s="26" t="str">
        <f>+IFERROR(VLOOKUP(A181,'ID6&amp;7'!A:I,9,FALSE),"-")</f>
        <v>-</v>
      </c>
      <c r="X181" s="26" t="str">
        <f>+IFERROR(VLOOKUP(A181,'ID6&amp;7'!A:J,10,FALSE),"-")</f>
        <v>-</v>
      </c>
      <c r="Y181" s="26"/>
      <c r="Z181" s="27" t="str">
        <f t="shared" si="3"/>
        <v>Por iniciar</v>
      </c>
      <c r="AA181" s="65"/>
    </row>
    <row r="182" spans="1:27">
      <c r="A182" s="20"/>
      <c r="B182" s="60"/>
      <c r="C182" s="60"/>
      <c r="D182" s="60"/>
      <c r="E182" s="60"/>
      <c r="F182" s="60"/>
      <c r="G182" s="60"/>
      <c r="H182" s="65" t="s">
        <v>113</v>
      </c>
      <c r="I182" s="21" t="s">
        <v>1228</v>
      </c>
      <c r="J182" s="26">
        <f>+COUNTIF('ID1&amp;5'!G:G,'1. Status'!I182)</f>
        <v>0</v>
      </c>
      <c r="K182" s="79" t="str">
        <f>+IFERROR(VLOOKUP(CONCATENATE(A182,$B$10,B182),'ID1&amp;5'!B:J,8,FALSE),"-")</f>
        <v>-</v>
      </c>
      <c r="L182" s="78" t="str">
        <f>+IFERROR(VLOOKUP(B182,'ID1&amp;5'!K:L,2,FALSE),"-")</f>
        <v>-</v>
      </c>
      <c r="M182" s="79" t="str">
        <f>+IFERROR(VLOOKUP(CONCATENATE(A182,$B$10,B182),'ID1&amp;5'!B:J,9,FALSE),"-")</f>
        <v>-</v>
      </c>
      <c r="N182" s="79" t="str">
        <f>+IFERROR(VLOOKUP(CONCATENATE(A182,$C$10,C182),'ID1&amp;5'!B:J,8,FALSE),"-")</f>
        <v>-</v>
      </c>
      <c r="O182" s="78" t="str">
        <f>+IFERROR(VLOOKUP(C182,'ID1&amp;5'!K:L,2,FALSE),"-")</f>
        <v>-</v>
      </c>
      <c r="P182" s="79" t="str">
        <f>+IFERROR(VLOOKUP(CONCATENATE(A182,$C$10,C182),'ID1&amp;5'!B:J,9,FALSE),"-")</f>
        <v>-</v>
      </c>
      <c r="Q182" s="78" t="str">
        <f>+IFERROR(VLOOKUP(D182,'ID1&amp;5'!K:L,2,FALSE),"-")</f>
        <v>-</v>
      </c>
      <c r="R182" s="26" t="str">
        <f>+IFERROR(VLOOKUP(CONCATENATE(A182,$D$10,D182),'ID1&amp;5'!B:J,9,FALSE),"-")</f>
        <v>-</v>
      </c>
      <c r="S182" s="78" t="str">
        <f>+IFERROR(VLOOKUP(E182,'ID1&amp;5'!K:L,2,FALSE),"-")</f>
        <v>-</v>
      </c>
      <c r="T182" s="79" t="str">
        <f>+IFERROR(VLOOKUP(CONCATENATE(A182,$E$10,E182),'ID1&amp;5'!B:J,9,FALSE),"-")</f>
        <v>-</v>
      </c>
      <c r="U182" s="78" t="str">
        <f>+IFERROR(VLOOKUP(F182,'ID1&amp;5'!K:L,2,FALSE),"-")</f>
        <v>-</v>
      </c>
      <c r="V182" s="79" t="str">
        <f>+IFERROR(VLOOKUP(CONCATENATE(A182,$F$10,F182),'ID1&amp;5'!B:J,9,FALSE),"-")</f>
        <v>-</v>
      </c>
      <c r="W182" s="26" t="str">
        <f>+IFERROR(VLOOKUP(A182,'ID6&amp;7'!A:I,9,FALSE),"-")</f>
        <v>-</v>
      </c>
      <c r="X182" s="26" t="str">
        <f>+IFERROR(VLOOKUP(A182,'ID6&amp;7'!A:J,10,FALSE),"-")</f>
        <v>-</v>
      </c>
      <c r="Y182" s="26"/>
      <c r="Z182" s="27" t="str">
        <f t="shared" si="3"/>
        <v>Por iniciar</v>
      </c>
      <c r="AA182" s="65"/>
    </row>
    <row r="183" spans="1:27">
      <c r="A183" s="20"/>
      <c r="B183" s="60"/>
      <c r="C183" s="60"/>
      <c r="D183" s="60"/>
      <c r="E183" s="60"/>
      <c r="F183" s="60"/>
      <c r="G183" s="60"/>
      <c r="H183" s="65" t="s">
        <v>113</v>
      </c>
      <c r="I183" s="21" t="s">
        <v>1229</v>
      </c>
      <c r="J183" s="26">
        <f>+COUNTIF('ID1&amp;5'!G:G,'1. Status'!I183)</f>
        <v>0</v>
      </c>
      <c r="K183" s="79" t="str">
        <f>+IFERROR(VLOOKUP(CONCATENATE(A183,$B$10,B183),'ID1&amp;5'!B:J,8,FALSE),"-")</f>
        <v>-</v>
      </c>
      <c r="L183" s="78" t="str">
        <f>+IFERROR(VLOOKUP(B183,'ID1&amp;5'!K:L,2,FALSE),"-")</f>
        <v>-</v>
      </c>
      <c r="M183" s="79" t="str">
        <f>+IFERROR(VLOOKUP(CONCATENATE(A183,$B$10,B183),'ID1&amp;5'!B:J,9,FALSE),"-")</f>
        <v>-</v>
      </c>
      <c r="N183" s="79" t="str">
        <f>+IFERROR(VLOOKUP(CONCATENATE(A183,$C$10,C183),'ID1&amp;5'!B:J,8,FALSE),"-")</f>
        <v>-</v>
      </c>
      <c r="O183" s="78" t="str">
        <f>+IFERROR(VLOOKUP(C183,'ID1&amp;5'!K:L,2,FALSE),"-")</f>
        <v>-</v>
      </c>
      <c r="P183" s="79" t="str">
        <f>+IFERROR(VLOOKUP(CONCATENATE(A183,$C$10,C183),'ID1&amp;5'!B:J,9,FALSE),"-")</f>
        <v>-</v>
      </c>
      <c r="Q183" s="78" t="str">
        <f>+IFERROR(VLOOKUP(D183,'ID1&amp;5'!K:L,2,FALSE),"-")</f>
        <v>-</v>
      </c>
      <c r="R183" s="26" t="str">
        <f>+IFERROR(VLOOKUP(CONCATENATE(A183,$D$10,D183),'ID1&amp;5'!B:J,9,FALSE),"-")</f>
        <v>-</v>
      </c>
      <c r="S183" s="78" t="str">
        <f>+IFERROR(VLOOKUP(E183,'ID1&amp;5'!K:L,2,FALSE),"-")</f>
        <v>-</v>
      </c>
      <c r="T183" s="79" t="str">
        <f>+IFERROR(VLOOKUP(CONCATENATE(A183,$E$10,E183),'ID1&amp;5'!B:J,9,FALSE),"-")</f>
        <v>-</v>
      </c>
      <c r="U183" s="78" t="str">
        <f>+IFERROR(VLOOKUP(F183,'ID1&amp;5'!K:L,2,FALSE),"-")</f>
        <v>-</v>
      </c>
      <c r="V183" s="79" t="str">
        <f>+IFERROR(VLOOKUP(CONCATENATE(A183,$F$10,F183),'ID1&amp;5'!B:J,9,FALSE),"-")</f>
        <v>-</v>
      </c>
      <c r="W183" s="26" t="str">
        <f>+IFERROR(VLOOKUP(A183,'ID6&amp;7'!A:I,9,FALSE),"-")</f>
        <v>-</v>
      </c>
      <c r="X183" s="26" t="str">
        <f>+IFERROR(VLOOKUP(A183,'ID6&amp;7'!A:J,10,FALSE),"-")</f>
        <v>-</v>
      </c>
      <c r="Y183" s="26"/>
      <c r="Z183" s="27" t="str">
        <f t="shared" si="3"/>
        <v>Por iniciar</v>
      </c>
      <c r="AA183" s="65"/>
    </row>
    <row r="184" spans="1:27">
      <c r="A184" s="20"/>
      <c r="B184" s="60"/>
      <c r="C184" s="60"/>
      <c r="D184" s="60"/>
      <c r="E184" s="60"/>
      <c r="F184" s="60"/>
      <c r="G184" s="60"/>
      <c r="H184" s="65" t="s">
        <v>113</v>
      </c>
      <c r="I184" s="21" t="s">
        <v>1230</v>
      </c>
      <c r="J184" s="26">
        <f>+COUNTIF('ID1&amp;5'!G:G,'1. Status'!I184)</f>
        <v>0</v>
      </c>
      <c r="K184" s="79" t="str">
        <f>+IFERROR(VLOOKUP(CONCATENATE(A184,$B$10,B184),'ID1&amp;5'!B:J,8,FALSE),"-")</f>
        <v>-</v>
      </c>
      <c r="L184" s="78" t="str">
        <f>+IFERROR(VLOOKUP(B184,'ID1&amp;5'!K:L,2,FALSE),"-")</f>
        <v>-</v>
      </c>
      <c r="M184" s="79" t="str">
        <f>+IFERROR(VLOOKUP(CONCATENATE(A184,$B$10,B184),'ID1&amp;5'!B:J,9,FALSE),"-")</f>
        <v>-</v>
      </c>
      <c r="N184" s="79" t="str">
        <f>+IFERROR(VLOOKUP(CONCATENATE(A184,$C$10,C184),'ID1&amp;5'!B:J,8,FALSE),"-")</f>
        <v>-</v>
      </c>
      <c r="O184" s="78" t="str">
        <f>+IFERROR(VLOOKUP(C184,'ID1&amp;5'!K:L,2,FALSE),"-")</f>
        <v>-</v>
      </c>
      <c r="P184" s="79" t="str">
        <f>+IFERROR(VLOOKUP(CONCATENATE(A184,$C$10,C184),'ID1&amp;5'!B:J,9,FALSE),"-")</f>
        <v>-</v>
      </c>
      <c r="Q184" s="78" t="str">
        <f>+IFERROR(VLOOKUP(D184,'ID1&amp;5'!K:L,2,FALSE),"-")</f>
        <v>-</v>
      </c>
      <c r="R184" s="26" t="str">
        <f>+IFERROR(VLOOKUP(CONCATENATE(A184,$D$10,D184),'ID1&amp;5'!B:J,9,FALSE),"-")</f>
        <v>-</v>
      </c>
      <c r="S184" s="78" t="str">
        <f>+IFERROR(VLOOKUP(E184,'ID1&amp;5'!K:L,2,FALSE),"-")</f>
        <v>-</v>
      </c>
      <c r="T184" s="79" t="str">
        <f>+IFERROR(VLOOKUP(CONCATENATE(A184,$E$10,E184),'ID1&amp;5'!B:J,9,FALSE),"-")</f>
        <v>-</v>
      </c>
      <c r="U184" s="78" t="str">
        <f>+IFERROR(VLOOKUP(F184,'ID1&amp;5'!K:L,2,FALSE),"-")</f>
        <v>-</v>
      </c>
      <c r="V184" s="79" t="str">
        <f>+IFERROR(VLOOKUP(CONCATENATE(A184,$F$10,F184),'ID1&amp;5'!B:J,9,FALSE),"-")</f>
        <v>-</v>
      </c>
      <c r="W184" s="26" t="str">
        <f>+IFERROR(VLOOKUP(A184,'ID6&amp;7'!A:I,9,FALSE),"-")</f>
        <v>-</v>
      </c>
      <c r="X184" s="26" t="str">
        <f>+IFERROR(VLOOKUP(A184,'ID6&amp;7'!A:J,10,FALSE),"-")</f>
        <v>-</v>
      </c>
      <c r="Y184" s="26"/>
      <c r="Z184" s="27" t="str">
        <f t="shared" si="3"/>
        <v>Por iniciar</v>
      </c>
      <c r="AA184" s="65"/>
    </row>
    <row r="185" spans="1:27">
      <c r="A185" s="20"/>
      <c r="B185" s="60"/>
      <c r="C185" s="60"/>
      <c r="D185" s="60"/>
      <c r="E185" s="60"/>
      <c r="F185" s="60"/>
      <c r="G185" s="60"/>
      <c r="H185" s="65" t="s">
        <v>113</v>
      </c>
      <c r="I185" s="21" t="s">
        <v>1231</v>
      </c>
      <c r="J185" s="26">
        <f>+COUNTIF('ID1&amp;5'!G:G,'1. Status'!I185)</f>
        <v>0</v>
      </c>
      <c r="K185" s="79" t="str">
        <f>+IFERROR(VLOOKUP(CONCATENATE(A185,$B$10,B185),'ID1&amp;5'!B:J,8,FALSE),"-")</f>
        <v>-</v>
      </c>
      <c r="L185" s="78" t="str">
        <f>+IFERROR(VLOOKUP(B185,'ID1&amp;5'!K:L,2,FALSE),"-")</f>
        <v>-</v>
      </c>
      <c r="M185" s="79" t="str">
        <f>+IFERROR(VLOOKUP(CONCATENATE(A185,$B$10,B185),'ID1&amp;5'!B:J,9,FALSE),"-")</f>
        <v>-</v>
      </c>
      <c r="N185" s="79" t="str">
        <f>+IFERROR(VLOOKUP(CONCATENATE(A185,$C$10,C185),'ID1&amp;5'!B:J,8,FALSE),"-")</f>
        <v>-</v>
      </c>
      <c r="O185" s="78" t="str">
        <f>+IFERROR(VLOOKUP(C185,'ID1&amp;5'!K:L,2,FALSE),"-")</f>
        <v>-</v>
      </c>
      <c r="P185" s="79" t="str">
        <f>+IFERROR(VLOOKUP(CONCATENATE(A185,$C$10,C185),'ID1&amp;5'!B:J,9,FALSE),"-")</f>
        <v>-</v>
      </c>
      <c r="Q185" s="78" t="str">
        <f>+IFERROR(VLOOKUP(D185,'ID1&amp;5'!K:L,2,FALSE),"-")</f>
        <v>-</v>
      </c>
      <c r="R185" s="26" t="str">
        <f>+IFERROR(VLOOKUP(CONCATENATE(A185,$D$10,D185),'ID1&amp;5'!B:J,9,FALSE),"-")</f>
        <v>-</v>
      </c>
      <c r="S185" s="78" t="str">
        <f>+IFERROR(VLOOKUP(E185,'ID1&amp;5'!K:L,2,FALSE),"-")</f>
        <v>-</v>
      </c>
      <c r="T185" s="79" t="str">
        <f>+IFERROR(VLOOKUP(CONCATENATE(A185,$E$10,E185),'ID1&amp;5'!B:J,9,FALSE),"-")</f>
        <v>-</v>
      </c>
      <c r="U185" s="78" t="str">
        <f>+IFERROR(VLOOKUP(F185,'ID1&amp;5'!K:L,2,FALSE),"-")</f>
        <v>-</v>
      </c>
      <c r="V185" s="79" t="str">
        <f>+IFERROR(VLOOKUP(CONCATENATE(A185,$F$10,F185),'ID1&amp;5'!B:J,9,FALSE),"-")</f>
        <v>-</v>
      </c>
      <c r="W185" s="26" t="str">
        <f>+IFERROR(VLOOKUP(A185,'ID6&amp;7'!A:I,9,FALSE),"-")</f>
        <v>-</v>
      </c>
      <c r="X185" s="26" t="str">
        <f>+IFERROR(VLOOKUP(A185,'ID6&amp;7'!A:J,10,FALSE),"-")</f>
        <v>-</v>
      </c>
      <c r="Y185" s="26"/>
      <c r="Z185" s="27" t="str">
        <f t="shared" si="3"/>
        <v>Por iniciar</v>
      </c>
      <c r="AA185" s="65"/>
    </row>
    <row r="186" spans="1:27">
      <c r="A186" s="20"/>
      <c r="B186" s="60"/>
      <c r="C186" s="60"/>
      <c r="D186" s="60"/>
      <c r="E186" s="60"/>
      <c r="F186" s="60"/>
      <c r="G186" s="60"/>
      <c r="H186" s="65" t="s">
        <v>113</v>
      </c>
      <c r="I186" s="21" t="s">
        <v>1232</v>
      </c>
      <c r="J186" s="26">
        <f>+COUNTIF('ID1&amp;5'!G:G,'1. Status'!I186)</f>
        <v>0</v>
      </c>
      <c r="K186" s="79" t="str">
        <f>+IFERROR(VLOOKUP(CONCATENATE(A186,$B$10,B186),'ID1&amp;5'!B:J,8,FALSE),"-")</f>
        <v>-</v>
      </c>
      <c r="L186" s="78" t="str">
        <f>+IFERROR(VLOOKUP(B186,'ID1&amp;5'!K:L,2,FALSE),"-")</f>
        <v>-</v>
      </c>
      <c r="M186" s="79" t="str">
        <f>+IFERROR(VLOOKUP(CONCATENATE(A186,$B$10,B186),'ID1&amp;5'!B:J,9,FALSE),"-")</f>
        <v>-</v>
      </c>
      <c r="N186" s="79" t="str">
        <f>+IFERROR(VLOOKUP(CONCATENATE(A186,$C$10,C186),'ID1&amp;5'!B:J,8,FALSE),"-")</f>
        <v>-</v>
      </c>
      <c r="O186" s="78" t="str">
        <f>+IFERROR(VLOOKUP(C186,'ID1&amp;5'!K:L,2,FALSE),"-")</f>
        <v>-</v>
      </c>
      <c r="P186" s="79" t="str">
        <f>+IFERROR(VLOOKUP(CONCATENATE(A186,$C$10,C186),'ID1&amp;5'!B:J,9,FALSE),"-")</f>
        <v>-</v>
      </c>
      <c r="Q186" s="78" t="str">
        <f>+IFERROR(VLOOKUP(D186,'ID1&amp;5'!K:L,2,FALSE),"-")</f>
        <v>-</v>
      </c>
      <c r="R186" s="26" t="str">
        <f>+IFERROR(VLOOKUP(CONCATENATE(A186,$D$10,D186),'ID1&amp;5'!B:J,9,FALSE),"-")</f>
        <v>-</v>
      </c>
      <c r="S186" s="78" t="str">
        <f>+IFERROR(VLOOKUP(E186,'ID1&amp;5'!K:L,2,FALSE),"-")</f>
        <v>-</v>
      </c>
      <c r="T186" s="79" t="str">
        <f>+IFERROR(VLOOKUP(CONCATENATE(A186,$E$10,E186),'ID1&amp;5'!B:J,9,FALSE),"-")</f>
        <v>-</v>
      </c>
      <c r="U186" s="78" t="str">
        <f>+IFERROR(VLOOKUP(F186,'ID1&amp;5'!K:L,2,FALSE),"-")</f>
        <v>-</v>
      </c>
      <c r="V186" s="79" t="str">
        <f>+IFERROR(VLOOKUP(CONCATENATE(A186,$F$10,F186),'ID1&amp;5'!B:J,9,FALSE),"-")</f>
        <v>-</v>
      </c>
      <c r="W186" s="26" t="str">
        <f>+IFERROR(VLOOKUP(A186,'ID6&amp;7'!A:I,9,FALSE),"-")</f>
        <v>-</v>
      </c>
      <c r="X186" s="26" t="str">
        <f>+IFERROR(VLOOKUP(A186,'ID6&amp;7'!A:J,10,FALSE),"-")</f>
        <v>-</v>
      </c>
      <c r="Y186" s="26"/>
      <c r="Z186" s="27" t="str">
        <f t="shared" si="3"/>
        <v>Por iniciar</v>
      </c>
      <c r="AA186" s="65"/>
    </row>
    <row r="187" spans="1:27">
      <c r="A187" s="20"/>
      <c r="B187" s="60"/>
      <c r="C187" s="60"/>
      <c r="D187" s="60"/>
      <c r="E187" s="60"/>
      <c r="F187" s="60"/>
      <c r="G187" s="60"/>
      <c r="H187" s="65" t="s">
        <v>113</v>
      </c>
      <c r="I187" s="21" t="s">
        <v>1233</v>
      </c>
      <c r="J187" s="26">
        <f>+COUNTIF('ID1&amp;5'!G:G,'1. Status'!I187)</f>
        <v>0</v>
      </c>
      <c r="K187" s="79" t="str">
        <f>+IFERROR(VLOOKUP(CONCATENATE(A187,$B$10,B187),'ID1&amp;5'!B:J,8,FALSE),"-")</f>
        <v>-</v>
      </c>
      <c r="L187" s="78" t="str">
        <f>+IFERROR(VLOOKUP(B187,'ID1&amp;5'!K:L,2,FALSE),"-")</f>
        <v>-</v>
      </c>
      <c r="M187" s="79" t="str">
        <f>+IFERROR(VLOOKUP(CONCATENATE(A187,$B$10,B187),'ID1&amp;5'!B:J,9,FALSE),"-")</f>
        <v>-</v>
      </c>
      <c r="N187" s="79" t="str">
        <f>+IFERROR(VLOOKUP(CONCATENATE(A187,$C$10,C187),'ID1&amp;5'!B:J,8,FALSE),"-")</f>
        <v>-</v>
      </c>
      <c r="O187" s="78" t="str">
        <f>+IFERROR(VLOOKUP(C187,'ID1&amp;5'!K:L,2,FALSE),"-")</f>
        <v>-</v>
      </c>
      <c r="P187" s="79" t="str">
        <f>+IFERROR(VLOOKUP(CONCATENATE(A187,$C$10,C187),'ID1&amp;5'!B:J,9,FALSE),"-")</f>
        <v>-</v>
      </c>
      <c r="Q187" s="78" t="str">
        <f>+IFERROR(VLOOKUP(D187,'ID1&amp;5'!K:L,2,FALSE),"-")</f>
        <v>-</v>
      </c>
      <c r="R187" s="26" t="str">
        <f>+IFERROR(VLOOKUP(CONCATENATE(A187,$D$10,D187),'ID1&amp;5'!B:J,9,FALSE),"-")</f>
        <v>-</v>
      </c>
      <c r="S187" s="78" t="str">
        <f>+IFERROR(VLOOKUP(E187,'ID1&amp;5'!K:L,2,FALSE),"-")</f>
        <v>-</v>
      </c>
      <c r="T187" s="79" t="str">
        <f>+IFERROR(VLOOKUP(CONCATENATE(A187,$E$10,E187),'ID1&amp;5'!B:J,9,FALSE),"-")</f>
        <v>-</v>
      </c>
      <c r="U187" s="78" t="str">
        <f>+IFERROR(VLOOKUP(F187,'ID1&amp;5'!K:L,2,FALSE),"-")</f>
        <v>-</v>
      </c>
      <c r="V187" s="79" t="str">
        <f>+IFERROR(VLOOKUP(CONCATENATE(A187,$F$10,F187),'ID1&amp;5'!B:J,9,FALSE),"-")</f>
        <v>-</v>
      </c>
      <c r="W187" s="26" t="str">
        <f>+IFERROR(VLOOKUP(A187,'ID6&amp;7'!A:I,9,FALSE),"-")</f>
        <v>-</v>
      </c>
      <c r="X187" s="26" t="str">
        <f>+IFERROR(VLOOKUP(A187,'ID6&amp;7'!A:J,10,FALSE),"-")</f>
        <v>-</v>
      </c>
      <c r="Y187" s="26"/>
      <c r="Z187" s="27" t="str">
        <f t="shared" si="3"/>
        <v>Por iniciar</v>
      </c>
      <c r="AA187" s="65"/>
    </row>
    <row r="188" spans="1:27">
      <c r="A188" s="20"/>
      <c r="B188" s="60"/>
      <c r="C188" s="60"/>
      <c r="D188" s="60"/>
      <c r="E188" s="60"/>
      <c r="F188" s="60"/>
      <c r="G188" s="60"/>
      <c r="H188" s="65" t="s">
        <v>113</v>
      </c>
      <c r="I188" s="21" t="s">
        <v>1234</v>
      </c>
      <c r="J188" s="26">
        <f>+COUNTIF('ID1&amp;5'!G:G,'1. Status'!I188)</f>
        <v>0</v>
      </c>
      <c r="K188" s="79" t="str">
        <f>+IFERROR(VLOOKUP(CONCATENATE(A188,$B$10,B188),'ID1&amp;5'!B:J,8,FALSE),"-")</f>
        <v>-</v>
      </c>
      <c r="L188" s="78" t="str">
        <f>+IFERROR(VLOOKUP(B188,'ID1&amp;5'!K:L,2,FALSE),"-")</f>
        <v>-</v>
      </c>
      <c r="M188" s="79" t="str">
        <f>+IFERROR(VLOOKUP(CONCATENATE(A188,$B$10,B188),'ID1&amp;5'!B:J,9,FALSE),"-")</f>
        <v>-</v>
      </c>
      <c r="N188" s="79" t="str">
        <f>+IFERROR(VLOOKUP(CONCATENATE(A188,$C$10,C188),'ID1&amp;5'!B:J,8,FALSE),"-")</f>
        <v>-</v>
      </c>
      <c r="O188" s="78" t="str">
        <f>+IFERROR(VLOOKUP(C188,'ID1&amp;5'!K:L,2,FALSE),"-")</f>
        <v>-</v>
      </c>
      <c r="P188" s="79" t="str">
        <f>+IFERROR(VLOOKUP(CONCATENATE(A188,$C$10,C188),'ID1&amp;5'!B:J,9,FALSE),"-")</f>
        <v>-</v>
      </c>
      <c r="Q188" s="78" t="str">
        <f>+IFERROR(VLOOKUP(D188,'ID1&amp;5'!K:L,2,FALSE),"-")</f>
        <v>-</v>
      </c>
      <c r="R188" s="26" t="str">
        <f>+IFERROR(VLOOKUP(CONCATENATE(A188,$D$10,D188),'ID1&amp;5'!B:J,9,FALSE),"-")</f>
        <v>-</v>
      </c>
      <c r="S188" s="78" t="str">
        <f>+IFERROR(VLOOKUP(E188,'ID1&amp;5'!K:L,2,FALSE),"-")</f>
        <v>-</v>
      </c>
      <c r="T188" s="79" t="str">
        <f>+IFERROR(VLOOKUP(CONCATENATE(A188,$E$10,E188),'ID1&amp;5'!B:J,9,FALSE),"-")</f>
        <v>-</v>
      </c>
      <c r="U188" s="78" t="str">
        <f>+IFERROR(VLOOKUP(F188,'ID1&amp;5'!K:L,2,FALSE),"-")</f>
        <v>-</v>
      </c>
      <c r="V188" s="79" t="str">
        <f>+IFERROR(VLOOKUP(CONCATENATE(A188,$F$10,F188),'ID1&amp;5'!B:J,9,FALSE),"-")</f>
        <v>-</v>
      </c>
      <c r="W188" s="26" t="str">
        <f>+IFERROR(VLOOKUP(A188,'ID6&amp;7'!A:I,9,FALSE),"-")</f>
        <v>-</v>
      </c>
      <c r="X188" s="26" t="str">
        <f>+IFERROR(VLOOKUP(A188,'ID6&amp;7'!A:J,10,FALSE),"-")</f>
        <v>-</v>
      </c>
      <c r="Y188" s="26"/>
      <c r="Z188" s="27" t="str">
        <f t="shared" si="3"/>
        <v>Por iniciar</v>
      </c>
      <c r="AA188" s="65"/>
    </row>
    <row r="189" spans="1:27">
      <c r="A189" s="20"/>
      <c r="B189" s="60"/>
      <c r="C189" s="60"/>
      <c r="D189" s="60"/>
      <c r="E189" s="60"/>
      <c r="F189" s="60"/>
      <c r="G189" s="60"/>
      <c r="H189" s="65" t="s">
        <v>113</v>
      </c>
      <c r="I189" s="21" t="s">
        <v>1235</v>
      </c>
      <c r="J189" s="26">
        <f>+COUNTIF('ID1&amp;5'!G:G,'1. Status'!I189)</f>
        <v>0</v>
      </c>
      <c r="K189" s="79" t="str">
        <f>+IFERROR(VLOOKUP(CONCATENATE(A189,$B$10,B189),'ID1&amp;5'!B:J,8,FALSE),"-")</f>
        <v>-</v>
      </c>
      <c r="L189" s="78" t="str">
        <f>+IFERROR(VLOOKUP(B189,'ID1&amp;5'!K:L,2,FALSE),"-")</f>
        <v>-</v>
      </c>
      <c r="M189" s="79" t="str">
        <f>+IFERROR(VLOOKUP(CONCATENATE(A189,$B$10,B189),'ID1&amp;5'!B:J,9,FALSE),"-")</f>
        <v>-</v>
      </c>
      <c r="N189" s="79" t="str">
        <f>+IFERROR(VLOOKUP(CONCATENATE(A189,$C$10,C189),'ID1&amp;5'!B:J,8,FALSE),"-")</f>
        <v>-</v>
      </c>
      <c r="O189" s="78" t="str">
        <f>+IFERROR(VLOOKUP(C189,'ID1&amp;5'!K:L,2,FALSE),"-")</f>
        <v>-</v>
      </c>
      <c r="P189" s="79" t="str">
        <f>+IFERROR(VLOOKUP(CONCATENATE(A189,$C$10,C189),'ID1&amp;5'!B:J,9,FALSE),"-")</f>
        <v>-</v>
      </c>
      <c r="Q189" s="78" t="str">
        <f>+IFERROR(VLOOKUP(D189,'ID1&amp;5'!K:L,2,FALSE),"-")</f>
        <v>-</v>
      </c>
      <c r="R189" s="26" t="str">
        <f>+IFERROR(VLOOKUP(CONCATENATE(A189,$D$10,D189),'ID1&amp;5'!B:J,9,FALSE),"-")</f>
        <v>-</v>
      </c>
      <c r="S189" s="78" t="str">
        <f>+IFERROR(VLOOKUP(E189,'ID1&amp;5'!K:L,2,FALSE),"-")</f>
        <v>-</v>
      </c>
      <c r="T189" s="79" t="str">
        <f>+IFERROR(VLOOKUP(CONCATENATE(A189,$E$10,E189),'ID1&amp;5'!B:J,9,FALSE),"-")</f>
        <v>-</v>
      </c>
      <c r="U189" s="78" t="str">
        <f>+IFERROR(VLOOKUP(F189,'ID1&amp;5'!K:L,2,FALSE),"-")</f>
        <v>-</v>
      </c>
      <c r="V189" s="79" t="str">
        <f>+IFERROR(VLOOKUP(CONCATENATE(A189,$F$10,F189),'ID1&amp;5'!B:J,9,FALSE),"-")</f>
        <v>-</v>
      </c>
      <c r="W189" s="26" t="str">
        <f>+IFERROR(VLOOKUP(A189,'ID6&amp;7'!A:I,9,FALSE),"-")</f>
        <v>-</v>
      </c>
      <c r="X189" s="26" t="str">
        <f>+IFERROR(VLOOKUP(A189,'ID6&amp;7'!A:J,10,FALSE),"-")</f>
        <v>-</v>
      </c>
      <c r="Y189" s="26"/>
      <c r="Z189" s="27" t="str">
        <f t="shared" si="3"/>
        <v>Por iniciar</v>
      </c>
      <c r="AA189" s="65"/>
    </row>
    <row r="190" spans="1:27">
      <c r="A190" s="20"/>
      <c r="B190" s="60"/>
      <c r="C190" s="60"/>
      <c r="D190" s="60"/>
      <c r="E190" s="60"/>
      <c r="F190" s="60"/>
      <c r="G190" s="60"/>
      <c r="H190" s="65" t="s">
        <v>113</v>
      </c>
      <c r="I190" s="21" t="s">
        <v>1236</v>
      </c>
      <c r="J190" s="26">
        <f>+COUNTIF('ID1&amp;5'!G:G,'1. Status'!I190)</f>
        <v>0</v>
      </c>
      <c r="K190" s="79" t="str">
        <f>+IFERROR(VLOOKUP(CONCATENATE(A190,$B$10,B190),'ID1&amp;5'!B:J,8,FALSE),"-")</f>
        <v>-</v>
      </c>
      <c r="L190" s="78" t="str">
        <f>+IFERROR(VLOOKUP(B190,'ID1&amp;5'!K:L,2,FALSE),"-")</f>
        <v>-</v>
      </c>
      <c r="M190" s="79" t="str">
        <f>+IFERROR(VLOOKUP(CONCATENATE(A190,$B$10,B190),'ID1&amp;5'!B:J,9,FALSE),"-")</f>
        <v>-</v>
      </c>
      <c r="N190" s="79" t="str">
        <f>+IFERROR(VLOOKUP(CONCATENATE(A190,$C$10,C190),'ID1&amp;5'!B:J,8,FALSE),"-")</f>
        <v>-</v>
      </c>
      <c r="O190" s="78" t="str">
        <f>+IFERROR(VLOOKUP(C190,'ID1&amp;5'!K:L,2,FALSE),"-")</f>
        <v>-</v>
      </c>
      <c r="P190" s="79" t="str">
        <f>+IFERROR(VLOOKUP(CONCATENATE(A190,$C$10,C190),'ID1&amp;5'!B:J,9,FALSE),"-")</f>
        <v>-</v>
      </c>
      <c r="Q190" s="78" t="str">
        <f>+IFERROR(VLOOKUP(D190,'ID1&amp;5'!K:L,2,FALSE),"-")</f>
        <v>-</v>
      </c>
      <c r="R190" s="26" t="str">
        <f>+IFERROR(VLOOKUP(CONCATENATE(A190,$D$10,D190),'ID1&amp;5'!B:J,9,FALSE),"-")</f>
        <v>-</v>
      </c>
      <c r="S190" s="78" t="str">
        <f>+IFERROR(VLOOKUP(E190,'ID1&amp;5'!K:L,2,FALSE),"-")</f>
        <v>-</v>
      </c>
      <c r="T190" s="79" t="str">
        <f>+IFERROR(VLOOKUP(CONCATENATE(A190,$E$10,E190),'ID1&amp;5'!B:J,9,FALSE),"-")</f>
        <v>-</v>
      </c>
      <c r="U190" s="78" t="str">
        <f>+IFERROR(VLOOKUP(F190,'ID1&amp;5'!K:L,2,FALSE),"-")</f>
        <v>-</v>
      </c>
      <c r="V190" s="79" t="str">
        <f>+IFERROR(VLOOKUP(CONCATENATE(A190,$F$10,F190),'ID1&amp;5'!B:J,9,FALSE),"-")</f>
        <v>-</v>
      </c>
      <c r="W190" s="26" t="str">
        <f>+IFERROR(VLOOKUP(A190,'ID6&amp;7'!A:I,9,FALSE),"-")</f>
        <v>-</v>
      </c>
      <c r="X190" s="26" t="str">
        <f>+IFERROR(VLOOKUP(A190,'ID6&amp;7'!A:J,10,FALSE),"-")</f>
        <v>-</v>
      </c>
      <c r="Y190" s="26"/>
      <c r="Z190" s="27" t="str">
        <f t="shared" si="3"/>
        <v>Por iniciar</v>
      </c>
      <c r="AA190" s="65"/>
    </row>
    <row r="191" spans="1:27">
      <c r="A191" s="20"/>
      <c r="B191" s="60"/>
      <c r="C191" s="60"/>
      <c r="D191" s="60"/>
      <c r="E191" s="60"/>
      <c r="F191" s="60"/>
      <c r="G191" s="60"/>
      <c r="H191" s="65" t="s">
        <v>113</v>
      </c>
      <c r="I191" s="21" t="s">
        <v>1237</v>
      </c>
      <c r="J191" s="26">
        <f>+COUNTIF('ID1&amp;5'!G:G,'1. Status'!I191)</f>
        <v>0</v>
      </c>
      <c r="K191" s="79" t="str">
        <f>+IFERROR(VLOOKUP(CONCATENATE(A191,$B$10,B191),'ID1&amp;5'!B:J,8,FALSE),"-")</f>
        <v>-</v>
      </c>
      <c r="L191" s="78" t="str">
        <f>+IFERROR(VLOOKUP(B191,'ID1&amp;5'!K:L,2,FALSE),"-")</f>
        <v>-</v>
      </c>
      <c r="M191" s="79" t="str">
        <f>+IFERROR(VLOOKUP(CONCATENATE(A191,$B$10,B191),'ID1&amp;5'!B:J,9,FALSE),"-")</f>
        <v>-</v>
      </c>
      <c r="N191" s="79" t="str">
        <f>+IFERROR(VLOOKUP(CONCATENATE(A191,$C$10,C191),'ID1&amp;5'!B:J,8,FALSE),"-")</f>
        <v>-</v>
      </c>
      <c r="O191" s="78" t="str">
        <f>+IFERROR(VLOOKUP(C191,'ID1&amp;5'!K:L,2,FALSE),"-")</f>
        <v>-</v>
      </c>
      <c r="P191" s="79" t="str">
        <f>+IFERROR(VLOOKUP(CONCATENATE(A191,$C$10,C191),'ID1&amp;5'!B:J,9,FALSE),"-")</f>
        <v>-</v>
      </c>
      <c r="Q191" s="78" t="str">
        <f>+IFERROR(VLOOKUP(D191,'ID1&amp;5'!K:L,2,FALSE),"-")</f>
        <v>-</v>
      </c>
      <c r="R191" s="26" t="str">
        <f>+IFERROR(VLOOKUP(CONCATENATE(A191,$D$10,D191),'ID1&amp;5'!B:J,9,FALSE),"-")</f>
        <v>-</v>
      </c>
      <c r="S191" s="78" t="str">
        <f>+IFERROR(VLOOKUP(E191,'ID1&amp;5'!K:L,2,FALSE),"-")</f>
        <v>-</v>
      </c>
      <c r="T191" s="79" t="str">
        <f>+IFERROR(VLOOKUP(CONCATENATE(A191,$E$10,E191),'ID1&amp;5'!B:J,9,FALSE),"-")</f>
        <v>-</v>
      </c>
      <c r="U191" s="78" t="str">
        <f>+IFERROR(VLOOKUP(F191,'ID1&amp;5'!K:L,2,FALSE),"-")</f>
        <v>-</v>
      </c>
      <c r="V191" s="79" t="str">
        <f>+IFERROR(VLOOKUP(CONCATENATE(A191,$F$10,F191),'ID1&amp;5'!B:J,9,FALSE),"-")</f>
        <v>-</v>
      </c>
      <c r="W191" s="26" t="str">
        <f>+IFERROR(VLOOKUP(A191,'ID6&amp;7'!A:I,9,FALSE),"-")</f>
        <v>-</v>
      </c>
      <c r="X191" s="26" t="str">
        <f>+IFERROR(VLOOKUP(A191,'ID6&amp;7'!A:J,10,FALSE),"-")</f>
        <v>-</v>
      </c>
      <c r="Y191" s="26"/>
      <c r="Z191" s="27" t="str">
        <f t="shared" si="3"/>
        <v>Por iniciar</v>
      </c>
      <c r="AA191" s="65"/>
    </row>
    <row r="192" spans="1:27">
      <c r="A192" s="20"/>
      <c r="B192" s="60"/>
      <c r="C192" s="60"/>
      <c r="D192" s="60"/>
      <c r="E192" s="60"/>
      <c r="F192" s="60"/>
      <c r="G192" s="60"/>
      <c r="H192" s="65" t="s">
        <v>113</v>
      </c>
      <c r="I192" s="21" t="s">
        <v>1238</v>
      </c>
      <c r="J192" s="26">
        <f>+COUNTIF('ID1&amp;5'!G:G,'1. Status'!I192)</f>
        <v>0</v>
      </c>
      <c r="K192" s="79" t="str">
        <f>+IFERROR(VLOOKUP(CONCATENATE(A192,$B$10,B192),'ID1&amp;5'!B:J,8,FALSE),"-")</f>
        <v>-</v>
      </c>
      <c r="L192" s="78" t="str">
        <f>+IFERROR(VLOOKUP(B192,'ID1&amp;5'!K:L,2,FALSE),"-")</f>
        <v>-</v>
      </c>
      <c r="M192" s="79" t="str">
        <f>+IFERROR(VLOOKUP(CONCATENATE(A192,$B$10,B192),'ID1&amp;5'!B:J,9,FALSE),"-")</f>
        <v>-</v>
      </c>
      <c r="N192" s="79" t="str">
        <f>+IFERROR(VLOOKUP(CONCATENATE(A192,$C$10,C192),'ID1&amp;5'!B:J,8,FALSE),"-")</f>
        <v>-</v>
      </c>
      <c r="O192" s="78" t="str">
        <f>+IFERROR(VLOOKUP(C192,'ID1&amp;5'!K:L,2,FALSE),"-")</f>
        <v>-</v>
      </c>
      <c r="P192" s="79" t="str">
        <f>+IFERROR(VLOOKUP(CONCATENATE(A192,$C$10,C192),'ID1&amp;5'!B:J,9,FALSE),"-")</f>
        <v>-</v>
      </c>
      <c r="Q192" s="78" t="str">
        <f>+IFERROR(VLOOKUP(D192,'ID1&amp;5'!K:L,2,FALSE),"-")</f>
        <v>-</v>
      </c>
      <c r="R192" s="26" t="str">
        <f>+IFERROR(VLOOKUP(CONCATENATE(A192,$D$10,D192),'ID1&amp;5'!B:J,9,FALSE),"-")</f>
        <v>-</v>
      </c>
      <c r="S192" s="78" t="str">
        <f>+IFERROR(VLOOKUP(E192,'ID1&amp;5'!K:L,2,FALSE),"-")</f>
        <v>-</v>
      </c>
      <c r="T192" s="79" t="str">
        <f>+IFERROR(VLOOKUP(CONCATENATE(A192,$E$10,E192),'ID1&amp;5'!B:J,9,FALSE),"-")</f>
        <v>-</v>
      </c>
      <c r="U192" s="78" t="str">
        <f>+IFERROR(VLOOKUP(F192,'ID1&amp;5'!K:L,2,FALSE),"-")</f>
        <v>-</v>
      </c>
      <c r="V192" s="79" t="str">
        <f>+IFERROR(VLOOKUP(CONCATENATE(A192,$F$10,F192),'ID1&amp;5'!B:J,9,FALSE),"-")</f>
        <v>-</v>
      </c>
      <c r="W192" s="26" t="str">
        <f>+IFERROR(VLOOKUP(A192,'ID6&amp;7'!A:I,9,FALSE),"-")</f>
        <v>-</v>
      </c>
      <c r="X192" s="26" t="str">
        <f>+IFERROR(VLOOKUP(A192,'ID6&amp;7'!A:J,10,FALSE),"-")</f>
        <v>-</v>
      </c>
      <c r="Y192" s="26"/>
      <c r="Z192" s="27" t="str">
        <f t="shared" ref="Z192:Z255" si="4">+IF(J192=0,"Por iniciar",IF(OR(K192="-",M192="-",P192="-",R192="-",T192="-",V192="-"),"Em testes",IF(AND(M192=0,P192=0,R192=0,T192&lt;&gt;K192,V192&lt;&gt;K192),"OK","NOK")))</f>
        <v>Por iniciar</v>
      </c>
      <c r="AA192" s="65"/>
    </row>
    <row r="193" spans="1:27">
      <c r="A193" s="20"/>
      <c r="B193" s="60"/>
      <c r="C193" s="60"/>
      <c r="D193" s="60"/>
      <c r="E193" s="60"/>
      <c r="F193" s="60"/>
      <c r="G193" s="60"/>
      <c r="H193" s="65" t="s">
        <v>113</v>
      </c>
      <c r="I193" s="21" t="s">
        <v>1239</v>
      </c>
      <c r="J193" s="26">
        <f>+COUNTIF('ID1&amp;5'!G:G,'1. Status'!I193)</f>
        <v>0</v>
      </c>
      <c r="K193" s="79" t="str">
        <f>+IFERROR(VLOOKUP(CONCATENATE(A193,$B$10,B193),'ID1&amp;5'!B:J,8,FALSE),"-")</f>
        <v>-</v>
      </c>
      <c r="L193" s="78" t="str">
        <f>+IFERROR(VLOOKUP(B193,'ID1&amp;5'!K:L,2,FALSE),"-")</f>
        <v>-</v>
      </c>
      <c r="M193" s="79" t="str">
        <f>+IFERROR(VLOOKUP(CONCATENATE(A193,$B$10,B193),'ID1&amp;5'!B:J,9,FALSE),"-")</f>
        <v>-</v>
      </c>
      <c r="N193" s="79" t="str">
        <f>+IFERROR(VLOOKUP(CONCATENATE(A193,$C$10,C193),'ID1&amp;5'!B:J,8,FALSE),"-")</f>
        <v>-</v>
      </c>
      <c r="O193" s="78" t="str">
        <f>+IFERROR(VLOOKUP(C193,'ID1&amp;5'!K:L,2,FALSE),"-")</f>
        <v>-</v>
      </c>
      <c r="P193" s="79" t="str">
        <f>+IFERROR(VLOOKUP(CONCATENATE(A193,$C$10,C193),'ID1&amp;5'!B:J,9,FALSE),"-")</f>
        <v>-</v>
      </c>
      <c r="Q193" s="78" t="str">
        <f>+IFERROR(VLOOKUP(D193,'ID1&amp;5'!K:L,2,FALSE),"-")</f>
        <v>-</v>
      </c>
      <c r="R193" s="26" t="str">
        <f>+IFERROR(VLOOKUP(CONCATENATE(A193,$D$10,D193),'ID1&amp;5'!B:J,9,FALSE),"-")</f>
        <v>-</v>
      </c>
      <c r="S193" s="78" t="str">
        <f>+IFERROR(VLOOKUP(E193,'ID1&amp;5'!K:L,2,FALSE),"-")</f>
        <v>-</v>
      </c>
      <c r="T193" s="79" t="str">
        <f>+IFERROR(VLOOKUP(CONCATENATE(A193,$E$10,E193),'ID1&amp;5'!B:J,9,FALSE),"-")</f>
        <v>-</v>
      </c>
      <c r="U193" s="78" t="str">
        <f>+IFERROR(VLOOKUP(F193,'ID1&amp;5'!K:L,2,FALSE),"-")</f>
        <v>-</v>
      </c>
      <c r="V193" s="79" t="str">
        <f>+IFERROR(VLOOKUP(CONCATENATE(A193,$F$10,F193),'ID1&amp;5'!B:J,9,FALSE),"-")</f>
        <v>-</v>
      </c>
      <c r="W193" s="26" t="str">
        <f>+IFERROR(VLOOKUP(A193,'ID6&amp;7'!A:I,9,FALSE),"-")</f>
        <v>-</v>
      </c>
      <c r="X193" s="26" t="str">
        <f>+IFERROR(VLOOKUP(A193,'ID6&amp;7'!A:J,10,FALSE),"-")</f>
        <v>-</v>
      </c>
      <c r="Y193" s="26"/>
      <c r="Z193" s="27" t="str">
        <f t="shared" si="4"/>
        <v>Por iniciar</v>
      </c>
      <c r="AA193" s="65"/>
    </row>
    <row r="194" spans="1:27">
      <c r="A194" s="20"/>
      <c r="B194" s="60"/>
      <c r="C194" s="60"/>
      <c r="D194" s="60"/>
      <c r="E194" s="60"/>
      <c r="F194" s="60"/>
      <c r="G194" s="60"/>
      <c r="H194" s="65" t="s">
        <v>113</v>
      </c>
      <c r="I194" s="21" t="s">
        <v>1240</v>
      </c>
      <c r="J194" s="26">
        <f>+COUNTIF('ID1&amp;5'!G:G,'1. Status'!I194)</f>
        <v>0</v>
      </c>
      <c r="K194" s="79" t="str">
        <f>+IFERROR(VLOOKUP(CONCATENATE(A194,$B$10,B194),'ID1&amp;5'!B:J,8,FALSE),"-")</f>
        <v>-</v>
      </c>
      <c r="L194" s="78" t="str">
        <f>+IFERROR(VLOOKUP(B194,'ID1&amp;5'!K:L,2,FALSE),"-")</f>
        <v>-</v>
      </c>
      <c r="M194" s="79" t="str">
        <f>+IFERROR(VLOOKUP(CONCATENATE(A194,$B$10,B194),'ID1&amp;5'!B:J,9,FALSE),"-")</f>
        <v>-</v>
      </c>
      <c r="N194" s="79" t="str">
        <f>+IFERROR(VLOOKUP(CONCATENATE(A194,$C$10,C194),'ID1&amp;5'!B:J,8,FALSE),"-")</f>
        <v>-</v>
      </c>
      <c r="O194" s="78" t="str">
        <f>+IFERROR(VLOOKUP(C194,'ID1&amp;5'!K:L,2,FALSE),"-")</f>
        <v>-</v>
      </c>
      <c r="P194" s="79" t="str">
        <f>+IFERROR(VLOOKUP(CONCATENATE(A194,$C$10,C194),'ID1&amp;5'!B:J,9,FALSE),"-")</f>
        <v>-</v>
      </c>
      <c r="Q194" s="78" t="str">
        <f>+IFERROR(VLOOKUP(D194,'ID1&amp;5'!K:L,2,FALSE),"-")</f>
        <v>-</v>
      </c>
      <c r="R194" s="26" t="str">
        <f>+IFERROR(VLOOKUP(CONCATENATE(A194,$D$10,D194),'ID1&amp;5'!B:J,9,FALSE),"-")</f>
        <v>-</v>
      </c>
      <c r="S194" s="78" t="str">
        <f>+IFERROR(VLOOKUP(E194,'ID1&amp;5'!K:L,2,FALSE),"-")</f>
        <v>-</v>
      </c>
      <c r="T194" s="79" t="str">
        <f>+IFERROR(VLOOKUP(CONCATENATE(A194,$E$10,E194),'ID1&amp;5'!B:J,9,FALSE),"-")</f>
        <v>-</v>
      </c>
      <c r="U194" s="78" t="str">
        <f>+IFERROR(VLOOKUP(F194,'ID1&amp;5'!K:L,2,FALSE),"-")</f>
        <v>-</v>
      </c>
      <c r="V194" s="79" t="str">
        <f>+IFERROR(VLOOKUP(CONCATENATE(A194,$F$10,F194),'ID1&amp;5'!B:J,9,FALSE),"-")</f>
        <v>-</v>
      </c>
      <c r="W194" s="26" t="str">
        <f>+IFERROR(VLOOKUP(A194,'ID6&amp;7'!A:I,9,FALSE),"-")</f>
        <v>-</v>
      </c>
      <c r="X194" s="26" t="str">
        <f>+IFERROR(VLOOKUP(A194,'ID6&amp;7'!A:J,10,FALSE),"-")</f>
        <v>-</v>
      </c>
      <c r="Y194" s="26"/>
      <c r="Z194" s="27" t="str">
        <f t="shared" si="4"/>
        <v>Por iniciar</v>
      </c>
      <c r="AA194" s="65"/>
    </row>
    <row r="195" spans="1:27">
      <c r="A195" s="20"/>
      <c r="B195" s="60"/>
      <c r="C195" s="60"/>
      <c r="D195" s="60"/>
      <c r="E195" s="60"/>
      <c r="F195" s="60"/>
      <c r="G195" s="60"/>
      <c r="H195" s="65" t="s">
        <v>113</v>
      </c>
      <c r="I195" s="21" t="s">
        <v>1241</v>
      </c>
      <c r="J195" s="26">
        <f>+COUNTIF('ID1&amp;5'!G:G,'1. Status'!I195)</f>
        <v>0</v>
      </c>
      <c r="K195" s="79" t="str">
        <f>+IFERROR(VLOOKUP(CONCATENATE(A195,$B$10,B195),'ID1&amp;5'!B:J,8,FALSE),"-")</f>
        <v>-</v>
      </c>
      <c r="L195" s="78" t="str">
        <f>+IFERROR(VLOOKUP(B195,'ID1&amp;5'!K:L,2,FALSE),"-")</f>
        <v>-</v>
      </c>
      <c r="M195" s="79" t="str">
        <f>+IFERROR(VLOOKUP(CONCATENATE(A195,$B$10,B195),'ID1&amp;5'!B:J,9,FALSE),"-")</f>
        <v>-</v>
      </c>
      <c r="N195" s="79" t="str">
        <f>+IFERROR(VLOOKUP(CONCATENATE(A195,$C$10,C195),'ID1&amp;5'!B:J,8,FALSE),"-")</f>
        <v>-</v>
      </c>
      <c r="O195" s="78" t="str">
        <f>+IFERROR(VLOOKUP(C195,'ID1&amp;5'!K:L,2,FALSE),"-")</f>
        <v>-</v>
      </c>
      <c r="P195" s="79" t="str">
        <f>+IFERROR(VLOOKUP(CONCATENATE(A195,$C$10,C195),'ID1&amp;5'!B:J,9,FALSE),"-")</f>
        <v>-</v>
      </c>
      <c r="Q195" s="78" t="str">
        <f>+IFERROR(VLOOKUP(D195,'ID1&amp;5'!K:L,2,FALSE),"-")</f>
        <v>-</v>
      </c>
      <c r="R195" s="26" t="str">
        <f>+IFERROR(VLOOKUP(CONCATENATE(A195,$D$10,D195),'ID1&amp;5'!B:J,9,FALSE),"-")</f>
        <v>-</v>
      </c>
      <c r="S195" s="78" t="str">
        <f>+IFERROR(VLOOKUP(E195,'ID1&amp;5'!K:L,2,FALSE),"-")</f>
        <v>-</v>
      </c>
      <c r="T195" s="79" t="str">
        <f>+IFERROR(VLOOKUP(CONCATENATE(A195,$E$10,E195),'ID1&amp;5'!B:J,9,FALSE),"-")</f>
        <v>-</v>
      </c>
      <c r="U195" s="78" t="str">
        <f>+IFERROR(VLOOKUP(F195,'ID1&amp;5'!K:L,2,FALSE),"-")</f>
        <v>-</v>
      </c>
      <c r="V195" s="79" t="str">
        <f>+IFERROR(VLOOKUP(CONCATENATE(A195,$F$10,F195),'ID1&amp;5'!B:J,9,FALSE),"-")</f>
        <v>-</v>
      </c>
      <c r="W195" s="26" t="str">
        <f>+IFERROR(VLOOKUP(A195,'ID6&amp;7'!A:I,9,FALSE),"-")</f>
        <v>-</v>
      </c>
      <c r="X195" s="26" t="str">
        <f>+IFERROR(VLOOKUP(A195,'ID6&amp;7'!A:J,10,FALSE),"-")</f>
        <v>-</v>
      </c>
      <c r="Y195" s="26"/>
      <c r="Z195" s="27" t="str">
        <f t="shared" si="4"/>
        <v>Por iniciar</v>
      </c>
      <c r="AA195" s="65"/>
    </row>
    <row r="196" spans="1:27">
      <c r="A196" s="20"/>
      <c r="B196" s="60"/>
      <c r="C196" s="60"/>
      <c r="D196" s="60"/>
      <c r="E196" s="60"/>
      <c r="F196" s="60"/>
      <c r="G196" s="60"/>
      <c r="H196" s="65" t="s">
        <v>113</v>
      </c>
      <c r="I196" s="21" t="s">
        <v>1242</v>
      </c>
      <c r="J196" s="26">
        <f>+COUNTIF('ID1&amp;5'!G:G,'1. Status'!I196)</f>
        <v>0</v>
      </c>
      <c r="K196" s="79" t="str">
        <f>+IFERROR(VLOOKUP(CONCATENATE(A196,$B$10,B196),'ID1&amp;5'!B:J,8,FALSE),"-")</f>
        <v>-</v>
      </c>
      <c r="L196" s="78" t="str">
        <f>+IFERROR(VLOOKUP(B196,'ID1&amp;5'!K:L,2,FALSE),"-")</f>
        <v>-</v>
      </c>
      <c r="M196" s="79" t="str">
        <f>+IFERROR(VLOOKUP(CONCATENATE(A196,$B$10,B196),'ID1&amp;5'!B:J,9,FALSE),"-")</f>
        <v>-</v>
      </c>
      <c r="N196" s="79" t="str">
        <f>+IFERROR(VLOOKUP(CONCATENATE(A196,$C$10,C196),'ID1&amp;5'!B:J,8,FALSE),"-")</f>
        <v>-</v>
      </c>
      <c r="O196" s="78" t="str">
        <f>+IFERROR(VLOOKUP(C196,'ID1&amp;5'!K:L,2,FALSE),"-")</f>
        <v>-</v>
      </c>
      <c r="P196" s="79" t="str">
        <f>+IFERROR(VLOOKUP(CONCATENATE(A196,$C$10,C196),'ID1&amp;5'!B:J,9,FALSE),"-")</f>
        <v>-</v>
      </c>
      <c r="Q196" s="78" t="str">
        <f>+IFERROR(VLOOKUP(D196,'ID1&amp;5'!K:L,2,FALSE),"-")</f>
        <v>-</v>
      </c>
      <c r="R196" s="26" t="str">
        <f>+IFERROR(VLOOKUP(CONCATENATE(A196,$D$10,D196),'ID1&amp;5'!B:J,9,FALSE),"-")</f>
        <v>-</v>
      </c>
      <c r="S196" s="78" t="str">
        <f>+IFERROR(VLOOKUP(E196,'ID1&amp;5'!K:L,2,FALSE),"-")</f>
        <v>-</v>
      </c>
      <c r="T196" s="79" t="str">
        <f>+IFERROR(VLOOKUP(CONCATENATE(A196,$E$10,E196),'ID1&amp;5'!B:J,9,FALSE),"-")</f>
        <v>-</v>
      </c>
      <c r="U196" s="78" t="str">
        <f>+IFERROR(VLOOKUP(F196,'ID1&amp;5'!K:L,2,FALSE),"-")</f>
        <v>-</v>
      </c>
      <c r="V196" s="79" t="str">
        <f>+IFERROR(VLOOKUP(CONCATENATE(A196,$F$10,F196),'ID1&amp;5'!B:J,9,FALSE),"-")</f>
        <v>-</v>
      </c>
      <c r="W196" s="26" t="str">
        <f>+IFERROR(VLOOKUP(A196,'ID6&amp;7'!A:I,9,FALSE),"-")</f>
        <v>-</v>
      </c>
      <c r="X196" s="26" t="str">
        <f>+IFERROR(VLOOKUP(A196,'ID6&amp;7'!A:J,10,FALSE),"-")</f>
        <v>-</v>
      </c>
      <c r="Y196" s="26"/>
      <c r="Z196" s="27" t="str">
        <f t="shared" si="4"/>
        <v>Por iniciar</v>
      </c>
      <c r="AA196" s="65"/>
    </row>
    <row r="197" spans="1:27">
      <c r="A197" s="20"/>
      <c r="B197" s="60"/>
      <c r="C197" s="60"/>
      <c r="D197" s="60"/>
      <c r="E197" s="60"/>
      <c r="F197" s="60"/>
      <c r="G197" s="60"/>
      <c r="H197" s="65" t="s">
        <v>113</v>
      </c>
      <c r="I197" s="21" t="s">
        <v>1243</v>
      </c>
      <c r="J197" s="26">
        <f>+COUNTIF('ID1&amp;5'!G:G,'1. Status'!I197)</f>
        <v>0</v>
      </c>
      <c r="K197" s="79" t="str">
        <f>+IFERROR(VLOOKUP(CONCATENATE(A197,$B$10,B197),'ID1&amp;5'!B:J,8,FALSE),"-")</f>
        <v>-</v>
      </c>
      <c r="L197" s="78" t="str">
        <f>+IFERROR(VLOOKUP(B197,'ID1&amp;5'!K:L,2,FALSE),"-")</f>
        <v>-</v>
      </c>
      <c r="M197" s="79" t="str">
        <f>+IFERROR(VLOOKUP(CONCATENATE(A197,$B$10,B197),'ID1&amp;5'!B:J,9,FALSE),"-")</f>
        <v>-</v>
      </c>
      <c r="N197" s="79" t="str">
        <f>+IFERROR(VLOOKUP(CONCATENATE(A197,$C$10,C197),'ID1&amp;5'!B:J,8,FALSE),"-")</f>
        <v>-</v>
      </c>
      <c r="O197" s="78" t="str">
        <f>+IFERROR(VLOOKUP(C197,'ID1&amp;5'!K:L,2,FALSE),"-")</f>
        <v>-</v>
      </c>
      <c r="P197" s="79" t="str">
        <f>+IFERROR(VLOOKUP(CONCATENATE(A197,$C$10,C197),'ID1&amp;5'!B:J,9,FALSE),"-")</f>
        <v>-</v>
      </c>
      <c r="Q197" s="78" t="str">
        <f>+IFERROR(VLOOKUP(D197,'ID1&amp;5'!K:L,2,FALSE),"-")</f>
        <v>-</v>
      </c>
      <c r="R197" s="26" t="str">
        <f>+IFERROR(VLOOKUP(CONCATENATE(A197,$D$10,D197),'ID1&amp;5'!B:J,9,FALSE),"-")</f>
        <v>-</v>
      </c>
      <c r="S197" s="78" t="str">
        <f>+IFERROR(VLOOKUP(E197,'ID1&amp;5'!K:L,2,FALSE),"-")</f>
        <v>-</v>
      </c>
      <c r="T197" s="79" t="str">
        <f>+IFERROR(VLOOKUP(CONCATENATE(A197,$E$10,E197),'ID1&amp;5'!B:J,9,FALSE),"-")</f>
        <v>-</v>
      </c>
      <c r="U197" s="78" t="str">
        <f>+IFERROR(VLOOKUP(F197,'ID1&amp;5'!K:L,2,FALSE),"-")</f>
        <v>-</v>
      </c>
      <c r="V197" s="79" t="str">
        <f>+IFERROR(VLOOKUP(CONCATENATE(A197,$F$10,F197),'ID1&amp;5'!B:J,9,FALSE),"-")</f>
        <v>-</v>
      </c>
      <c r="W197" s="26" t="str">
        <f>+IFERROR(VLOOKUP(A197,'ID6&amp;7'!A:I,9,FALSE),"-")</f>
        <v>-</v>
      </c>
      <c r="X197" s="26" t="str">
        <f>+IFERROR(VLOOKUP(A197,'ID6&amp;7'!A:J,10,FALSE),"-")</f>
        <v>-</v>
      </c>
      <c r="Y197" s="26"/>
      <c r="Z197" s="27" t="str">
        <f t="shared" si="4"/>
        <v>Por iniciar</v>
      </c>
      <c r="AA197" s="65"/>
    </row>
    <row r="198" spans="1:27">
      <c r="A198" s="20"/>
      <c r="B198" s="60"/>
      <c r="C198" s="60"/>
      <c r="D198" s="60"/>
      <c r="E198" s="60"/>
      <c r="F198" s="60"/>
      <c r="G198" s="60"/>
      <c r="H198" s="65" t="s">
        <v>113</v>
      </c>
      <c r="I198" s="21" t="s">
        <v>1244</v>
      </c>
      <c r="J198" s="26">
        <f>+COUNTIF('ID1&amp;5'!G:G,'1. Status'!I198)</f>
        <v>0</v>
      </c>
      <c r="K198" s="79" t="str">
        <f>+IFERROR(VLOOKUP(CONCATENATE(A198,$B$10,B198),'ID1&amp;5'!B:J,8,FALSE),"-")</f>
        <v>-</v>
      </c>
      <c r="L198" s="78" t="str">
        <f>+IFERROR(VLOOKUP(B198,'ID1&amp;5'!K:L,2,FALSE),"-")</f>
        <v>-</v>
      </c>
      <c r="M198" s="79" t="str">
        <f>+IFERROR(VLOOKUP(CONCATENATE(A198,$B$10,B198),'ID1&amp;5'!B:J,9,FALSE),"-")</f>
        <v>-</v>
      </c>
      <c r="N198" s="79" t="str">
        <f>+IFERROR(VLOOKUP(CONCATENATE(A198,$C$10,C198),'ID1&amp;5'!B:J,8,FALSE),"-")</f>
        <v>-</v>
      </c>
      <c r="O198" s="78" t="str">
        <f>+IFERROR(VLOOKUP(C198,'ID1&amp;5'!K:L,2,FALSE),"-")</f>
        <v>-</v>
      </c>
      <c r="P198" s="79" t="str">
        <f>+IFERROR(VLOOKUP(CONCATENATE(A198,$C$10,C198),'ID1&amp;5'!B:J,9,FALSE),"-")</f>
        <v>-</v>
      </c>
      <c r="Q198" s="78" t="str">
        <f>+IFERROR(VLOOKUP(D198,'ID1&amp;5'!K:L,2,FALSE),"-")</f>
        <v>-</v>
      </c>
      <c r="R198" s="26" t="str">
        <f>+IFERROR(VLOOKUP(CONCATENATE(A198,$D$10,D198),'ID1&amp;5'!B:J,9,FALSE),"-")</f>
        <v>-</v>
      </c>
      <c r="S198" s="78" t="str">
        <f>+IFERROR(VLOOKUP(E198,'ID1&amp;5'!K:L,2,FALSE),"-")</f>
        <v>-</v>
      </c>
      <c r="T198" s="79" t="str">
        <f>+IFERROR(VLOOKUP(CONCATENATE(A198,$E$10,E198),'ID1&amp;5'!B:J,9,FALSE),"-")</f>
        <v>-</v>
      </c>
      <c r="U198" s="78" t="str">
        <f>+IFERROR(VLOOKUP(F198,'ID1&amp;5'!K:L,2,FALSE),"-")</f>
        <v>-</v>
      </c>
      <c r="V198" s="79" t="str">
        <f>+IFERROR(VLOOKUP(CONCATENATE(A198,$F$10,F198),'ID1&amp;5'!B:J,9,FALSE),"-")</f>
        <v>-</v>
      </c>
      <c r="W198" s="26" t="str">
        <f>+IFERROR(VLOOKUP(A198,'ID6&amp;7'!A:I,9,FALSE),"-")</f>
        <v>-</v>
      </c>
      <c r="X198" s="26" t="str">
        <f>+IFERROR(VLOOKUP(A198,'ID6&amp;7'!A:J,10,FALSE),"-")</f>
        <v>-</v>
      </c>
      <c r="Y198" s="26"/>
      <c r="Z198" s="27" t="str">
        <f t="shared" si="4"/>
        <v>Por iniciar</v>
      </c>
      <c r="AA198" s="65"/>
    </row>
    <row r="199" spans="1:27">
      <c r="A199" s="20"/>
      <c r="B199" s="60"/>
      <c r="C199" s="60"/>
      <c r="D199" s="60"/>
      <c r="E199" s="60"/>
      <c r="F199" s="60"/>
      <c r="G199" s="60"/>
      <c r="H199" s="65" t="s">
        <v>113</v>
      </c>
      <c r="I199" s="21" t="s">
        <v>1245</v>
      </c>
      <c r="J199" s="26">
        <f>+COUNTIF('ID1&amp;5'!G:G,'1. Status'!I199)</f>
        <v>0</v>
      </c>
      <c r="K199" s="79" t="str">
        <f>+IFERROR(VLOOKUP(CONCATENATE(A199,$B$10,B199),'ID1&amp;5'!B:J,8,FALSE),"-")</f>
        <v>-</v>
      </c>
      <c r="L199" s="78" t="str">
        <f>+IFERROR(VLOOKUP(B199,'ID1&amp;5'!K:L,2,FALSE),"-")</f>
        <v>-</v>
      </c>
      <c r="M199" s="79" t="str">
        <f>+IFERROR(VLOOKUP(CONCATENATE(A199,$B$10,B199),'ID1&amp;5'!B:J,9,FALSE),"-")</f>
        <v>-</v>
      </c>
      <c r="N199" s="79" t="str">
        <f>+IFERROR(VLOOKUP(CONCATENATE(A199,$C$10,C199),'ID1&amp;5'!B:J,8,FALSE),"-")</f>
        <v>-</v>
      </c>
      <c r="O199" s="78" t="str">
        <f>+IFERROR(VLOOKUP(C199,'ID1&amp;5'!K:L,2,FALSE),"-")</f>
        <v>-</v>
      </c>
      <c r="P199" s="79" t="str">
        <f>+IFERROR(VLOOKUP(CONCATENATE(A199,$C$10,C199),'ID1&amp;5'!B:J,9,FALSE),"-")</f>
        <v>-</v>
      </c>
      <c r="Q199" s="78" t="str">
        <f>+IFERROR(VLOOKUP(D199,'ID1&amp;5'!K:L,2,FALSE),"-")</f>
        <v>-</v>
      </c>
      <c r="R199" s="26" t="str">
        <f>+IFERROR(VLOOKUP(CONCATENATE(A199,$D$10,D199),'ID1&amp;5'!B:J,9,FALSE),"-")</f>
        <v>-</v>
      </c>
      <c r="S199" s="78" t="str">
        <f>+IFERROR(VLOOKUP(E199,'ID1&amp;5'!K:L,2,FALSE),"-")</f>
        <v>-</v>
      </c>
      <c r="T199" s="79" t="str">
        <f>+IFERROR(VLOOKUP(CONCATENATE(A199,$E$10,E199),'ID1&amp;5'!B:J,9,FALSE),"-")</f>
        <v>-</v>
      </c>
      <c r="U199" s="78" t="str">
        <f>+IFERROR(VLOOKUP(F199,'ID1&amp;5'!K:L,2,FALSE),"-")</f>
        <v>-</v>
      </c>
      <c r="V199" s="79" t="str">
        <f>+IFERROR(VLOOKUP(CONCATENATE(A199,$F$10,F199),'ID1&amp;5'!B:J,9,FALSE),"-")</f>
        <v>-</v>
      </c>
      <c r="W199" s="26" t="str">
        <f>+IFERROR(VLOOKUP(A199,'ID6&amp;7'!A:I,9,FALSE),"-")</f>
        <v>-</v>
      </c>
      <c r="X199" s="26" t="str">
        <f>+IFERROR(VLOOKUP(A199,'ID6&amp;7'!A:J,10,FALSE),"-")</f>
        <v>-</v>
      </c>
      <c r="Y199" s="26"/>
      <c r="Z199" s="27" t="str">
        <f t="shared" si="4"/>
        <v>Por iniciar</v>
      </c>
      <c r="AA199" s="65"/>
    </row>
    <row r="200" spans="1:27">
      <c r="A200" s="20"/>
      <c r="B200" s="60"/>
      <c r="C200" s="60"/>
      <c r="D200" s="60"/>
      <c r="E200" s="60"/>
      <c r="F200" s="60"/>
      <c r="G200" s="60"/>
      <c r="H200" s="65" t="s">
        <v>113</v>
      </c>
      <c r="I200" s="21" t="s">
        <v>1246</v>
      </c>
      <c r="J200" s="26">
        <f>+COUNTIF('ID1&amp;5'!G:G,'1. Status'!I200)</f>
        <v>0</v>
      </c>
      <c r="K200" s="79" t="str">
        <f>+IFERROR(VLOOKUP(CONCATENATE(A200,$B$10,B200),'ID1&amp;5'!B:J,8,FALSE),"-")</f>
        <v>-</v>
      </c>
      <c r="L200" s="78" t="str">
        <f>+IFERROR(VLOOKUP(B200,'ID1&amp;5'!K:L,2,FALSE),"-")</f>
        <v>-</v>
      </c>
      <c r="M200" s="79" t="str">
        <f>+IFERROR(VLOOKUP(CONCATENATE(A200,$B$10,B200),'ID1&amp;5'!B:J,9,FALSE),"-")</f>
        <v>-</v>
      </c>
      <c r="N200" s="79" t="str">
        <f>+IFERROR(VLOOKUP(CONCATENATE(A200,$C$10,C200),'ID1&amp;5'!B:J,8,FALSE),"-")</f>
        <v>-</v>
      </c>
      <c r="O200" s="78" t="str">
        <f>+IFERROR(VLOOKUP(C200,'ID1&amp;5'!K:L,2,FALSE),"-")</f>
        <v>-</v>
      </c>
      <c r="P200" s="79" t="str">
        <f>+IFERROR(VLOOKUP(CONCATENATE(A200,$C$10,C200),'ID1&amp;5'!B:J,9,FALSE),"-")</f>
        <v>-</v>
      </c>
      <c r="Q200" s="78" t="str">
        <f>+IFERROR(VLOOKUP(D200,'ID1&amp;5'!K:L,2,FALSE),"-")</f>
        <v>-</v>
      </c>
      <c r="R200" s="26" t="str">
        <f>+IFERROR(VLOOKUP(CONCATENATE(A200,$D$10,D200),'ID1&amp;5'!B:J,9,FALSE),"-")</f>
        <v>-</v>
      </c>
      <c r="S200" s="78" t="str">
        <f>+IFERROR(VLOOKUP(E200,'ID1&amp;5'!K:L,2,FALSE),"-")</f>
        <v>-</v>
      </c>
      <c r="T200" s="79" t="str">
        <f>+IFERROR(VLOOKUP(CONCATENATE(A200,$E$10,E200),'ID1&amp;5'!B:J,9,FALSE),"-")</f>
        <v>-</v>
      </c>
      <c r="U200" s="78" t="str">
        <f>+IFERROR(VLOOKUP(F200,'ID1&amp;5'!K:L,2,FALSE),"-")</f>
        <v>-</v>
      </c>
      <c r="V200" s="79" t="str">
        <f>+IFERROR(VLOOKUP(CONCATENATE(A200,$F$10,F200),'ID1&amp;5'!B:J,9,FALSE),"-")</f>
        <v>-</v>
      </c>
      <c r="W200" s="26" t="str">
        <f>+IFERROR(VLOOKUP(A200,'ID6&amp;7'!A:I,9,FALSE),"-")</f>
        <v>-</v>
      </c>
      <c r="X200" s="26" t="str">
        <f>+IFERROR(VLOOKUP(A200,'ID6&amp;7'!A:J,10,FALSE),"-")</f>
        <v>-</v>
      </c>
      <c r="Y200" s="26"/>
      <c r="Z200" s="27" t="str">
        <f t="shared" si="4"/>
        <v>Por iniciar</v>
      </c>
      <c r="AA200" s="65"/>
    </row>
    <row r="201" spans="1:27">
      <c r="A201" s="20"/>
      <c r="B201" s="60"/>
      <c r="C201" s="60"/>
      <c r="D201" s="60"/>
      <c r="E201" s="60"/>
      <c r="F201" s="60"/>
      <c r="G201" s="60"/>
      <c r="H201" s="65" t="s">
        <v>113</v>
      </c>
      <c r="I201" s="21" t="s">
        <v>1247</v>
      </c>
      <c r="J201" s="26">
        <f>+COUNTIF('ID1&amp;5'!G:G,'1. Status'!I201)</f>
        <v>0</v>
      </c>
      <c r="K201" s="79" t="str">
        <f>+IFERROR(VLOOKUP(CONCATENATE(A201,$B$10,B201),'ID1&amp;5'!B:J,8,FALSE),"-")</f>
        <v>-</v>
      </c>
      <c r="L201" s="78" t="str">
        <f>+IFERROR(VLOOKUP(B201,'ID1&amp;5'!K:L,2,FALSE),"-")</f>
        <v>-</v>
      </c>
      <c r="M201" s="79" t="str">
        <f>+IFERROR(VLOOKUP(CONCATENATE(A201,$B$10,B201),'ID1&amp;5'!B:J,9,FALSE),"-")</f>
        <v>-</v>
      </c>
      <c r="N201" s="79" t="str">
        <f>+IFERROR(VLOOKUP(CONCATENATE(A201,$C$10,C201),'ID1&amp;5'!B:J,8,FALSE),"-")</f>
        <v>-</v>
      </c>
      <c r="O201" s="78" t="str">
        <f>+IFERROR(VLOOKUP(C201,'ID1&amp;5'!K:L,2,FALSE),"-")</f>
        <v>-</v>
      </c>
      <c r="P201" s="79" t="str">
        <f>+IFERROR(VLOOKUP(CONCATENATE(A201,$C$10,C201),'ID1&amp;5'!B:J,9,FALSE),"-")</f>
        <v>-</v>
      </c>
      <c r="Q201" s="78" t="str">
        <f>+IFERROR(VLOOKUP(D201,'ID1&amp;5'!K:L,2,FALSE),"-")</f>
        <v>-</v>
      </c>
      <c r="R201" s="26" t="str">
        <f>+IFERROR(VLOOKUP(CONCATENATE(A201,$D$10,D201),'ID1&amp;5'!B:J,9,FALSE),"-")</f>
        <v>-</v>
      </c>
      <c r="S201" s="78" t="str">
        <f>+IFERROR(VLOOKUP(E201,'ID1&amp;5'!K:L,2,FALSE),"-")</f>
        <v>-</v>
      </c>
      <c r="T201" s="79" t="str">
        <f>+IFERROR(VLOOKUP(CONCATENATE(A201,$E$10,E201),'ID1&amp;5'!B:J,9,FALSE),"-")</f>
        <v>-</v>
      </c>
      <c r="U201" s="78" t="str">
        <f>+IFERROR(VLOOKUP(F201,'ID1&amp;5'!K:L,2,FALSE),"-")</f>
        <v>-</v>
      </c>
      <c r="V201" s="79" t="str">
        <f>+IFERROR(VLOOKUP(CONCATENATE(A201,$F$10,F201),'ID1&amp;5'!B:J,9,FALSE),"-")</f>
        <v>-</v>
      </c>
      <c r="W201" s="26" t="str">
        <f>+IFERROR(VLOOKUP(A201,'ID6&amp;7'!A:I,9,FALSE),"-")</f>
        <v>-</v>
      </c>
      <c r="X201" s="26" t="str">
        <f>+IFERROR(VLOOKUP(A201,'ID6&amp;7'!A:J,10,FALSE),"-")</f>
        <v>-</v>
      </c>
      <c r="Y201" s="26"/>
      <c r="Z201" s="27" t="str">
        <f t="shared" si="4"/>
        <v>Por iniciar</v>
      </c>
      <c r="AA201" s="65"/>
    </row>
    <row r="202" spans="1:27">
      <c r="A202" s="20"/>
      <c r="B202" s="60"/>
      <c r="C202" s="60"/>
      <c r="D202" s="60"/>
      <c r="E202" s="60"/>
      <c r="F202" s="60"/>
      <c r="G202" s="60"/>
      <c r="H202" s="65" t="s">
        <v>113</v>
      </c>
      <c r="I202" s="21" t="s">
        <v>1248</v>
      </c>
      <c r="J202" s="26">
        <f>+COUNTIF('ID1&amp;5'!G:G,'1. Status'!I202)</f>
        <v>0</v>
      </c>
      <c r="K202" s="79" t="str">
        <f>+IFERROR(VLOOKUP(CONCATENATE(A202,$B$10,B202),'ID1&amp;5'!B:J,8,FALSE),"-")</f>
        <v>-</v>
      </c>
      <c r="L202" s="78" t="str">
        <f>+IFERROR(VLOOKUP(B202,'ID1&amp;5'!K:L,2,FALSE),"-")</f>
        <v>-</v>
      </c>
      <c r="M202" s="79" t="str">
        <f>+IFERROR(VLOOKUP(CONCATENATE(A202,$B$10,B202),'ID1&amp;5'!B:J,9,FALSE),"-")</f>
        <v>-</v>
      </c>
      <c r="N202" s="79" t="str">
        <f>+IFERROR(VLOOKUP(CONCATENATE(A202,$C$10,C202),'ID1&amp;5'!B:J,8,FALSE),"-")</f>
        <v>-</v>
      </c>
      <c r="O202" s="78" t="str">
        <f>+IFERROR(VLOOKUP(C202,'ID1&amp;5'!K:L,2,FALSE),"-")</f>
        <v>-</v>
      </c>
      <c r="P202" s="79" t="str">
        <f>+IFERROR(VLOOKUP(CONCATENATE(A202,$C$10,C202),'ID1&amp;5'!B:J,9,FALSE),"-")</f>
        <v>-</v>
      </c>
      <c r="Q202" s="78" t="str">
        <f>+IFERROR(VLOOKUP(D202,'ID1&amp;5'!K:L,2,FALSE),"-")</f>
        <v>-</v>
      </c>
      <c r="R202" s="26" t="str">
        <f>+IFERROR(VLOOKUP(CONCATENATE(A202,$D$10,D202),'ID1&amp;5'!B:J,9,FALSE),"-")</f>
        <v>-</v>
      </c>
      <c r="S202" s="78" t="str">
        <f>+IFERROR(VLOOKUP(E202,'ID1&amp;5'!K:L,2,FALSE),"-")</f>
        <v>-</v>
      </c>
      <c r="T202" s="79" t="str">
        <f>+IFERROR(VLOOKUP(CONCATENATE(A202,$E$10,E202),'ID1&amp;5'!B:J,9,FALSE),"-")</f>
        <v>-</v>
      </c>
      <c r="U202" s="78" t="str">
        <f>+IFERROR(VLOOKUP(F202,'ID1&amp;5'!K:L,2,FALSE),"-")</f>
        <v>-</v>
      </c>
      <c r="V202" s="79" t="str">
        <f>+IFERROR(VLOOKUP(CONCATENATE(A202,$F$10,F202),'ID1&amp;5'!B:J,9,FALSE),"-")</f>
        <v>-</v>
      </c>
      <c r="W202" s="26" t="str">
        <f>+IFERROR(VLOOKUP(A202,'ID6&amp;7'!A:I,9,FALSE),"-")</f>
        <v>-</v>
      </c>
      <c r="X202" s="26" t="str">
        <f>+IFERROR(VLOOKUP(A202,'ID6&amp;7'!A:J,10,FALSE),"-")</f>
        <v>-</v>
      </c>
      <c r="Y202" s="26"/>
      <c r="Z202" s="27" t="str">
        <f t="shared" si="4"/>
        <v>Por iniciar</v>
      </c>
      <c r="AA202" s="65"/>
    </row>
    <row r="203" spans="1:27">
      <c r="A203" s="20"/>
      <c r="B203" s="60"/>
      <c r="C203" s="60"/>
      <c r="D203" s="60"/>
      <c r="E203" s="60"/>
      <c r="F203" s="60"/>
      <c r="G203" s="60"/>
      <c r="H203" s="65" t="s">
        <v>113</v>
      </c>
      <c r="I203" s="21" t="s">
        <v>1249</v>
      </c>
      <c r="J203" s="26">
        <f>+COUNTIF('ID1&amp;5'!G:G,'1. Status'!I203)</f>
        <v>0</v>
      </c>
      <c r="K203" s="79" t="str">
        <f>+IFERROR(VLOOKUP(CONCATENATE(A203,$B$10,B203),'ID1&amp;5'!B:J,8,FALSE),"-")</f>
        <v>-</v>
      </c>
      <c r="L203" s="78" t="str">
        <f>+IFERROR(VLOOKUP(B203,'ID1&amp;5'!K:L,2,FALSE),"-")</f>
        <v>-</v>
      </c>
      <c r="M203" s="79" t="str">
        <f>+IFERROR(VLOOKUP(CONCATENATE(A203,$B$10,B203),'ID1&amp;5'!B:J,9,FALSE),"-")</f>
        <v>-</v>
      </c>
      <c r="N203" s="79" t="str">
        <f>+IFERROR(VLOOKUP(CONCATENATE(A203,$C$10,C203),'ID1&amp;5'!B:J,8,FALSE),"-")</f>
        <v>-</v>
      </c>
      <c r="O203" s="78" t="str">
        <f>+IFERROR(VLOOKUP(C203,'ID1&amp;5'!K:L,2,FALSE),"-")</f>
        <v>-</v>
      </c>
      <c r="P203" s="79" t="str">
        <f>+IFERROR(VLOOKUP(CONCATENATE(A203,$C$10,C203),'ID1&amp;5'!B:J,9,FALSE),"-")</f>
        <v>-</v>
      </c>
      <c r="Q203" s="78" t="str">
        <f>+IFERROR(VLOOKUP(D203,'ID1&amp;5'!K:L,2,FALSE),"-")</f>
        <v>-</v>
      </c>
      <c r="R203" s="26" t="str">
        <f>+IFERROR(VLOOKUP(CONCATENATE(A203,$D$10,D203),'ID1&amp;5'!B:J,9,FALSE),"-")</f>
        <v>-</v>
      </c>
      <c r="S203" s="78" t="str">
        <f>+IFERROR(VLOOKUP(E203,'ID1&amp;5'!K:L,2,FALSE),"-")</f>
        <v>-</v>
      </c>
      <c r="T203" s="79" t="str">
        <f>+IFERROR(VLOOKUP(CONCATENATE(A203,$E$10,E203),'ID1&amp;5'!B:J,9,FALSE),"-")</f>
        <v>-</v>
      </c>
      <c r="U203" s="78" t="str">
        <f>+IFERROR(VLOOKUP(F203,'ID1&amp;5'!K:L,2,FALSE),"-")</f>
        <v>-</v>
      </c>
      <c r="V203" s="79" t="str">
        <f>+IFERROR(VLOOKUP(CONCATENATE(A203,$F$10,F203),'ID1&amp;5'!B:J,9,FALSE),"-")</f>
        <v>-</v>
      </c>
      <c r="W203" s="26" t="str">
        <f>+IFERROR(VLOOKUP(A203,'ID6&amp;7'!A:I,9,FALSE),"-")</f>
        <v>-</v>
      </c>
      <c r="X203" s="26" t="str">
        <f>+IFERROR(VLOOKUP(A203,'ID6&amp;7'!A:J,10,FALSE),"-")</f>
        <v>-</v>
      </c>
      <c r="Y203" s="26"/>
      <c r="Z203" s="27" t="str">
        <f t="shared" si="4"/>
        <v>Por iniciar</v>
      </c>
      <c r="AA203" s="65"/>
    </row>
    <row r="204" spans="1:27">
      <c r="A204" s="20"/>
      <c r="B204" s="60"/>
      <c r="C204" s="60"/>
      <c r="D204" s="60"/>
      <c r="E204" s="60"/>
      <c r="F204" s="60"/>
      <c r="G204" s="60"/>
      <c r="H204" s="65" t="s">
        <v>113</v>
      </c>
      <c r="I204" s="21" t="s">
        <v>1250</v>
      </c>
      <c r="J204" s="26">
        <f>+COUNTIF('ID1&amp;5'!G:G,'1. Status'!I204)</f>
        <v>0</v>
      </c>
      <c r="K204" s="79" t="str">
        <f>+IFERROR(VLOOKUP(CONCATENATE(A204,$B$10,B204),'ID1&amp;5'!B:J,8,FALSE),"-")</f>
        <v>-</v>
      </c>
      <c r="L204" s="78" t="str">
        <f>+IFERROR(VLOOKUP(B204,'ID1&amp;5'!K:L,2,FALSE),"-")</f>
        <v>-</v>
      </c>
      <c r="M204" s="79" t="str">
        <f>+IFERROR(VLOOKUP(CONCATENATE(A204,$B$10,B204),'ID1&amp;5'!B:J,9,FALSE),"-")</f>
        <v>-</v>
      </c>
      <c r="N204" s="79" t="str">
        <f>+IFERROR(VLOOKUP(CONCATENATE(A204,$C$10,C204),'ID1&amp;5'!B:J,8,FALSE),"-")</f>
        <v>-</v>
      </c>
      <c r="O204" s="78" t="str">
        <f>+IFERROR(VLOOKUP(C204,'ID1&amp;5'!K:L,2,FALSE),"-")</f>
        <v>-</v>
      </c>
      <c r="P204" s="79" t="str">
        <f>+IFERROR(VLOOKUP(CONCATENATE(A204,$C$10,C204),'ID1&amp;5'!B:J,9,FALSE),"-")</f>
        <v>-</v>
      </c>
      <c r="Q204" s="78" t="str">
        <f>+IFERROR(VLOOKUP(D204,'ID1&amp;5'!K:L,2,FALSE),"-")</f>
        <v>-</v>
      </c>
      <c r="R204" s="26" t="str">
        <f>+IFERROR(VLOOKUP(CONCATENATE(A204,$D$10,D204),'ID1&amp;5'!B:J,9,FALSE),"-")</f>
        <v>-</v>
      </c>
      <c r="S204" s="78" t="str">
        <f>+IFERROR(VLOOKUP(E204,'ID1&amp;5'!K:L,2,FALSE),"-")</f>
        <v>-</v>
      </c>
      <c r="T204" s="79" t="str">
        <f>+IFERROR(VLOOKUP(CONCATENATE(A204,$E$10,E204),'ID1&amp;5'!B:J,9,FALSE),"-")</f>
        <v>-</v>
      </c>
      <c r="U204" s="78" t="str">
        <f>+IFERROR(VLOOKUP(F204,'ID1&amp;5'!K:L,2,FALSE),"-")</f>
        <v>-</v>
      </c>
      <c r="V204" s="79" t="str">
        <f>+IFERROR(VLOOKUP(CONCATENATE(A204,$F$10,F204),'ID1&amp;5'!B:J,9,FALSE),"-")</f>
        <v>-</v>
      </c>
      <c r="W204" s="26" t="str">
        <f>+IFERROR(VLOOKUP(A204,'ID6&amp;7'!A:I,9,FALSE),"-")</f>
        <v>-</v>
      </c>
      <c r="X204" s="26" t="str">
        <f>+IFERROR(VLOOKUP(A204,'ID6&amp;7'!A:J,10,FALSE),"-")</f>
        <v>-</v>
      </c>
      <c r="Y204" s="26"/>
      <c r="Z204" s="27" t="str">
        <f t="shared" si="4"/>
        <v>Por iniciar</v>
      </c>
      <c r="AA204" s="65"/>
    </row>
    <row r="205" spans="1:27">
      <c r="A205" s="20"/>
      <c r="B205" s="60"/>
      <c r="C205" s="60"/>
      <c r="D205" s="60"/>
      <c r="E205" s="60"/>
      <c r="F205" s="60"/>
      <c r="G205" s="60"/>
      <c r="H205" s="65" t="s">
        <v>113</v>
      </c>
      <c r="I205" s="21" t="s">
        <v>1251</v>
      </c>
      <c r="J205" s="26">
        <f>+COUNTIF('ID1&amp;5'!G:G,'1. Status'!I205)</f>
        <v>0</v>
      </c>
      <c r="K205" s="79" t="str">
        <f>+IFERROR(VLOOKUP(CONCATENATE(A205,$B$10,B205),'ID1&amp;5'!B:J,8,FALSE),"-")</f>
        <v>-</v>
      </c>
      <c r="L205" s="78" t="str">
        <f>+IFERROR(VLOOKUP(B205,'ID1&amp;5'!K:L,2,FALSE),"-")</f>
        <v>-</v>
      </c>
      <c r="M205" s="79" t="str">
        <f>+IFERROR(VLOOKUP(CONCATENATE(A205,$B$10,B205),'ID1&amp;5'!B:J,9,FALSE),"-")</f>
        <v>-</v>
      </c>
      <c r="N205" s="79" t="str">
        <f>+IFERROR(VLOOKUP(CONCATENATE(A205,$C$10,C205),'ID1&amp;5'!B:J,8,FALSE),"-")</f>
        <v>-</v>
      </c>
      <c r="O205" s="78" t="str">
        <f>+IFERROR(VLOOKUP(C205,'ID1&amp;5'!K:L,2,FALSE),"-")</f>
        <v>-</v>
      </c>
      <c r="P205" s="79" t="str">
        <f>+IFERROR(VLOOKUP(CONCATENATE(A205,$C$10,C205),'ID1&amp;5'!B:J,9,FALSE),"-")</f>
        <v>-</v>
      </c>
      <c r="Q205" s="78" t="str">
        <f>+IFERROR(VLOOKUP(D205,'ID1&amp;5'!K:L,2,FALSE),"-")</f>
        <v>-</v>
      </c>
      <c r="R205" s="26" t="str">
        <f>+IFERROR(VLOOKUP(CONCATENATE(A205,$D$10,D205),'ID1&amp;5'!B:J,9,FALSE),"-")</f>
        <v>-</v>
      </c>
      <c r="S205" s="78" t="str">
        <f>+IFERROR(VLOOKUP(E205,'ID1&amp;5'!K:L,2,FALSE),"-")</f>
        <v>-</v>
      </c>
      <c r="T205" s="79" t="str">
        <f>+IFERROR(VLOOKUP(CONCATENATE(A205,$E$10,E205),'ID1&amp;5'!B:J,9,FALSE),"-")</f>
        <v>-</v>
      </c>
      <c r="U205" s="78" t="str">
        <f>+IFERROR(VLOOKUP(F205,'ID1&amp;5'!K:L,2,FALSE),"-")</f>
        <v>-</v>
      </c>
      <c r="V205" s="79" t="str">
        <f>+IFERROR(VLOOKUP(CONCATENATE(A205,$F$10,F205),'ID1&amp;5'!B:J,9,FALSE),"-")</f>
        <v>-</v>
      </c>
      <c r="W205" s="26" t="str">
        <f>+IFERROR(VLOOKUP(A205,'ID6&amp;7'!A:I,9,FALSE),"-")</f>
        <v>-</v>
      </c>
      <c r="X205" s="26" t="str">
        <f>+IFERROR(VLOOKUP(A205,'ID6&amp;7'!A:J,10,FALSE),"-")</f>
        <v>-</v>
      </c>
      <c r="Y205" s="26"/>
      <c r="Z205" s="27" t="str">
        <f t="shared" si="4"/>
        <v>Por iniciar</v>
      </c>
      <c r="AA205" s="65"/>
    </row>
    <row r="206" spans="1:27">
      <c r="A206" s="20"/>
      <c r="B206" s="60"/>
      <c r="C206" s="60"/>
      <c r="D206" s="60"/>
      <c r="E206" s="60"/>
      <c r="F206" s="60"/>
      <c r="G206" s="60"/>
      <c r="H206" s="65" t="s">
        <v>113</v>
      </c>
      <c r="I206" s="21" t="s">
        <v>1252</v>
      </c>
      <c r="J206" s="26">
        <f>+COUNTIF('ID1&amp;5'!G:G,'1. Status'!I206)</f>
        <v>0</v>
      </c>
      <c r="K206" s="79" t="str">
        <f>+IFERROR(VLOOKUP(CONCATENATE(A206,$B$10,B206),'ID1&amp;5'!B:J,8,FALSE),"-")</f>
        <v>-</v>
      </c>
      <c r="L206" s="78" t="str">
        <f>+IFERROR(VLOOKUP(B206,'ID1&amp;5'!K:L,2,FALSE),"-")</f>
        <v>-</v>
      </c>
      <c r="M206" s="79" t="str">
        <f>+IFERROR(VLOOKUP(CONCATENATE(A206,$B$10,B206),'ID1&amp;5'!B:J,9,FALSE),"-")</f>
        <v>-</v>
      </c>
      <c r="N206" s="79" t="str">
        <f>+IFERROR(VLOOKUP(CONCATENATE(A206,$C$10,C206),'ID1&amp;5'!B:J,8,FALSE),"-")</f>
        <v>-</v>
      </c>
      <c r="O206" s="78" t="str">
        <f>+IFERROR(VLOOKUP(C206,'ID1&amp;5'!K:L,2,FALSE),"-")</f>
        <v>-</v>
      </c>
      <c r="P206" s="79" t="str">
        <f>+IFERROR(VLOOKUP(CONCATENATE(A206,$C$10,C206),'ID1&amp;5'!B:J,9,FALSE),"-")</f>
        <v>-</v>
      </c>
      <c r="Q206" s="78" t="str">
        <f>+IFERROR(VLOOKUP(D206,'ID1&amp;5'!K:L,2,FALSE),"-")</f>
        <v>-</v>
      </c>
      <c r="R206" s="26" t="str">
        <f>+IFERROR(VLOOKUP(CONCATENATE(A206,$D$10,D206),'ID1&amp;5'!B:J,9,FALSE),"-")</f>
        <v>-</v>
      </c>
      <c r="S206" s="78" t="str">
        <f>+IFERROR(VLOOKUP(E206,'ID1&amp;5'!K:L,2,FALSE),"-")</f>
        <v>-</v>
      </c>
      <c r="T206" s="79" t="str">
        <f>+IFERROR(VLOOKUP(CONCATENATE(A206,$E$10,E206),'ID1&amp;5'!B:J,9,FALSE),"-")</f>
        <v>-</v>
      </c>
      <c r="U206" s="78" t="str">
        <f>+IFERROR(VLOOKUP(F206,'ID1&amp;5'!K:L,2,FALSE),"-")</f>
        <v>-</v>
      </c>
      <c r="V206" s="79" t="str">
        <f>+IFERROR(VLOOKUP(CONCATENATE(A206,$F$10,F206),'ID1&amp;5'!B:J,9,FALSE),"-")</f>
        <v>-</v>
      </c>
      <c r="W206" s="26" t="str">
        <f>+IFERROR(VLOOKUP(A206,'ID6&amp;7'!A:I,9,FALSE),"-")</f>
        <v>-</v>
      </c>
      <c r="X206" s="26" t="str">
        <f>+IFERROR(VLOOKUP(A206,'ID6&amp;7'!A:J,10,FALSE),"-")</f>
        <v>-</v>
      </c>
      <c r="Y206" s="26"/>
      <c r="Z206" s="27" t="str">
        <f t="shared" si="4"/>
        <v>Por iniciar</v>
      </c>
      <c r="AA206" s="65"/>
    </row>
    <row r="207" spans="1:27">
      <c r="A207" s="20"/>
      <c r="B207" s="60"/>
      <c r="C207" s="60"/>
      <c r="D207" s="60"/>
      <c r="E207" s="60"/>
      <c r="F207" s="60"/>
      <c r="G207" s="60"/>
      <c r="H207" s="65" t="s">
        <v>113</v>
      </c>
      <c r="I207" s="21" t="s">
        <v>1253</v>
      </c>
      <c r="J207" s="26">
        <f>+COUNTIF('ID1&amp;5'!G:G,'1. Status'!I207)</f>
        <v>0</v>
      </c>
      <c r="K207" s="79" t="str">
        <f>+IFERROR(VLOOKUP(CONCATENATE(A207,$B$10,B207),'ID1&amp;5'!B:J,8,FALSE),"-")</f>
        <v>-</v>
      </c>
      <c r="L207" s="78" t="str">
        <f>+IFERROR(VLOOKUP(B207,'ID1&amp;5'!K:L,2,FALSE),"-")</f>
        <v>-</v>
      </c>
      <c r="M207" s="79" t="str">
        <f>+IFERROR(VLOOKUP(CONCATENATE(A207,$B$10,B207),'ID1&amp;5'!B:J,9,FALSE),"-")</f>
        <v>-</v>
      </c>
      <c r="N207" s="79" t="str">
        <f>+IFERROR(VLOOKUP(CONCATENATE(A207,$C$10,C207),'ID1&amp;5'!B:J,8,FALSE),"-")</f>
        <v>-</v>
      </c>
      <c r="O207" s="78" t="str">
        <f>+IFERROR(VLOOKUP(C207,'ID1&amp;5'!K:L,2,FALSE),"-")</f>
        <v>-</v>
      </c>
      <c r="P207" s="79" t="str">
        <f>+IFERROR(VLOOKUP(CONCATENATE(A207,$C$10,C207),'ID1&amp;5'!B:J,9,FALSE),"-")</f>
        <v>-</v>
      </c>
      <c r="Q207" s="78" t="str">
        <f>+IFERROR(VLOOKUP(D207,'ID1&amp;5'!K:L,2,FALSE),"-")</f>
        <v>-</v>
      </c>
      <c r="R207" s="26" t="str">
        <f>+IFERROR(VLOOKUP(CONCATENATE(A207,$D$10,D207),'ID1&amp;5'!B:J,9,FALSE),"-")</f>
        <v>-</v>
      </c>
      <c r="S207" s="78" t="str">
        <f>+IFERROR(VLOOKUP(E207,'ID1&amp;5'!K:L,2,FALSE),"-")</f>
        <v>-</v>
      </c>
      <c r="T207" s="79" t="str">
        <f>+IFERROR(VLOOKUP(CONCATENATE(A207,$E$10,E207),'ID1&amp;5'!B:J,9,FALSE),"-")</f>
        <v>-</v>
      </c>
      <c r="U207" s="78" t="str">
        <f>+IFERROR(VLOOKUP(F207,'ID1&amp;5'!K:L,2,FALSE),"-")</f>
        <v>-</v>
      </c>
      <c r="V207" s="79" t="str">
        <f>+IFERROR(VLOOKUP(CONCATENATE(A207,$F$10,F207),'ID1&amp;5'!B:J,9,FALSE),"-")</f>
        <v>-</v>
      </c>
      <c r="W207" s="26" t="str">
        <f>+IFERROR(VLOOKUP(A207,'ID6&amp;7'!A:I,9,FALSE),"-")</f>
        <v>-</v>
      </c>
      <c r="X207" s="26" t="str">
        <f>+IFERROR(VLOOKUP(A207,'ID6&amp;7'!A:J,10,FALSE),"-")</f>
        <v>-</v>
      </c>
      <c r="Y207" s="26"/>
      <c r="Z207" s="27" t="str">
        <f t="shared" si="4"/>
        <v>Por iniciar</v>
      </c>
      <c r="AA207" s="65"/>
    </row>
    <row r="208" spans="1:27">
      <c r="A208" s="20"/>
      <c r="B208" s="60"/>
      <c r="C208" s="60"/>
      <c r="D208" s="60"/>
      <c r="E208" s="60"/>
      <c r="F208" s="60"/>
      <c r="G208" s="60"/>
      <c r="H208" s="65" t="s">
        <v>113</v>
      </c>
      <c r="I208" s="21" t="s">
        <v>1254</v>
      </c>
      <c r="J208" s="26">
        <f>+COUNTIF('ID1&amp;5'!G:G,'1. Status'!I208)</f>
        <v>0</v>
      </c>
      <c r="K208" s="79" t="str">
        <f>+IFERROR(VLOOKUP(CONCATENATE(A208,$B$10,B208),'ID1&amp;5'!B:J,8,FALSE),"-")</f>
        <v>-</v>
      </c>
      <c r="L208" s="78" t="str">
        <f>+IFERROR(VLOOKUP(B208,'ID1&amp;5'!K:L,2,FALSE),"-")</f>
        <v>-</v>
      </c>
      <c r="M208" s="79" t="str">
        <f>+IFERROR(VLOOKUP(CONCATENATE(A208,$B$10,B208),'ID1&amp;5'!B:J,9,FALSE),"-")</f>
        <v>-</v>
      </c>
      <c r="N208" s="79" t="str">
        <f>+IFERROR(VLOOKUP(CONCATENATE(A208,$C$10,C208),'ID1&amp;5'!B:J,8,FALSE),"-")</f>
        <v>-</v>
      </c>
      <c r="O208" s="78" t="str">
        <f>+IFERROR(VLOOKUP(C208,'ID1&amp;5'!K:L,2,FALSE),"-")</f>
        <v>-</v>
      </c>
      <c r="P208" s="79" t="str">
        <f>+IFERROR(VLOOKUP(CONCATENATE(A208,$C$10,C208),'ID1&amp;5'!B:J,9,FALSE),"-")</f>
        <v>-</v>
      </c>
      <c r="Q208" s="78" t="str">
        <f>+IFERROR(VLOOKUP(D208,'ID1&amp;5'!K:L,2,FALSE),"-")</f>
        <v>-</v>
      </c>
      <c r="R208" s="26" t="str">
        <f>+IFERROR(VLOOKUP(CONCATENATE(A208,$D$10,D208),'ID1&amp;5'!B:J,9,FALSE),"-")</f>
        <v>-</v>
      </c>
      <c r="S208" s="78" t="str">
        <f>+IFERROR(VLOOKUP(E208,'ID1&amp;5'!K:L,2,FALSE),"-")</f>
        <v>-</v>
      </c>
      <c r="T208" s="79" t="str">
        <f>+IFERROR(VLOOKUP(CONCATENATE(A208,$E$10,E208),'ID1&amp;5'!B:J,9,FALSE),"-")</f>
        <v>-</v>
      </c>
      <c r="U208" s="78" t="str">
        <f>+IFERROR(VLOOKUP(F208,'ID1&amp;5'!K:L,2,FALSE),"-")</f>
        <v>-</v>
      </c>
      <c r="V208" s="79" t="str">
        <f>+IFERROR(VLOOKUP(CONCATENATE(A208,$F$10,F208),'ID1&amp;5'!B:J,9,FALSE),"-")</f>
        <v>-</v>
      </c>
      <c r="W208" s="26" t="str">
        <f>+IFERROR(VLOOKUP(A208,'ID6&amp;7'!A:I,9,FALSE),"-")</f>
        <v>-</v>
      </c>
      <c r="X208" s="26" t="str">
        <f>+IFERROR(VLOOKUP(A208,'ID6&amp;7'!A:J,10,FALSE),"-")</f>
        <v>-</v>
      </c>
      <c r="Y208" s="26"/>
      <c r="Z208" s="27" t="str">
        <f t="shared" si="4"/>
        <v>Por iniciar</v>
      </c>
      <c r="AA208" s="65"/>
    </row>
    <row r="209" spans="1:27">
      <c r="A209" s="20"/>
      <c r="B209" s="60"/>
      <c r="C209" s="60"/>
      <c r="D209" s="60"/>
      <c r="E209" s="60"/>
      <c r="F209" s="60"/>
      <c r="G209" s="60"/>
      <c r="H209" s="65" t="s">
        <v>113</v>
      </c>
      <c r="I209" s="21" t="s">
        <v>1255</v>
      </c>
      <c r="J209" s="26">
        <f>+COUNTIF('ID1&amp;5'!G:G,'1. Status'!I209)</f>
        <v>0</v>
      </c>
      <c r="K209" s="79" t="str">
        <f>+IFERROR(VLOOKUP(CONCATENATE(A209,$B$10,B209),'ID1&amp;5'!B:J,8,FALSE),"-")</f>
        <v>-</v>
      </c>
      <c r="L209" s="78" t="str">
        <f>+IFERROR(VLOOKUP(B209,'ID1&amp;5'!K:L,2,FALSE),"-")</f>
        <v>-</v>
      </c>
      <c r="M209" s="79" t="str">
        <f>+IFERROR(VLOOKUP(CONCATENATE(A209,$B$10,B209),'ID1&amp;5'!B:J,9,FALSE),"-")</f>
        <v>-</v>
      </c>
      <c r="N209" s="79" t="str">
        <f>+IFERROR(VLOOKUP(CONCATENATE(A209,$C$10,C209),'ID1&amp;5'!B:J,8,FALSE),"-")</f>
        <v>-</v>
      </c>
      <c r="O209" s="78" t="str">
        <f>+IFERROR(VLOOKUP(C209,'ID1&amp;5'!K:L,2,FALSE),"-")</f>
        <v>-</v>
      </c>
      <c r="P209" s="79" t="str">
        <f>+IFERROR(VLOOKUP(CONCATENATE(A209,$C$10,C209),'ID1&amp;5'!B:J,9,FALSE),"-")</f>
        <v>-</v>
      </c>
      <c r="Q209" s="78" t="str">
        <f>+IFERROR(VLOOKUP(D209,'ID1&amp;5'!K:L,2,FALSE),"-")</f>
        <v>-</v>
      </c>
      <c r="R209" s="26" t="str">
        <f>+IFERROR(VLOOKUP(CONCATENATE(A209,$D$10,D209),'ID1&amp;5'!B:J,9,FALSE),"-")</f>
        <v>-</v>
      </c>
      <c r="S209" s="78" t="str">
        <f>+IFERROR(VLOOKUP(E209,'ID1&amp;5'!K:L,2,FALSE),"-")</f>
        <v>-</v>
      </c>
      <c r="T209" s="79" t="str">
        <f>+IFERROR(VLOOKUP(CONCATENATE(A209,$E$10,E209),'ID1&amp;5'!B:J,9,FALSE),"-")</f>
        <v>-</v>
      </c>
      <c r="U209" s="78" t="str">
        <f>+IFERROR(VLOOKUP(F209,'ID1&amp;5'!K:L,2,FALSE),"-")</f>
        <v>-</v>
      </c>
      <c r="V209" s="79" t="str">
        <f>+IFERROR(VLOOKUP(CONCATENATE(A209,$F$10,F209),'ID1&amp;5'!B:J,9,FALSE),"-")</f>
        <v>-</v>
      </c>
      <c r="W209" s="26" t="str">
        <f>+IFERROR(VLOOKUP(A209,'ID6&amp;7'!A:I,9,FALSE),"-")</f>
        <v>-</v>
      </c>
      <c r="X209" s="26" t="str">
        <f>+IFERROR(VLOOKUP(A209,'ID6&amp;7'!A:J,10,FALSE),"-")</f>
        <v>-</v>
      </c>
      <c r="Y209" s="26"/>
      <c r="Z209" s="27" t="str">
        <f t="shared" si="4"/>
        <v>Por iniciar</v>
      </c>
      <c r="AA209" s="65"/>
    </row>
    <row r="210" spans="1:27">
      <c r="A210" s="20"/>
      <c r="B210" s="60"/>
      <c r="C210" s="60"/>
      <c r="D210" s="60"/>
      <c r="E210" s="60"/>
      <c r="F210" s="60"/>
      <c r="G210" s="60"/>
      <c r="H210" s="65" t="s">
        <v>113</v>
      </c>
      <c r="I210" s="21" t="s">
        <v>1256</v>
      </c>
      <c r="J210" s="26">
        <f>+COUNTIF('ID1&amp;5'!G:G,'1. Status'!I210)</f>
        <v>0</v>
      </c>
      <c r="K210" s="79" t="str">
        <f>+IFERROR(VLOOKUP(CONCATENATE(A210,$B$10,B210),'ID1&amp;5'!B:J,8,FALSE),"-")</f>
        <v>-</v>
      </c>
      <c r="L210" s="78" t="str">
        <f>+IFERROR(VLOOKUP(B210,'ID1&amp;5'!K:L,2,FALSE),"-")</f>
        <v>-</v>
      </c>
      <c r="M210" s="79" t="str">
        <f>+IFERROR(VLOOKUP(CONCATENATE(A210,$B$10,B210),'ID1&amp;5'!B:J,9,FALSE),"-")</f>
        <v>-</v>
      </c>
      <c r="N210" s="79" t="str">
        <f>+IFERROR(VLOOKUP(CONCATENATE(A210,$C$10,C210),'ID1&amp;5'!B:J,8,FALSE),"-")</f>
        <v>-</v>
      </c>
      <c r="O210" s="78" t="str">
        <f>+IFERROR(VLOOKUP(C210,'ID1&amp;5'!K:L,2,FALSE),"-")</f>
        <v>-</v>
      </c>
      <c r="P210" s="79" t="str">
        <f>+IFERROR(VLOOKUP(CONCATENATE(A210,$C$10,C210),'ID1&amp;5'!B:J,9,FALSE),"-")</f>
        <v>-</v>
      </c>
      <c r="Q210" s="78" t="str">
        <f>+IFERROR(VLOOKUP(D210,'ID1&amp;5'!K:L,2,FALSE),"-")</f>
        <v>-</v>
      </c>
      <c r="R210" s="26" t="str">
        <f>+IFERROR(VLOOKUP(CONCATENATE(A210,$D$10,D210),'ID1&amp;5'!B:J,9,FALSE),"-")</f>
        <v>-</v>
      </c>
      <c r="S210" s="78" t="str">
        <f>+IFERROR(VLOOKUP(E210,'ID1&amp;5'!K:L,2,FALSE),"-")</f>
        <v>-</v>
      </c>
      <c r="T210" s="79" t="str">
        <f>+IFERROR(VLOOKUP(CONCATENATE(A210,$E$10,E210),'ID1&amp;5'!B:J,9,FALSE),"-")</f>
        <v>-</v>
      </c>
      <c r="U210" s="78" t="str">
        <f>+IFERROR(VLOOKUP(F210,'ID1&amp;5'!K:L,2,FALSE),"-")</f>
        <v>-</v>
      </c>
      <c r="V210" s="79" t="str">
        <f>+IFERROR(VLOOKUP(CONCATENATE(A210,$F$10,F210),'ID1&amp;5'!B:J,9,FALSE),"-")</f>
        <v>-</v>
      </c>
      <c r="W210" s="26" t="str">
        <f>+IFERROR(VLOOKUP(A210,'ID6&amp;7'!A:I,9,FALSE),"-")</f>
        <v>-</v>
      </c>
      <c r="X210" s="26" t="str">
        <f>+IFERROR(VLOOKUP(A210,'ID6&amp;7'!A:J,10,FALSE),"-")</f>
        <v>-</v>
      </c>
      <c r="Y210" s="26"/>
      <c r="Z210" s="27" t="str">
        <f t="shared" si="4"/>
        <v>Por iniciar</v>
      </c>
      <c r="AA210" s="65"/>
    </row>
    <row r="211" spans="1:27">
      <c r="A211" s="20"/>
      <c r="B211" s="60"/>
      <c r="C211" s="60"/>
      <c r="D211" s="60"/>
      <c r="E211" s="60"/>
      <c r="F211" s="60"/>
      <c r="G211" s="60"/>
      <c r="H211" s="65" t="s">
        <v>113</v>
      </c>
      <c r="I211" s="21" t="s">
        <v>1257</v>
      </c>
      <c r="J211" s="26">
        <f>+COUNTIF('ID1&amp;5'!G:G,'1. Status'!I211)</f>
        <v>0</v>
      </c>
      <c r="K211" s="79" t="str">
        <f>+IFERROR(VLOOKUP(CONCATENATE(A211,$B$10,B211),'ID1&amp;5'!B:J,8,FALSE),"-")</f>
        <v>-</v>
      </c>
      <c r="L211" s="78" t="str">
        <f>+IFERROR(VLOOKUP(B211,'ID1&amp;5'!K:L,2,FALSE),"-")</f>
        <v>-</v>
      </c>
      <c r="M211" s="79" t="str">
        <f>+IFERROR(VLOOKUP(CONCATENATE(A211,$B$10,B211),'ID1&amp;5'!B:J,9,FALSE),"-")</f>
        <v>-</v>
      </c>
      <c r="N211" s="79" t="str">
        <f>+IFERROR(VLOOKUP(CONCATENATE(A211,$C$10,C211),'ID1&amp;5'!B:J,8,FALSE),"-")</f>
        <v>-</v>
      </c>
      <c r="O211" s="78" t="str">
        <f>+IFERROR(VLOOKUP(C211,'ID1&amp;5'!K:L,2,FALSE),"-")</f>
        <v>-</v>
      </c>
      <c r="P211" s="79" t="str">
        <f>+IFERROR(VLOOKUP(CONCATENATE(A211,$C$10,C211),'ID1&amp;5'!B:J,9,FALSE),"-")</f>
        <v>-</v>
      </c>
      <c r="Q211" s="78" t="str">
        <f>+IFERROR(VLOOKUP(D211,'ID1&amp;5'!K:L,2,FALSE),"-")</f>
        <v>-</v>
      </c>
      <c r="R211" s="26" t="str">
        <f>+IFERROR(VLOOKUP(CONCATENATE(A211,$D$10,D211),'ID1&amp;5'!B:J,9,FALSE),"-")</f>
        <v>-</v>
      </c>
      <c r="S211" s="78" t="str">
        <f>+IFERROR(VLOOKUP(E211,'ID1&amp;5'!K:L,2,FALSE),"-")</f>
        <v>-</v>
      </c>
      <c r="T211" s="79" t="str">
        <f>+IFERROR(VLOOKUP(CONCATENATE(A211,$E$10,E211),'ID1&amp;5'!B:J,9,FALSE),"-")</f>
        <v>-</v>
      </c>
      <c r="U211" s="78" t="str">
        <f>+IFERROR(VLOOKUP(F211,'ID1&amp;5'!K:L,2,FALSE),"-")</f>
        <v>-</v>
      </c>
      <c r="V211" s="79" t="str">
        <f>+IFERROR(VLOOKUP(CONCATENATE(A211,$F$10,F211),'ID1&amp;5'!B:J,9,FALSE),"-")</f>
        <v>-</v>
      </c>
      <c r="W211" s="26" t="str">
        <f>+IFERROR(VLOOKUP(A211,'ID6&amp;7'!A:I,9,FALSE),"-")</f>
        <v>-</v>
      </c>
      <c r="X211" s="26" t="str">
        <f>+IFERROR(VLOOKUP(A211,'ID6&amp;7'!A:J,10,FALSE),"-")</f>
        <v>-</v>
      </c>
      <c r="Y211" s="26"/>
      <c r="Z211" s="27" t="str">
        <f t="shared" si="4"/>
        <v>Por iniciar</v>
      </c>
      <c r="AA211" s="65"/>
    </row>
    <row r="212" spans="1:27">
      <c r="A212" s="20"/>
      <c r="B212" s="60"/>
      <c r="C212" s="60"/>
      <c r="D212" s="60"/>
      <c r="E212" s="60"/>
      <c r="F212" s="60"/>
      <c r="G212" s="60"/>
      <c r="H212" s="65" t="s">
        <v>113</v>
      </c>
      <c r="I212" s="21" t="s">
        <v>1258</v>
      </c>
      <c r="J212" s="26">
        <f>+COUNTIF('ID1&amp;5'!G:G,'1. Status'!I212)</f>
        <v>0</v>
      </c>
      <c r="K212" s="79" t="str">
        <f>+IFERROR(VLOOKUP(CONCATENATE(A212,$B$10,B212),'ID1&amp;5'!B:J,8,FALSE),"-")</f>
        <v>-</v>
      </c>
      <c r="L212" s="78" t="str">
        <f>+IFERROR(VLOOKUP(B212,'ID1&amp;5'!K:L,2,FALSE),"-")</f>
        <v>-</v>
      </c>
      <c r="M212" s="79" t="str">
        <f>+IFERROR(VLOOKUP(CONCATENATE(A212,$B$10,B212),'ID1&amp;5'!B:J,9,FALSE),"-")</f>
        <v>-</v>
      </c>
      <c r="N212" s="79" t="str">
        <f>+IFERROR(VLOOKUP(CONCATENATE(A212,$C$10,C212),'ID1&amp;5'!B:J,8,FALSE),"-")</f>
        <v>-</v>
      </c>
      <c r="O212" s="78" t="str">
        <f>+IFERROR(VLOOKUP(C212,'ID1&amp;5'!K:L,2,FALSE),"-")</f>
        <v>-</v>
      </c>
      <c r="P212" s="79" t="str">
        <f>+IFERROR(VLOOKUP(CONCATENATE(A212,$C$10,C212),'ID1&amp;5'!B:J,9,FALSE),"-")</f>
        <v>-</v>
      </c>
      <c r="Q212" s="78" t="str">
        <f>+IFERROR(VLOOKUP(D212,'ID1&amp;5'!K:L,2,FALSE),"-")</f>
        <v>-</v>
      </c>
      <c r="R212" s="26" t="str">
        <f>+IFERROR(VLOOKUP(CONCATENATE(A212,$D$10,D212),'ID1&amp;5'!B:J,9,FALSE),"-")</f>
        <v>-</v>
      </c>
      <c r="S212" s="78" t="str">
        <f>+IFERROR(VLOOKUP(E212,'ID1&amp;5'!K:L,2,FALSE),"-")</f>
        <v>-</v>
      </c>
      <c r="T212" s="79" t="str">
        <f>+IFERROR(VLOOKUP(CONCATENATE(A212,$E$10,E212),'ID1&amp;5'!B:J,9,FALSE),"-")</f>
        <v>-</v>
      </c>
      <c r="U212" s="78" t="str">
        <f>+IFERROR(VLOOKUP(F212,'ID1&amp;5'!K:L,2,FALSE),"-")</f>
        <v>-</v>
      </c>
      <c r="V212" s="79" t="str">
        <f>+IFERROR(VLOOKUP(CONCATENATE(A212,$F$10,F212),'ID1&amp;5'!B:J,9,FALSE),"-")</f>
        <v>-</v>
      </c>
      <c r="W212" s="26" t="str">
        <f>+IFERROR(VLOOKUP(A212,'ID6&amp;7'!A:I,9,FALSE),"-")</f>
        <v>-</v>
      </c>
      <c r="X212" s="26" t="str">
        <f>+IFERROR(VLOOKUP(A212,'ID6&amp;7'!A:J,10,FALSE),"-")</f>
        <v>-</v>
      </c>
      <c r="Y212" s="26"/>
      <c r="Z212" s="27" t="str">
        <f t="shared" si="4"/>
        <v>Por iniciar</v>
      </c>
      <c r="AA212" s="65"/>
    </row>
    <row r="213" spans="1:27">
      <c r="A213" s="20"/>
      <c r="B213" s="60"/>
      <c r="C213" s="60"/>
      <c r="D213" s="60"/>
      <c r="E213" s="60"/>
      <c r="F213" s="60"/>
      <c r="G213" s="60"/>
      <c r="H213" s="65" t="s">
        <v>113</v>
      </c>
      <c r="I213" s="21" t="s">
        <v>1259</v>
      </c>
      <c r="J213" s="26">
        <f>+COUNTIF('ID1&amp;5'!G:G,'1. Status'!I213)</f>
        <v>0</v>
      </c>
      <c r="K213" s="79" t="str">
        <f>+IFERROR(VLOOKUP(CONCATENATE(A213,$B$10,B213),'ID1&amp;5'!B:J,8,FALSE),"-")</f>
        <v>-</v>
      </c>
      <c r="L213" s="78" t="str">
        <f>+IFERROR(VLOOKUP(B213,'ID1&amp;5'!K:L,2,FALSE),"-")</f>
        <v>-</v>
      </c>
      <c r="M213" s="79" t="str">
        <f>+IFERROR(VLOOKUP(CONCATENATE(A213,$B$10,B213),'ID1&amp;5'!B:J,9,FALSE),"-")</f>
        <v>-</v>
      </c>
      <c r="N213" s="79" t="str">
        <f>+IFERROR(VLOOKUP(CONCATENATE(A213,$C$10,C213),'ID1&amp;5'!B:J,8,FALSE),"-")</f>
        <v>-</v>
      </c>
      <c r="O213" s="78" t="str">
        <f>+IFERROR(VLOOKUP(C213,'ID1&amp;5'!K:L,2,FALSE),"-")</f>
        <v>-</v>
      </c>
      <c r="P213" s="79" t="str">
        <f>+IFERROR(VLOOKUP(CONCATENATE(A213,$C$10,C213),'ID1&amp;5'!B:J,9,FALSE),"-")</f>
        <v>-</v>
      </c>
      <c r="Q213" s="78" t="str">
        <f>+IFERROR(VLOOKUP(D213,'ID1&amp;5'!K:L,2,FALSE),"-")</f>
        <v>-</v>
      </c>
      <c r="R213" s="26" t="str">
        <f>+IFERROR(VLOOKUP(CONCATENATE(A213,$D$10,D213),'ID1&amp;5'!B:J,9,FALSE),"-")</f>
        <v>-</v>
      </c>
      <c r="S213" s="78" t="str">
        <f>+IFERROR(VLOOKUP(E213,'ID1&amp;5'!K:L,2,FALSE),"-")</f>
        <v>-</v>
      </c>
      <c r="T213" s="79" t="str">
        <f>+IFERROR(VLOOKUP(CONCATENATE(A213,$E$10,E213),'ID1&amp;5'!B:J,9,FALSE),"-")</f>
        <v>-</v>
      </c>
      <c r="U213" s="78" t="str">
        <f>+IFERROR(VLOOKUP(F213,'ID1&amp;5'!K:L,2,FALSE),"-")</f>
        <v>-</v>
      </c>
      <c r="V213" s="79" t="str">
        <f>+IFERROR(VLOOKUP(CONCATENATE(A213,$F$10,F213),'ID1&amp;5'!B:J,9,FALSE),"-")</f>
        <v>-</v>
      </c>
      <c r="W213" s="26" t="str">
        <f>+IFERROR(VLOOKUP(A213,'ID6&amp;7'!A:I,9,FALSE),"-")</f>
        <v>-</v>
      </c>
      <c r="X213" s="26" t="str">
        <f>+IFERROR(VLOOKUP(A213,'ID6&amp;7'!A:J,10,FALSE),"-")</f>
        <v>-</v>
      </c>
      <c r="Y213" s="26"/>
      <c r="Z213" s="27" t="str">
        <f t="shared" si="4"/>
        <v>Por iniciar</v>
      </c>
      <c r="AA213" s="65"/>
    </row>
    <row r="214" spans="1:27">
      <c r="A214" s="20"/>
      <c r="B214" s="60"/>
      <c r="C214" s="60"/>
      <c r="D214" s="60"/>
      <c r="E214" s="60"/>
      <c r="F214" s="60"/>
      <c r="G214" s="60"/>
      <c r="H214" s="65" t="s">
        <v>113</v>
      </c>
      <c r="I214" s="21" t="s">
        <v>1260</v>
      </c>
      <c r="J214" s="26">
        <f>+COUNTIF('ID1&amp;5'!G:G,'1. Status'!I214)</f>
        <v>0</v>
      </c>
      <c r="K214" s="79" t="str">
        <f>+IFERROR(VLOOKUP(CONCATENATE(A214,$B$10,B214),'ID1&amp;5'!B:J,8,FALSE),"-")</f>
        <v>-</v>
      </c>
      <c r="L214" s="78" t="str">
        <f>+IFERROR(VLOOKUP(B214,'ID1&amp;5'!K:L,2,FALSE),"-")</f>
        <v>-</v>
      </c>
      <c r="M214" s="79" t="str">
        <f>+IFERROR(VLOOKUP(CONCATENATE(A214,$B$10,B214),'ID1&amp;5'!B:J,9,FALSE),"-")</f>
        <v>-</v>
      </c>
      <c r="N214" s="79" t="str">
        <f>+IFERROR(VLOOKUP(CONCATENATE(A214,$C$10,C214),'ID1&amp;5'!B:J,8,FALSE),"-")</f>
        <v>-</v>
      </c>
      <c r="O214" s="78" t="str">
        <f>+IFERROR(VLOOKUP(C214,'ID1&amp;5'!K:L,2,FALSE),"-")</f>
        <v>-</v>
      </c>
      <c r="P214" s="79" t="str">
        <f>+IFERROR(VLOOKUP(CONCATENATE(A214,$C$10,C214),'ID1&amp;5'!B:J,9,FALSE),"-")</f>
        <v>-</v>
      </c>
      <c r="Q214" s="78" t="str">
        <f>+IFERROR(VLOOKUP(D214,'ID1&amp;5'!K:L,2,FALSE),"-")</f>
        <v>-</v>
      </c>
      <c r="R214" s="26" t="str">
        <f>+IFERROR(VLOOKUP(CONCATENATE(A214,$D$10,D214),'ID1&amp;5'!B:J,9,FALSE),"-")</f>
        <v>-</v>
      </c>
      <c r="S214" s="78" t="str">
        <f>+IFERROR(VLOOKUP(E214,'ID1&amp;5'!K:L,2,FALSE),"-")</f>
        <v>-</v>
      </c>
      <c r="T214" s="79" t="str">
        <f>+IFERROR(VLOOKUP(CONCATENATE(A214,$E$10,E214),'ID1&amp;5'!B:J,9,FALSE),"-")</f>
        <v>-</v>
      </c>
      <c r="U214" s="78" t="str">
        <f>+IFERROR(VLOOKUP(F214,'ID1&amp;5'!K:L,2,FALSE),"-")</f>
        <v>-</v>
      </c>
      <c r="V214" s="79" t="str">
        <f>+IFERROR(VLOOKUP(CONCATENATE(A214,$F$10,F214),'ID1&amp;5'!B:J,9,FALSE),"-")</f>
        <v>-</v>
      </c>
      <c r="W214" s="26" t="str">
        <f>+IFERROR(VLOOKUP(A214,'ID6&amp;7'!A:I,9,FALSE),"-")</f>
        <v>-</v>
      </c>
      <c r="X214" s="26" t="str">
        <f>+IFERROR(VLOOKUP(A214,'ID6&amp;7'!A:J,10,FALSE),"-")</f>
        <v>-</v>
      </c>
      <c r="Y214" s="26"/>
      <c r="Z214" s="27" t="str">
        <f t="shared" si="4"/>
        <v>Por iniciar</v>
      </c>
      <c r="AA214" s="65"/>
    </row>
    <row r="215" spans="1:27">
      <c r="A215" s="20"/>
      <c r="B215" s="60"/>
      <c r="C215" s="60"/>
      <c r="D215" s="60"/>
      <c r="E215" s="60"/>
      <c r="F215" s="60"/>
      <c r="G215" s="60"/>
      <c r="H215" s="65" t="s">
        <v>113</v>
      </c>
      <c r="I215" s="21" t="s">
        <v>1261</v>
      </c>
      <c r="J215" s="26">
        <f>+COUNTIF('ID1&amp;5'!G:G,'1. Status'!I215)</f>
        <v>0</v>
      </c>
      <c r="K215" s="79" t="str">
        <f>+IFERROR(VLOOKUP(CONCATENATE(A215,$B$10,B215),'ID1&amp;5'!B:J,8,FALSE),"-")</f>
        <v>-</v>
      </c>
      <c r="L215" s="78" t="str">
        <f>+IFERROR(VLOOKUP(B215,'ID1&amp;5'!K:L,2,FALSE),"-")</f>
        <v>-</v>
      </c>
      <c r="M215" s="79" t="str">
        <f>+IFERROR(VLOOKUP(CONCATENATE(A215,$B$10,B215),'ID1&amp;5'!B:J,9,FALSE),"-")</f>
        <v>-</v>
      </c>
      <c r="N215" s="79" t="str">
        <f>+IFERROR(VLOOKUP(CONCATENATE(A215,$C$10,C215),'ID1&amp;5'!B:J,8,FALSE),"-")</f>
        <v>-</v>
      </c>
      <c r="O215" s="78" t="str">
        <f>+IFERROR(VLOOKUP(C215,'ID1&amp;5'!K:L,2,FALSE),"-")</f>
        <v>-</v>
      </c>
      <c r="P215" s="79" t="str">
        <f>+IFERROR(VLOOKUP(CONCATENATE(A215,$C$10,C215),'ID1&amp;5'!B:J,9,FALSE),"-")</f>
        <v>-</v>
      </c>
      <c r="Q215" s="78" t="str">
        <f>+IFERROR(VLOOKUP(D215,'ID1&amp;5'!K:L,2,FALSE),"-")</f>
        <v>-</v>
      </c>
      <c r="R215" s="26" t="str">
        <f>+IFERROR(VLOOKUP(CONCATENATE(A215,$D$10,D215),'ID1&amp;5'!B:J,9,FALSE),"-")</f>
        <v>-</v>
      </c>
      <c r="S215" s="78" t="str">
        <f>+IFERROR(VLOOKUP(E215,'ID1&amp;5'!K:L,2,FALSE),"-")</f>
        <v>-</v>
      </c>
      <c r="T215" s="79" t="str">
        <f>+IFERROR(VLOOKUP(CONCATENATE(A215,$E$10,E215),'ID1&amp;5'!B:J,9,FALSE),"-")</f>
        <v>-</v>
      </c>
      <c r="U215" s="78" t="str">
        <f>+IFERROR(VLOOKUP(F215,'ID1&amp;5'!K:L,2,FALSE),"-")</f>
        <v>-</v>
      </c>
      <c r="V215" s="79" t="str">
        <f>+IFERROR(VLOOKUP(CONCATENATE(A215,$F$10,F215),'ID1&amp;5'!B:J,9,FALSE),"-")</f>
        <v>-</v>
      </c>
      <c r="W215" s="26" t="str">
        <f>+IFERROR(VLOOKUP(A215,'ID6&amp;7'!A:I,9,FALSE),"-")</f>
        <v>-</v>
      </c>
      <c r="X215" s="26" t="str">
        <f>+IFERROR(VLOOKUP(A215,'ID6&amp;7'!A:J,10,FALSE),"-")</f>
        <v>-</v>
      </c>
      <c r="Y215" s="26"/>
      <c r="Z215" s="27" t="str">
        <f t="shared" si="4"/>
        <v>Por iniciar</v>
      </c>
      <c r="AA215" s="65"/>
    </row>
    <row r="216" spans="1:27">
      <c r="A216" s="20"/>
      <c r="B216" s="60"/>
      <c r="C216" s="60"/>
      <c r="D216" s="60"/>
      <c r="E216" s="60"/>
      <c r="F216" s="60"/>
      <c r="G216" s="60"/>
      <c r="H216" s="65" t="s">
        <v>113</v>
      </c>
      <c r="I216" s="21" t="s">
        <v>1262</v>
      </c>
      <c r="J216" s="26">
        <f>+COUNTIF('ID1&amp;5'!G:G,'1. Status'!I216)</f>
        <v>0</v>
      </c>
      <c r="K216" s="79" t="str">
        <f>+IFERROR(VLOOKUP(CONCATENATE(A216,$B$10,B216),'ID1&amp;5'!B:J,8,FALSE),"-")</f>
        <v>-</v>
      </c>
      <c r="L216" s="78" t="str">
        <f>+IFERROR(VLOOKUP(B216,'ID1&amp;5'!K:L,2,FALSE),"-")</f>
        <v>-</v>
      </c>
      <c r="M216" s="79" t="str">
        <f>+IFERROR(VLOOKUP(CONCATENATE(A216,$B$10,B216),'ID1&amp;5'!B:J,9,FALSE),"-")</f>
        <v>-</v>
      </c>
      <c r="N216" s="79" t="str">
        <f>+IFERROR(VLOOKUP(CONCATENATE(A216,$C$10,C216),'ID1&amp;5'!B:J,8,FALSE),"-")</f>
        <v>-</v>
      </c>
      <c r="O216" s="78" t="str">
        <f>+IFERROR(VLOOKUP(C216,'ID1&amp;5'!K:L,2,FALSE),"-")</f>
        <v>-</v>
      </c>
      <c r="P216" s="79" t="str">
        <f>+IFERROR(VLOOKUP(CONCATENATE(A216,$C$10,C216),'ID1&amp;5'!B:J,9,FALSE),"-")</f>
        <v>-</v>
      </c>
      <c r="Q216" s="78" t="str">
        <f>+IFERROR(VLOOKUP(D216,'ID1&amp;5'!K:L,2,FALSE),"-")</f>
        <v>-</v>
      </c>
      <c r="R216" s="26" t="str">
        <f>+IFERROR(VLOOKUP(CONCATENATE(A216,$D$10,D216),'ID1&amp;5'!B:J,9,FALSE),"-")</f>
        <v>-</v>
      </c>
      <c r="S216" s="78" t="str">
        <f>+IFERROR(VLOOKUP(E216,'ID1&amp;5'!K:L,2,FALSE),"-")</f>
        <v>-</v>
      </c>
      <c r="T216" s="79" t="str">
        <f>+IFERROR(VLOOKUP(CONCATENATE(A216,$E$10,E216),'ID1&amp;5'!B:J,9,FALSE),"-")</f>
        <v>-</v>
      </c>
      <c r="U216" s="78" t="str">
        <f>+IFERROR(VLOOKUP(F216,'ID1&amp;5'!K:L,2,FALSE),"-")</f>
        <v>-</v>
      </c>
      <c r="V216" s="79" t="str">
        <f>+IFERROR(VLOOKUP(CONCATENATE(A216,$F$10,F216),'ID1&amp;5'!B:J,9,FALSE),"-")</f>
        <v>-</v>
      </c>
      <c r="W216" s="26" t="str">
        <f>+IFERROR(VLOOKUP(A216,'ID6&amp;7'!A:I,9,FALSE),"-")</f>
        <v>-</v>
      </c>
      <c r="X216" s="26" t="str">
        <f>+IFERROR(VLOOKUP(A216,'ID6&amp;7'!A:J,10,FALSE),"-")</f>
        <v>-</v>
      </c>
      <c r="Y216" s="26"/>
      <c r="Z216" s="27" t="str">
        <f t="shared" si="4"/>
        <v>Por iniciar</v>
      </c>
      <c r="AA216" s="65"/>
    </row>
    <row r="217" spans="1:27">
      <c r="A217" s="20"/>
      <c r="B217" s="60"/>
      <c r="C217" s="60"/>
      <c r="D217" s="60"/>
      <c r="E217" s="60"/>
      <c r="F217" s="60"/>
      <c r="G217" s="60"/>
      <c r="H217" s="65" t="s">
        <v>113</v>
      </c>
      <c r="I217" s="21" t="s">
        <v>1263</v>
      </c>
      <c r="J217" s="26">
        <f>+COUNTIF('ID1&amp;5'!G:G,'1. Status'!I217)</f>
        <v>0</v>
      </c>
      <c r="K217" s="79" t="str">
        <f>+IFERROR(VLOOKUP(CONCATENATE(A217,$B$10,B217),'ID1&amp;5'!B:J,8,FALSE),"-")</f>
        <v>-</v>
      </c>
      <c r="L217" s="78" t="str">
        <f>+IFERROR(VLOOKUP(B217,'ID1&amp;5'!K:L,2,FALSE),"-")</f>
        <v>-</v>
      </c>
      <c r="M217" s="79" t="str">
        <f>+IFERROR(VLOOKUP(CONCATENATE(A217,$B$10,B217),'ID1&amp;5'!B:J,9,FALSE),"-")</f>
        <v>-</v>
      </c>
      <c r="N217" s="79" t="str">
        <f>+IFERROR(VLOOKUP(CONCATENATE(A217,$C$10,C217),'ID1&amp;5'!B:J,8,FALSE),"-")</f>
        <v>-</v>
      </c>
      <c r="O217" s="78" t="str">
        <f>+IFERROR(VLOOKUP(C217,'ID1&amp;5'!K:L,2,FALSE),"-")</f>
        <v>-</v>
      </c>
      <c r="P217" s="79" t="str">
        <f>+IFERROR(VLOOKUP(CONCATENATE(A217,$C$10,C217),'ID1&amp;5'!B:J,9,FALSE),"-")</f>
        <v>-</v>
      </c>
      <c r="Q217" s="78" t="str">
        <f>+IFERROR(VLOOKUP(D217,'ID1&amp;5'!K:L,2,FALSE),"-")</f>
        <v>-</v>
      </c>
      <c r="R217" s="26" t="str">
        <f>+IFERROR(VLOOKUP(CONCATENATE(A217,$D$10,D217),'ID1&amp;5'!B:J,9,FALSE),"-")</f>
        <v>-</v>
      </c>
      <c r="S217" s="78" t="str">
        <f>+IFERROR(VLOOKUP(E217,'ID1&amp;5'!K:L,2,FALSE),"-")</f>
        <v>-</v>
      </c>
      <c r="T217" s="79" t="str">
        <f>+IFERROR(VLOOKUP(CONCATENATE(A217,$E$10,E217),'ID1&amp;5'!B:J,9,FALSE),"-")</f>
        <v>-</v>
      </c>
      <c r="U217" s="78" t="str">
        <f>+IFERROR(VLOOKUP(F217,'ID1&amp;5'!K:L,2,FALSE),"-")</f>
        <v>-</v>
      </c>
      <c r="V217" s="79" t="str">
        <f>+IFERROR(VLOOKUP(CONCATENATE(A217,$F$10,F217),'ID1&amp;5'!B:J,9,FALSE),"-")</f>
        <v>-</v>
      </c>
      <c r="W217" s="26" t="str">
        <f>+IFERROR(VLOOKUP(A217,'ID6&amp;7'!A:I,9,FALSE),"-")</f>
        <v>-</v>
      </c>
      <c r="X217" s="26" t="str">
        <f>+IFERROR(VLOOKUP(A217,'ID6&amp;7'!A:J,10,FALSE),"-")</f>
        <v>-</v>
      </c>
      <c r="Y217" s="26"/>
      <c r="Z217" s="27" t="str">
        <f t="shared" si="4"/>
        <v>Por iniciar</v>
      </c>
      <c r="AA217" s="65"/>
    </row>
    <row r="218" spans="1:27">
      <c r="A218" s="20"/>
      <c r="B218" s="60"/>
      <c r="C218" s="60"/>
      <c r="D218" s="60"/>
      <c r="E218" s="60"/>
      <c r="F218" s="60"/>
      <c r="G218" s="60"/>
      <c r="H218" s="65" t="s">
        <v>113</v>
      </c>
      <c r="I218" s="21" t="s">
        <v>1264</v>
      </c>
      <c r="J218" s="26">
        <f>+COUNTIF('ID1&amp;5'!G:G,'1. Status'!I218)</f>
        <v>0</v>
      </c>
      <c r="K218" s="79" t="str">
        <f>+IFERROR(VLOOKUP(CONCATENATE(A218,$B$10,B218),'ID1&amp;5'!B:J,8,FALSE),"-")</f>
        <v>-</v>
      </c>
      <c r="L218" s="78" t="str">
        <f>+IFERROR(VLOOKUP(B218,'ID1&amp;5'!K:L,2,FALSE),"-")</f>
        <v>-</v>
      </c>
      <c r="M218" s="79" t="str">
        <f>+IFERROR(VLOOKUP(CONCATENATE(A218,$B$10,B218),'ID1&amp;5'!B:J,9,FALSE),"-")</f>
        <v>-</v>
      </c>
      <c r="N218" s="79" t="str">
        <f>+IFERROR(VLOOKUP(CONCATENATE(A218,$C$10,C218),'ID1&amp;5'!B:J,8,FALSE),"-")</f>
        <v>-</v>
      </c>
      <c r="O218" s="78" t="str">
        <f>+IFERROR(VLOOKUP(C218,'ID1&amp;5'!K:L,2,FALSE),"-")</f>
        <v>-</v>
      </c>
      <c r="P218" s="79" t="str">
        <f>+IFERROR(VLOOKUP(CONCATENATE(A218,$C$10,C218),'ID1&amp;5'!B:J,9,FALSE),"-")</f>
        <v>-</v>
      </c>
      <c r="Q218" s="78" t="str">
        <f>+IFERROR(VLOOKUP(D218,'ID1&amp;5'!K:L,2,FALSE),"-")</f>
        <v>-</v>
      </c>
      <c r="R218" s="26" t="str">
        <f>+IFERROR(VLOOKUP(CONCATENATE(A218,$D$10,D218),'ID1&amp;5'!B:J,9,FALSE),"-")</f>
        <v>-</v>
      </c>
      <c r="S218" s="78" t="str">
        <f>+IFERROR(VLOOKUP(E218,'ID1&amp;5'!K:L,2,FALSE),"-")</f>
        <v>-</v>
      </c>
      <c r="T218" s="79" t="str">
        <f>+IFERROR(VLOOKUP(CONCATENATE(A218,$E$10,E218),'ID1&amp;5'!B:J,9,FALSE),"-")</f>
        <v>-</v>
      </c>
      <c r="U218" s="78" t="str">
        <f>+IFERROR(VLOOKUP(F218,'ID1&amp;5'!K:L,2,FALSE),"-")</f>
        <v>-</v>
      </c>
      <c r="V218" s="79" t="str">
        <f>+IFERROR(VLOOKUP(CONCATENATE(A218,$F$10,F218),'ID1&amp;5'!B:J,9,FALSE),"-")</f>
        <v>-</v>
      </c>
      <c r="W218" s="26" t="str">
        <f>+IFERROR(VLOOKUP(A218,'ID6&amp;7'!A:I,9,FALSE),"-")</f>
        <v>-</v>
      </c>
      <c r="X218" s="26" t="str">
        <f>+IFERROR(VLOOKUP(A218,'ID6&amp;7'!A:J,10,FALSE),"-")</f>
        <v>-</v>
      </c>
      <c r="Y218" s="26"/>
      <c r="Z218" s="27" t="str">
        <f t="shared" si="4"/>
        <v>Por iniciar</v>
      </c>
      <c r="AA218" s="65"/>
    </row>
    <row r="219" spans="1:27">
      <c r="A219" s="20"/>
      <c r="B219" s="60"/>
      <c r="C219" s="60"/>
      <c r="D219" s="60"/>
      <c r="E219" s="60"/>
      <c r="F219" s="60"/>
      <c r="G219" s="60"/>
      <c r="H219" s="65" t="s">
        <v>113</v>
      </c>
      <c r="I219" s="21" t="s">
        <v>1265</v>
      </c>
      <c r="J219" s="26">
        <f>+COUNTIF('ID1&amp;5'!G:G,'1. Status'!I219)</f>
        <v>0</v>
      </c>
      <c r="K219" s="79" t="str">
        <f>+IFERROR(VLOOKUP(CONCATENATE(A219,$B$10,B219),'ID1&amp;5'!B:J,8,FALSE),"-")</f>
        <v>-</v>
      </c>
      <c r="L219" s="78" t="str">
        <f>+IFERROR(VLOOKUP(B219,'ID1&amp;5'!K:L,2,FALSE),"-")</f>
        <v>-</v>
      </c>
      <c r="M219" s="79" t="str">
        <f>+IFERROR(VLOOKUP(CONCATENATE(A219,$B$10,B219),'ID1&amp;5'!B:J,9,FALSE),"-")</f>
        <v>-</v>
      </c>
      <c r="N219" s="79" t="str">
        <f>+IFERROR(VLOOKUP(CONCATENATE(A219,$C$10,C219),'ID1&amp;5'!B:J,8,FALSE),"-")</f>
        <v>-</v>
      </c>
      <c r="O219" s="78" t="str">
        <f>+IFERROR(VLOOKUP(C219,'ID1&amp;5'!K:L,2,FALSE),"-")</f>
        <v>-</v>
      </c>
      <c r="P219" s="79" t="str">
        <f>+IFERROR(VLOOKUP(CONCATENATE(A219,$C$10,C219),'ID1&amp;5'!B:J,9,FALSE),"-")</f>
        <v>-</v>
      </c>
      <c r="Q219" s="78" t="str">
        <f>+IFERROR(VLOOKUP(D219,'ID1&amp;5'!K:L,2,FALSE),"-")</f>
        <v>-</v>
      </c>
      <c r="R219" s="26" t="str">
        <f>+IFERROR(VLOOKUP(CONCATENATE(A219,$D$10,D219),'ID1&amp;5'!B:J,9,FALSE),"-")</f>
        <v>-</v>
      </c>
      <c r="S219" s="78" t="str">
        <f>+IFERROR(VLOOKUP(E219,'ID1&amp;5'!K:L,2,FALSE),"-")</f>
        <v>-</v>
      </c>
      <c r="T219" s="79" t="str">
        <f>+IFERROR(VLOOKUP(CONCATENATE(A219,$E$10,E219),'ID1&amp;5'!B:J,9,FALSE),"-")</f>
        <v>-</v>
      </c>
      <c r="U219" s="78" t="str">
        <f>+IFERROR(VLOOKUP(F219,'ID1&amp;5'!K:L,2,FALSE),"-")</f>
        <v>-</v>
      </c>
      <c r="V219" s="79" t="str">
        <f>+IFERROR(VLOOKUP(CONCATENATE(A219,$F$10,F219),'ID1&amp;5'!B:J,9,FALSE),"-")</f>
        <v>-</v>
      </c>
      <c r="W219" s="26" t="str">
        <f>+IFERROR(VLOOKUP(A219,'ID6&amp;7'!A:I,9,FALSE),"-")</f>
        <v>-</v>
      </c>
      <c r="X219" s="26" t="str">
        <f>+IFERROR(VLOOKUP(A219,'ID6&amp;7'!A:J,10,FALSE),"-")</f>
        <v>-</v>
      </c>
      <c r="Y219" s="26"/>
      <c r="Z219" s="27" t="str">
        <f t="shared" si="4"/>
        <v>Por iniciar</v>
      </c>
      <c r="AA219" s="65"/>
    </row>
    <row r="220" spans="1:27">
      <c r="A220" s="20"/>
      <c r="B220" s="60"/>
      <c r="C220" s="60"/>
      <c r="D220" s="60"/>
      <c r="E220" s="60"/>
      <c r="F220" s="60"/>
      <c r="G220" s="60"/>
      <c r="H220" s="65" t="s">
        <v>113</v>
      </c>
      <c r="I220" s="21" t="s">
        <v>1266</v>
      </c>
      <c r="J220" s="26">
        <f>+COUNTIF('ID1&amp;5'!G:G,'1. Status'!I220)</f>
        <v>0</v>
      </c>
      <c r="K220" s="79" t="str">
        <f>+IFERROR(VLOOKUP(CONCATENATE(A220,$B$10,B220),'ID1&amp;5'!B:J,8,FALSE),"-")</f>
        <v>-</v>
      </c>
      <c r="L220" s="78" t="str">
        <f>+IFERROR(VLOOKUP(B220,'ID1&amp;5'!K:L,2,FALSE),"-")</f>
        <v>-</v>
      </c>
      <c r="M220" s="79" t="str">
        <f>+IFERROR(VLOOKUP(CONCATENATE(A220,$B$10,B220),'ID1&amp;5'!B:J,9,FALSE),"-")</f>
        <v>-</v>
      </c>
      <c r="N220" s="79" t="str">
        <f>+IFERROR(VLOOKUP(CONCATENATE(A220,$C$10,C220),'ID1&amp;5'!B:J,8,FALSE),"-")</f>
        <v>-</v>
      </c>
      <c r="O220" s="78" t="str">
        <f>+IFERROR(VLOOKUP(C220,'ID1&amp;5'!K:L,2,FALSE),"-")</f>
        <v>-</v>
      </c>
      <c r="P220" s="79" t="str">
        <f>+IFERROR(VLOOKUP(CONCATENATE(A220,$C$10,C220),'ID1&amp;5'!B:J,9,FALSE),"-")</f>
        <v>-</v>
      </c>
      <c r="Q220" s="78" t="str">
        <f>+IFERROR(VLOOKUP(D220,'ID1&amp;5'!K:L,2,FALSE),"-")</f>
        <v>-</v>
      </c>
      <c r="R220" s="26" t="str">
        <f>+IFERROR(VLOOKUP(CONCATENATE(A220,$D$10,D220),'ID1&amp;5'!B:J,9,FALSE),"-")</f>
        <v>-</v>
      </c>
      <c r="S220" s="78" t="str">
        <f>+IFERROR(VLOOKUP(E220,'ID1&amp;5'!K:L,2,FALSE),"-")</f>
        <v>-</v>
      </c>
      <c r="T220" s="79" t="str">
        <f>+IFERROR(VLOOKUP(CONCATENATE(A220,$E$10,E220),'ID1&amp;5'!B:J,9,FALSE),"-")</f>
        <v>-</v>
      </c>
      <c r="U220" s="78" t="str">
        <f>+IFERROR(VLOOKUP(F220,'ID1&amp;5'!K:L,2,FALSE),"-")</f>
        <v>-</v>
      </c>
      <c r="V220" s="79" t="str">
        <f>+IFERROR(VLOOKUP(CONCATENATE(A220,$F$10,F220),'ID1&amp;5'!B:J,9,FALSE),"-")</f>
        <v>-</v>
      </c>
      <c r="W220" s="26" t="str">
        <f>+IFERROR(VLOOKUP(A220,'ID6&amp;7'!A:I,9,FALSE),"-")</f>
        <v>-</v>
      </c>
      <c r="X220" s="26" t="str">
        <f>+IFERROR(VLOOKUP(A220,'ID6&amp;7'!A:J,10,FALSE),"-")</f>
        <v>-</v>
      </c>
      <c r="Y220" s="26"/>
      <c r="Z220" s="27" t="str">
        <f t="shared" si="4"/>
        <v>Por iniciar</v>
      </c>
      <c r="AA220" s="65"/>
    </row>
    <row r="221" spans="1:27">
      <c r="A221" s="20"/>
      <c r="B221" s="60"/>
      <c r="C221" s="60"/>
      <c r="D221" s="60"/>
      <c r="E221" s="60"/>
      <c r="F221" s="60"/>
      <c r="G221" s="60"/>
      <c r="H221" s="65" t="s">
        <v>113</v>
      </c>
      <c r="I221" s="21" t="s">
        <v>1267</v>
      </c>
      <c r="J221" s="26">
        <f>+COUNTIF('ID1&amp;5'!G:G,'1. Status'!I221)</f>
        <v>0</v>
      </c>
      <c r="K221" s="79" t="str">
        <f>+IFERROR(VLOOKUP(CONCATENATE(A221,$B$10,B221),'ID1&amp;5'!B:J,8,FALSE),"-")</f>
        <v>-</v>
      </c>
      <c r="L221" s="78" t="str">
        <f>+IFERROR(VLOOKUP(B221,'ID1&amp;5'!K:L,2,FALSE),"-")</f>
        <v>-</v>
      </c>
      <c r="M221" s="79" t="str">
        <f>+IFERROR(VLOOKUP(CONCATENATE(A221,$B$10,B221),'ID1&amp;5'!B:J,9,FALSE),"-")</f>
        <v>-</v>
      </c>
      <c r="N221" s="79" t="str">
        <f>+IFERROR(VLOOKUP(CONCATENATE(A221,$C$10,C221),'ID1&amp;5'!B:J,8,FALSE),"-")</f>
        <v>-</v>
      </c>
      <c r="O221" s="78" t="str">
        <f>+IFERROR(VLOOKUP(C221,'ID1&amp;5'!K:L,2,FALSE),"-")</f>
        <v>-</v>
      </c>
      <c r="P221" s="79" t="str">
        <f>+IFERROR(VLOOKUP(CONCATENATE(A221,$C$10,C221),'ID1&amp;5'!B:J,9,FALSE),"-")</f>
        <v>-</v>
      </c>
      <c r="Q221" s="78" t="str">
        <f>+IFERROR(VLOOKUP(D221,'ID1&amp;5'!K:L,2,FALSE),"-")</f>
        <v>-</v>
      </c>
      <c r="R221" s="26" t="str">
        <f>+IFERROR(VLOOKUP(CONCATENATE(A221,$D$10,D221),'ID1&amp;5'!B:J,9,FALSE),"-")</f>
        <v>-</v>
      </c>
      <c r="S221" s="78" t="str">
        <f>+IFERROR(VLOOKUP(E221,'ID1&amp;5'!K:L,2,FALSE),"-")</f>
        <v>-</v>
      </c>
      <c r="T221" s="79" t="str">
        <f>+IFERROR(VLOOKUP(CONCATENATE(A221,$E$10,E221),'ID1&amp;5'!B:J,9,FALSE),"-")</f>
        <v>-</v>
      </c>
      <c r="U221" s="78" t="str">
        <f>+IFERROR(VLOOKUP(F221,'ID1&amp;5'!K:L,2,FALSE),"-")</f>
        <v>-</v>
      </c>
      <c r="V221" s="79" t="str">
        <f>+IFERROR(VLOOKUP(CONCATENATE(A221,$F$10,F221),'ID1&amp;5'!B:J,9,FALSE),"-")</f>
        <v>-</v>
      </c>
      <c r="W221" s="26" t="str">
        <f>+IFERROR(VLOOKUP(A221,'ID6&amp;7'!A:I,9,FALSE),"-")</f>
        <v>-</v>
      </c>
      <c r="X221" s="26" t="str">
        <f>+IFERROR(VLOOKUP(A221,'ID6&amp;7'!A:J,10,FALSE),"-")</f>
        <v>-</v>
      </c>
      <c r="Y221" s="26"/>
      <c r="Z221" s="27" t="str">
        <f t="shared" si="4"/>
        <v>Por iniciar</v>
      </c>
      <c r="AA221" s="65"/>
    </row>
    <row r="222" spans="1:27">
      <c r="A222" s="20"/>
      <c r="B222" s="60"/>
      <c r="C222" s="60"/>
      <c r="D222" s="60"/>
      <c r="E222" s="60"/>
      <c r="F222" s="60"/>
      <c r="G222" s="60"/>
      <c r="H222" s="65" t="s">
        <v>113</v>
      </c>
      <c r="I222" s="21" t="s">
        <v>1268</v>
      </c>
      <c r="J222" s="26">
        <f>+COUNTIF('ID1&amp;5'!G:G,'1. Status'!I222)</f>
        <v>0</v>
      </c>
      <c r="K222" s="79" t="str">
        <f>+IFERROR(VLOOKUP(CONCATENATE(A222,$B$10,B222),'ID1&amp;5'!B:J,8,FALSE),"-")</f>
        <v>-</v>
      </c>
      <c r="L222" s="78" t="str">
        <f>+IFERROR(VLOOKUP(B222,'ID1&amp;5'!K:L,2,FALSE),"-")</f>
        <v>-</v>
      </c>
      <c r="M222" s="79" t="str">
        <f>+IFERROR(VLOOKUP(CONCATENATE(A222,$B$10,B222),'ID1&amp;5'!B:J,9,FALSE),"-")</f>
        <v>-</v>
      </c>
      <c r="N222" s="79" t="str">
        <f>+IFERROR(VLOOKUP(CONCATENATE(A222,$C$10,C222),'ID1&amp;5'!B:J,8,FALSE),"-")</f>
        <v>-</v>
      </c>
      <c r="O222" s="78" t="str">
        <f>+IFERROR(VLOOKUP(C222,'ID1&amp;5'!K:L,2,FALSE),"-")</f>
        <v>-</v>
      </c>
      <c r="P222" s="79" t="str">
        <f>+IFERROR(VLOOKUP(CONCATENATE(A222,$C$10,C222),'ID1&amp;5'!B:J,9,FALSE),"-")</f>
        <v>-</v>
      </c>
      <c r="Q222" s="78" t="str">
        <f>+IFERROR(VLOOKUP(D222,'ID1&amp;5'!K:L,2,FALSE),"-")</f>
        <v>-</v>
      </c>
      <c r="R222" s="26" t="str">
        <f>+IFERROR(VLOOKUP(CONCATENATE(A222,$D$10,D222),'ID1&amp;5'!B:J,9,FALSE),"-")</f>
        <v>-</v>
      </c>
      <c r="S222" s="78" t="str">
        <f>+IFERROR(VLOOKUP(E222,'ID1&amp;5'!K:L,2,FALSE),"-")</f>
        <v>-</v>
      </c>
      <c r="T222" s="79" t="str">
        <f>+IFERROR(VLOOKUP(CONCATENATE(A222,$E$10,E222),'ID1&amp;5'!B:J,9,FALSE),"-")</f>
        <v>-</v>
      </c>
      <c r="U222" s="78" t="str">
        <f>+IFERROR(VLOOKUP(F222,'ID1&amp;5'!K:L,2,FALSE),"-")</f>
        <v>-</v>
      </c>
      <c r="V222" s="79" t="str">
        <f>+IFERROR(VLOOKUP(CONCATENATE(A222,$F$10,F222),'ID1&amp;5'!B:J,9,FALSE),"-")</f>
        <v>-</v>
      </c>
      <c r="W222" s="26" t="str">
        <f>+IFERROR(VLOOKUP(A222,'ID6&amp;7'!A:I,9,FALSE),"-")</f>
        <v>-</v>
      </c>
      <c r="X222" s="26" t="str">
        <f>+IFERROR(VLOOKUP(A222,'ID6&amp;7'!A:J,10,FALSE),"-")</f>
        <v>-</v>
      </c>
      <c r="Y222" s="26"/>
      <c r="Z222" s="27" t="str">
        <f t="shared" si="4"/>
        <v>Por iniciar</v>
      </c>
      <c r="AA222" s="65"/>
    </row>
    <row r="223" spans="1:27">
      <c r="A223" s="20"/>
      <c r="B223" s="60"/>
      <c r="C223" s="60"/>
      <c r="D223" s="60"/>
      <c r="E223" s="60"/>
      <c r="F223" s="60"/>
      <c r="G223" s="60"/>
      <c r="H223" s="65" t="s">
        <v>113</v>
      </c>
      <c r="I223" s="21" t="s">
        <v>1269</v>
      </c>
      <c r="J223" s="26">
        <f>+COUNTIF('ID1&amp;5'!G:G,'1. Status'!I223)</f>
        <v>0</v>
      </c>
      <c r="K223" s="79" t="str">
        <f>+IFERROR(VLOOKUP(CONCATENATE(A223,$B$10,B223),'ID1&amp;5'!B:J,8,FALSE),"-")</f>
        <v>-</v>
      </c>
      <c r="L223" s="78" t="str">
        <f>+IFERROR(VLOOKUP(B223,'ID1&amp;5'!K:L,2,FALSE),"-")</f>
        <v>-</v>
      </c>
      <c r="M223" s="79" t="str">
        <f>+IFERROR(VLOOKUP(CONCATENATE(A223,$B$10,B223),'ID1&amp;5'!B:J,9,FALSE),"-")</f>
        <v>-</v>
      </c>
      <c r="N223" s="79" t="str">
        <f>+IFERROR(VLOOKUP(CONCATENATE(A223,$C$10,C223),'ID1&amp;5'!B:J,8,FALSE),"-")</f>
        <v>-</v>
      </c>
      <c r="O223" s="78" t="str">
        <f>+IFERROR(VLOOKUP(C223,'ID1&amp;5'!K:L,2,FALSE),"-")</f>
        <v>-</v>
      </c>
      <c r="P223" s="79" t="str">
        <f>+IFERROR(VLOOKUP(CONCATENATE(A223,$C$10,C223),'ID1&amp;5'!B:J,9,FALSE),"-")</f>
        <v>-</v>
      </c>
      <c r="Q223" s="78" t="str">
        <f>+IFERROR(VLOOKUP(D223,'ID1&amp;5'!K:L,2,FALSE),"-")</f>
        <v>-</v>
      </c>
      <c r="R223" s="26" t="str">
        <f>+IFERROR(VLOOKUP(CONCATENATE(A223,$D$10,D223),'ID1&amp;5'!B:J,9,FALSE),"-")</f>
        <v>-</v>
      </c>
      <c r="S223" s="78" t="str">
        <f>+IFERROR(VLOOKUP(E223,'ID1&amp;5'!K:L,2,FALSE),"-")</f>
        <v>-</v>
      </c>
      <c r="T223" s="79" t="str">
        <f>+IFERROR(VLOOKUP(CONCATENATE(A223,$E$10,E223),'ID1&amp;5'!B:J,9,FALSE),"-")</f>
        <v>-</v>
      </c>
      <c r="U223" s="78" t="str">
        <f>+IFERROR(VLOOKUP(F223,'ID1&amp;5'!K:L,2,FALSE),"-")</f>
        <v>-</v>
      </c>
      <c r="V223" s="79" t="str">
        <f>+IFERROR(VLOOKUP(CONCATENATE(A223,$F$10,F223),'ID1&amp;5'!B:J,9,FALSE),"-")</f>
        <v>-</v>
      </c>
      <c r="W223" s="26" t="str">
        <f>+IFERROR(VLOOKUP(A223,'ID6&amp;7'!A:I,9,FALSE),"-")</f>
        <v>-</v>
      </c>
      <c r="X223" s="26" t="str">
        <f>+IFERROR(VLOOKUP(A223,'ID6&amp;7'!A:J,10,FALSE),"-")</f>
        <v>-</v>
      </c>
      <c r="Y223" s="26"/>
      <c r="Z223" s="27" t="str">
        <f t="shared" si="4"/>
        <v>Por iniciar</v>
      </c>
      <c r="AA223" s="65"/>
    </row>
    <row r="224" spans="1:27">
      <c r="A224" s="20"/>
      <c r="B224" s="60"/>
      <c r="C224" s="60"/>
      <c r="D224" s="60"/>
      <c r="E224" s="60"/>
      <c r="F224" s="60"/>
      <c r="G224" s="60"/>
      <c r="H224" s="65" t="s">
        <v>113</v>
      </c>
      <c r="I224" s="21" t="s">
        <v>1270</v>
      </c>
      <c r="J224" s="26">
        <f>+COUNTIF('ID1&amp;5'!G:G,'1. Status'!I224)</f>
        <v>0</v>
      </c>
      <c r="K224" s="79" t="str">
        <f>+IFERROR(VLOOKUP(CONCATENATE(A224,$B$10,B224),'ID1&amp;5'!B:J,8,FALSE),"-")</f>
        <v>-</v>
      </c>
      <c r="L224" s="78" t="str">
        <f>+IFERROR(VLOOKUP(B224,'ID1&amp;5'!K:L,2,FALSE),"-")</f>
        <v>-</v>
      </c>
      <c r="M224" s="79" t="str">
        <f>+IFERROR(VLOOKUP(CONCATENATE(A224,$B$10,B224),'ID1&amp;5'!B:J,9,FALSE),"-")</f>
        <v>-</v>
      </c>
      <c r="N224" s="79" t="str">
        <f>+IFERROR(VLOOKUP(CONCATENATE(A224,$C$10,C224),'ID1&amp;5'!B:J,8,FALSE),"-")</f>
        <v>-</v>
      </c>
      <c r="O224" s="78" t="str">
        <f>+IFERROR(VLOOKUP(C224,'ID1&amp;5'!K:L,2,FALSE),"-")</f>
        <v>-</v>
      </c>
      <c r="P224" s="79" t="str">
        <f>+IFERROR(VLOOKUP(CONCATENATE(A224,$C$10,C224),'ID1&amp;5'!B:J,9,FALSE),"-")</f>
        <v>-</v>
      </c>
      <c r="Q224" s="78" t="str">
        <f>+IFERROR(VLOOKUP(D224,'ID1&amp;5'!K:L,2,FALSE),"-")</f>
        <v>-</v>
      </c>
      <c r="R224" s="26" t="str">
        <f>+IFERROR(VLOOKUP(CONCATENATE(A224,$D$10,D224),'ID1&amp;5'!B:J,9,FALSE),"-")</f>
        <v>-</v>
      </c>
      <c r="S224" s="78" t="str">
        <f>+IFERROR(VLOOKUP(E224,'ID1&amp;5'!K:L,2,FALSE),"-")</f>
        <v>-</v>
      </c>
      <c r="T224" s="79" t="str">
        <f>+IFERROR(VLOOKUP(CONCATENATE(A224,$E$10,E224),'ID1&amp;5'!B:J,9,FALSE),"-")</f>
        <v>-</v>
      </c>
      <c r="U224" s="78" t="str">
        <f>+IFERROR(VLOOKUP(F224,'ID1&amp;5'!K:L,2,FALSE),"-")</f>
        <v>-</v>
      </c>
      <c r="V224" s="79" t="str">
        <f>+IFERROR(VLOOKUP(CONCATENATE(A224,$F$10,F224),'ID1&amp;5'!B:J,9,FALSE),"-")</f>
        <v>-</v>
      </c>
      <c r="W224" s="26" t="str">
        <f>+IFERROR(VLOOKUP(A224,'ID6&amp;7'!A:I,9,FALSE),"-")</f>
        <v>-</v>
      </c>
      <c r="X224" s="26" t="str">
        <f>+IFERROR(VLOOKUP(A224,'ID6&amp;7'!A:J,10,FALSE),"-")</f>
        <v>-</v>
      </c>
      <c r="Y224" s="26"/>
      <c r="Z224" s="27" t="str">
        <f t="shared" si="4"/>
        <v>Por iniciar</v>
      </c>
      <c r="AA224" s="65"/>
    </row>
    <row r="225" spans="1:27">
      <c r="A225" s="20"/>
      <c r="B225" s="60"/>
      <c r="C225" s="60"/>
      <c r="D225" s="60"/>
      <c r="E225" s="60"/>
      <c r="F225" s="60"/>
      <c r="G225" s="60"/>
      <c r="H225" s="65" t="s">
        <v>113</v>
      </c>
      <c r="I225" s="21" t="s">
        <v>1271</v>
      </c>
      <c r="J225" s="26">
        <f>+COUNTIF('ID1&amp;5'!G:G,'1. Status'!I225)</f>
        <v>0</v>
      </c>
      <c r="K225" s="79" t="str">
        <f>+IFERROR(VLOOKUP(CONCATENATE(A225,$B$10,B225),'ID1&amp;5'!B:J,8,FALSE),"-")</f>
        <v>-</v>
      </c>
      <c r="L225" s="78" t="str">
        <f>+IFERROR(VLOOKUP(B225,'ID1&amp;5'!K:L,2,FALSE),"-")</f>
        <v>-</v>
      </c>
      <c r="M225" s="79" t="str">
        <f>+IFERROR(VLOOKUP(CONCATENATE(A225,$B$10,B225),'ID1&amp;5'!B:J,9,FALSE),"-")</f>
        <v>-</v>
      </c>
      <c r="N225" s="79" t="str">
        <f>+IFERROR(VLOOKUP(CONCATENATE(A225,$C$10,C225),'ID1&amp;5'!B:J,8,FALSE),"-")</f>
        <v>-</v>
      </c>
      <c r="O225" s="78" t="str">
        <f>+IFERROR(VLOOKUP(C225,'ID1&amp;5'!K:L,2,FALSE),"-")</f>
        <v>-</v>
      </c>
      <c r="P225" s="79" t="str">
        <f>+IFERROR(VLOOKUP(CONCATENATE(A225,$C$10,C225),'ID1&amp;5'!B:J,9,FALSE),"-")</f>
        <v>-</v>
      </c>
      <c r="Q225" s="78" t="str">
        <f>+IFERROR(VLOOKUP(D225,'ID1&amp;5'!K:L,2,FALSE),"-")</f>
        <v>-</v>
      </c>
      <c r="R225" s="26" t="str">
        <f>+IFERROR(VLOOKUP(CONCATENATE(A225,$D$10,D225),'ID1&amp;5'!B:J,9,FALSE),"-")</f>
        <v>-</v>
      </c>
      <c r="S225" s="78" t="str">
        <f>+IFERROR(VLOOKUP(E225,'ID1&amp;5'!K:L,2,FALSE),"-")</f>
        <v>-</v>
      </c>
      <c r="T225" s="79" t="str">
        <f>+IFERROR(VLOOKUP(CONCATENATE(A225,$E$10,E225),'ID1&amp;5'!B:J,9,FALSE),"-")</f>
        <v>-</v>
      </c>
      <c r="U225" s="78" t="str">
        <f>+IFERROR(VLOOKUP(F225,'ID1&amp;5'!K:L,2,FALSE),"-")</f>
        <v>-</v>
      </c>
      <c r="V225" s="79" t="str">
        <f>+IFERROR(VLOOKUP(CONCATENATE(A225,$F$10,F225),'ID1&amp;5'!B:J,9,FALSE),"-")</f>
        <v>-</v>
      </c>
      <c r="W225" s="26" t="str">
        <f>+IFERROR(VLOOKUP(A225,'ID6&amp;7'!A:I,9,FALSE),"-")</f>
        <v>-</v>
      </c>
      <c r="X225" s="26" t="str">
        <f>+IFERROR(VLOOKUP(A225,'ID6&amp;7'!A:J,10,FALSE),"-")</f>
        <v>-</v>
      </c>
      <c r="Y225" s="26"/>
      <c r="Z225" s="27" t="str">
        <f t="shared" si="4"/>
        <v>Por iniciar</v>
      </c>
      <c r="AA225" s="65"/>
    </row>
    <row r="226" spans="1:27">
      <c r="A226" s="20"/>
      <c r="B226" s="60"/>
      <c r="C226" s="60"/>
      <c r="D226" s="60"/>
      <c r="E226" s="60"/>
      <c r="F226" s="60"/>
      <c r="G226" s="60"/>
      <c r="H226" s="65" t="s">
        <v>113</v>
      </c>
      <c r="I226" s="21" t="s">
        <v>1272</v>
      </c>
      <c r="J226" s="26">
        <f>+COUNTIF('ID1&amp;5'!G:G,'1. Status'!I226)</f>
        <v>0</v>
      </c>
      <c r="K226" s="79" t="str">
        <f>+IFERROR(VLOOKUP(CONCATENATE(A226,$B$10,B226),'ID1&amp;5'!B:J,8,FALSE),"-")</f>
        <v>-</v>
      </c>
      <c r="L226" s="78" t="str">
        <f>+IFERROR(VLOOKUP(B226,'ID1&amp;5'!K:L,2,FALSE),"-")</f>
        <v>-</v>
      </c>
      <c r="M226" s="79" t="str">
        <f>+IFERROR(VLOOKUP(CONCATENATE(A226,$B$10,B226),'ID1&amp;5'!B:J,9,FALSE),"-")</f>
        <v>-</v>
      </c>
      <c r="N226" s="79" t="str">
        <f>+IFERROR(VLOOKUP(CONCATENATE(A226,$C$10,C226),'ID1&amp;5'!B:J,8,FALSE),"-")</f>
        <v>-</v>
      </c>
      <c r="O226" s="78" t="str">
        <f>+IFERROR(VLOOKUP(C226,'ID1&amp;5'!K:L,2,FALSE),"-")</f>
        <v>-</v>
      </c>
      <c r="P226" s="79" t="str">
        <f>+IFERROR(VLOOKUP(CONCATENATE(A226,$C$10,C226),'ID1&amp;5'!B:J,9,FALSE),"-")</f>
        <v>-</v>
      </c>
      <c r="Q226" s="78" t="str">
        <f>+IFERROR(VLOOKUP(D226,'ID1&amp;5'!K:L,2,FALSE),"-")</f>
        <v>-</v>
      </c>
      <c r="R226" s="26" t="str">
        <f>+IFERROR(VLOOKUP(CONCATENATE(A226,$D$10,D226),'ID1&amp;5'!B:J,9,FALSE),"-")</f>
        <v>-</v>
      </c>
      <c r="S226" s="78" t="str">
        <f>+IFERROR(VLOOKUP(E226,'ID1&amp;5'!K:L,2,FALSE),"-")</f>
        <v>-</v>
      </c>
      <c r="T226" s="79" t="str">
        <f>+IFERROR(VLOOKUP(CONCATENATE(A226,$E$10,E226),'ID1&amp;5'!B:J,9,FALSE),"-")</f>
        <v>-</v>
      </c>
      <c r="U226" s="78" t="str">
        <f>+IFERROR(VLOOKUP(F226,'ID1&amp;5'!K:L,2,FALSE),"-")</f>
        <v>-</v>
      </c>
      <c r="V226" s="79" t="str">
        <f>+IFERROR(VLOOKUP(CONCATENATE(A226,$F$10,F226),'ID1&amp;5'!B:J,9,FALSE),"-")</f>
        <v>-</v>
      </c>
      <c r="W226" s="26" t="str">
        <f>+IFERROR(VLOOKUP(A226,'ID6&amp;7'!A:I,9,FALSE),"-")</f>
        <v>-</v>
      </c>
      <c r="X226" s="26" t="str">
        <f>+IFERROR(VLOOKUP(A226,'ID6&amp;7'!A:J,10,FALSE),"-")</f>
        <v>-</v>
      </c>
      <c r="Y226" s="26"/>
      <c r="Z226" s="27" t="str">
        <f t="shared" si="4"/>
        <v>Por iniciar</v>
      </c>
      <c r="AA226" s="65"/>
    </row>
    <row r="227" spans="1:27">
      <c r="A227" s="20"/>
      <c r="B227" s="60"/>
      <c r="C227" s="60"/>
      <c r="D227" s="60"/>
      <c r="E227" s="60"/>
      <c r="F227" s="60"/>
      <c r="G227" s="60"/>
      <c r="H227" s="65" t="s">
        <v>113</v>
      </c>
      <c r="I227" s="21" t="s">
        <v>1273</v>
      </c>
      <c r="J227" s="26">
        <f>+COUNTIF('ID1&amp;5'!G:G,'1. Status'!I227)</f>
        <v>0</v>
      </c>
      <c r="K227" s="79" t="str">
        <f>+IFERROR(VLOOKUP(CONCATENATE(A227,$B$10,B227),'ID1&amp;5'!B:J,8,FALSE),"-")</f>
        <v>-</v>
      </c>
      <c r="L227" s="78" t="str">
        <f>+IFERROR(VLOOKUP(B227,'ID1&amp;5'!K:L,2,FALSE),"-")</f>
        <v>-</v>
      </c>
      <c r="M227" s="79" t="str">
        <f>+IFERROR(VLOOKUP(CONCATENATE(A227,$B$10,B227),'ID1&amp;5'!B:J,9,FALSE),"-")</f>
        <v>-</v>
      </c>
      <c r="N227" s="79" t="str">
        <f>+IFERROR(VLOOKUP(CONCATENATE(A227,$C$10,C227),'ID1&amp;5'!B:J,8,FALSE),"-")</f>
        <v>-</v>
      </c>
      <c r="O227" s="78" t="str">
        <f>+IFERROR(VLOOKUP(C227,'ID1&amp;5'!K:L,2,FALSE),"-")</f>
        <v>-</v>
      </c>
      <c r="P227" s="79" t="str">
        <f>+IFERROR(VLOOKUP(CONCATENATE(A227,$C$10,C227),'ID1&amp;5'!B:J,9,FALSE),"-")</f>
        <v>-</v>
      </c>
      <c r="Q227" s="78" t="str">
        <f>+IFERROR(VLOOKUP(D227,'ID1&amp;5'!K:L,2,FALSE),"-")</f>
        <v>-</v>
      </c>
      <c r="R227" s="26" t="str">
        <f>+IFERROR(VLOOKUP(CONCATENATE(A227,$D$10,D227),'ID1&amp;5'!B:J,9,FALSE),"-")</f>
        <v>-</v>
      </c>
      <c r="S227" s="78" t="str">
        <f>+IFERROR(VLOOKUP(E227,'ID1&amp;5'!K:L,2,FALSE),"-")</f>
        <v>-</v>
      </c>
      <c r="T227" s="79" t="str">
        <f>+IFERROR(VLOOKUP(CONCATENATE(A227,$E$10,E227),'ID1&amp;5'!B:J,9,FALSE),"-")</f>
        <v>-</v>
      </c>
      <c r="U227" s="78" t="str">
        <f>+IFERROR(VLOOKUP(F227,'ID1&amp;5'!K:L,2,FALSE),"-")</f>
        <v>-</v>
      </c>
      <c r="V227" s="79" t="str">
        <f>+IFERROR(VLOOKUP(CONCATENATE(A227,$F$10,F227),'ID1&amp;5'!B:J,9,FALSE),"-")</f>
        <v>-</v>
      </c>
      <c r="W227" s="26" t="str">
        <f>+IFERROR(VLOOKUP(A227,'ID6&amp;7'!A:I,9,FALSE),"-")</f>
        <v>-</v>
      </c>
      <c r="X227" s="26" t="str">
        <f>+IFERROR(VLOOKUP(A227,'ID6&amp;7'!A:J,10,FALSE),"-")</f>
        <v>-</v>
      </c>
      <c r="Y227" s="26"/>
      <c r="Z227" s="27" t="str">
        <f t="shared" si="4"/>
        <v>Por iniciar</v>
      </c>
      <c r="AA227" s="65"/>
    </row>
    <row r="228" spans="1:27">
      <c r="A228" s="20"/>
      <c r="B228" s="60"/>
      <c r="C228" s="60"/>
      <c r="D228" s="60"/>
      <c r="E228" s="60"/>
      <c r="F228" s="60"/>
      <c r="G228" s="60"/>
      <c r="H228" s="65" t="s">
        <v>113</v>
      </c>
      <c r="I228" s="21" t="s">
        <v>1274</v>
      </c>
      <c r="J228" s="26">
        <f>+COUNTIF('ID1&amp;5'!G:G,'1. Status'!I228)</f>
        <v>0</v>
      </c>
      <c r="K228" s="79" t="str">
        <f>+IFERROR(VLOOKUP(CONCATENATE(A228,$B$10,B228),'ID1&amp;5'!B:J,8,FALSE),"-")</f>
        <v>-</v>
      </c>
      <c r="L228" s="78" t="str">
        <f>+IFERROR(VLOOKUP(B228,'ID1&amp;5'!K:L,2,FALSE),"-")</f>
        <v>-</v>
      </c>
      <c r="M228" s="79" t="str">
        <f>+IFERROR(VLOOKUP(CONCATENATE(A228,$B$10,B228),'ID1&amp;5'!B:J,9,FALSE),"-")</f>
        <v>-</v>
      </c>
      <c r="N228" s="79" t="str">
        <f>+IFERROR(VLOOKUP(CONCATENATE(A228,$C$10,C228),'ID1&amp;5'!B:J,8,FALSE),"-")</f>
        <v>-</v>
      </c>
      <c r="O228" s="78" t="str">
        <f>+IFERROR(VLOOKUP(C228,'ID1&amp;5'!K:L,2,FALSE),"-")</f>
        <v>-</v>
      </c>
      <c r="P228" s="79" t="str">
        <f>+IFERROR(VLOOKUP(CONCATENATE(A228,$C$10,C228),'ID1&amp;5'!B:J,9,FALSE),"-")</f>
        <v>-</v>
      </c>
      <c r="Q228" s="78" t="str">
        <f>+IFERROR(VLOOKUP(D228,'ID1&amp;5'!K:L,2,FALSE),"-")</f>
        <v>-</v>
      </c>
      <c r="R228" s="26" t="str">
        <f>+IFERROR(VLOOKUP(CONCATENATE(A228,$D$10,D228),'ID1&amp;5'!B:J,9,FALSE),"-")</f>
        <v>-</v>
      </c>
      <c r="S228" s="78" t="str">
        <f>+IFERROR(VLOOKUP(E228,'ID1&amp;5'!K:L,2,FALSE),"-")</f>
        <v>-</v>
      </c>
      <c r="T228" s="79" t="str">
        <f>+IFERROR(VLOOKUP(CONCATENATE(A228,$E$10,E228),'ID1&amp;5'!B:J,9,FALSE),"-")</f>
        <v>-</v>
      </c>
      <c r="U228" s="78" t="str">
        <f>+IFERROR(VLOOKUP(F228,'ID1&amp;5'!K:L,2,FALSE),"-")</f>
        <v>-</v>
      </c>
      <c r="V228" s="79" t="str">
        <f>+IFERROR(VLOOKUP(CONCATENATE(A228,$F$10,F228),'ID1&amp;5'!B:J,9,FALSE),"-")</f>
        <v>-</v>
      </c>
      <c r="W228" s="26" t="str">
        <f>+IFERROR(VLOOKUP(A228,'ID6&amp;7'!A:I,9,FALSE),"-")</f>
        <v>-</v>
      </c>
      <c r="X228" s="26" t="str">
        <f>+IFERROR(VLOOKUP(A228,'ID6&amp;7'!A:J,10,FALSE),"-")</f>
        <v>-</v>
      </c>
      <c r="Y228" s="26"/>
      <c r="Z228" s="27" t="str">
        <f t="shared" si="4"/>
        <v>Por iniciar</v>
      </c>
      <c r="AA228" s="65"/>
    </row>
    <row r="229" spans="1:27">
      <c r="A229" s="20"/>
      <c r="B229" s="60"/>
      <c r="C229" s="60"/>
      <c r="D229" s="60"/>
      <c r="E229" s="60"/>
      <c r="F229" s="60"/>
      <c r="G229" s="60"/>
      <c r="H229" s="65" t="s">
        <v>113</v>
      </c>
      <c r="I229" s="21" t="s">
        <v>1275</v>
      </c>
      <c r="J229" s="26">
        <f>+COUNTIF('ID1&amp;5'!G:G,'1. Status'!I229)</f>
        <v>0</v>
      </c>
      <c r="K229" s="79" t="str">
        <f>+IFERROR(VLOOKUP(CONCATENATE(A229,$B$10,B229),'ID1&amp;5'!B:J,8,FALSE),"-")</f>
        <v>-</v>
      </c>
      <c r="L229" s="78" t="str">
        <f>+IFERROR(VLOOKUP(B229,'ID1&amp;5'!K:L,2,FALSE),"-")</f>
        <v>-</v>
      </c>
      <c r="M229" s="79" t="str">
        <f>+IFERROR(VLOOKUP(CONCATENATE(A229,$B$10,B229),'ID1&amp;5'!B:J,9,FALSE),"-")</f>
        <v>-</v>
      </c>
      <c r="N229" s="79" t="str">
        <f>+IFERROR(VLOOKUP(CONCATENATE(A229,$C$10,C229),'ID1&amp;5'!B:J,8,FALSE),"-")</f>
        <v>-</v>
      </c>
      <c r="O229" s="78" t="str">
        <f>+IFERROR(VLOOKUP(C229,'ID1&amp;5'!K:L,2,FALSE),"-")</f>
        <v>-</v>
      </c>
      <c r="P229" s="79" t="str">
        <f>+IFERROR(VLOOKUP(CONCATENATE(A229,$C$10,C229),'ID1&amp;5'!B:J,9,FALSE),"-")</f>
        <v>-</v>
      </c>
      <c r="Q229" s="78" t="str">
        <f>+IFERROR(VLOOKUP(D229,'ID1&amp;5'!K:L,2,FALSE),"-")</f>
        <v>-</v>
      </c>
      <c r="R229" s="26" t="str">
        <f>+IFERROR(VLOOKUP(CONCATENATE(A229,$D$10,D229),'ID1&amp;5'!B:J,9,FALSE),"-")</f>
        <v>-</v>
      </c>
      <c r="S229" s="78" t="str">
        <f>+IFERROR(VLOOKUP(E229,'ID1&amp;5'!K:L,2,FALSE),"-")</f>
        <v>-</v>
      </c>
      <c r="T229" s="79" t="str">
        <f>+IFERROR(VLOOKUP(CONCATENATE(A229,$E$10,E229),'ID1&amp;5'!B:J,9,FALSE),"-")</f>
        <v>-</v>
      </c>
      <c r="U229" s="78" t="str">
        <f>+IFERROR(VLOOKUP(F229,'ID1&amp;5'!K:L,2,FALSE),"-")</f>
        <v>-</v>
      </c>
      <c r="V229" s="79" t="str">
        <f>+IFERROR(VLOOKUP(CONCATENATE(A229,$F$10,F229),'ID1&amp;5'!B:J,9,FALSE),"-")</f>
        <v>-</v>
      </c>
      <c r="W229" s="26" t="str">
        <f>+IFERROR(VLOOKUP(A229,'ID6&amp;7'!A:I,9,FALSE),"-")</f>
        <v>-</v>
      </c>
      <c r="X229" s="26" t="str">
        <f>+IFERROR(VLOOKUP(A229,'ID6&amp;7'!A:J,10,FALSE),"-")</f>
        <v>-</v>
      </c>
      <c r="Y229" s="26"/>
      <c r="Z229" s="27" t="str">
        <f t="shared" si="4"/>
        <v>Por iniciar</v>
      </c>
      <c r="AA229" s="65"/>
    </row>
    <row r="230" spans="1:27">
      <c r="A230" s="20"/>
      <c r="B230" s="60"/>
      <c r="C230" s="60"/>
      <c r="D230" s="60"/>
      <c r="E230" s="60"/>
      <c r="F230" s="60"/>
      <c r="G230" s="60"/>
      <c r="H230" s="65" t="s">
        <v>113</v>
      </c>
      <c r="I230" s="21" t="s">
        <v>1276</v>
      </c>
      <c r="J230" s="26">
        <f>+COUNTIF('ID1&amp;5'!G:G,'1. Status'!I230)</f>
        <v>0</v>
      </c>
      <c r="K230" s="79" t="str">
        <f>+IFERROR(VLOOKUP(CONCATENATE(A230,$B$10,B230),'ID1&amp;5'!B:J,8,FALSE),"-")</f>
        <v>-</v>
      </c>
      <c r="L230" s="78" t="str">
        <f>+IFERROR(VLOOKUP(B230,'ID1&amp;5'!K:L,2,FALSE),"-")</f>
        <v>-</v>
      </c>
      <c r="M230" s="79" t="str">
        <f>+IFERROR(VLOOKUP(CONCATENATE(A230,$B$10,B230),'ID1&amp;5'!B:J,9,FALSE),"-")</f>
        <v>-</v>
      </c>
      <c r="N230" s="79" t="str">
        <f>+IFERROR(VLOOKUP(CONCATENATE(A230,$C$10,C230),'ID1&amp;5'!B:J,8,FALSE),"-")</f>
        <v>-</v>
      </c>
      <c r="O230" s="78" t="str">
        <f>+IFERROR(VLOOKUP(C230,'ID1&amp;5'!K:L,2,FALSE),"-")</f>
        <v>-</v>
      </c>
      <c r="P230" s="79" t="str">
        <f>+IFERROR(VLOOKUP(CONCATENATE(A230,$C$10,C230),'ID1&amp;5'!B:J,9,FALSE),"-")</f>
        <v>-</v>
      </c>
      <c r="Q230" s="78" t="str">
        <f>+IFERROR(VLOOKUP(D230,'ID1&amp;5'!K:L,2,FALSE),"-")</f>
        <v>-</v>
      </c>
      <c r="R230" s="26" t="str">
        <f>+IFERROR(VLOOKUP(CONCATENATE(A230,$D$10,D230),'ID1&amp;5'!B:J,9,FALSE),"-")</f>
        <v>-</v>
      </c>
      <c r="S230" s="78" t="str">
        <f>+IFERROR(VLOOKUP(E230,'ID1&amp;5'!K:L,2,FALSE),"-")</f>
        <v>-</v>
      </c>
      <c r="T230" s="79" t="str">
        <f>+IFERROR(VLOOKUP(CONCATENATE(A230,$E$10,E230),'ID1&amp;5'!B:J,9,FALSE),"-")</f>
        <v>-</v>
      </c>
      <c r="U230" s="78" t="str">
        <f>+IFERROR(VLOOKUP(F230,'ID1&amp;5'!K:L,2,FALSE),"-")</f>
        <v>-</v>
      </c>
      <c r="V230" s="79" t="str">
        <f>+IFERROR(VLOOKUP(CONCATENATE(A230,$F$10,F230),'ID1&amp;5'!B:J,9,FALSE),"-")</f>
        <v>-</v>
      </c>
      <c r="W230" s="26" t="str">
        <f>+IFERROR(VLOOKUP(A230,'ID6&amp;7'!A:I,9,FALSE),"-")</f>
        <v>-</v>
      </c>
      <c r="X230" s="26" t="str">
        <f>+IFERROR(VLOOKUP(A230,'ID6&amp;7'!A:J,10,FALSE),"-")</f>
        <v>-</v>
      </c>
      <c r="Y230" s="26"/>
      <c r="Z230" s="27" t="str">
        <f t="shared" si="4"/>
        <v>Por iniciar</v>
      </c>
      <c r="AA230" s="65"/>
    </row>
    <row r="231" spans="1:27">
      <c r="A231" s="20"/>
      <c r="B231" s="60"/>
      <c r="C231" s="60"/>
      <c r="D231" s="60"/>
      <c r="E231" s="60"/>
      <c r="F231" s="60"/>
      <c r="G231" s="60"/>
      <c r="H231" s="65" t="s">
        <v>113</v>
      </c>
      <c r="I231" s="21" t="s">
        <v>608</v>
      </c>
      <c r="J231" s="26">
        <f>+COUNTIF('ID1&amp;5'!G:G,'1. Status'!I231)</f>
        <v>1</v>
      </c>
      <c r="K231" s="79" t="str">
        <f>+IFERROR(VLOOKUP(CONCATENATE(A231,$B$10,B231),'ID1&amp;5'!B:J,8,FALSE),"-")</f>
        <v>-</v>
      </c>
      <c r="L231" s="78" t="str">
        <f>+IFERROR(VLOOKUP(B231,'ID1&amp;5'!K:L,2,FALSE),"-")</f>
        <v>-</v>
      </c>
      <c r="M231" s="79" t="str">
        <f>+IFERROR(VLOOKUP(CONCATENATE(A231,$B$10,B231),'ID1&amp;5'!B:J,9,FALSE),"-")</f>
        <v>-</v>
      </c>
      <c r="N231" s="79" t="str">
        <f>+IFERROR(VLOOKUP(CONCATENATE(A231,$C$10,C231),'ID1&amp;5'!B:J,8,FALSE),"-")</f>
        <v>-</v>
      </c>
      <c r="O231" s="78" t="str">
        <f>+IFERROR(VLOOKUP(C231,'ID1&amp;5'!K:L,2,FALSE),"-")</f>
        <v>-</v>
      </c>
      <c r="P231" s="79" t="str">
        <f>+IFERROR(VLOOKUP(CONCATENATE(A231,$C$10,C231),'ID1&amp;5'!B:J,9,FALSE),"-")</f>
        <v>-</v>
      </c>
      <c r="Q231" s="78" t="str">
        <f>+IFERROR(VLOOKUP(D231,'ID1&amp;5'!K:L,2,FALSE),"-")</f>
        <v>-</v>
      </c>
      <c r="R231" s="26" t="str">
        <f>+IFERROR(VLOOKUP(CONCATENATE(A231,$D$10,D231),'ID1&amp;5'!B:J,9,FALSE),"-")</f>
        <v>-</v>
      </c>
      <c r="S231" s="78" t="str">
        <f>+IFERROR(VLOOKUP(E231,'ID1&amp;5'!K:L,2,FALSE),"-")</f>
        <v>-</v>
      </c>
      <c r="T231" s="79" t="str">
        <f>+IFERROR(VLOOKUP(CONCATENATE(A231,$E$10,E231),'ID1&amp;5'!B:J,9,FALSE),"-")</f>
        <v>-</v>
      </c>
      <c r="U231" s="78" t="str">
        <f>+IFERROR(VLOOKUP(F231,'ID1&amp;5'!K:L,2,FALSE),"-")</f>
        <v>-</v>
      </c>
      <c r="V231" s="79" t="str">
        <f>+IFERROR(VLOOKUP(CONCATENATE(A231,$F$10,F231),'ID1&amp;5'!B:J,9,FALSE),"-")</f>
        <v>-</v>
      </c>
      <c r="W231" s="26" t="str">
        <f>+IFERROR(VLOOKUP(A231,'ID6&amp;7'!A:I,9,FALSE),"-")</f>
        <v>-</v>
      </c>
      <c r="X231" s="26" t="str">
        <f>+IFERROR(VLOOKUP(A231,'ID6&amp;7'!A:J,10,FALSE),"-")</f>
        <v>-</v>
      </c>
      <c r="Y231" s="26"/>
      <c r="Z231" s="27" t="str">
        <f t="shared" si="4"/>
        <v>Em testes</v>
      </c>
      <c r="AA231" s="65"/>
    </row>
    <row r="232" spans="1:27">
      <c r="A232" s="20"/>
      <c r="B232" s="60"/>
      <c r="C232" s="60"/>
      <c r="D232" s="60"/>
      <c r="E232" s="60"/>
      <c r="F232" s="60"/>
      <c r="G232" s="60"/>
      <c r="H232" s="65" t="s">
        <v>113</v>
      </c>
      <c r="I232" s="21" t="s">
        <v>646</v>
      </c>
      <c r="J232" s="26">
        <f>+COUNTIF('ID1&amp;5'!G:G,'1. Status'!I232)</f>
        <v>0</v>
      </c>
      <c r="K232" s="79" t="str">
        <f>+IFERROR(VLOOKUP(CONCATENATE(A232,$B$10,B232),'ID1&amp;5'!B:J,8,FALSE),"-")</f>
        <v>-</v>
      </c>
      <c r="L232" s="78" t="str">
        <f>+IFERROR(VLOOKUP(B232,'ID1&amp;5'!K:L,2,FALSE),"-")</f>
        <v>-</v>
      </c>
      <c r="M232" s="79" t="str">
        <f>+IFERROR(VLOOKUP(CONCATENATE(A232,$B$10,B232),'ID1&amp;5'!B:J,9,FALSE),"-")</f>
        <v>-</v>
      </c>
      <c r="N232" s="79" t="str">
        <f>+IFERROR(VLOOKUP(CONCATENATE(A232,$C$10,C232),'ID1&amp;5'!B:J,8,FALSE),"-")</f>
        <v>-</v>
      </c>
      <c r="O232" s="78" t="str">
        <f>+IFERROR(VLOOKUP(C232,'ID1&amp;5'!K:L,2,FALSE),"-")</f>
        <v>-</v>
      </c>
      <c r="P232" s="79" t="str">
        <f>+IFERROR(VLOOKUP(CONCATENATE(A232,$C$10,C232),'ID1&amp;5'!B:J,9,FALSE),"-")</f>
        <v>-</v>
      </c>
      <c r="Q232" s="78" t="str">
        <f>+IFERROR(VLOOKUP(D232,'ID1&amp;5'!K:L,2,FALSE),"-")</f>
        <v>-</v>
      </c>
      <c r="R232" s="26" t="str">
        <f>+IFERROR(VLOOKUP(CONCATENATE(A232,$D$10,D232),'ID1&amp;5'!B:J,9,FALSE),"-")</f>
        <v>-</v>
      </c>
      <c r="S232" s="78" t="str">
        <f>+IFERROR(VLOOKUP(E232,'ID1&amp;5'!K:L,2,FALSE),"-")</f>
        <v>-</v>
      </c>
      <c r="T232" s="79" t="str">
        <f>+IFERROR(VLOOKUP(CONCATENATE(A232,$E$10,E232),'ID1&amp;5'!B:J,9,FALSE),"-")</f>
        <v>-</v>
      </c>
      <c r="U232" s="78" t="str">
        <f>+IFERROR(VLOOKUP(F232,'ID1&amp;5'!K:L,2,FALSE),"-")</f>
        <v>-</v>
      </c>
      <c r="V232" s="79" t="str">
        <f>+IFERROR(VLOOKUP(CONCATENATE(A232,$F$10,F232),'ID1&amp;5'!B:J,9,FALSE),"-")</f>
        <v>-</v>
      </c>
      <c r="W232" s="26" t="str">
        <f>+IFERROR(VLOOKUP(A232,'ID6&amp;7'!A:I,9,FALSE),"-")</f>
        <v>-</v>
      </c>
      <c r="X232" s="26" t="str">
        <f>+IFERROR(VLOOKUP(A232,'ID6&amp;7'!A:J,10,FALSE),"-")</f>
        <v>-</v>
      </c>
      <c r="Y232" s="26"/>
      <c r="Z232" s="27" t="str">
        <f t="shared" si="4"/>
        <v>Por iniciar</v>
      </c>
      <c r="AA232" s="65"/>
    </row>
    <row r="233" spans="1:27">
      <c r="A233" s="20"/>
      <c r="B233" s="60"/>
      <c r="C233" s="60"/>
      <c r="D233" s="60"/>
      <c r="E233" s="60"/>
      <c r="F233" s="60"/>
      <c r="G233" s="60"/>
      <c r="H233" s="65" t="s">
        <v>113</v>
      </c>
      <c r="I233" s="21" t="s">
        <v>1277</v>
      </c>
      <c r="J233" s="26">
        <f>+COUNTIF('ID1&amp;5'!G:G,'1. Status'!I233)</f>
        <v>0</v>
      </c>
      <c r="K233" s="79" t="str">
        <f>+IFERROR(VLOOKUP(CONCATENATE(A233,$B$10,B233),'ID1&amp;5'!B:J,8,FALSE),"-")</f>
        <v>-</v>
      </c>
      <c r="L233" s="78" t="str">
        <f>+IFERROR(VLOOKUP(B233,'ID1&amp;5'!K:L,2,FALSE),"-")</f>
        <v>-</v>
      </c>
      <c r="M233" s="79" t="str">
        <f>+IFERROR(VLOOKUP(CONCATENATE(A233,$B$10,B233),'ID1&amp;5'!B:J,9,FALSE),"-")</f>
        <v>-</v>
      </c>
      <c r="N233" s="79" t="str">
        <f>+IFERROR(VLOOKUP(CONCATENATE(A233,$C$10,C233),'ID1&amp;5'!B:J,8,FALSE),"-")</f>
        <v>-</v>
      </c>
      <c r="O233" s="78" t="str">
        <f>+IFERROR(VLOOKUP(C233,'ID1&amp;5'!K:L,2,FALSE),"-")</f>
        <v>-</v>
      </c>
      <c r="P233" s="79" t="str">
        <f>+IFERROR(VLOOKUP(CONCATENATE(A233,$C$10,C233),'ID1&amp;5'!B:J,9,FALSE),"-")</f>
        <v>-</v>
      </c>
      <c r="Q233" s="78" t="str">
        <f>+IFERROR(VLOOKUP(D233,'ID1&amp;5'!K:L,2,FALSE),"-")</f>
        <v>-</v>
      </c>
      <c r="R233" s="26" t="str">
        <f>+IFERROR(VLOOKUP(CONCATENATE(A233,$D$10,D233),'ID1&amp;5'!B:J,9,FALSE),"-")</f>
        <v>-</v>
      </c>
      <c r="S233" s="78" t="str">
        <f>+IFERROR(VLOOKUP(E233,'ID1&amp;5'!K:L,2,FALSE),"-")</f>
        <v>-</v>
      </c>
      <c r="T233" s="79" t="str">
        <f>+IFERROR(VLOOKUP(CONCATENATE(A233,$E$10,E233),'ID1&amp;5'!B:J,9,FALSE),"-")</f>
        <v>-</v>
      </c>
      <c r="U233" s="78" t="str">
        <f>+IFERROR(VLOOKUP(F233,'ID1&amp;5'!K:L,2,FALSE),"-")</f>
        <v>-</v>
      </c>
      <c r="V233" s="79" t="str">
        <f>+IFERROR(VLOOKUP(CONCATENATE(A233,$F$10,F233),'ID1&amp;5'!B:J,9,FALSE),"-")</f>
        <v>-</v>
      </c>
      <c r="W233" s="26" t="str">
        <f>+IFERROR(VLOOKUP(A233,'ID6&amp;7'!A:I,9,FALSE),"-")</f>
        <v>-</v>
      </c>
      <c r="X233" s="26" t="str">
        <f>+IFERROR(VLOOKUP(A233,'ID6&amp;7'!A:J,10,FALSE),"-")</f>
        <v>-</v>
      </c>
      <c r="Y233" s="26"/>
      <c r="Z233" s="27" t="str">
        <f t="shared" si="4"/>
        <v>Por iniciar</v>
      </c>
      <c r="AA233" s="65"/>
    </row>
    <row r="234" spans="1:27">
      <c r="A234" s="20"/>
      <c r="B234" s="60"/>
      <c r="C234" s="60"/>
      <c r="D234" s="60"/>
      <c r="E234" s="60"/>
      <c r="F234" s="60"/>
      <c r="G234" s="60"/>
      <c r="H234" s="65" t="s">
        <v>113</v>
      </c>
      <c r="I234" s="21" t="s">
        <v>1278</v>
      </c>
      <c r="J234" s="26">
        <f>+COUNTIF('ID1&amp;5'!G:G,'1. Status'!I234)</f>
        <v>0</v>
      </c>
      <c r="K234" s="79" t="str">
        <f>+IFERROR(VLOOKUP(CONCATENATE(A234,$B$10,B234),'ID1&amp;5'!B:J,8,FALSE),"-")</f>
        <v>-</v>
      </c>
      <c r="L234" s="78" t="str">
        <f>+IFERROR(VLOOKUP(B234,'ID1&amp;5'!K:L,2,FALSE),"-")</f>
        <v>-</v>
      </c>
      <c r="M234" s="79" t="str">
        <f>+IFERROR(VLOOKUP(CONCATENATE(A234,$B$10,B234),'ID1&amp;5'!B:J,9,FALSE),"-")</f>
        <v>-</v>
      </c>
      <c r="N234" s="79" t="str">
        <f>+IFERROR(VLOOKUP(CONCATENATE(A234,$C$10,C234),'ID1&amp;5'!B:J,8,FALSE),"-")</f>
        <v>-</v>
      </c>
      <c r="O234" s="78" t="str">
        <f>+IFERROR(VLOOKUP(C234,'ID1&amp;5'!K:L,2,FALSE),"-")</f>
        <v>-</v>
      </c>
      <c r="P234" s="79" t="str">
        <f>+IFERROR(VLOOKUP(CONCATENATE(A234,$C$10,C234),'ID1&amp;5'!B:J,9,FALSE),"-")</f>
        <v>-</v>
      </c>
      <c r="Q234" s="78" t="str">
        <f>+IFERROR(VLOOKUP(D234,'ID1&amp;5'!K:L,2,FALSE),"-")</f>
        <v>-</v>
      </c>
      <c r="R234" s="26" t="str">
        <f>+IFERROR(VLOOKUP(CONCATENATE(A234,$D$10,D234),'ID1&amp;5'!B:J,9,FALSE),"-")</f>
        <v>-</v>
      </c>
      <c r="S234" s="78" t="str">
        <f>+IFERROR(VLOOKUP(E234,'ID1&amp;5'!K:L,2,FALSE),"-")</f>
        <v>-</v>
      </c>
      <c r="T234" s="79" t="str">
        <f>+IFERROR(VLOOKUP(CONCATENATE(A234,$E$10,E234),'ID1&amp;5'!B:J,9,FALSE),"-")</f>
        <v>-</v>
      </c>
      <c r="U234" s="78" t="str">
        <f>+IFERROR(VLOOKUP(F234,'ID1&amp;5'!K:L,2,FALSE),"-")</f>
        <v>-</v>
      </c>
      <c r="V234" s="79" t="str">
        <f>+IFERROR(VLOOKUP(CONCATENATE(A234,$F$10,F234),'ID1&amp;5'!B:J,9,FALSE),"-")</f>
        <v>-</v>
      </c>
      <c r="W234" s="26" t="str">
        <f>+IFERROR(VLOOKUP(A234,'ID6&amp;7'!A:I,9,FALSE),"-")</f>
        <v>-</v>
      </c>
      <c r="X234" s="26" t="str">
        <f>+IFERROR(VLOOKUP(A234,'ID6&amp;7'!A:J,10,FALSE),"-")</f>
        <v>-</v>
      </c>
      <c r="Y234" s="26"/>
      <c r="Z234" s="27" t="str">
        <f t="shared" si="4"/>
        <v>Por iniciar</v>
      </c>
      <c r="AA234" s="65"/>
    </row>
    <row r="235" spans="1:27">
      <c r="A235" s="20"/>
      <c r="B235" s="60"/>
      <c r="C235" s="60"/>
      <c r="D235" s="60"/>
      <c r="E235" s="60"/>
      <c r="F235" s="60"/>
      <c r="G235" s="60"/>
      <c r="H235" s="65" t="s">
        <v>113</v>
      </c>
      <c r="I235" s="21" t="s">
        <v>1279</v>
      </c>
      <c r="J235" s="26">
        <f>+COUNTIF('ID1&amp;5'!G:G,'1. Status'!I235)</f>
        <v>0</v>
      </c>
      <c r="K235" s="79" t="str">
        <f>+IFERROR(VLOOKUP(CONCATENATE(A235,$B$10,B235),'ID1&amp;5'!B:J,8,FALSE),"-")</f>
        <v>-</v>
      </c>
      <c r="L235" s="78" t="str">
        <f>+IFERROR(VLOOKUP(B235,'ID1&amp;5'!K:L,2,FALSE),"-")</f>
        <v>-</v>
      </c>
      <c r="M235" s="79" t="str">
        <f>+IFERROR(VLOOKUP(CONCATENATE(A235,$B$10,B235),'ID1&amp;5'!B:J,9,FALSE),"-")</f>
        <v>-</v>
      </c>
      <c r="N235" s="79" t="str">
        <f>+IFERROR(VLOOKUP(CONCATENATE(A235,$C$10,C235),'ID1&amp;5'!B:J,8,FALSE),"-")</f>
        <v>-</v>
      </c>
      <c r="O235" s="78" t="str">
        <f>+IFERROR(VLOOKUP(C235,'ID1&amp;5'!K:L,2,FALSE),"-")</f>
        <v>-</v>
      </c>
      <c r="P235" s="79" t="str">
        <f>+IFERROR(VLOOKUP(CONCATENATE(A235,$C$10,C235),'ID1&amp;5'!B:J,9,FALSE),"-")</f>
        <v>-</v>
      </c>
      <c r="Q235" s="78" t="str">
        <f>+IFERROR(VLOOKUP(D235,'ID1&amp;5'!K:L,2,FALSE),"-")</f>
        <v>-</v>
      </c>
      <c r="R235" s="26" t="str">
        <f>+IFERROR(VLOOKUP(CONCATENATE(A235,$D$10,D235),'ID1&amp;5'!B:J,9,FALSE),"-")</f>
        <v>-</v>
      </c>
      <c r="S235" s="78" t="str">
        <f>+IFERROR(VLOOKUP(E235,'ID1&amp;5'!K:L,2,FALSE),"-")</f>
        <v>-</v>
      </c>
      <c r="T235" s="79" t="str">
        <f>+IFERROR(VLOOKUP(CONCATENATE(A235,$E$10,E235),'ID1&amp;5'!B:J,9,FALSE),"-")</f>
        <v>-</v>
      </c>
      <c r="U235" s="78" t="str">
        <f>+IFERROR(VLOOKUP(F235,'ID1&amp;5'!K:L,2,FALSE),"-")</f>
        <v>-</v>
      </c>
      <c r="V235" s="79" t="str">
        <f>+IFERROR(VLOOKUP(CONCATENATE(A235,$F$10,F235),'ID1&amp;5'!B:J,9,FALSE),"-")</f>
        <v>-</v>
      </c>
      <c r="W235" s="26" t="str">
        <f>+IFERROR(VLOOKUP(A235,'ID6&amp;7'!A:I,9,FALSE),"-")</f>
        <v>-</v>
      </c>
      <c r="X235" s="26" t="str">
        <f>+IFERROR(VLOOKUP(A235,'ID6&amp;7'!A:J,10,FALSE),"-")</f>
        <v>-</v>
      </c>
      <c r="Y235" s="26"/>
      <c r="Z235" s="27" t="str">
        <f t="shared" si="4"/>
        <v>Por iniciar</v>
      </c>
      <c r="AA235" s="65"/>
    </row>
    <row r="236" spans="1:27">
      <c r="A236" s="20"/>
      <c r="B236" s="60"/>
      <c r="C236" s="60"/>
      <c r="D236" s="60"/>
      <c r="E236" s="60"/>
      <c r="F236" s="60"/>
      <c r="G236" s="60"/>
      <c r="H236" s="65" t="s">
        <v>113</v>
      </c>
      <c r="I236" s="21" t="s">
        <v>647</v>
      </c>
      <c r="J236" s="26">
        <f>+COUNTIF('ID1&amp;5'!G:G,'1. Status'!I236)</f>
        <v>0</v>
      </c>
      <c r="K236" s="79" t="str">
        <f>+IFERROR(VLOOKUP(CONCATENATE(A236,$B$10,B236),'ID1&amp;5'!B:J,8,FALSE),"-")</f>
        <v>-</v>
      </c>
      <c r="L236" s="78" t="str">
        <f>+IFERROR(VLOOKUP(B236,'ID1&amp;5'!K:L,2,FALSE),"-")</f>
        <v>-</v>
      </c>
      <c r="M236" s="79" t="str">
        <f>+IFERROR(VLOOKUP(CONCATENATE(A236,$B$10,B236),'ID1&amp;5'!B:J,9,FALSE),"-")</f>
        <v>-</v>
      </c>
      <c r="N236" s="79" t="str">
        <f>+IFERROR(VLOOKUP(CONCATENATE(A236,$C$10,C236),'ID1&amp;5'!B:J,8,FALSE),"-")</f>
        <v>-</v>
      </c>
      <c r="O236" s="78" t="str">
        <f>+IFERROR(VLOOKUP(C236,'ID1&amp;5'!K:L,2,FALSE),"-")</f>
        <v>-</v>
      </c>
      <c r="P236" s="79" t="str">
        <f>+IFERROR(VLOOKUP(CONCATENATE(A236,$C$10,C236),'ID1&amp;5'!B:J,9,FALSE),"-")</f>
        <v>-</v>
      </c>
      <c r="Q236" s="78" t="str">
        <f>+IFERROR(VLOOKUP(D236,'ID1&amp;5'!K:L,2,FALSE),"-")</f>
        <v>-</v>
      </c>
      <c r="R236" s="26" t="str">
        <f>+IFERROR(VLOOKUP(CONCATENATE(A236,$D$10,D236),'ID1&amp;5'!B:J,9,FALSE),"-")</f>
        <v>-</v>
      </c>
      <c r="S236" s="78" t="str">
        <f>+IFERROR(VLOOKUP(E236,'ID1&amp;5'!K:L,2,FALSE),"-")</f>
        <v>-</v>
      </c>
      <c r="T236" s="79" t="str">
        <f>+IFERROR(VLOOKUP(CONCATENATE(A236,$E$10,E236),'ID1&amp;5'!B:J,9,FALSE),"-")</f>
        <v>-</v>
      </c>
      <c r="U236" s="78" t="str">
        <f>+IFERROR(VLOOKUP(F236,'ID1&amp;5'!K:L,2,FALSE),"-")</f>
        <v>-</v>
      </c>
      <c r="V236" s="79" t="str">
        <f>+IFERROR(VLOOKUP(CONCATENATE(A236,$F$10,F236),'ID1&amp;5'!B:J,9,FALSE),"-")</f>
        <v>-</v>
      </c>
      <c r="W236" s="26" t="str">
        <f>+IFERROR(VLOOKUP(A236,'ID6&amp;7'!A:I,9,FALSE),"-")</f>
        <v>-</v>
      </c>
      <c r="X236" s="26" t="str">
        <f>+IFERROR(VLOOKUP(A236,'ID6&amp;7'!A:J,10,FALSE),"-")</f>
        <v>-</v>
      </c>
      <c r="Y236" s="26"/>
      <c r="Z236" s="27" t="str">
        <f t="shared" si="4"/>
        <v>Por iniciar</v>
      </c>
      <c r="AA236" s="65"/>
    </row>
    <row r="237" spans="1:27">
      <c r="A237" s="20"/>
      <c r="B237" s="60"/>
      <c r="C237" s="60"/>
      <c r="D237" s="60"/>
      <c r="E237" s="60"/>
      <c r="F237" s="60"/>
      <c r="G237" s="60"/>
      <c r="H237" s="65" t="s">
        <v>113</v>
      </c>
      <c r="I237" s="21" t="s">
        <v>1280</v>
      </c>
      <c r="J237" s="26">
        <f>+COUNTIF('ID1&amp;5'!G:G,'1. Status'!I237)</f>
        <v>0</v>
      </c>
      <c r="K237" s="79" t="str">
        <f>+IFERROR(VLOOKUP(CONCATENATE(A237,$B$10,B237),'ID1&amp;5'!B:J,8,FALSE),"-")</f>
        <v>-</v>
      </c>
      <c r="L237" s="78" t="str">
        <f>+IFERROR(VLOOKUP(B237,'ID1&amp;5'!K:L,2,FALSE),"-")</f>
        <v>-</v>
      </c>
      <c r="M237" s="79" t="str">
        <f>+IFERROR(VLOOKUP(CONCATENATE(A237,$B$10,B237),'ID1&amp;5'!B:J,9,FALSE),"-")</f>
        <v>-</v>
      </c>
      <c r="N237" s="79" t="str">
        <f>+IFERROR(VLOOKUP(CONCATENATE(A237,$C$10,C237),'ID1&amp;5'!B:J,8,FALSE),"-")</f>
        <v>-</v>
      </c>
      <c r="O237" s="78" t="str">
        <f>+IFERROR(VLOOKUP(C237,'ID1&amp;5'!K:L,2,FALSE),"-")</f>
        <v>-</v>
      </c>
      <c r="P237" s="79" t="str">
        <f>+IFERROR(VLOOKUP(CONCATENATE(A237,$C$10,C237),'ID1&amp;5'!B:J,9,FALSE),"-")</f>
        <v>-</v>
      </c>
      <c r="Q237" s="78" t="str">
        <f>+IFERROR(VLOOKUP(D237,'ID1&amp;5'!K:L,2,FALSE),"-")</f>
        <v>-</v>
      </c>
      <c r="R237" s="26" t="str">
        <f>+IFERROR(VLOOKUP(CONCATENATE(A237,$D$10,D237),'ID1&amp;5'!B:J,9,FALSE),"-")</f>
        <v>-</v>
      </c>
      <c r="S237" s="78" t="str">
        <f>+IFERROR(VLOOKUP(E237,'ID1&amp;5'!K:L,2,FALSE),"-")</f>
        <v>-</v>
      </c>
      <c r="T237" s="79" t="str">
        <f>+IFERROR(VLOOKUP(CONCATENATE(A237,$E$10,E237),'ID1&amp;5'!B:J,9,FALSE),"-")</f>
        <v>-</v>
      </c>
      <c r="U237" s="78" t="str">
        <f>+IFERROR(VLOOKUP(F237,'ID1&amp;5'!K:L,2,FALSE),"-")</f>
        <v>-</v>
      </c>
      <c r="V237" s="79" t="str">
        <f>+IFERROR(VLOOKUP(CONCATENATE(A237,$F$10,F237),'ID1&amp;5'!B:J,9,FALSE),"-")</f>
        <v>-</v>
      </c>
      <c r="W237" s="26" t="str">
        <f>+IFERROR(VLOOKUP(A237,'ID6&amp;7'!A:I,9,FALSE),"-")</f>
        <v>-</v>
      </c>
      <c r="X237" s="26" t="str">
        <f>+IFERROR(VLOOKUP(A237,'ID6&amp;7'!A:J,10,FALSE),"-")</f>
        <v>-</v>
      </c>
      <c r="Y237" s="26"/>
      <c r="Z237" s="27" t="str">
        <f t="shared" si="4"/>
        <v>Por iniciar</v>
      </c>
      <c r="AA237" s="65"/>
    </row>
    <row r="238" spans="1:27">
      <c r="A238" s="20"/>
      <c r="B238" s="60"/>
      <c r="C238" s="60"/>
      <c r="D238" s="60"/>
      <c r="E238" s="60"/>
      <c r="F238" s="60"/>
      <c r="G238" s="60"/>
      <c r="H238" s="65" t="s">
        <v>113</v>
      </c>
      <c r="I238" s="21" t="s">
        <v>1281</v>
      </c>
      <c r="J238" s="26">
        <f>+COUNTIF('ID1&amp;5'!G:G,'1. Status'!I238)</f>
        <v>0</v>
      </c>
      <c r="K238" s="79" t="str">
        <f>+IFERROR(VLOOKUP(CONCATENATE(A238,$B$10,B238),'ID1&amp;5'!B:J,8,FALSE),"-")</f>
        <v>-</v>
      </c>
      <c r="L238" s="78" t="str">
        <f>+IFERROR(VLOOKUP(B238,'ID1&amp;5'!K:L,2,FALSE),"-")</f>
        <v>-</v>
      </c>
      <c r="M238" s="79" t="str">
        <f>+IFERROR(VLOOKUP(CONCATENATE(A238,$B$10,B238),'ID1&amp;5'!B:J,9,FALSE),"-")</f>
        <v>-</v>
      </c>
      <c r="N238" s="79" t="str">
        <f>+IFERROR(VLOOKUP(CONCATENATE(A238,$C$10,C238),'ID1&amp;5'!B:J,8,FALSE),"-")</f>
        <v>-</v>
      </c>
      <c r="O238" s="78" t="str">
        <f>+IFERROR(VLOOKUP(C238,'ID1&amp;5'!K:L,2,FALSE),"-")</f>
        <v>-</v>
      </c>
      <c r="P238" s="79" t="str">
        <f>+IFERROR(VLOOKUP(CONCATENATE(A238,$C$10,C238),'ID1&amp;5'!B:J,9,FALSE),"-")</f>
        <v>-</v>
      </c>
      <c r="Q238" s="78" t="str">
        <f>+IFERROR(VLOOKUP(D238,'ID1&amp;5'!K:L,2,FALSE),"-")</f>
        <v>-</v>
      </c>
      <c r="R238" s="26" t="str">
        <f>+IFERROR(VLOOKUP(CONCATENATE(A238,$D$10,D238),'ID1&amp;5'!B:J,9,FALSE),"-")</f>
        <v>-</v>
      </c>
      <c r="S238" s="78" t="str">
        <f>+IFERROR(VLOOKUP(E238,'ID1&amp;5'!K:L,2,FALSE),"-")</f>
        <v>-</v>
      </c>
      <c r="T238" s="79" t="str">
        <f>+IFERROR(VLOOKUP(CONCATENATE(A238,$E$10,E238),'ID1&amp;5'!B:J,9,FALSE),"-")</f>
        <v>-</v>
      </c>
      <c r="U238" s="78" t="str">
        <f>+IFERROR(VLOOKUP(F238,'ID1&amp;5'!K:L,2,FALSE),"-")</f>
        <v>-</v>
      </c>
      <c r="V238" s="79" t="str">
        <f>+IFERROR(VLOOKUP(CONCATENATE(A238,$F$10,F238),'ID1&amp;5'!B:J,9,FALSE),"-")</f>
        <v>-</v>
      </c>
      <c r="W238" s="26" t="str">
        <f>+IFERROR(VLOOKUP(A238,'ID6&amp;7'!A:I,9,FALSE),"-")</f>
        <v>-</v>
      </c>
      <c r="X238" s="26" t="str">
        <f>+IFERROR(VLOOKUP(A238,'ID6&amp;7'!A:J,10,FALSE),"-")</f>
        <v>-</v>
      </c>
      <c r="Y238" s="26"/>
      <c r="Z238" s="27" t="str">
        <f t="shared" si="4"/>
        <v>Por iniciar</v>
      </c>
      <c r="AA238" s="65"/>
    </row>
    <row r="239" spans="1:27">
      <c r="A239" s="20"/>
      <c r="B239" s="60"/>
      <c r="C239" s="60"/>
      <c r="D239" s="60"/>
      <c r="E239" s="60"/>
      <c r="F239" s="60"/>
      <c r="G239" s="60"/>
      <c r="H239" s="65" t="s">
        <v>113</v>
      </c>
      <c r="I239" s="21" t="s">
        <v>1282</v>
      </c>
      <c r="J239" s="26">
        <f>+COUNTIF('ID1&amp;5'!G:G,'1. Status'!I239)</f>
        <v>0</v>
      </c>
      <c r="K239" s="79" t="str">
        <f>+IFERROR(VLOOKUP(CONCATENATE(A239,$B$10,B239),'ID1&amp;5'!B:J,8,FALSE),"-")</f>
        <v>-</v>
      </c>
      <c r="L239" s="78" t="str">
        <f>+IFERROR(VLOOKUP(B239,'ID1&amp;5'!K:L,2,FALSE),"-")</f>
        <v>-</v>
      </c>
      <c r="M239" s="79" t="str">
        <f>+IFERROR(VLOOKUP(CONCATENATE(A239,$B$10,B239),'ID1&amp;5'!B:J,9,FALSE),"-")</f>
        <v>-</v>
      </c>
      <c r="N239" s="79" t="str">
        <f>+IFERROR(VLOOKUP(CONCATENATE(A239,$C$10,C239),'ID1&amp;5'!B:J,8,FALSE),"-")</f>
        <v>-</v>
      </c>
      <c r="O239" s="78" t="str">
        <f>+IFERROR(VLOOKUP(C239,'ID1&amp;5'!K:L,2,FALSE),"-")</f>
        <v>-</v>
      </c>
      <c r="P239" s="79" t="str">
        <f>+IFERROR(VLOOKUP(CONCATENATE(A239,$C$10,C239),'ID1&amp;5'!B:J,9,FALSE),"-")</f>
        <v>-</v>
      </c>
      <c r="Q239" s="78" t="str">
        <f>+IFERROR(VLOOKUP(D239,'ID1&amp;5'!K:L,2,FALSE),"-")</f>
        <v>-</v>
      </c>
      <c r="R239" s="26" t="str">
        <f>+IFERROR(VLOOKUP(CONCATENATE(A239,$D$10,D239),'ID1&amp;5'!B:J,9,FALSE),"-")</f>
        <v>-</v>
      </c>
      <c r="S239" s="78" t="str">
        <f>+IFERROR(VLOOKUP(E239,'ID1&amp;5'!K:L,2,FALSE),"-")</f>
        <v>-</v>
      </c>
      <c r="T239" s="79" t="str">
        <f>+IFERROR(VLOOKUP(CONCATENATE(A239,$E$10,E239),'ID1&amp;5'!B:J,9,FALSE),"-")</f>
        <v>-</v>
      </c>
      <c r="U239" s="78" t="str">
        <f>+IFERROR(VLOOKUP(F239,'ID1&amp;5'!K:L,2,FALSE),"-")</f>
        <v>-</v>
      </c>
      <c r="V239" s="79" t="str">
        <f>+IFERROR(VLOOKUP(CONCATENATE(A239,$F$10,F239),'ID1&amp;5'!B:J,9,FALSE),"-")</f>
        <v>-</v>
      </c>
      <c r="W239" s="26" t="str">
        <f>+IFERROR(VLOOKUP(A239,'ID6&amp;7'!A:I,9,FALSE),"-")</f>
        <v>-</v>
      </c>
      <c r="X239" s="26" t="str">
        <f>+IFERROR(VLOOKUP(A239,'ID6&amp;7'!A:J,10,FALSE),"-")</f>
        <v>-</v>
      </c>
      <c r="Y239" s="26"/>
      <c r="Z239" s="27" t="str">
        <f t="shared" si="4"/>
        <v>Por iniciar</v>
      </c>
      <c r="AA239" s="65"/>
    </row>
    <row r="240" spans="1:27">
      <c r="A240" s="20"/>
      <c r="B240" s="60"/>
      <c r="C240" s="60"/>
      <c r="D240" s="60"/>
      <c r="E240" s="60"/>
      <c r="F240" s="60"/>
      <c r="G240" s="60"/>
      <c r="H240" s="65" t="s">
        <v>113</v>
      </c>
      <c r="I240" s="21" t="s">
        <v>1283</v>
      </c>
      <c r="J240" s="26">
        <f>+COUNTIF('ID1&amp;5'!G:G,'1. Status'!I240)</f>
        <v>0</v>
      </c>
      <c r="K240" s="79" t="str">
        <f>+IFERROR(VLOOKUP(CONCATENATE(A240,$B$10,B240),'ID1&amp;5'!B:J,8,FALSE),"-")</f>
        <v>-</v>
      </c>
      <c r="L240" s="78" t="str">
        <f>+IFERROR(VLOOKUP(B240,'ID1&amp;5'!K:L,2,FALSE),"-")</f>
        <v>-</v>
      </c>
      <c r="M240" s="79" t="str">
        <f>+IFERROR(VLOOKUP(CONCATENATE(A240,$B$10,B240),'ID1&amp;5'!B:J,9,FALSE),"-")</f>
        <v>-</v>
      </c>
      <c r="N240" s="79" t="str">
        <f>+IFERROR(VLOOKUP(CONCATENATE(A240,$C$10,C240),'ID1&amp;5'!B:J,8,FALSE),"-")</f>
        <v>-</v>
      </c>
      <c r="O240" s="78" t="str">
        <f>+IFERROR(VLOOKUP(C240,'ID1&amp;5'!K:L,2,FALSE),"-")</f>
        <v>-</v>
      </c>
      <c r="P240" s="79" t="str">
        <f>+IFERROR(VLOOKUP(CONCATENATE(A240,$C$10,C240),'ID1&amp;5'!B:J,9,FALSE),"-")</f>
        <v>-</v>
      </c>
      <c r="Q240" s="78" t="str">
        <f>+IFERROR(VLOOKUP(D240,'ID1&amp;5'!K:L,2,FALSE),"-")</f>
        <v>-</v>
      </c>
      <c r="R240" s="26" t="str">
        <f>+IFERROR(VLOOKUP(CONCATENATE(A240,$D$10,D240),'ID1&amp;5'!B:J,9,FALSE),"-")</f>
        <v>-</v>
      </c>
      <c r="S240" s="78" t="str">
        <f>+IFERROR(VLOOKUP(E240,'ID1&amp;5'!K:L,2,FALSE),"-")</f>
        <v>-</v>
      </c>
      <c r="T240" s="79" t="str">
        <f>+IFERROR(VLOOKUP(CONCATENATE(A240,$E$10,E240),'ID1&amp;5'!B:J,9,FALSE),"-")</f>
        <v>-</v>
      </c>
      <c r="U240" s="78" t="str">
        <f>+IFERROR(VLOOKUP(F240,'ID1&amp;5'!K:L,2,FALSE),"-")</f>
        <v>-</v>
      </c>
      <c r="V240" s="79" t="str">
        <f>+IFERROR(VLOOKUP(CONCATENATE(A240,$F$10,F240),'ID1&amp;5'!B:J,9,FALSE),"-")</f>
        <v>-</v>
      </c>
      <c r="W240" s="26" t="str">
        <f>+IFERROR(VLOOKUP(A240,'ID6&amp;7'!A:I,9,FALSE),"-")</f>
        <v>-</v>
      </c>
      <c r="X240" s="26" t="str">
        <f>+IFERROR(VLOOKUP(A240,'ID6&amp;7'!A:J,10,FALSE),"-")</f>
        <v>-</v>
      </c>
      <c r="Y240" s="26"/>
      <c r="Z240" s="27" t="str">
        <f t="shared" si="4"/>
        <v>Por iniciar</v>
      </c>
      <c r="AA240" s="65"/>
    </row>
    <row r="241" spans="1:27">
      <c r="A241" s="20"/>
      <c r="B241" s="60"/>
      <c r="C241" s="60"/>
      <c r="D241" s="60"/>
      <c r="E241" s="60"/>
      <c r="F241" s="60"/>
      <c r="G241" s="60"/>
      <c r="H241" s="65" t="s">
        <v>113</v>
      </c>
      <c r="I241" s="21" t="s">
        <v>1284</v>
      </c>
      <c r="J241" s="26">
        <f>+COUNTIF('ID1&amp;5'!G:G,'1. Status'!I241)</f>
        <v>0</v>
      </c>
      <c r="K241" s="79" t="str">
        <f>+IFERROR(VLOOKUP(CONCATENATE(A241,$B$10,B241),'ID1&amp;5'!B:J,8,FALSE),"-")</f>
        <v>-</v>
      </c>
      <c r="L241" s="78" t="str">
        <f>+IFERROR(VLOOKUP(B241,'ID1&amp;5'!K:L,2,FALSE),"-")</f>
        <v>-</v>
      </c>
      <c r="M241" s="79" t="str">
        <f>+IFERROR(VLOOKUP(CONCATENATE(A241,$B$10,B241),'ID1&amp;5'!B:J,9,FALSE),"-")</f>
        <v>-</v>
      </c>
      <c r="N241" s="79" t="str">
        <f>+IFERROR(VLOOKUP(CONCATENATE(A241,$C$10,C241),'ID1&amp;5'!B:J,8,FALSE),"-")</f>
        <v>-</v>
      </c>
      <c r="O241" s="78" t="str">
        <f>+IFERROR(VLOOKUP(C241,'ID1&amp;5'!K:L,2,FALSE),"-")</f>
        <v>-</v>
      </c>
      <c r="P241" s="79" t="str">
        <f>+IFERROR(VLOOKUP(CONCATENATE(A241,$C$10,C241),'ID1&amp;5'!B:J,9,FALSE),"-")</f>
        <v>-</v>
      </c>
      <c r="Q241" s="78" t="str">
        <f>+IFERROR(VLOOKUP(D241,'ID1&amp;5'!K:L,2,FALSE),"-")</f>
        <v>-</v>
      </c>
      <c r="R241" s="26" t="str">
        <f>+IFERROR(VLOOKUP(CONCATENATE(A241,$D$10,D241),'ID1&amp;5'!B:J,9,FALSE),"-")</f>
        <v>-</v>
      </c>
      <c r="S241" s="78" t="str">
        <f>+IFERROR(VLOOKUP(E241,'ID1&amp;5'!K:L,2,FALSE),"-")</f>
        <v>-</v>
      </c>
      <c r="T241" s="79" t="str">
        <f>+IFERROR(VLOOKUP(CONCATENATE(A241,$E$10,E241),'ID1&amp;5'!B:J,9,FALSE),"-")</f>
        <v>-</v>
      </c>
      <c r="U241" s="78" t="str">
        <f>+IFERROR(VLOOKUP(F241,'ID1&amp;5'!K:L,2,FALSE),"-")</f>
        <v>-</v>
      </c>
      <c r="V241" s="79" t="str">
        <f>+IFERROR(VLOOKUP(CONCATENATE(A241,$F$10,F241),'ID1&amp;5'!B:J,9,FALSE),"-")</f>
        <v>-</v>
      </c>
      <c r="W241" s="26" t="str">
        <f>+IFERROR(VLOOKUP(A241,'ID6&amp;7'!A:I,9,FALSE),"-")</f>
        <v>-</v>
      </c>
      <c r="X241" s="26" t="str">
        <f>+IFERROR(VLOOKUP(A241,'ID6&amp;7'!A:J,10,FALSE),"-")</f>
        <v>-</v>
      </c>
      <c r="Y241" s="26"/>
      <c r="Z241" s="27" t="str">
        <f t="shared" si="4"/>
        <v>Por iniciar</v>
      </c>
      <c r="AA241" s="65"/>
    </row>
    <row r="242" spans="1:27">
      <c r="A242" s="20"/>
      <c r="B242" s="60"/>
      <c r="C242" s="60"/>
      <c r="D242" s="60"/>
      <c r="E242" s="60"/>
      <c r="F242" s="60"/>
      <c r="G242" s="60"/>
      <c r="H242" s="65" t="s">
        <v>113</v>
      </c>
      <c r="I242" s="21" t="s">
        <v>1285</v>
      </c>
      <c r="J242" s="26">
        <f>+COUNTIF('ID1&amp;5'!G:G,'1. Status'!I242)</f>
        <v>0</v>
      </c>
      <c r="K242" s="79" t="str">
        <f>+IFERROR(VLOOKUP(CONCATENATE(A242,$B$10,B242),'ID1&amp;5'!B:J,8,FALSE),"-")</f>
        <v>-</v>
      </c>
      <c r="L242" s="78" t="str">
        <f>+IFERROR(VLOOKUP(B242,'ID1&amp;5'!K:L,2,FALSE),"-")</f>
        <v>-</v>
      </c>
      <c r="M242" s="79" t="str">
        <f>+IFERROR(VLOOKUP(CONCATENATE(A242,$B$10,B242),'ID1&amp;5'!B:J,9,FALSE),"-")</f>
        <v>-</v>
      </c>
      <c r="N242" s="79" t="str">
        <f>+IFERROR(VLOOKUP(CONCATENATE(A242,$C$10,C242),'ID1&amp;5'!B:J,8,FALSE),"-")</f>
        <v>-</v>
      </c>
      <c r="O242" s="78" t="str">
        <f>+IFERROR(VLOOKUP(C242,'ID1&amp;5'!K:L,2,FALSE),"-")</f>
        <v>-</v>
      </c>
      <c r="P242" s="79" t="str">
        <f>+IFERROR(VLOOKUP(CONCATENATE(A242,$C$10,C242),'ID1&amp;5'!B:J,9,FALSE),"-")</f>
        <v>-</v>
      </c>
      <c r="Q242" s="78" t="str">
        <f>+IFERROR(VLOOKUP(D242,'ID1&amp;5'!K:L,2,FALSE),"-")</f>
        <v>-</v>
      </c>
      <c r="R242" s="26" t="str">
        <f>+IFERROR(VLOOKUP(CONCATENATE(A242,$D$10,D242),'ID1&amp;5'!B:J,9,FALSE),"-")</f>
        <v>-</v>
      </c>
      <c r="S242" s="78" t="str">
        <f>+IFERROR(VLOOKUP(E242,'ID1&amp;5'!K:L,2,FALSE),"-")</f>
        <v>-</v>
      </c>
      <c r="T242" s="79" t="str">
        <f>+IFERROR(VLOOKUP(CONCATENATE(A242,$E$10,E242),'ID1&amp;5'!B:J,9,FALSE),"-")</f>
        <v>-</v>
      </c>
      <c r="U242" s="78" t="str">
        <f>+IFERROR(VLOOKUP(F242,'ID1&amp;5'!K:L,2,FALSE),"-")</f>
        <v>-</v>
      </c>
      <c r="V242" s="79" t="str">
        <f>+IFERROR(VLOOKUP(CONCATENATE(A242,$F$10,F242),'ID1&amp;5'!B:J,9,FALSE),"-")</f>
        <v>-</v>
      </c>
      <c r="W242" s="26" t="str">
        <f>+IFERROR(VLOOKUP(A242,'ID6&amp;7'!A:I,9,FALSE),"-")</f>
        <v>-</v>
      </c>
      <c r="X242" s="26" t="str">
        <f>+IFERROR(VLOOKUP(A242,'ID6&amp;7'!A:J,10,FALSE),"-")</f>
        <v>-</v>
      </c>
      <c r="Y242" s="26"/>
      <c r="Z242" s="27" t="str">
        <f t="shared" si="4"/>
        <v>Por iniciar</v>
      </c>
      <c r="AA242" s="65"/>
    </row>
    <row r="243" spans="1:27">
      <c r="A243" s="20"/>
      <c r="B243" s="60"/>
      <c r="C243" s="60"/>
      <c r="D243" s="60"/>
      <c r="E243" s="60"/>
      <c r="F243" s="60"/>
      <c r="G243" s="60"/>
      <c r="H243" s="65" t="s">
        <v>113</v>
      </c>
      <c r="I243" s="21" t="s">
        <v>648</v>
      </c>
      <c r="J243" s="26">
        <f>+COUNTIF('ID1&amp;5'!G:G,'1. Status'!I243)</f>
        <v>0</v>
      </c>
      <c r="K243" s="79" t="str">
        <f>+IFERROR(VLOOKUP(CONCATENATE(A243,$B$10,B243),'ID1&amp;5'!B:J,8,FALSE),"-")</f>
        <v>-</v>
      </c>
      <c r="L243" s="78" t="str">
        <f>+IFERROR(VLOOKUP(B243,'ID1&amp;5'!K:L,2,FALSE),"-")</f>
        <v>-</v>
      </c>
      <c r="M243" s="79" t="str">
        <f>+IFERROR(VLOOKUP(CONCATENATE(A243,$B$10,B243),'ID1&amp;5'!B:J,9,FALSE),"-")</f>
        <v>-</v>
      </c>
      <c r="N243" s="79" t="str">
        <f>+IFERROR(VLOOKUP(CONCATENATE(A243,$C$10,C243),'ID1&amp;5'!B:J,8,FALSE),"-")</f>
        <v>-</v>
      </c>
      <c r="O243" s="78" t="str">
        <f>+IFERROR(VLOOKUP(C243,'ID1&amp;5'!K:L,2,FALSE),"-")</f>
        <v>-</v>
      </c>
      <c r="P243" s="79" t="str">
        <f>+IFERROR(VLOOKUP(CONCATENATE(A243,$C$10,C243),'ID1&amp;5'!B:J,9,FALSE),"-")</f>
        <v>-</v>
      </c>
      <c r="Q243" s="78" t="str">
        <f>+IFERROR(VLOOKUP(D243,'ID1&amp;5'!K:L,2,FALSE),"-")</f>
        <v>-</v>
      </c>
      <c r="R243" s="26" t="str">
        <f>+IFERROR(VLOOKUP(CONCATENATE(A243,$D$10,D243),'ID1&amp;5'!B:J,9,FALSE),"-")</f>
        <v>-</v>
      </c>
      <c r="S243" s="78" t="str">
        <f>+IFERROR(VLOOKUP(E243,'ID1&amp;5'!K:L,2,FALSE),"-")</f>
        <v>-</v>
      </c>
      <c r="T243" s="79" t="str">
        <f>+IFERROR(VLOOKUP(CONCATENATE(A243,$E$10,E243),'ID1&amp;5'!B:J,9,FALSE),"-")</f>
        <v>-</v>
      </c>
      <c r="U243" s="78" t="str">
        <f>+IFERROR(VLOOKUP(F243,'ID1&amp;5'!K:L,2,FALSE),"-")</f>
        <v>-</v>
      </c>
      <c r="V243" s="79" t="str">
        <f>+IFERROR(VLOOKUP(CONCATENATE(A243,$F$10,F243),'ID1&amp;5'!B:J,9,FALSE),"-")</f>
        <v>-</v>
      </c>
      <c r="W243" s="26" t="str">
        <f>+IFERROR(VLOOKUP(A243,'ID6&amp;7'!A:I,9,FALSE),"-")</f>
        <v>-</v>
      </c>
      <c r="X243" s="26" t="str">
        <f>+IFERROR(VLOOKUP(A243,'ID6&amp;7'!A:J,10,FALSE),"-")</f>
        <v>-</v>
      </c>
      <c r="Y243" s="26"/>
      <c r="Z243" s="27" t="str">
        <f t="shared" si="4"/>
        <v>Por iniciar</v>
      </c>
      <c r="AA243" s="65"/>
    </row>
    <row r="244" spans="1:27">
      <c r="A244" s="20"/>
      <c r="B244" s="60"/>
      <c r="C244" s="60"/>
      <c r="D244" s="60"/>
      <c r="E244" s="60"/>
      <c r="F244" s="60"/>
      <c r="G244" s="60"/>
      <c r="H244" s="65" t="s">
        <v>113</v>
      </c>
      <c r="I244" s="21" t="s">
        <v>1286</v>
      </c>
      <c r="J244" s="26">
        <f>+COUNTIF('ID1&amp;5'!G:G,'1. Status'!I244)</f>
        <v>0</v>
      </c>
      <c r="K244" s="79" t="str">
        <f>+IFERROR(VLOOKUP(CONCATENATE(A244,$B$10,B244),'ID1&amp;5'!B:J,8,FALSE),"-")</f>
        <v>-</v>
      </c>
      <c r="L244" s="78" t="str">
        <f>+IFERROR(VLOOKUP(B244,'ID1&amp;5'!K:L,2,FALSE),"-")</f>
        <v>-</v>
      </c>
      <c r="M244" s="79" t="str">
        <f>+IFERROR(VLOOKUP(CONCATENATE(A244,$B$10,B244),'ID1&amp;5'!B:J,9,FALSE),"-")</f>
        <v>-</v>
      </c>
      <c r="N244" s="79" t="str">
        <f>+IFERROR(VLOOKUP(CONCATENATE(A244,$C$10,C244),'ID1&amp;5'!B:J,8,FALSE),"-")</f>
        <v>-</v>
      </c>
      <c r="O244" s="78" t="str">
        <f>+IFERROR(VLOOKUP(C244,'ID1&amp;5'!K:L,2,FALSE),"-")</f>
        <v>-</v>
      </c>
      <c r="P244" s="79" t="str">
        <f>+IFERROR(VLOOKUP(CONCATENATE(A244,$C$10,C244),'ID1&amp;5'!B:J,9,FALSE),"-")</f>
        <v>-</v>
      </c>
      <c r="Q244" s="78" t="str">
        <f>+IFERROR(VLOOKUP(D244,'ID1&amp;5'!K:L,2,FALSE),"-")</f>
        <v>-</v>
      </c>
      <c r="R244" s="26" t="str">
        <f>+IFERROR(VLOOKUP(CONCATENATE(A244,$D$10,D244),'ID1&amp;5'!B:J,9,FALSE),"-")</f>
        <v>-</v>
      </c>
      <c r="S244" s="78" t="str">
        <f>+IFERROR(VLOOKUP(E244,'ID1&amp;5'!K:L,2,FALSE),"-")</f>
        <v>-</v>
      </c>
      <c r="T244" s="79" t="str">
        <f>+IFERROR(VLOOKUP(CONCATENATE(A244,$E$10,E244),'ID1&amp;5'!B:J,9,FALSE),"-")</f>
        <v>-</v>
      </c>
      <c r="U244" s="78" t="str">
        <f>+IFERROR(VLOOKUP(F244,'ID1&amp;5'!K:L,2,FALSE),"-")</f>
        <v>-</v>
      </c>
      <c r="V244" s="79" t="str">
        <f>+IFERROR(VLOOKUP(CONCATENATE(A244,$F$10,F244),'ID1&amp;5'!B:J,9,FALSE),"-")</f>
        <v>-</v>
      </c>
      <c r="W244" s="26" t="str">
        <f>+IFERROR(VLOOKUP(A244,'ID6&amp;7'!A:I,9,FALSE),"-")</f>
        <v>-</v>
      </c>
      <c r="X244" s="26" t="str">
        <f>+IFERROR(VLOOKUP(A244,'ID6&amp;7'!A:J,10,FALSE),"-")</f>
        <v>-</v>
      </c>
      <c r="Y244" s="26"/>
      <c r="Z244" s="27" t="str">
        <f t="shared" si="4"/>
        <v>Por iniciar</v>
      </c>
      <c r="AA244" s="65"/>
    </row>
    <row r="245" spans="1:27">
      <c r="A245" s="20"/>
      <c r="B245" s="60"/>
      <c r="C245" s="60"/>
      <c r="D245" s="60"/>
      <c r="E245" s="60"/>
      <c r="F245" s="60"/>
      <c r="G245" s="60"/>
      <c r="H245" s="65" t="s">
        <v>113</v>
      </c>
      <c r="I245" s="21" t="s">
        <v>1287</v>
      </c>
      <c r="J245" s="26">
        <f>+COUNTIF('ID1&amp;5'!G:G,'1. Status'!I245)</f>
        <v>0</v>
      </c>
      <c r="K245" s="79" t="str">
        <f>+IFERROR(VLOOKUP(CONCATENATE(A245,$B$10,B245),'ID1&amp;5'!B:J,8,FALSE),"-")</f>
        <v>-</v>
      </c>
      <c r="L245" s="78" t="str">
        <f>+IFERROR(VLOOKUP(B245,'ID1&amp;5'!K:L,2,FALSE),"-")</f>
        <v>-</v>
      </c>
      <c r="M245" s="79" t="str">
        <f>+IFERROR(VLOOKUP(CONCATENATE(A245,$B$10,B245),'ID1&amp;5'!B:J,9,FALSE),"-")</f>
        <v>-</v>
      </c>
      <c r="N245" s="79" t="str">
        <f>+IFERROR(VLOOKUP(CONCATENATE(A245,$C$10,C245),'ID1&amp;5'!B:J,8,FALSE),"-")</f>
        <v>-</v>
      </c>
      <c r="O245" s="78" t="str">
        <f>+IFERROR(VLOOKUP(C245,'ID1&amp;5'!K:L,2,FALSE),"-")</f>
        <v>-</v>
      </c>
      <c r="P245" s="79" t="str">
        <f>+IFERROR(VLOOKUP(CONCATENATE(A245,$C$10,C245),'ID1&amp;5'!B:J,9,FALSE),"-")</f>
        <v>-</v>
      </c>
      <c r="Q245" s="78" t="str">
        <f>+IFERROR(VLOOKUP(D245,'ID1&amp;5'!K:L,2,FALSE),"-")</f>
        <v>-</v>
      </c>
      <c r="R245" s="26" t="str">
        <f>+IFERROR(VLOOKUP(CONCATENATE(A245,$D$10,D245),'ID1&amp;5'!B:J,9,FALSE),"-")</f>
        <v>-</v>
      </c>
      <c r="S245" s="78" t="str">
        <f>+IFERROR(VLOOKUP(E245,'ID1&amp;5'!K:L,2,FALSE),"-")</f>
        <v>-</v>
      </c>
      <c r="T245" s="79" t="str">
        <f>+IFERROR(VLOOKUP(CONCATENATE(A245,$E$10,E245),'ID1&amp;5'!B:J,9,FALSE),"-")</f>
        <v>-</v>
      </c>
      <c r="U245" s="78" t="str">
        <f>+IFERROR(VLOOKUP(F245,'ID1&amp;5'!K:L,2,FALSE),"-")</f>
        <v>-</v>
      </c>
      <c r="V245" s="79" t="str">
        <f>+IFERROR(VLOOKUP(CONCATENATE(A245,$F$10,F245),'ID1&amp;5'!B:J,9,FALSE),"-")</f>
        <v>-</v>
      </c>
      <c r="W245" s="26" t="str">
        <f>+IFERROR(VLOOKUP(A245,'ID6&amp;7'!A:I,9,FALSE),"-")</f>
        <v>-</v>
      </c>
      <c r="X245" s="26" t="str">
        <f>+IFERROR(VLOOKUP(A245,'ID6&amp;7'!A:J,10,FALSE),"-")</f>
        <v>-</v>
      </c>
      <c r="Y245" s="26"/>
      <c r="Z245" s="27" t="str">
        <f t="shared" si="4"/>
        <v>Por iniciar</v>
      </c>
      <c r="AA245" s="65"/>
    </row>
    <row r="246" spans="1:27">
      <c r="A246" s="20"/>
      <c r="B246" s="60"/>
      <c r="C246" s="60"/>
      <c r="D246" s="60"/>
      <c r="E246" s="60"/>
      <c r="F246" s="60"/>
      <c r="G246" s="60"/>
      <c r="H246" s="65" t="s">
        <v>113</v>
      </c>
      <c r="I246" s="21" t="s">
        <v>1288</v>
      </c>
      <c r="J246" s="26">
        <f>+COUNTIF('ID1&amp;5'!G:G,'1. Status'!I246)</f>
        <v>0</v>
      </c>
      <c r="K246" s="79" t="str">
        <f>+IFERROR(VLOOKUP(CONCATENATE(A246,$B$10,B246),'ID1&amp;5'!B:J,8,FALSE),"-")</f>
        <v>-</v>
      </c>
      <c r="L246" s="78" t="str">
        <f>+IFERROR(VLOOKUP(B246,'ID1&amp;5'!K:L,2,FALSE),"-")</f>
        <v>-</v>
      </c>
      <c r="M246" s="79" t="str">
        <f>+IFERROR(VLOOKUP(CONCATENATE(A246,$B$10,B246),'ID1&amp;5'!B:J,9,FALSE),"-")</f>
        <v>-</v>
      </c>
      <c r="N246" s="79" t="str">
        <f>+IFERROR(VLOOKUP(CONCATENATE(A246,$C$10,C246),'ID1&amp;5'!B:J,8,FALSE),"-")</f>
        <v>-</v>
      </c>
      <c r="O246" s="78" t="str">
        <f>+IFERROR(VLOOKUP(C246,'ID1&amp;5'!K:L,2,FALSE),"-")</f>
        <v>-</v>
      </c>
      <c r="P246" s="79" t="str">
        <f>+IFERROR(VLOOKUP(CONCATENATE(A246,$C$10,C246),'ID1&amp;5'!B:J,9,FALSE),"-")</f>
        <v>-</v>
      </c>
      <c r="Q246" s="78" t="str">
        <f>+IFERROR(VLOOKUP(D246,'ID1&amp;5'!K:L,2,FALSE),"-")</f>
        <v>-</v>
      </c>
      <c r="R246" s="26" t="str">
        <f>+IFERROR(VLOOKUP(CONCATENATE(A246,$D$10,D246),'ID1&amp;5'!B:J,9,FALSE),"-")</f>
        <v>-</v>
      </c>
      <c r="S246" s="78" t="str">
        <f>+IFERROR(VLOOKUP(E246,'ID1&amp;5'!K:L,2,FALSE),"-")</f>
        <v>-</v>
      </c>
      <c r="T246" s="79" t="str">
        <f>+IFERROR(VLOOKUP(CONCATENATE(A246,$E$10,E246),'ID1&amp;5'!B:J,9,FALSE),"-")</f>
        <v>-</v>
      </c>
      <c r="U246" s="78" t="str">
        <f>+IFERROR(VLOOKUP(F246,'ID1&amp;5'!K:L,2,FALSE),"-")</f>
        <v>-</v>
      </c>
      <c r="V246" s="79" t="str">
        <f>+IFERROR(VLOOKUP(CONCATENATE(A246,$F$10,F246),'ID1&amp;5'!B:J,9,FALSE),"-")</f>
        <v>-</v>
      </c>
      <c r="W246" s="26" t="str">
        <f>+IFERROR(VLOOKUP(A246,'ID6&amp;7'!A:I,9,FALSE),"-")</f>
        <v>-</v>
      </c>
      <c r="X246" s="26" t="str">
        <f>+IFERROR(VLOOKUP(A246,'ID6&amp;7'!A:J,10,FALSE),"-")</f>
        <v>-</v>
      </c>
      <c r="Y246" s="26"/>
      <c r="Z246" s="27" t="str">
        <f t="shared" si="4"/>
        <v>Por iniciar</v>
      </c>
      <c r="AA246" s="65"/>
    </row>
    <row r="247" spans="1:27">
      <c r="A247" s="20"/>
      <c r="B247" s="60"/>
      <c r="C247" s="60"/>
      <c r="D247" s="60"/>
      <c r="E247" s="60"/>
      <c r="F247" s="60"/>
      <c r="G247" s="60"/>
      <c r="H247" s="65" t="s">
        <v>113</v>
      </c>
      <c r="I247" s="21" t="s">
        <v>1289</v>
      </c>
      <c r="J247" s="26">
        <f>+COUNTIF('ID1&amp;5'!G:G,'1. Status'!I247)</f>
        <v>0</v>
      </c>
      <c r="K247" s="79" t="str">
        <f>+IFERROR(VLOOKUP(CONCATENATE(A247,$B$10,B247),'ID1&amp;5'!B:J,8,FALSE),"-")</f>
        <v>-</v>
      </c>
      <c r="L247" s="78" t="str">
        <f>+IFERROR(VLOOKUP(B247,'ID1&amp;5'!K:L,2,FALSE),"-")</f>
        <v>-</v>
      </c>
      <c r="M247" s="79" t="str">
        <f>+IFERROR(VLOOKUP(CONCATENATE(A247,$B$10,B247),'ID1&amp;5'!B:J,9,FALSE),"-")</f>
        <v>-</v>
      </c>
      <c r="N247" s="79" t="str">
        <f>+IFERROR(VLOOKUP(CONCATENATE(A247,$C$10,C247),'ID1&amp;5'!B:J,8,FALSE),"-")</f>
        <v>-</v>
      </c>
      <c r="O247" s="78" t="str">
        <f>+IFERROR(VLOOKUP(C247,'ID1&amp;5'!K:L,2,FALSE),"-")</f>
        <v>-</v>
      </c>
      <c r="P247" s="79" t="str">
        <f>+IFERROR(VLOOKUP(CONCATENATE(A247,$C$10,C247),'ID1&amp;5'!B:J,9,FALSE),"-")</f>
        <v>-</v>
      </c>
      <c r="Q247" s="78" t="str">
        <f>+IFERROR(VLOOKUP(D247,'ID1&amp;5'!K:L,2,FALSE),"-")</f>
        <v>-</v>
      </c>
      <c r="R247" s="26" t="str">
        <f>+IFERROR(VLOOKUP(CONCATENATE(A247,$D$10,D247),'ID1&amp;5'!B:J,9,FALSE),"-")</f>
        <v>-</v>
      </c>
      <c r="S247" s="78" t="str">
        <f>+IFERROR(VLOOKUP(E247,'ID1&amp;5'!K:L,2,FALSE),"-")</f>
        <v>-</v>
      </c>
      <c r="T247" s="79" t="str">
        <f>+IFERROR(VLOOKUP(CONCATENATE(A247,$E$10,E247),'ID1&amp;5'!B:J,9,FALSE),"-")</f>
        <v>-</v>
      </c>
      <c r="U247" s="78" t="str">
        <f>+IFERROR(VLOOKUP(F247,'ID1&amp;5'!K:L,2,FALSE),"-")</f>
        <v>-</v>
      </c>
      <c r="V247" s="79" t="str">
        <f>+IFERROR(VLOOKUP(CONCATENATE(A247,$F$10,F247),'ID1&amp;5'!B:J,9,FALSE),"-")</f>
        <v>-</v>
      </c>
      <c r="W247" s="26" t="str">
        <f>+IFERROR(VLOOKUP(A247,'ID6&amp;7'!A:I,9,FALSE),"-")</f>
        <v>-</v>
      </c>
      <c r="X247" s="26" t="str">
        <f>+IFERROR(VLOOKUP(A247,'ID6&amp;7'!A:J,10,FALSE),"-")</f>
        <v>-</v>
      </c>
      <c r="Y247" s="26"/>
      <c r="Z247" s="27" t="str">
        <f t="shared" si="4"/>
        <v>Por iniciar</v>
      </c>
      <c r="AA247" s="65"/>
    </row>
    <row r="248" spans="1:27">
      <c r="A248" s="20"/>
      <c r="B248" s="60"/>
      <c r="C248" s="60"/>
      <c r="D248" s="60"/>
      <c r="E248" s="60"/>
      <c r="F248" s="60"/>
      <c r="G248" s="60"/>
      <c r="H248" s="65" t="s">
        <v>113</v>
      </c>
      <c r="I248" s="21" t="s">
        <v>1290</v>
      </c>
      <c r="J248" s="26">
        <f>+COUNTIF('ID1&amp;5'!G:G,'1. Status'!I248)</f>
        <v>0</v>
      </c>
      <c r="K248" s="79" t="str">
        <f>+IFERROR(VLOOKUP(CONCATENATE(A248,$B$10,B248),'ID1&amp;5'!B:J,8,FALSE),"-")</f>
        <v>-</v>
      </c>
      <c r="L248" s="78" t="str">
        <f>+IFERROR(VLOOKUP(B248,'ID1&amp;5'!K:L,2,FALSE),"-")</f>
        <v>-</v>
      </c>
      <c r="M248" s="79" t="str">
        <f>+IFERROR(VLOOKUP(CONCATENATE(A248,$B$10,B248),'ID1&amp;5'!B:J,9,FALSE),"-")</f>
        <v>-</v>
      </c>
      <c r="N248" s="79" t="str">
        <f>+IFERROR(VLOOKUP(CONCATENATE(A248,$C$10,C248),'ID1&amp;5'!B:J,8,FALSE),"-")</f>
        <v>-</v>
      </c>
      <c r="O248" s="78" t="str">
        <f>+IFERROR(VLOOKUP(C248,'ID1&amp;5'!K:L,2,FALSE),"-")</f>
        <v>-</v>
      </c>
      <c r="P248" s="79" t="str">
        <f>+IFERROR(VLOOKUP(CONCATENATE(A248,$C$10,C248),'ID1&amp;5'!B:J,9,FALSE),"-")</f>
        <v>-</v>
      </c>
      <c r="Q248" s="78" t="str">
        <f>+IFERROR(VLOOKUP(D248,'ID1&amp;5'!K:L,2,FALSE),"-")</f>
        <v>-</v>
      </c>
      <c r="R248" s="26" t="str">
        <f>+IFERROR(VLOOKUP(CONCATENATE(A248,$D$10,D248),'ID1&amp;5'!B:J,9,FALSE),"-")</f>
        <v>-</v>
      </c>
      <c r="S248" s="78" t="str">
        <f>+IFERROR(VLOOKUP(E248,'ID1&amp;5'!K:L,2,FALSE),"-")</f>
        <v>-</v>
      </c>
      <c r="T248" s="79" t="str">
        <f>+IFERROR(VLOOKUP(CONCATENATE(A248,$E$10,E248),'ID1&amp;5'!B:J,9,FALSE),"-")</f>
        <v>-</v>
      </c>
      <c r="U248" s="78" t="str">
        <f>+IFERROR(VLOOKUP(F248,'ID1&amp;5'!K:L,2,FALSE),"-")</f>
        <v>-</v>
      </c>
      <c r="V248" s="79" t="str">
        <f>+IFERROR(VLOOKUP(CONCATENATE(A248,$F$10,F248),'ID1&amp;5'!B:J,9,FALSE),"-")</f>
        <v>-</v>
      </c>
      <c r="W248" s="26" t="str">
        <f>+IFERROR(VLOOKUP(A248,'ID6&amp;7'!A:I,9,FALSE),"-")</f>
        <v>-</v>
      </c>
      <c r="X248" s="26" t="str">
        <f>+IFERROR(VLOOKUP(A248,'ID6&amp;7'!A:J,10,FALSE),"-")</f>
        <v>-</v>
      </c>
      <c r="Y248" s="26"/>
      <c r="Z248" s="27" t="str">
        <f t="shared" si="4"/>
        <v>Por iniciar</v>
      </c>
      <c r="AA248" s="65"/>
    </row>
    <row r="249" spans="1:27">
      <c r="A249" s="20"/>
      <c r="B249" s="60"/>
      <c r="C249" s="60"/>
      <c r="D249" s="60"/>
      <c r="E249" s="60"/>
      <c r="F249" s="60"/>
      <c r="G249" s="60"/>
      <c r="H249" s="65" t="s">
        <v>113</v>
      </c>
      <c r="I249" s="21" t="s">
        <v>1291</v>
      </c>
      <c r="J249" s="26">
        <f>+COUNTIF('ID1&amp;5'!G:G,'1. Status'!I249)</f>
        <v>0</v>
      </c>
      <c r="K249" s="79" t="str">
        <f>+IFERROR(VLOOKUP(CONCATENATE(A249,$B$10,B249),'ID1&amp;5'!B:J,8,FALSE),"-")</f>
        <v>-</v>
      </c>
      <c r="L249" s="78" t="str">
        <f>+IFERROR(VLOOKUP(B249,'ID1&amp;5'!K:L,2,FALSE),"-")</f>
        <v>-</v>
      </c>
      <c r="M249" s="79" t="str">
        <f>+IFERROR(VLOOKUP(CONCATENATE(A249,$B$10,B249),'ID1&amp;5'!B:J,9,FALSE),"-")</f>
        <v>-</v>
      </c>
      <c r="N249" s="79" t="str">
        <f>+IFERROR(VLOOKUP(CONCATENATE(A249,$C$10,C249),'ID1&amp;5'!B:J,8,FALSE),"-")</f>
        <v>-</v>
      </c>
      <c r="O249" s="78" t="str">
        <f>+IFERROR(VLOOKUP(C249,'ID1&amp;5'!K:L,2,FALSE),"-")</f>
        <v>-</v>
      </c>
      <c r="P249" s="79" t="str">
        <f>+IFERROR(VLOOKUP(CONCATENATE(A249,$C$10,C249),'ID1&amp;5'!B:J,9,FALSE),"-")</f>
        <v>-</v>
      </c>
      <c r="Q249" s="78" t="str">
        <f>+IFERROR(VLOOKUP(D249,'ID1&amp;5'!K:L,2,FALSE),"-")</f>
        <v>-</v>
      </c>
      <c r="R249" s="26" t="str">
        <f>+IFERROR(VLOOKUP(CONCATENATE(A249,$D$10,D249),'ID1&amp;5'!B:J,9,FALSE),"-")</f>
        <v>-</v>
      </c>
      <c r="S249" s="78" t="str">
        <f>+IFERROR(VLOOKUP(E249,'ID1&amp;5'!K:L,2,FALSE),"-")</f>
        <v>-</v>
      </c>
      <c r="T249" s="79" t="str">
        <f>+IFERROR(VLOOKUP(CONCATENATE(A249,$E$10,E249),'ID1&amp;5'!B:J,9,FALSE),"-")</f>
        <v>-</v>
      </c>
      <c r="U249" s="78" t="str">
        <f>+IFERROR(VLOOKUP(F249,'ID1&amp;5'!K:L,2,FALSE),"-")</f>
        <v>-</v>
      </c>
      <c r="V249" s="79" t="str">
        <f>+IFERROR(VLOOKUP(CONCATENATE(A249,$F$10,F249),'ID1&amp;5'!B:J,9,FALSE),"-")</f>
        <v>-</v>
      </c>
      <c r="W249" s="26" t="str">
        <f>+IFERROR(VLOOKUP(A249,'ID6&amp;7'!A:I,9,FALSE),"-")</f>
        <v>-</v>
      </c>
      <c r="X249" s="26" t="str">
        <f>+IFERROR(VLOOKUP(A249,'ID6&amp;7'!A:J,10,FALSE),"-")</f>
        <v>-</v>
      </c>
      <c r="Y249" s="26"/>
      <c r="Z249" s="27" t="str">
        <f t="shared" si="4"/>
        <v>Por iniciar</v>
      </c>
      <c r="AA249" s="65"/>
    </row>
    <row r="250" spans="1:27">
      <c r="A250" s="20"/>
      <c r="B250" s="60"/>
      <c r="C250" s="60"/>
      <c r="D250" s="60"/>
      <c r="E250" s="60"/>
      <c r="F250" s="60"/>
      <c r="G250" s="60"/>
      <c r="H250" s="65" t="s">
        <v>113</v>
      </c>
      <c r="I250" s="21" t="s">
        <v>1292</v>
      </c>
      <c r="J250" s="26">
        <f>+COUNTIF('ID1&amp;5'!G:G,'1. Status'!I250)</f>
        <v>0</v>
      </c>
      <c r="K250" s="79" t="str">
        <f>+IFERROR(VLOOKUP(CONCATENATE(A250,$B$10,B250),'ID1&amp;5'!B:J,8,FALSE),"-")</f>
        <v>-</v>
      </c>
      <c r="L250" s="78" t="str">
        <f>+IFERROR(VLOOKUP(B250,'ID1&amp;5'!K:L,2,FALSE),"-")</f>
        <v>-</v>
      </c>
      <c r="M250" s="79" t="str">
        <f>+IFERROR(VLOOKUP(CONCATENATE(A250,$B$10,B250),'ID1&amp;5'!B:J,9,FALSE),"-")</f>
        <v>-</v>
      </c>
      <c r="N250" s="79" t="str">
        <f>+IFERROR(VLOOKUP(CONCATENATE(A250,$C$10,C250),'ID1&amp;5'!B:J,8,FALSE),"-")</f>
        <v>-</v>
      </c>
      <c r="O250" s="78" t="str">
        <f>+IFERROR(VLOOKUP(C250,'ID1&amp;5'!K:L,2,FALSE),"-")</f>
        <v>-</v>
      </c>
      <c r="P250" s="79" t="str">
        <f>+IFERROR(VLOOKUP(CONCATENATE(A250,$C$10,C250),'ID1&amp;5'!B:J,9,FALSE),"-")</f>
        <v>-</v>
      </c>
      <c r="Q250" s="78" t="str">
        <f>+IFERROR(VLOOKUP(D250,'ID1&amp;5'!K:L,2,FALSE),"-")</f>
        <v>-</v>
      </c>
      <c r="R250" s="26" t="str">
        <f>+IFERROR(VLOOKUP(CONCATENATE(A250,$D$10,D250),'ID1&amp;5'!B:J,9,FALSE),"-")</f>
        <v>-</v>
      </c>
      <c r="S250" s="78" t="str">
        <f>+IFERROR(VLOOKUP(E250,'ID1&amp;5'!K:L,2,FALSE),"-")</f>
        <v>-</v>
      </c>
      <c r="T250" s="79" t="str">
        <f>+IFERROR(VLOOKUP(CONCATENATE(A250,$E$10,E250),'ID1&amp;5'!B:J,9,FALSE),"-")</f>
        <v>-</v>
      </c>
      <c r="U250" s="78" t="str">
        <f>+IFERROR(VLOOKUP(F250,'ID1&amp;5'!K:L,2,FALSE),"-")</f>
        <v>-</v>
      </c>
      <c r="V250" s="79" t="str">
        <f>+IFERROR(VLOOKUP(CONCATENATE(A250,$F$10,F250),'ID1&amp;5'!B:J,9,FALSE),"-")</f>
        <v>-</v>
      </c>
      <c r="W250" s="26" t="str">
        <f>+IFERROR(VLOOKUP(A250,'ID6&amp;7'!A:I,9,FALSE),"-")</f>
        <v>-</v>
      </c>
      <c r="X250" s="26" t="str">
        <f>+IFERROR(VLOOKUP(A250,'ID6&amp;7'!A:J,10,FALSE),"-")</f>
        <v>-</v>
      </c>
      <c r="Y250" s="26"/>
      <c r="Z250" s="27" t="str">
        <f t="shared" si="4"/>
        <v>Por iniciar</v>
      </c>
      <c r="AA250" s="65"/>
    </row>
    <row r="251" spans="1:27">
      <c r="A251" s="20"/>
      <c r="B251" s="60"/>
      <c r="C251" s="60"/>
      <c r="D251" s="60"/>
      <c r="E251" s="60"/>
      <c r="F251" s="60"/>
      <c r="G251" s="60"/>
      <c r="H251" s="65" t="s">
        <v>113</v>
      </c>
      <c r="I251" s="21" t="s">
        <v>650</v>
      </c>
      <c r="J251" s="26">
        <f>+COUNTIF('ID1&amp;5'!G:G,'1. Status'!I251)</f>
        <v>4</v>
      </c>
      <c r="K251" s="79" t="str">
        <f>+IFERROR(VLOOKUP(CONCATENATE(A251,$B$10,B251),'ID1&amp;5'!B:J,8,FALSE),"-")</f>
        <v>-</v>
      </c>
      <c r="L251" s="78" t="str">
        <f>+IFERROR(VLOOKUP(B251,'ID1&amp;5'!K:L,2,FALSE),"-")</f>
        <v>-</v>
      </c>
      <c r="M251" s="79" t="str">
        <f>+IFERROR(VLOOKUP(CONCATENATE(A251,$B$10,B251),'ID1&amp;5'!B:J,9,FALSE),"-")</f>
        <v>-</v>
      </c>
      <c r="N251" s="79" t="str">
        <f>+IFERROR(VLOOKUP(CONCATENATE(A251,$C$10,C251),'ID1&amp;5'!B:J,8,FALSE),"-")</f>
        <v>-</v>
      </c>
      <c r="O251" s="78" t="str">
        <f>+IFERROR(VLOOKUP(C251,'ID1&amp;5'!K:L,2,FALSE),"-")</f>
        <v>-</v>
      </c>
      <c r="P251" s="79" t="str">
        <f>+IFERROR(VLOOKUP(CONCATENATE(A251,$C$10,C251),'ID1&amp;5'!B:J,9,FALSE),"-")</f>
        <v>-</v>
      </c>
      <c r="Q251" s="78" t="str">
        <f>+IFERROR(VLOOKUP(D251,'ID1&amp;5'!K:L,2,FALSE),"-")</f>
        <v>-</v>
      </c>
      <c r="R251" s="26" t="str">
        <f>+IFERROR(VLOOKUP(CONCATENATE(A251,$D$10,D251),'ID1&amp;5'!B:J,9,FALSE),"-")</f>
        <v>-</v>
      </c>
      <c r="S251" s="78" t="str">
        <f>+IFERROR(VLOOKUP(E251,'ID1&amp;5'!K:L,2,FALSE),"-")</f>
        <v>-</v>
      </c>
      <c r="T251" s="79" t="str">
        <f>+IFERROR(VLOOKUP(CONCATENATE(A251,$E$10,E251),'ID1&amp;5'!B:J,9,FALSE),"-")</f>
        <v>-</v>
      </c>
      <c r="U251" s="78" t="str">
        <f>+IFERROR(VLOOKUP(F251,'ID1&amp;5'!K:L,2,FALSE),"-")</f>
        <v>-</v>
      </c>
      <c r="V251" s="79" t="str">
        <f>+IFERROR(VLOOKUP(CONCATENATE(A251,$F$10,F251),'ID1&amp;5'!B:J,9,FALSE),"-")</f>
        <v>-</v>
      </c>
      <c r="W251" s="26" t="str">
        <f>+IFERROR(VLOOKUP(A251,'ID6&amp;7'!A:I,9,FALSE),"-")</f>
        <v>-</v>
      </c>
      <c r="X251" s="26" t="str">
        <f>+IFERROR(VLOOKUP(A251,'ID6&amp;7'!A:J,10,FALSE),"-")</f>
        <v>-</v>
      </c>
      <c r="Y251" s="26"/>
      <c r="Z251" s="27" t="str">
        <f t="shared" si="4"/>
        <v>Em testes</v>
      </c>
      <c r="AA251" s="65"/>
    </row>
    <row r="252" spans="1:27">
      <c r="A252" s="20"/>
      <c r="B252" s="60"/>
      <c r="C252" s="60"/>
      <c r="D252" s="60"/>
      <c r="E252" s="60"/>
      <c r="F252" s="60"/>
      <c r="G252" s="60"/>
      <c r="H252" s="65" t="s">
        <v>113</v>
      </c>
      <c r="I252" s="21" t="s">
        <v>649</v>
      </c>
      <c r="J252" s="26">
        <f>+COUNTIF('ID1&amp;5'!G:G,'1. Status'!I252)</f>
        <v>0</v>
      </c>
      <c r="K252" s="79" t="str">
        <f>+IFERROR(VLOOKUP(CONCATENATE(A252,$B$10,B252),'ID1&amp;5'!B:J,8,FALSE),"-")</f>
        <v>-</v>
      </c>
      <c r="L252" s="78" t="str">
        <f>+IFERROR(VLOOKUP(B252,'ID1&amp;5'!K:L,2,FALSE),"-")</f>
        <v>-</v>
      </c>
      <c r="M252" s="79" t="str">
        <f>+IFERROR(VLOOKUP(CONCATENATE(A252,$B$10,B252),'ID1&amp;5'!B:J,9,FALSE),"-")</f>
        <v>-</v>
      </c>
      <c r="N252" s="79" t="str">
        <f>+IFERROR(VLOOKUP(CONCATENATE(A252,$C$10,C252),'ID1&amp;5'!B:J,8,FALSE),"-")</f>
        <v>-</v>
      </c>
      <c r="O252" s="78" t="str">
        <f>+IFERROR(VLOOKUP(C252,'ID1&amp;5'!K:L,2,FALSE),"-")</f>
        <v>-</v>
      </c>
      <c r="P252" s="79" t="str">
        <f>+IFERROR(VLOOKUP(CONCATENATE(A252,$C$10,C252),'ID1&amp;5'!B:J,9,FALSE),"-")</f>
        <v>-</v>
      </c>
      <c r="Q252" s="78" t="str">
        <f>+IFERROR(VLOOKUP(D252,'ID1&amp;5'!K:L,2,FALSE),"-")</f>
        <v>-</v>
      </c>
      <c r="R252" s="26" t="str">
        <f>+IFERROR(VLOOKUP(CONCATENATE(A252,$D$10,D252),'ID1&amp;5'!B:J,9,FALSE),"-")</f>
        <v>-</v>
      </c>
      <c r="S252" s="78" t="str">
        <f>+IFERROR(VLOOKUP(E252,'ID1&amp;5'!K:L,2,FALSE),"-")</f>
        <v>-</v>
      </c>
      <c r="T252" s="79" t="str">
        <f>+IFERROR(VLOOKUP(CONCATENATE(A252,$E$10,E252),'ID1&amp;5'!B:J,9,FALSE),"-")</f>
        <v>-</v>
      </c>
      <c r="U252" s="78" t="str">
        <f>+IFERROR(VLOOKUP(F252,'ID1&amp;5'!K:L,2,FALSE),"-")</f>
        <v>-</v>
      </c>
      <c r="V252" s="79" t="str">
        <f>+IFERROR(VLOOKUP(CONCATENATE(A252,$F$10,F252),'ID1&amp;5'!B:J,9,FALSE),"-")</f>
        <v>-</v>
      </c>
      <c r="W252" s="26" t="str">
        <f>+IFERROR(VLOOKUP(A252,'ID6&amp;7'!A:I,9,FALSE),"-")</f>
        <v>-</v>
      </c>
      <c r="X252" s="26" t="str">
        <f>+IFERROR(VLOOKUP(A252,'ID6&amp;7'!A:J,10,FALSE),"-")</f>
        <v>-</v>
      </c>
      <c r="Y252" s="26"/>
      <c r="Z252" s="27" t="str">
        <f t="shared" si="4"/>
        <v>Por iniciar</v>
      </c>
      <c r="AA252" s="65"/>
    </row>
    <row r="253" spans="1:27">
      <c r="A253" s="20"/>
      <c r="B253" s="60"/>
      <c r="C253" s="60"/>
      <c r="D253" s="60"/>
      <c r="E253" s="60"/>
      <c r="F253" s="60"/>
      <c r="G253" s="60"/>
      <c r="H253" s="65" t="s">
        <v>113</v>
      </c>
      <c r="I253" s="21" t="s">
        <v>1293</v>
      </c>
      <c r="J253" s="26">
        <f>+COUNTIF('ID1&amp;5'!G:G,'1. Status'!I253)</f>
        <v>0</v>
      </c>
      <c r="K253" s="79" t="str">
        <f>+IFERROR(VLOOKUP(CONCATENATE(A253,$B$10,B253),'ID1&amp;5'!B:J,8,FALSE),"-")</f>
        <v>-</v>
      </c>
      <c r="L253" s="78" t="str">
        <f>+IFERROR(VLOOKUP(B253,'ID1&amp;5'!K:L,2,FALSE),"-")</f>
        <v>-</v>
      </c>
      <c r="M253" s="79" t="str">
        <f>+IFERROR(VLOOKUP(CONCATENATE(A253,$B$10,B253),'ID1&amp;5'!B:J,9,FALSE),"-")</f>
        <v>-</v>
      </c>
      <c r="N253" s="79" t="str">
        <f>+IFERROR(VLOOKUP(CONCATENATE(A253,$C$10,C253),'ID1&amp;5'!B:J,8,FALSE),"-")</f>
        <v>-</v>
      </c>
      <c r="O253" s="78" t="str">
        <f>+IFERROR(VLOOKUP(C253,'ID1&amp;5'!K:L,2,FALSE),"-")</f>
        <v>-</v>
      </c>
      <c r="P253" s="79" t="str">
        <f>+IFERROR(VLOOKUP(CONCATENATE(A253,$C$10,C253),'ID1&amp;5'!B:J,9,FALSE),"-")</f>
        <v>-</v>
      </c>
      <c r="Q253" s="78" t="str">
        <f>+IFERROR(VLOOKUP(D253,'ID1&amp;5'!K:L,2,FALSE),"-")</f>
        <v>-</v>
      </c>
      <c r="R253" s="26" t="str">
        <f>+IFERROR(VLOOKUP(CONCATENATE(A253,$D$10,D253),'ID1&amp;5'!B:J,9,FALSE),"-")</f>
        <v>-</v>
      </c>
      <c r="S253" s="78" t="str">
        <f>+IFERROR(VLOOKUP(E253,'ID1&amp;5'!K:L,2,FALSE),"-")</f>
        <v>-</v>
      </c>
      <c r="T253" s="79" t="str">
        <f>+IFERROR(VLOOKUP(CONCATENATE(A253,$E$10,E253),'ID1&amp;5'!B:J,9,FALSE),"-")</f>
        <v>-</v>
      </c>
      <c r="U253" s="78" t="str">
        <f>+IFERROR(VLOOKUP(F253,'ID1&amp;5'!K:L,2,FALSE),"-")</f>
        <v>-</v>
      </c>
      <c r="V253" s="79" t="str">
        <f>+IFERROR(VLOOKUP(CONCATENATE(A253,$F$10,F253),'ID1&amp;5'!B:J,9,FALSE),"-")</f>
        <v>-</v>
      </c>
      <c r="W253" s="26" t="str">
        <f>+IFERROR(VLOOKUP(A253,'ID6&amp;7'!A:I,9,FALSE),"-")</f>
        <v>-</v>
      </c>
      <c r="X253" s="26" t="str">
        <f>+IFERROR(VLOOKUP(A253,'ID6&amp;7'!A:J,10,FALSE),"-")</f>
        <v>-</v>
      </c>
      <c r="Y253" s="26"/>
      <c r="Z253" s="27" t="str">
        <f t="shared" si="4"/>
        <v>Por iniciar</v>
      </c>
      <c r="AA253" s="65"/>
    </row>
    <row r="254" spans="1:27">
      <c r="A254" s="20"/>
      <c r="B254" s="60"/>
      <c r="C254" s="60"/>
      <c r="D254" s="60"/>
      <c r="E254" s="60"/>
      <c r="F254" s="60"/>
      <c r="G254" s="60"/>
      <c r="H254" s="65" t="s">
        <v>113</v>
      </c>
      <c r="I254" s="21" t="s">
        <v>1294</v>
      </c>
      <c r="J254" s="26">
        <f>+COUNTIF('ID1&amp;5'!G:G,'1. Status'!I254)</f>
        <v>0</v>
      </c>
      <c r="K254" s="79" t="str">
        <f>+IFERROR(VLOOKUP(CONCATENATE(A254,$B$10,B254),'ID1&amp;5'!B:J,8,FALSE),"-")</f>
        <v>-</v>
      </c>
      <c r="L254" s="78" t="str">
        <f>+IFERROR(VLOOKUP(B254,'ID1&amp;5'!K:L,2,FALSE),"-")</f>
        <v>-</v>
      </c>
      <c r="M254" s="79" t="str">
        <f>+IFERROR(VLOOKUP(CONCATENATE(A254,$B$10,B254),'ID1&amp;5'!B:J,9,FALSE),"-")</f>
        <v>-</v>
      </c>
      <c r="N254" s="79" t="str">
        <f>+IFERROR(VLOOKUP(CONCATENATE(A254,$C$10,C254),'ID1&amp;5'!B:J,8,FALSE),"-")</f>
        <v>-</v>
      </c>
      <c r="O254" s="78" t="str">
        <f>+IFERROR(VLOOKUP(C254,'ID1&amp;5'!K:L,2,FALSE),"-")</f>
        <v>-</v>
      </c>
      <c r="P254" s="79" t="str">
        <f>+IFERROR(VLOOKUP(CONCATENATE(A254,$C$10,C254),'ID1&amp;5'!B:J,9,FALSE),"-")</f>
        <v>-</v>
      </c>
      <c r="Q254" s="78" t="str">
        <f>+IFERROR(VLOOKUP(D254,'ID1&amp;5'!K:L,2,FALSE),"-")</f>
        <v>-</v>
      </c>
      <c r="R254" s="26" t="str">
        <f>+IFERROR(VLOOKUP(CONCATENATE(A254,$D$10,D254),'ID1&amp;5'!B:J,9,FALSE),"-")</f>
        <v>-</v>
      </c>
      <c r="S254" s="78" t="str">
        <f>+IFERROR(VLOOKUP(E254,'ID1&amp;5'!K:L,2,FALSE),"-")</f>
        <v>-</v>
      </c>
      <c r="T254" s="79" t="str">
        <f>+IFERROR(VLOOKUP(CONCATENATE(A254,$E$10,E254),'ID1&amp;5'!B:J,9,FALSE),"-")</f>
        <v>-</v>
      </c>
      <c r="U254" s="78" t="str">
        <f>+IFERROR(VLOOKUP(F254,'ID1&amp;5'!K:L,2,FALSE),"-")</f>
        <v>-</v>
      </c>
      <c r="V254" s="79" t="str">
        <f>+IFERROR(VLOOKUP(CONCATENATE(A254,$F$10,F254),'ID1&amp;5'!B:J,9,FALSE),"-")</f>
        <v>-</v>
      </c>
      <c r="W254" s="26" t="str">
        <f>+IFERROR(VLOOKUP(A254,'ID6&amp;7'!A:I,9,FALSE),"-")</f>
        <v>-</v>
      </c>
      <c r="X254" s="26" t="str">
        <f>+IFERROR(VLOOKUP(A254,'ID6&amp;7'!A:J,10,FALSE),"-")</f>
        <v>-</v>
      </c>
      <c r="Y254" s="26"/>
      <c r="Z254" s="27" t="str">
        <f t="shared" si="4"/>
        <v>Por iniciar</v>
      </c>
      <c r="AA254" s="65"/>
    </row>
    <row r="255" spans="1:27">
      <c r="A255" s="20"/>
      <c r="B255" s="60"/>
      <c r="C255" s="60"/>
      <c r="D255" s="60"/>
      <c r="E255" s="60"/>
      <c r="F255" s="60"/>
      <c r="G255" s="60"/>
      <c r="H255" s="65" t="s">
        <v>113</v>
      </c>
      <c r="I255" s="21" t="s">
        <v>1295</v>
      </c>
      <c r="J255" s="26">
        <f>+COUNTIF('ID1&amp;5'!G:G,'1. Status'!I255)</f>
        <v>0</v>
      </c>
      <c r="K255" s="79" t="str">
        <f>+IFERROR(VLOOKUP(CONCATENATE(A255,$B$10,B255),'ID1&amp;5'!B:J,8,FALSE),"-")</f>
        <v>-</v>
      </c>
      <c r="L255" s="78" t="str">
        <f>+IFERROR(VLOOKUP(B255,'ID1&amp;5'!K:L,2,FALSE),"-")</f>
        <v>-</v>
      </c>
      <c r="M255" s="79" t="str">
        <f>+IFERROR(VLOOKUP(CONCATENATE(A255,$B$10,B255),'ID1&amp;5'!B:J,9,FALSE),"-")</f>
        <v>-</v>
      </c>
      <c r="N255" s="79" t="str">
        <f>+IFERROR(VLOOKUP(CONCATENATE(A255,$C$10,C255),'ID1&amp;5'!B:J,8,FALSE),"-")</f>
        <v>-</v>
      </c>
      <c r="O255" s="78" t="str">
        <f>+IFERROR(VLOOKUP(C255,'ID1&amp;5'!K:L,2,FALSE),"-")</f>
        <v>-</v>
      </c>
      <c r="P255" s="79" t="str">
        <f>+IFERROR(VLOOKUP(CONCATENATE(A255,$C$10,C255),'ID1&amp;5'!B:J,9,FALSE),"-")</f>
        <v>-</v>
      </c>
      <c r="Q255" s="78" t="str">
        <f>+IFERROR(VLOOKUP(D255,'ID1&amp;5'!K:L,2,FALSE),"-")</f>
        <v>-</v>
      </c>
      <c r="R255" s="26" t="str">
        <f>+IFERROR(VLOOKUP(CONCATENATE(A255,$D$10,D255),'ID1&amp;5'!B:J,9,FALSE),"-")</f>
        <v>-</v>
      </c>
      <c r="S255" s="78" t="str">
        <f>+IFERROR(VLOOKUP(E255,'ID1&amp;5'!K:L,2,FALSE),"-")</f>
        <v>-</v>
      </c>
      <c r="T255" s="79" t="str">
        <f>+IFERROR(VLOOKUP(CONCATENATE(A255,$E$10,E255),'ID1&amp;5'!B:J,9,FALSE),"-")</f>
        <v>-</v>
      </c>
      <c r="U255" s="78" t="str">
        <f>+IFERROR(VLOOKUP(F255,'ID1&amp;5'!K:L,2,FALSE),"-")</f>
        <v>-</v>
      </c>
      <c r="V255" s="79" t="str">
        <f>+IFERROR(VLOOKUP(CONCATENATE(A255,$F$10,F255),'ID1&amp;5'!B:J,9,FALSE),"-")</f>
        <v>-</v>
      </c>
      <c r="W255" s="26" t="str">
        <f>+IFERROR(VLOOKUP(A255,'ID6&amp;7'!A:I,9,FALSE),"-")</f>
        <v>-</v>
      </c>
      <c r="X255" s="26" t="str">
        <f>+IFERROR(VLOOKUP(A255,'ID6&amp;7'!A:J,10,FALSE),"-")</f>
        <v>-</v>
      </c>
      <c r="Y255" s="26"/>
      <c r="Z255" s="27" t="str">
        <f t="shared" si="4"/>
        <v>Por iniciar</v>
      </c>
      <c r="AA255" s="65"/>
    </row>
    <row r="256" spans="1:27">
      <c r="A256" s="20"/>
      <c r="B256" s="60"/>
      <c r="C256" s="60"/>
      <c r="D256" s="60"/>
      <c r="E256" s="60"/>
      <c r="F256" s="60"/>
      <c r="G256" s="60"/>
      <c r="H256" s="65" t="s">
        <v>113</v>
      </c>
      <c r="I256" s="21" t="s">
        <v>1296</v>
      </c>
      <c r="J256" s="26">
        <f>+COUNTIF('ID1&amp;5'!G:G,'1. Status'!I256)</f>
        <v>0</v>
      </c>
      <c r="K256" s="79" t="str">
        <f>+IFERROR(VLOOKUP(CONCATENATE(A256,$B$10,B256),'ID1&amp;5'!B:J,8,FALSE),"-")</f>
        <v>-</v>
      </c>
      <c r="L256" s="78" t="str">
        <f>+IFERROR(VLOOKUP(B256,'ID1&amp;5'!K:L,2,FALSE),"-")</f>
        <v>-</v>
      </c>
      <c r="M256" s="79" t="str">
        <f>+IFERROR(VLOOKUP(CONCATENATE(A256,$B$10,B256),'ID1&amp;5'!B:J,9,FALSE),"-")</f>
        <v>-</v>
      </c>
      <c r="N256" s="79" t="str">
        <f>+IFERROR(VLOOKUP(CONCATENATE(A256,$C$10,C256),'ID1&amp;5'!B:J,8,FALSE),"-")</f>
        <v>-</v>
      </c>
      <c r="O256" s="78" t="str">
        <f>+IFERROR(VLOOKUP(C256,'ID1&amp;5'!K:L,2,FALSE),"-")</f>
        <v>-</v>
      </c>
      <c r="P256" s="79" t="str">
        <f>+IFERROR(VLOOKUP(CONCATENATE(A256,$C$10,C256),'ID1&amp;5'!B:J,9,FALSE),"-")</f>
        <v>-</v>
      </c>
      <c r="Q256" s="78" t="str">
        <f>+IFERROR(VLOOKUP(D256,'ID1&amp;5'!K:L,2,FALSE),"-")</f>
        <v>-</v>
      </c>
      <c r="R256" s="26" t="str">
        <f>+IFERROR(VLOOKUP(CONCATENATE(A256,$D$10,D256),'ID1&amp;5'!B:J,9,FALSE),"-")</f>
        <v>-</v>
      </c>
      <c r="S256" s="78" t="str">
        <f>+IFERROR(VLOOKUP(E256,'ID1&amp;5'!K:L,2,FALSE),"-")</f>
        <v>-</v>
      </c>
      <c r="T256" s="79" t="str">
        <f>+IFERROR(VLOOKUP(CONCATENATE(A256,$E$10,E256),'ID1&amp;5'!B:J,9,FALSE),"-")</f>
        <v>-</v>
      </c>
      <c r="U256" s="78" t="str">
        <f>+IFERROR(VLOOKUP(F256,'ID1&amp;5'!K:L,2,FALSE),"-")</f>
        <v>-</v>
      </c>
      <c r="V256" s="79" t="str">
        <f>+IFERROR(VLOOKUP(CONCATENATE(A256,$F$10,F256),'ID1&amp;5'!B:J,9,FALSE),"-")</f>
        <v>-</v>
      </c>
      <c r="W256" s="26" t="str">
        <f>+IFERROR(VLOOKUP(A256,'ID6&amp;7'!A:I,9,FALSE),"-")</f>
        <v>-</v>
      </c>
      <c r="X256" s="26" t="str">
        <f>+IFERROR(VLOOKUP(A256,'ID6&amp;7'!A:J,10,FALSE),"-")</f>
        <v>-</v>
      </c>
      <c r="Y256" s="26"/>
      <c r="Z256" s="27" t="str">
        <f t="shared" ref="Z256:Z319" si="5">+IF(J256=0,"Por iniciar",IF(OR(K256="-",M256="-",P256="-",R256="-",T256="-",V256="-"),"Em testes",IF(AND(M256=0,P256=0,R256=0,T256&lt;&gt;K256,V256&lt;&gt;K256),"OK","NOK")))</f>
        <v>Por iniciar</v>
      </c>
      <c r="AA256" s="65"/>
    </row>
    <row r="257" spans="1:27">
      <c r="A257" s="20"/>
      <c r="B257" s="60"/>
      <c r="C257" s="60"/>
      <c r="D257" s="60"/>
      <c r="E257" s="60"/>
      <c r="F257" s="60"/>
      <c r="G257" s="60"/>
      <c r="H257" s="65" t="s">
        <v>113</v>
      </c>
      <c r="I257" s="21" t="s">
        <v>1297</v>
      </c>
      <c r="J257" s="26">
        <f>+COUNTIF('ID1&amp;5'!G:G,'1. Status'!I257)</f>
        <v>0</v>
      </c>
      <c r="K257" s="79" t="str">
        <f>+IFERROR(VLOOKUP(CONCATENATE(A257,$B$10,B257),'ID1&amp;5'!B:J,8,FALSE),"-")</f>
        <v>-</v>
      </c>
      <c r="L257" s="78" t="str">
        <f>+IFERROR(VLOOKUP(B257,'ID1&amp;5'!K:L,2,FALSE),"-")</f>
        <v>-</v>
      </c>
      <c r="M257" s="79" t="str">
        <f>+IFERROR(VLOOKUP(CONCATENATE(A257,$B$10,B257),'ID1&amp;5'!B:J,9,FALSE),"-")</f>
        <v>-</v>
      </c>
      <c r="N257" s="79" t="str">
        <f>+IFERROR(VLOOKUP(CONCATENATE(A257,$C$10,C257),'ID1&amp;5'!B:J,8,FALSE),"-")</f>
        <v>-</v>
      </c>
      <c r="O257" s="78" t="str">
        <f>+IFERROR(VLOOKUP(C257,'ID1&amp;5'!K:L,2,FALSE),"-")</f>
        <v>-</v>
      </c>
      <c r="P257" s="79" t="str">
        <f>+IFERROR(VLOOKUP(CONCATENATE(A257,$C$10,C257),'ID1&amp;5'!B:J,9,FALSE),"-")</f>
        <v>-</v>
      </c>
      <c r="Q257" s="78" t="str">
        <f>+IFERROR(VLOOKUP(D257,'ID1&amp;5'!K:L,2,FALSE),"-")</f>
        <v>-</v>
      </c>
      <c r="R257" s="26" t="str">
        <f>+IFERROR(VLOOKUP(CONCATENATE(A257,$D$10,D257),'ID1&amp;5'!B:J,9,FALSE),"-")</f>
        <v>-</v>
      </c>
      <c r="S257" s="78" t="str">
        <f>+IFERROR(VLOOKUP(E257,'ID1&amp;5'!K:L,2,FALSE),"-")</f>
        <v>-</v>
      </c>
      <c r="T257" s="79" t="str">
        <f>+IFERROR(VLOOKUP(CONCATENATE(A257,$E$10,E257),'ID1&amp;5'!B:J,9,FALSE),"-")</f>
        <v>-</v>
      </c>
      <c r="U257" s="78" t="str">
        <f>+IFERROR(VLOOKUP(F257,'ID1&amp;5'!K:L,2,FALSE),"-")</f>
        <v>-</v>
      </c>
      <c r="V257" s="79" t="str">
        <f>+IFERROR(VLOOKUP(CONCATENATE(A257,$F$10,F257),'ID1&amp;5'!B:J,9,FALSE),"-")</f>
        <v>-</v>
      </c>
      <c r="W257" s="26" t="str">
        <f>+IFERROR(VLOOKUP(A257,'ID6&amp;7'!A:I,9,FALSE),"-")</f>
        <v>-</v>
      </c>
      <c r="X257" s="26" t="str">
        <f>+IFERROR(VLOOKUP(A257,'ID6&amp;7'!A:J,10,FALSE),"-")</f>
        <v>-</v>
      </c>
      <c r="Y257" s="26"/>
      <c r="Z257" s="27" t="str">
        <f t="shared" si="5"/>
        <v>Por iniciar</v>
      </c>
      <c r="AA257" s="65"/>
    </row>
    <row r="258" spans="1:27">
      <c r="A258" s="20"/>
      <c r="B258" s="60"/>
      <c r="C258" s="60"/>
      <c r="D258" s="60"/>
      <c r="E258" s="60"/>
      <c r="F258" s="60"/>
      <c r="G258" s="60"/>
      <c r="H258" s="65" t="s">
        <v>113</v>
      </c>
      <c r="I258" s="21" t="s">
        <v>1298</v>
      </c>
      <c r="J258" s="26">
        <f>+COUNTIF('ID1&amp;5'!G:G,'1. Status'!I258)</f>
        <v>0</v>
      </c>
      <c r="K258" s="79" t="str">
        <f>+IFERROR(VLOOKUP(CONCATENATE(A258,$B$10,B258),'ID1&amp;5'!B:J,8,FALSE),"-")</f>
        <v>-</v>
      </c>
      <c r="L258" s="78" t="str">
        <f>+IFERROR(VLOOKUP(B258,'ID1&amp;5'!K:L,2,FALSE),"-")</f>
        <v>-</v>
      </c>
      <c r="M258" s="79" t="str">
        <f>+IFERROR(VLOOKUP(CONCATENATE(A258,$B$10,B258),'ID1&amp;5'!B:J,9,FALSE),"-")</f>
        <v>-</v>
      </c>
      <c r="N258" s="79" t="str">
        <f>+IFERROR(VLOOKUP(CONCATENATE(A258,$C$10,C258),'ID1&amp;5'!B:J,8,FALSE),"-")</f>
        <v>-</v>
      </c>
      <c r="O258" s="78" t="str">
        <f>+IFERROR(VLOOKUP(C258,'ID1&amp;5'!K:L,2,FALSE),"-")</f>
        <v>-</v>
      </c>
      <c r="P258" s="79" t="str">
        <f>+IFERROR(VLOOKUP(CONCATENATE(A258,$C$10,C258),'ID1&amp;5'!B:J,9,FALSE),"-")</f>
        <v>-</v>
      </c>
      <c r="Q258" s="78" t="str">
        <f>+IFERROR(VLOOKUP(D258,'ID1&amp;5'!K:L,2,FALSE),"-")</f>
        <v>-</v>
      </c>
      <c r="R258" s="26" t="str">
        <f>+IFERROR(VLOOKUP(CONCATENATE(A258,$D$10,D258),'ID1&amp;5'!B:J,9,FALSE),"-")</f>
        <v>-</v>
      </c>
      <c r="S258" s="78" t="str">
        <f>+IFERROR(VLOOKUP(E258,'ID1&amp;5'!K:L,2,FALSE),"-")</f>
        <v>-</v>
      </c>
      <c r="T258" s="79" t="str">
        <f>+IFERROR(VLOOKUP(CONCATENATE(A258,$E$10,E258),'ID1&amp;5'!B:J,9,FALSE),"-")</f>
        <v>-</v>
      </c>
      <c r="U258" s="78" t="str">
        <f>+IFERROR(VLOOKUP(F258,'ID1&amp;5'!K:L,2,FALSE),"-")</f>
        <v>-</v>
      </c>
      <c r="V258" s="79" t="str">
        <f>+IFERROR(VLOOKUP(CONCATENATE(A258,$F$10,F258),'ID1&amp;5'!B:J,9,FALSE),"-")</f>
        <v>-</v>
      </c>
      <c r="W258" s="26" t="str">
        <f>+IFERROR(VLOOKUP(A258,'ID6&amp;7'!A:I,9,FALSE),"-")</f>
        <v>-</v>
      </c>
      <c r="X258" s="26" t="str">
        <f>+IFERROR(VLOOKUP(A258,'ID6&amp;7'!A:J,10,FALSE),"-")</f>
        <v>-</v>
      </c>
      <c r="Y258" s="26"/>
      <c r="Z258" s="27" t="str">
        <f t="shared" si="5"/>
        <v>Por iniciar</v>
      </c>
      <c r="AA258" s="65"/>
    </row>
    <row r="259" spans="1:27">
      <c r="A259" s="20"/>
      <c r="B259" s="60"/>
      <c r="C259" s="60"/>
      <c r="D259" s="60"/>
      <c r="E259" s="60"/>
      <c r="F259" s="60"/>
      <c r="G259" s="60"/>
      <c r="H259" s="65" t="s">
        <v>113</v>
      </c>
      <c r="I259" s="21" t="s">
        <v>1299</v>
      </c>
      <c r="J259" s="26">
        <f>+COUNTIF('ID1&amp;5'!G:G,'1. Status'!I259)</f>
        <v>0</v>
      </c>
      <c r="K259" s="79" t="str">
        <f>+IFERROR(VLOOKUP(CONCATENATE(A259,$B$10,B259),'ID1&amp;5'!B:J,8,FALSE),"-")</f>
        <v>-</v>
      </c>
      <c r="L259" s="78" t="str">
        <f>+IFERROR(VLOOKUP(B259,'ID1&amp;5'!K:L,2,FALSE),"-")</f>
        <v>-</v>
      </c>
      <c r="M259" s="79" t="str">
        <f>+IFERROR(VLOOKUP(CONCATENATE(A259,$B$10,B259),'ID1&amp;5'!B:J,9,FALSE),"-")</f>
        <v>-</v>
      </c>
      <c r="N259" s="79" t="str">
        <f>+IFERROR(VLOOKUP(CONCATENATE(A259,$C$10,C259),'ID1&amp;5'!B:J,8,FALSE),"-")</f>
        <v>-</v>
      </c>
      <c r="O259" s="78" t="str">
        <f>+IFERROR(VLOOKUP(C259,'ID1&amp;5'!K:L,2,FALSE),"-")</f>
        <v>-</v>
      </c>
      <c r="P259" s="79" t="str">
        <f>+IFERROR(VLOOKUP(CONCATENATE(A259,$C$10,C259),'ID1&amp;5'!B:J,9,FALSE),"-")</f>
        <v>-</v>
      </c>
      <c r="Q259" s="78" t="str">
        <f>+IFERROR(VLOOKUP(D259,'ID1&amp;5'!K:L,2,FALSE),"-")</f>
        <v>-</v>
      </c>
      <c r="R259" s="26" t="str">
        <f>+IFERROR(VLOOKUP(CONCATENATE(A259,$D$10,D259),'ID1&amp;5'!B:J,9,FALSE),"-")</f>
        <v>-</v>
      </c>
      <c r="S259" s="78" t="str">
        <f>+IFERROR(VLOOKUP(E259,'ID1&amp;5'!K:L,2,FALSE),"-")</f>
        <v>-</v>
      </c>
      <c r="T259" s="79" t="str">
        <f>+IFERROR(VLOOKUP(CONCATENATE(A259,$E$10,E259),'ID1&amp;5'!B:J,9,FALSE),"-")</f>
        <v>-</v>
      </c>
      <c r="U259" s="78" t="str">
        <f>+IFERROR(VLOOKUP(F259,'ID1&amp;5'!K:L,2,FALSE),"-")</f>
        <v>-</v>
      </c>
      <c r="V259" s="79" t="str">
        <f>+IFERROR(VLOOKUP(CONCATENATE(A259,$F$10,F259),'ID1&amp;5'!B:J,9,FALSE),"-")</f>
        <v>-</v>
      </c>
      <c r="W259" s="26" t="str">
        <f>+IFERROR(VLOOKUP(A259,'ID6&amp;7'!A:I,9,FALSE),"-")</f>
        <v>-</v>
      </c>
      <c r="X259" s="26" t="str">
        <f>+IFERROR(VLOOKUP(A259,'ID6&amp;7'!A:J,10,FALSE),"-")</f>
        <v>-</v>
      </c>
      <c r="Y259" s="26"/>
      <c r="Z259" s="27" t="str">
        <f t="shared" si="5"/>
        <v>Por iniciar</v>
      </c>
      <c r="AA259" s="65"/>
    </row>
    <row r="260" spans="1:27">
      <c r="A260" s="20"/>
      <c r="B260" s="60"/>
      <c r="C260" s="60"/>
      <c r="D260" s="60"/>
      <c r="E260" s="60"/>
      <c r="F260" s="60"/>
      <c r="G260" s="60"/>
      <c r="H260" s="65" t="s">
        <v>113</v>
      </c>
      <c r="I260" s="21" t="s">
        <v>1300</v>
      </c>
      <c r="J260" s="26">
        <f>+COUNTIF('ID1&amp;5'!G:G,'1. Status'!I260)</f>
        <v>0</v>
      </c>
      <c r="K260" s="79" t="str">
        <f>+IFERROR(VLOOKUP(CONCATENATE(A260,$B$10,B260),'ID1&amp;5'!B:J,8,FALSE),"-")</f>
        <v>-</v>
      </c>
      <c r="L260" s="78" t="str">
        <f>+IFERROR(VLOOKUP(B260,'ID1&amp;5'!K:L,2,FALSE),"-")</f>
        <v>-</v>
      </c>
      <c r="M260" s="79" t="str">
        <f>+IFERROR(VLOOKUP(CONCATENATE(A260,$B$10,B260),'ID1&amp;5'!B:J,9,FALSE),"-")</f>
        <v>-</v>
      </c>
      <c r="N260" s="79" t="str">
        <f>+IFERROR(VLOOKUP(CONCATENATE(A260,$C$10,C260),'ID1&amp;5'!B:J,8,FALSE),"-")</f>
        <v>-</v>
      </c>
      <c r="O260" s="78" t="str">
        <f>+IFERROR(VLOOKUP(C260,'ID1&amp;5'!K:L,2,FALSE),"-")</f>
        <v>-</v>
      </c>
      <c r="P260" s="79" t="str">
        <f>+IFERROR(VLOOKUP(CONCATENATE(A260,$C$10,C260),'ID1&amp;5'!B:J,9,FALSE),"-")</f>
        <v>-</v>
      </c>
      <c r="Q260" s="78" t="str">
        <f>+IFERROR(VLOOKUP(D260,'ID1&amp;5'!K:L,2,FALSE),"-")</f>
        <v>-</v>
      </c>
      <c r="R260" s="26" t="str">
        <f>+IFERROR(VLOOKUP(CONCATENATE(A260,$D$10,D260),'ID1&amp;5'!B:J,9,FALSE),"-")</f>
        <v>-</v>
      </c>
      <c r="S260" s="78" t="str">
        <f>+IFERROR(VLOOKUP(E260,'ID1&amp;5'!K:L,2,FALSE),"-")</f>
        <v>-</v>
      </c>
      <c r="T260" s="79" t="str">
        <f>+IFERROR(VLOOKUP(CONCATENATE(A260,$E$10,E260),'ID1&amp;5'!B:J,9,FALSE),"-")</f>
        <v>-</v>
      </c>
      <c r="U260" s="78" t="str">
        <f>+IFERROR(VLOOKUP(F260,'ID1&amp;5'!K:L,2,FALSE),"-")</f>
        <v>-</v>
      </c>
      <c r="V260" s="79" t="str">
        <f>+IFERROR(VLOOKUP(CONCATENATE(A260,$F$10,F260),'ID1&amp;5'!B:J,9,FALSE),"-")</f>
        <v>-</v>
      </c>
      <c r="W260" s="26" t="str">
        <f>+IFERROR(VLOOKUP(A260,'ID6&amp;7'!A:I,9,FALSE),"-")</f>
        <v>-</v>
      </c>
      <c r="X260" s="26" t="str">
        <f>+IFERROR(VLOOKUP(A260,'ID6&amp;7'!A:J,10,FALSE),"-")</f>
        <v>-</v>
      </c>
      <c r="Y260" s="26"/>
      <c r="Z260" s="27" t="str">
        <f t="shared" si="5"/>
        <v>Por iniciar</v>
      </c>
      <c r="AA260" s="65"/>
    </row>
    <row r="261" spans="1:27">
      <c r="A261" s="20"/>
      <c r="B261" s="60"/>
      <c r="C261" s="60"/>
      <c r="D261" s="60"/>
      <c r="E261" s="60"/>
      <c r="F261" s="60"/>
      <c r="G261" s="60"/>
      <c r="H261" s="65" t="s">
        <v>113</v>
      </c>
      <c r="I261" s="21" t="s">
        <v>1301</v>
      </c>
      <c r="J261" s="26">
        <f>+COUNTIF('ID1&amp;5'!G:G,'1. Status'!I261)</f>
        <v>0</v>
      </c>
      <c r="K261" s="79" t="str">
        <f>+IFERROR(VLOOKUP(CONCATENATE(A261,$B$10,B261),'ID1&amp;5'!B:J,8,FALSE),"-")</f>
        <v>-</v>
      </c>
      <c r="L261" s="78" t="str">
        <f>+IFERROR(VLOOKUP(B261,'ID1&amp;5'!K:L,2,FALSE),"-")</f>
        <v>-</v>
      </c>
      <c r="M261" s="79" t="str">
        <f>+IFERROR(VLOOKUP(CONCATENATE(A261,$B$10,B261),'ID1&amp;5'!B:J,9,FALSE),"-")</f>
        <v>-</v>
      </c>
      <c r="N261" s="79" t="str">
        <f>+IFERROR(VLOOKUP(CONCATENATE(A261,$C$10,C261),'ID1&amp;5'!B:J,8,FALSE),"-")</f>
        <v>-</v>
      </c>
      <c r="O261" s="78" t="str">
        <f>+IFERROR(VLOOKUP(C261,'ID1&amp;5'!K:L,2,FALSE),"-")</f>
        <v>-</v>
      </c>
      <c r="P261" s="79" t="str">
        <f>+IFERROR(VLOOKUP(CONCATENATE(A261,$C$10,C261),'ID1&amp;5'!B:J,9,FALSE),"-")</f>
        <v>-</v>
      </c>
      <c r="Q261" s="78" t="str">
        <f>+IFERROR(VLOOKUP(D261,'ID1&amp;5'!K:L,2,FALSE),"-")</f>
        <v>-</v>
      </c>
      <c r="R261" s="26" t="str">
        <f>+IFERROR(VLOOKUP(CONCATENATE(A261,$D$10,D261),'ID1&amp;5'!B:J,9,FALSE),"-")</f>
        <v>-</v>
      </c>
      <c r="S261" s="78" t="str">
        <f>+IFERROR(VLOOKUP(E261,'ID1&amp;5'!K:L,2,FALSE),"-")</f>
        <v>-</v>
      </c>
      <c r="T261" s="79" t="str">
        <f>+IFERROR(VLOOKUP(CONCATENATE(A261,$E$10,E261),'ID1&amp;5'!B:J,9,FALSE),"-")</f>
        <v>-</v>
      </c>
      <c r="U261" s="78" t="str">
        <f>+IFERROR(VLOOKUP(F261,'ID1&amp;5'!K:L,2,FALSE),"-")</f>
        <v>-</v>
      </c>
      <c r="V261" s="79" t="str">
        <f>+IFERROR(VLOOKUP(CONCATENATE(A261,$F$10,F261),'ID1&amp;5'!B:J,9,FALSE),"-")</f>
        <v>-</v>
      </c>
      <c r="W261" s="26" t="str">
        <f>+IFERROR(VLOOKUP(A261,'ID6&amp;7'!A:I,9,FALSE),"-")</f>
        <v>-</v>
      </c>
      <c r="X261" s="26" t="str">
        <f>+IFERROR(VLOOKUP(A261,'ID6&amp;7'!A:J,10,FALSE),"-")</f>
        <v>-</v>
      </c>
      <c r="Y261" s="26"/>
      <c r="Z261" s="27" t="str">
        <f t="shared" si="5"/>
        <v>Por iniciar</v>
      </c>
      <c r="AA261" s="65"/>
    </row>
    <row r="262" spans="1:27">
      <c r="A262" s="20"/>
      <c r="B262" s="60"/>
      <c r="C262" s="60"/>
      <c r="D262" s="60"/>
      <c r="E262" s="60"/>
      <c r="F262" s="60"/>
      <c r="G262" s="60"/>
      <c r="H262" s="65" t="s">
        <v>113</v>
      </c>
      <c r="I262" s="21" t="s">
        <v>1302</v>
      </c>
      <c r="J262" s="26">
        <f>+COUNTIF('ID1&amp;5'!G:G,'1. Status'!I262)</f>
        <v>0</v>
      </c>
      <c r="K262" s="79" t="str">
        <f>+IFERROR(VLOOKUP(CONCATENATE(A262,$B$10,B262),'ID1&amp;5'!B:J,8,FALSE),"-")</f>
        <v>-</v>
      </c>
      <c r="L262" s="78" t="str">
        <f>+IFERROR(VLOOKUP(B262,'ID1&amp;5'!K:L,2,FALSE),"-")</f>
        <v>-</v>
      </c>
      <c r="M262" s="79" t="str">
        <f>+IFERROR(VLOOKUP(CONCATENATE(A262,$B$10,B262),'ID1&amp;5'!B:J,9,FALSE),"-")</f>
        <v>-</v>
      </c>
      <c r="N262" s="79" t="str">
        <f>+IFERROR(VLOOKUP(CONCATENATE(A262,$C$10,C262),'ID1&amp;5'!B:J,8,FALSE),"-")</f>
        <v>-</v>
      </c>
      <c r="O262" s="78" t="str">
        <f>+IFERROR(VLOOKUP(C262,'ID1&amp;5'!K:L,2,FALSE),"-")</f>
        <v>-</v>
      </c>
      <c r="P262" s="79" t="str">
        <f>+IFERROR(VLOOKUP(CONCATENATE(A262,$C$10,C262),'ID1&amp;5'!B:J,9,FALSE),"-")</f>
        <v>-</v>
      </c>
      <c r="Q262" s="78" t="str">
        <f>+IFERROR(VLOOKUP(D262,'ID1&amp;5'!K:L,2,FALSE),"-")</f>
        <v>-</v>
      </c>
      <c r="R262" s="26" t="str">
        <f>+IFERROR(VLOOKUP(CONCATENATE(A262,$D$10,D262),'ID1&amp;5'!B:J,9,FALSE),"-")</f>
        <v>-</v>
      </c>
      <c r="S262" s="78" t="str">
        <f>+IFERROR(VLOOKUP(E262,'ID1&amp;5'!K:L,2,FALSE),"-")</f>
        <v>-</v>
      </c>
      <c r="T262" s="79" t="str">
        <f>+IFERROR(VLOOKUP(CONCATENATE(A262,$E$10,E262),'ID1&amp;5'!B:J,9,FALSE),"-")</f>
        <v>-</v>
      </c>
      <c r="U262" s="78" t="str">
        <f>+IFERROR(VLOOKUP(F262,'ID1&amp;5'!K:L,2,FALSE),"-")</f>
        <v>-</v>
      </c>
      <c r="V262" s="79" t="str">
        <f>+IFERROR(VLOOKUP(CONCATENATE(A262,$F$10,F262),'ID1&amp;5'!B:J,9,FALSE),"-")</f>
        <v>-</v>
      </c>
      <c r="W262" s="26" t="str">
        <f>+IFERROR(VLOOKUP(A262,'ID6&amp;7'!A:I,9,FALSE),"-")</f>
        <v>-</v>
      </c>
      <c r="X262" s="26" t="str">
        <f>+IFERROR(VLOOKUP(A262,'ID6&amp;7'!A:J,10,FALSE),"-")</f>
        <v>-</v>
      </c>
      <c r="Y262" s="26"/>
      <c r="Z262" s="27" t="str">
        <f t="shared" si="5"/>
        <v>Por iniciar</v>
      </c>
      <c r="AA262" s="65"/>
    </row>
    <row r="263" spans="1:27">
      <c r="A263" s="20"/>
      <c r="B263" s="60"/>
      <c r="C263" s="60"/>
      <c r="D263" s="60"/>
      <c r="E263" s="60"/>
      <c r="F263" s="60"/>
      <c r="G263" s="60"/>
      <c r="H263" s="65" t="s">
        <v>113</v>
      </c>
      <c r="I263" s="21" t="s">
        <v>1303</v>
      </c>
      <c r="J263" s="26">
        <f>+COUNTIF('ID1&amp;5'!G:G,'1. Status'!I263)</f>
        <v>0</v>
      </c>
      <c r="K263" s="79" t="str">
        <f>+IFERROR(VLOOKUP(CONCATENATE(A263,$B$10,B263),'ID1&amp;5'!B:J,8,FALSE),"-")</f>
        <v>-</v>
      </c>
      <c r="L263" s="78" t="str">
        <f>+IFERROR(VLOOKUP(B263,'ID1&amp;5'!K:L,2,FALSE),"-")</f>
        <v>-</v>
      </c>
      <c r="M263" s="79" t="str">
        <f>+IFERROR(VLOOKUP(CONCATENATE(A263,$B$10,B263),'ID1&amp;5'!B:J,9,FALSE),"-")</f>
        <v>-</v>
      </c>
      <c r="N263" s="79" t="str">
        <f>+IFERROR(VLOOKUP(CONCATENATE(A263,$C$10,C263),'ID1&amp;5'!B:J,8,FALSE),"-")</f>
        <v>-</v>
      </c>
      <c r="O263" s="78" t="str">
        <f>+IFERROR(VLOOKUP(C263,'ID1&amp;5'!K:L,2,FALSE),"-")</f>
        <v>-</v>
      </c>
      <c r="P263" s="79" t="str">
        <f>+IFERROR(VLOOKUP(CONCATENATE(A263,$C$10,C263),'ID1&amp;5'!B:J,9,FALSE),"-")</f>
        <v>-</v>
      </c>
      <c r="Q263" s="78" t="str">
        <f>+IFERROR(VLOOKUP(D263,'ID1&amp;5'!K:L,2,FALSE),"-")</f>
        <v>-</v>
      </c>
      <c r="R263" s="26" t="str">
        <f>+IFERROR(VLOOKUP(CONCATENATE(A263,$D$10,D263),'ID1&amp;5'!B:J,9,FALSE),"-")</f>
        <v>-</v>
      </c>
      <c r="S263" s="78" t="str">
        <f>+IFERROR(VLOOKUP(E263,'ID1&amp;5'!K:L,2,FALSE),"-")</f>
        <v>-</v>
      </c>
      <c r="T263" s="79" t="str">
        <f>+IFERROR(VLOOKUP(CONCATENATE(A263,$E$10,E263),'ID1&amp;5'!B:J,9,FALSE),"-")</f>
        <v>-</v>
      </c>
      <c r="U263" s="78" t="str">
        <f>+IFERROR(VLOOKUP(F263,'ID1&amp;5'!K:L,2,FALSE),"-")</f>
        <v>-</v>
      </c>
      <c r="V263" s="79" t="str">
        <f>+IFERROR(VLOOKUP(CONCATENATE(A263,$F$10,F263),'ID1&amp;5'!B:J,9,FALSE),"-")</f>
        <v>-</v>
      </c>
      <c r="W263" s="26" t="str">
        <f>+IFERROR(VLOOKUP(A263,'ID6&amp;7'!A:I,9,FALSE),"-")</f>
        <v>-</v>
      </c>
      <c r="X263" s="26" t="str">
        <f>+IFERROR(VLOOKUP(A263,'ID6&amp;7'!A:J,10,FALSE),"-")</f>
        <v>-</v>
      </c>
      <c r="Y263" s="26"/>
      <c r="Z263" s="27" t="str">
        <f t="shared" si="5"/>
        <v>Por iniciar</v>
      </c>
      <c r="AA263" s="65"/>
    </row>
    <row r="264" spans="1:27">
      <c r="A264" s="20"/>
      <c r="B264" s="60"/>
      <c r="C264" s="60"/>
      <c r="D264" s="60"/>
      <c r="E264" s="60"/>
      <c r="F264" s="60"/>
      <c r="G264" s="60"/>
      <c r="H264" s="65" t="s">
        <v>113</v>
      </c>
      <c r="I264" s="21" t="s">
        <v>680</v>
      </c>
      <c r="J264" s="26">
        <f>+COUNTIF('ID1&amp;5'!G:G,'1. Status'!I264)</f>
        <v>0</v>
      </c>
      <c r="K264" s="79" t="str">
        <f>+IFERROR(VLOOKUP(CONCATENATE(A264,$B$10,B264),'ID1&amp;5'!B:J,8,FALSE),"-")</f>
        <v>-</v>
      </c>
      <c r="L264" s="78" t="str">
        <f>+IFERROR(VLOOKUP(B264,'ID1&amp;5'!K:L,2,FALSE),"-")</f>
        <v>-</v>
      </c>
      <c r="M264" s="79" t="str">
        <f>+IFERROR(VLOOKUP(CONCATENATE(A264,$B$10,B264),'ID1&amp;5'!B:J,9,FALSE),"-")</f>
        <v>-</v>
      </c>
      <c r="N264" s="79" t="str">
        <f>+IFERROR(VLOOKUP(CONCATENATE(A264,$C$10,C264),'ID1&amp;5'!B:J,8,FALSE),"-")</f>
        <v>-</v>
      </c>
      <c r="O264" s="78" t="str">
        <f>+IFERROR(VLOOKUP(C264,'ID1&amp;5'!K:L,2,FALSE),"-")</f>
        <v>-</v>
      </c>
      <c r="P264" s="79" t="str">
        <f>+IFERROR(VLOOKUP(CONCATENATE(A264,$C$10,C264),'ID1&amp;5'!B:J,9,FALSE),"-")</f>
        <v>-</v>
      </c>
      <c r="Q264" s="78" t="str">
        <f>+IFERROR(VLOOKUP(D264,'ID1&amp;5'!K:L,2,FALSE),"-")</f>
        <v>-</v>
      </c>
      <c r="R264" s="26" t="str">
        <f>+IFERROR(VLOOKUP(CONCATENATE(A264,$D$10,D264),'ID1&amp;5'!B:J,9,FALSE),"-")</f>
        <v>-</v>
      </c>
      <c r="S264" s="78" t="str">
        <f>+IFERROR(VLOOKUP(E264,'ID1&amp;5'!K:L,2,FALSE),"-")</f>
        <v>-</v>
      </c>
      <c r="T264" s="79" t="str">
        <f>+IFERROR(VLOOKUP(CONCATENATE(A264,$E$10,E264),'ID1&amp;5'!B:J,9,FALSE),"-")</f>
        <v>-</v>
      </c>
      <c r="U264" s="78" t="str">
        <f>+IFERROR(VLOOKUP(F264,'ID1&amp;5'!K:L,2,FALSE),"-")</f>
        <v>-</v>
      </c>
      <c r="V264" s="79" t="str">
        <f>+IFERROR(VLOOKUP(CONCATENATE(A264,$F$10,F264),'ID1&amp;5'!B:J,9,FALSE),"-")</f>
        <v>-</v>
      </c>
      <c r="W264" s="26" t="str">
        <f>+IFERROR(VLOOKUP(A264,'ID6&amp;7'!A:I,9,FALSE),"-")</f>
        <v>-</v>
      </c>
      <c r="X264" s="26" t="str">
        <f>+IFERROR(VLOOKUP(A264,'ID6&amp;7'!A:J,10,FALSE),"-")</f>
        <v>-</v>
      </c>
      <c r="Y264" s="26"/>
      <c r="Z264" s="27" t="str">
        <f t="shared" si="5"/>
        <v>Por iniciar</v>
      </c>
      <c r="AA264" s="65"/>
    </row>
    <row r="265" spans="1:27">
      <c r="A265" s="20"/>
      <c r="B265" s="60"/>
      <c r="C265" s="60"/>
      <c r="D265" s="60"/>
      <c r="E265" s="60"/>
      <c r="F265" s="60"/>
      <c r="G265" s="60"/>
      <c r="H265" s="65" t="s">
        <v>113</v>
      </c>
      <c r="I265" s="21" t="s">
        <v>690</v>
      </c>
      <c r="J265" s="26">
        <f>+COUNTIF('ID1&amp;5'!G:G,'1. Status'!I265)</f>
        <v>0</v>
      </c>
      <c r="K265" s="79" t="str">
        <f>+IFERROR(VLOOKUP(CONCATENATE(A265,$B$10,B265),'ID1&amp;5'!B:J,8,FALSE),"-")</f>
        <v>-</v>
      </c>
      <c r="L265" s="78" t="str">
        <f>+IFERROR(VLOOKUP(B265,'ID1&amp;5'!K:L,2,FALSE),"-")</f>
        <v>-</v>
      </c>
      <c r="M265" s="79" t="str">
        <f>+IFERROR(VLOOKUP(CONCATENATE(A265,$B$10,B265),'ID1&amp;5'!B:J,9,FALSE),"-")</f>
        <v>-</v>
      </c>
      <c r="N265" s="79" t="str">
        <f>+IFERROR(VLOOKUP(CONCATENATE(A265,$C$10,C265),'ID1&amp;5'!B:J,8,FALSE),"-")</f>
        <v>-</v>
      </c>
      <c r="O265" s="78" t="str">
        <f>+IFERROR(VLOOKUP(C265,'ID1&amp;5'!K:L,2,FALSE),"-")</f>
        <v>-</v>
      </c>
      <c r="P265" s="79" t="str">
        <f>+IFERROR(VLOOKUP(CONCATENATE(A265,$C$10,C265),'ID1&amp;5'!B:J,9,FALSE),"-")</f>
        <v>-</v>
      </c>
      <c r="Q265" s="78" t="str">
        <f>+IFERROR(VLOOKUP(D265,'ID1&amp;5'!K:L,2,FALSE),"-")</f>
        <v>-</v>
      </c>
      <c r="R265" s="26" t="str">
        <f>+IFERROR(VLOOKUP(CONCATENATE(A265,$D$10,D265),'ID1&amp;5'!B:J,9,FALSE),"-")</f>
        <v>-</v>
      </c>
      <c r="S265" s="78" t="str">
        <f>+IFERROR(VLOOKUP(E265,'ID1&amp;5'!K:L,2,FALSE),"-")</f>
        <v>-</v>
      </c>
      <c r="T265" s="79" t="str">
        <f>+IFERROR(VLOOKUP(CONCATENATE(A265,$E$10,E265),'ID1&amp;5'!B:J,9,FALSE),"-")</f>
        <v>-</v>
      </c>
      <c r="U265" s="78" t="str">
        <f>+IFERROR(VLOOKUP(F265,'ID1&amp;5'!K:L,2,FALSE),"-")</f>
        <v>-</v>
      </c>
      <c r="V265" s="79" t="str">
        <f>+IFERROR(VLOOKUP(CONCATENATE(A265,$F$10,F265),'ID1&amp;5'!B:J,9,FALSE),"-")</f>
        <v>-</v>
      </c>
      <c r="W265" s="26" t="str">
        <f>+IFERROR(VLOOKUP(A265,'ID6&amp;7'!A:I,9,FALSE),"-")</f>
        <v>-</v>
      </c>
      <c r="X265" s="26" t="str">
        <f>+IFERROR(VLOOKUP(A265,'ID6&amp;7'!A:J,10,FALSE),"-")</f>
        <v>-</v>
      </c>
      <c r="Y265" s="26"/>
      <c r="Z265" s="27" t="str">
        <f t="shared" si="5"/>
        <v>Por iniciar</v>
      </c>
      <c r="AA265" s="65"/>
    </row>
    <row r="266" spans="1:27">
      <c r="A266" s="20"/>
      <c r="B266" s="60"/>
      <c r="C266" s="60"/>
      <c r="D266" s="60"/>
      <c r="E266" s="60"/>
      <c r="F266" s="60"/>
      <c r="G266" s="60"/>
      <c r="H266" s="65" t="s">
        <v>113</v>
      </c>
      <c r="I266" s="21" t="s">
        <v>1304</v>
      </c>
      <c r="J266" s="26">
        <f>+COUNTIF('ID1&amp;5'!G:G,'1. Status'!I266)</f>
        <v>0</v>
      </c>
      <c r="K266" s="79" t="str">
        <f>+IFERROR(VLOOKUP(CONCATENATE(A266,$B$10,B266),'ID1&amp;5'!B:J,8,FALSE),"-")</f>
        <v>-</v>
      </c>
      <c r="L266" s="78" t="str">
        <f>+IFERROR(VLOOKUP(B266,'ID1&amp;5'!K:L,2,FALSE),"-")</f>
        <v>-</v>
      </c>
      <c r="M266" s="79" t="str">
        <f>+IFERROR(VLOOKUP(CONCATENATE(A266,$B$10,B266),'ID1&amp;5'!B:J,9,FALSE),"-")</f>
        <v>-</v>
      </c>
      <c r="N266" s="79" t="str">
        <f>+IFERROR(VLOOKUP(CONCATENATE(A266,$C$10,C266),'ID1&amp;5'!B:J,8,FALSE),"-")</f>
        <v>-</v>
      </c>
      <c r="O266" s="78" t="str">
        <f>+IFERROR(VLOOKUP(C266,'ID1&amp;5'!K:L,2,FALSE),"-")</f>
        <v>-</v>
      </c>
      <c r="P266" s="79" t="str">
        <f>+IFERROR(VLOOKUP(CONCATENATE(A266,$C$10,C266),'ID1&amp;5'!B:J,9,FALSE),"-")</f>
        <v>-</v>
      </c>
      <c r="Q266" s="78" t="str">
        <f>+IFERROR(VLOOKUP(D266,'ID1&amp;5'!K:L,2,FALSE),"-")</f>
        <v>-</v>
      </c>
      <c r="R266" s="26" t="str">
        <f>+IFERROR(VLOOKUP(CONCATENATE(A266,$D$10,D266),'ID1&amp;5'!B:J,9,FALSE),"-")</f>
        <v>-</v>
      </c>
      <c r="S266" s="78" t="str">
        <f>+IFERROR(VLOOKUP(E266,'ID1&amp;5'!K:L,2,FALSE),"-")</f>
        <v>-</v>
      </c>
      <c r="T266" s="79" t="str">
        <f>+IFERROR(VLOOKUP(CONCATENATE(A266,$E$10,E266),'ID1&amp;5'!B:J,9,FALSE),"-")</f>
        <v>-</v>
      </c>
      <c r="U266" s="78" t="str">
        <f>+IFERROR(VLOOKUP(F266,'ID1&amp;5'!K:L,2,FALSE),"-")</f>
        <v>-</v>
      </c>
      <c r="V266" s="79" t="str">
        <f>+IFERROR(VLOOKUP(CONCATENATE(A266,$F$10,F266),'ID1&amp;5'!B:J,9,FALSE),"-")</f>
        <v>-</v>
      </c>
      <c r="W266" s="26" t="str">
        <f>+IFERROR(VLOOKUP(A266,'ID6&amp;7'!A:I,9,FALSE),"-")</f>
        <v>-</v>
      </c>
      <c r="X266" s="26" t="str">
        <f>+IFERROR(VLOOKUP(A266,'ID6&amp;7'!A:J,10,FALSE),"-")</f>
        <v>-</v>
      </c>
      <c r="Y266" s="26"/>
      <c r="Z266" s="27" t="str">
        <f t="shared" si="5"/>
        <v>Por iniciar</v>
      </c>
      <c r="AA266" s="65"/>
    </row>
    <row r="267" spans="1:27">
      <c r="A267" s="20"/>
      <c r="B267" s="60"/>
      <c r="C267" s="60"/>
      <c r="D267" s="60"/>
      <c r="E267" s="60"/>
      <c r="F267" s="60"/>
      <c r="G267" s="60"/>
      <c r="H267" s="65" t="s">
        <v>113</v>
      </c>
      <c r="I267" s="21" t="s">
        <v>1305</v>
      </c>
      <c r="J267" s="26">
        <f>+COUNTIF('ID1&amp;5'!G:G,'1. Status'!I267)</f>
        <v>0</v>
      </c>
      <c r="K267" s="79" t="str">
        <f>+IFERROR(VLOOKUP(CONCATENATE(A267,$B$10,B267),'ID1&amp;5'!B:J,8,FALSE),"-")</f>
        <v>-</v>
      </c>
      <c r="L267" s="78" t="str">
        <f>+IFERROR(VLOOKUP(B267,'ID1&amp;5'!K:L,2,FALSE),"-")</f>
        <v>-</v>
      </c>
      <c r="M267" s="79" t="str">
        <f>+IFERROR(VLOOKUP(CONCATENATE(A267,$B$10,B267),'ID1&amp;5'!B:J,9,FALSE),"-")</f>
        <v>-</v>
      </c>
      <c r="N267" s="79" t="str">
        <f>+IFERROR(VLOOKUP(CONCATENATE(A267,$C$10,C267),'ID1&amp;5'!B:J,8,FALSE),"-")</f>
        <v>-</v>
      </c>
      <c r="O267" s="78" t="str">
        <f>+IFERROR(VLOOKUP(C267,'ID1&amp;5'!K:L,2,FALSE),"-")</f>
        <v>-</v>
      </c>
      <c r="P267" s="79" t="str">
        <f>+IFERROR(VLOOKUP(CONCATENATE(A267,$C$10,C267),'ID1&amp;5'!B:J,9,FALSE),"-")</f>
        <v>-</v>
      </c>
      <c r="Q267" s="78" t="str">
        <f>+IFERROR(VLOOKUP(D267,'ID1&amp;5'!K:L,2,FALSE),"-")</f>
        <v>-</v>
      </c>
      <c r="R267" s="26" t="str">
        <f>+IFERROR(VLOOKUP(CONCATENATE(A267,$D$10,D267),'ID1&amp;5'!B:J,9,FALSE),"-")</f>
        <v>-</v>
      </c>
      <c r="S267" s="78" t="str">
        <f>+IFERROR(VLOOKUP(E267,'ID1&amp;5'!K:L,2,FALSE),"-")</f>
        <v>-</v>
      </c>
      <c r="T267" s="79" t="str">
        <f>+IFERROR(VLOOKUP(CONCATENATE(A267,$E$10,E267),'ID1&amp;5'!B:J,9,FALSE),"-")</f>
        <v>-</v>
      </c>
      <c r="U267" s="78" t="str">
        <f>+IFERROR(VLOOKUP(F267,'ID1&amp;5'!K:L,2,FALSE),"-")</f>
        <v>-</v>
      </c>
      <c r="V267" s="79" t="str">
        <f>+IFERROR(VLOOKUP(CONCATENATE(A267,$F$10,F267),'ID1&amp;5'!B:J,9,FALSE),"-")</f>
        <v>-</v>
      </c>
      <c r="W267" s="26" t="str">
        <f>+IFERROR(VLOOKUP(A267,'ID6&amp;7'!A:I,9,FALSE),"-")</f>
        <v>-</v>
      </c>
      <c r="X267" s="26" t="str">
        <f>+IFERROR(VLOOKUP(A267,'ID6&amp;7'!A:J,10,FALSE),"-")</f>
        <v>-</v>
      </c>
      <c r="Y267" s="26"/>
      <c r="Z267" s="27" t="str">
        <f t="shared" si="5"/>
        <v>Por iniciar</v>
      </c>
      <c r="AA267" s="65"/>
    </row>
    <row r="268" spans="1:27">
      <c r="A268" s="20"/>
      <c r="B268" s="60"/>
      <c r="C268" s="60"/>
      <c r="D268" s="60"/>
      <c r="E268" s="60"/>
      <c r="F268" s="60"/>
      <c r="G268" s="60"/>
      <c r="H268" s="65" t="s">
        <v>113</v>
      </c>
      <c r="I268" s="21" t="s">
        <v>652</v>
      </c>
      <c r="J268" s="26">
        <f>+COUNTIF('ID1&amp;5'!G:G,'1. Status'!I268)</f>
        <v>0</v>
      </c>
      <c r="K268" s="79" t="str">
        <f>+IFERROR(VLOOKUP(CONCATENATE(A268,$B$10,B268),'ID1&amp;5'!B:J,8,FALSE),"-")</f>
        <v>-</v>
      </c>
      <c r="L268" s="78" t="str">
        <f>+IFERROR(VLOOKUP(B268,'ID1&amp;5'!K:L,2,FALSE),"-")</f>
        <v>-</v>
      </c>
      <c r="M268" s="79" t="str">
        <f>+IFERROR(VLOOKUP(CONCATENATE(A268,$B$10,B268),'ID1&amp;5'!B:J,9,FALSE),"-")</f>
        <v>-</v>
      </c>
      <c r="N268" s="79" t="str">
        <f>+IFERROR(VLOOKUP(CONCATENATE(A268,$C$10,C268),'ID1&amp;5'!B:J,8,FALSE),"-")</f>
        <v>-</v>
      </c>
      <c r="O268" s="78" t="str">
        <f>+IFERROR(VLOOKUP(C268,'ID1&amp;5'!K:L,2,FALSE),"-")</f>
        <v>-</v>
      </c>
      <c r="P268" s="79" t="str">
        <f>+IFERROR(VLOOKUP(CONCATENATE(A268,$C$10,C268),'ID1&amp;5'!B:J,9,FALSE),"-")</f>
        <v>-</v>
      </c>
      <c r="Q268" s="78" t="str">
        <f>+IFERROR(VLOOKUP(D268,'ID1&amp;5'!K:L,2,FALSE),"-")</f>
        <v>-</v>
      </c>
      <c r="R268" s="26" t="str">
        <f>+IFERROR(VLOOKUP(CONCATENATE(A268,$D$10,D268),'ID1&amp;5'!B:J,9,FALSE),"-")</f>
        <v>-</v>
      </c>
      <c r="S268" s="78" t="str">
        <f>+IFERROR(VLOOKUP(E268,'ID1&amp;5'!K:L,2,FALSE),"-")</f>
        <v>-</v>
      </c>
      <c r="T268" s="79" t="str">
        <f>+IFERROR(VLOOKUP(CONCATENATE(A268,$E$10,E268),'ID1&amp;5'!B:J,9,FALSE),"-")</f>
        <v>-</v>
      </c>
      <c r="U268" s="78" t="str">
        <f>+IFERROR(VLOOKUP(F268,'ID1&amp;5'!K:L,2,FALSE),"-")</f>
        <v>-</v>
      </c>
      <c r="V268" s="79" t="str">
        <f>+IFERROR(VLOOKUP(CONCATENATE(A268,$F$10,F268),'ID1&amp;5'!B:J,9,FALSE),"-")</f>
        <v>-</v>
      </c>
      <c r="W268" s="26" t="str">
        <f>+IFERROR(VLOOKUP(A268,'ID6&amp;7'!A:I,9,FALSE),"-")</f>
        <v>-</v>
      </c>
      <c r="X268" s="26" t="str">
        <f>+IFERROR(VLOOKUP(A268,'ID6&amp;7'!A:J,10,FALSE),"-")</f>
        <v>-</v>
      </c>
      <c r="Y268" s="26"/>
      <c r="Z268" s="27" t="str">
        <f t="shared" si="5"/>
        <v>Por iniciar</v>
      </c>
      <c r="AA268" s="65"/>
    </row>
    <row r="269" spans="1:27">
      <c r="A269" s="20"/>
      <c r="B269" s="60"/>
      <c r="C269" s="60"/>
      <c r="D269" s="60"/>
      <c r="E269" s="60"/>
      <c r="F269" s="60"/>
      <c r="G269" s="60"/>
      <c r="H269" s="65" t="s">
        <v>113</v>
      </c>
      <c r="I269" s="21" t="s">
        <v>653</v>
      </c>
      <c r="J269" s="26">
        <f>+COUNTIF('ID1&amp;5'!G:G,'1. Status'!I269)</f>
        <v>0</v>
      </c>
      <c r="K269" s="79" t="str">
        <f>+IFERROR(VLOOKUP(CONCATENATE(A269,$B$10,B269),'ID1&amp;5'!B:J,8,FALSE),"-")</f>
        <v>-</v>
      </c>
      <c r="L269" s="78" t="str">
        <f>+IFERROR(VLOOKUP(B269,'ID1&amp;5'!K:L,2,FALSE),"-")</f>
        <v>-</v>
      </c>
      <c r="M269" s="79" t="str">
        <f>+IFERROR(VLOOKUP(CONCATENATE(A269,$B$10,B269),'ID1&amp;5'!B:J,9,FALSE),"-")</f>
        <v>-</v>
      </c>
      <c r="N269" s="79" t="str">
        <f>+IFERROR(VLOOKUP(CONCATENATE(A269,$C$10,C269),'ID1&amp;5'!B:J,8,FALSE),"-")</f>
        <v>-</v>
      </c>
      <c r="O269" s="78" t="str">
        <f>+IFERROR(VLOOKUP(C269,'ID1&amp;5'!K:L,2,FALSE),"-")</f>
        <v>-</v>
      </c>
      <c r="P269" s="79" t="str">
        <f>+IFERROR(VLOOKUP(CONCATENATE(A269,$C$10,C269),'ID1&amp;5'!B:J,9,FALSE),"-")</f>
        <v>-</v>
      </c>
      <c r="Q269" s="78" t="str">
        <f>+IFERROR(VLOOKUP(D269,'ID1&amp;5'!K:L,2,FALSE),"-")</f>
        <v>-</v>
      </c>
      <c r="R269" s="26" t="str">
        <f>+IFERROR(VLOOKUP(CONCATENATE(A269,$D$10,D269),'ID1&amp;5'!B:J,9,FALSE),"-")</f>
        <v>-</v>
      </c>
      <c r="S269" s="78" t="str">
        <f>+IFERROR(VLOOKUP(E269,'ID1&amp;5'!K:L,2,FALSE),"-")</f>
        <v>-</v>
      </c>
      <c r="T269" s="79" t="str">
        <f>+IFERROR(VLOOKUP(CONCATENATE(A269,$E$10,E269),'ID1&amp;5'!B:J,9,FALSE),"-")</f>
        <v>-</v>
      </c>
      <c r="U269" s="78" t="str">
        <f>+IFERROR(VLOOKUP(F269,'ID1&amp;5'!K:L,2,FALSE),"-")</f>
        <v>-</v>
      </c>
      <c r="V269" s="79" t="str">
        <f>+IFERROR(VLOOKUP(CONCATENATE(A269,$F$10,F269),'ID1&amp;5'!B:J,9,FALSE),"-")</f>
        <v>-</v>
      </c>
      <c r="W269" s="26" t="str">
        <f>+IFERROR(VLOOKUP(A269,'ID6&amp;7'!A:I,9,FALSE),"-")</f>
        <v>-</v>
      </c>
      <c r="X269" s="26" t="str">
        <f>+IFERROR(VLOOKUP(A269,'ID6&amp;7'!A:J,10,FALSE),"-")</f>
        <v>-</v>
      </c>
      <c r="Y269" s="26"/>
      <c r="Z269" s="27" t="str">
        <f t="shared" si="5"/>
        <v>Por iniciar</v>
      </c>
      <c r="AA269" s="65"/>
    </row>
    <row r="270" spans="1:27">
      <c r="A270" s="20"/>
      <c r="B270" s="60"/>
      <c r="C270" s="60"/>
      <c r="D270" s="60"/>
      <c r="E270" s="60"/>
      <c r="F270" s="60"/>
      <c r="G270" s="60"/>
      <c r="H270" s="65" t="s">
        <v>113</v>
      </c>
      <c r="I270" s="21" t="s">
        <v>1306</v>
      </c>
      <c r="J270" s="26">
        <f>+COUNTIF('ID1&amp;5'!G:G,'1. Status'!I270)</f>
        <v>0</v>
      </c>
      <c r="K270" s="79" t="str">
        <f>+IFERROR(VLOOKUP(CONCATENATE(A270,$B$10,B270),'ID1&amp;5'!B:J,8,FALSE),"-")</f>
        <v>-</v>
      </c>
      <c r="L270" s="78" t="str">
        <f>+IFERROR(VLOOKUP(B270,'ID1&amp;5'!K:L,2,FALSE),"-")</f>
        <v>-</v>
      </c>
      <c r="M270" s="79" t="str">
        <f>+IFERROR(VLOOKUP(CONCATENATE(A270,$B$10,B270),'ID1&amp;5'!B:J,9,FALSE),"-")</f>
        <v>-</v>
      </c>
      <c r="N270" s="79" t="str">
        <f>+IFERROR(VLOOKUP(CONCATENATE(A270,$C$10,C270),'ID1&amp;5'!B:J,8,FALSE),"-")</f>
        <v>-</v>
      </c>
      <c r="O270" s="78" t="str">
        <f>+IFERROR(VLOOKUP(C270,'ID1&amp;5'!K:L,2,FALSE),"-")</f>
        <v>-</v>
      </c>
      <c r="P270" s="79" t="str">
        <f>+IFERROR(VLOOKUP(CONCATENATE(A270,$C$10,C270),'ID1&amp;5'!B:J,9,FALSE),"-")</f>
        <v>-</v>
      </c>
      <c r="Q270" s="78" t="str">
        <f>+IFERROR(VLOOKUP(D270,'ID1&amp;5'!K:L,2,FALSE),"-")</f>
        <v>-</v>
      </c>
      <c r="R270" s="26" t="str">
        <f>+IFERROR(VLOOKUP(CONCATENATE(A270,$D$10,D270),'ID1&amp;5'!B:J,9,FALSE),"-")</f>
        <v>-</v>
      </c>
      <c r="S270" s="78" t="str">
        <f>+IFERROR(VLOOKUP(E270,'ID1&amp;5'!K:L,2,FALSE),"-")</f>
        <v>-</v>
      </c>
      <c r="T270" s="79" t="str">
        <f>+IFERROR(VLOOKUP(CONCATENATE(A270,$E$10,E270),'ID1&amp;5'!B:J,9,FALSE),"-")</f>
        <v>-</v>
      </c>
      <c r="U270" s="78" t="str">
        <f>+IFERROR(VLOOKUP(F270,'ID1&amp;5'!K:L,2,FALSE),"-")</f>
        <v>-</v>
      </c>
      <c r="V270" s="79" t="str">
        <f>+IFERROR(VLOOKUP(CONCATENATE(A270,$F$10,F270),'ID1&amp;5'!B:J,9,FALSE),"-")</f>
        <v>-</v>
      </c>
      <c r="W270" s="26" t="str">
        <f>+IFERROR(VLOOKUP(A270,'ID6&amp;7'!A:I,9,FALSE),"-")</f>
        <v>-</v>
      </c>
      <c r="X270" s="26" t="str">
        <f>+IFERROR(VLOOKUP(A270,'ID6&amp;7'!A:J,10,FALSE),"-")</f>
        <v>-</v>
      </c>
      <c r="Y270" s="26"/>
      <c r="Z270" s="27" t="str">
        <f t="shared" si="5"/>
        <v>Por iniciar</v>
      </c>
      <c r="AA270" s="65"/>
    </row>
    <row r="271" spans="1:27">
      <c r="A271" s="20"/>
      <c r="B271" s="60"/>
      <c r="C271" s="60"/>
      <c r="D271" s="60"/>
      <c r="E271" s="60"/>
      <c r="F271" s="60"/>
      <c r="G271" s="60"/>
      <c r="H271" s="65" t="s">
        <v>113</v>
      </c>
      <c r="I271" s="21" t="s">
        <v>1307</v>
      </c>
      <c r="J271" s="26">
        <f>+COUNTIF('ID1&amp;5'!G:G,'1. Status'!I271)</f>
        <v>0</v>
      </c>
      <c r="K271" s="79" t="str">
        <f>+IFERROR(VLOOKUP(CONCATENATE(A271,$B$10,B271),'ID1&amp;5'!B:J,8,FALSE),"-")</f>
        <v>-</v>
      </c>
      <c r="L271" s="78" t="str">
        <f>+IFERROR(VLOOKUP(B271,'ID1&amp;5'!K:L,2,FALSE),"-")</f>
        <v>-</v>
      </c>
      <c r="M271" s="79" t="str">
        <f>+IFERROR(VLOOKUP(CONCATENATE(A271,$B$10,B271),'ID1&amp;5'!B:J,9,FALSE),"-")</f>
        <v>-</v>
      </c>
      <c r="N271" s="79" t="str">
        <f>+IFERROR(VLOOKUP(CONCATENATE(A271,$C$10,C271),'ID1&amp;5'!B:J,8,FALSE),"-")</f>
        <v>-</v>
      </c>
      <c r="O271" s="78" t="str">
        <f>+IFERROR(VLOOKUP(C271,'ID1&amp;5'!K:L,2,FALSE),"-")</f>
        <v>-</v>
      </c>
      <c r="P271" s="79" t="str">
        <f>+IFERROR(VLOOKUP(CONCATENATE(A271,$C$10,C271),'ID1&amp;5'!B:J,9,FALSE),"-")</f>
        <v>-</v>
      </c>
      <c r="Q271" s="78" t="str">
        <f>+IFERROR(VLOOKUP(D271,'ID1&amp;5'!K:L,2,FALSE),"-")</f>
        <v>-</v>
      </c>
      <c r="R271" s="26" t="str">
        <f>+IFERROR(VLOOKUP(CONCATENATE(A271,$D$10,D271),'ID1&amp;5'!B:J,9,FALSE),"-")</f>
        <v>-</v>
      </c>
      <c r="S271" s="78" t="str">
        <f>+IFERROR(VLOOKUP(E271,'ID1&amp;5'!K:L,2,FALSE),"-")</f>
        <v>-</v>
      </c>
      <c r="T271" s="79" t="str">
        <f>+IFERROR(VLOOKUP(CONCATENATE(A271,$E$10,E271),'ID1&amp;5'!B:J,9,FALSE),"-")</f>
        <v>-</v>
      </c>
      <c r="U271" s="78" t="str">
        <f>+IFERROR(VLOOKUP(F271,'ID1&amp;5'!K:L,2,FALSE),"-")</f>
        <v>-</v>
      </c>
      <c r="V271" s="79" t="str">
        <f>+IFERROR(VLOOKUP(CONCATENATE(A271,$F$10,F271),'ID1&amp;5'!B:J,9,FALSE),"-")</f>
        <v>-</v>
      </c>
      <c r="W271" s="26" t="str">
        <f>+IFERROR(VLOOKUP(A271,'ID6&amp;7'!A:I,9,FALSE),"-")</f>
        <v>-</v>
      </c>
      <c r="X271" s="26" t="str">
        <f>+IFERROR(VLOOKUP(A271,'ID6&amp;7'!A:J,10,FALSE),"-")</f>
        <v>-</v>
      </c>
      <c r="Y271" s="26"/>
      <c r="Z271" s="27" t="str">
        <f t="shared" si="5"/>
        <v>Por iniciar</v>
      </c>
      <c r="AA271" s="65"/>
    </row>
    <row r="272" spans="1:27">
      <c r="A272" s="20"/>
      <c r="B272" s="60"/>
      <c r="C272" s="60"/>
      <c r="D272" s="60"/>
      <c r="E272" s="60"/>
      <c r="F272" s="60"/>
      <c r="G272" s="60"/>
      <c r="H272" s="65" t="s">
        <v>113</v>
      </c>
      <c r="I272" s="21" t="s">
        <v>1308</v>
      </c>
      <c r="J272" s="26">
        <f>+COUNTIF('ID1&amp;5'!G:G,'1. Status'!I272)</f>
        <v>0</v>
      </c>
      <c r="K272" s="79" t="str">
        <f>+IFERROR(VLOOKUP(CONCATENATE(A272,$B$10,B272),'ID1&amp;5'!B:J,8,FALSE),"-")</f>
        <v>-</v>
      </c>
      <c r="L272" s="78" t="str">
        <f>+IFERROR(VLOOKUP(B272,'ID1&amp;5'!K:L,2,FALSE),"-")</f>
        <v>-</v>
      </c>
      <c r="M272" s="79" t="str">
        <f>+IFERROR(VLOOKUP(CONCATENATE(A272,$B$10,B272),'ID1&amp;5'!B:J,9,FALSE),"-")</f>
        <v>-</v>
      </c>
      <c r="N272" s="79" t="str">
        <f>+IFERROR(VLOOKUP(CONCATENATE(A272,$C$10,C272),'ID1&amp;5'!B:J,8,FALSE),"-")</f>
        <v>-</v>
      </c>
      <c r="O272" s="78" t="str">
        <f>+IFERROR(VLOOKUP(C272,'ID1&amp;5'!K:L,2,FALSE),"-")</f>
        <v>-</v>
      </c>
      <c r="P272" s="79" t="str">
        <f>+IFERROR(VLOOKUP(CONCATENATE(A272,$C$10,C272),'ID1&amp;5'!B:J,9,FALSE),"-")</f>
        <v>-</v>
      </c>
      <c r="Q272" s="78" t="str">
        <f>+IFERROR(VLOOKUP(D272,'ID1&amp;5'!K:L,2,FALSE),"-")</f>
        <v>-</v>
      </c>
      <c r="R272" s="26" t="str">
        <f>+IFERROR(VLOOKUP(CONCATENATE(A272,$D$10,D272),'ID1&amp;5'!B:J,9,FALSE),"-")</f>
        <v>-</v>
      </c>
      <c r="S272" s="78" t="str">
        <f>+IFERROR(VLOOKUP(E272,'ID1&amp;5'!K:L,2,FALSE),"-")</f>
        <v>-</v>
      </c>
      <c r="T272" s="79" t="str">
        <f>+IFERROR(VLOOKUP(CONCATENATE(A272,$E$10,E272),'ID1&amp;5'!B:J,9,FALSE),"-")</f>
        <v>-</v>
      </c>
      <c r="U272" s="78" t="str">
        <f>+IFERROR(VLOOKUP(F272,'ID1&amp;5'!K:L,2,FALSE),"-")</f>
        <v>-</v>
      </c>
      <c r="V272" s="79" t="str">
        <f>+IFERROR(VLOOKUP(CONCATENATE(A272,$F$10,F272),'ID1&amp;5'!B:J,9,FALSE),"-")</f>
        <v>-</v>
      </c>
      <c r="W272" s="26" t="str">
        <f>+IFERROR(VLOOKUP(A272,'ID6&amp;7'!A:I,9,FALSE),"-")</f>
        <v>-</v>
      </c>
      <c r="X272" s="26" t="str">
        <f>+IFERROR(VLOOKUP(A272,'ID6&amp;7'!A:J,10,FALSE),"-")</f>
        <v>-</v>
      </c>
      <c r="Y272" s="26"/>
      <c r="Z272" s="27" t="str">
        <f t="shared" si="5"/>
        <v>Por iniciar</v>
      </c>
      <c r="AA272" s="65"/>
    </row>
    <row r="273" spans="1:27">
      <c r="A273" s="20"/>
      <c r="B273" s="60"/>
      <c r="C273" s="60"/>
      <c r="D273" s="60"/>
      <c r="E273" s="60"/>
      <c r="F273" s="60"/>
      <c r="G273" s="60"/>
      <c r="H273" s="65" t="s">
        <v>113</v>
      </c>
      <c r="I273" s="21" t="s">
        <v>1309</v>
      </c>
      <c r="J273" s="26">
        <f>+COUNTIF('ID1&amp;5'!G:G,'1. Status'!I273)</f>
        <v>0</v>
      </c>
      <c r="K273" s="79" t="str">
        <f>+IFERROR(VLOOKUP(CONCATENATE(A273,$B$10,B273),'ID1&amp;5'!B:J,8,FALSE),"-")</f>
        <v>-</v>
      </c>
      <c r="L273" s="78" t="str">
        <f>+IFERROR(VLOOKUP(B273,'ID1&amp;5'!K:L,2,FALSE),"-")</f>
        <v>-</v>
      </c>
      <c r="M273" s="79" t="str">
        <f>+IFERROR(VLOOKUP(CONCATENATE(A273,$B$10,B273),'ID1&amp;5'!B:J,9,FALSE),"-")</f>
        <v>-</v>
      </c>
      <c r="N273" s="79" t="str">
        <f>+IFERROR(VLOOKUP(CONCATENATE(A273,$C$10,C273),'ID1&amp;5'!B:J,8,FALSE),"-")</f>
        <v>-</v>
      </c>
      <c r="O273" s="78" t="str">
        <f>+IFERROR(VLOOKUP(C273,'ID1&amp;5'!K:L,2,FALSE),"-")</f>
        <v>-</v>
      </c>
      <c r="P273" s="79" t="str">
        <f>+IFERROR(VLOOKUP(CONCATENATE(A273,$C$10,C273),'ID1&amp;5'!B:J,9,FALSE),"-")</f>
        <v>-</v>
      </c>
      <c r="Q273" s="78" t="str">
        <f>+IFERROR(VLOOKUP(D273,'ID1&amp;5'!K:L,2,FALSE),"-")</f>
        <v>-</v>
      </c>
      <c r="R273" s="26" t="str">
        <f>+IFERROR(VLOOKUP(CONCATENATE(A273,$D$10,D273),'ID1&amp;5'!B:J,9,FALSE),"-")</f>
        <v>-</v>
      </c>
      <c r="S273" s="78" t="str">
        <f>+IFERROR(VLOOKUP(E273,'ID1&amp;5'!K:L,2,FALSE),"-")</f>
        <v>-</v>
      </c>
      <c r="T273" s="79" t="str">
        <f>+IFERROR(VLOOKUP(CONCATENATE(A273,$E$10,E273),'ID1&amp;5'!B:J,9,FALSE),"-")</f>
        <v>-</v>
      </c>
      <c r="U273" s="78" t="str">
        <f>+IFERROR(VLOOKUP(F273,'ID1&amp;5'!K:L,2,FALSE),"-")</f>
        <v>-</v>
      </c>
      <c r="V273" s="79" t="str">
        <f>+IFERROR(VLOOKUP(CONCATENATE(A273,$F$10,F273),'ID1&amp;5'!B:J,9,FALSE),"-")</f>
        <v>-</v>
      </c>
      <c r="W273" s="26" t="str">
        <f>+IFERROR(VLOOKUP(A273,'ID6&amp;7'!A:I,9,FALSE),"-")</f>
        <v>-</v>
      </c>
      <c r="X273" s="26" t="str">
        <f>+IFERROR(VLOOKUP(A273,'ID6&amp;7'!A:J,10,FALSE),"-")</f>
        <v>-</v>
      </c>
      <c r="Y273" s="26"/>
      <c r="Z273" s="27" t="str">
        <f t="shared" si="5"/>
        <v>Por iniciar</v>
      </c>
      <c r="AA273" s="65"/>
    </row>
    <row r="274" spans="1:27">
      <c r="A274" s="20"/>
      <c r="B274" s="60"/>
      <c r="C274" s="60"/>
      <c r="D274" s="60"/>
      <c r="E274" s="60"/>
      <c r="F274" s="60"/>
      <c r="G274" s="60"/>
      <c r="H274" s="65" t="s">
        <v>113</v>
      </c>
      <c r="I274" s="21" t="s">
        <v>1310</v>
      </c>
      <c r="J274" s="26">
        <f>+COUNTIF('ID1&amp;5'!G:G,'1. Status'!I274)</f>
        <v>0</v>
      </c>
      <c r="K274" s="79" t="str">
        <f>+IFERROR(VLOOKUP(CONCATENATE(A274,$B$10,B274),'ID1&amp;5'!B:J,8,FALSE),"-")</f>
        <v>-</v>
      </c>
      <c r="L274" s="78" t="str">
        <f>+IFERROR(VLOOKUP(B274,'ID1&amp;5'!K:L,2,FALSE),"-")</f>
        <v>-</v>
      </c>
      <c r="M274" s="79" t="str">
        <f>+IFERROR(VLOOKUP(CONCATENATE(A274,$B$10,B274),'ID1&amp;5'!B:J,9,FALSE),"-")</f>
        <v>-</v>
      </c>
      <c r="N274" s="79" t="str">
        <f>+IFERROR(VLOOKUP(CONCATENATE(A274,$C$10,C274),'ID1&amp;5'!B:J,8,FALSE),"-")</f>
        <v>-</v>
      </c>
      <c r="O274" s="78" t="str">
        <f>+IFERROR(VLOOKUP(C274,'ID1&amp;5'!K:L,2,FALSE),"-")</f>
        <v>-</v>
      </c>
      <c r="P274" s="79" t="str">
        <f>+IFERROR(VLOOKUP(CONCATENATE(A274,$C$10,C274),'ID1&amp;5'!B:J,9,FALSE),"-")</f>
        <v>-</v>
      </c>
      <c r="Q274" s="78" t="str">
        <f>+IFERROR(VLOOKUP(D274,'ID1&amp;5'!K:L,2,FALSE),"-")</f>
        <v>-</v>
      </c>
      <c r="R274" s="26" t="str">
        <f>+IFERROR(VLOOKUP(CONCATENATE(A274,$D$10,D274),'ID1&amp;5'!B:J,9,FALSE),"-")</f>
        <v>-</v>
      </c>
      <c r="S274" s="78" t="str">
        <f>+IFERROR(VLOOKUP(E274,'ID1&amp;5'!K:L,2,FALSE),"-")</f>
        <v>-</v>
      </c>
      <c r="T274" s="79" t="str">
        <f>+IFERROR(VLOOKUP(CONCATENATE(A274,$E$10,E274),'ID1&amp;5'!B:J,9,FALSE),"-")</f>
        <v>-</v>
      </c>
      <c r="U274" s="78" t="str">
        <f>+IFERROR(VLOOKUP(F274,'ID1&amp;5'!K:L,2,FALSE),"-")</f>
        <v>-</v>
      </c>
      <c r="V274" s="79" t="str">
        <f>+IFERROR(VLOOKUP(CONCATENATE(A274,$F$10,F274),'ID1&amp;5'!B:J,9,FALSE),"-")</f>
        <v>-</v>
      </c>
      <c r="W274" s="26" t="str">
        <f>+IFERROR(VLOOKUP(A274,'ID6&amp;7'!A:I,9,FALSE),"-")</f>
        <v>-</v>
      </c>
      <c r="X274" s="26" t="str">
        <f>+IFERROR(VLOOKUP(A274,'ID6&amp;7'!A:J,10,FALSE),"-")</f>
        <v>-</v>
      </c>
      <c r="Y274" s="26"/>
      <c r="Z274" s="27" t="str">
        <f t="shared" si="5"/>
        <v>Por iniciar</v>
      </c>
      <c r="AA274" s="65"/>
    </row>
    <row r="275" spans="1:27">
      <c r="A275" s="20"/>
      <c r="B275" s="60"/>
      <c r="C275" s="60"/>
      <c r="D275" s="60"/>
      <c r="E275" s="60"/>
      <c r="F275" s="60"/>
      <c r="G275" s="60"/>
      <c r="H275" s="65" t="s">
        <v>113</v>
      </c>
      <c r="I275" s="21" t="s">
        <v>1311</v>
      </c>
      <c r="J275" s="26">
        <f>+COUNTIF('ID1&amp;5'!G:G,'1. Status'!I275)</f>
        <v>0</v>
      </c>
      <c r="K275" s="79" t="str">
        <f>+IFERROR(VLOOKUP(CONCATENATE(A275,$B$10,B275),'ID1&amp;5'!B:J,8,FALSE),"-")</f>
        <v>-</v>
      </c>
      <c r="L275" s="78" t="str">
        <f>+IFERROR(VLOOKUP(B275,'ID1&amp;5'!K:L,2,FALSE),"-")</f>
        <v>-</v>
      </c>
      <c r="M275" s="79" t="str">
        <f>+IFERROR(VLOOKUP(CONCATENATE(A275,$B$10,B275),'ID1&amp;5'!B:J,9,FALSE),"-")</f>
        <v>-</v>
      </c>
      <c r="N275" s="79" t="str">
        <f>+IFERROR(VLOOKUP(CONCATENATE(A275,$C$10,C275),'ID1&amp;5'!B:J,8,FALSE),"-")</f>
        <v>-</v>
      </c>
      <c r="O275" s="78" t="str">
        <f>+IFERROR(VLOOKUP(C275,'ID1&amp;5'!K:L,2,FALSE),"-")</f>
        <v>-</v>
      </c>
      <c r="P275" s="79" t="str">
        <f>+IFERROR(VLOOKUP(CONCATENATE(A275,$C$10,C275),'ID1&amp;5'!B:J,9,FALSE),"-")</f>
        <v>-</v>
      </c>
      <c r="Q275" s="78" t="str">
        <f>+IFERROR(VLOOKUP(D275,'ID1&amp;5'!K:L,2,FALSE),"-")</f>
        <v>-</v>
      </c>
      <c r="R275" s="26" t="str">
        <f>+IFERROR(VLOOKUP(CONCATENATE(A275,$D$10,D275),'ID1&amp;5'!B:J,9,FALSE),"-")</f>
        <v>-</v>
      </c>
      <c r="S275" s="78" t="str">
        <f>+IFERROR(VLOOKUP(E275,'ID1&amp;5'!K:L,2,FALSE),"-")</f>
        <v>-</v>
      </c>
      <c r="T275" s="79" t="str">
        <f>+IFERROR(VLOOKUP(CONCATENATE(A275,$E$10,E275),'ID1&amp;5'!B:J,9,FALSE),"-")</f>
        <v>-</v>
      </c>
      <c r="U275" s="78" t="str">
        <f>+IFERROR(VLOOKUP(F275,'ID1&amp;5'!K:L,2,FALSE),"-")</f>
        <v>-</v>
      </c>
      <c r="V275" s="79" t="str">
        <f>+IFERROR(VLOOKUP(CONCATENATE(A275,$F$10,F275),'ID1&amp;5'!B:J,9,FALSE),"-")</f>
        <v>-</v>
      </c>
      <c r="W275" s="26" t="str">
        <f>+IFERROR(VLOOKUP(A275,'ID6&amp;7'!A:I,9,FALSE),"-")</f>
        <v>-</v>
      </c>
      <c r="X275" s="26" t="str">
        <f>+IFERROR(VLOOKUP(A275,'ID6&amp;7'!A:J,10,FALSE),"-")</f>
        <v>-</v>
      </c>
      <c r="Y275" s="26"/>
      <c r="Z275" s="27" t="str">
        <f t="shared" si="5"/>
        <v>Por iniciar</v>
      </c>
      <c r="AA275" s="65"/>
    </row>
    <row r="276" spans="1:27">
      <c r="A276" s="20"/>
      <c r="B276" s="60"/>
      <c r="C276" s="60"/>
      <c r="D276" s="60"/>
      <c r="E276" s="60"/>
      <c r="F276" s="60"/>
      <c r="G276" s="60"/>
      <c r="H276" s="65" t="s">
        <v>113</v>
      </c>
      <c r="I276" s="21" t="s">
        <v>1312</v>
      </c>
      <c r="J276" s="26">
        <f>+COUNTIF('ID1&amp;5'!G:G,'1. Status'!I276)</f>
        <v>0</v>
      </c>
      <c r="K276" s="79" t="str">
        <f>+IFERROR(VLOOKUP(CONCATENATE(A276,$B$10,B276),'ID1&amp;5'!B:J,8,FALSE),"-")</f>
        <v>-</v>
      </c>
      <c r="L276" s="78" t="str">
        <f>+IFERROR(VLOOKUP(B276,'ID1&amp;5'!K:L,2,FALSE),"-")</f>
        <v>-</v>
      </c>
      <c r="M276" s="79" t="str">
        <f>+IFERROR(VLOOKUP(CONCATENATE(A276,$B$10,B276),'ID1&amp;5'!B:J,9,FALSE),"-")</f>
        <v>-</v>
      </c>
      <c r="N276" s="79" t="str">
        <f>+IFERROR(VLOOKUP(CONCATENATE(A276,$C$10,C276),'ID1&amp;5'!B:J,8,FALSE),"-")</f>
        <v>-</v>
      </c>
      <c r="O276" s="78" t="str">
        <f>+IFERROR(VLOOKUP(C276,'ID1&amp;5'!K:L,2,FALSE),"-")</f>
        <v>-</v>
      </c>
      <c r="P276" s="79" t="str">
        <f>+IFERROR(VLOOKUP(CONCATENATE(A276,$C$10,C276),'ID1&amp;5'!B:J,9,FALSE),"-")</f>
        <v>-</v>
      </c>
      <c r="Q276" s="78" t="str">
        <f>+IFERROR(VLOOKUP(D276,'ID1&amp;5'!K:L,2,FALSE),"-")</f>
        <v>-</v>
      </c>
      <c r="R276" s="26" t="str">
        <f>+IFERROR(VLOOKUP(CONCATENATE(A276,$D$10,D276),'ID1&amp;5'!B:J,9,FALSE),"-")</f>
        <v>-</v>
      </c>
      <c r="S276" s="78" t="str">
        <f>+IFERROR(VLOOKUP(E276,'ID1&amp;5'!K:L,2,FALSE),"-")</f>
        <v>-</v>
      </c>
      <c r="T276" s="79" t="str">
        <f>+IFERROR(VLOOKUP(CONCATENATE(A276,$E$10,E276),'ID1&amp;5'!B:J,9,FALSE),"-")</f>
        <v>-</v>
      </c>
      <c r="U276" s="78" t="str">
        <f>+IFERROR(VLOOKUP(F276,'ID1&amp;5'!K:L,2,FALSE),"-")</f>
        <v>-</v>
      </c>
      <c r="V276" s="79" t="str">
        <f>+IFERROR(VLOOKUP(CONCATENATE(A276,$F$10,F276),'ID1&amp;5'!B:J,9,FALSE),"-")</f>
        <v>-</v>
      </c>
      <c r="W276" s="26" t="str">
        <f>+IFERROR(VLOOKUP(A276,'ID6&amp;7'!A:I,9,FALSE),"-")</f>
        <v>-</v>
      </c>
      <c r="X276" s="26" t="str">
        <f>+IFERROR(VLOOKUP(A276,'ID6&amp;7'!A:J,10,FALSE),"-")</f>
        <v>-</v>
      </c>
      <c r="Y276" s="26"/>
      <c r="Z276" s="27" t="str">
        <f t="shared" si="5"/>
        <v>Por iniciar</v>
      </c>
      <c r="AA276" s="65"/>
    </row>
    <row r="277" spans="1:27">
      <c r="A277" s="20"/>
      <c r="B277" s="60"/>
      <c r="C277" s="60"/>
      <c r="D277" s="60"/>
      <c r="E277" s="60"/>
      <c r="F277" s="60"/>
      <c r="G277" s="60"/>
      <c r="H277" s="65" t="s">
        <v>113</v>
      </c>
      <c r="I277" s="21" t="s">
        <v>1313</v>
      </c>
      <c r="J277" s="26">
        <f>+COUNTIF('ID1&amp;5'!G:G,'1. Status'!I277)</f>
        <v>0</v>
      </c>
      <c r="K277" s="79" t="str">
        <f>+IFERROR(VLOOKUP(CONCATENATE(A277,$B$10,B277),'ID1&amp;5'!B:J,8,FALSE),"-")</f>
        <v>-</v>
      </c>
      <c r="L277" s="78" t="str">
        <f>+IFERROR(VLOOKUP(B277,'ID1&amp;5'!K:L,2,FALSE),"-")</f>
        <v>-</v>
      </c>
      <c r="M277" s="79" t="str">
        <f>+IFERROR(VLOOKUP(CONCATENATE(A277,$B$10,B277),'ID1&amp;5'!B:J,9,FALSE),"-")</f>
        <v>-</v>
      </c>
      <c r="N277" s="79" t="str">
        <f>+IFERROR(VLOOKUP(CONCATENATE(A277,$C$10,C277),'ID1&amp;5'!B:J,8,FALSE),"-")</f>
        <v>-</v>
      </c>
      <c r="O277" s="78" t="str">
        <f>+IFERROR(VLOOKUP(C277,'ID1&amp;5'!K:L,2,FALSE),"-")</f>
        <v>-</v>
      </c>
      <c r="P277" s="79" t="str">
        <f>+IFERROR(VLOOKUP(CONCATENATE(A277,$C$10,C277),'ID1&amp;5'!B:J,9,FALSE),"-")</f>
        <v>-</v>
      </c>
      <c r="Q277" s="78" t="str">
        <f>+IFERROR(VLOOKUP(D277,'ID1&amp;5'!K:L,2,FALSE),"-")</f>
        <v>-</v>
      </c>
      <c r="R277" s="26" t="str">
        <f>+IFERROR(VLOOKUP(CONCATENATE(A277,$D$10,D277),'ID1&amp;5'!B:J,9,FALSE),"-")</f>
        <v>-</v>
      </c>
      <c r="S277" s="78" t="str">
        <f>+IFERROR(VLOOKUP(E277,'ID1&amp;5'!K:L,2,FALSE),"-")</f>
        <v>-</v>
      </c>
      <c r="T277" s="79" t="str">
        <f>+IFERROR(VLOOKUP(CONCATENATE(A277,$E$10,E277),'ID1&amp;5'!B:J,9,FALSE),"-")</f>
        <v>-</v>
      </c>
      <c r="U277" s="78" t="str">
        <f>+IFERROR(VLOOKUP(F277,'ID1&amp;5'!K:L,2,FALSE),"-")</f>
        <v>-</v>
      </c>
      <c r="V277" s="79" t="str">
        <f>+IFERROR(VLOOKUP(CONCATENATE(A277,$F$10,F277),'ID1&amp;5'!B:J,9,FALSE),"-")</f>
        <v>-</v>
      </c>
      <c r="W277" s="26" t="str">
        <f>+IFERROR(VLOOKUP(A277,'ID6&amp;7'!A:I,9,FALSE),"-")</f>
        <v>-</v>
      </c>
      <c r="X277" s="26" t="str">
        <f>+IFERROR(VLOOKUP(A277,'ID6&amp;7'!A:J,10,FALSE),"-")</f>
        <v>-</v>
      </c>
      <c r="Y277" s="26"/>
      <c r="Z277" s="27" t="str">
        <f t="shared" si="5"/>
        <v>Por iniciar</v>
      </c>
      <c r="AA277" s="65"/>
    </row>
    <row r="278" spans="1:27">
      <c r="A278" s="20"/>
      <c r="B278" s="60"/>
      <c r="C278" s="60"/>
      <c r="D278" s="60"/>
      <c r="E278" s="60"/>
      <c r="F278" s="60"/>
      <c r="G278" s="60"/>
      <c r="H278" s="65" t="s">
        <v>113</v>
      </c>
      <c r="I278" s="21" t="s">
        <v>1314</v>
      </c>
      <c r="J278" s="26">
        <f>+COUNTIF('ID1&amp;5'!G:G,'1. Status'!I278)</f>
        <v>0</v>
      </c>
      <c r="K278" s="79" t="str">
        <f>+IFERROR(VLOOKUP(CONCATENATE(A278,$B$10,B278),'ID1&amp;5'!B:J,8,FALSE),"-")</f>
        <v>-</v>
      </c>
      <c r="L278" s="78" t="str">
        <f>+IFERROR(VLOOKUP(B278,'ID1&amp;5'!K:L,2,FALSE),"-")</f>
        <v>-</v>
      </c>
      <c r="M278" s="79" t="str">
        <f>+IFERROR(VLOOKUP(CONCATENATE(A278,$B$10,B278),'ID1&amp;5'!B:J,9,FALSE),"-")</f>
        <v>-</v>
      </c>
      <c r="N278" s="79" t="str">
        <f>+IFERROR(VLOOKUP(CONCATENATE(A278,$C$10,C278),'ID1&amp;5'!B:J,8,FALSE),"-")</f>
        <v>-</v>
      </c>
      <c r="O278" s="78" t="str">
        <f>+IFERROR(VLOOKUP(C278,'ID1&amp;5'!K:L,2,FALSE),"-")</f>
        <v>-</v>
      </c>
      <c r="P278" s="79" t="str">
        <f>+IFERROR(VLOOKUP(CONCATENATE(A278,$C$10,C278),'ID1&amp;5'!B:J,9,FALSE),"-")</f>
        <v>-</v>
      </c>
      <c r="Q278" s="78" t="str">
        <f>+IFERROR(VLOOKUP(D278,'ID1&amp;5'!K:L,2,FALSE),"-")</f>
        <v>-</v>
      </c>
      <c r="R278" s="26" t="str">
        <f>+IFERROR(VLOOKUP(CONCATENATE(A278,$D$10,D278),'ID1&amp;5'!B:J,9,FALSE),"-")</f>
        <v>-</v>
      </c>
      <c r="S278" s="78" t="str">
        <f>+IFERROR(VLOOKUP(E278,'ID1&amp;5'!K:L,2,FALSE),"-")</f>
        <v>-</v>
      </c>
      <c r="T278" s="79" t="str">
        <f>+IFERROR(VLOOKUP(CONCATENATE(A278,$E$10,E278),'ID1&amp;5'!B:J,9,FALSE),"-")</f>
        <v>-</v>
      </c>
      <c r="U278" s="78" t="str">
        <f>+IFERROR(VLOOKUP(F278,'ID1&amp;5'!K:L,2,FALSE),"-")</f>
        <v>-</v>
      </c>
      <c r="V278" s="79" t="str">
        <f>+IFERROR(VLOOKUP(CONCATENATE(A278,$F$10,F278),'ID1&amp;5'!B:J,9,FALSE),"-")</f>
        <v>-</v>
      </c>
      <c r="W278" s="26" t="str">
        <f>+IFERROR(VLOOKUP(A278,'ID6&amp;7'!A:I,9,FALSE),"-")</f>
        <v>-</v>
      </c>
      <c r="X278" s="26" t="str">
        <f>+IFERROR(VLOOKUP(A278,'ID6&amp;7'!A:J,10,FALSE),"-")</f>
        <v>-</v>
      </c>
      <c r="Y278" s="26"/>
      <c r="Z278" s="27" t="str">
        <f t="shared" si="5"/>
        <v>Por iniciar</v>
      </c>
      <c r="AA278" s="65"/>
    </row>
    <row r="279" spans="1:27">
      <c r="A279" s="20"/>
      <c r="B279" s="60"/>
      <c r="C279" s="60"/>
      <c r="D279" s="60"/>
      <c r="E279" s="60"/>
      <c r="F279" s="60"/>
      <c r="G279" s="60"/>
      <c r="H279" s="65" t="s">
        <v>113</v>
      </c>
      <c r="I279" s="21" t="s">
        <v>1315</v>
      </c>
      <c r="J279" s="26">
        <f>+COUNTIF('ID1&amp;5'!G:G,'1. Status'!I279)</f>
        <v>0</v>
      </c>
      <c r="K279" s="79" t="str">
        <f>+IFERROR(VLOOKUP(CONCATENATE(A279,$B$10,B279),'ID1&amp;5'!B:J,8,FALSE),"-")</f>
        <v>-</v>
      </c>
      <c r="L279" s="78" t="str">
        <f>+IFERROR(VLOOKUP(B279,'ID1&amp;5'!K:L,2,FALSE),"-")</f>
        <v>-</v>
      </c>
      <c r="M279" s="79" t="str">
        <f>+IFERROR(VLOOKUP(CONCATENATE(A279,$B$10,B279),'ID1&amp;5'!B:J,9,FALSE),"-")</f>
        <v>-</v>
      </c>
      <c r="N279" s="79" t="str">
        <f>+IFERROR(VLOOKUP(CONCATENATE(A279,$C$10,C279),'ID1&amp;5'!B:J,8,FALSE),"-")</f>
        <v>-</v>
      </c>
      <c r="O279" s="78" t="str">
        <f>+IFERROR(VLOOKUP(C279,'ID1&amp;5'!K:L,2,FALSE),"-")</f>
        <v>-</v>
      </c>
      <c r="P279" s="79" t="str">
        <f>+IFERROR(VLOOKUP(CONCATENATE(A279,$C$10,C279),'ID1&amp;5'!B:J,9,FALSE),"-")</f>
        <v>-</v>
      </c>
      <c r="Q279" s="78" t="str">
        <f>+IFERROR(VLOOKUP(D279,'ID1&amp;5'!K:L,2,FALSE),"-")</f>
        <v>-</v>
      </c>
      <c r="R279" s="26" t="str">
        <f>+IFERROR(VLOOKUP(CONCATENATE(A279,$D$10,D279),'ID1&amp;5'!B:J,9,FALSE),"-")</f>
        <v>-</v>
      </c>
      <c r="S279" s="78" t="str">
        <f>+IFERROR(VLOOKUP(E279,'ID1&amp;5'!K:L,2,FALSE),"-")</f>
        <v>-</v>
      </c>
      <c r="T279" s="79" t="str">
        <f>+IFERROR(VLOOKUP(CONCATENATE(A279,$E$10,E279),'ID1&amp;5'!B:J,9,FALSE),"-")</f>
        <v>-</v>
      </c>
      <c r="U279" s="78" t="str">
        <f>+IFERROR(VLOOKUP(F279,'ID1&amp;5'!K:L,2,FALSE),"-")</f>
        <v>-</v>
      </c>
      <c r="V279" s="79" t="str">
        <f>+IFERROR(VLOOKUP(CONCATENATE(A279,$F$10,F279),'ID1&amp;5'!B:J,9,FALSE),"-")</f>
        <v>-</v>
      </c>
      <c r="W279" s="26" t="str">
        <f>+IFERROR(VLOOKUP(A279,'ID6&amp;7'!A:I,9,FALSE),"-")</f>
        <v>-</v>
      </c>
      <c r="X279" s="26" t="str">
        <f>+IFERROR(VLOOKUP(A279,'ID6&amp;7'!A:J,10,FALSE),"-")</f>
        <v>-</v>
      </c>
      <c r="Y279" s="26"/>
      <c r="Z279" s="27" t="str">
        <f t="shared" si="5"/>
        <v>Por iniciar</v>
      </c>
      <c r="AA279" s="65"/>
    </row>
    <row r="280" spans="1:27">
      <c r="A280" s="20"/>
      <c r="B280" s="60"/>
      <c r="C280" s="60"/>
      <c r="D280" s="60"/>
      <c r="E280" s="60"/>
      <c r="F280" s="60"/>
      <c r="G280" s="60"/>
      <c r="H280" s="65" t="s">
        <v>113</v>
      </c>
      <c r="I280" s="21" t="s">
        <v>1316</v>
      </c>
      <c r="J280" s="26">
        <f>+COUNTIF('ID1&amp;5'!G:G,'1. Status'!I280)</f>
        <v>0</v>
      </c>
      <c r="K280" s="79" t="str">
        <f>+IFERROR(VLOOKUP(CONCATENATE(A280,$B$10,B280),'ID1&amp;5'!B:J,8,FALSE),"-")</f>
        <v>-</v>
      </c>
      <c r="L280" s="78" t="str">
        <f>+IFERROR(VLOOKUP(B280,'ID1&amp;5'!K:L,2,FALSE),"-")</f>
        <v>-</v>
      </c>
      <c r="M280" s="79" t="str">
        <f>+IFERROR(VLOOKUP(CONCATENATE(A280,$B$10,B280),'ID1&amp;5'!B:J,9,FALSE),"-")</f>
        <v>-</v>
      </c>
      <c r="N280" s="79" t="str">
        <f>+IFERROR(VLOOKUP(CONCATENATE(A280,$C$10,C280),'ID1&amp;5'!B:J,8,FALSE),"-")</f>
        <v>-</v>
      </c>
      <c r="O280" s="78" t="str">
        <f>+IFERROR(VLOOKUP(C280,'ID1&amp;5'!K:L,2,FALSE),"-")</f>
        <v>-</v>
      </c>
      <c r="P280" s="79" t="str">
        <f>+IFERROR(VLOOKUP(CONCATENATE(A280,$C$10,C280),'ID1&amp;5'!B:J,9,FALSE),"-")</f>
        <v>-</v>
      </c>
      <c r="Q280" s="78" t="str">
        <f>+IFERROR(VLOOKUP(D280,'ID1&amp;5'!K:L,2,FALSE),"-")</f>
        <v>-</v>
      </c>
      <c r="R280" s="26" t="str">
        <f>+IFERROR(VLOOKUP(CONCATENATE(A280,$D$10,D280),'ID1&amp;5'!B:J,9,FALSE),"-")</f>
        <v>-</v>
      </c>
      <c r="S280" s="78" t="str">
        <f>+IFERROR(VLOOKUP(E280,'ID1&amp;5'!K:L,2,FALSE),"-")</f>
        <v>-</v>
      </c>
      <c r="T280" s="79" t="str">
        <f>+IFERROR(VLOOKUP(CONCATENATE(A280,$E$10,E280),'ID1&amp;5'!B:J,9,FALSE),"-")</f>
        <v>-</v>
      </c>
      <c r="U280" s="78" t="str">
        <f>+IFERROR(VLOOKUP(F280,'ID1&amp;5'!K:L,2,FALSE),"-")</f>
        <v>-</v>
      </c>
      <c r="V280" s="79" t="str">
        <f>+IFERROR(VLOOKUP(CONCATENATE(A280,$F$10,F280),'ID1&amp;5'!B:J,9,FALSE),"-")</f>
        <v>-</v>
      </c>
      <c r="W280" s="26" t="str">
        <f>+IFERROR(VLOOKUP(A280,'ID6&amp;7'!A:I,9,FALSE),"-")</f>
        <v>-</v>
      </c>
      <c r="X280" s="26" t="str">
        <f>+IFERROR(VLOOKUP(A280,'ID6&amp;7'!A:J,10,FALSE),"-")</f>
        <v>-</v>
      </c>
      <c r="Y280" s="26"/>
      <c r="Z280" s="27" t="str">
        <f t="shared" si="5"/>
        <v>Por iniciar</v>
      </c>
      <c r="AA280" s="65"/>
    </row>
    <row r="281" spans="1:27">
      <c r="A281" s="20"/>
      <c r="B281" s="60"/>
      <c r="C281" s="60"/>
      <c r="D281" s="60"/>
      <c r="E281" s="60"/>
      <c r="F281" s="60"/>
      <c r="G281" s="60"/>
      <c r="H281" s="65" t="s">
        <v>113</v>
      </c>
      <c r="I281" s="21" t="s">
        <v>1317</v>
      </c>
      <c r="J281" s="26">
        <f>+COUNTIF('ID1&amp;5'!G:G,'1. Status'!I281)</f>
        <v>0</v>
      </c>
      <c r="K281" s="79" t="str">
        <f>+IFERROR(VLOOKUP(CONCATENATE(A281,$B$10,B281),'ID1&amp;5'!B:J,8,FALSE),"-")</f>
        <v>-</v>
      </c>
      <c r="L281" s="78" t="str">
        <f>+IFERROR(VLOOKUP(B281,'ID1&amp;5'!K:L,2,FALSE),"-")</f>
        <v>-</v>
      </c>
      <c r="M281" s="79" t="str">
        <f>+IFERROR(VLOOKUP(CONCATENATE(A281,$B$10,B281),'ID1&amp;5'!B:J,9,FALSE),"-")</f>
        <v>-</v>
      </c>
      <c r="N281" s="79" t="str">
        <f>+IFERROR(VLOOKUP(CONCATENATE(A281,$C$10,C281),'ID1&amp;5'!B:J,8,FALSE),"-")</f>
        <v>-</v>
      </c>
      <c r="O281" s="78" t="str">
        <f>+IFERROR(VLOOKUP(C281,'ID1&amp;5'!K:L,2,FALSE),"-")</f>
        <v>-</v>
      </c>
      <c r="P281" s="79" t="str">
        <f>+IFERROR(VLOOKUP(CONCATENATE(A281,$C$10,C281),'ID1&amp;5'!B:J,9,FALSE),"-")</f>
        <v>-</v>
      </c>
      <c r="Q281" s="78" t="str">
        <f>+IFERROR(VLOOKUP(D281,'ID1&amp;5'!K:L,2,FALSE),"-")</f>
        <v>-</v>
      </c>
      <c r="R281" s="26" t="str">
        <f>+IFERROR(VLOOKUP(CONCATENATE(A281,$D$10,D281),'ID1&amp;5'!B:J,9,FALSE),"-")</f>
        <v>-</v>
      </c>
      <c r="S281" s="78" t="str">
        <f>+IFERROR(VLOOKUP(E281,'ID1&amp;5'!K:L,2,FALSE),"-")</f>
        <v>-</v>
      </c>
      <c r="T281" s="79" t="str">
        <f>+IFERROR(VLOOKUP(CONCATENATE(A281,$E$10,E281),'ID1&amp;5'!B:J,9,FALSE),"-")</f>
        <v>-</v>
      </c>
      <c r="U281" s="78" t="str">
        <f>+IFERROR(VLOOKUP(F281,'ID1&amp;5'!K:L,2,FALSE),"-")</f>
        <v>-</v>
      </c>
      <c r="V281" s="79" t="str">
        <f>+IFERROR(VLOOKUP(CONCATENATE(A281,$F$10,F281),'ID1&amp;5'!B:J,9,FALSE),"-")</f>
        <v>-</v>
      </c>
      <c r="W281" s="26" t="str">
        <f>+IFERROR(VLOOKUP(A281,'ID6&amp;7'!A:I,9,FALSE),"-")</f>
        <v>-</v>
      </c>
      <c r="X281" s="26" t="str">
        <f>+IFERROR(VLOOKUP(A281,'ID6&amp;7'!A:J,10,FALSE),"-")</f>
        <v>-</v>
      </c>
      <c r="Y281" s="26"/>
      <c r="Z281" s="27" t="str">
        <f t="shared" si="5"/>
        <v>Por iniciar</v>
      </c>
      <c r="AA281" s="65"/>
    </row>
    <row r="282" spans="1:27">
      <c r="A282" s="20"/>
      <c r="B282" s="60"/>
      <c r="C282" s="60"/>
      <c r="D282" s="60"/>
      <c r="E282" s="60"/>
      <c r="F282" s="60"/>
      <c r="G282" s="60"/>
      <c r="H282" s="65" t="s">
        <v>113</v>
      </c>
      <c r="I282" s="21" t="s">
        <v>654</v>
      </c>
      <c r="J282" s="26">
        <f>+COUNTIF('ID1&amp;5'!G:G,'1. Status'!I282)</f>
        <v>0</v>
      </c>
      <c r="K282" s="79" t="str">
        <f>+IFERROR(VLOOKUP(CONCATENATE(A282,$B$10,B282),'ID1&amp;5'!B:J,8,FALSE),"-")</f>
        <v>-</v>
      </c>
      <c r="L282" s="78" t="str">
        <f>+IFERROR(VLOOKUP(B282,'ID1&amp;5'!K:L,2,FALSE),"-")</f>
        <v>-</v>
      </c>
      <c r="M282" s="79" t="str">
        <f>+IFERROR(VLOOKUP(CONCATENATE(A282,$B$10,B282),'ID1&amp;5'!B:J,9,FALSE),"-")</f>
        <v>-</v>
      </c>
      <c r="N282" s="79" t="str">
        <f>+IFERROR(VLOOKUP(CONCATENATE(A282,$C$10,C282),'ID1&amp;5'!B:J,8,FALSE),"-")</f>
        <v>-</v>
      </c>
      <c r="O282" s="78" t="str">
        <f>+IFERROR(VLOOKUP(C282,'ID1&amp;5'!K:L,2,FALSE),"-")</f>
        <v>-</v>
      </c>
      <c r="P282" s="79" t="str">
        <f>+IFERROR(VLOOKUP(CONCATENATE(A282,$C$10,C282),'ID1&amp;5'!B:J,9,FALSE),"-")</f>
        <v>-</v>
      </c>
      <c r="Q282" s="78" t="str">
        <f>+IFERROR(VLOOKUP(D282,'ID1&amp;5'!K:L,2,FALSE),"-")</f>
        <v>-</v>
      </c>
      <c r="R282" s="26" t="str">
        <f>+IFERROR(VLOOKUP(CONCATENATE(A282,$D$10,D282),'ID1&amp;5'!B:J,9,FALSE),"-")</f>
        <v>-</v>
      </c>
      <c r="S282" s="78" t="str">
        <f>+IFERROR(VLOOKUP(E282,'ID1&amp;5'!K:L,2,FALSE),"-")</f>
        <v>-</v>
      </c>
      <c r="T282" s="79" t="str">
        <f>+IFERROR(VLOOKUP(CONCATENATE(A282,$E$10,E282),'ID1&amp;5'!B:J,9,FALSE),"-")</f>
        <v>-</v>
      </c>
      <c r="U282" s="78" t="str">
        <f>+IFERROR(VLOOKUP(F282,'ID1&amp;5'!K:L,2,FALSE),"-")</f>
        <v>-</v>
      </c>
      <c r="V282" s="79" t="str">
        <f>+IFERROR(VLOOKUP(CONCATENATE(A282,$F$10,F282),'ID1&amp;5'!B:J,9,FALSE),"-")</f>
        <v>-</v>
      </c>
      <c r="W282" s="26" t="str">
        <f>+IFERROR(VLOOKUP(A282,'ID6&amp;7'!A:I,9,FALSE),"-")</f>
        <v>-</v>
      </c>
      <c r="X282" s="26" t="str">
        <f>+IFERROR(VLOOKUP(A282,'ID6&amp;7'!A:J,10,FALSE),"-")</f>
        <v>-</v>
      </c>
      <c r="Y282" s="26"/>
      <c r="Z282" s="27" t="str">
        <f t="shared" si="5"/>
        <v>Por iniciar</v>
      </c>
      <c r="AA282" s="65"/>
    </row>
    <row r="283" spans="1:27">
      <c r="A283" s="20"/>
      <c r="B283" s="60"/>
      <c r="C283" s="60"/>
      <c r="D283" s="60"/>
      <c r="E283" s="60"/>
      <c r="F283" s="60"/>
      <c r="G283" s="60"/>
      <c r="H283" s="65" t="s">
        <v>113</v>
      </c>
      <c r="I283" s="21" t="s">
        <v>1318</v>
      </c>
      <c r="J283" s="26">
        <f>+COUNTIF('ID1&amp;5'!G:G,'1. Status'!I283)</f>
        <v>0</v>
      </c>
      <c r="K283" s="79" t="str">
        <f>+IFERROR(VLOOKUP(CONCATENATE(A283,$B$10,B283),'ID1&amp;5'!B:J,8,FALSE),"-")</f>
        <v>-</v>
      </c>
      <c r="L283" s="78" t="str">
        <f>+IFERROR(VLOOKUP(B283,'ID1&amp;5'!K:L,2,FALSE),"-")</f>
        <v>-</v>
      </c>
      <c r="M283" s="79" t="str">
        <f>+IFERROR(VLOOKUP(CONCATENATE(A283,$B$10,B283),'ID1&amp;5'!B:J,9,FALSE),"-")</f>
        <v>-</v>
      </c>
      <c r="N283" s="79" t="str">
        <f>+IFERROR(VLOOKUP(CONCATENATE(A283,$C$10,C283),'ID1&amp;5'!B:J,8,FALSE),"-")</f>
        <v>-</v>
      </c>
      <c r="O283" s="78" t="str">
        <f>+IFERROR(VLOOKUP(C283,'ID1&amp;5'!K:L,2,FALSE),"-")</f>
        <v>-</v>
      </c>
      <c r="P283" s="79" t="str">
        <f>+IFERROR(VLOOKUP(CONCATENATE(A283,$C$10,C283),'ID1&amp;5'!B:J,9,FALSE),"-")</f>
        <v>-</v>
      </c>
      <c r="Q283" s="78" t="str">
        <f>+IFERROR(VLOOKUP(D283,'ID1&amp;5'!K:L,2,FALSE),"-")</f>
        <v>-</v>
      </c>
      <c r="R283" s="26" t="str">
        <f>+IFERROR(VLOOKUP(CONCATENATE(A283,$D$10,D283),'ID1&amp;5'!B:J,9,FALSE),"-")</f>
        <v>-</v>
      </c>
      <c r="S283" s="78" t="str">
        <f>+IFERROR(VLOOKUP(E283,'ID1&amp;5'!K:L,2,FALSE),"-")</f>
        <v>-</v>
      </c>
      <c r="T283" s="79" t="str">
        <f>+IFERROR(VLOOKUP(CONCATENATE(A283,$E$10,E283),'ID1&amp;5'!B:J,9,FALSE),"-")</f>
        <v>-</v>
      </c>
      <c r="U283" s="78" t="str">
        <f>+IFERROR(VLOOKUP(F283,'ID1&amp;5'!K:L,2,FALSE),"-")</f>
        <v>-</v>
      </c>
      <c r="V283" s="79" t="str">
        <f>+IFERROR(VLOOKUP(CONCATENATE(A283,$F$10,F283),'ID1&amp;5'!B:J,9,FALSE),"-")</f>
        <v>-</v>
      </c>
      <c r="W283" s="26" t="str">
        <f>+IFERROR(VLOOKUP(A283,'ID6&amp;7'!A:I,9,FALSE),"-")</f>
        <v>-</v>
      </c>
      <c r="X283" s="26" t="str">
        <f>+IFERROR(VLOOKUP(A283,'ID6&amp;7'!A:J,10,FALSE),"-")</f>
        <v>-</v>
      </c>
      <c r="Y283" s="26"/>
      <c r="Z283" s="27" t="str">
        <f t="shared" si="5"/>
        <v>Por iniciar</v>
      </c>
      <c r="AA283" s="65"/>
    </row>
    <row r="284" spans="1:27">
      <c r="A284" s="20"/>
      <c r="B284" s="60"/>
      <c r="C284" s="60"/>
      <c r="D284" s="60"/>
      <c r="E284" s="60"/>
      <c r="F284" s="60"/>
      <c r="G284" s="60"/>
      <c r="H284" s="65" t="s">
        <v>113</v>
      </c>
      <c r="I284" s="21" t="s">
        <v>1319</v>
      </c>
      <c r="J284" s="26">
        <f>+COUNTIF('ID1&amp;5'!G:G,'1. Status'!I284)</f>
        <v>0</v>
      </c>
      <c r="K284" s="79" t="str">
        <f>+IFERROR(VLOOKUP(CONCATENATE(A284,$B$10,B284),'ID1&amp;5'!B:J,8,FALSE),"-")</f>
        <v>-</v>
      </c>
      <c r="L284" s="78" t="str">
        <f>+IFERROR(VLOOKUP(B284,'ID1&amp;5'!K:L,2,FALSE),"-")</f>
        <v>-</v>
      </c>
      <c r="M284" s="79" t="str">
        <f>+IFERROR(VLOOKUP(CONCATENATE(A284,$B$10,B284),'ID1&amp;5'!B:J,9,FALSE),"-")</f>
        <v>-</v>
      </c>
      <c r="N284" s="79" t="str">
        <f>+IFERROR(VLOOKUP(CONCATENATE(A284,$C$10,C284),'ID1&amp;5'!B:J,8,FALSE),"-")</f>
        <v>-</v>
      </c>
      <c r="O284" s="78" t="str">
        <f>+IFERROR(VLOOKUP(C284,'ID1&amp;5'!K:L,2,FALSE),"-")</f>
        <v>-</v>
      </c>
      <c r="P284" s="79" t="str">
        <f>+IFERROR(VLOOKUP(CONCATENATE(A284,$C$10,C284),'ID1&amp;5'!B:J,9,FALSE),"-")</f>
        <v>-</v>
      </c>
      <c r="Q284" s="78" t="str">
        <f>+IFERROR(VLOOKUP(D284,'ID1&amp;5'!K:L,2,FALSE),"-")</f>
        <v>-</v>
      </c>
      <c r="R284" s="26" t="str">
        <f>+IFERROR(VLOOKUP(CONCATENATE(A284,$D$10,D284),'ID1&amp;5'!B:J,9,FALSE),"-")</f>
        <v>-</v>
      </c>
      <c r="S284" s="78" t="str">
        <f>+IFERROR(VLOOKUP(E284,'ID1&amp;5'!K:L,2,FALSE),"-")</f>
        <v>-</v>
      </c>
      <c r="T284" s="79" t="str">
        <f>+IFERROR(VLOOKUP(CONCATENATE(A284,$E$10,E284),'ID1&amp;5'!B:J,9,FALSE),"-")</f>
        <v>-</v>
      </c>
      <c r="U284" s="78" t="str">
        <f>+IFERROR(VLOOKUP(F284,'ID1&amp;5'!K:L,2,FALSE),"-")</f>
        <v>-</v>
      </c>
      <c r="V284" s="79" t="str">
        <f>+IFERROR(VLOOKUP(CONCATENATE(A284,$F$10,F284),'ID1&amp;5'!B:J,9,FALSE),"-")</f>
        <v>-</v>
      </c>
      <c r="W284" s="26" t="str">
        <f>+IFERROR(VLOOKUP(A284,'ID6&amp;7'!A:I,9,FALSE),"-")</f>
        <v>-</v>
      </c>
      <c r="X284" s="26" t="str">
        <f>+IFERROR(VLOOKUP(A284,'ID6&amp;7'!A:J,10,FALSE),"-")</f>
        <v>-</v>
      </c>
      <c r="Y284" s="26"/>
      <c r="Z284" s="27" t="str">
        <f t="shared" si="5"/>
        <v>Por iniciar</v>
      </c>
      <c r="AA284" s="65"/>
    </row>
    <row r="285" spans="1:27">
      <c r="A285" s="20"/>
      <c r="B285" s="60"/>
      <c r="C285" s="60"/>
      <c r="D285" s="60"/>
      <c r="E285" s="60"/>
      <c r="F285" s="60"/>
      <c r="G285" s="60"/>
      <c r="H285" s="65" t="s">
        <v>113</v>
      </c>
      <c r="I285" s="21" t="s">
        <v>1320</v>
      </c>
      <c r="J285" s="26">
        <f>+COUNTIF('ID1&amp;5'!G:G,'1. Status'!I285)</f>
        <v>0</v>
      </c>
      <c r="K285" s="79" t="str">
        <f>+IFERROR(VLOOKUP(CONCATENATE(A285,$B$10,B285),'ID1&amp;5'!B:J,8,FALSE),"-")</f>
        <v>-</v>
      </c>
      <c r="L285" s="78" t="str">
        <f>+IFERROR(VLOOKUP(B285,'ID1&amp;5'!K:L,2,FALSE),"-")</f>
        <v>-</v>
      </c>
      <c r="M285" s="79" t="str">
        <f>+IFERROR(VLOOKUP(CONCATENATE(A285,$B$10,B285),'ID1&amp;5'!B:J,9,FALSE),"-")</f>
        <v>-</v>
      </c>
      <c r="N285" s="79" t="str">
        <f>+IFERROR(VLOOKUP(CONCATENATE(A285,$C$10,C285),'ID1&amp;5'!B:J,8,FALSE),"-")</f>
        <v>-</v>
      </c>
      <c r="O285" s="78" t="str">
        <f>+IFERROR(VLOOKUP(C285,'ID1&amp;5'!K:L,2,FALSE),"-")</f>
        <v>-</v>
      </c>
      <c r="P285" s="79" t="str">
        <f>+IFERROR(VLOOKUP(CONCATENATE(A285,$C$10,C285),'ID1&amp;5'!B:J,9,FALSE),"-")</f>
        <v>-</v>
      </c>
      <c r="Q285" s="78" t="str">
        <f>+IFERROR(VLOOKUP(D285,'ID1&amp;5'!K:L,2,FALSE),"-")</f>
        <v>-</v>
      </c>
      <c r="R285" s="26" t="str">
        <f>+IFERROR(VLOOKUP(CONCATENATE(A285,$D$10,D285),'ID1&amp;5'!B:J,9,FALSE),"-")</f>
        <v>-</v>
      </c>
      <c r="S285" s="78" t="str">
        <f>+IFERROR(VLOOKUP(E285,'ID1&amp;5'!K:L,2,FALSE),"-")</f>
        <v>-</v>
      </c>
      <c r="T285" s="79" t="str">
        <f>+IFERROR(VLOOKUP(CONCATENATE(A285,$E$10,E285),'ID1&amp;5'!B:J,9,FALSE),"-")</f>
        <v>-</v>
      </c>
      <c r="U285" s="78" t="str">
        <f>+IFERROR(VLOOKUP(F285,'ID1&amp;5'!K:L,2,FALSE),"-")</f>
        <v>-</v>
      </c>
      <c r="V285" s="79" t="str">
        <f>+IFERROR(VLOOKUP(CONCATENATE(A285,$F$10,F285),'ID1&amp;5'!B:J,9,FALSE),"-")</f>
        <v>-</v>
      </c>
      <c r="W285" s="26" t="str">
        <f>+IFERROR(VLOOKUP(A285,'ID6&amp;7'!A:I,9,FALSE),"-")</f>
        <v>-</v>
      </c>
      <c r="X285" s="26" t="str">
        <f>+IFERROR(VLOOKUP(A285,'ID6&amp;7'!A:J,10,FALSE),"-")</f>
        <v>-</v>
      </c>
      <c r="Y285" s="26"/>
      <c r="Z285" s="27" t="str">
        <f t="shared" si="5"/>
        <v>Por iniciar</v>
      </c>
      <c r="AA285" s="65"/>
    </row>
    <row r="286" spans="1:27">
      <c r="A286" s="20"/>
      <c r="B286" s="60"/>
      <c r="C286" s="60"/>
      <c r="D286" s="60"/>
      <c r="E286" s="60"/>
      <c r="F286" s="60"/>
      <c r="G286" s="60"/>
      <c r="H286" s="65" t="s">
        <v>113</v>
      </c>
      <c r="I286" s="21" t="s">
        <v>1321</v>
      </c>
      <c r="J286" s="26">
        <f>+COUNTIF('ID1&amp;5'!G:G,'1. Status'!I286)</f>
        <v>0</v>
      </c>
      <c r="K286" s="79" t="str">
        <f>+IFERROR(VLOOKUP(CONCATENATE(A286,$B$10,B286),'ID1&amp;5'!B:J,8,FALSE),"-")</f>
        <v>-</v>
      </c>
      <c r="L286" s="78" t="str">
        <f>+IFERROR(VLOOKUP(B286,'ID1&amp;5'!K:L,2,FALSE),"-")</f>
        <v>-</v>
      </c>
      <c r="M286" s="79" t="str">
        <f>+IFERROR(VLOOKUP(CONCATENATE(A286,$B$10,B286),'ID1&amp;5'!B:J,9,FALSE),"-")</f>
        <v>-</v>
      </c>
      <c r="N286" s="79" t="str">
        <f>+IFERROR(VLOOKUP(CONCATENATE(A286,$C$10,C286),'ID1&amp;5'!B:J,8,FALSE),"-")</f>
        <v>-</v>
      </c>
      <c r="O286" s="78" t="str">
        <f>+IFERROR(VLOOKUP(C286,'ID1&amp;5'!K:L,2,FALSE),"-")</f>
        <v>-</v>
      </c>
      <c r="P286" s="79" t="str">
        <f>+IFERROR(VLOOKUP(CONCATENATE(A286,$C$10,C286),'ID1&amp;5'!B:J,9,FALSE),"-")</f>
        <v>-</v>
      </c>
      <c r="Q286" s="78" t="str">
        <f>+IFERROR(VLOOKUP(D286,'ID1&amp;5'!K:L,2,FALSE),"-")</f>
        <v>-</v>
      </c>
      <c r="R286" s="26" t="str">
        <f>+IFERROR(VLOOKUP(CONCATENATE(A286,$D$10,D286),'ID1&amp;5'!B:J,9,FALSE),"-")</f>
        <v>-</v>
      </c>
      <c r="S286" s="78" t="str">
        <f>+IFERROR(VLOOKUP(E286,'ID1&amp;5'!K:L,2,FALSE),"-")</f>
        <v>-</v>
      </c>
      <c r="T286" s="79" t="str">
        <f>+IFERROR(VLOOKUP(CONCATENATE(A286,$E$10,E286),'ID1&amp;5'!B:J,9,FALSE),"-")</f>
        <v>-</v>
      </c>
      <c r="U286" s="78" t="str">
        <f>+IFERROR(VLOOKUP(F286,'ID1&amp;5'!K:L,2,FALSE),"-")</f>
        <v>-</v>
      </c>
      <c r="V286" s="79" t="str">
        <f>+IFERROR(VLOOKUP(CONCATENATE(A286,$F$10,F286),'ID1&amp;5'!B:J,9,FALSE),"-")</f>
        <v>-</v>
      </c>
      <c r="W286" s="26" t="str">
        <f>+IFERROR(VLOOKUP(A286,'ID6&amp;7'!A:I,9,FALSE),"-")</f>
        <v>-</v>
      </c>
      <c r="X286" s="26" t="str">
        <f>+IFERROR(VLOOKUP(A286,'ID6&amp;7'!A:J,10,FALSE),"-")</f>
        <v>-</v>
      </c>
      <c r="Y286" s="26"/>
      <c r="Z286" s="27" t="str">
        <f t="shared" si="5"/>
        <v>Por iniciar</v>
      </c>
      <c r="AA286" s="65"/>
    </row>
    <row r="287" spans="1:27">
      <c r="A287" s="20"/>
      <c r="B287" s="60"/>
      <c r="C287" s="60"/>
      <c r="D287" s="60"/>
      <c r="E287" s="60"/>
      <c r="F287" s="60"/>
      <c r="G287" s="60"/>
      <c r="H287" s="65" t="s">
        <v>113</v>
      </c>
      <c r="I287" s="21" t="s">
        <v>1322</v>
      </c>
      <c r="J287" s="26">
        <f>+COUNTIF('ID1&amp;5'!G:G,'1. Status'!I287)</f>
        <v>0</v>
      </c>
      <c r="K287" s="79" t="str">
        <f>+IFERROR(VLOOKUP(CONCATENATE(A287,$B$10,B287),'ID1&amp;5'!B:J,8,FALSE),"-")</f>
        <v>-</v>
      </c>
      <c r="L287" s="78" t="str">
        <f>+IFERROR(VLOOKUP(B287,'ID1&amp;5'!K:L,2,FALSE),"-")</f>
        <v>-</v>
      </c>
      <c r="M287" s="79" t="str">
        <f>+IFERROR(VLOOKUP(CONCATENATE(A287,$B$10,B287),'ID1&amp;5'!B:J,9,FALSE),"-")</f>
        <v>-</v>
      </c>
      <c r="N287" s="79" t="str">
        <f>+IFERROR(VLOOKUP(CONCATENATE(A287,$C$10,C287),'ID1&amp;5'!B:J,8,FALSE),"-")</f>
        <v>-</v>
      </c>
      <c r="O287" s="78" t="str">
        <f>+IFERROR(VLOOKUP(C287,'ID1&amp;5'!K:L,2,FALSE),"-")</f>
        <v>-</v>
      </c>
      <c r="P287" s="79" t="str">
        <f>+IFERROR(VLOOKUP(CONCATENATE(A287,$C$10,C287),'ID1&amp;5'!B:J,9,FALSE),"-")</f>
        <v>-</v>
      </c>
      <c r="Q287" s="78" t="str">
        <f>+IFERROR(VLOOKUP(D287,'ID1&amp;5'!K:L,2,FALSE),"-")</f>
        <v>-</v>
      </c>
      <c r="R287" s="26" t="str">
        <f>+IFERROR(VLOOKUP(CONCATENATE(A287,$D$10,D287),'ID1&amp;5'!B:J,9,FALSE),"-")</f>
        <v>-</v>
      </c>
      <c r="S287" s="78" t="str">
        <f>+IFERROR(VLOOKUP(E287,'ID1&amp;5'!K:L,2,FALSE),"-")</f>
        <v>-</v>
      </c>
      <c r="T287" s="79" t="str">
        <f>+IFERROR(VLOOKUP(CONCATENATE(A287,$E$10,E287),'ID1&amp;5'!B:J,9,FALSE),"-")</f>
        <v>-</v>
      </c>
      <c r="U287" s="78" t="str">
        <f>+IFERROR(VLOOKUP(F287,'ID1&amp;5'!K:L,2,FALSE),"-")</f>
        <v>-</v>
      </c>
      <c r="V287" s="79" t="str">
        <f>+IFERROR(VLOOKUP(CONCATENATE(A287,$F$10,F287),'ID1&amp;5'!B:J,9,FALSE),"-")</f>
        <v>-</v>
      </c>
      <c r="W287" s="26" t="str">
        <f>+IFERROR(VLOOKUP(A287,'ID6&amp;7'!A:I,9,FALSE),"-")</f>
        <v>-</v>
      </c>
      <c r="X287" s="26" t="str">
        <f>+IFERROR(VLOOKUP(A287,'ID6&amp;7'!A:J,10,FALSE),"-")</f>
        <v>-</v>
      </c>
      <c r="Y287" s="26"/>
      <c r="Z287" s="27" t="str">
        <f t="shared" si="5"/>
        <v>Por iniciar</v>
      </c>
      <c r="AA287" s="65"/>
    </row>
    <row r="288" spans="1:27">
      <c r="A288" s="20"/>
      <c r="B288" s="60"/>
      <c r="C288" s="60"/>
      <c r="D288" s="60"/>
      <c r="E288" s="60"/>
      <c r="F288" s="60"/>
      <c r="G288" s="60"/>
      <c r="H288" s="65" t="s">
        <v>113</v>
      </c>
      <c r="I288" s="21" t="s">
        <v>1323</v>
      </c>
      <c r="J288" s="26">
        <f>+COUNTIF('ID1&amp;5'!G:G,'1. Status'!I288)</f>
        <v>0</v>
      </c>
      <c r="K288" s="79" t="str">
        <f>+IFERROR(VLOOKUP(CONCATENATE(A288,$B$10,B288),'ID1&amp;5'!B:J,8,FALSE),"-")</f>
        <v>-</v>
      </c>
      <c r="L288" s="78" t="str">
        <f>+IFERROR(VLOOKUP(B288,'ID1&amp;5'!K:L,2,FALSE),"-")</f>
        <v>-</v>
      </c>
      <c r="M288" s="79" t="str">
        <f>+IFERROR(VLOOKUP(CONCATENATE(A288,$B$10,B288),'ID1&amp;5'!B:J,9,FALSE),"-")</f>
        <v>-</v>
      </c>
      <c r="N288" s="79" t="str">
        <f>+IFERROR(VLOOKUP(CONCATENATE(A288,$C$10,C288),'ID1&amp;5'!B:J,8,FALSE),"-")</f>
        <v>-</v>
      </c>
      <c r="O288" s="78" t="str">
        <f>+IFERROR(VLOOKUP(C288,'ID1&amp;5'!K:L,2,FALSE),"-")</f>
        <v>-</v>
      </c>
      <c r="P288" s="79" t="str">
        <f>+IFERROR(VLOOKUP(CONCATENATE(A288,$C$10,C288),'ID1&amp;5'!B:J,9,FALSE),"-")</f>
        <v>-</v>
      </c>
      <c r="Q288" s="78" t="str">
        <f>+IFERROR(VLOOKUP(D288,'ID1&amp;5'!K:L,2,FALSE),"-")</f>
        <v>-</v>
      </c>
      <c r="R288" s="26" t="str">
        <f>+IFERROR(VLOOKUP(CONCATENATE(A288,$D$10,D288),'ID1&amp;5'!B:J,9,FALSE),"-")</f>
        <v>-</v>
      </c>
      <c r="S288" s="78" t="str">
        <f>+IFERROR(VLOOKUP(E288,'ID1&amp;5'!K:L,2,FALSE),"-")</f>
        <v>-</v>
      </c>
      <c r="T288" s="79" t="str">
        <f>+IFERROR(VLOOKUP(CONCATENATE(A288,$E$10,E288),'ID1&amp;5'!B:J,9,FALSE),"-")</f>
        <v>-</v>
      </c>
      <c r="U288" s="78" t="str">
        <f>+IFERROR(VLOOKUP(F288,'ID1&amp;5'!K:L,2,FALSE),"-")</f>
        <v>-</v>
      </c>
      <c r="V288" s="79" t="str">
        <f>+IFERROR(VLOOKUP(CONCATENATE(A288,$F$10,F288),'ID1&amp;5'!B:J,9,FALSE),"-")</f>
        <v>-</v>
      </c>
      <c r="W288" s="26" t="str">
        <f>+IFERROR(VLOOKUP(A288,'ID6&amp;7'!A:I,9,FALSE),"-")</f>
        <v>-</v>
      </c>
      <c r="X288" s="26" t="str">
        <f>+IFERROR(VLOOKUP(A288,'ID6&amp;7'!A:J,10,FALSE),"-")</f>
        <v>-</v>
      </c>
      <c r="Y288" s="26"/>
      <c r="Z288" s="27" t="str">
        <f t="shared" si="5"/>
        <v>Por iniciar</v>
      </c>
      <c r="AA288" s="65"/>
    </row>
    <row r="289" spans="1:27">
      <c r="A289" s="20"/>
      <c r="B289" s="60"/>
      <c r="C289" s="60"/>
      <c r="D289" s="60"/>
      <c r="E289" s="60"/>
      <c r="F289" s="60"/>
      <c r="G289" s="60"/>
      <c r="H289" s="65" t="s">
        <v>113</v>
      </c>
      <c r="I289" s="21" t="s">
        <v>1324</v>
      </c>
      <c r="J289" s="26">
        <f>+COUNTIF('ID1&amp;5'!G:G,'1. Status'!I289)</f>
        <v>0</v>
      </c>
      <c r="K289" s="79" t="str">
        <f>+IFERROR(VLOOKUP(CONCATENATE(A289,$B$10,B289),'ID1&amp;5'!B:J,8,FALSE),"-")</f>
        <v>-</v>
      </c>
      <c r="L289" s="78" t="str">
        <f>+IFERROR(VLOOKUP(B289,'ID1&amp;5'!K:L,2,FALSE),"-")</f>
        <v>-</v>
      </c>
      <c r="M289" s="79" t="str">
        <f>+IFERROR(VLOOKUP(CONCATENATE(A289,$B$10,B289),'ID1&amp;5'!B:J,9,FALSE),"-")</f>
        <v>-</v>
      </c>
      <c r="N289" s="79" t="str">
        <f>+IFERROR(VLOOKUP(CONCATENATE(A289,$C$10,C289),'ID1&amp;5'!B:J,8,FALSE),"-")</f>
        <v>-</v>
      </c>
      <c r="O289" s="78" t="str">
        <f>+IFERROR(VLOOKUP(C289,'ID1&amp;5'!K:L,2,FALSE),"-")</f>
        <v>-</v>
      </c>
      <c r="P289" s="79" t="str">
        <f>+IFERROR(VLOOKUP(CONCATENATE(A289,$C$10,C289),'ID1&amp;5'!B:J,9,FALSE),"-")</f>
        <v>-</v>
      </c>
      <c r="Q289" s="78" t="str">
        <f>+IFERROR(VLOOKUP(D289,'ID1&amp;5'!K:L,2,FALSE),"-")</f>
        <v>-</v>
      </c>
      <c r="R289" s="26" t="str">
        <f>+IFERROR(VLOOKUP(CONCATENATE(A289,$D$10,D289),'ID1&amp;5'!B:J,9,FALSE),"-")</f>
        <v>-</v>
      </c>
      <c r="S289" s="78" t="str">
        <f>+IFERROR(VLOOKUP(E289,'ID1&amp;5'!K:L,2,FALSE),"-")</f>
        <v>-</v>
      </c>
      <c r="T289" s="79" t="str">
        <f>+IFERROR(VLOOKUP(CONCATENATE(A289,$E$10,E289),'ID1&amp;5'!B:J,9,FALSE),"-")</f>
        <v>-</v>
      </c>
      <c r="U289" s="78" t="str">
        <f>+IFERROR(VLOOKUP(F289,'ID1&amp;5'!K:L,2,FALSE),"-")</f>
        <v>-</v>
      </c>
      <c r="V289" s="79" t="str">
        <f>+IFERROR(VLOOKUP(CONCATENATE(A289,$F$10,F289),'ID1&amp;5'!B:J,9,FALSE),"-")</f>
        <v>-</v>
      </c>
      <c r="W289" s="26" t="str">
        <f>+IFERROR(VLOOKUP(A289,'ID6&amp;7'!A:I,9,FALSE),"-")</f>
        <v>-</v>
      </c>
      <c r="X289" s="26" t="str">
        <f>+IFERROR(VLOOKUP(A289,'ID6&amp;7'!A:J,10,FALSE),"-")</f>
        <v>-</v>
      </c>
      <c r="Y289" s="26"/>
      <c r="Z289" s="27" t="str">
        <f t="shared" si="5"/>
        <v>Por iniciar</v>
      </c>
      <c r="AA289" s="65"/>
    </row>
    <row r="290" spans="1:27">
      <c r="A290" s="20"/>
      <c r="B290" s="60"/>
      <c r="C290" s="60"/>
      <c r="D290" s="60"/>
      <c r="E290" s="60"/>
      <c r="F290" s="60"/>
      <c r="G290" s="60"/>
      <c r="H290" s="65" t="s">
        <v>113</v>
      </c>
      <c r="I290" s="21" t="s">
        <v>1325</v>
      </c>
      <c r="J290" s="26">
        <f>+COUNTIF('ID1&amp;5'!G:G,'1. Status'!I290)</f>
        <v>0</v>
      </c>
      <c r="K290" s="79" t="str">
        <f>+IFERROR(VLOOKUP(CONCATENATE(A290,$B$10,B290),'ID1&amp;5'!B:J,8,FALSE),"-")</f>
        <v>-</v>
      </c>
      <c r="L290" s="78" t="str">
        <f>+IFERROR(VLOOKUP(B290,'ID1&amp;5'!K:L,2,FALSE),"-")</f>
        <v>-</v>
      </c>
      <c r="M290" s="79" t="str">
        <f>+IFERROR(VLOOKUP(CONCATENATE(A290,$B$10,B290),'ID1&amp;5'!B:J,9,FALSE),"-")</f>
        <v>-</v>
      </c>
      <c r="N290" s="79" t="str">
        <f>+IFERROR(VLOOKUP(CONCATENATE(A290,$C$10,C290),'ID1&amp;5'!B:J,8,FALSE),"-")</f>
        <v>-</v>
      </c>
      <c r="O290" s="78" t="str">
        <f>+IFERROR(VLOOKUP(C290,'ID1&amp;5'!K:L,2,FALSE),"-")</f>
        <v>-</v>
      </c>
      <c r="P290" s="79" t="str">
        <f>+IFERROR(VLOOKUP(CONCATENATE(A290,$C$10,C290),'ID1&amp;5'!B:J,9,FALSE),"-")</f>
        <v>-</v>
      </c>
      <c r="Q290" s="78" t="str">
        <f>+IFERROR(VLOOKUP(D290,'ID1&amp;5'!K:L,2,FALSE),"-")</f>
        <v>-</v>
      </c>
      <c r="R290" s="26" t="str">
        <f>+IFERROR(VLOOKUP(CONCATENATE(A290,$D$10,D290),'ID1&amp;5'!B:J,9,FALSE),"-")</f>
        <v>-</v>
      </c>
      <c r="S290" s="78" t="str">
        <f>+IFERROR(VLOOKUP(E290,'ID1&amp;5'!K:L,2,FALSE),"-")</f>
        <v>-</v>
      </c>
      <c r="T290" s="79" t="str">
        <f>+IFERROR(VLOOKUP(CONCATENATE(A290,$E$10,E290),'ID1&amp;5'!B:J,9,FALSE),"-")</f>
        <v>-</v>
      </c>
      <c r="U290" s="78" t="str">
        <f>+IFERROR(VLOOKUP(F290,'ID1&amp;5'!K:L,2,FALSE),"-")</f>
        <v>-</v>
      </c>
      <c r="V290" s="79" t="str">
        <f>+IFERROR(VLOOKUP(CONCATENATE(A290,$F$10,F290),'ID1&amp;5'!B:J,9,FALSE),"-")</f>
        <v>-</v>
      </c>
      <c r="W290" s="26" t="str">
        <f>+IFERROR(VLOOKUP(A290,'ID6&amp;7'!A:I,9,FALSE),"-")</f>
        <v>-</v>
      </c>
      <c r="X290" s="26" t="str">
        <f>+IFERROR(VLOOKUP(A290,'ID6&amp;7'!A:J,10,FALSE),"-")</f>
        <v>-</v>
      </c>
      <c r="Y290" s="26"/>
      <c r="Z290" s="27" t="str">
        <f t="shared" si="5"/>
        <v>Por iniciar</v>
      </c>
      <c r="AA290" s="65"/>
    </row>
    <row r="291" spans="1:27">
      <c r="A291" s="20"/>
      <c r="B291" s="60"/>
      <c r="C291" s="60"/>
      <c r="D291" s="60"/>
      <c r="E291" s="60"/>
      <c r="F291" s="60"/>
      <c r="G291" s="60"/>
      <c r="H291" s="65" t="s">
        <v>113</v>
      </c>
      <c r="I291" s="21" t="s">
        <v>1326</v>
      </c>
      <c r="J291" s="26">
        <f>+COUNTIF('ID1&amp;5'!G:G,'1. Status'!I291)</f>
        <v>0</v>
      </c>
      <c r="K291" s="79" t="str">
        <f>+IFERROR(VLOOKUP(CONCATENATE(A291,$B$10,B291),'ID1&amp;5'!B:J,8,FALSE),"-")</f>
        <v>-</v>
      </c>
      <c r="L291" s="78" t="str">
        <f>+IFERROR(VLOOKUP(B291,'ID1&amp;5'!K:L,2,FALSE),"-")</f>
        <v>-</v>
      </c>
      <c r="M291" s="79" t="str">
        <f>+IFERROR(VLOOKUP(CONCATENATE(A291,$B$10,B291),'ID1&amp;5'!B:J,9,FALSE),"-")</f>
        <v>-</v>
      </c>
      <c r="N291" s="79" t="str">
        <f>+IFERROR(VLOOKUP(CONCATENATE(A291,$C$10,C291),'ID1&amp;5'!B:J,8,FALSE),"-")</f>
        <v>-</v>
      </c>
      <c r="O291" s="78" t="str">
        <f>+IFERROR(VLOOKUP(C291,'ID1&amp;5'!K:L,2,FALSE),"-")</f>
        <v>-</v>
      </c>
      <c r="P291" s="79" t="str">
        <f>+IFERROR(VLOOKUP(CONCATENATE(A291,$C$10,C291),'ID1&amp;5'!B:J,9,FALSE),"-")</f>
        <v>-</v>
      </c>
      <c r="Q291" s="78" t="str">
        <f>+IFERROR(VLOOKUP(D291,'ID1&amp;5'!K:L,2,FALSE),"-")</f>
        <v>-</v>
      </c>
      <c r="R291" s="26" t="str">
        <f>+IFERROR(VLOOKUP(CONCATENATE(A291,$D$10,D291),'ID1&amp;5'!B:J,9,FALSE),"-")</f>
        <v>-</v>
      </c>
      <c r="S291" s="78" t="str">
        <f>+IFERROR(VLOOKUP(E291,'ID1&amp;5'!K:L,2,FALSE),"-")</f>
        <v>-</v>
      </c>
      <c r="T291" s="79" t="str">
        <f>+IFERROR(VLOOKUP(CONCATENATE(A291,$E$10,E291),'ID1&amp;5'!B:J,9,FALSE),"-")</f>
        <v>-</v>
      </c>
      <c r="U291" s="78" t="str">
        <f>+IFERROR(VLOOKUP(F291,'ID1&amp;5'!K:L,2,FALSE),"-")</f>
        <v>-</v>
      </c>
      <c r="V291" s="79" t="str">
        <f>+IFERROR(VLOOKUP(CONCATENATE(A291,$F$10,F291),'ID1&amp;5'!B:J,9,FALSE),"-")</f>
        <v>-</v>
      </c>
      <c r="W291" s="26" t="str">
        <f>+IFERROR(VLOOKUP(A291,'ID6&amp;7'!A:I,9,FALSE),"-")</f>
        <v>-</v>
      </c>
      <c r="X291" s="26" t="str">
        <f>+IFERROR(VLOOKUP(A291,'ID6&amp;7'!A:J,10,FALSE),"-")</f>
        <v>-</v>
      </c>
      <c r="Y291" s="26"/>
      <c r="Z291" s="27" t="str">
        <f t="shared" si="5"/>
        <v>Por iniciar</v>
      </c>
      <c r="AA291" s="65"/>
    </row>
    <row r="292" spans="1:27">
      <c r="A292" s="20"/>
      <c r="B292" s="60"/>
      <c r="C292" s="60"/>
      <c r="D292" s="60"/>
      <c r="E292" s="60"/>
      <c r="F292" s="60"/>
      <c r="G292" s="60"/>
      <c r="H292" s="65" t="s">
        <v>113</v>
      </c>
      <c r="I292" s="21" t="s">
        <v>1327</v>
      </c>
      <c r="J292" s="26">
        <f>+COUNTIF('ID1&amp;5'!G:G,'1. Status'!I292)</f>
        <v>0</v>
      </c>
      <c r="K292" s="79" t="str">
        <f>+IFERROR(VLOOKUP(CONCATENATE(A292,$B$10,B292),'ID1&amp;5'!B:J,8,FALSE),"-")</f>
        <v>-</v>
      </c>
      <c r="L292" s="78" t="str">
        <f>+IFERROR(VLOOKUP(B292,'ID1&amp;5'!K:L,2,FALSE),"-")</f>
        <v>-</v>
      </c>
      <c r="M292" s="79" t="str">
        <f>+IFERROR(VLOOKUP(CONCATENATE(A292,$B$10,B292),'ID1&amp;5'!B:J,9,FALSE),"-")</f>
        <v>-</v>
      </c>
      <c r="N292" s="79" t="str">
        <f>+IFERROR(VLOOKUP(CONCATENATE(A292,$C$10,C292),'ID1&amp;5'!B:J,8,FALSE),"-")</f>
        <v>-</v>
      </c>
      <c r="O292" s="78" t="str">
        <f>+IFERROR(VLOOKUP(C292,'ID1&amp;5'!K:L,2,FALSE),"-")</f>
        <v>-</v>
      </c>
      <c r="P292" s="79" t="str">
        <f>+IFERROR(VLOOKUP(CONCATENATE(A292,$C$10,C292),'ID1&amp;5'!B:J,9,FALSE),"-")</f>
        <v>-</v>
      </c>
      <c r="Q292" s="78" t="str">
        <f>+IFERROR(VLOOKUP(D292,'ID1&amp;5'!K:L,2,FALSE),"-")</f>
        <v>-</v>
      </c>
      <c r="R292" s="26" t="str">
        <f>+IFERROR(VLOOKUP(CONCATENATE(A292,$D$10,D292),'ID1&amp;5'!B:J,9,FALSE),"-")</f>
        <v>-</v>
      </c>
      <c r="S292" s="78" t="str">
        <f>+IFERROR(VLOOKUP(E292,'ID1&amp;5'!K:L,2,FALSE),"-")</f>
        <v>-</v>
      </c>
      <c r="T292" s="79" t="str">
        <f>+IFERROR(VLOOKUP(CONCATENATE(A292,$E$10,E292),'ID1&amp;5'!B:J,9,FALSE),"-")</f>
        <v>-</v>
      </c>
      <c r="U292" s="78" t="str">
        <f>+IFERROR(VLOOKUP(F292,'ID1&amp;5'!K:L,2,FALSE),"-")</f>
        <v>-</v>
      </c>
      <c r="V292" s="79" t="str">
        <f>+IFERROR(VLOOKUP(CONCATENATE(A292,$F$10,F292),'ID1&amp;5'!B:J,9,FALSE),"-")</f>
        <v>-</v>
      </c>
      <c r="W292" s="26" t="str">
        <f>+IFERROR(VLOOKUP(A292,'ID6&amp;7'!A:I,9,FALSE),"-")</f>
        <v>-</v>
      </c>
      <c r="X292" s="26" t="str">
        <f>+IFERROR(VLOOKUP(A292,'ID6&amp;7'!A:J,10,FALSE),"-")</f>
        <v>-</v>
      </c>
      <c r="Y292" s="26"/>
      <c r="Z292" s="27" t="str">
        <f t="shared" si="5"/>
        <v>Por iniciar</v>
      </c>
      <c r="AA292" s="65"/>
    </row>
    <row r="293" spans="1:27">
      <c r="A293" s="20"/>
      <c r="B293" s="60"/>
      <c r="C293" s="60"/>
      <c r="D293" s="60"/>
      <c r="E293" s="60"/>
      <c r="F293" s="60"/>
      <c r="G293" s="60"/>
      <c r="H293" s="65" t="s">
        <v>113</v>
      </c>
      <c r="I293" s="21" t="s">
        <v>1328</v>
      </c>
      <c r="J293" s="26">
        <f>+COUNTIF('ID1&amp;5'!G:G,'1. Status'!I293)</f>
        <v>0</v>
      </c>
      <c r="K293" s="79" t="str">
        <f>+IFERROR(VLOOKUP(CONCATENATE(A293,$B$10,B293),'ID1&amp;5'!B:J,8,FALSE),"-")</f>
        <v>-</v>
      </c>
      <c r="L293" s="78" t="str">
        <f>+IFERROR(VLOOKUP(B293,'ID1&amp;5'!K:L,2,FALSE),"-")</f>
        <v>-</v>
      </c>
      <c r="M293" s="79" t="str">
        <f>+IFERROR(VLOOKUP(CONCATENATE(A293,$B$10,B293),'ID1&amp;5'!B:J,9,FALSE),"-")</f>
        <v>-</v>
      </c>
      <c r="N293" s="79" t="str">
        <f>+IFERROR(VLOOKUP(CONCATENATE(A293,$C$10,C293),'ID1&amp;5'!B:J,8,FALSE),"-")</f>
        <v>-</v>
      </c>
      <c r="O293" s="78" t="str">
        <f>+IFERROR(VLOOKUP(C293,'ID1&amp;5'!K:L,2,FALSE),"-")</f>
        <v>-</v>
      </c>
      <c r="P293" s="79" t="str">
        <f>+IFERROR(VLOOKUP(CONCATENATE(A293,$C$10,C293),'ID1&amp;5'!B:J,9,FALSE),"-")</f>
        <v>-</v>
      </c>
      <c r="Q293" s="78" t="str">
        <f>+IFERROR(VLOOKUP(D293,'ID1&amp;5'!K:L,2,FALSE),"-")</f>
        <v>-</v>
      </c>
      <c r="R293" s="26" t="str">
        <f>+IFERROR(VLOOKUP(CONCATENATE(A293,$D$10,D293),'ID1&amp;5'!B:J,9,FALSE),"-")</f>
        <v>-</v>
      </c>
      <c r="S293" s="78" t="str">
        <f>+IFERROR(VLOOKUP(E293,'ID1&amp;5'!K:L,2,FALSE),"-")</f>
        <v>-</v>
      </c>
      <c r="T293" s="79" t="str">
        <f>+IFERROR(VLOOKUP(CONCATENATE(A293,$E$10,E293),'ID1&amp;5'!B:J,9,FALSE),"-")</f>
        <v>-</v>
      </c>
      <c r="U293" s="78" t="str">
        <f>+IFERROR(VLOOKUP(F293,'ID1&amp;5'!K:L,2,FALSE),"-")</f>
        <v>-</v>
      </c>
      <c r="V293" s="79" t="str">
        <f>+IFERROR(VLOOKUP(CONCATENATE(A293,$F$10,F293),'ID1&amp;5'!B:J,9,FALSE),"-")</f>
        <v>-</v>
      </c>
      <c r="W293" s="26" t="str">
        <f>+IFERROR(VLOOKUP(A293,'ID6&amp;7'!A:I,9,FALSE),"-")</f>
        <v>-</v>
      </c>
      <c r="X293" s="26" t="str">
        <f>+IFERROR(VLOOKUP(A293,'ID6&amp;7'!A:J,10,FALSE),"-")</f>
        <v>-</v>
      </c>
      <c r="Y293" s="26"/>
      <c r="Z293" s="27" t="str">
        <f t="shared" si="5"/>
        <v>Por iniciar</v>
      </c>
      <c r="AA293" s="65"/>
    </row>
    <row r="294" spans="1:27">
      <c r="A294" s="20"/>
      <c r="B294" s="60"/>
      <c r="C294" s="60"/>
      <c r="D294" s="60"/>
      <c r="E294" s="60"/>
      <c r="F294" s="60"/>
      <c r="G294" s="60"/>
      <c r="H294" s="65" t="s">
        <v>113</v>
      </c>
      <c r="I294" s="21" t="s">
        <v>1329</v>
      </c>
      <c r="J294" s="26">
        <f>+COUNTIF('ID1&amp;5'!G:G,'1. Status'!I294)</f>
        <v>0</v>
      </c>
      <c r="K294" s="79" t="str">
        <f>+IFERROR(VLOOKUP(CONCATENATE(A294,$B$10,B294),'ID1&amp;5'!B:J,8,FALSE),"-")</f>
        <v>-</v>
      </c>
      <c r="L294" s="78" t="str">
        <f>+IFERROR(VLOOKUP(B294,'ID1&amp;5'!K:L,2,FALSE),"-")</f>
        <v>-</v>
      </c>
      <c r="M294" s="79" t="str">
        <f>+IFERROR(VLOOKUP(CONCATENATE(A294,$B$10,B294),'ID1&amp;5'!B:J,9,FALSE),"-")</f>
        <v>-</v>
      </c>
      <c r="N294" s="79" t="str">
        <f>+IFERROR(VLOOKUP(CONCATENATE(A294,$C$10,C294),'ID1&amp;5'!B:J,8,FALSE),"-")</f>
        <v>-</v>
      </c>
      <c r="O294" s="78" t="str">
        <f>+IFERROR(VLOOKUP(C294,'ID1&amp;5'!K:L,2,FALSE),"-")</f>
        <v>-</v>
      </c>
      <c r="P294" s="79" t="str">
        <f>+IFERROR(VLOOKUP(CONCATENATE(A294,$C$10,C294),'ID1&amp;5'!B:J,9,FALSE),"-")</f>
        <v>-</v>
      </c>
      <c r="Q294" s="78" t="str">
        <f>+IFERROR(VLOOKUP(D294,'ID1&amp;5'!K:L,2,FALSE),"-")</f>
        <v>-</v>
      </c>
      <c r="R294" s="26" t="str">
        <f>+IFERROR(VLOOKUP(CONCATENATE(A294,$D$10,D294),'ID1&amp;5'!B:J,9,FALSE),"-")</f>
        <v>-</v>
      </c>
      <c r="S294" s="78" t="str">
        <f>+IFERROR(VLOOKUP(E294,'ID1&amp;5'!K:L,2,FALSE),"-")</f>
        <v>-</v>
      </c>
      <c r="T294" s="79" t="str">
        <f>+IFERROR(VLOOKUP(CONCATENATE(A294,$E$10,E294),'ID1&amp;5'!B:J,9,FALSE),"-")</f>
        <v>-</v>
      </c>
      <c r="U294" s="78" t="str">
        <f>+IFERROR(VLOOKUP(F294,'ID1&amp;5'!K:L,2,FALSE),"-")</f>
        <v>-</v>
      </c>
      <c r="V294" s="79" t="str">
        <f>+IFERROR(VLOOKUP(CONCATENATE(A294,$F$10,F294),'ID1&amp;5'!B:J,9,FALSE),"-")</f>
        <v>-</v>
      </c>
      <c r="W294" s="26" t="str">
        <f>+IFERROR(VLOOKUP(A294,'ID6&amp;7'!A:I,9,FALSE),"-")</f>
        <v>-</v>
      </c>
      <c r="X294" s="26" t="str">
        <f>+IFERROR(VLOOKUP(A294,'ID6&amp;7'!A:J,10,FALSE),"-")</f>
        <v>-</v>
      </c>
      <c r="Y294" s="26"/>
      <c r="Z294" s="27" t="str">
        <f t="shared" si="5"/>
        <v>Por iniciar</v>
      </c>
      <c r="AA294" s="65"/>
    </row>
    <row r="295" spans="1:27">
      <c r="A295" s="20"/>
      <c r="B295" s="60"/>
      <c r="C295" s="60"/>
      <c r="D295" s="60"/>
      <c r="E295" s="60"/>
      <c r="F295" s="60"/>
      <c r="G295" s="60"/>
      <c r="H295" s="65" t="s">
        <v>113</v>
      </c>
      <c r="I295" s="21" t="s">
        <v>651</v>
      </c>
      <c r="J295" s="26">
        <f>+COUNTIF('ID1&amp;5'!G:G,'1. Status'!I295)</f>
        <v>0</v>
      </c>
      <c r="K295" s="79" t="str">
        <f>+IFERROR(VLOOKUP(CONCATENATE(A295,$B$10,B295),'ID1&amp;5'!B:J,8,FALSE),"-")</f>
        <v>-</v>
      </c>
      <c r="L295" s="78" t="str">
        <f>+IFERROR(VLOOKUP(B295,'ID1&amp;5'!K:L,2,FALSE),"-")</f>
        <v>-</v>
      </c>
      <c r="M295" s="79" t="str">
        <f>+IFERROR(VLOOKUP(CONCATENATE(A295,$B$10,B295),'ID1&amp;5'!B:J,9,FALSE),"-")</f>
        <v>-</v>
      </c>
      <c r="N295" s="79" t="str">
        <f>+IFERROR(VLOOKUP(CONCATENATE(A295,$C$10,C295),'ID1&amp;5'!B:J,8,FALSE),"-")</f>
        <v>-</v>
      </c>
      <c r="O295" s="78" t="str">
        <f>+IFERROR(VLOOKUP(C295,'ID1&amp;5'!K:L,2,FALSE),"-")</f>
        <v>-</v>
      </c>
      <c r="P295" s="79" t="str">
        <f>+IFERROR(VLOOKUP(CONCATENATE(A295,$C$10,C295),'ID1&amp;5'!B:J,9,FALSE),"-")</f>
        <v>-</v>
      </c>
      <c r="Q295" s="78" t="str">
        <f>+IFERROR(VLOOKUP(D295,'ID1&amp;5'!K:L,2,FALSE),"-")</f>
        <v>-</v>
      </c>
      <c r="R295" s="26" t="str">
        <f>+IFERROR(VLOOKUP(CONCATENATE(A295,$D$10,D295),'ID1&amp;5'!B:J,9,FALSE),"-")</f>
        <v>-</v>
      </c>
      <c r="S295" s="78" t="str">
        <f>+IFERROR(VLOOKUP(E295,'ID1&amp;5'!K:L,2,FALSE),"-")</f>
        <v>-</v>
      </c>
      <c r="T295" s="79" t="str">
        <f>+IFERROR(VLOOKUP(CONCATENATE(A295,$E$10,E295),'ID1&amp;5'!B:J,9,FALSE),"-")</f>
        <v>-</v>
      </c>
      <c r="U295" s="78" t="str">
        <f>+IFERROR(VLOOKUP(F295,'ID1&amp;5'!K:L,2,FALSE),"-")</f>
        <v>-</v>
      </c>
      <c r="V295" s="79" t="str">
        <f>+IFERROR(VLOOKUP(CONCATENATE(A295,$F$10,F295),'ID1&amp;5'!B:J,9,FALSE),"-")</f>
        <v>-</v>
      </c>
      <c r="W295" s="26" t="str">
        <f>+IFERROR(VLOOKUP(A295,'ID6&amp;7'!A:I,9,FALSE),"-")</f>
        <v>-</v>
      </c>
      <c r="X295" s="26" t="str">
        <f>+IFERROR(VLOOKUP(A295,'ID6&amp;7'!A:J,10,FALSE),"-")</f>
        <v>-</v>
      </c>
      <c r="Y295" s="26"/>
      <c r="Z295" s="27" t="str">
        <f t="shared" si="5"/>
        <v>Por iniciar</v>
      </c>
      <c r="AA295" s="65"/>
    </row>
    <row r="296" spans="1:27">
      <c r="A296" s="20"/>
      <c r="B296" s="60"/>
      <c r="C296" s="60"/>
      <c r="D296" s="60"/>
      <c r="E296" s="60"/>
      <c r="F296" s="60"/>
      <c r="G296" s="60"/>
      <c r="H296" s="65" t="s">
        <v>113</v>
      </c>
      <c r="I296" s="21" t="s">
        <v>1330</v>
      </c>
      <c r="J296" s="26">
        <f>+COUNTIF('ID1&amp;5'!G:G,'1. Status'!I296)</f>
        <v>0</v>
      </c>
      <c r="K296" s="79" t="str">
        <f>+IFERROR(VLOOKUP(CONCATENATE(A296,$B$10,B296),'ID1&amp;5'!B:J,8,FALSE),"-")</f>
        <v>-</v>
      </c>
      <c r="L296" s="78" t="str">
        <f>+IFERROR(VLOOKUP(B296,'ID1&amp;5'!K:L,2,FALSE),"-")</f>
        <v>-</v>
      </c>
      <c r="M296" s="79" t="str">
        <f>+IFERROR(VLOOKUP(CONCATENATE(A296,$B$10,B296),'ID1&amp;5'!B:J,9,FALSE),"-")</f>
        <v>-</v>
      </c>
      <c r="N296" s="79" t="str">
        <f>+IFERROR(VLOOKUP(CONCATENATE(A296,$C$10,C296),'ID1&amp;5'!B:J,8,FALSE),"-")</f>
        <v>-</v>
      </c>
      <c r="O296" s="78" t="str">
        <f>+IFERROR(VLOOKUP(C296,'ID1&amp;5'!K:L,2,FALSE),"-")</f>
        <v>-</v>
      </c>
      <c r="P296" s="79" t="str">
        <f>+IFERROR(VLOOKUP(CONCATENATE(A296,$C$10,C296),'ID1&amp;5'!B:J,9,FALSE),"-")</f>
        <v>-</v>
      </c>
      <c r="Q296" s="78" t="str">
        <f>+IFERROR(VLOOKUP(D296,'ID1&amp;5'!K:L,2,FALSE),"-")</f>
        <v>-</v>
      </c>
      <c r="R296" s="26" t="str">
        <f>+IFERROR(VLOOKUP(CONCATENATE(A296,$D$10,D296),'ID1&amp;5'!B:J,9,FALSE),"-")</f>
        <v>-</v>
      </c>
      <c r="S296" s="78" t="str">
        <f>+IFERROR(VLOOKUP(E296,'ID1&amp;5'!K:L,2,FALSE),"-")</f>
        <v>-</v>
      </c>
      <c r="T296" s="79" t="str">
        <f>+IFERROR(VLOOKUP(CONCATENATE(A296,$E$10,E296),'ID1&amp;5'!B:J,9,FALSE),"-")</f>
        <v>-</v>
      </c>
      <c r="U296" s="78" t="str">
        <f>+IFERROR(VLOOKUP(F296,'ID1&amp;5'!K:L,2,FALSE),"-")</f>
        <v>-</v>
      </c>
      <c r="V296" s="79" t="str">
        <f>+IFERROR(VLOOKUP(CONCATENATE(A296,$F$10,F296),'ID1&amp;5'!B:J,9,FALSE),"-")</f>
        <v>-</v>
      </c>
      <c r="W296" s="26" t="str">
        <f>+IFERROR(VLOOKUP(A296,'ID6&amp;7'!A:I,9,FALSE),"-")</f>
        <v>-</v>
      </c>
      <c r="X296" s="26" t="str">
        <f>+IFERROR(VLOOKUP(A296,'ID6&amp;7'!A:J,10,FALSE),"-")</f>
        <v>-</v>
      </c>
      <c r="Y296" s="26"/>
      <c r="Z296" s="27" t="str">
        <f t="shared" si="5"/>
        <v>Por iniciar</v>
      </c>
      <c r="AA296" s="65"/>
    </row>
    <row r="297" spans="1:27">
      <c r="A297" s="20"/>
      <c r="B297" s="60"/>
      <c r="C297" s="60"/>
      <c r="D297" s="60"/>
      <c r="E297" s="60"/>
      <c r="F297" s="60"/>
      <c r="G297" s="60"/>
      <c r="H297" s="65" t="s">
        <v>113</v>
      </c>
      <c r="I297" s="21" t="s">
        <v>655</v>
      </c>
      <c r="J297" s="26">
        <f>+COUNTIF('ID1&amp;5'!G:G,'1. Status'!I297)</f>
        <v>0</v>
      </c>
      <c r="K297" s="79" t="str">
        <f>+IFERROR(VLOOKUP(CONCATENATE(A297,$B$10,B297),'ID1&amp;5'!B:J,8,FALSE),"-")</f>
        <v>-</v>
      </c>
      <c r="L297" s="78" t="str">
        <f>+IFERROR(VLOOKUP(B297,'ID1&amp;5'!K:L,2,FALSE),"-")</f>
        <v>-</v>
      </c>
      <c r="M297" s="79" t="str">
        <f>+IFERROR(VLOOKUP(CONCATENATE(A297,$B$10,B297),'ID1&amp;5'!B:J,9,FALSE),"-")</f>
        <v>-</v>
      </c>
      <c r="N297" s="79" t="str">
        <f>+IFERROR(VLOOKUP(CONCATENATE(A297,$C$10,C297),'ID1&amp;5'!B:J,8,FALSE),"-")</f>
        <v>-</v>
      </c>
      <c r="O297" s="78" t="str">
        <f>+IFERROR(VLOOKUP(C297,'ID1&amp;5'!K:L,2,FALSE),"-")</f>
        <v>-</v>
      </c>
      <c r="P297" s="79" t="str">
        <f>+IFERROR(VLOOKUP(CONCATENATE(A297,$C$10,C297),'ID1&amp;5'!B:J,9,FALSE),"-")</f>
        <v>-</v>
      </c>
      <c r="Q297" s="78" t="str">
        <f>+IFERROR(VLOOKUP(D297,'ID1&amp;5'!K:L,2,FALSE),"-")</f>
        <v>-</v>
      </c>
      <c r="R297" s="26" t="str">
        <f>+IFERROR(VLOOKUP(CONCATENATE(A297,$D$10,D297),'ID1&amp;5'!B:J,9,FALSE),"-")</f>
        <v>-</v>
      </c>
      <c r="S297" s="78" t="str">
        <f>+IFERROR(VLOOKUP(E297,'ID1&amp;5'!K:L,2,FALSE),"-")</f>
        <v>-</v>
      </c>
      <c r="T297" s="79" t="str">
        <f>+IFERROR(VLOOKUP(CONCATENATE(A297,$E$10,E297),'ID1&amp;5'!B:J,9,FALSE),"-")</f>
        <v>-</v>
      </c>
      <c r="U297" s="78" t="str">
        <f>+IFERROR(VLOOKUP(F297,'ID1&amp;5'!K:L,2,FALSE),"-")</f>
        <v>-</v>
      </c>
      <c r="V297" s="79" t="str">
        <f>+IFERROR(VLOOKUP(CONCATENATE(A297,$F$10,F297),'ID1&amp;5'!B:J,9,FALSE),"-")</f>
        <v>-</v>
      </c>
      <c r="W297" s="26" t="str">
        <f>+IFERROR(VLOOKUP(A297,'ID6&amp;7'!A:I,9,FALSE),"-")</f>
        <v>-</v>
      </c>
      <c r="X297" s="26" t="str">
        <f>+IFERROR(VLOOKUP(A297,'ID6&amp;7'!A:J,10,FALSE),"-")</f>
        <v>-</v>
      </c>
      <c r="Y297" s="26"/>
      <c r="Z297" s="27" t="str">
        <f t="shared" si="5"/>
        <v>Por iniciar</v>
      </c>
      <c r="AA297" s="65"/>
    </row>
    <row r="298" spans="1:27">
      <c r="A298" s="20"/>
      <c r="B298" s="60"/>
      <c r="C298" s="60"/>
      <c r="D298" s="60"/>
      <c r="E298" s="60"/>
      <c r="F298" s="60"/>
      <c r="G298" s="60"/>
      <c r="H298" s="65" t="s">
        <v>113</v>
      </c>
      <c r="I298" s="21" t="s">
        <v>1331</v>
      </c>
      <c r="J298" s="26">
        <f>+COUNTIF('ID1&amp;5'!G:G,'1. Status'!I298)</f>
        <v>0</v>
      </c>
      <c r="K298" s="79" t="str">
        <f>+IFERROR(VLOOKUP(CONCATENATE(A298,$B$10,B298),'ID1&amp;5'!B:J,8,FALSE),"-")</f>
        <v>-</v>
      </c>
      <c r="L298" s="78" t="str">
        <f>+IFERROR(VLOOKUP(B298,'ID1&amp;5'!K:L,2,FALSE),"-")</f>
        <v>-</v>
      </c>
      <c r="M298" s="79" t="str">
        <f>+IFERROR(VLOOKUP(CONCATENATE(A298,$B$10,B298),'ID1&amp;5'!B:J,9,FALSE),"-")</f>
        <v>-</v>
      </c>
      <c r="N298" s="79" t="str">
        <f>+IFERROR(VLOOKUP(CONCATENATE(A298,$C$10,C298),'ID1&amp;5'!B:J,8,FALSE),"-")</f>
        <v>-</v>
      </c>
      <c r="O298" s="78" t="str">
        <f>+IFERROR(VLOOKUP(C298,'ID1&amp;5'!K:L,2,FALSE),"-")</f>
        <v>-</v>
      </c>
      <c r="P298" s="79" t="str">
        <f>+IFERROR(VLOOKUP(CONCATENATE(A298,$C$10,C298),'ID1&amp;5'!B:J,9,FALSE),"-")</f>
        <v>-</v>
      </c>
      <c r="Q298" s="78" t="str">
        <f>+IFERROR(VLOOKUP(D298,'ID1&amp;5'!K:L,2,FALSE),"-")</f>
        <v>-</v>
      </c>
      <c r="R298" s="26" t="str">
        <f>+IFERROR(VLOOKUP(CONCATENATE(A298,$D$10,D298),'ID1&amp;5'!B:J,9,FALSE),"-")</f>
        <v>-</v>
      </c>
      <c r="S298" s="78" t="str">
        <f>+IFERROR(VLOOKUP(E298,'ID1&amp;5'!K:L,2,FALSE),"-")</f>
        <v>-</v>
      </c>
      <c r="T298" s="79" t="str">
        <f>+IFERROR(VLOOKUP(CONCATENATE(A298,$E$10,E298),'ID1&amp;5'!B:J,9,FALSE),"-")</f>
        <v>-</v>
      </c>
      <c r="U298" s="78" t="str">
        <f>+IFERROR(VLOOKUP(F298,'ID1&amp;5'!K:L,2,FALSE),"-")</f>
        <v>-</v>
      </c>
      <c r="V298" s="79" t="str">
        <f>+IFERROR(VLOOKUP(CONCATENATE(A298,$F$10,F298),'ID1&amp;5'!B:J,9,FALSE),"-")</f>
        <v>-</v>
      </c>
      <c r="W298" s="26" t="str">
        <f>+IFERROR(VLOOKUP(A298,'ID6&amp;7'!A:I,9,FALSE),"-")</f>
        <v>-</v>
      </c>
      <c r="X298" s="26" t="str">
        <f>+IFERROR(VLOOKUP(A298,'ID6&amp;7'!A:J,10,FALSE),"-")</f>
        <v>-</v>
      </c>
      <c r="Y298" s="26"/>
      <c r="Z298" s="27" t="str">
        <f t="shared" si="5"/>
        <v>Por iniciar</v>
      </c>
      <c r="AA298" s="65"/>
    </row>
    <row r="299" spans="1:27">
      <c r="A299" s="20"/>
      <c r="B299" s="60"/>
      <c r="C299" s="60"/>
      <c r="D299" s="60"/>
      <c r="E299" s="60"/>
      <c r="F299" s="60"/>
      <c r="G299" s="60"/>
      <c r="H299" s="65" t="s">
        <v>113</v>
      </c>
      <c r="I299" s="21" t="s">
        <v>1332</v>
      </c>
      <c r="J299" s="26">
        <f>+COUNTIF('ID1&amp;5'!G:G,'1. Status'!I299)</f>
        <v>0</v>
      </c>
      <c r="K299" s="79" t="str">
        <f>+IFERROR(VLOOKUP(CONCATENATE(A299,$B$10,B299),'ID1&amp;5'!B:J,8,FALSE),"-")</f>
        <v>-</v>
      </c>
      <c r="L299" s="78" t="str">
        <f>+IFERROR(VLOOKUP(B299,'ID1&amp;5'!K:L,2,FALSE),"-")</f>
        <v>-</v>
      </c>
      <c r="M299" s="79" t="str">
        <f>+IFERROR(VLOOKUP(CONCATENATE(A299,$B$10,B299),'ID1&amp;5'!B:J,9,FALSE),"-")</f>
        <v>-</v>
      </c>
      <c r="N299" s="79" t="str">
        <f>+IFERROR(VLOOKUP(CONCATENATE(A299,$C$10,C299),'ID1&amp;5'!B:J,8,FALSE),"-")</f>
        <v>-</v>
      </c>
      <c r="O299" s="78" t="str">
        <f>+IFERROR(VLOOKUP(C299,'ID1&amp;5'!K:L,2,FALSE),"-")</f>
        <v>-</v>
      </c>
      <c r="P299" s="79" t="str">
        <f>+IFERROR(VLOOKUP(CONCATENATE(A299,$C$10,C299),'ID1&amp;5'!B:J,9,FALSE),"-")</f>
        <v>-</v>
      </c>
      <c r="Q299" s="78" t="str">
        <f>+IFERROR(VLOOKUP(D299,'ID1&amp;5'!K:L,2,FALSE),"-")</f>
        <v>-</v>
      </c>
      <c r="R299" s="26" t="str">
        <f>+IFERROR(VLOOKUP(CONCATENATE(A299,$D$10,D299),'ID1&amp;5'!B:J,9,FALSE),"-")</f>
        <v>-</v>
      </c>
      <c r="S299" s="78" t="str">
        <f>+IFERROR(VLOOKUP(E299,'ID1&amp;5'!K:L,2,FALSE),"-")</f>
        <v>-</v>
      </c>
      <c r="T299" s="79" t="str">
        <f>+IFERROR(VLOOKUP(CONCATENATE(A299,$E$10,E299),'ID1&amp;5'!B:J,9,FALSE),"-")</f>
        <v>-</v>
      </c>
      <c r="U299" s="78" t="str">
        <f>+IFERROR(VLOOKUP(F299,'ID1&amp;5'!K:L,2,FALSE),"-")</f>
        <v>-</v>
      </c>
      <c r="V299" s="79" t="str">
        <f>+IFERROR(VLOOKUP(CONCATENATE(A299,$F$10,F299),'ID1&amp;5'!B:J,9,FALSE),"-")</f>
        <v>-</v>
      </c>
      <c r="W299" s="26" t="str">
        <f>+IFERROR(VLOOKUP(A299,'ID6&amp;7'!A:I,9,FALSE),"-")</f>
        <v>-</v>
      </c>
      <c r="X299" s="26" t="str">
        <f>+IFERROR(VLOOKUP(A299,'ID6&amp;7'!A:J,10,FALSE),"-")</f>
        <v>-</v>
      </c>
      <c r="Y299" s="26"/>
      <c r="Z299" s="27" t="str">
        <f t="shared" si="5"/>
        <v>Por iniciar</v>
      </c>
      <c r="AA299" s="65"/>
    </row>
    <row r="300" spans="1:27">
      <c r="A300" s="20"/>
      <c r="B300" s="60"/>
      <c r="C300" s="60"/>
      <c r="D300" s="60"/>
      <c r="E300" s="60"/>
      <c r="F300" s="60"/>
      <c r="G300" s="60"/>
      <c r="H300" s="65" t="s">
        <v>113</v>
      </c>
      <c r="I300" s="21" t="s">
        <v>1333</v>
      </c>
      <c r="J300" s="26">
        <f>+COUNTIF('ID1&amp;5'!G:G,'1. Status'!I300)</f>
        <v>0</v>
      </c>
      <c r="K300" s="79" t="str">
        <f>+IFERROR(VLOOKUP(CONCATENATE(A300,$B$10,B300),'ID1&amp;5'!B:J,8,FALSE),"-")</f>
        <v>-</v>
      </c>
      <c r="L300" s="78" t="str">
        <f>+IFERROR(VLOOKUP(B300,'ID1&amp;5'!K:L,2,FALSE),"-")</f>
        <v>-</v>
      </c>
      <c r="M300" s="79" t="str">
        <f>+IFERROR(VLOOKUP(CONCATENATE(A300,$B$10,B300),'ID1&amp;5'!B:J,9,FALSE),"-")</f>
        <v>-</v>
      </c>
      <c r="N300" s="79" t="str">
        <f>+IFERROR(VLOOKUP(CONCATENATE(A300,$C$10,C300),'ID1&amp;5'!B:J,8,FALSE),"-")</f>
        <v>-</v>
      </c>
      <c r="O300" s="78" t="str">
        <f>+IFERROR(VLOOKUP(C300,'ID1&amp;5'!K:L,2,FALSE),"-")</f>
        <v>-</v>
      </c>
      <c r="P300" s="79" t="str">
        <f>+IFERROR(VLOOKUP(CONCATENATE(A300,$C$10,C300),'ID1&amp;5'!B:J,9,FALSE),"-")</f>
        <v>-</v>
      </c>
      <c r="Q300" s="78" t="str">
        <f>+IFERROR(VLOOKUP(D300,'ID1&amp;5'!K:L,2,FALSE),"-")</f>
        <v>-</v>
      </c>
      <c r="R300" s="26" t="str">
        <f>+IFERROR(VLOOKUP(CONCATENATE(A300,$D$10,D300),'ID1&amp;5'!B:J,9,FALSE),"-")</f>
        <v>-</v>
      </c>
      <c r="S300" s="78" t="str">
        <f>+IFERROR(VLOOKUP(E300,'ID1&amp;5'!K:L,2,FALSE),"-")</f>
        <v>-</v>
      </c>
      <c r="T300" s="79" t="str">
        <f>+IFERROR(VLOOKUP(CONCATENATE(A300,$E$10,E300),'ID1&amp;5'!B:J,9,FALSE),"-")</f>
        <v>-</v>
      </c>
      <c r="U300" s="78" t="str">
        <f>+IFERROR(VLOOKUP(F300,'ID1&amp;5'!K:L,2,FALSE),"-")</f>
        <v>-</v>
      </c>
      <c r="V300" s="79" t="str">
        <f>+IFERROR(VLOOKUP(CONCATENATE(A300,$F$10,F300),'ID1&amp;5'!B:J,9,FALSE),"-")</f>
        <v>-</v>
      </c>
      <c r="W300" s="26" t="str">
        <f>+IFERROR(VLOOKUP(A300,'ID6&amp;7'!A:I,9,FALSE),"-")</f>
        <v>-</v>
      </c>
      <c r="X300" s="26" t="str">
        <f>+IFERROR(VLOOKUP(A300,'ID6&amp;7'!A:J,10,FALSE),"-")</f>
        <v>-</v>
      </c>
      <c r="Y300" s="26"/>
      <c r="Z300" s="27" t="str">
        <f t="shared" si="5"/>
        <v>Por iniciar</v>
      </c>
      <c r="AA300" s="65"/>
    </row>
    <row r="301" spans="1:27">
      <c r="A301" s="20"/>
      <c r="B301" s="60"/>
      <c r="C301" s="60"/>
      <c r="D301" s="60"/>
      <c r="E301" s="60"/>
      <c r="F301" s="60"/>
      <c r="G301" s="60"/>
      <c r="H301" s="65" t="s">
        <v>113</v>
      </c>
      <c r="I301" s="21" t="s">
        <v>1334</v>
      </c>
      <c r="J301" s="26">
        <f>+COUNTIF('ID1&amp;5'!G:G,'1. Status'!I301)</f>
        <v>0</v>
      </c>
      <c r="K301" s="79" t="str">
        <f>+IFERROR(VLOOKUP(CONCATENATE(A301,$B$10,B301),'ID1&amp;5'!B:J,8,FALSE),"-")</f>
        <v>-</v>
      </c>
      <c r="L301" s="78" t="str">
        <f>+IFERROR(VLOOKUP(B301,'ID1&amp;5'!K:L,2,FALSE),"-")</f>
        <v>-</v>
      </c>
      <c r="M301" s="79" t="str">
        <f>+IFERROR(VLOOKUP(CONCATENATE(A301,$B$10,B301),'ID1&amp;5'!B:J,9,FALSE),"-")</f>
        <v>-</v>
      </c>
      <c r="N301" s="79" t="str">
        <f>+IFERROR(VLOOKUP(CONCATENATE(A301,$C$10,C301),'ID1&amp;5'!B:J,8,FALSE),"-")</f>
        <v>-</v>
      </c>
      <c r="O301" s="78" t="str">
        <f>+IFERROR(VLOOKUP(C301,'ID1&amp;5'!K:L,2,FALSE),"-")</f>
        <v>-</v>
      </c>
      <c r="P301" s="79" t="str">
        <f>+IFERROR(VLOOKUP(CONCATENATE(A301,$C$10,C301),'ID1&amp;5'!B:J,9,FALSE),"-")</f>
        <v>-</v>
      </c>
      <c r="Q301" s="78" t="str">
        <f>+IFERROR(VLOOKUP(D301,'ID1&amp;5'!K:L,2,FALSE),"-")</f>
        <v>-</v>
      </c>
      <c r="R301" s="26" t="str">
        <f>+IFERROR(VLOOKUP(CONCATENATE(A301,$D$10,D301),'ID1&amp;5'!B:J,9,FALSE),"-")</f>
        <v>-</v>
      </c>
      <c r="S301" s="78" t="str">
        <f>+IFERROR(VLOOKUP(E301,'ID1&amp;5'!K:L,2,FALSE),"-")</f>
        <v>-</v>
      </c>
      <c r="T301" s="79" t="str">
        <f>+IFERROR(VLOOKUP(CONCATENATE(A301,$E$10,E301),'ID1&amp;5'!B:J,9,FALSE),"-")</f>
        <v>-</v>
      </c>
      <c r="U301" s="78" t="str">
        <f>+IFERROR(VLOOKUP(F301,'ID1&amp;5'!K:L,2,FALSE),"-")</f>
        <v>-</v>
      </c>
      <c r="V301" s="79" t="str">
        <f>+IFERROR(VLOOKUP(CONCATENATE(A301,$F$10,F301),'ID1&amp;5'!B:J,9,FALSE),"-")</f>
        <v>-</v>
      </c>
      <c r="W301" s="26" t="str">
        <f>+IFERROR(VLOOKUP(A301,'ID6&amp;7'!A:I,9,FALSE),"-")</f>
        <v>-</v>
      </c>
      <c r="X301" s="26" t="str">
        <f>+IFERROR(VLOOKUP(A301,'ID6&amp;7'!A:J,10,FALSE),"-")</f>
        <v>-</v>
      </c>
      <c r="Y301" s="26"/>
      <c r="Z301" s="27" t="str">
        <f t="shared" si="5"/>
        <v>Por iniciar</v>
      </c>
      <c r="AA301" s="65"/>
    </row>
    <row r="302" spans="1:27">
      <c r="A302" s="20"/>
      <c r="B302" s="60"/>
      <c r="C302" s="60"/>
      <c r="D302" s="60"/>
      <c r="E302" s="60"/>
      <c r="F302" s="60"/>
      <c r="G302" s="60"/>
      <c r="H302" s="65" t="s">
        <v>113</v>
      </c>
      <c r="I302" s="21" t="s">
        <v>1335</v>
      </c>
      <c r="J302" s="26">
        <f>+COUNTIF('ID1&amp;5'!G:G,'1. Status'!I302)</f>
        <v>0</v>
      </c>
      <c r="K302" s="79" t="str">
        <f>+IFERROR(VLOOKUP(CONCATENATE(A302,$B$10,B302),'ID1&amp;5'!B:J,8,FALSE),"-")</f>
        <v>-</v>
      </c>
      <c r="L302" s="78" t="str">
        <f>+IFERROR(VLOOKUP(B302,'ID1&amp;5'!K:L,2,FALSE),"-")</f>
        <v>-</v>
      </c>
      <c r="M302" s="79" t="str">
        <f>+IFERROR(VLOOKUP(CONCATENATE(A302,$B$10,B302),'ID1&amp;5'!B:J,9,FALSE),"-")</f>
        <v>-</v>
      </c>
      <c r="N302" s="79" t="str">
        <f>+IFERROR(VLOOKUP(CONCATENATE(A302,$C$10,C302),'ID1&amp;5'!B:J,8,FALSE),"-")</f>
        <v>-</v>
      </c>
      <c r="O302" s="78" t="str">
        <f>+IFERROR(VLOOKUP(C302,'ID1&amp;5'!K:L,2,FALSE),"-")</f>
        <v>-</v>
      </c>
      <c r="P302" s="79" t="str">
        <f>+IFERROR(VLOOKUP(CONCATENATE(A302,$C$10,C302),'ID1&amp;5'!B:J,9,FALSE),"-")</f>
        <v>-</v>
      </c>
      <c r="Q302" s="78" t="str">
        <f>+IFERROR(VLOOKUP(D302,'ID1&amp;5'!K:L,2,FALSE),"-")</f>
        <v>-</v>
      </c>
      <c r="R302" s="26" t="str">
        <f>+IFERROR(VLOOKUP(CONCATENATE(A302,$D$10,D302),'ID1&amp;5'!B:J,9,FALSE),"-")</f>
        <v>-</v>
      </c>
      <c r="S302" s="78" t="str">
        <f>+IFERROR(VLOOKUP(E302,'ID1&amp;5'!K:L,2,FALSE),"-")</f>
        <v>-</v>
      </c>
      <c r="T302" s="79" t="str">
        <f>+IFERROR(VLOOKUP(CONCATENATE(A302,$E$10,E302),'ID1&amp;5'!B:J,9,FALSE),"-")</f>
        <v>-</v>
      </c>
      <c r="U302" s="78" t="str">
        <f>+IFERROR(VLOOKUP(F302,'ID1&amp;5'!K:L,2,FALSE),"-")</f>
        <v>-</v>
      </c>
      <c r="V302" s="79" t="str">
        <f>+IFERROR(VLOOKUP(CONCATENATE(A302,$F$10,F302),'ID1&amp;5'!B:J,9,FALSE),"-")</f>
        <v>-</v>
      </c>
      <c r="W302" s="26" t="str">
        <f>+IFERROR(VLOOKUP(A302,'ID6&amp;7'!A:I,9,FALSE),"-")</f>
        <v>-</v>
      </c>
      <c r="X302" s="26" t="str">
        <f>+IFERROR(VLOOKUP(A302,'ID6&amp;7'!A:J,10,FALSE),"-")</f>
        <v>-</v>
      </c>
      <c r="Y302" s="26"/>
      <c r="Z302" s="27" t="str">
        <f t="shared" si="5"/>
        <v>Por iniciar</v>
      </c>
      <c r="AA302" s="65"/>
    </row>
    <row r="303" spans="1:27">
      <c r="A303" s="20"/>
      <c r="B303" s="60"/>
      <c r="C303" s="60"/>
      <c r="D303" s="60"/>
      <c r="E303" s="60"/>
      <c r="F303" s="60"/>
      <c r="G303" s="60"/>
      <c r="H303" s="65" t="s">
        <v>113</v>
      </c>
      <c r="I303" s="21" t="s">
        <v>625</v>
      </c>
      <c r="J303" s="26">
        <f>+COUNTIF('ID1&amp;5'!G:G,'1. Status'!I303)</f>
        <v>0</v>
      </c>
      <c r="K303" s="79" t="str">
        <f>+IFERROR(VLOOKUP(CONCATENATE(A303,$B$10,B303),'ID1&amp;5'!B:J,8,FALSE),"-")</f>
        <v>-</v>
      </c>
      <c r="L303" s="78" t="str">
        <f>+IFERROR(VLOOKUP(B303,'ID1&amp;5'!K:L,2,FALSE),"-")</f>
        <v>-</v>
      </c>
      <c r="M303" s="79" t="str">
        <f>+IFERROR(VLOOKUP(CONCATENATE(A303,$B$10,B303),'ID1&amp;5'!B:J,9,FALSE),"-")</f>
        <v>-</v>
      </c>
      <c r="N303" s="79" t="str">
        <f>+IFERROR(VLOOKUP(CONCATENATE(A303,$C$10,C303),'ID1&amp;5'!B:J,8,FALSE),"-")</f>
        <v>-</v>
      </c>
      <c r="O303" s="78" t="str">
        <f>+IFERROR(VLOOKUP(C303,'ID1&amp;5'!K:L,2,FALSE),"-")</f>
        <v>-</v>
      </c>
      <c r="P303" s="79" t="str">
        <f>+IFERROR(VLOOKUP(CONCATENATE(A303,$C$10,C303),'ID1&amp;5'!B:J,9,FALSE),"-")</f>
        <v>-</v>
      </c>
      <c r="Q303" s="78" t="str">
        <f>+IFERROR(VLOOKUP(D303,'ID1&amp;5'!K:L,2,FALSE),"-")</f>
        <v>-</v>
      </c>
      <c r="R303" s="26" t="str">
        <f>+IFERROR(VLOOKUP(CONCATENATE(A303,$D$10,D303),'ID1&amp;5'!B:J,9,FALSE),"-")</f>
        <v>-</v>
      </c>
      <c r="S303" s="78" t="str">
        <f>+IFERROR(VLOOKUP(E303,'ID1&amp;5'!K:L,2,FALSE),"-")</f>
        <v>-</v>
      </c>
      <c r="T303" s="79" t="str">
        <f>+IFERROR(VLOOKUP(CONCATENATE(A303,$E$10,E303),'ID1&amp;5'!B:J,9,FALSE),"-")</f>
        <v>-</v>
      </c>
      <c r="U303" s="78" t="str">
        <f>+IFERROR(VLOOKUP(F303,'ID1&amp;5'!K:L,2,FALSE),"-")</f>
        <v>-</v>
      </c>
      <c r="V303" s="79" t="str">
        <f>+IFERROR(VLOOKUP(CONCATENATE(A303,$F$10,F303),'ID1&amp;5'!B:J,9,FALSE),"-")</f>
        <v>-</v>
      </c>
      <c r="W303" s="26" t="str">
        <f>+IFERROR(VLOOKUP(A303,'ID6&amp;7'!A:I,9,FALSE),"-")</f>
        <v>-</v>
      </c>
      <c r="X303" s="26" t="str">
        <f>+IFERROR(VLOOKUP(A303,'ID6&amp;7'!A:J,10,FALSE),"-")</f>
        <v>-</v>
      </c>
      <c r="Y303" s="26"/>
      <c r="Z303" s="27" t="str">
        <f t="shared" si="5"/>
        <v>Por iniciar</v>
      </c>
      <c r="AA303" s="65"/>
    </row>
    <row r="304" spans="1:27">
      <c r="A304" s="20"/>
      <c r="B304" s="60"/>
      <c r="C304" s="60"/>
      <c r="D304" s="60"/>
      <c r="E304" s="60"/>
      <c r="F304" s="60"/>
      <c r="G304" s="60"/>
      <c r="H304" s="65" t="s">
        <v>113</v>
      </c>
      <c r="I304" s="21" t="s">
        <v>626</v>
      </c>
      <c r="J304" s="26">
        <f>+COUNTIF('ID1&amp;5'!G:G,'1. Status'!I304)</f>
        <v>0</v>
      </c>
      <c r="K304" s="79" t="str">
        <f>+IFERROR(VLOOKUP(CONCATENATE(A304,$B$10,B304),'ID1&amp;5'!B:J,8,FALSE),"-")</f>
        <v>-</v>
      </c>
      <c r="L304" s="78" t="str">
        <f>+IFERROR(VLOOKUP(B304,'ID1&amp;5'!K:L,2,FALSE),"-")</f>
        <v>-</v>
      </c>
      <c r="M304" s="79" t="str">
        <f>+IFERROR(VLOOKUP(CONCATENATE(A304,$B$10,B304),'ID1&amp;5'!B:J,9,FALSE),"-")</f>
        <v>-</v>
      </c>
      <c r="N304" s="79" t="str">
        <f>+IFERROR(VLOOKUP(CONCATENATE(A304,$C$10,C304),'ID1&amp;5'!B:J,8,FALSE),"-")</f>
        <v>-</v>
      </c>
      <c r="O304" s="78" t="str">
        <f>+IFERROR(VLOOKUP(C304,'ID1&amp;5'!K:L,2,FALSE),"-")</f>
        <v>-</v>
      </c>
      <c r="P304" s="79" t="str">
        <f>+IFERROR(VLOOKUP(CONCATENATE(A304,$C$10,C304),'ID1&amp;5'!B:J,9,FALSE),"-")</f>
        <v>-</v>
      </c>
      <c r="Q304" s="78" t="str">
        <f>+IFERROR(VLOOKUP(D304,'ID1&amp;5'!K:L,2,FALSE),"-")</f>
        <v>-</v>
      </c>
      <c r="R304" s="26" t="str">
        <f>+IFERROR(VLOOKUP(CONCATENATE(A304,$D$10,D304),'ID1&amp;5'!B:J,9,FALSE),"-")</f>
        <v>-</v>
      </c>
      <c r="S304" s="78" t="str">
        <f>+IFERROR(VLOOKUP(E304,'ID1&amp;5'!K:L,2,FALSE),"-")</f>
        <v>-</v>
      </c>
      <c r="T304" s="79" t="str">
        <f>+IFERROR(VLOOKUP(CONCATENATE(A304,$E$10,E304),'ID1&amp;5'!B:J,9,FALSE),"-")</f>
        <v>-</v>
      </c>
      <c r="U304" s="78" t="str">
        <f>+IFERROR(VLOOKUP(F304,'ID1&amp;5'!K:L,2,FALSE),"-")</f>
        <v>-</v>
      </c>
      <c r="V304" s="79" t="str">
        <f>+IFERROR(VLOOKUP(CONCATENATE(A304,$F$10,F304),'ID1&amp;5'!B:J,9,FALSE),"-")</f>
        <v>-</v>
      </c>
      <c r="W304" s="26" t="str">
        <f>+IFERROR(VLOOKUP(A304,'ID6&amp;7'!A:I,9,FALSE),"-")</f>
        <v>-</v>
      </c>
      <c r="X304" s="26" t="str">
        <f>+IFERROR(VLOOKUP(A304,'ID6&amp;7'!A:J,10,FALSE),"-")</f>
        <v>-</v>
      </c>
      <c r="Y304" s="26"/>
      <c r="Z304" s="27" t="str">
        <f t="shared" si="5"/>
        <v>Por iniciar</v>
      </c>
      <c r="AA304" s="65"/>
    </row>
    <row r="305" spans="1:27">
      <c r="A305" s="20"/>
      <c r="B305" s="60"/>
      <c r="C305" s="60"/>
      <c r="D305" s="60"/>
      <c r="E305" s="60"/>
      <c r="F305" s="60"/>
      <c r="G305" s="60"/>
      <c r="H305" s="65" t="s">
        <v>113</v>
      </c>
      <c r="I305" s="21" t="s">
        <v>627</v>
      </c>
      <c r="J305" s="26">
        <f>+COUNTIF('ID1&amp;5'!G:G,'1. Status'!I305)</f>
        <v>0</v>
      </c>
      <c r="K305" s="79" t="str">
        <f>+IFERROR(VLOOKUP(CONCATENATE(A305,$B$10,B305),'ID1&amp;5'!B:J,8,FALSE),"-")</f>
        <v>-</v>
      </c>
      <c r="L305" s="78" t="str">
        <f>+IFERROR(VLOOKUP(B305,'ID1&amp;5'!K:L,2,FALSE),"-")</f>
        <v>-</v>
      </c>
      <c r="M305" s="79" t="str">
        <f>+IFERROR(VLOOKUP(CONCATENATE(A305,$B$10,B305),'ID1&amp;5'!B:J,9,FALSE),"-")</f>
        <v>-</v>
      </c>
      <c r="N305" s="79" t="str">
        <f>+IFERROR(VLOOKUP(CONCATENATE(A305,$C$10,C305),'ID1&amp;5'!B:J,8,FALSE),"-")</f>
        <v>-</v>
      </c>
      <c r="O305" s="78" t="str">
        <f>+IFERROR(VLOOKUP(C305,'ID1&amp;5'!K:L,2,FALSE),"-")</f>
        <v>-</v>
      </c>
      <c r="P305" s="79" t="str">
        <f>+IFERROR(VLOOKUP(CONCATENATE(A305,$C$10,C305),'ID1&amp;5'!B:J,9,FALSE),"-")</f>
        <v>-</v>
      </c>
      <c r="Q305" s="78" t="str">
        <f>+IFERROR(VLOOKUP(D305,'ID1&amp;5'!K:L,2,FALSE),"-")</f>
        <v>-</v>
      </c>
      <c r="R305" s="26" t="str">
        <f>+IFERROR(VLOOKUP(CONCATENATE(A305,$D$10,D305),'ID1&amp;5'!B:J,9,FALSE),"-")</f>
        <v>-</v>
      </c>
      <c r="S305" s="78" t="str">
        <f>+IFERROR(VLOOKUP(E305,'ID1&amp;5'!K:L,2,FALSE),"-")</f>
        <v>-</v>
      </c>
      <c r="T305" s="79" t="str">
        <f>+IFERROR(VLOOKUP(CONCATENATE(A305,$E$10,E305),'ID1&amp;5'!B:J,9,FALSE),"-")</f>
        <v>-</v>
      </c>
      <c r="U305" s="78" t="str">
        <f>+IFERROR(VLOOKUP(F305,'ID1&amp;5'!K:L,2,FALSE),"-")</f>
        <v>-</v>
      </c>
      <c r="V305" s="79" t="str">
        <f>+IFERROR(VLOOKUP(CONCATENATE(A305,$F$10,F305),'ID1&amp;5'!B:J,9,FALSE),"-")</f>
        <v>-</v>
      </c>
      <c r="W305" s="26" t="str">
        <f>+IFERROR(VLOOKUP(A305,'ID6&amp;7'!A:I,9,FALSE),"-")</f>
        <v>-</v>
      </c>
      <c r="X305" s="26" t="str">
        <f>+IFERROR(VLOOKUP(A305,'ID6&amp;7'!A:J,10,FALSE),"-")</f>
        <v>-</v>
      </c>
      <c r="Y305" s="26"/>
      <c r="Z305" s="27" t="str">
        <f t="shared" si="5"/>
        <v>Por iniciar</v>
      </c>
      <c r="AA305" s="65"/>
    </row>
    <row r="306" spans="1:27">
      <c r="A306" s="20"/>
      <c r="B306" s="60"/>
      <c r="C306" s="60"/>
      <c r="D306" s="60"/>
      <c r="E306" s="60"/>
      <c r="F306" s="60"/>
      <c r="G306" s="60"/>
      <c r="H306" s="65" t="s">
        <v>113</v>
      </c>
      <c r="I306" s="21" t="s">
        <v>628</v>
      </c>
      <c r="J306" s="26">
        <f>+COUNTIF('ID1&amp;5'!G:G,'1. Status'!I306)</f>
        <v>0</v>
      </c>
      <c r="K306" s="79" t="str">
        <f>+IFERROR(VLOOKUP(CONCATENATE(A306,$B$10,B306),'ID1&amp;5'!B:J,8,FALSE),"-")</f>
        <v>-</v>
      </c>
      <c r="L306" s="78" t="str">
        <f>+IFERROR(VLOOKUP(B306,'ID1&amp;5'!K:L,2,FALSE),"-")</f>
        <v>-</v>
      </c>
      <c r="M306" s="79" t="str">
        <f>+IFERROR(VLOOKUP(CONCATENATE(A306,$B$10,B306),'ID1&amp;5'!B:J,9,FALSE),"-")</f>
        <v>-</v>
      </c>
      <c r="N306" s="79" t="str">
        <f>+IFERROR(VLOOKUP(CONCATENATE(A306,$C$10,C306),'ID1&amp;5'!B:J,8,FALSE),"-")</f>
        <v>-</v>
      </c>
      <c r="O306" s="78" t="str">
        <f>+IFERROR(VLOOKUP(C306,'ID1&amp;5'!K:L,2,FALSE),"-")</f>
        <v>-</v>
      </c>
      <c r="P306" s="79" t="str">
        <f>+IFERROR(VLOOKUP(CONCATENATE(A306,$C$10,C306),'ID1&amp;5'!B:J,9,FALSE),"-")</f>
        <v>-</v>
      </c>
      <c r="Q306" s="78" t="str">
        <f>+IFERROR(VLOOKUP(D306,'ID1&amp;5'!K:L,2,FALSE),"-")</f>
        <v>-</v>
      </c>
      <c r="R306" s="26" t="str">
        <f>+IFERROR(VLOOKUP(CONCATENATE(A306,$D$10,D306),'ID1&amp;5'!B:J,9,FALSE),"-")</f>
        <v>-</v>
      </c>
      <c r="S306" s="78" t="str">
        <f>+IFERROR(VLOOKUP(E306,'ID1&amp;5'!K:L,2,FALSE),"-")</f>
        <v>-</v>
      </c>
      <c r="T306" s="79" t="str">
        <f>+IFERROR(VLOOKUP(CONCATENATE(A306,$E$10,E306),'ID1&amp;5'!B:J,9,FALSE),"-")</f>
        <v>-</v>
      </c>
      <c r="U306" s="78" t="str">
        <f>+IFERROR(VLOOKUP(F306,'ID1&amp;5'!K:L,2,FALSE),"-")</f>
        <v>-</v>
      </c>
      <c r="V306" s="79" t="str">
        <f>+IFERROR(VLOOKUP(CONCATENATE(A306,$F$10,F306),'ID1&amp;5'!B:J,9,FALSE),"-")</f>
        <v>-</v>
      </c>
      <c r="W306" s="26" t="str">
        <f>+IFERROR(VLOOKUP(A306,'ID6&amp;7'!A:I,9,FALSE),"-")</f>
        <v>-</v>
      </c>
      <c r="X306" s="26" t="str">
        <f>+IFERROR(VLOOKUP(A306,'ID6&amp;7'!A:J,10,FALSE),"-")</f>
        <v>-</v>
      </c>
      <c r="Y306" s="26"/>
      <c r="Z306" s="27" t="str">
        <f t="shared" si="5"/>
        <v>Por iniciar</v>
      </c>
      <c r="AA306" s="65"/>
    </row>
    <row r="307" spans="1:27">
      <c r="A307" s="20"/>
      <c r="B307" s="60"/>
      <c r="C307" s="60"/>
      <c r="D307" s="60"/>
      <c r="E307" s="60"/>
      <c r="F307" s="60"/>
      <c r="G307" s="60"/>
      <c r="H307" s="65" t="s">
        <v>113</v>
      </c>
      <c r="I307" s="21" t="s">
        <v>629</v>
      </c>
      <c r="J307" s="26">
        <f>+COUNTIF('ID1&amp;5'!G:G,'1. Status'!I307)</f>
        <v>0</v>
      </c>
      <c r="K307" s="79" t="str">
        <f>+IFERROR(VLOOKUP(CONCATENATE(A307,$B$10,B307),'ID1&amp;5'!B:J,8,FALSE),"-")</f>
        <v>-</v>
      </c>
      <c r="L307" s="78" t="str">
        <f>+IFERROR(VLOOKUP(B307,'ID1&amp;5'!K:L,2,FALSE),"-")</f>
        <v>-</v>
      </c>
      <c r="M307" s="79" t="str">
        <f>+IFERROR(VLOOKUP(CONCATENATE(A307,$B$10,B307),'ID1&amp;5'!B:J,9,FALSE),"-")</f>
        <v>-</v>
      </c>
      <c r="N307" s="79" t="str">
        <f>+IFERROR(VLOOKUP(CONCATENATE(A307,$C$10,C307),'ID1&amp;5'!B:J,8,FALSE),"-")</f>
        <v>-</v>
      </c>
      <c r="O307" s="78" t="str">
        <f>+IFERROR(VLOOKUP(C307,'ID1&amp;5'!K:L,2,FALSE),"-")</f>
        <v>-</v>
      </c>
      <c r="P307" s="79" t="str">
        <f>+IFERROR(VLOOKUP(CONCATENATE(A307,$C$10,C307),'ID1&amp;5'!B:J,9,FALSE),"-")</f>
        <v>-</v>
      </c>
      <c r="Q307" s="78" t="str">
        <f>+IFERROR(VLOOKUP(D307,'ID1&amp;5'!K:L,2,FALSE),"-")</f>
        <v>-</v>
      </c>
      <c r="R307" s="26" t="str">
        <f>+IFERROR(VLOOKUP(CONCATENATE(A307,$D$10,D307),'ID1&amp;5'!B:J,9,FALSE),"-")</f>
        <v>-</v>
      </c>
      <c r="S307" s="78" t="str">
        <f>+IFERROR(VLOOKUP(E307,'ID1&amp;5'!K:L,2,FALSE),"-")</f>
        <v>-</v>
      </c>
      <c r="T307" s="79" t="str">
        <f>+IFERROR(VLOOKUP(CONCATENATE(A307,$E$10,E307),'ID1&amp;5'!B:J,9,FALSE),"-")</f>
        <v>-</v>
      </c>
      <c r="U307" s="78" t="str">
        <f>+IFERROR(VLOOKUP(F307,'ID1&amp;5'!K:L,2,FALSE),"-")</f>
        <v>-</v>
      </c>
      <c r="V307" s="79" t="str">
        <f>+IFERROR(VLOOKUP(CONCATENATE(A307,$F$10,F307),'ID1&amp;5'!B:J,9,FALSE),"-")</f>
        <v>-</v>
      </c>
      <c r="W307" s="26" t="str">
        <f>+IFERROR(VLOOKUP(A307,'ID6&amp;7'!A:I,9,FALSE),"-")</f>
        <v>-</v>
      </c>
      <c r="X307" s="26" t="str">
        <f>+IFERROR(VLOOKUP(A307,'ID6&amp;7'!A:J,10,FALSE),"-")</f>
        <v>-</v>
      </c>
      <c r="Y307" s="26"/>
      <c r="Z307" s="27" t="str">
        <f t="shared" si="5"/>
        <v>Por iniciar</v>
      </c>
      <c r="AA307" s="65"/>
    </row>
    <row r="308" spans="1:27">
      <c r="A308" s="20"/>
      <c r="B308" s="60"/>
      <c r="C308" s="60"/>
      <c r="D308" s="60"/>
      <c r="E308" s="60"/>
      <c r="F308" s="60"/>
      <c r="G308" s="60"/>
      <c r="H308" s="65" t="s">
        <v>113</v>
      </c>
      <c r="I308" s="21" t="s">
        <v>630</v>
      </c>
      <c r="J308" s="26">
        <f>+COUNTIF('ID1&amp;5'!G:G,'1. Status'!I308)</f>
        <v>0</v>
      </c>
      <c r="K308" s="79" t="str">
        <f>+IFERROR(VLOOKUP(CONCATENATE(A308,$B$10,B308),'ID1&amp;5'!B:J,8,FALSE),"-")</f>
        <v>-</v>
      </c>
      <c r="L308" s="78" t="str">
        <f>+IFERROR(VLOOKUP(B308,'ID1&amp;5'!K:L,2,FALSE),"-")</f>
        <v>-</v>
      </c>
      <c r="M308" s="79" t="str">
        <f>+IFERROR(VLOOKUP(CONCATENATE(A308,$B$10,B308),'ID1&amp;5'!B:J,9,FALSE),"-")</f>
        <v>-</v>
      </c>
      <c r="N308" s="79" t="str">
        <f>+IFERROR(VLOOKUP(CONCATENATE(A308,$C$10,C308),'ID1&amp;5'!B:J,8,FALSE),"-")</f>
        <v>-</v>
      </c>
      <c r="O308" s="78" t="str">
        <f>+IFERROR(VLOOKUP(C308,'ID1&amp;5'!K:L,2,FALSE),"-")</f>
        <v>-</v>
      </c>
      <c r="P308" s="79" t="str">
        <f>+IFERROR(VLOOKUP(CONCATENATE(A308,$C$10,C308),'ID1&amp;5'!B:J,9,FALSE),"-")</f>
        <v>-</v>
      </c>
      <c r="Q308" s="78" t="str">
        <f>+IFERROR(VLOOKUP(D308,'ID1&amp;5'!K:L,2,FALSE),"-")</f>
        <v>-</v>
      </c>
      <c r="R308" s="26" t="str">
        <f>+IFERROR(VLOOKUP(CONCATENATE(A308,$D$10,D308),'ID1&amp;5'!B:J,9,FALSE),"-")</f>
        <v>-</v>
      </c>
      <c r="S308" s="78" t="str">
        <f>+IFERROR(VLOOKUP(E308,'ID1&amp;5'!K:L,2,FALSE),"-")</f>
        <v>-</v>
      </c>
      <c r="T308" s="79" t="str">
        <f>+IFERROR(VLOOKUP(CONCATENATE(A308,$E$10,E308),'ID1&amp;5'!B:J,9,FALSE),"-")</f>
        <v>-</v>
      </c>
      <c r="U308" s="78" t="str">
        <f>+IFERROR(VLOOKUP(F308,'ID1&amp;5'!K:L,2,FALSE),"-")</f>
        <v>-</v>
      </c>
      <c r="V308" s="79" t="str">
        <f>+IFERROR(VLOOKUP(CONCATENATE(A308,$F$10,F308),'ID1&amp;5'!B:J,9,FALSE),"-")</f>
        <v>-</v>
      </c>
      <c r="W308" s="26" t="str">
        <f>+IFERROR(VLOOKUP(A308,'ID6&amp;7'!A:I,9,FALSE),"-")</f>
        <v>-</v>
      </c>
      <c r="X308" s="26" t="str">
        <f>+IFERROR(VLOOKUP(A308,'ID6&amp;7'!A:J,10,FALSE),"-")</f>
        <v>-</v>
      </c>
      <c r="Y308" s="26"/>
      <c r="Z308" s="27" t="str">
        <f t="shared" si="5"/>
        <v>Por iniciar</v>
      </c>
      <c r="AA308" s="65"/>
    </row>
    <row r="309" spans="1:27">
      <c r="A309" s="20"/>
      <c r="B309" s="60"/>
      <c r="C309" s="60"/>
      <c r="D309" s="60"/>
      <c r="E309" s="60"/>
      <c r="F309" s="60"/>
      <c r="G309" s="60"/>
      <c r="H309" s="65" t="s">
        <v>113</v>
      </c>
      <c r="I309" s="21" t="s">
        <v>631</v>
      </c>
      <c r="J309" s="26">
        <f>+COUNTIF('ID1&amp;5'!G:G,'1. Status'!I309)</f>
        <v>0</v>
      </c>
      <c r="K309" s="79" t="str">
        <f>+IFERROR(VLOOKUP(CONCATENATE(A309,$B$10,B309),'ID1&amp;5'!B:J,8,FALSE),"-")</f>
        <v>-</v>
      </c>
      <c r="L309" s="78" t="str">
        <f>+IFERROR(VLOOKUP(B309,'ID1&amp;5'!K:L,2,FALSE),"-")</f>
        <v>-</v>
      </c>
      <c r="M309" s="79" t="str">
        <f>+IFERROR(VLOOKUP(CONCATENATE(A309,$B$10,B309),'ID1&amp;5'!B:J,9,FALSE),"-")</f>
        <v>-</v>
      </c>
      <c r="N309" s="79" t="str">
        <f>+IFERROR(VLOOKUP(CONCATENATE(A309,$C$10,C309),'ID1&amp;5'!B:J,8,FALSE),"-")</f>
        <v>-</v>
      </c>
      <c r="O309" s="78" t="str">
        <f>+IFERROR(VLOOKUP(C309,'ID1&amp;5'!K:L,2,FALSE),"-")</f>
        <v>-</v>
      </c>
      <c r="P309" s="79" t="str">
        <f>+IFERROR(VLOOKUP(CONCATENATE(A309,$C$10,C309),'ID1&amp;5'!B:J,9,FALSE),"-")</f>
        <v>-</v>
      </c>
      <c r="Q309" s="78" t="str">
        <f>+IFERROR(VLOOKUP(D309,'ID1&amp;5'!K:L,2,FALSE),"-")</f>
        <v>-</v>
      </c>
      <c r="R309" s="26" t="str">
        <f>+IFERROR(VLOOKUP(CONCATENATE(A309,$D$10,D309),'ID1&amp;5'!B:J,9,FALSE),"-")</f>
        <v>-</v>
      </c>
      <c r="S309" s="78" t="str">
        <f>+IFERROR(VLOOKUP(E309,'ID1&amp;5'!K:L,2,FALSE),"-")</f>
        <v>-</v>
      </c>
      <c r="T309" s="79" t="str">
        <f>+IFERROR(VLOOKUP(CONCATENATE(A309,$E$10,E309),'ID1&amp;5'!B:J,9,FALSE),"-")</f>
        <v>-</v>
      </c>
      <c r="U309" s="78" t="str">
        <f>+IFERROR(VLOOKUP(F309,'ID1&amp;5'!K:L,2,FALSE),"-")</f>
        <v>-</v>
      </c>
      <c r="V309" s="79" t="str">
        <f>+IFERROR(VLOOKUP(CONCATENATE(A309,$F$10,F309),'ID1&amp;5'!B:J,9,FALSE),"-")</f>
        <v>-</v>
      </c>
      <c r="W309" s="26" t="str">
        <f>+IFERROR(VLOOKUP(A309,'ID6&amp;7'!A:I,9,FALSE),"-")</f>
        <v>-</v>
      </c>
      <c r="X309" s="26" t="str">
        <f>+IFERROR(VLOOKUP(A309,'ID6&amp;7'!A:J,10,FALSE),"-")</f>
        <v>-</v>
      </c>
      <c r="Y309" s="26"/>
      <c r="Z309" s="27" t="str">
        <f t="shared" si="5"/>
        <v>Por iniciar</v>
      </c>
      <c r="AA309" s="65"/>
    </row>
    <row r="310" spans="1:27">
      <c r="A310" s="20"/>
      <c r="B310" s="60"/>
      <c r="C310" s="60"/>
      <c r="D310" s="60"/>
      <c r="E310" s="60"/>
      <c r="F310" s="60"/>
      <c r="G310" s="60"/>
      <c r="H310" s="65" t="s">
        <v>113</v>
      </c>
      <c r="I310" s="21" t="s">
        <v>632</v>
      </c>
      <c r="J310" s="26">
        <f>+COUNTIF('ID1&amp;5'!G:G,'1. Status'!I310)</f>
        <v>0</v>
      </c>
      <c r="K310" s="79" t="str">
        <f>+IFERROR(VLOOKUP(CONCATENATE(A310,$B$10,B310),'ID1&amp;5'!B:J,8,FALSE),"-")</f>
        <v>-</v>
      </c>
      <c r="L310" s="78" t="str">
        <f>+IFERROR(VLOOKUP(B310,'ID1&amp;5'!K:L,2,FALSE),"-")</f>
        <v>-</v>
      </c>
      <c r="M310" s="79" t="str">
        <f>+IFERROR(VLOOKUP(CONCATENATE(A310,$B$10,B310),'ID1&amp;5'!B:J,9,FALSE),"-")</f>
        <v>-</v>
      </c>
      <c r="N310" s="79" t="str">
        <f>+IFERROR(VLOOKUP(CONCATENATE(A310,$C$10,C310),'ID1&amp;5'!B:J,8,FALSE),"-")</f>
        <v>-</v>
      </c>
      <c r="O310" s="78" t="str">
        <f>+IFERROR(VLOOKUP(C310,'ID1&amp;5'!K:L,2,FALSE),"-")</f>
        <v>-</v>
      </c>
      <c r="P310" s="79" t="str">
        <f>+IFERROR(VLOOKUP(CONCATENATE(A310,$C$10,C310),'ID1&amp;5'!B:J,9,FALSE),"-")</f>
        <v>-</v>
      </c>
      <c r="Q310" s="78" t="str">
        <f>+IFERROR(VLOOKUP(D310,'ID1&amp;5'!K:L,2,FALSE),"-")</f>
        <v>-</v>
      </c>
      <c r="R310" s="26" t="str">
        <f>+IFERROR(VLOOKUP(CONCATENATE(A310,$D$10,D310),'ID1&amp;5'!B:J,9,FALSE),"-")</f>
        <v>-</v>
      </c>
      <c r="S310" s="78" t="str">
        <f>+IFERROR(VLOOKUP(E310,'ID1&amp;5'!K:L,2,FALSE),"-")</f>
        <v>-</v>
      </c>
      <c r="T310" s="79" t="str">
        <f>+IFERROR(VLOOKUP(CONCATENATE(A310,$E$10,E310),'ID1&amp;5'!B:J,9,FALSE),"-")</f>
        <v>-</v>
      </c>
      <c r="U310" s="78" t="str">
        <f>+IFERROR(VLOOKUP(F310,'ID1&amp;5'!K:L,2,FALSE),"-")</f>
        <v>-</v>
      </c>
      <c r="V310" s="79" t="str">
        <f>+IFERROR(VLOOKUP(CONCATENATE(A310,$F$10,F310),'ID1&amp;5'!B:J,9,FALSE),"-")</f>
        <v>-</v>
      </c>
      <c r="W310" s="26" t="str">
        <f>+IFERROR(VLOOKUP(A310,'ID6&amp;7'!A:I,9,FALSE),"-")</f>
        <v>-</v>
      </c>
      <c r="X310" s="26" t="str">
        <f>+IFERROR(VLOOKUP(A310,'ID6&amp;7'!A:J,10,FALSE),"-")</f>
        <v>-</v>
      </c>
      <c r="Y310" s="26"/>
      <c r="Z310" s="27" t="str">
        <f t="shared" si="5"/>
        <v>Por iniciar</v>
      </c>
      <c r="AA310" s="65"/>
    </row>
    <row r="311" spans="1:27">
      <c r="A311" s="20"/>
      <c r="B311" s="60"/>
      <c r="C311" s="60"/>
      <c r="D311" s="60"/>
      <c r="E311" s="60"/>
      <c r="F311" s="60"/>
      <c r="G311" s="60"/>
      <c r="H311" s="65" t="s">
        <v>113</v>
      </c>
      <c r="I311" s="21" t="s">
        <v>633</v>
      </c>
      <c r="J311" s="26">
        <f>+COUNTIF('ID1&amp;5'!G:G,'1. Status'!I311)</f>
        <v>0</v>
      </c>
      <c r="K311" s="79" t="str">
        <f>+IFERROR(VLOOKUP(CONCATENATE(A311,$B$10,B311),'ID1&amp;5'!B:J,8,FALSE),"-")</f>
        <v>-</v>
      </c>
      <c r="L311" s="78" t="str">
        <f>+IFERROR(VLOOKUP(B311,'ID1&amp;5'!K:L,2,FALSE),"-")</f>
        <v>-</v>
      </c>
      <c r="M311" s="79" t="str">
        <f>+IFERROR(VLOOKUP(CONCATENATE(A311,$B$10,B311),'ID1&amp;5'!B:J,9,FALSE),"-")</f>
        <v>-</v>
      </c>
      <c r="N311" s="79" t="str">
        <f>+IFERROR(VLOOKUP(CONCATENATE(A311,$C$10,C311),'ID1&amp;5'!B:J,8,FALSE),"-")</f>
        <v>-</v>
      </c>
      <c r="O311" s="78" t="str">
        <f>+IFERROR(VLOOKUP(C311,'ID1&amp;5'!K:L,2,FALSE),"-")</f>
        <v>-</v>
      </c>
      <c r="P311" s="79" t="str">
        <f>+IFERROR(VLOOKUP(CONCATENATE(A311,$C$10,C311),'ID1&amp;5'!B:J,9,FALSE),"-")</f>
        <v>-</v>
      </c>
      <c r="Q311" s="78" t="str">
        <f>+IFERROR(VLOOKUP(D311,'ID1&amp;5'!K:L,2,FALSE),"-")</f>
        <v>-</v>
      </c>
      <c r="R311" s="26" t="str">
        <f>+IFERROR(VLOOKUP(CONCATENATE(A311,$D$10,D311),'ID1&amp;5'!B:J,9,FALSE),"-")</f>
        <v>-</v>
      </c>
      <c r="S311" s="78" t="str">
        <f>+IFERROR(VLOOKUP(E311,'ID1&amp;5'!K:L,2,FALSE),"-")</f>
        <v>-</v>
      </c>
      <c r="T311" s="79" t="str">
        <f>+IFERROR(VLOOKUP(CONCATENATE(A311,$E$10,E311),'ID1&amp;5'!B:J,9,FALSE),"-")</f>
        <v>-</v>
      </c>
      <c r="U311" s="78" t="str">
        <f>+IFERROR(VLOOKUP(F311,'ID1&amp;5'!K:L,2,FALSE),"-")</f>
        <v>-</v>
      </c>
      <c r="V311" s="79" t="str">
        <f>+IFERROR(VLOOKUP(CONCATENATE(A311,$F$10,F311),'ID1&amp;5'!B:J,9,FALSE),"-")</f>
        <v>-</v>
      </c>
      <c r="W311" s="26" t="str">
        <f>+IFERROR(VLOOKUP(A311,'ID6&amp;7'!A:I,9,FALSE),"-")</f>
        <v>-</v>
      </c>
      <c r="X311" s="26" t="str">
        <f>+IFERROR(VLOOKUP(A311,'ID6&amp;7'!A:J,10,FALSE),"-")</f>
        <v>-</v>
      </c>
      <c r="Y311" s="26"/>
      <c r="Z311" s="27" t="str">
        <f t="shared" si="5"/>
        <v>Por iniciar</v>
      </c>
      <c r="AA311" s="65"/>
    </row>
    <row r="312" spans="1:27">
      <c r="A312" s="20"/>
      <c r="B312" s="60"/>
      <c r="C312" s="60"/>
      <c r="D312" s="60"/>
      <c r="E312" s="60"/>
      <c r="F312" s="60"/>
      <c r="G312" s="60"/>
      <c r="H312" s="65" t="s">
        <v>113</v>
      </c>
      <c r="I312" s="21" t="s">
        <v>1336</v>
      </c>
      <c r="J312" s="26">
        <f>+COUNTIF('ID1&amp;5'!G:G,'1. Status'!I312)</f>
        <v>0</v>
      </c>
      <c r="K312" s="79" t="str">
        <f>+IFERROR(VLOOKUP(CONCATENATE(A312,$B$10,B312),'ID1&amp;5'!B:J,8,FALSE),"-")</f>
        <v>-</v>
      </c>
      <c r="L312" s="78" t="str">
        <f>+IFERROR(VLOOKUP(B312,'ID1&amp;5'!K:L,2,FALSE),"-")</f>
        <v>-</v>
      </c>
      <c r="M312" s="79" t="str">
        <f>+IFERROR(VLOOKUP(CONCATENATE(A312,$B$10,B312),'ID1&amp;5'!B:J,9,FALSE),"-")</f>
        <v>-</v>
      </c>
      <c r="N312" s="79" t="str">
        <f>+IFERROR(VLOOKUP(CONCATENATE(A312,$C$10,C312),'ID1&amp;5'!B:J,8,FALSE),"-")</f>
        <v>-</v>
      </c>
      <c r="O312" s="78" t="str">
        <f>+IFERROR(VLOOKUP(C312,'ID1&amp;5'!K:L,2,FALSE),"-")</f>
        <v>-</v>
      </c>
      <c r="P312" s="79" t="str">
        <f>+IFERROR(VLOOKUP(CONCATENATE(A312,$C$10,C312),'ID1&amp;5'!B:J,9,FALSE),"-")</f>
        <v>-</v>
      </c>
      <c r="Q312" s="78" t="str">
        <f>+IFERROR(VLOOKUP(D312,'ID1&amp;5'!K:L,2,FALSE),"-")</f>
        <v>-</v>
      </c>
      <c r="R312" s="26" t="str">
        <f>+IFERROR(VLOOKUP(CONCATENATE(A312,$D$10,D312),'ID1&amp;5'!B:J,9,FALSE),"-")</f>
        <v>-</v>
      </c>
      <c r="S312" s="78" t="str">
        <f>+IFERROR(VLOOKUP(E312,'ID1&amp;5'!K:L,2,FALSE),"-")</f>
        <v>-</v>
      </c>
      <c r="T312" s="79" t="str">
        <f>+IFERROR(VLOOKUP(CONCATENATE(A312,$E$10,E312),'ID1&amp;5'!B:J,9,FALSE),"-")</f>
        <v>-</v>
      </c>
      <c r="U312" s="78" t="str">
        <f>+IFERROR(VLOOKUP(F312,'ID1&amp;5'!K:L,2,FALSE),"-")</f>
        <v>-</v>
      </c>
      <c r="V312" s="79" t="str">
        <f>+IFERROR(VLOOKUP(CONCATENATE(A312,$F$10,F312),'ID1&amp;5'!B:J,9,FALSE),"-")</f>
        <v>-</v>
      </c>
      <c r="W312" s="26" t="str">
        <f>+IFERROR(VLOOKUP(A312,'ID6&amp;7'!A:I,9,FALSE),"-")</f>
        <v>-</v>
      </c>
      <c r="X312" s="26" t="str">
        <f>+IFERROR(VLOOKUP(A312,'ID6&amp;7'!A:J,10,FALSE),"-")</f>
        <v>-</v>
      </c>
      <c r="Y312" s="26"/>
      <c r="Z312" s="27" t="str">
        <f t="shared" si="5"/>
        <v>Por iniciar</v>
      </c>
      <c r="AA312" s="65"/>
    </row>
    <row r="313" spans="1:27">
      <c r="A313" s="20"/>
      <c r="B313" s="60"/>
      <c r="C313" s="60"/>
      <c r="D313" s="60"/>
      <c r="E313" s="60"/>
      <c r="F313" s="60"/>
      <c r="G313" s="60"/>
      <c r="H313" s="65" t="s">
        <v>113</v>
      </c>
      <c r="I313" s="21" t="s">
        <v>1337</v>
      </c>
      <c r="J313" s="26">
        <f>+COUNTIF('ID1&amp;5'!G:G,'1. Status'!I313)</f>
        <v>0</v>
      </c>
      <c r="K313" s="79" t="str">
        <f>+IFERROR(VLOOKUP(CONCATENATE(A313,$B$10,B313),'ID1&amp;5'!B:J,8,FALSE),"-")</f>
        <v>-</v>
      </c>
      <c r="L313" s="78" t="str">
        <f>+IFERROR(VLOOKUP(B313,'ID1&amp;5'!K:L,2,FALSE),"-")</f>
        <v>-</v>
      </c>
      <c r="M313" s="79" t="str">
        <f>+IFERROR(VLOOKUP(CONCATENATE(A313,$B$10,B313),'ID1&amp;5'!B:J,9,FALSE),"-")</f>
        <v>-</v>
      </c>
      <c r="N313" s="79" t="str">
        <f>+IFERROR(VLOOKUP(CONCATENATE(A313,$C$10,C313),'ID1&amp;5'!B:J,8,FALSE),"-")</f>
        <v>-</v>
      </c>
      <c r="O313" s="78" t="str">
        <f>+IFERROR(VLOOKUP(C313,'ID1&amp;5'!K:L,2,FALSE),"-")</f>
        <v>-</v>
      </c>
      <c r="P313" s="79" t="str">
        <f>+IFERROR(VLOOKUP(CONCATENATE(A313,$C$10,C313),'ID1&amp;5'!B:J,9,FALSE),"-")</f>
        <v>-</v>
      </c>
      <c r="Q313" s="78" t="str">
        <f>+IFERROR(VLOOKUP(D313,'ID1&amp;5'!K:L,2,FALSE),"-")</f>
        <v>-</v>
      </c>
      <c r="R313" s="26" t="str">
        <f>+IFERROR(VLOOKUP(CONCATENATE(A313,$D$10,D313),'ID1&amp;5'!B:J,9,FALSE),"-")</f>
        <v>-</v>
      </c>
      <c r="S313" s="78" t="str">
        <f>+IFERROR(VLOOKUP(E313,'ID1&amp;5'!K:L,2,FALSE),"-")</f>
        <v>-</v>
      </c>
      <c r="T313" s="79" t="str">
        <f>+IFERROR(VLOOKUP(CONCATENATE(A313,$E$10,E313),'ID1&amp;5'!B:J,9,FALSE),"-")</f>
        <v>-</v>
      </c>
      <c r="U313" s="78" t="str">
        <f>+IFERROR(VLOOKUP(F313,'ID1&amp;5'!K:L,2,FALSE),"-")</f>
        <v>-</v>
      </c>
      <c r="V313" s="79" t="str">
        <f>+IFERROR(VLOOKUP(CONCATENATE(A313,$F$10,F313),'ID1&amp;5'!B:J,9,FALSE),"-")</f>
        <v>-</v>
      </c>
      <c r="W313" s="26" t="str">
        <f>+IFERROR(VLOOKUP(A313,'ID6&amp;7'!A:I,9,FALSE),"-")</f>
        <v>-</v>
      </c>
      <c r="X313" s="26" t="str">
        <f>+IFERROR(VLOOKUP(A313,'ID6&amp;7'!A:J,10,FALSE),"-")</f>
        <v>-</v>
      </c>
      <c r="Y313" s="26"/>
      <c r="Z313" s="27" t="str">
        <f t="shared" si="5"/>
        <v>Por iniciar</v>
      </c>
      <c r="AA313" s="65"/>
    </row>
    <row r="314" spans="1:27">
      <c r="A314" s="20"/>
      <c r="B314" s="60"/>
      <c r="C314" s="60"/>
      <c r="D314" s="60"/>
      <c r="E314" s="60"/>
      <c r="F314" s="60"/>
      <c r="G314" s="60"/>
      <c r="H314" s="65" t="s">
        <v>113</v>
      </c>
      <c r="I314" s="21" t="s">
        <v>1338</v>
      </c>
      <c r="J314" s="26">
        <f>+COUNTIF('ID1&amp;5'!G:G,'1. Status'!I314)</f>
        <v>0</v>
      </c>
      <c r="K314" s="79" t="str">
        <f>+IFERROR(VLOOKUP(CONCATENATE(A314,$B$10,B314),'ID1&amp;5'!B:J,8,FALSE),"-")</f>
        <v>-</v>
      </c>
      <c r="L314" s="78" t="str">
        <f>+IFERROR(VLOOKUP(B314,'ID1&amp;5'!K:L,2,FALSE),"-")</f>
        <v>-</v>
      </c>
      <c r="M314" s="79" t="str">
        <f>+IFERROR(VLOOKUP(CONCATENATE(A314,$B$10,B314),'ID1&amp;5'!B:J,9,FALSE),"-")</f>
        <v>-</v>
      </c>
      <c r="N314" s="79" t="str">
        <f>+IFERROR(VLOOKUP(CONCATENATE(A314,$C$10,C314),'ID1&amp;5'!B:J,8,FALSE),"-")</f>
        <v>-</v>
      </c>
      <c r="O314" s="78" t="str">
        <f>+IFERROR(VLOOKUP(C314,'ID1&amp;5'!K:L,2,FALSE),"-")</f>
        <v>-</v>
      </c>
      <c r="P314" s="79" t="str">
        <f>+IFERROR(VLOOKUP(CONCATENATE(A314,$C$10,C314),'ID1&amp;5'!B:J,9,FALSE),"-")</f>
        <v>-</v>
      </c>
      <c r="Q314" s="78" t="str">
        <f>+IFERROR(VLOOKUP(D314,'ID1&amp;5'!K:L,2,FALSE),"-")</f>
        <v>-</v>
      </c>
      <c r="R314" s="26" t="str">
        <f>+IFERROR(VLOOKUP(CONCATENATE(A314,$D$10,D314),'ID1&amp;5'!B:J,9,FALSE),"-")</f>
        <v>-</v>
      </c>
      <c r="S314" s="78" t="str">
        <f>+IFERROR(VLOOKUP(E314,'ID1&amp;5'!K:L,2,FALSE),"-")</f>
        <v>-</v>
      </c>
      <c r="T314" s="79" t="str">
        <f>+IFERROR(VLOOKUP(CONCATENATE(A314,$E$10,E314),'ID1&amp;5'!B:J,9,FALSE),"-")</f>
        <v>-</v>
      </c>
      <c r="U314" s="78" t="str">
        <f>+IFERROR(VLOOKUP(F314,'ID1&amp;5'!K:L,2,FALSE),"-")</f>
        <v>-</v>
      </c>
      <c r="V314" s="79" t="str">
        <f>+IFERROR(VLOOKUP(CONCATENATE(A314,$F$10,F314),'ID1&amp;5'!B:J,9,FALSE),"-")</f>
        <v>-</v>
      </c>
      <c r="W314" s="26" t="str">
        <f>+IFERROR(VLOOKUP(A314,'ID6&amp;7'!A:I,9,FALSE),"-")</f>
        <v>-</v>
      </c>
      <c r="X314" s="26" t="str">
        <f>+IFERROR(VLOOKUP(A314,'ID6&amp;7'!A:J,10,FALSE),"-")</f>
        <v>-</v>
      </c>
      <c r="Y314" s="26"/>
      <c r="Z314" s="27" t="str">
        <f t="shared" si="5"/>
        <v>Por iniciar</v>
      </c>
      <c r="AA314" s="65"/>
    </row>
    <row r="315" spans="1:27">
      <c r="A315" s="20"/>
      <c r="B315" s="60"/>
      <c r="C315" s="60"/>
      <c r="D315" s="60"/>
      <c r="E315" s="60"/>
      <c r="F315" s="60"/>
      <c r="G315" s="60"/>
      <c r="H315" s="65" t="s">
        <v>113</v>
      </c>
      <c r="I315" s="21" t="s">
        <v>1339</v>
      </c>
      <c r="J315" s="26">
        <f>+COUNTIF('ID1&amp;5'!G:G,'1. Status'!I315)</f>
        <v>0</v>
      </c>
      <c r="K315" s="79" t="str">
        <f>+IFERROR(VLOOKUP(CONCATENATE(A315,$B$10,B315),'ID1&amp;5'!B:J,8,FALSE),"-")</f>
        <v>-</v>
      </c>
      <c r="L315" s="78" t="str">
        <f>+IFERROR(VLOOKUP(B315,'ID1&amp;5'!K:L,2,FALSE),"-")</f>
        <v>-</v>
      </c>
      <c r="M315" s="79" t="str">
        <f>+IFERROR(VLOOKUP(CONCATENATE(A315,$B$10,B315),'ID1&amp;5'!B:J,9,FALSE),"-")</f>
        <v>-</v>
      </c>
      <c r="N315" s="79" t="str">
        <f>+IFERROR(VLOOKUP(CONCATENATE(A315,$C$10,C315),'ID1&amp;5'!B:J,8,FALSE),"-")</f>
        <v>-</v>
      </c>
      <c r="O315" s="78" t="str">
        <f>+IFERROR(VLOOKUP(C315,'ID1&amp;5'!K:L,2,FALSE),"-")</f>
        <v>-</v>
      </c>
      <c r="P315" s="79" t="str">
        <f>+IFERROR(VLOOKUP(CONCATENATE(A315,$C$10,C315),'ID1&amp;5'!B:J,9,FALSE),"-")</f>
        <v>-</v>
      </c>
      <c r="Q315" s="78" t="str">
        <f>+IFERROR(VLOOKUP(D315,'ID1&amp;5'!K:L,2,FALSE),"-")</f>
        <v>-</v>
      </c>
      <c r="R315" s="26" t="str">
        <f>+IFERROR(VLOOKUP(CONCATENATE(A315,$D$10,D315),'ID1&amp;5'!B:J,9,FALSE),"-")</f>
        <v>-</v>
      </c>
      <c r="S315" s="78" t="str">
        <f>+IFERROR(VLOOKUP(E315,'ID1&amp;5'!K:L,2,FALSE),"-")</f>
        <v>-</v>
      </c>
      <c r="T315" s="79" t="str">
        <f>+IFERROR(VLOOKUP(CONCATENATE(A315,$E$10,E315),'ID1&amp;5'!B:J,9,FALSE),"-")</f>
        <v>-</v>
      </c>
      <c r="U315" s="78" t="str">
        <f>+IFERROR(VLOOKUP(F315,'ID1&amp;5'!K:L,2,FALSE),"-")</f>
        <v>-</v>
      </c>
      <c r="V315" s="79" t="str">
        <f>+IFERROR(VLOOKUP(CONCATENATE(A315,$F$10,F315),'ID1&amp;5'!B:J,9,FALSE),"-")</f>
        <v>-</v>
      </c>
      <c r="W315" s="26" t="str">
        <f>+IFERROR(VLOOKUP(A315,'ID6&amp;7'!A:I,9,FALSE),"-")</f>
        <v>-</v>
      </c>
      <c r="X315" s="26" t="str">
        <f>+IFERROR(VLOOKUP(A315,'ID6&amp;7'!A:J,10,FALSE),"-")</f>
        <v>-</v>
      </c>
      <c r="Y315" s="26"/>
      <c r="Z315" s="27" t="str">
        <f t="shared" si="5"/>
        <v>Por iniciar</v>
      </c>
      <c r="AA315" s="65"/>
    </row>
    <row r="316" spans="1:27">
      <c r="A316" s="20"/>
      <c r="B316" s="60"/>
      <c r="C316" s="60"/>
      <c r="D316" s="60"/>
      <c r="E316" s="60"/>
      <c r="F316" s="60"/>
      <c r="G316" s="60"/>
      <c r="H316" s="65" t="s">
        <v>113</v>
      </c>
      <c r="I316" s="21" t="s">
        <v>1340</v>
      </c>
      <c r="J316" s="26">
        <f>+COUNTIF('ID1&amp;5'!G:G,'1. Status'!I316)</f>
        <v>0</v>
      </c>
      <c r="K316" s="79" t="str">
        <f>+IFERROR(VLOOKUP(CONCATENATE(A316,$B$10,B316),'ID1&amp;5'!B:J,8,FALSE),"-")</f>
        <v>-</v>
      </c>
      <c r="L316" s="78" t="str">
        <f>+IFERROR(VLOOKUP(B316,'ID1&amp;5'!K:L,2,FALSE),"-")</f>
        <v>-</v>
      </c>
      <c r="M316" s="79" t="str">
        <f>+IFERROR(VLOOKUP(CONCATENATE(A316,$B$10,B316),'ID1&amp;5'!B:J,9,FALSE),"-")</f>
        <v>-</v>
      </c>
      <c r="N316" s="79" t="str">
        <f>+IFERROR(VLOOKUP(CONCATENATE(A316,$C$10,C316),'ID1&amp;5'!B:J,8,FALSE),"-")</f>
        <v>-</v>
      </c>
      <c r="O316" s="78" t="str">
        <f>+IFERROR(VLOOKUP(C316,'ID1&amp;5'!K:L,2,FALSE),"-")</f>
        <v>-</v>
      </c>
      <c r="P316" s="79" t="str">
        <f>+IFERROR(VLOOKUP(CONCATENATE(A316,$C$10,C316),'ID1&amp;5'!B:J,9,FALSE),"-")</f>
        <v>-</v>
      </c>
      <c r="Q316" s="78" t="str">
        <f>+IFERROR(VLOOKUP(D316,'ID1&amp;5'!K:L,2,FALSE),"-")</f>
        <v>-</v>
      </c>
      <c r="R316" s="26" t="str">
        <f>+IFERROR(VLOOKUP(CONCATENATE(A316,$D$10,D316),'ID1&amp;5'!B:J,9,FALSE),"-")</f>
        <v>-</v>
      </c>
      <c r="S316" s="78" t="str">
        <f>+IFERROR(VLOOKUP(E316,'ID1&amp;5'!K:L,2,FALSE),"-")</f>
        <v>-</v>
      </c>
      <c r="T316" s="79" t="str">
        <f>+IFERROR(VLOOKUP(CONCATENATE(A316,$E$10,E316),'ID1&amp;5'!B:J,9,FALSE),"-")</f>
        <v>-</v>
      </c>
      <c r="U316" s="78" t="str">
        <f>+IFERROR(VLOOKUP(F316,'ID1&amp;5'!K:L,2,FALSE),"-")</f>
        <v>-</v>
      </c>
      <c r="V316" s="79" t="str">
        <f>+IFERROR(VLOOKUP(CONCATENATE(A316,$F$10,F316),'ID1&amp;5'!B:J,9,FALSE),"-")</f>
        <v>-</v>
      </c>
      <c r="W316" s="26" t="str">
        <f>+IFERROR(VLOOKUP(A316,'ID6&amp;7'!A:I,9,FALSE),"-")</f>
        <v>-</v>
      </c>
      <c r="X316" s="26" t="str">
        <f>+IFERROR(VLOOKUP(A316,'ID6&amp;7'!A:J,10,FALSE),"-")</f>
        <v>-</v>
      </c>
      <c r="Y316" s="26"/>
      <c r="Z316" s="27" t="str">
        <f t="shared" si="5"/>
        <v>Por iniciar</v>
      </c>
      <c r="AA316" s="65"/>
    </row>
    <row r="317" spans="1:27">
      <c r="A317" s="20"/>
      <c r="B317" s="60"/>
      <c r="C317" s="60"/>
      <c r="D317" s="60"/>
      <c r="E317" s="60"/>
      <c r="F317" s="60"/>
      <c r="G317" s="60"/>
      <c r="H317" s="65" t="s">
        <v>113</v>
      </c>
      <c r="I317" s="21" t="s">
        <v>1341</v>
      </c>
      <c r="J317" s="26">
        <f>+COUNTIF('ID1&amp;5'!G:G,'1. Status'!I317)</f>
        <v>0</v>
      </c>
      <c r="K317" s="79" t="str">
        <f>+IFERROR(VLOOKUP(CONCATENATE(A317,$B$10,B317),'ID1&amp;5'!B:J,8,FALSE),"-")</f>
        <v>-</v>
      </c>
      <c r="L317" s="78" t="str">
        <f>+IFERROR(VLOOKUP(B317,'ID1&amp;5'!K:L,2,FALSE),"-")</f>
        <v>-</v>
      </c>
      <c r="M317" s="79" t="str">
        <f>+IFERROR(VLOOKUP(CONCATENATE(A317,$B$10,B317),'ID1&amp;5'!B:J,9,FALSE),"-")</f>
        <v>-</v>
      </c>
      <c r="N317" s="79" t="str">
        <f>+IFERROR(VLOOKUP(CONCATENATE(A317,$C$10,C317),'ID1&amp;5'!B:J,8,FALSE),"-")</f>
        <v>-</v>
      </c>
      <c r="O317" s="78" t="str">
        <f>+IFERROR(VLOOKUP(C317,'ID1&amp;5'!K:L,2,FALSE),"-")</f>
        <v>-</v>
      </c>
      <c r="P317" s="79" t="str">
        <f>+IFERROR(VLOOKUP(CONCATENATE(A317,$C$10,C317),'ID1&amp;5'!B:J,9,FALSE),"-")</f>
        <v>-</v>
      </c>
      <c r="Q317" s="78" t="str">
        <f>+IFERROR(VLOOKUP(D317,'ID1&amp;5'!K:L,2,FALSE),"-")</f>
        <v>-</v>
      </c>
      <c r="R317" s="26" t="str">
        <f>+IFERROR(VLOOKUP(CONCATENATE(A317,$D$10,D317),'ID1&amp;5'!B:J,9,FALSE),"-")</f>
        <v>-</v>
      </c>
      <c r="S317" s="78" t="str">
        <f>+IFERROR(VLOOKUP(E317,'ID1&amp;5'!K:L,2,FALSE),"-")</f>
        <v>-</v>
      </c>
      <c r="T317" s="79" t="str">
        <f>+IFERROR(VLOOKUP(CONCATENATE(A317,$E$10,E317),'ID1&amp;5'!B:J,9,FALSE),"-")</f>
        <v>-</v>
      </c>
      <c r="U317" s="78" t="str">
        <f>+IFERROR(VLOOKUP(F317,'ID1&amp;5'!K:L,2,FALSE),"-")</f>
        <v>-</v>
      </c>
      <c r="V317" s="79" t="str">
        <f>+IFERROR(VLOOKUP(CONCATENATE(A317,$F$10,F317),'ID1&amp;5'!B:J,9,FALSE),"-")</f>
        <v>-</v>
      </c>
      <c r="W317" s="26" t="str">
        <f>+IFERROR(VLOOKUP(A317,'ID6&amp;7'!A:I,9,FALSE),"-")</f>
        <v>-</v>
      </c>
      <c r="X317" s="26" t="str">
        <f>+IFERROR(VLOOKUP(A317,'ID6&amp;7'!A:J,10,FALSE),"-")</f>
        <v>-</v>
      </c>
      <c r="Y317" s="26"/>
      <c r="Z317" s="27" t="str">
        <f t="shared" si="5"/>
        <v>Por iniciar</v>
      </c>
      <c r="AA317" s="65"/>
    </row>
    <row r="318" spans="1:27">
      <c r="A318" s="20"/>
      <c r="B318" s="60"/>
      <c r="C318" s="60"/>
      <c r="D318" s="60"/>
      <c r="E318" s="60"/>
      <c r="F318" s="60"/>
      <c r="G318" s="60"/>
      <c r="H318" s="65" t="s">
        <v>113</v>
      </c>
      <c r="I318" s="21" t="s">
        <v>1342</v>
      </c>
      <c r="J318" s="26">
        <f>+COUNTIF('ID1&amp;5'!G:G,'1. Status'!I318)</f>
        <v>0</v>
      </c>
      <c r="K318" s="79" t="str">
        <f>+IFERROR(VLOOKUP(CONCATENATE(A318,$B$10,B318),'ID1&amp;5'!B:J,8,FALSE),"-")</f>
        <v>-</v>
      </c>
      <c r="L318" s="78" t="str">
        <f>+IFERROR(VLOOKUP(B318,'ID1&amp;5'!K:L,2,FALSE),"-")</f>
        <v>-</v>
      </c>
      <c r="M318" s="79" t="str">
        <f>+IFERROR(VLOOKUP(CONCATENATE(A318,$B$10,B318),'ID1&amp;5'!B:J,9,FALSE),"-")</f>
        <v>-</v>
      </c>
      <c r="N318" s="79" t="str">
        <f>+IFERROR(VLOOKUP(CONCATENATE(A318,$C$10,C318),'ID1&amp;5'!B:J,8,FALSE),"-")</f>
        <v>-</v>
      </c>
      <c r="O318" s="78" t="str">
        <f>+IFERROR(VLOOKUP(C318,'ID1&amp;5'!K:L,2,FALSE),"-")</f>
        <v>-</v>
      </c>
      <c r="P318" s="79" t="str">
        <f>+IFERROR(VLOOKUP(CONCATENATE(A318,$C$10,C318),'ID1&amp;5'!B:J,9,FALSE),"-")</f>
        <v>-</v>
      </c>
      <c r="Q318" s="78" t="str">
        <f>+IFERROR(VLOOKUP(D318,'ID1&amp;5'!K:L,2,FALSE),"-")</f>
        <v>-</v>
      </c>
      <c r="R318" s="26" t="str">
        <f>+IFERROR(VLOOKUP(CONCATENATE(A318,$D$10,D318),'ID1&amp;5'!B:J,9,FALSE),"-")</f>
        <v>-</v>
      </c>
      <c r="S318" s="78" t="str">
        <f>+IFERROR(VLOOKUP(E318,'ID1&amp;5'!K:L,2,FALSE),"-")</f>
        <v>-</v>
      </c>
      <c r="T318" s="79" t="str">
        <f>+IFERROR(VLOOKUP(CONCATENATE(A318,$E$10,E318),'ID1&amp;5'!B:J,9,FALSE),"-")</f>
        <v>-</v>
      </c>
      <c r="U318" s="78" t="str">
        <f>+IFERROR(VLOOKUP(F318,'ID1&amp;5'!K:L,2,FALSE),"-")</f>
        <v>-</v>
      </c>
      <c r="V318" s="79" t="str">
        <f>+IFERROR(VLOOKUP(CONCATENATE(A318,$F$10,F318),'ID1&amp;5'!B:J,9,FALSE),"-")</f>
        <v>-</v>
      </c>
      <c r="W318" s="26" t="str">
        <f>+IFERROR(VLOOKUP(A318,'ID6&amp;7'!A:I,9,FALSE),"-")</f>
        <v>-</v>
      </c>
      <c r="X318" s="26" t="str">
        <f>+IFERROR(VLOOKUP(A318,'ID6&amp;7'!A:J,10,FALSE),"-")</f>
        <v>-</v>
      </c>
      <c r="Y318" s="26"/>
      <c r="Z318" s="27" t="str">
        <f t="shared" si="5"/>
        <v>Por iniciar</v>
      </c>
      <c r="AA318" s="65"/>
    </row>
    <row r="319" spans="1:27">
      <c r="A319" s="20"/>
      <c r="B319" s="60"/>
      <c r="C319" s="60"/>
      <c r="D319" s="60"/>
      <c r="E319" s="60"/>
      <c r="F319" s="60"/>
      <c r="G319" s="60"/>
      <c r="H319" s="65" t="s">
        <v>113</v>
      </c>
      <c r="I319" s="21" t="s">
        <v>1343</v>
      </c>
      <c r="J319" s="26">
        <f>+COUNTIF('ID1&amp;5'!G:G,'1. Status'!I319)</f>
        <v>0</v>
      </c>
      <c r="K319" s="79" t="str">
        <f>+IFERROR(VLOOKUP(CONCATENATE(A319,$B$10,B319),'ID1&amp;5'!B:J,8,FALSE),"-")</f>
        <v>-</v>
      </c>
      <c r="L319" s="78" t="str">
        <f>+IFERROR(VLOOKUP(B319,'ID1&amp;5'!K:L,2,FALSE),"-")</f>
        <v>-</v>
      </c>
      <c r="M319" s="79" t="str">
        <f>+IFERROR(VLOOKUP(CONCATENATE(A319,$B$10,B319),'ID1&amp;5'!B:J,9,FALSE),"-")</f>
        <v>-</v>
      </c>
      <c r="N319" s="79" t="str">
        <f>+IFERROR(VLOOKUP(CONCATENATE(A319,$C$10,C319),'ID1&amp;5'!B:J,8,FALSE),"-")</f>
        <v>-</v>
      </c>
      <c r="O319" s="78" t="str">
        <f>+IFERROR(VLOOKUP(C319,'ID1&amp;5'!K:L,2,FALSE),"-")</f>
        <v>-</v>
      </c>
      <c r="P319" s="79" t="str">
        <f>+IFERROR(VLOOKUP(CONCATENATE(A319,$C$10,C319),'ID1&amp;5'!B:J,9,FALSE),"-")</f>
        <v>-</v>
      </c>
      <c r="Q319" s="78" t="str">
        <f>+IFERROR(VLOOKUP(D319,'ID1&amp;5'!K:L,2,FALSE),"-")</f>
        <v>-</v>
      </c>
      <c r="R319" s="26" t="str">
        <f>+IFERROR(VLOOKUP(CONCATENATE(A319,$D$10,D319),'ID1&amp;5'!B:J,9,FALSE),"-")</f>
        <v>-</v>
      </c>
      <c r="S319" s="78" t="str">
        <f>+IFERROR(VLOOKUP(E319,'ID1&amp;5'!K:L,2,FALSE),"-")</f>
        <v>-</v>
      </c>
      <c r="T319" s="79" t="str">
        <f>+IFERROR(VLOOKUP(CONCATENATE(A319,$E$10,E319),'ID1&amp;5'!B:J,9,FALSE),"-")</f>
        <v>-</v>
      </c>
      <c r="U319" s="78" t="str">
        <f>+IFERROR(VLOOKUP(F319,'ID1&amp;5'!K:L,2,FALSE),"-")</f>
        <v>-</v>
      </c>
      <c r="V319" s="79" t="str">
        <f>+IFERROR(VLOOKUP(CONCATENATE(A319,$F$10,F319),'ID1&amp;5'!B:J,9,FALSE),"-")</f>
        <v>-</v>
      </c>
      <c r="W319" s="26" t="str">
        <f>+IFERROR(VLOOKUP(A319,'ID6&amp;7'!A:I,9,FALSE),"-")</f>
        <v>-</v>
      </c>
      <c r="X319" s="26" t="str">
        <f>+IFERROR(VLOOKUP(A319,'ID6&amp;7'!A:J,10,FALSE),"-")</f>
        <v>-</v>
      </c>
      <c r="Y319" s="26"/>
      <c r="Z319" s="27" t="str">
        <f t="shared" si="5"/>
        <v>Por iniciar</v>
      </c>
      <c r="AA319" s="65"/>
    </row>
    <row r="320" spans="1:27">
      <c r="A320" s="20"/>
      <c r="B320" s="60"/>
      <c r="C320" s="60"/>
      <c r="D320" s="60"/>
      <c r="E320" s="60"/>
      <c r="F320" s="60"/>
      <c r="G320" s="60"/>
      <c r="H320" s="65" t="s">
        <v>113</v>
      </c>
      <c r="I320" s="21" t="s">
        <v>1344</v>
      </c>
      <c r="J320" s="26">
        <f>+COUNTIF('ID1&amp;5'!G:G,'1. Status'!I320)</f>
        <v>0</v>
      </c>
      <c r="K320" s="79" t="str">
        <f>+IFERROR(VLOOKUP(CONCATENATE(A320,$B$10,B320),'ID1&amp;5'!B:J,8,FALSE),"-")</f>
        <v>-</v>
      </c>
      <c r="L320" s="78" t="str">
        <f>+IFERROR(VLOOKUP(B320,'ID1&amp;5'!K:L,2,FALSE),"-")</f>
        <v>-</v>
      </c>
      <c r="M320" s="79" t="str">
        <f>+IFERROR(VLOOKUP(CONCATENATE(A320,$B$10,B320),'ID1&amp;5'!B:J,9,FALSE),"-")</f>
        <v>-</v>
      </c>
      <c r="N320" s="79" t="str">
        <f>+IFERROR(VLOOKUP(CONCATENATE(A320,$C$10,C320),'ID1&amp;5'!B:J,8,FALSE),"-")</f>
        <v>-</v>
      </c>
      <c r="O320" s="78" t="str">
        <f>+IFERROR(VLOOKUP(C320,'ID1&amp;5'!K:L,2,FALSE),"-")</f>
        <v>-</v>
      </c>
      <c r="P320" s="79" t="str">
        <f>+IFERROR(VLOOKUP(CONCATENATE(A320,$C$10,C320),'ID1&amp;5'!B:J,9,FALSE),"-")</f>
        <v>-</v>
      </c>
      <c r="Q320" s="78" t="str">
        <f>+IFERROR(VLOOKUP(D320,'ID1&amp;5'!K:L,2,FALSE),"-")</f>
        <v>-</v>
      </c>
      <c r="R320" s="26" t="str">
        <f>+IFERROR(VLOOKUP(CONCATENATE(A320,$D$10,D320),'ID1&amp;5'!B:J,9,FALSE),"-")</f>
        <v>-</v>
      </c>
      <c r="S320" s="78" t="str">
        <f>+IFERROR(VLOOKUP(E320,'ID1&amp;5'!K:L,2,FALSE),"-")</f>
        <v>-</v>
      </c>
      <c r="T320" s="79" t="str">
        <f>+IFERROR(VLOOKUP(CONCATENATE(A320,$E$10,E320),'ID1&amp;5'!B:J,9,FALSE),"-")</f>
        <v>-</v>
      </c>
      <c r="U320" s="78" t="str">
        <f>+IFERROR(VLOOKUP(F320,'ID1&amp;5'!K:L,2,FALSE),"-")</f>
        <v>-</v>
      </c>
      <c r="V320" s="79" t="str">
        <f>+IFERROR(VLOOKUP(CONCATENATE(A320,$F$10,F320),'ID1&amp;5'!B:J,9,FALSE),"-")</f>
        <v>-</v>
      </c>
      <c r="W320" s="26" t="str">
        <f>+IFERROR(VLOOKUP(A320,'ID6&amp;7'!A:I,9,FALSE),"-")</f>
        <v>-</v>
      </c>
      <c r="X320" s="26" t="str">
        <f>+IFERROR(VLOOKUP(A320,'ID6&amp;7'!A:J,10,FALSE),"-")</f>
        <v>-</v>
      </c>
      <c r="Y320" s="26"/>
      <c r="Z320" s="27" t="str">
        <f t="shared" ref="Z320:Z383" si="6">+IF(J320=0,"Por iniciar",IF(OR(K320="-",M320="-",P320="-",R320="-",T320="-",V320="-"),"Em testes",IF(AND(M320=0,P320=0,R320=0,T320&lt;&gt;K320,V320&lt;&gt;K320),"OK","NOK")))</f>
        <v>Por iniciar</v>
      </c>
      <c r="AA320" s="65"/>
    </row>
    <row r="321" spans="1:27">
      <c r="A321" s="20"/>
      <c r="B321" s="60"/>
      <c r="C321" s="60"/>
      <c r="D321" s="60"/>
      <c r="E321" s="60"/>
      <c r="F321" s="60"/>
      <c r="G321" s="60"/>
      <c r="H321" s="65" t="s">
        <v>113</v>
      </c>
      <c r="I321" s="21" t="s">
        <v>1345</v>
      </c>
      <c r="J321" s="26">
        <f>+COUNTIF('ID1&amp;5'!G:G,'1. Status'!I321)</f>
        <v>0</v>
      </c>
      <c r="K321" s="79" t="str">
        <f>+IFERROR(VLOOKUP(CONCATENATE(A321,$B$10,B321),'ID1&amp;5'!B:J,8,FALSE),"-")</f>
        <v>-</v>
      </c>
      <c r="L321" s="78" t="str">
        <f>+IFERROR(VLOOKUP(B321,'ID1&amp;5'!K:L,2,FALSE),"-")</f>
        <v>-</v>
      </c>
      <c r="M321" s="79" t="str">
        <f>+IFERROR(VLOOKUP(CONCATENATE(A321,$B$10,B321),'ID1&amp;5'!B:J,9,FALSE),"-")</f>
        <v>-</v>
      </c>
      <c r="N321" s="79" t="str">
        <f>+IFERROR(VLOOKUP(CONCATENATE(A321,$C$10,C321),'ID1&amp;5'!B:J,8,FALSE),"-")</f>
        <v>-</v>
      </c>
      <c r="O321" s="78" t="str">
        <f>+IFERROR(VLOOKUP(C321,'ID1&amp;5'!K:L,2,FALSE),"-")</f>
        <v>-</v>
      </c>
      <c r="P321" s="79" t="str">
        <f>+IFERROR(VLOOKUP(CONCATENATE(A321,$C$10,C321),'ID1&amp;5'!B:J,9,FALSE),"-")</f>
        <v>-</v>
      </c>
      <c r="Q321" s="78" t="str">
        <f>+IFERROR(VLOOKUP(D321,'ID1&amp;5'!K:L,2,FALSE),"-")</f>
        <v>-</v>
      </c>
      <c r="R321" s="26" t="str">
        <f>+IFERROR(VLOOKUP(CONCATENATE(A321,$D$10,D321),'ID1&amp;5'!B:J,9,FALSE),"-")</f>
        <v>-</v>
      </c>
      <c r="S321" s="78" t="str">
        <f>+IFERROR(VLOOKUP(E321,'ID1&amp;5'!K:L,2,FALSE),"-")</f>
        <v>-</v>
      </c>
      <c r="T321" s="79" t="str">
        <f>+IFERROR(VLOOKUP(CONCATENATE(A321,$E$10,E321),'ID1&amp;5'!B:J,9,FALSE),"-")</f>
        <v>-</v>
      </c>
      <c r="U321" s="78" t="str">
        <f>+IFERROR(VLOOKUP(F321,'ID1&amp;5'!K:L,2,FALSE),"-")</f>
        <v>-</v>
      </c>
      <c r="V321" s="79" t="str">
        <f>+IFERROR(VLOOKUP(CONCATENATE(A321,$F$10,F321),'ID1&amp;5'!B:J,9,FALSE),"-")</f>
        <v>-</v>
      </c>
      <c r="W321" s="26" t="str">
        <f>+IFERROR(VLOOKUP(A321,'ID6&amp;7'!A:I,9,FALSE),"-")</f>
        <v>-</v>
      </c>
      <c r="X321" s="26" t="str">
        <f>+IFERROR(VLOOKUP(A321,'ID6&amp;7'!A:J,10,FALSE),"-")</f>
        <v>-</v>
      </c>
      <c r="Y321" s="26"/>
      <c r="Z321" s="27" t="str">
        <f t="shared" si="6"/>
        <v>Por iniciar</v>
      </c>
      <c r="AA321" s="65"/>
    </row>
    <row r="322" spans="1:27">
      <c r="A322" s="20"/>
      <c r="B322" s="60"/>
      <c r="C322" s="60"/>
      <c r="D322" s="60"/>
      <c r="E322" s="60"/>
      <c r="F322" s="60"/>
      <c r="G322" s="60"/>
      <c r="H322" s="65" t="s">
        <v>113</v>
      </c>
      <c r="I322" s="21" t="s">
        <v>1346</v>
      </c>
      <c r="J322" s="26">
        <f>+COUNTIF('ID1&amp;5'!G:G,'1. Status'!I322)</f>
        <v>0</v>
      </c>
      <c r="K322" s="79" t="str">
        <f>+IFERROR(VLOOKUP(CONCATENATE(A322,$B$10,B322),'ID1&amp;5'!B:J,8,FALSE),"-")</f>
        <v>-</v>
      </c>
      <c r="L322" s="78" t="str">
        <f>+IFERROR(VLOOKUP(B322,'ID1&amp;5'!K:L,2,FALSE),"-")</f>
        <v>-</v>
      </c>
      <c r="M322" s="79" t="str">
        <f>+IFERROR(VLOOKUP(CONCATENATE(A322,$B$10,B322),'ID1&amp;5'!B:J,9,FALSE),"-")</f>
        <v>-</v>
      </c>
      <c r="N322" s="79" t="str">
        <f>+IFERROR(VLOOKUP(CONCATENATE(A322,$C$10,C322),'ID1&amp;5'!B:J,8,FALSE),"-")</f>
        <v>-</v>
      </c>
      <c r="O322" s="78" t="str">
        <f>+IFERROR(VLOOKUP(C322,'ID1&amp;5'!K:L,2,FALSE),"-")</f>
        <v>-</v>
      </c>
      <c r="P322" s="79" t="str">
        <f>+IFERROR(VLOOKUP(CONCATENATE(A322,$C$10,C322),'ID1&amp;5'!B:J,9,FALSE),"-")</f>
        <v>-</v>
      </c>
      <c r="Q322" s="78" t="str">
        <f>+IFERROR(VLOOKUP(D322,'ID1&amp;5'!K:L,2,FALSE),"-")</f>
        <v>-</v>
      </c>
      <c r="R322" s="26" t="str">
        <f>+IFERROR(VLOOKUP(CONCATENATE(A322,$D$10,D322),'ID1&amp;5'!B:J,9,FALSE),"-")</f>
        <v>-</v>
      </c>
      <c r="S322" s="78" t="str">
        <f>+IFERROR(VLOOKUP(E322,'ID1&amp;5'!K:L,2,FALSE),"-")</f>
        <v>-</v>
      </c>
      <c r="T322" s="79" t="str">
        <f>+IFERROR(VLOOKUP(CONCATENATE(A322,$E$10,E322),'ID1&amp;5'!B:J,9,FALSE),"-")</f>
        <v>-</v>
      </c>
      <c r="U322" s="78" t="str">
        <f>+IFERROR(VLOOKUP(F322,'ID1&amp;5'!K:L,2,FALSE),"-")</f>
        <v>-</v>
      </c>
      <c r="V322" s="79" t="str">
        <f>+IFERROR(VLOOKUP(CONCATENATE(A322,$F$10,F322),'ID1&amp;5'!B:J,9,FALSE),"-")</f>
        <v>-</v>
      </c>
      <c r="W322" s="26" t="str">
        <f>+IFERROR(VLOOKUP(A322,'ID6&amp;7'!A:I,9,FALSE),"-")</f>
        <v>-</v>
      </c>
      <c r="X322" s="26" t="str">
        <f>+IFERROR(VLOOKUP(A322,'ID6&amp;7'!A:J,10,FALSE),"-")</f>
        <v>-</v>
      </c>
      <c r="Y322" s="26"/>
      <c r="Z322" s="27" t="str">
        <f t="shared" si="6"/>
        <v>Por iniciar</v>
      </c>
      <c r="AA322" s="65"/>
    </row>
    <row r="323" spans="1:27">
      <c r="A323" s="20"/>
      <c r="B323" s="60"/>
      <c r="C323" s="60"/>
      <c r="D323" s="60"/>
      <c r="E323" s="60"/>
      <c r="F323" s="60"/>
      <c r="G323" s="60"/>
      <c r="H323" s="65" t="s">
        <v>113</v>
      </c>
      <c r="I323" s="21" t="s">
        <v>1347</v>
      </c>
      <c r="J323" s="26">
        <f>+COUNTIF('ID1&amp;5'!G:G,'1. Status'!I323)</f>
        <v>0</v>
      </c>
      <c r="K323" s="79" t="str">
        <f>+IFERROR(VLOOKUP(CONCATENATE(A323,$B$10,B323),'ID1&amp;5'!B:J,8,FALSE),"-")</f>
        <v>-</v>
      </c>
      <c r="L323" s="78" t="str">
        <f>+IFERROR(VLOOKUP(B323,'ID1&amp;5'!K:L,2,FALSE),"-")</f>
        <v>-</v>
      </c>
      <c r="M323" s="79" t="str">
        <f>+IFERROR(VLOOKUP(CONCATENATE(A323,$B$10,B323),'ID1&amp;5'!B:J,9,FALSE),"-")</f>
        <v>-</v>
      </c>
      <c r="N323" s="79" t="str">
        <f>+IFERROR(VLOOKUP(CONCATENATE(A323,$C$10,C323),'ID1&amp;5'!B:J,8,FALSE),"-")</f>
        <v>-</v>
      </c>
      <c r="O323" s="78" t="str">
        <f>+IFERROR(VLOOKUP(C323,'ID1&amp;5'!K:L,2,FALSE),"-")</f>
        <v>-</v>
      </c>
      <c r="P323" s="79" t="str">
        <f>+IFERROR(VLOOKUP(CONCATENATE(A323,$C$10,C323),'ID1&amp;5'!B:J,9,FALSE),"-")</f>
        <v>-</v>
      </c>
      <c r="Q323" s="78" t="str">
        <f>+IFERROR(VLOOKUP(D323,'ID1&amp;5'!K:L,2,FALSE),"-")</f>
        <v>-</v>
      </c>
      <c r="R323" s="26" t="str">
        <f>+IFERROR(VLOOKUP(CONCATENATE(A323,$D$10,D323),'ID1&amp;5'!B:J,9,FALSE),"-")</f>
        <v>-</v>
      </c>
      <c r="S323" s="78" t="str">
        <f>+IFERROR(VLOOKUP(E323,'ID1&amp;5'!K:L,2,FALSE),"-")</f>
        <v>-</v>
      </c>
      <c r="T323" s="79" t="str">
        <f>+IFERROR(VLOOKUP(CONCATENATE(A323,$E$10,E323),'ID1&amp;5'!B:J,9,FALSE),"-")</f>
        <v>-</v>
      </c>
      <c r="U323" s="78" t="str">
        <f>+IFERROR(VLOOKUP(F323,'ID1&amp;5'!K:L,2,FALSE),"-")</f>
        <v>-</v>
      </c>
      <c r="V323" s="79" t="str">
        <f>+IFERROR(VLOOKUP(CONCATENATE(A323,$F$10,F323),'ID1&amp;5'!B:J,9,FALSE),"-")</f>
        <v>-</v>
      </c>
      <c r="W323" s="26" t="str">
        <f>+IFERROR(VLOOKUP(A323,'ID6&amp;7'!A:I,9,FALSE),"-")</f>
        <v>-</v>
      </c>
      <c r="X323" s="26" t="str">
        <f>+IFERROR(VLOOKUP(A323,'ID6&amp;7'!A:J,10,FALSE),"-")</f>
        <v>-</v>
      </c>
      <c r="Y323" s="26"/>
      <c r="Z323" s="27" t="str">
        <f t="shared" si="6"/>
        <v>Por iniciar</v>
      </c>
      <c r="AA323" s="65"/>
    </row>
    <row r="324" spans="1:27">
      <c r="A324" s="20"/>
      <c r="B324" s="60"/>
      <c r="C324" s="60"/>
      <c r="D324" s="60"/>
      <c r="E324" s="60"/>
      <c r="F324" s="60"/>
      <c r="G324" s="60"/>
      <c r="H324" s="65" t="s">
        <v>113</v>
      </c>
      <c r="I324" s="21" t="s">
        <v>1348</v>
      </c>
      <c r="J324" s="26">
        <f>+COUNTIF('ID1&amp;5'!G:G,'1. Status'!I324)</f>
        <v>0</v>
      </c>
      <c r="K324" s="79" t="str">
        <f>+IFERROR(VLOOKUP(CONCATENATE(A324,$B$10,B324),'ID1&amp;5'!B:J,8,FALSE),"-")</f>
        <v>-</v>
      </c>
      <c r="L324" s="78" t="str">
        <f>+IFERROR(VLOOKUP(B324,'ID1&amp;5'!K:L,2,FALSE),"-")</f>
        <v>-</v>
      </c>
      <c r="M324" s="79" t="str">
        <f>+IFERROR(VLOOKUP(CONCATENATE(A324,$B$10,B324),'ID1&amp;5'!B:J,9,FALSE),"-")</f>
        <v>-</v>
      </c>
      <c r="N324" s="79" t="str">
        <f>+IFERROR(VLOOKUP(CONCATENATE(A324,$C$10,C324),'ID1&amp;5'!B:J,8,FALSE),"-")</f>
        <v>-</v>
      </c>
      <c r="O324" s="78" t="str">
        <f>+IFERROR(VLOOKUP(C324,'ID1&amp;5'!K:L,2,FALSE),"-")</f>
        <v>-</v>
      </c>
      <c r="P324" s="79" t="str">
        <f>+IFERROR(VLOOKUP(CONCATENATE(A324,$C$10,C324),'ID1&amp;5'!B:J,9,FALSE),"-")</f>
        <v>-</v>
      </c>
      <c r="Q324" s="78" t="str">
        <f>+IFERROR(VLOOKUP(D324,'ID1&amp;5'!K:L,2,FALSE),"-")</f>
        <v>-</v>
      </c>
      <c r="R324" s="26" t="str">
        <f>+IFERROR(VLOOKUP(CONCATENATE(A324,$D$10,D324),'ID1&amp;5'!B:J,9,FALSE),"-")</f>
        <v>-</v>
      </c>
      <c r="S324" s="78" t="str">
        <f>+IFERROR(VLOOKUP(E324,'ID1&amp;5'!K:L,2,FALSE),"-")</f>
        <v>-</v>
      </c>
      <c r="T324" s="79" t="str">
        <f>+IFERROR(VLOOKUP(CONCATENATE(A324,$E$10,E324),'ID1&amp;5'!B:J,9,FALSE),"-")</f>
        <v>-</v>
      </c>
      <c r="U324" s="78" t="str">
        <f>+IFERROR(VLOOKUP(F324,'ID1&amp;5'!K:L,2,FALSE),"-")</f>
        <v>-</v>
      </c>
      <c r="V324" s="79" t="str">
        <f>+IFERROR(VLOOKUP(CONCATENATE(A324,$F$10,F324),'ID1&amp;5'!B:J,9,FALSE),"-")</f>
        <v>-</v>
      </c>
      <c r="W324" s="26" t="str">
        <f>+IFERROR(VLOOKUP(A324,'ID6&amp;7'!A:I,9,FALSE),"-")</f>
        <v>-</v>
      </c>
      <c r="X324" s="26" t="str">
        <f>+IFERROR(VLOOKUP(A324,'ID6&amp;7'!A:J,10,FALSE),"-")</f>
        <v>-</v>
      </c>
      <c r="Y324" s="26"/>
      <c r="Z324" s="27" t="str">
        <f t="shared" si="6"/>
        <v>Por iniciar</v>
      </c>
      <c r="AA324" s="65"/>
    </row>
    <row r="325" spans="1:27">
      <c r="A325" s="20"/>
      <c r="B325" s="60"/>
      <c r="C325" s="60"/>
      <c r="D325" s="60"/>
      <c r="E325" s="60"/>
      <c r="F325" s="60"/>
      <c r="G325" s="60"/>
      <c r="H325" s="65" t="s">
        <v>113</v>
      </c>
      <c r="I325" s="21" t="s">
        <v>1349</v>
      </c>
      <c r="J325" s="26">
        <f>+COUNTIF('ID1&amp;5'!G:G,'1. Status'!I325)</f>
        <v>0</v>
      </c>
      <c r="K325" s="79" t="str">
        <f>+IFERROR(VLOOKUP(CONCATENATE(A325,$B$10,B325),'ID1&amp;5'!B:J,8,FALSE),"-")</f>
        <v>-</v>
      </c>
      <c r="L325" s="78" t="str">
        <f>+IFERROR(VLOOKUP(B325,'ID1&amp;5'!K:L,2,FALSE),"-")</f>
        <v>-</v>
      </c>
      <c r="M325" s="79" t="str">
        <f>+IFERROR(VLOOKUP(CONCATENATE(A325,$B$10,B325),'ID1&amp;5'!B:J,9,FALSE),"-")</f>
        <v>-</v>
      </c>
      <c r="N325" s="79" t="str">
        <f>+IFERROR(VLOOKUP(CONCATENATE(A325,$C$10,C325),'ID1&amp;5'!B:J,8,FALSE),"-")</f>
        <v>-</v>
      </c>
      <c r="O325" s="78" t="str">
        <f>+IFERROR(VLOOKUP(C325,'ID1&amp;5'!K:L,2,FALSE),"-")</f>
        <v>-</v>
      </c>
      <c r="P325" s="79" t="str">
        <f>+IFERROR(VLOOKUP(CONCATENATE(A325,$C$10,C325),'ID1&amp;5'!B:J,9,FALSE),"-")</f>
        <v>-</v>
      </c>
      <c r="Q325" s="78" t="str">
        <f>+IFERROR(VLOOKUP(D325,'ID1&amp;5'!K:L,2,FALSE),"-")</f>
        <v>-</v>
      </c>
      <c r="R325" s="26" t="str">
        <f>+IFERROR(VLOOKUP(CONCATENATE(A325,$D$10,D325),'ID1&amp;5'!B:J,9,FALSE),"-")</f>
        <v>-</v>
      </c>
      <c r="S325" s="78" t="str">
        <f>+IFERROR(VLOOKUP(E325,'ID1&amp;5'!K:L,2,FALSE),"-")</f>
        <v>-</v>
      </c>
      <c r="T325" s="79" t="str">
        <f>+IFERROR(VLOOKUP(CONCATENATE(A325,$E$10,E325),'ID1&amp;5'!B:J,9,FALSE),"-")</f>
        <v>-</v>
      </c>
      <c r="U325" s="78" t="str">
        <f>+IFERROR(VLOOKUP(F325,'ID1&amp;5'!K:L,2,FALSE),"-")</f>
        <v>-</v>
      </c>
      <c r="V325" s="79" t="str">
        <f>+IFERROR(VLOOKUP(CONCATENATE(A325,$F$10,F325),'ID1&amp;5'!B:J,9,FALSE),"-")</f>
        <v>-</v>
      </c>
      <c r="W325" s="26" t="str">
        <f>+IFERROR(VLOOKUP(A325,'ID6&amp;7'!A:I,9,FALSE),"-")</f>
        <v>-</v>
      </c>
      <c r="X325" s="26" t="str">
        <f>+IFERROR(VLOOKUP(A325,'ID6&amp;7'!A:J,10,FALSE),"-")</f>
        <v>-</v>
      </c>
      <c r="Y325" s="26"/>
      <c r="Z325" s="27" t="str">
        <f t="shared" si="6"/>
        <v>Por iniciar</v>
      </c>
      <c r="AA325" s="65"/>
    </row>
    <row r="326" spans="1:27">
      <c r="A326" s="20"/>
      <c r="B326" s="60"/>
      <c r="C326" s="60"/>
      <c r="D326" s="60"/>
      <c r="E326" s="60"/>
      <c r="F326" s="60"/>
      <c r="G326" s="60"/>
      <c r="H326" s="65" t="s">
        <v>113</v>
      </c>
      <c r="I326" s="21" t="s">
        <v>1350</v>
      </c>
      <c r="J326" s="26">
        <f>+COUNTIF('ID1&amp;5'!G:G,'1. Status'!I326)</f>
        <v>0</v>
      </c>
      <c r="K326" s="79" t="str">
        <f>+IFERROR(VLOOKUP(CONCATENATE(A326,$B$10,B326),'ID1&amp;5'!B:J,8,FALSE),"-")</f>
        <v>-</v>
      </c>
      <c r="L326" s="78" t="str">
        <f>+IFERROR(VLOOKUP(B326,'ID1&amp;5'!K:L,2,FALSE),"-")</f>
        <v>-</v>
      </c>
      <c r="M326" s="79" t="str">
        <f>+IFERROR(VLOOKUP(CONCATENATE(A326,$B$10,B326),'ID1&amp;5'!B:J,9,FALSE),"-")</f>
        <v>-</v>
      </c>
      <c r="N326" s="79" t="str">
        <f>+IFERROR(VLOOKUP(CONCATENATE(A326,$C$10,C326),'ID1&amp;5'!B:J,8,FALSE),"-")</f>
        <v>-</v>
      </c>
      <c r="O326" s="78" t="str">
        <f>+IFERROR(VLOOKUP(C326,'ID1&amp;5'!K:L,2,FALSE),"-")</f>
        <v>-</v>
      </c>
      <c r="P326" s="79" t="str">
        <f>+IFERROR(VLOOKUP(CONCATENATE(A326,$C$10,C326),'ID1&amp;5'!B:J,9,FALSE),"-")</f>
        <v>-</v>
      </c>
      <c r="Q326" s="78" t="str">
        <f>+IFERROR(VLOOKUP(D326,'ID1&amp;5'!K:L,2,FALSE),"-")</f>
        <v>-</v>
      </c>
      <c r="R326" s="26" t="str">
        <f>+IFERROR(VLOOKUP(CONCATENATE(A326,$D$10,D326),'ID1&amp;5'!B:J,9,FALSE),"-")</f>
        <v>-</v>
      </c>
      <c r="S326" s="78" t="str">
        <f>+IFERROR(VLOOKUP(E326,'ID1&amp;5'!K:L,2,FALSE),"-")</f>
        <v>-</v>
      </c>
      <c r="T326" s="79" t="str">
        <f>+IFERROR(VLOOKUP(CONCATENATE(A326,$E$10,E326),'ID1&amp;5'!B:J,9,FALSE),"-")</f>
        <v>-</v>
      </c>
      <c r="U326" s="78" t="str">
        <f>+IFERROR(VLOOKUP(F326,'ID1&amp;5'!K:L,2,FALSE),"-")</f>
        <v>-</v>
      </c>
      <c r="V326" s="79" t="str">
        <f>+IFERROR(VLOOKUP(CONCATENATE(A326,$F$10,F326),'ID1&amp;5'!B:J,9,FALSE),"-")</f>
        <v>-</v>
      </c>
      <c r="W326" s="26" t="str">
        <f>+IFERROR(VLOOKUP(A326,'ID6&amp;7'!A:I,9,FALSE),"-")</f>
        <v>-</v>
      </c>
      <c r="X326" s="26" t="str">
        <f>+IFERROR(VLOOKUP(A326,'ID6&amp;7'!A:J,10,FALSE),"-")</f>
        <v>-</v>
      </c>
      <c r="Y326" s="26"/>
      <c r="Z326" s="27" t="str">
        <f t="shared" si="6"/>
        <v>Por iniciar</v>
      </c>
      <c r="AA326" s="65"/>
    </row>
    <row r="327" spans="1:27">
      <c r="A327" s="20"/>
      <c r="B327" s="60"/>
      <c r="C327" s="60"/>
      <c r="D327" s="60"/>
      <c r="E327" s="60"/>
      <c r="F327" s="60"/>
      <c r="G327" s="60"/>
      <c r="H327" s="65" t="s">
        <v>113</v>
      </c>
      <c r="I327" s="21" t="s">
        <v>1351</v>
      </c>
      <c r="J327" s="26">
        <f>+COUNTIF('ID1&amp;5'!G:G,'1. Status'!I327)</f>
        <v>0</v>
      </c>
      <c r="K327" s="79" t="str">
        <f>+IFERROR(VLOOKUP(CONCATENATE(A327,$B$10,B327),'ID1&amp;5'!B:J,8,FALSE),"-")</f>
        <v>-</v>
      </c>
      <c r="L327" s="78" t="str">
        <f>+IFERROR(VLOOKUP(B327,'ID1&amp;5'!K:L,2,FALSE),"-")</f>
        <v>-</v>
      </c>
      <c r="M327" s="79" t="str">
        <f>+IFERROR(VLOOKUP(CONCATENATE(A327,$B$10,B327),'ID1&amp;5'!B:J,9,FALSE),"-")</f>
        <v>-</v>
      </c>
      <c r="N327" s="79" t="str">
        <f>+IFERROR(VLOOKUP(CONCATENATE(A327,$C$10,C327),'ID1&amp;5'!B:J,8,FALSE),"-")</f>
        <v>-</v>
      </c>
      <c r="O327" s="78" t="str">
        <f>+IFERROR(VLOOKUP(C327,'ID1&amp;5'!K:L,2,FALSE),"-")</f>
        <v>-</v>
      </c>
      <c r="P327" s="79" t="str">
        <f>+IFERROR(VLOOKUP(CONCATENATE(A327,$C$10,C327),'ID1&amp;5'!B:J,9,FALSE),"-")</f>
        <v>-</v>
      </c>
      <c r="Q327" s="78" t="str">
        <f>+IFERROR(VLOOKUP(D327,'ID1&amp;5'!K:L,2,FALSE),"-")</f>
        <v>-</v>
      </c>
      <c r="R327" s="26" t="str">
        <f>+IFERROR(VLOOKUP(CONCATENATE(A327,$D$10,D327),'ID1&amp;5'!B:J,9,FALSE),"-")</f>
        <v>-</v>
      </c>
      <c r="S327" s="78" t="str">
        <f>+IFERROR(VLOOKUP(E327,'ID1&amp;5'!K:L,2,FALSE),"-")</f>
        <v>-</v>
      </c>
      <c r="T327" s="79" t="str">
        <f>+IFERROR(VLOOKUP(CONCATENATE(A327,$E$10,E327),'ID1&amp;5'!B:J,9,FALSE),"-")</f>
        <v>-</v>
      </c>
      <c r="U327" s="78" t="str">
        <f>+IFERROR(VLOOKUP(F327,'ID1&amp;5'!K:L,2,FALSE),"-")</f>
        <v>-</v>
      </c>
      <c r="V327" s="79" t="str">
        <f>+IFERROR(VLOOKUP(CONCATENATE(A327,$F$10,F327),'ID1&amp;5'!B:J,9,FALSE),"-")</f>
        <v>-</v>
      </c>
      <c r="W327" s="26" t="str">
        <f>+IFERROR(VLOOKUP(A327,'ID6&amp;7'!A:I,9,FALSE),"-")</f>
        <v>-</v>
      </c>
      <c r="X327" s="26" t="str">
        <f>+IFERROR(VLOOKUP(A327,'ID6&amp;7'!A:J,10,FALSE),"-")</f>
        <v>-</v>
      </c>
      <c r="Y327" s="26"/>
      <c r="Z327" s="27" t="str">
        <f t="shared" si="6"/>
        <v>Por iniciar</v>
      </c>
      <c r="AA327" s="65"/>
    </row>
    <row r="328" spans="1:27">
      <c r="A328" s="20"/>
      <c r="B328" s="60"/>
      <c r="C328" s="60"/>
      <c r="D328" s="60"/>
      <c r="E328" s="60"/>
      <c r="F328" s="60"/>
      <c r="G328" s="60"/>
      <c r="H328" s="65" t="s">
        <v>113</v>
      </c>
      <c r="I328" s="21" t="s">
        <v>1352</v>
      </c>
      <c r="J328" s="26">
        <f>+COUNTIF('ID1&amp;5'!G:G,'1. Status'!I328)</f>
        <v>1</v>
      </c>
      <c r="K328" s="79" t="str">
        <f>+IFERROR(VLOOKUP(CONCATENATE(A328,$B$10,B328),'ID1&amp;5'!B:J,8,FALSE),"-")</f>
        <v>-</v>
      </c>
      <c r="L328" s="78" t="str">
        <f>+IFERROR(VLOOKUP(B328,'ID1&amp;5'!K:L,2,FALSE),"-")</f>
        <v>-</v>
      </c>
      <c r="M328" s="79" t="str">
        <f>+IFERROR(VLOOKUP(CONCATENATE(A328,$B$10,B328),'ID1&amp;5'!B:J,9,FALSE),"-")</f>
        <v>-</v>
      </c>
      <c r="N328" s="79" t="str">
        <f>+IFERROR(VLOOKUP(CONCATENATE(A328,$C$10,C328),'ID1&amp;5'!B:J,8,FALSE),"-")</f>
        <v>-</v>
      </c>
      <c r="O328" s="78" t="str">
        <f>+IFERROR(VLOOKUP(C328,'ID1&amp;5'!K:L,2,FALSE),"-")</f>
        <v>-</v>
      </c>
      <c r="P328" s="79" t="str">
        <f>+IFERROR(VLOOKUP(CONCATENATE(A328,$C$10,C328),'ID1&amp;5'!B:J,9,FALSE),"-")</f>
        <v>-</v>
      </c>
      <c r="Q328" s="78" t="str">
        <f>+IFERROR(VLOOKUP(D328,'ID1&amp;5'!K:L,2,FALSE),"-")</f>
        <v>-</v>
      </c>
      <c r="R328" s="26" t="str">
        <f>+IFERROR(VLOOKUP(CONCATENATE(A328,$D$10,D328),'ID1&amp;5'!B:J,9,FALSE),"-")</f>
        <v>-</v>
      </c>
      <c r="S328" s="78" t="str">
        <f>+IFERROR(VLOOKUP(E328,'ID1&amp;5'!K:L,2,FALSE),"-")</f>
        <v>-</v>
      </c>
      <c r="T328" s="79" t="str">
        <f>+IFERROR(VLOOKUP(CONCATENATE(A328,$E$10,E328),'ID1&amp;5'!B:J,9,FALSE),"-")</f>
        <v>-</v>
      </c>
      <c r="U328" s="78" t="str">
        <f>+IFERROR(VLOOKUP(F328,'ID1&amp;5'!K:L,2,FALSE),"-")</f>
        <v>-</v>
      </c>
      <c r="V328" s="79" t="str">
        <f>+IFERROR(VLOOKUP(CONCATENATE(A328,$F$10,F328),'ID1&amp;5'!B:J,9,FALSE),"-")</f>
        <v>-</v>
      </c>
      <c r="W328" s="26" t="str">
        <f>+IFERROR(VLOOKUP(A328,'ID6&amp;7'!A:I,9,FALSE),"-")</f>
        <v>-</v>
      </c>
      <c r="X328" s="26" t="str">
        <f>+IFERROR(VLOOKUP(A328,'ID6&amp;7'!A:J,10,FALSE),"-")</f>
        <v>-</v>
      </c>
      <c r="Y328" s="26"/>
      <c r="Z328" s="27" t="str">
        <f t="shared" si="6"/>
        <v>Em testes</v>
      </c>
      <c r="AA328" s="65"/>
    </row>
    <row r="329" spans="1:27">
      <c r="A329" s="20"/>
      <c r="B329" s="60"/>
      <c r="C329" s="60"/>
      <c r="D329" s="60"/>
      <c r="E329" s="60"/>
      <c r="F329" s="60"/>
      <c r="G329" s="60"/>
      <c r="H329" s="65" t="s">
        <v>113</v>
      </c>
      <c r="I329" s="21" t="s">
        <v>1353</v>
      </c>
      <c r="J329" s="26">
        <f>+COUNTIF('ID1&amp;5'!G:G,'1. Status'!I329)</f>
        <v>0</v>
      </c>
      <c r="K329" s="79" t="str">
        <f>+IFERROR(VLOOKUP(CONCATENATE(A329,$B$10,B329),'ID1&amp;5'!B:J,8,FALSE),"-")</f>
        <v>-</v>
      </c>
      <c r="L329" s="78" t="str">
        <f>+IFERROR(VLOOKUP(B329,'ID1&amp;5'!K:L,2,FALSE),"-")</f>
        <v>-</v>
      </c>
      <c r="M329" s="79" t="str">
        <f>+IFERROR(VLOOKUP(CONCATENATE(A329,$B$10,B329),'ID1&amp;5'!B:J,9,FALSE),"-")</f>
        <v>-</v>
      </c>
      <c r="N329" s="79" t="str">
        <f>+IFERROR(VLOOKUP(CONCATENATE(A329,$C$10,C329),'ID1&amp;5'!B:J,8,FALSE),"-")</f>
        <v>-</v>
      </c>
      <c r="O329" s="78" t="str">
        <f>+IFERROR(VLOOKUP(C329,'ID1&amp;5'!K:L,2,FALSE),"-")</f>
        <v>-</v>
      </c>
      <c r="P329" s="79" t="str">
        <f>+IFERROR(VLOOKUP(CONCATENATE(A329,$C$10,C329),'ID1&amp;5'!B:J,9,FALSE),"-")</f>
        <v>-</v>
      </c>
      <c r="Q329" s="78" t="str">
        <f>+IFERROR(VLOOKUP(D329,'ID1&amp;5'!K:L,2,FALSE),"-")</f>
        <v>-</v>
      </c>
      <c r="R329" s="26" t="str">
        <f>+IFERROR(VLOOKUP(CONCATENATE(A329,$D$10,D329),'ID1&amp;5'!B:J,9,FALSE),"-")</f>
        <v>-</v>
      </c>
      <c r="S329" s="78" t="str">
        <f>+IFERROR(VLOOKUP(E329,'ID1&amp;5'!K:L,2,FALSE),"-")</f>
        <v>-</v>
      </c>
      <c r="T329" s="79" t="str">
        <f>+IFERROR(VLOOKUP(CONCATENATE(A329,$E$10,E329),'ID1&amp;5'!B:J,9,FALSE),"-")</f>
        <v>-</v>
      </c>
      <c r="U329" s="78" t="str">
        <f>+IFERROR(VLOOKUP(F329,'ID1&amp;5'!K:L,2,FALSE),"-")</f>
        <v>-</v>
      </c>
      <c r="V329" s="79" t="str">
        <f>+IFERROR(VLOOKUP(CONCATENATE(A329,$F$10,F329),'ID1&amp;5'!B:J,9,FALSE),"-")</f>
        <v>-</v>
      </c>
      <c r="W329" s="26" t="str">
        <f>+IFERROR(VLOOKUP(A329,'ID6&amp;7'!A:I,9,FALSE),"-")</f>
        <v>-</v>
      </c>
      <c r="X329" s="26" t="str">
        <f>+IFERROR(VLOOKUP(A329,'ID6&amp;7'!A:J,10,FALSE),"-")</f>
        <v>-</v>
      </c>
      <c r="Y329" s="26"/>
      <c r="Z329" s="27" t="str">
        <f t="shared" si="6"/>
        <v>Por iniciar</v>
      </c>
      <c r="AA329" s="65"/>
    </row>
    <row r="330" spans="1:27">
      <c r="A330" s="20"/>
      <c r="B330" s="60"/>
      <c r="C330" s="60"/>
      <c r="D330" s="60"/>
      <c r="E330" s="60"/>
      <c r="F330" s="60"/>
      <c r="G330" s="60"/>
      <c r="H330" s="65" t="s">
        <v>113</v>
      </c>
      <c r="I330" s="21" t="s">
        <v>1354</v>
      </c>
      <c r="J330" s="26">
        <f>+COUNTIF('ID1&amp;5'!G:G,'1. Status'!I330)</f>
        <v>0</v>
      </c>
      <c r="K330" s="79" t="str">
        <f>+IFERROR(VLOOKUP(CONCATENATE(A330,$B$10,B330),'ID1&amp;5'!B:J,8,FALSE),"-")</f>
        <v>-</v>
      </c>
      <c r="L330" s="78" t="str">
        <f>+IFERROR(VLOOKUP(B330,'ID1&amp;5'!K:L,2,FALSE),"-")</f>
        <v>-</v>
      </c>
      <c r="M330" s="79" t="str">
        <f>+IFERROR(VLOOKUP(CONCATENATE(A330,$B$10,B330),'ID1&amp;5'!B:J,9,FALSE),"-")</f>
        <v>-</v>
      </c>
      <c r="N330" s="79" t="str">
        <f>+IFERROR(VLOOKUP(CONCATENATE(A330,$C$10,C330),'ID1&amp;5'!B:J,8,FALSE),"-")</f>
        <v>-</v>
      </c>
      <c r="O330" s="78" t="str">
        <f>+IFERROR(VLOOKUP(C330,'ID1&amp;5'!K:L,2,FALSE),"-")</f>
        <v>-</v>
      </c>
      <c r="P330" s="79" t="str">
        <f>+IFERROR(VLOOKUP(CONCATENATE(A330,$C$10,C330),'ID1&amp;5'!B:J,9,FALSE),"-")</f>
        <v>-</v>
      </c>
      <c r="Q330" s="78" t="str">
        <f>+IFERROR(VLOOKUP(D330,'ID1&amp;5'!K:L,2,FALSE),"-")</f>
        <v>-</v>
      </c>
      <c r="R330" s="26" t="str">
        <f>+IFERROR(VLOOKUP(CONCATENATE(A330,$D$10,D330),'ID1&amp;5'!B:J,9,FALSE),"-")</f>
        <v>-</v>
      </c>
      <c r="S330" s="78" t="str">
        <f>+IFERROR(VLOOKUP(E330,'ID1&amp;5'!K:L,2,FALSE),"-")</f>
        <v>-</v>
      </c>
      <c r="T330" s="79" t="str">
        <f>+IFERROR(VLOOKUP(CONCATENATE(A330,$E$10,E330),'ID1&amp;5'!B:J,9,FALSE),"-")</f>
        <v>-</v>
      </c>
      <c r="U330" s="78" t="str">
        <f>+IFERROR(VLOOKUP(F330,'ID1&amp;5'!K:L,2,FALSE),"-")</f>
        <v>-</v>
      </c>
      <c r="V330" s="79" t="str">
        <f>+IFERROR(VLOOKUP(CONCATENATE(A330,$F$10,F330),'ID1&amp;5'!B:J,9,FALSE),"-")</f>
        <v>-</v>
      </c>
      <c r="W330" s="26" t="str">
        <f>+IFERROR(VLOOKUP(A330,'ID6&amp;7'!A:I,9,FALSE),"-")</f>
        <v>-</v>
      </c>
      <c r="X330" s="26" t="str">
        <f>+IFERROR(VLOOKUP(A330,'ID6&amp;7'!A:J,10,FALSE),"-")</f>
        <v>-</v>
      </c>
      <c r="Y330" s="26"/>
      <c r="Z330" s="27" t="str">
        <f t="shared" si="6"/>
        <v>Por iniciar</v>
      </c>
      <c r="AA330" s="65"/>
    </row>
    <row r="331" spans="1:27">
      <c r="A331" s="20"/>
      <c r="B331" s="60"/>
      <c r="C331" s="60"/>
      <c r="D331" s="60"/>
      <c r="E331" s="60"/>
      <c r="F331" s="60"/>
      <c r="G331" s="60"/>
      <c r="H331" s="65" t="s">
        <v>113</v>
      </c>
      <c r="I331" s="21" t="s">
        <v>1355</v>
      </c>
      <c r="J331" s="26">
        <f>+COUNTIF('ID1&amp;5'!G:G,'1. Status'!I331)</f>
        <v>0</v>
      </c>
      <c r="K331" s="79" t="str">
        <f>+IFERROR(VLOOKUP(CONCATENATE(A331,$B$10,B331),'ID1&amp;5'!B:J,8,FALSE),"-")</f>
        <v>-</v>
      </c>
      <c r="L331" s="78" t="str">
        <f>+IFERROR(VLOOKUP(B331,'ID1&amp;5'!K:L,2,FALSE),"-")</f>
        <v>-</v>
      </c>
      <c r="M331" s="79" t="str">
        <f>+IFERROR(VLOOKUP(CONCATENATE(A331,$B$10,B331),'ID1&amp;5'!B:J,9,FALSE),"-")</f>
        <v>-</v>
      </c>
      <c r="N331" s="79" t="str">
        <f>+IFERROR(VLOOKUP(CONCATENATE(A331,$C$10,C331),'ID1&amp;5'!B:J,8,FALSE),"-")</f>
        <v>-</v>
      </c>
      <c r="O331" s="78" t="str">
        <f>+IFERROR(VLOOKUP(C331,'ID1&amp;5'!K:L,2,FALSE),"-")</f>
        <v>-</v>
      </c>
      <c r="P331" s="79" t="str">
        <f>+IFERROR(VLOOKUP(CONCATENATE(A331,$C$10,C331),'ID1&amp;5'!B:J,9,FALSE),"-")</f>
        <v>-</v>
      </c>
      <c r="Q331" s="78" t="str">
        <f>+IFERROR(VLOOKUP(D331,'ID1&amp;5'!K:L,2,FALSE),"-")</f>
        <v>-</v>
      </c>
      <c r="R331" s="26" t="str">
        <f>+IFERROR(VLOOKUP(CONCATENATE(A331,$D$10,D331),'ID1&amp;5'!B:J,9,FALSE),"-")</f>
        <v>-</v>
      </c>
      <c r="S331" s="78" t="str">
        <f>+IFERROR(VLOOKUP(E331,'ID1&amp;5'!K:L,2,FALSE),"-")</f>
        <v>-</v>
      </c>
      <c r="T331" s="79" t="str">
        <f>+IFERROR(VLOOKUP(CONCATENATE(A331,$E$10,E331),'ID1&amp;5'!B:J,9,FALSE),"-")</f>
        <v>-</v>
      </c>
      <c r="U331" s="78" t="str">
        <f>+IFERROR(VLOOKUP(F331,'ID1&amp;5'!K:L,2,FALSE),"-")</f>
        <v>-</v>
      </c>
      <c r="V331" s="79" t="str">
        <f>+IFERROR(VLOOKUP(CONCATENATE(A331,$F$10,F331),'ID1&amp;5'!B:J,9,FALSE),"-")</f>
        <v>-</v>
      </c>
      <c r="W331" s="26" t="str">
        <f>+IFERROR(VLOOKUP(A331,'ID6&amp;7'!A:I,9,FALSE),"-")</f>
        <v>-</v>
      </c>
      <c r="X331" s="26" t="str">
        <f>+IFERROR(VLOOKUP(A331,'ID6&amp;7'!A:J,10,FALSE),"-")</f>
        <v>-</v>
      </c>
      <c r="Y331" s="26"/>
      <c r="Z331" s="27" t="str">
        <f t="shared" si="6"/>
        <v>Por iniciar</v>
      </c>
      <c r="AA331" s="65"/>
    </row>
    <row r="332" spans="1:27">
      <c r="A332" s="20"/>
      <c r="B332" s="60"/>
      <c r="C332" s="60"/>
      <c r="D332" s="60"/>
      <c r="E332" s="60"/>
      <c r="F332" s="60"/>
      <c r="G332" s="60"/>
      <c r="H332" s="65" t="s">
        <v>113</v>
      </c>
      <c r="I332" s="21" t="s">
        <v>1356</v>
      </c>
      <c r="J332" s="26">
        <f>+COUNTIF('ID1&amp;5'!G:G,'1. Status'!I332)</f>
        <v>0</v>
      </c>
      <c r="K332" s="79" t="str">
        <f>+IFERROR(VLOOKUP(CONCATENATE(A332,$B$10,B332),'ID1&amp;5'!B:J,8,FALSE),"-")</f>
        <v>-</v>
      </c>
      <c r="L332" s="78" t="str">
        <f>+IFERROR(VLOOKUP(B332,'ID1&amp;5'!K:L,2,FALSE),"-")</f>
        <v>-</v>
      </c>
      <c r="M332" s="79" t="str">
        <f>+IFERROR(VLOOKUP(CONCATENATE(A332,$B$10,B332),'ID1&amp;5'!B:J,9,FALSE),"-")</f>
        <v>-</v>
      </c>
      <c r="N332" s="79" t="str">
        <f>+IFERROR(VLOOKUP(CONCATENATE(A332,$C$10,C332),'ID1&amp;5'!B:J,8,FALSE),"-")</f>
        <v>-</v>
      </c>
      <c r="O332" s="78" t="str">
        <f>+IFERROR(VLOOKUP(C332,'ID1&amp;5'!K:L,2,FALSE),"-")</f>
        <v>-</v>
      </c>
      <c r="P332" s="79" t="str">
        <f>+IFERROR(VLOOKUP(CONCATENATE(A332,$C$10,C332),'ID1&amp;5'!B:J,9,FALSE),"-")</f>
        <v>-</v>
      </c>
      <c r="Q332" s="78" t="str">
        <f>+IFERROR(VLOOKUP(D332,'ID1&amp;5'!K:L,2,FALSE),"-")</f>
        <v>-</v>
      </c>
      <c r="R332" s="26" t="str">
        <f>+IFERROR(VLOOKUP(CONCATENATE(A332,$D$10,D332),'ID1&amp;5'!B:J,9,FALSE),"-")</f>
        <v>-</v>
      </c>
      <c r="S332" s="78" t="str">
        <f>+IFERROR(VLOOKUP(E332,'ID1&amp;5'!K:L,2,FALSE),"-")</f>
        <v>-</v>
      </c>
      <c r="T332" s="79" t="str">
        <f>+IFERROR(VLOOKUP(CONCATENATE(A332,$E$10,E332),'ID1&amp;5'!B:J,9,FALSE),"-")</f>
        <v>-</v>
      </c>
      <c r="U332" s="78" t="str">
        <f>+IFERROR(VLOOKUP(F332,'ID1&amp;5'!K:L,2,FALSE),"-")</f>
        <v>-</v>
      </c>
      <c r="V332" s="79" t="str">
        <f>+IFERROR(VLOOKUP(CONCATENATE(A332,$F$10,F332),'ID1&amp;5'!B:J,9,FALSE),"-")</f>
        <v>-</v>
      </c>
      <c r="W332" s="26" t="str">
        <f>+IFERROR(VLOOKUP(A332,'ID6&amp;7'!A:I,9,FALSE),"-")</f>
        <v>-</v>
      </c>
      <c r="X332" s="26" t="str">
        <f>+IFERROR(VLOOKUP(A332,'ID6&amp;7'!A:J,10,FALSE),"-")</f>
        <v>-</v>
      </c>
      <c r="Y332" s="26"/>
      <c r="Z332" s="27" t="str">
        <f t="shared" si="6"/>
        <v>Por iniciar</v>
      </c>
      <c r="AA332" s="65"/>
    </row>
    <row r="333" spans="1:27">
      <c r="A333" s="20"/>
      <c r="B333" s="60"/>
      <c r="C333" s="60"/>
      <c r="D333" s="60"/>
      <c r="E333" s="60"/>
      <c r="F333" s="60"/>
      <c r="G333" s="60"/>
      <c r="H333" s="65" t="s">
        <v>113</v>
      </c>
      <c r="I333" s="21" t="s">
        <v>1357</v>
      </c>
      <c r="J333" s="26">
        <f>+COUNTIF('ID1&amp;5'!G:G,'1. Status'!I333)</f>
        <v>0</v>
      </c>
      <c r="K333" s="79" t="str">
        <f>+IFERROR(VLOOKUP(CONCATENATE(A333,$B$10,B333),'ID1&amp;5'!B:J,8,FALSE),"-")</f>
        <v>-</v>
      </c>
      <c r="L333" s="78" t="str">
        <f>+IFERROR(VLOOKUP(B333,'ID1&amp;5'!K:L,2,FALSE),"-")</f>
        <v>-</v>
      </c>
      <c r="M333" s="79" t="str">
        <f>+IFERROR(VLOOKUP(CONCATENATE(A333,$B$10,B333),'ID1&amp;5'!B:J,9,FALSE),"-")</f>
        <v>-</v>
      </c>
      <c r="N333" s="79" t="str">
        <f>+IFERROR(VLOOKUP(CONCATENATE(A333,$C$10,C333),'ID1&amp;5'!B:J,8,FALSE),"-")</f>
        <v>-</v>
      </c>
      <c r="O333" s="78" t="str">
        <f>+IFERROR(VLOOKUP(C333,'ID1&amp;5'!K:L,2,FALSE),"-")</f>
        <v>-</v>
      </c>
      <c r="P333" s="79" t="str">
        <f>+IFERROR(VLOOKUP(CONCATENATE(A333,$C$10,C333),'ID1&amp;5'!B:J,9,FALSE),"-")</f>
        <v>-</v>
      </c>
      <c r="Q333" s="78" t="str">
        <f>+IFERROR(VLOOKUP(D333,'ID1&amp;5'!K:L,2,FALSE),"-")</f>
        <v>-</v>
      </c>
      <c r="R333" s="26" t="str">
        <f>+IFERROR(VLOOKUP(CONCATENATE(A333,$D$10,D333),'ID1&amp;5'!B:J,9,FALSE),"-")</f>
        <v>-</v>
      </c>
      <c r="S333" s="78" t="str">
        <f>+IFERROR(VLOOKUP(E333,'ID1&amp;5'!K:L,2,FALSE),"-")</f>
        <v>-</v>
      </c>
      <c r="T333" s="79" t="str">
        <f>+IFERROR(VLOOKUP(CONCATENATE(A333,$E$10,E333),'ID1&amp;5'!B:J,9,FALSE),"-")</f>
        <v>-</v>
      </c>
      <c r="U333" s="78" t="str">
        <f>+IFERROR(VLOOKUP(F333,'ID1&amp;5'!K:L,2,FALSE),"-")</f>
        <v>-</v>
      </c>
      <c r="V333" s="79" t="str">
        <f>+IFERROR(VLOOKUP(CONCATENATE(A333,$F$10,F333),'ID1&amp;5'!B:J,9,FALSE),"-")</f>
        <v>-</v>
      </c>
      <c r="W333" s="26" t="str">
        <f>+IFERROR(VLOOKUP(A333,'ID6&amp;7'!A:I,9,FALSE),"-")</f>
        <v>-</v>
      </c>
      <c r="X333" s="26" t="str">
        <f>+IFERROR(VLOOKUP(A333,'ID6&amp;7'!A:J,10,FALSE),"-")</f>
        <v>-</v>
      </c>
      <c r="Y333" s="26"/>
      <c r="Z333" s="27" t="str">
        <f t="shared" si="6"/>
        <v>Por iniciar</v>
      </c>
      <c r="AA333" s="65"/>
    </row>
    <row r="334" spans="1:27">
      <c r="A334" s="20"/>
      <c r="B334" s="60"/>
      <c r="C334" s="60"/>
      <c r="D334" s="60"/>
      <c r="E334" s="60"/>
      <c r="F334" s="60"/>
      <c r="G334" s="60"/>
      <c r="H334" s="65" t="s">
        <v>113</v>
      </c>
      <c r="I334" s="21" t="s">
        <v>1358</v>
      </c>
      <c r="J334" s="26">
        <f>+COUNTIF('ID1&amp;5'!G:G,'1. Status'!I334)</f>
        <v>0</v>
      </c>
      <c r="K334" s="79" t="str">
        <f>+IFERROR(VLOOKUP(CONCATENATE(A334,$B$10,B334),'ID1&amp;5'!B:J,8,FALSE),"-")</f>
        <v>-</v>
      </c>
      <c r="L334" s="78" t="str">
        <f>+IFERROR(VLOOKUP(B334,'ID1&amp;5'!K:L,2,FALSE),"-")</f>
        <v>-</v>
      </c>
      <c r="M334" s="79" t="str">
        <f>+IFERROR(VLOOKUP(CONCATENATE(A334,$B$10,B334),'ID1&amp;5'!B:J,9,FALSE),"-")</f>
        <v>-</v>
      </c>
      <c r="N334" s="79" t="str">
        <f>+IFERROR(VLOOKUP(CONCATENATE(A334,$C$10,C334),'ID1&amp;5'!B:J,8,FALSE),"-")</f>
        <v>-</v>
      </c>
      <c r="O334" s="78" t="str">
        <f>+IFERROR(VLOOKUP(C334,'ID1&amp;5'!K:L,2,FALSE),"-")</f>
        <v>-</v>
      </c>
      <c r="P334" s="79" t="str">
        <f>+IFERROR(VLOOKUP(CONCATENATE(A334,$C$10,C334),'ID1&amp;5'!B:J,9,FALSE),"-")</f>
        <v>-</v>
      </c>
      <c r="Q334" s="78" t="str">
        <f>+IFERROR(VLOOKUP(D334,'ID1&amp;5'!K:L,2,FALSE),"-")</f>
        <v>-</v>
      </c>
      <c r="R334" s="26" t="str">
        <f>+IFERROR(VLOOKUP(CONCATENATE(A334,$D$10,D334),'ID1&amp;5'!B:J,9,FALSE),"-")</f>
        <v>-</v>
      </c>
      <c r="S334" s="78" t="str">
        <f>+IFERROR(VLOOKUP(E334,'ID1&amp;5'!K:L,2,FALSE),"-")</f>
        <v>-</v>
      </c>
      <c r="T334" s="79" t="str">
        <f>+IFERROR(VLOOKUP(CONCATENATE(A334,$E$10,E334),'ID1&amp;5'!B:J,9,FALSE),"-")</f>
        <v>-</v>
      </c>
      <c r="U334" s="78" t="str">
        <f>+IFERROR(VLOOKUP(F334,'ID1&amp;5'!K:L,2,FALSE),"-")</f>
        <v>-</v>
      </c>
      <c r="V334" s="79" t="str">
        <f>+IFERROR(VLOOKUP(CONCATENATE(A334,$F$10,F334),'ID1&amp;5'!B:J,9,FALSE),"-")</f>
        <v>-</v>
      </c>
      <c r="W334" s="26" t="str">
        <f>+IFERROR(VLOOKUP(A334,'ID6&amp;7'!A:I,9,FALSE),"-")</f>
        <v>-</v>
      </c>
      <c r="X334" s="26" t="str">
        <f>+IFERROR(VLOOKUP(A334,'ID6&amp;7'!A:J,10,FALSE),"-")</f>
        <v>-</v>
      </c>
      <c r="Y334" s="26"/>
      <c r="Z334" s="27" t="str">
        <f t="shared" si="6"/>
        <v>Por iniciar</v>
      </c>
      <c r="AA334" s="65"/>
    </row>
    <row r="335" spans="1:27">
      <c r="A335" s="20"/>
      <c r="B335" s="60"/>
      <c r="C335" s="60"/>
      <c r="D335" s="60"/>
      <c r="E335" s="60"/>
      <c r="F335" s="60"/>
      <c r="G335" s="60"/>
      <c r="H335" s="65" t="s">
        <v>113</v>
      </c>
      <c r="I335" s="21" t="s">
        <v>1359</v>
      </c>
      <c r="J335" s="26">
        <f>+COUNTIF('ID1&amp;5'!G:G,'1. Status'!I335)</f>
        <v>0</v>
      </c>
      <c r="K335" s="79" t="str">
        <f>+IFERROR(VLOOKUP(CONCATENATE(A335,$B$10,B335),'ID1&amp;5'!B:J,8,FALSE),"-")</f>
        <v>-</v>
      </c>
      <c r="L335" s="78" t="str">
        <f>+IFERROR(VLOOKUP(B335,'ID1&amp;5'!K:L,2,FALSE),"-")</f>
        <v>-</v>
      </c>
      <c r="M335" s="79" t="str">
        <f>+IFERROR(VLOOKUP(CONCATENATE(A335,$B$10,B335),'ID1&amp;5'!B:J,9,FALSE),"-")</f>
        <v>-</v>
      </c>
      <c r="N335" s="79" t="str">
        <f>+IFERROR(VLOOKUP(CONCATENATE(A335,$C$10,C335),'ID1&amp;5'!B:J,8,FALSE),"-")</f>
        <v>-</v>
      </c>
      <c r="O335" s="78" t="str">
        <f>+IFERROR(VLOOKUP(C335,'ID1&amp;5'!K:L,2,FALSE),"-")</f>
        <v>-</v>
      </c>
      <c r="P335" s="79" t="str">
        <f>+IFERROR(VLOOKUP(CONCATENATE(A335,$C$10,C335),'ID1&amp;5'!B:J,9,FALSE),"-")</f>
        <v>-</v>
      </c>
      <c r="Q335" s="78" t="str">
        <f>+IFERROR(VLOOKUP(D335,'ID1&amp;5'!K:L,2,FALSE),"-")</f>
        <v>-</v>
      </c>
      <c r="R335" s="26" t="str">
        <f>+IFERROR(VLOOKUP(CONCATENATE(A335,$D$10,D335),'ID1&amp;5'!B:J,9,FALSE),"-")</f>
        <v>-</v>
      </c>
      <c r="S335" s="78" t="str">
        <f>+IFERROR(VLOOKUP(E335,'ID1&amp;5'!K:L,2,FALSE),"-")</f>
        <v>-</v>
      </c>
      <c r="T335" s="79" t="str">
        <f>+IFERROR(VLOOKUP(CONCATENATE(A335,$E$10,E335),'ID1&amp;5'!B:J,9,FALSE),"-")</f>
        <v>-</v>
      </c>
      <c r="U335" s="78" t="str">
        <f>+IFERROR(VLOOKUP(F335,'ID1&amp;5'!K:L,2,FALSE),"-")</f>
        <v>-</v>
      </c>
      <c r="V335" s="79" t="str">
        <f>+IFERROR(VLOOKUP(CONCATENATE(A335,$F$10,F335),'ID1&amp;5'!B:J,9,FALSE),"-")</f>
        <v>-</v>
      </c>
      <c r="W335" s="26" t="str">
        <f>+IFERROR(VLOOKUP(A335,'ID6&amp;7'!A:I,9,FALSE),"-")</f>
        <v>-</v>
      </c>
      <c r="X335" s="26" t="str">
        <f>+IFERROR(VLOOKUP(A335,'ID6&amp;7'!A:J,10,FALSE),"-")</f>
        <v>-</v>
      </c>
      <c r="Y335" s="26"/>
      <c r="Z335" s="27" t="str">
        <f t="shared" si="6"/>
        <v>Por iniciar</v>
      </c>
      <c r="AA335" s="65"/>
    </row>
    <row r="336" spans="1:27">
      <c r="A336" s="20"/>
      <c r="B336" s="60"/>
      <c r="C336" s="60"/>
      <c r="D336" s="60"/>
      <c r="E336" s="60"/>
      <c r="F336" s="60"/>
      <c r="G336" s="60"/>
      <c r="H336" s="65" t="s">
        <v>113</v>
      </c>
      <c r="I336" s="21" t="s">
        <v>1360</v>
      </c>
      <c r="J336" s="26">
        <f>+COUNTIF('ID1&amp;5'!G:G,'1. Status'!I336)</f>
        <v>0</v>
      </c>
      <c r="K336" s="79" t="str">
        <f>+IFERROR(VLOOKUP(CONCATENATE(A336,$B$10,B336),'ID1&amp;5'!B:J,8,FALSE),"-")</f>
        <v>-</v>
      </c>
      <c r="L336" s="78" t="str">
        <f>+IFERROR(VLOOKUP(B336,'ID1&amp;5'!K:L,2,FALSE),"-")</f>
        <v>-</v>
      </c>
      <c r="M336" s="79" t="str">
        <f>+IFERROR(VLOOKUP(CONCATENATE(A336,$B$10,B336),'ID1&amp;5'!B:J,9,FALSE),"-")</f>
        <v>-</v>
      </c>
      <c r="N336" s="79" t="str">
        <f>+IFERROR(VLOOKUP(CONCATENATE(A336,$C$10,C336),'ID1&amp;5'!B:J,8,FALSE),"-")</f>
        <v>-</v>
      </c>
      <c r="O336" s="78" t="str">
        <f>+IFERROR(VLOOKUP(C336,'ID1&amp;5'!K:L,2,FALSE),"-")</f>
        <v>-</v>
      </c>
      <c r="P336" s="79" t="str">
        <f>+IFERROR(VLOOKUP(CONCATENATE(A336,$C$10,C336),'ID1&amp;5'!B:J,9,FALSE),"-")</f>
        <v>-</v>
      </c>
      <c r="Q336" s="78" t="str">
        <f>+IFERROR(VLOOKUP(D336,'ID1&amp;5'!K:L,2,FALSE),"-")</f>
        <v>-</v>
      </c>
      <c r="R336" s="26" t="str">
        <f>+IFERROR(VLOOKUP(CONCATENATE(A336,$D$10,D336),'ID1&amp;5'!B:J,9,FALSE),"-")</f>
        <v>-</v>
      </c>
      <c r="S336" s="78" t="str">
        <f>+IFERROR(VLOOKUP(E336,'ID1&amp;5'!K:L,2,FALSE),"-")</f>
        <v>-</v>
      </c>
      <c r="T336" s="79" t="str">
        <f>+IFERROR(VLOOKUP(CONCATENATE(A336,$E$10,E336),'ID1&amp;5'!B:J,9,FALSE),"-")</f>
        <v>-</v>
      </c>
      <c r="U336" s="78" t="str">
        <f>+IFERROR(VLOOKUP(F336,'ID1&amp;5'!K:L,2,FALSE),"-")</f>
        <v>-</v>
      </c>
      <c r="V336" s="79" t="str">
        <f>+IFERROR(VLOOKUP(CONCATENATE(A336,$F$10,F336),'ID1&amp;5'!B:J,9,FALSE),"-")</f>
        <v>-</v>
      </c>
      <c r="W336" s="26" t="str">
        <f>+IFERROR(VLOOKUP(A336,'ID6&amp;7'!A:I,9,FALSE),"-")</f>
        <v>-</v>
      </c>
      <c r="X336" s="26" t="str">
        <f>+IFERROR(VLOOKUP(A336,'ID6&amp;7'!A:J,10,FALSE),"-")</f>
        <v>-</v>
      </c>
      <c r="Y336" s="26"/>
      <c r="Z336" s="27" t="str">
        <f t="shared" si="6"/>
        <v>Por iniciar</v>
      </c>
      <c r="AA336" s="65"/>
    </row>
    <row r="337" spans="1:27">
      <c r="A337" s="20"/>
      <c r="B337" s="60"/>
      <c r="C337" s="60"/>
      <c r="D337" s="60"/>
      <c r="E337" s="60"/>
      <c r="F337" s="60"/>
      <c r="G337" s="60"/>
      <c r="H337" s="65" t="s">
        <v>113</v>
      </c>
      <c r="I337" s="21" t="s">
        <v>1361</v>
      </c>
      <c r="J337" s="26">
        <f>+COUNTIF('ID1&amp;5'!G:G,'1. Status'!I337)</f>
        <v>0</v>
      </c>
      <c r="K337" s="79" t="str">
        <f>+IFERROR(VLOOKUP(CONCATENATE(A337,$B$10,B337),'ID1&amp;5'!B:J,8,FALSE),"-")</f>
        <v>-</v>
      </c>
      <c r="L337" s="78" t="str">
        <f>+IFERROR(VLOOKUP(B337,'ID1&amp;5'!K:L,2,FALSE),"-")</f>
        <v>-</v>
      </c>
      <c r="M337" s="79" t="str">
        <f>+IFERROR(VLOOKUP(CONCATENATE(A337,$B$10,B337),'ID1&amp;5'!B:J,9,FALSE),"-")</f>
        <v>-</v>
      </c>
      <c r="N337" s="79" t="str">
        <f>+IFERROR(VLOOKUP(CONCATENATE(A337,$C$10,C337),'ID1&amp;5'!B:J,8,FALSE),"-")</f>
        <v>-</v>
      </c>
      <c r="O337" s="78" t="str">
        <f>+IFERROR(VLOOKUP(C337,'ID1&amp;5'!K:L,2,FALSE),"-")</f>
        <v>-</v>
      </c>
      <c r="P337" s="79" t="str">
        <f>+IFERROR(VLOOKUP(CONCATENATE(A337,$C$10,C337),'ID1&amp;5'!B:J,9,FALSE),"-")</f>
        <v>-</v>
      </c>
      <c r="Q337" s="78" t="str">
        <f>+IFERROR(VLOOKUP(D337,'ID1&amp;5'!K:L,2,FALSE),"-")</f>
        <v>-</v>
      </c>
      <c r="R337" s="26" t="str">
        <f>+IFERROR(VLOOKUP(CONCATENATE(A337,$D$10,D337),'ID1&amp;5'!B:J,9,FALSE),"-")</f>
        <v>-</v>
      </c>
      <c r="S337" s="78" t="str">
        <f>+IFERROR(VLOOKUP(E337,'ID1&amp;5'!K:L,2,FALSE),"-")</f>
        <v>-</v>
      </c>
      <c r="T337" s="79" t="str">
        <f>+IFERROR(VLOOKUP(CONCATENATE(A337,$E$10,E337),'ID1&amp;5'!B:J,9,FALSE),"-")</f>
        <v>-</v>
      </c>
      <c r="U337" s="78" t="str">
        <f>+IFERROR(VLOOKUP(F337,'ID1&amp;5'!K:L,2,FALSE),"-")</f>
        <v>-</v>
      </c>
      <c r="V337" s="79" t="str">
        <f>+IFERROR(VLOOKUP(CONCATENATE(A337,$F$10,F337),'ID1&amp;5'!B:J,9,FALSE),"-")</f>
        <v>-</v>
      </c>
      <c r="W337" s="26" t="str">
        <f>+IFERROR(VLOOKUP(A337,'ID6&amp;7'!A:I,9,FALSE),"-")</f>
        <v>-</v>
      </c>
      <c r="X337" s="26" t="str">
        <f>+IFERROR(VLOOKUP(A337,'ID6&amp;7'!A:J,10,FALSE),"-")</f>
        <v>-</v>
      </c>
      <c r="Y337" s="26"/>
      <c r="Z337" s="27" t="str">
        <f t="shared" si="6"/>
        <v>Por iniciar</v>
      </c>
      <c r="AA337" s="65"/>
    </row>
    <row r="338" spans="1:27">
      <c r="A338" s="20"/>
      <c r="B338" s="60"/>
      <c r="C338" s="60"/>
      <c r="D338" s="60"/>
      <c r="E338" s="60"/>
      <c r="F338" s="60"/>
      <c r="G338" s="60"/>
      <c r="H338" s="65" t="s">
        <v>113</v>
      </c>
      <c r="I338" s="21" t="s">
        <v>1362</v>
      </c>
      <c r="J338" s="26">
        <f>+COUNTIF('ID1&amp;5'!G:G,'1. Status'!I338)</f>
        <v>0</v>
      </c>
      <c r="K338" s="79" t="str">
        <f>+IFERROR(VLOOKUP(CONCATENATE(A338,$B$10,B338),'ID1&amp;5'!B:J,8,FALSE),"-")</f>
        <v>-</v>
      </c>
      <c r="L338" s="78" t="str">
        <f>+IFERROR(VLOOKUP(B338,'ID1&amp;5'!K:L,2,FALSE),"-")</f>
        <v>-</v>
      </c>
      <c r="M338" s="79" t="str">
        <f>+IFERROR(VLOOKUP(CONCATENATE(A338,$B$10,B338),'ID1&amp;5'!B:J,9,FALSE),"-")</f>
        <v>-</v>
      </c>
      <c r="N338" s="79" t="str">
        <f>+IFERROR(VLOOKUP(CONCATENATE(A338,$C$10,C338),'ID1&amp;5'!B:J,8,FALSE),"-")</f>
        <v>-</v>
      </c>
      <c r="O338" s="78" t="str">
        <f>+IFERROR(VLOOKUP(C338,'ID1&amp;5'!K:L,2,FALSE),"-")</f>
        <v>-</v>
      </c>
      <c r="P338" s="79" t="str">
        <f>+IFERROR(VLOOKUP(CONCATENATE(A338,$C$10,C338),'ID1&amp;5'!B:J,9,FALSE),"-")</f>
        <v>-</v>
      </c>
      <c r="Q338" s="78" t="str">
        <f>+IFERROR(VLOOKUP(D338,'ID1&amp;5'!K:L,2,FALSE),"-")</f>
        <v>-</v>
      </c>
      <c r="R338" s="26" t="str">
        <f>+IFERROR(VLOOKUP(CONCATENATE(A338,$D$10,D338),'ID1&amp;5'!B:J,9,FALSE),"-")</f>
        <v>-</v>
      </c>
      <c r="S338" s="78" t="str">
        <f>+IFERROR(VLOOKUP(E338,'ID1&amp;5'!K:L,2,FALSE),"-")</f>
        <v>-</v>
      </c>
      <c r="T338" s="79" t="str">
        <f>+IFERROR(VLOOKUP(CONCATENATE(A338,$E$10,E338),'ID1&amp;5'!B:J,9,FALSE),"-")</f>
        <v>-</v>
      </c>
      <c r="U338" s="78" t="str">
        <f>+IFERROR(VLOOKUP(F338,'ID1&amp;5'!K:L,2,FALSE),"-")</f>
        <v>-</v>
      </c>
      <c r="V338" s="79" t="str">
        <f>+IFERROR(VLOOKUP(CONCATENATE(A338,$F$10,F338),'ID1&amp;5'!B:J,9,FALSE),"-")</f>
        <v>-</v>
      </c>
      <c r="W338" s="26" t="str">
        <f>+IFERROR(VLOOKUP(A338,'ID6&amp;7'!A:I,9,FALSE),"-")</f>
        <v>-</v>
      </c>
      <c r="X338" s="26" t="str">
        <f>+IFERROR(VLOOKUP(A338,'ID6&amp;7'!A:J,10,FALSE),"-")</f>
        <v>-</v>
      </c>
      <c r="Y338" s="26"/>
      <c r="Z338" s="27" t="str">
        <f t="shared" si="6"/>
        <v>Por iniciar</v>
      </c>
      <c r="AA338" s="65"/>
    </row>
    <row r="339" spans="1:27">
      <c r="A339" s="20"/>
      <c r="B339" s="60"/>
      <c r="C339" s="60"/>
      <c r="D339" s="60"/>
      <c r="E339" s="60"/>
      <c r="F339" s="60"/>
      <c r="G339" s="60"/>
      <c r="H339" s="65" t="s">
        <v>113</v>
      </c>
      <c r="I339" s="21" t="s">
        <v>1363</v>
      </c>
      <c r="J339" s="26">
        <f>+COUNTIF('ID1&amp;5'!G:G,'1. Status'!I339)</f>
        <v>0</v>
      </c>
      <c r="K339" s="79" t="str">
        <f>+IFERROR(VLOOKUP(CONCATENATE(A339,$B$10,B339),'ID1&amp;5'!B:J,8,FALSE),"-")</f>
        <v>-</v>
      </c>
      <c r="L339" s="78" t="str">
        <f>+IFERROR(VLOOKUP(B339,'ID1&amp;5'!K:L,2,FALSE),"-")</f>
        <v>-</v>
      </c>
      <c r="M339" s="79" t="str">
        <f>+IFERROR(VLOOKUP(CONCATENATE(A339,$B$10,B339),'ID1&amp;5'!B:J,9,FALSE),"-")</f>
        <v>-</v>
      </c>
      <c r="N339" s="79" t="str">
        <f>+IFERROR(VLOOKUP(CONCATENATE(A339,$C$10,C339),'ID1&amp;5'!B:J,8,FALSE),"-")</f>
        <v>-</v>
      </c>
      <c r="O339" s="78" t="str">
        <f>+IFERROR(VLOOKUP(C339,'ID1&amp;5'!K:L,2,FALSE),"-")</f>
        <v>-</v>
      </c>
      <c r="P339" s="79" t="str">
        <f>+IFERROR(VLOOKUP(CONCATENATE(A339,$C$10,C339),'ID1&amp;5'!B:J,9,FALSE),"-")</f>
        <v>-</v>
      </c>
      <c r="Q339" s="78" t="str">
        <f>+IFERROR(VLOOKUP(D339,'ID1&amp;5'!K:L,2,FALSE),"-")</f>
        <v>-</v>
      </c>
      <c r="R339" s="26" t="str">
        <f>+IFERROR(VLOOKUP(CONCATENATE(A339,$D$10,D339),'ID1&amp;5'!B:J,9,FALSE),"-")</f>
        <v>-</v>
      </c>
      <c r="S339" s="78" t="str">
        <f>+IFERROR(VLOOKUP(E339,'ID1&amp;5'!K:L,2,FALSE),"-")</f>
        <v>-</v>
      </c>
      <c r="T339" s="79" t="str">
        <f>+IFERROR(VLOOKUP(CONCATENATE(A339,$E$10,E339),'ID1&amp;5'!B:J,9,FALSE),"-")</f>
        <v>-</v>
      </c>
      <c r="U339" s="78" t="str">
        <f>+IFERROR(VLOOKUP(F339,'ID1&amp;5'!K:L,2,FALSE),"-")</f>
        <v>-</v>
      </c>
      <c r="V339" s="79" t="str">
        <f>+IFERROR(VLOOKUP(CONCATENATE(A339,$F$10,F339),'ID1&amp;5'!B:J,9,FALSE),"-")</f>
        <v>-</v>
      </c>
      <c r="W339" s="26" t="str">
        <f>+IFERROR(VLOOKUP(A339,'ID6&amp;7'!A:I,9,FALSE),"-")</f>
        <v>-</v>
      </c>
      <c r="X339" s="26" t="str">
        <f>+IFERROR(VLOOKUP(A339,'ID6&amp;7'!A:J,10,FALSE),"-")</f>
        <v>-</v>
      </c>
      <c r="Y339" s="26"/>
      <c r="Z339" s="27" t="str">
        <f t="shared" si="6"/>
        <v>Por iniciar</v>
      </c>
      <c r="AA339" s="65"/>
    </row>
    <row r="340" spans="1:27">
      <c r="A340" s="20"/>
      <c r="B340" s="60"/>
      <c r="C340" s="60"/>
      <c r="D340" s="60"/>
      <c r="E340" s="60"/>
      <c r="F340" s="60"/>
      <c r="G340" s="60"/>
      <c r="H340" s="65" t="s">
        <v>113</v>
      </c>
      <c r="I340" s="21" t="s">
        <v>1364</v>
      </c>
      <c r="J340" s="26">
        <f>+COUNTIF('ID1&amp;5'!G:G,'1. Status'!I340)</f>
        <v>0</v>
      </c>
      <c r="K340" s="79" t="str">
        <f>+IFERROR(VLOOKUP(CONCATENATE(A340,$B$10,B340),'ID1&amp;5'!B:J,8,FALSE),"-")</f>
        <v>-</v>
      </c>
      <c r="L340" s="78" t="str">
        <f>+IFERROR(VLOOKUP(B340,'ID1&amp;5'!K:L,2,FALSE),"-")</f>
        <v>-</v>
      </c>
      <c r="M340" s="79" t="str">
        <f>+IFERROR(VLOOKUP(CONCATENATE(A340,$B$10,B340),'ID1&amp;5'!B:J,9,FALSE),"-")</f>
        <v>-</v>
      </c>
      <c r="N340" s="79" t="str">
        <f>+IFERROR(VLOOKUP(CONCATENATE(A340,$C$10,C340),'ID1&amp;5'!B:J,8,FALSE),"-")</f>
        <v>-</v>
      </c>
      <c r="O340" s="78" t="str">
        <f>+IFERROR(VLOOKUP(C340,'ID1&amp;5'!K:L,2,FALSE),"-")</f>
        <v>-</v>
      </c>
      <c r="P340" s="79" t="str">
        <f>+IFERROR(VLOOKUP(CONCATENATE(A340,$C$10,C340),'ID1&amp;5'!B:J,9,FALSE),"-")</f>
        <v>-</v>
      </c>
      <c r="Q340" s="78" t="str">
        <f>+IFERROR(VLOOKUP(D340,'ID1&amp;5'!K:L,2,FALSE),"-")</f>
        <v>-</v>
      </c>
      <c r="R340" s="26" t="str">
        <f>+IFERROR(VLOOKUP(CONCATENATE(A340,$D$10,D340),'ID1&amp;5'!B:J,9,FALSE),"-")</f>
        <v>-</v>
      </c>
      <c r="S340" s="78" t="str">
        <f>+IFERROR(VLOOKUP(E340,'ID1&amp;5'!K:L,2,FALSE),"-")</f>
        <v>-</v>
      </c>
      <c r="T340" s="79" t="str">
        <f>+IFERROR(VLOOKUP(CONCATENATE(A340,$E$10,E340),'ID1&amp;5'!B:J,9,FALSE),"-")</f>
        <v>-</v>
      </c>
      <c r="U340" s="78" t="str">
        <f>+IFERROR(VLOOKUP(F340,'ID1&amp;5'!K:L,2,FALSE),"-")</f>
        <v>-</v>
      </c>
      <c r="V340" s="79" t="str">
        <f>+IFERROR(VLOOKUP(CONCATENATE(A340,$F$10,F340),'ID1&amp;5'!B:J,9,FALSE),"-")</f>
        <v>-</v>
      </c>
      <c r="W340" s="26" t="str">
        <f>+IFERROR(VLOOKUP(A340,'ID6&amp;7'!A:I,9,FALSE),"-")</f>
        <v>-</v>
      </c>
      <c r="X340" s="26" t="str">
        <f>+IFERROR(VLOOKUP(A340,'ID6&amp;7'!A:J,10,FALSE),"-")</f>
        <v>-</v>
      </c>
      <c r="Y340" s="26"/>
      <c r="Z340" s="27" t="str">
        <f t="shared" si="6"/>
        <v>Por iniciar</v>
      </c>
      <c r="AA340" s="65"/>
    </row>
    <row r="341" spans="1:27">
      <c r="A341" s="20"/>
      <c r="B341" s="60"/>
      <c r="C341" s="60"/>
      <c r="D341" s="60"/>
      <c r="E341" s="60"/>
      <c r="F341" s="60"/>
      <c r="G341" s="60"/>
      <c r="H341" s="65" t="s">
        <v>113</v>
      </c>
      <c r="I341" s="21" t="s">
        <v>1365</v>
      </c>
      <c r="J341" s="26">
        <f>+COUNTIF('ID1&amp;5'!G:G,'1. Status'!I341)</f>
        <v>0</v>
      </c>
      <c r="K341" s="79" t="str">
        <f>+IFERROR(VLOOKUP(CONCATENATE(A341,$B$10,B341),'ID1&amp;5'!B:J,8,FALSE),"-")</f>
        <v>-</v>
      </c>
      <c r="L341" s="78" t="str">
        <f>+IFERROR(VLOOKUP(B341,'ID1&amp;5'!K:L,2,FALSE),"-")</f>
        <v>-</v>
      </c>
      <c r="M341" s="79" t="str">
        <f>+IFERROR(VLOOKUP(CONCATENATE(A341,$B$10,B341),'ID1&amp;5'!B:J,9,FALSE),"-")</f>
        <v>-</v>
      </c>
      <c r="N341" s="79" t="str">
        <f>+IFERROR(VLOOKUP(CONCATENATE(A341,$C$10,C341),'ID1&amp;5'!B:J,8,FALSE),"-")</f>
        <v>-</v>
      </c>
      <c r="O341" s="78" t="str">
        <f>+IFERROR(VLOOKUP(C341,'ID1&amp;5'!K:L,2,FALSE),"-")</f>
        <v>-</v>
      </c>
      <c r="P341" s="79" t="str">
        <f>+IFERROR(VLOOKUP(CONCATENATE(A341,$C$10,C341),'ID1&amp;5'!B:J,9,FALSE),"-")</f>
        <v>-</v>
      </c>
      <c r="Q341" s="78" t="str">
        <f>+IFERROR(VLOOKUP(D341,'ID1&amp;5'!K:L,2,FALSE),"-")</f>
        <v>-</v>
      </c>
      <c r="R341" s="26" t="str">
        <f>+IFERROR(VLOOKUP(CONCATENATE(A341,$D$10,D341),'ID1&amp;5'!B:J,9,FALSE),"-")</f>
        <v>-</v>
      </c>
      <c r="S341" s="78" t="str">
        <f>+IFERROR(VLOOKUP(E341,'ID1&amp;5'!K:L,2,FALSE),"-")</f>
        <v>-</v>
      </c>
      <c r="T341" s="79" t="str">
        <f>+IFERROR(VLOOKUP(CONCATENATE(A341,$E$10,E341),'ID1&amp;5'!B:J,9,FALSE),"-")</f>
        <v>-</v>
      </c>
      <c r="U341" s="78" t="str">
        <f>+IFERROR(VLOOKUP(F341,'ID1&amp;5'!K:L,2,FALSE),"-")</f>
        <v>-</v>
      </c>
      <c r="V341" s="79" t="str">
        <f>+IFERROR(VLOOKUP(CONCATENATE(A341,$F$10,F341),'ID1&amp;5'!B:J,9,FALSE),"-")</f>
        <v>-</v>
      </c>
      <c r="W341" s="26" t="str">
        <f>+IFERROR(VLOOKUP(A341,'ID6&amp;7'!A:I,9,FALSE),"-")</f>
        <v>-</v>
      </c>
      <c r="X341" s="26" t="str">
        <f>+IFERROR(VLOOKUP(A341,'ID6&amp;7'!A:J,10,FALSE),"-")</f>
        <v>-</v>
      </c>
      <c r="Y341" s="26"/>
      <c r="Z341" s="27" t="str">
        <f t="shared" si="6"/>
        <v>Por iniciar</v>
      </c>
      <c r="AA341" s="65"/>
    </row>
    <row r="342" spans="1:27">
      <c r="A342" s="20"/>
      <c r="B342" s="60"/>
      <c r="C342" s="60"/>
      <c r="D342" s="60"/>
      <c r="E342" s="60"/>
      <c r="F342" s="60"/>
      <c r="G342" s="60"/>
      <c r="H342" s="65" t="s">
        <v>113</v>
      </c>
      <c r="I342" s="21" t="s">
        <v>1366</v>
      </c>
      <c r="J342" s="26">
        <f>+COUNTIF('ID1&amp;5'!G:G,'1. Status'!I342)</f>
        <v>0</v>
      </c>
      <c r="K342" s="79" t="str">
        <f>+IFERROR(VLOOKUP(CONCATENATE(A342,$B$10,B342),'ID1&amp;5'!B:J,8,FALSE),"-")</f>
        <v>-</v>
      </c>
      <c r="L342" s="78" t="str">
        <f>+IFERROR(VLOOKUP(B342,'ID1&amp;5'!K:L,2,FALSE),"-")</f>
        <v>-</v>
      </c>
      <c r="M342" s="79" t="str">
        <f>+IFERROR(VLOOKUP(CONCATENATE(A342,$B$10,B342),'ID1&amp;5'!B:J,9,FALSE),"-")</f>
        <v>-</v>
      </c>
      <c r="N342" s="79" t="str">
        <f>+IFERROR(VLOOKUP(CONCATENATE(A342,$C$10,C342),'ID1&amp;5'!B:J,8,FALSE),"-")</f>
        <v>-</v>
      </c>
      <c r="O342" s="78" t="str">
        <f>+IFERROR(VLOOKUP(C342,'ID1&amp;5'!K:L,2,FALSE),"-")</f>
        <v>-</v>
      </c>
      <c r="P342" s="79" t="str">
        <f>+IFERROR(VLOOKUP(CONCATENATE(A342,$C$10,C342),'ID1&amp;5'!B:J,9,FALSE),"-")</f>
        <v>-</v>
      </c>
      <c r="Q342" s="78" t="str">
        <f>+IFERROR(VLOOKUP(D342,'ID1&amp;5'!K:L,2,FALSE),"-")</f>
        <v>-</v>
      </c>
      <c r="R342" s="26" t="str">
        <f>+IFERROR(VLOOKUP(CONCATENATE(A342,$D$10,D342),'ID1&amp;5'!B:J,9,FALSE),"-")</f>
        <v>-</v>
      </c>
      <c r="S342" s="78" t="str">
        <f>+IFERROR(VLOOKUP(E342,'ID1&amp;5'!K:L,2,FALSE),"-")</f>
        <v>-</v>
      </c>
      <c r="T342" s="79" t="str">
        <f>+IFERROR(VLOOKUP(CONCATENATE(A342,$E$10,E342),'ID1&amp;5'!B:J,9,FALSE),"-")</f>
        <v>-</v>
      </c>
      <c r="U342" s="78" t="str">
        <f>+IFERROR(VLOOKUP(F342,'ID1&amp;5'!K:L,2,FALSE),"-")</f>
        <v>-</v>
      </c>
      <c r="V342" s="79" t="str">
        <f>+IFERROR(VLOOKUP(CONCATENATE(A342,$F$10,F342),'ID1&amp;5'!B:J,9,FALSE),"-")</f>
        <v>-</v>
      </c>
      <c r="W342" s="26" t="str">
        <f>+IFERROR(VLOOKUP(A342,'ID6&amp;7'!A:I,9,FALSE),"-")</f>
        <v>-</v>
      </c>
      <c r="X342" s="26" t="str">
        <f>+IFERROR(VLOOKUP(A342,'ID6&amp;7'!A:J,10,FALSE),"-")</f>
        <v>-</v>
      </c>
      <c r="Y342" s="26"/>
      <c r="Z342" s="27" t="str">
        <f t="shared" si="6"/>
        <v>Por iniciar</v>
      </c>
      <c r="AA342" s="65"/>
    </row>
    <row r="343" spans="1:27">
      <c r="A343" s="20"/>
      <c r="B343" s="60"/>
      <c r="C343" s="60"/>
      <c r="D343" s="60"/>
      <c r="E343" s="60"/>
      <c r="F343" s="60"/>
      <c r="G343" s="60"/>
      <c r="H343" s="65" t="s">
        <v>113</v>
      </c>
      <c r="I343" s="21" t="s">
        <v>1367</v>
      </c>
      <c r="J343" s="26">
        <f>+COUNTIF('ID1&amp;5'!G:G,'1. Status'!I343)</f>
        <v>0</v>
      </c>
      <c r="K343" s="79" t="str">
        <f>+IFERROR(VLOOKUP(CONCATENATE(A343,$B$10,B343),'ID1&amp;5'!B:J,8,FALSE),"-")</f>
        <v>-</v>
      </c>
      <c r="L343" s="78" t="str">
        <f>+IFERROR(VLOOKUP(B343,'ID1&amp;5'!K:L,2,FALSE),"-")</f>
        <v>-</v>
      </c>
      <c r="M343" s="79" t="str">
        <f>+IFERROR(VLOOKUP(CONCATENATE(A343,$B$10,B343),'ID1&amp;5'!B:J,9,FALSE),"-")</f>
        <v>-</v>
      </c>
      <c r="N343" s="79" t="str">
        <f>+IFERROR(VLOOKUP(CONCATENATE(A343,$C$10,C343),'ID1&amp;5'!B:J,8,FALSE),"-")</f>
        <v>-</v>
      </c>
      <c r="O343" s="78" t="str">
        <f>+IFERROR(VLOOKUP(C343,'ID1&amp;5'!K:L,2,FALSE),"-")</f>
        <v>-</v>
      </c>
      <c r="P343" s="79" t="str">
        <f>+IFERROR(VLOOKUP(CONCATENATE(A343,$C$10,C343),'ID1&amp;5'!B:J,9,FALSE),"-")</f>
        <v>-</v>
      </c>
      <c r="Q343" s="78" t="str">
        <f>+IFERROR(VLOOKUP(D343,'ID1&amp;5'!K:L,2,FALSE),"-")</f>
        <v>-</v>
      </c>
      <c r="R343" s="26" t="str">
        <f>+IFERROR(VLOOKUP(CONCATENATE(A343,$D$10,D343),'ID1&amp;5'!B:J,9,FALSE),"-")</f>
        <v>-</v>
      </c>
      <c r="S343" s="78" t="str">
        <f>+IFERROR(VLOOKUP(E343,'ID1&amp;5'!K:L,2,FALSE),"-")</f>
        <v>-</v>
      </c>
      <c r="T343" s="79" t="str">
        <f>+IFERROR(VLOOKUP(CONCATENATE(A343,$E$10,E343),'ID1&amp;5'!B:J,9,FALSE),"-")</f>
        <v>-</v>
      </c>
      <c r="U343" s="78" t="str">
        <f>+IFERROR(VLOOKUP(F343,'ID1&amp;5'!K:L,2,FALSE),"-")</f>
        <v>-</v>
      </c>
      <c r="V343" s="79" t="str">
        <f>+IFERROR(VLOOKUP(CONCATENATE(A343,$F$10,F343),'ID1&amp;5'!B:J,9,FALSE),"-")</f>
        <v>-</v>
      </c>
      <c r="W343" s="26" t="str">
        <f>+IFERROR(VLOOKUP(A343,'ID6&amp;7'!A:I,9,FALSE),"-")</f>
        <v>-</v>
      </c>
      <c r="X343" s="26" t="str">
        <f>+IFERROR(VLOOKUP(A343,'ID6&amp;7'!A:J,10,FALSE),"-")</f>
        <v>-</v>
      </c>
      <c r="Y343" s="26"/>
      <c r="Z343" s="27" t="str">
        <f t="shared" si="6"/>
        <v>Por iniciar</v>
      </c>
      <c r="AA343" s="65"/>
    </row>
    <row r="344" spans="1:27">
      <c r="A344" s="20"/>
      <c r="B344" s="60"/>
      <c r="C344" s="60"/>
      <c r="D344" s="60"/>
      <c r="E344" s="60"/>
      <c r="F344" s="60"/>
      <c r="G344" s="60"/>
      <c r="H344" s="65" t="s">
        <v>113</v>
      </c>
      <c r="I344" s="21" t="s">
        <v>1368</v>
      </c>
      <c r="J344" s="26">
        <f>+COUNTIF('ID1&amp;5'!G:G,'1. Status'!I344)</f>
        <v>0</v>
      </c>
      <c r="K344" s="79" t="str">
        <f>+IFERROR(VLOOKUP(CONCATENATE(A344,$B$10,B344),'ID1&amp;5'!B:J,8,FALSE),"-")</f>
        <v>-</v>
      </c>
      <c r="L344" s="78" t="str">
        <f>+IFERROR(VLOOKUP(B344,'ID1&amp;5'!K:L,2,FALSE),"-")</f>
        <v>-</v>
      </c>
      <c r="M344" s="79" t="str">
        <f>+IFERROR(VLOOKUP(CONCATENATE(A344,$B$10,B344),'ID1&amp;5'!B:J,9,FALSE),"-")</f>
        <v>-</v>
      </c>
      <c r="N344" s="79" t="str">
        <f>+IFERROR(VLOOKUP(CONCATENATE(A344,$C$10,C344),'ID1&amp;5'!B:J,8,FALSE),"-")</f>
        <v>-</v>
      </c>
      <c r="O344" s="78" t="str">
        <f>+IFERROR(VLOOKUP(C344,'ID1&amp;5'!K:L,2,FALSE),"-")</f>
        <v>-</v>
      </c>
      <c r="P344" s="79" t="str">
        <f>+IFERROR(VLOOKUP(CONCATENATE(A344,$C$10,C344),'ID1&amp;5'!B:J,9,FALSE),"-")</f>
        <v>-</v>
      </c>
      <c r="Q344" s="78" t="str">
        <f>+IFERROR(VLOOKUP(D344,'ID1&amp;5'!K:L,2,FALSE),"-")</f>
        <v>-</v>
      </c>
      <c r="R344" s="26" t="str">
        <f>+IFERROR(VLOOKUP(CONCATENATE(A344,$D$10,D344),'ID1&amp;5'!B:J,9,FALSE),"-")</f>
        <v>-</v>
      </c>
      <c r="S344" s="78" t="str">
        <f>+IFERROR(VLOOKUP(E344,'ID1&amp;5'!K:L,2,FALSE),"-")</f>
        <v>-</v>
      </c>
      <c r="T344" s="79" t="str">
        <f>+IFERROR(VLOOKUP(CONCATENATE(A344,$E$10,E344),'ID1&amp;5'!B:J,9,FALSE),"-")</f>
        <v>-</v>
      </c>
      <c r="U344" s="78" t="str">
        <f>+IFERROR(VLOOKUP(F344,'ID1&amp;5'!K:L,2,FALSE),"-")</f>
        <v>-</v>
      </c>
      <c r="V344" s="79" t="str">
        <f>+IFERROR(VLOOKUP(CONCATENATE(A344,$F$10,F344),'ID1&amp;5'!B:J,9,FALSE),"-")</f>
        <v>-</v>
      </c>
      <c r="W344" s="26" t="str">
        <f>+IFERROR(VLOOKUP(A344,'ID6&amp;7'!A:I,9,FALSE),"-")</f>
        <v>-</v>
      </c>
      <c r="X344" s="26" t="str">
        <f>+IFERROR(VLOOKUP(A344,'ID6&amp;7'!A:J,10,FALSE),"-")</f>
        <v>-</v>
      </c>
      <c r="Y344" s="26"/>
      <c r="Z344" s="27" t="str">
        <f t="shared" si="6"/>
        <v>Por iniciar</v>
      </c>
      <c r="AA344" s="65"/>
    </row>
    <row r="345" spans="1:27">
      <c r="A345" s="20"/>
      <c r="B345" s="60"/>
      <c r="C345" s="60"/>
      <c r="D345" s="60"/>
      <c r="E345" s="60"/>
      <c r="F345" s="60"/>
      <c r="G345" s="60"/>
      <c r="H345" s="65" t="s">
        <v>113</v>
      </c>
      <c r="I345" s="21" t="s">
        <v>1369</v>
      </c>
      <c r="J345" s="26">
        <f>+COUNTIF('ID1&amp;5'!G:G,'1. Status'!I345)</f>
        <v>0</v>
      </c>
      <c r="K345" s="79" t="str">
        <f>+IFERROR(VLOOKUP(CONCATENATE(A345,$B$10,B345),'ID1&amp;5'!B:J,8,FALSE),"-")</f>
        <v>-</v>
      </c>
      <c r="L345" s="78" t="str">
        <f>+IFERROR(VLOOKUP(B345,'ID1&amp;5'!K:L,2,FALSE),"-")</f>
        <v>-</v>
      </c>
      <c r="M345" s="79" t="str">
        <f>+IFERROR(VLOOKUP(CONCATENATE(A345,$B$10,B345),'ID1&amp;5'!B:J,9,FALSE),"-")</f>
        <v>-</v>
      </c>
      <c r="N345" s="79" t="str">
        <f>+IFERROR(VLOOKUP(CONCATENATE(A345,$C$10,C345),'ID1&amp;5'!B:J,8,FALSE),"-")</f>
        <v>-</v>
      </c>
      <c r="O345" s="78" t="str">
        <f>+IFERROR(VLOOKUP(C345,'ID1&amp;5'!K:L,2,FALSE),"-")</f>
        <v>-</v>
      </c>
      <c r="P345" s="79" t="str">
        <f>+IFERROR(VLOOKUP(CONCATENATE(A345,$C$10,C345),'ID1&amp;5'!B:J,9,FALSE),"-")</f>
        <v>-</v>
      </c>
      <c r="Q345" s="78" t="str">
        <f>+IFERROR(VLOOKUP(D345,'ID1&amp;5'!K:L,2,FALSE),"-")</f>
        <v>-</v>
      </c>
      <c r="R345" s="26" t="str">
        <f>+IFERROR(VLOOKUP(CONCATENATE(A345,$D$10,D345),'ID1&amp;5'!B:J,9,FALSE),"-")</f>
        <v>-</v>
      </c>
      <c r="S345" s="78" t="str">
        <f>+IFERROR(VLOOKUP(E345,'ID1&amp;5'!K:L,2,FALSE),"-")</f>
        <v>-</v>
      </c>
      <c r="T345" s="79" t="str">
        <f>+IFERROR(VLOOKUP(CONCATENATE(A345,$E$10,E345),'ID1&amp;5'!B:J,9,FALSE),"-")</f>
        <v>-</v>
      </c>
      <c r="U345" s="78" t="str">
        <f>+IFERROR(VLOOKUP(F345,'ID1&amp;5'!K:L,2,FALSE),"-")</f>
        <v>-</v>
      </c>
      <c r="V345" s="79" t="str">
        <f>+IFERROR(VLOOKUP(CONCATENATE(A345,$F$10,F345),'ID1&amp;5'!B:J,9,FALSE),"-")</f>
        <v>-</v>
      </c>
      <c r="W345" s="26" t="str">
        <f>+IFERROR(VLOOKUP(A345,'ID6&amp;7'!A:I,9,FALSE),"-")</f>
        <v>-</v>
      </c>
      <c r="X345" s="26" t="str">
        <f>+IFERROR(VLOOKUP(A345,'ID6&amp;7'!A:J,10,FALSE),"-")</f>
        <v>-</v>
      </c>
      <c r="Y345" s="26"/>
      <c r="Z345" s="27" t="str">
        <f t="shared" si="6"/>
        <v>Por iniciar</v>
      </c>
      <c r="AA345" s="65"/>
    </row>
    <row r="346" spans="1:27">
      <c r="A346" s="20"/>
      <c r="B346" s="60"/>
      <c r="C346" s="60"/>
      <c r="D346" s="60"/>
      <c r="E346" s="60"/>
      <c r="F346" s="60"/>
      <c r="G346" s="60"/>
      <c r="H346" s="65" t="s">
        <v>113</v>
      </c>
      <c r="I346" s="21" t="s">
        <v>1370</v>
      </c>
      <c r="J346" s="26">
        <f>+COUNTIF('ID1&amp;5'!G:G,'1. Status'!I346)</f>
        <v>0</v>
      </c>
      <c r="K346" s="79" t="str">
        <f>+IFERROR(VLOOKUP(CONCATENATE(A346,$B$10,B346),'ID1&amp;5'!B:J,8,FALSE),"-")</f>
        <v>-</v>
      </c>
      <c r="L346" s="78" t="str">
        <f>+IFERROR(VLOOKUP(B346,'ID1&amp;5'!K:L,2,FALSE),"-")</f>
        <v>-</v>
      </c>
      <c r="M346" s="79" t="str">
        <f>+IFERROR(VLOOKUP(CONCATENATE(A346,$B$10,B346),'ID1&amp;5'!B:J,9,FALSE),"-")</f>
        <v>-</v>
      </c>
      <c r="N346" s="79" t="str">
        <f>+IFERROR(VLOOKUP(CONCATENATE(A346,$C$10,C346),'ID1&amp;5'!B:J,8,FALSE),"-")</f>
        <v>-</v>
      </c>
      <c r="O346" s="78" t="str">
        <f>+IFERROR(VLOOKUP(C346,'ID1&amp;5'!K:L,2,FALSE),"-")</f>
        <v>-</v>
      </c>
      <c r="P346" s="79" t="str">
        <f>+IFERROR(VLOOKUP(CONCATENATE(A346,$C$10,C346),'ID1&amp;5'!B:J,9,FALSE),"-")</f>
        <v>-</v>
      </c>
      <c r="Q346" s="78" t="str">
        <f>+IFERROR(VLOOKUP(D346,'ID1&amp;5'!K:L,2,FALSE),"-")</f>
        <v>-</v>
      </c>
      <c r="R346" s="26" t="str">
        <f>+IFERROR(VLOOKUP(CONCATENATE(A346,$D$10,D346),'ID1&amp;5'!B:J,9,FALSE),"-")</f>
        <v>-</v>
      </c>
      <c r="S346" s="78" t="str">
        <f>+IFERROR(VLOOKUP(E346,'ID1&amp;5'!K:L,2,FALSE),"-")</f>
        <v>-</v>
      </c>
      <c r="T346" s="79" t="str">
        <f>+IFERROR(VLOOKUP(CONCATENATE(A346,$E$10,E346),'ID1&amp;5'!B:J,9,FALSE),"-")</f>
        <v>-</v>
      </c>
      <c r="U346" s="78" t="str">
        <f>+IFERROR(VLOOKUP(F346,'ID1&amp;5'!K:L,2,FALSE),"-")</f>
        <v>-</v>
      </c>
      <c r="V346" s="79" t="str">
        <f>+IFERROR(VLOOKUP(CONCATENATE(A346,$F$10,F346),'ID1&amp;5'!B:J,9,FALSE),"-")</f>
        <v>-</v>
      </c>
      <c r="W346" s="26" t="str">
        <f>+IFERROR(VLOOKUP(A346,'ID6&amp;7'!A:I,9,FALSE),"-")</f>
        <v>-</v>
      </c>
      <c r="X346" s="26" t="str">
        <f>+IFERROR(VLOOKUP(A346,'ID6&amp;7'!A:J,10,FALSE),"-")</f>
        <v>-</v>
      </c>
      <c r="Y346" s="26"/>
      <c r="Z346" s="27" t="str">
        <f t="shared" si="6"/>
        <v>Por iniciar</v>
      </c>
      <c r="AA346" s="65"/>
    </row>
    <row r="347" spans="1:27">
      <c r="A347" s="20"/>
      <c r="B347" s="60"/>
      <c r="C347" s="60"/>
      <c r="D347" s="60"/>
      <c r="E347" s="60"/>
      <c r="F347" s="60"/>
      <c r="G347" s="60"/>
      <c r="H347" s="65" t="s">
        <v>113</v>
      </c>
      <c r="I347" s="21" t="s">
        <v>1371</v>
      </c>
      <c r="J347" s="26">
        <f>+COUNTIF('ID1&amp;5'!G:G,'1. Status'!I347)</f>
        <v>0</v>
      </c>
      <c r="K347" s="79" t="str">
        <f>+IFERROR(VLOOKUP(CONCATENATE(A347,$B$10,B347),'ID1&amp;5'!B:J,8,FALSE),"-")</f>
        <v>-</v>
      </c>
      <c r="L347" s="78" t="str">
        <f>+IFERROR(VLOOKUP(B347,'ID1&amp;5'!K:L,2,FALSE),"-")</f>
        <v>-</v>
      </c>
      <c r="M347" s="79" t="str">
        <f>+IFERROR(VLOOKUP(CONCATENATE(A347,$B$10,B347),'ID1&amp;5'!B:J,9,FALSE),"-")</f>
        <v>-</v>
      </c>
      <c r="N347" s="79" t="str">
        <f>+IFERROR(VLOOKUP(CONCATENATE(A347,$C$10,C347),'ID1&amp;5'!B:J,8,FALSE),"-")</f>
        <v>-</v>
      </c>
      <c r="O347" s="78" t="str">
        <f>+IFERROR(VLOOKUP(C347,'ID1&amp;5'!K:L,2,FALSE),"-")</f>
        <v>-</v>
      </c>
      <c r="P347" s="79" t="str">
        <f>+IFERROR(VLOOKUP(CONCATENATE(A347,$C$10,C347),'ID1&amp;5'!B:J,9,FALSE),"-")</f>
        <v>-</v>
      </c>
      <c r="Q347" s="78" t="str">
        <f>+IFERROR(VLOOKUP(D347,'ID1&amp;5'!K:L,2,FALSE),"-")</f>
        <v>-</v>
      </c>
      <c r="R347" s="26" t="str">
        <f>+IFERROR(VLOOKUP(CONCATENATE(A347,$D$10,D347),'ID1&amp;5'!B:J,9,FALSE),"-")</f>
        <v>-</v>
      </c>
      <c r="S347" s="78" t="str">
        <f>+IFERROR(VLOOKUP(E347,'ID1&amp;5'!K:L,2,FALSE),"-")</f>
        <v>-</v>
      </c>
      <c r="T347" s="79" t="str">
        <f>+IFERROR(VLOOKUP(CONCATENATE(A347,$E$10,E347),'ID1&amp;5'!B:J,9,FALSE),"-")</f>
        <v>-</v>
      </c>
      <c r="U347" s="78" t="str">
        <f>+IFERROR(VLOOKUP(F347,'ID1&amp;5'!K:L,2,FALSE),"-")</f>
        <v>-</v>
      </c>
      <c r="V347" s="79" t="str">
        <f>+IFERROR(VLOOKUP(CONCATENATE(A347,$F$10,F347),'ID1&amp;5'!B:J,9,FALSE),"-")</f>
        <v>-</v>
      </c>
      <c r="W347" s="26" t="str">
        <f>+IFERROR(VLOOKUP(A347,'ID6&amp;7'!A:I,9,FALSE),"-")</f>
        <v>-</v>
      </c>
      <c r="X347" s="26" t="str">
        <f>+IFERROR(VLOOKUP(A347,'ID6&amp;7'!A:J,10,FALSE),"-")</f>
        <v>-</v>
      </c>
      <c r="Y347" s="26"/>
      <c r="Z347" s="27" t="str">
        <f t="shared" si="6"/>
        <v>Por iniciar</v>
      </c>
      <c r="AA347" s="65"/>
    </row>
    <row r="348" spans="1:27">
      <c r="A348" s="20"/>
      <c r="B348" s="60"/>
      <c r="C348" s="60"/>
      <c r="D348" s="60"/>
      <c r="E348" s="60"/>
      <c r="F348" s="60"/>
      <c r="G348" s="60"/>
      <c r="H348" s="65" t="s">
        <v>113</v>
      </c>
      <c r="I348" s="21" t="s">
        <v>1372</v>
      </c>
      <c r="J348" s="26">
        <f>+COUNTIF('ID1&amp;5'!G:G,'1. Status'!I348)</f>
        <v>0</v>
      </c>
      <c r="K348" s="79" t="str">
        <f>+IFERROR(VLOOKUP(CONCATENATE(A348,$B$10,B348),'ID1&amp;5'!B:J,8,FALSE),"-")</f>
        <v>-</v>
      </c>
      <c r="L348" s="78" t="str">
        <f>+IFERROR(VLOOKUP(B348,'ID1&amp;5'!K:L,2,FALSE),"-")</f>
        <v>-</v>
      </c>
      <c r="M348" s="79" t="str">
        <f>+IFERROR(VLOOKUP(CONCATENATE(A348,$B$10,B348),'ID1&amp;5'!B:J,9,FALSE),"-")</f>
        <v>-</v>
      </c>
      <c r="N348" s="79" t="str">
        <f>+IFERROR(VLOOKUP(CONCATENATE(A348,$C$10,C348),'ID1&amp;5'!B:J,8,FALSE),"-")</f>
        <v>-</v>
      </c>
      <c r="O348" s="78" t="str">
        <f>+IFERROR(VLOOKUP(C348,'ID1&amp;5'!K:L,2,FALSE),"-")</f>
        <v>-</v>
      </c>
      <c r="P348" s="79" t="str">
        <f>+IFERROR(VLOOKUP(CONCATENATE(A348,$C$10,C348),'ID1&amp;5'!B:J,9,FALSE),"-")</f>
        <v>-</v>
      </c>
      <c r="Q348" s="78" t="str">
        <f>+IFERROR(VLOOKUP(D348,'ID1&amp;5'!K:L,2,FALSE),"-")</f>
        <v>-</v>
      </c>
      <c r="R348" s="26" t="str">
        <f>+IFERROR(VLOOKUP(CONCATENATE(A348,$D$10,D348),'ID1&amp;5'!B:J,9,FALSE),"-")</f>
        <v>-</v>
      </c>
      <c r="S348" s="78" t="str">
        <f>+IFERROR(VLOOKUP(E348,'ID1&amp;5'!K:L,2,FALSE),"-")</f>
        <v>-</v>
      </c>
      <c r="T348" s="79" t="str">
        <f>+IFERROR(VLOOKUP(CONCATENATE(A348,$E$10,E348),'ID1&amp;5'!B:J,9,FALSE),"-")</f>
        <v>-</v>
      </c>
      <c r="U348" s="78" t="str">
        <f>+IFERROR(VLOOKUP(F348,'ID1&amp;5'!K:L,2,FALSE),"-")</f>
        <v>-</v>
      </c>
      <c r="V348" s="79" t="str">
        <f>+IFERROR(VLOOKUP(CONCATENATE(A348,$F$10,F348),'ID1&amp;5'!B:J,9,FALSE),"-")</f>
        <v>-</v>
      </c>
      <c r="W348" s="26" t="str">
        <f>+IFERROR(VLOOKUP(A348,'ID6&amp;7'!A:I,9,FALSE),"-")</f>
        <v>-</v>
      </c>
      <c r="X348" s="26" t="str">
        <f>+IFERROR(VLOOKUP(A348,'ID6&amp;7'!A:J,10,FALSE),"-")</f>
        <v>-</v>
      </c>
      <c r="Y348" s="26"/>
      <c r="Z348" s="27" t="str">
        <f t="shared" si="6"/>
        <v>Por iniciar</v>
      </c>
      <c r="AA348" s="65"/>
    </row>
    <row r="349" spans="1:27">
      <c r="A349" s="20"/>
      <c r="B349" s="60"/>
      <c r="C349" s="60"/>
      <c r="D349" s="60"/>
      <c r="E349" s="60"/>
      <c r="F349" s="60"/>
      <c r="G349" s="60"/>
      <c r="H349" s="65" t="s">
        <v>113</v>
      </c>
      <c r="I349" s="21" t="s">
        <v>1373</v>
      </c>
      <c r="J349" s="26">
        <f>+COUNTIF('ID1&amp;5'!G:G,'1. Status'!I349)</f>
        <v>0</v>
      </c>
      <c r="K349" s="79" t="str">
        <f>+IFERROR(VLOOKUP(CONCATENATE(A349,$B$10,B349),'ID1&amp;5'!B:J,8,FALSE),"-")</f>
        <v>-</v>
      </c>
      <c r="L349" s="78" t="str">
        <f>+IFERROR(VLOOKUP(B349,'ID1&amp;5'!K:L,2,FALSE),"-")</f>
        <v>-</v>
      </c>
      <c r="M349" s="79" t="str">
        <f>+IFERROR(VLOOKUP(CONCATENATE(A349,$B$10,B349),'ID1&amp;5'!B:J,9,FALSE),"-")</f>
        <v>-</v>
      </c>
      <c r="N349" s="79" t="str">
        <f>+IFERROR(VLOOKUP(CONCATENATE(A349,$C$10,C349),'ID1&amp;5'!B:J,8,FALSE),"-")</f>
        <v>-</v>
      </c>
      <c r="O349" s="78" t="str">
        <f>+IFERROR(VLOOKUP(C349,'ID1&amp;5'!K:L,2,FALSE),"-")</f>
        <v>-</v>
      </c>
      <c r="P349" s="79" t="str">
        <f>+IFERROR(VLOOKUP(CONCATENATE(A349,$C$10,C349),'ID1&amp;5'!B:J,9,FALSE),"-")</f>
        <v>-</v>
      </c>
      <c r="Q349" s="78" t="str">
        <f>+IFERROR(VLOOKUP(D349,'ID1&amp;5'!K:L,2,FALSE),"-")</f>
        <v>-</v>
      </c>
      <c r="R349" s="26" t="str">
        <f>+IFERROR(VLOOKUP(CONCATENATE(A349,$D$10,D349),'ID1&amp;5'!B:J,9,FALSE),"-")</f>
        <v>-</v>
      </c>
      <c r="S349" s="78" t="str">
        <f>+IFERROR(VLOOKUP(E349,'ID1&amp;5'!K:L,2,FALSE),"-")</f>
        <v>-</v>
      </c>
      <c r="T349" s="79" t="str">
        <f>+IFERROR(VLOOKUP(CONCATENATE(A349,$E$10,E349),'ID1&amp;5'!B:J,9,FALSE),"-")</f>
        <v>-</v>
      </c>
      <c r="U349" s="78" t="str">
        <f>+IFERROR(VLOOKUP(F349,'ID1&amp;5'!K:L,2,FALSE),"-")</f>
        <v>-</v>
      </c>
      <c r="V349" s="79" t="str">
        <f>+IFERROR(VLOOKUP(CONCATENATE(A349,$F$10,F349),'ID1&amp;5'!B:J,9,FALSE),"-")</f>
        <v>-</v>
      </c>
      <c r="W349" s="26" t="str">
        <f>+IFERROR(VLOOKUP(A349,'ID6&amp;7'!A:I,9,FALSE),"-")</f>
        <v>-</v>
      </c>
      <c r="X349" s="26" t="str">
        <f>+IFERROR(VLOOKUP(A349,'ID6&amp;7'!A:J,10,FALSE),"-")</f>
        <v>-</v>
      </c>
      <c r="Y349" s="26"/>
      <c r="Z349" s="27" t="str">
        <f t="shared" si="6"/>
        <v>Por iniciar</v>
      </c>
      <c r="AA349" s="65"/>
    </row>
    <row r="350" spans="1:27">
      <c r="A350" s="20"/>
      <c r="B350" s="60"/>
      <c r="C350" s="60"/>
      <c r="D350" s="60"/>
      <c r="E350" s="60"/>
      <c r="F350" s="60"/>
      <c r="G350" s="60"/>
      <c r="H350" s="65" t="s">
        <v>113</v>
      </c>
      <c r="I350" s="21" t="s">
        <v>1374</v>
      </c>
      <c r="J350" s="26">
        <f>+COUNTIF('ID1&amp;5'!G:G,'1. Status'!I350)</f>
        <v>0</v>
      </c>
      <c r="K350" s="79" t="str">
        <f>+IFERROR(VLOOKUP(CONCATENATE(A350,$B$10,B350),'ID1&amp;5'!B:J,8,FALSE),"-")</f>
        <v>-</v>
      </c>
      <c r="L350" s="78" t="str">
        <f>+IFERROR(VLOOKUP(B350,'ID1&amp;5'!K:L,2,FALSE),"-")</f>
        <v>-</v>
      </c>
      <c r="M350" s="79" t="str">
        <f>+IFERROR(VLOOKUP(CONCATENATE(A350,$B$10,B350),'ID1&amp;5'!B:J,9,FALSE),"-")</f>
        <v>-</v>
      </c>
      <c r="N350" s="79" t="str">
        <f>+IFERROR(VLOOKUP(CONCATENATE(A350,$C$10,C350),'ID1&amp;5'!B:J,8,FALSE),"-")</f>
        <v>-</v>
      </c>
      <c r="O350" s="78" t="str">
        <f>+IFERROR(VLOOKUP(C350,'ID1&amp;5'!K:L,2,FALSE),"-")</f>
        <v>-</v>
      </c>
      <c r="P350" s="79" t="str">
        <f>+IFERROR(VLOOKUP(CONCATENATE(A350,$C$10,C350),'ID1&amp;5'!B:J,9,FALSE),"-")</f>
        <v>-</v>
      </c>
      <c r="Q350" s="78" t="str">
        <f>+IFERROR(VLOOKUP(D350,'ID1&amp;5'!K:L,2,FALSE),"-")</f>
        <v>-</v>
      </c>
      <c r="R350" s="26" t="str">
        <f>+IFERROR(VLOOKUP(CONCATENATE(A350,$D$10,D350),'ID1&amp;5'!B:J,9,FALSE),"-")</f>
        <v>-</v>
      </c>
      <c r="S350" s="78" t="str">
        <f>+IFERROR(VLOOKUP(E350,'ID1&amp;5'!K:L,2,FALSE),"-")</f>
        <v>-</v>
      </c>
      <c r="T350" s="79" t="str">
        <f>+IFERROR(VLOOKUP(CONCATENATE(A350,$E$10,E350),'ID1&amp;5'!B:J,9,FALSE),"-")</f>
        <v>-</v>
      </c>
      <c r="U350" s="78" t="str">
        <f>+IFERROR(VLOOKUP(F350,'ID1&amp;5'!K:L,2,FALSE),"-")</f>
        <v>-</v>
      </c>
      <c r="V350" s="79" t="str">
        <f>+IFERROR(VLOOKUP(CONCATENATE(A350,$F$10,F350),'ID1&amp;5'!B:J,9,FALSE),"-")</f>
        <v>-</v>
      </c>
      <c r="W350" s="26" t="str">
        <f>+IFERROR(VLOOKUP(A350,'ID6&amp;7'!A:I,9,FALSE),"-")</f>
        <v>-</v>
      </c>
      <c r="X350" s="26" t="str">
        <f>+IFERROR(VLOOKUP(A350,'ID6&amp;7'!A:J,10,FALSE),"-")</f>
        <v>-</v>
      </c>
      <c r="Y350" s="26"/>
      <c r="Z350" s="27" t="str">
        <f t="shared" si="6"/>
        <v>Por iniciar</v>
      </c>
      <c r="AA350" s="65"/>
    </row>
    <row r="351" spans="1:27">
      <c r="A351" s="20"/>
      <c r="B351" s="60"/>
      <c r="C351" s="60"/>
      <c r="D351" s="60"/>
      <c r="E351" s="60"/>
      <c r="F351" s="60"/>
      <c r="G351" s="60"/>
      <c r="H351" s="65" t="s">
        <v>113</v>
      </c>
      <c r="I351" s="21" t="s">
        <v>1375</v>
      </c>
      <c r="J351" s="26">
        <f>+COUNTIF('ID1&amp;5'!G:G,'1. Status'!I351)</f>
        <v>0</v>
      </c>
      <c r="K351" s="79" t="str">
        <f>+IFERROR(VLOOKUP(CONCATENATE(A351,$B$10,B351),'ID1&amp;5'!B:J,8,FALSE),"-")</f>
        <v>-</v>
      </c>
      <c r="L351" s="78" t="str">
        <f>+IFERROR(VLOOKUP(B351,'ID1&amp;5'!K:L,2,FALSE),"-")</f>
        <v>-</v>
      </c>
      <c r="M351" s="79" t="str">
        <f>+IFERROR(VLOOKUP(CONCATENATE(A351,$B$10,B351),'ID1&amp;5'!B:J,9,FALSE),"-")</f>
        <v>-</v>
      </c>
      <c r="N351" s="79" t="str">
        <f>+IFERROR(VLOOKUP(CONCATENATE(A351,$C$10,C351),'ID1&amp;5'!B:J,8,FALSE),"-")</f>
        <v>-</v>
      </c>
      <c r="O351" s="78" t="str">
        <f>+IFERROR(VLOOKUP(C351,'ID1&amp;5'!K:L,2,FALSE),"-")</f>
        <v>-</v>
      </c>
      <c r="P351" s="79" t="str">
        <f>+IFERROR(VLOOKUP(CONCATENATE(A351,$C$10,C351),'ID1&amp;5'!B:J,9,FALSE),"-")</f>
        <v>-</v>
      </c>
      <c r="Q351" s="78" t="str">
        <f>+IFERROR(VLOOKUP(D351,'ID1&amp;5'!K:L,2,FALSE),"-")</f>
        <v>-</v>
      </c>
      <c r="R351" s="26" t="str">
        <f>+IFERROR(VLOOKUP(CONCATENATE(A351,$D$10,D351),'ID1&amp;5'!B:J,9,FALSE),"-")</f>
        <v>-</v>
      </c>
      <c r="S351" s="78" t="str">
        <f>+IFERROR(VLOOKUP(E351,'ID1&amp;5'!K:L,2,FALSE),"-")</f>
        <v>-</v>
      </c>
      <c r="T351" s="79" t="str">
        <f>+IFERROR(VLOOKUP(CONCATENATE(A351,$E$10,E351),'ID1&amp;5'!B:J,9,FALSE),"-")</f>
        <v>-</v>
      </c>
      <c r="U351" s="78" t="str">
        <f>+IFERROR(VLOOKUP(F351,'ID1&amp;5'!K:L,2,FALSE),"-")</f>
        <v>-</v>
      </c>
      <c r="V351" s="79" t="str">
        <f>+IFERROR(VLOOKUP(CONCATENATE(A351,$F$10,F351),'ID1&amp;5'!B:J,9,FALSE),"-")</f>
        <v>-</v>
      </c>
      <c r="W351" s="26" t="str">
        <f>+IFERROR(VLOOKUP(A351,'ID6&amp;7'!A:I,9,FALSE),"-")</f>
        <v>-</v>
      </c>
      <c r="X351" s="26" t="str">
        <f>+IFERROR(VLOOKUP(A351,'ID6&amp;7'!A:J,10,FALSE),"-")</f>
        <v>-</v>
      </c>
      <c r="Y351" s="26"/>
      <c r="Z351" s="27" t="str">
        <f t="shared" si="6"/>
        <v>Por iniciar</v>
      </c>
      <c r="AA351" s="65"/>
    </row>
    <row r="352" spans="1:27">
      <c r="A352" s="20"/>
      <c r="B352" s="60"/>
      <c r="C352" s="60"/>
      <c r="D352" s="60"/>
      <c r="E352" s="60"/>
      <c r="F352" s="60"/>
      <c r="G352" s="60"/>
      <c r="H352" s="65" t="s">
        <v>113</v>
      </c>
      <c r="I352" s="21" t="s">
        <v>1376</v>
      </c>
      <c r="J352" s="26">
        <f>+COUNTIF('ID1&amp;5'!G:G,'1. Status'!I352)</f>
        <v>0</v>
      </c>
      <c r="K352" s="79" t="str">
        <f>+IFERROR(VLOOKUP(CONCATENATE(A352,$B$10,B352),'ID1&amp;5'!B:J,8,FALSE),"-")</f>
        <v>-</v>
      </c>
      <c r="L352" s="78" t="str">
        <f>+IFERROR(VLOOKUP(B352,'ID1&amp;5'!K:L,2,FALSE),"-")</f>
        <v>-</v>
      </c>
      <c r="M352" s="79" t="str">
        <f>+IFERROR(VLOOKUP(CONCATENATE(A352,$B$10,B352),'ID1&amp;5'!B:J,9,FALSE),"-")</f>
        <v>-</v>
      </c>
      <c r="N352" s="79" t="str">
        <f>+IFERROR(VLOOKUP(CONCATENATE(A352,$C$10,C352),'ID1&amp;5'!B:J,8,FALSE),"-")</f>
        <v>-</v>
      </c>
      <c r="O352" s="78" t="str">
        <f>+IFERROR(VLOOKUP(C352,'ID1&amp;5'!K:L,2,FALSE),"-")</f>
        <v>-</v>
      </c>
      <c r="P352" s="79" t="str">
        <f>+IFERROR(VLOOKUP(CONCATENATE(A352,$C$10,C352),'ID1&amp;5'!B:J,9,FALSE),"-")</f>
        <v>-</v>
      </c>
      <c r="Q352" s="78" t="str">
        <f>+IFERROR(VLOOKUP(D352,'ID1&amp;5'!K:L,2,FALSE),"-")</f>
        <v>-</v>
      </c>
      <c r="R352" s="26" t="str">
        <f>+IFERROR(VLOOKUP(CONCATENATE(A352,$D$10,D352),'ID1&amp;5'!B:J,9,FALSE),"-")</f>
        <v>-</v>
      </c>
      <c r="S352" s="78" t="str">
        <f>+IFERROR(VLOOKUP(E352,'ID1&amp;5'!K:L,2,FALSE),"-")</f>
        <v>-</v>
      </c>
      <c r="T352" s="79" t="str">
        <f>+IFERROR(VLOOKUP(CONCATENATE(A352,$E$10,E352),'ID1&amp;5'!B:J,9,FALSE),"-")</f>
        <v>-</v>
      </c>
      <c r="U352" s="78" t="str">
        <f>+IFERROR(VLOOKUP(F352,'ID1&amp;5'!K:L,2,FALSE),"-")</f>
        <v>-</v>
      </c>
      <c r="V352" s="79" t="str">
        <f>+IFERROR(VLOOKUP(CONCATENATE(A352,$F$10,F352),'ID1&amp;5'!B:J,9,FALSE),"-")</f>
        <v>-</v>
      </c>
      <c r="W352" s="26" t="str">
        <f>+IFERROR(VLOOKUP(A352,'ID6&amp;7'!A:I,9,FALSE),"-")</f>
        <v>-</v>
      </c>
      <c r="X352" s="26" t="str">
        <f>+IFERROR(VLOOKUP(A352,'ID6&amp;7'!A:J,10,FALSE),"-")</f>
        <v>-</v>
      </c>
      <c r="Y352" s="26"/>
      <c r="Z352" s="27" t="str">
        <f t="shared" si="6"/>
        <v>Por iniciar</v>
      </c>
      <c r="AA352" s="65"/>
    </row>
    <row r="353" spans="1:27">
      <c r="A353" s="20"/>
      <c r="B353" s="60"/>
      <c r="C353" s="60"/>
      <c r="D353" s="60"/>
      <c r="E353" s="60"/>
      <c r="F353" s="60"/>
      <c r="G353" s="60"/>
      <c r="H353" s="65" t="s">
        <v>113</v>
      </c>
      <c r="I353" s="21" t="s">
        <v>1377</v>
      </c>
      <c r="J353" s="26">
        <f>+COUNTIF('ID1&amp;5'!G:G,'1. Status'!I353)</f>
        <v>0</v>
      </c>
      <c r="K353" s="79" t="str">
        <f>+IFERROR(VLOOKUP(CONCATENATE(A353,$B$10,B353),'ID1&amp;5'!B:J,8,FALSE),"-")</f>
        <v>-</v>
      </c>
      <c r="L353" s="78" t="str">
        <f>+IFERROR(VLOOKUP(B353,'ID1&amp;5'!K:L,2,FALSE),"-")</f>
        <v>-</v>
      </c>
      <c r="M353" s="79" t="str">
        <f>+IFERROR(VLOOKUP(CONCATENATE(A353,$B$10,B353),'ID1&amp;5'!B:J,9,FALSE),"-")</f>
        <v>-</v>
      </c>
      <c r="N353" s="79" t="str">
        <f>+IFERROR(VLOOKUP(CONCATENATE(A353,$C$10,C353),'ID1&amp;5'!B:J,8,FALSE),"-")</f>
        <v>-</v>
      </c>
      <c r="O353" s="78" t="str">
        <f>+IFERROR(VLOOKUP(C353,'ID1&amp;5'!K:L,2,FALSE),"-")</f>
        <v>-</v>
      </c>
      <c r="P353" s="79" t="str">
        <f>+IFERROR(VLOOKUP(CONCATENATE(A353,$C$10,C353),'ID1&amp;5'!B:J,9,FALSE),"-")</f>
        <v>-</v>
      </c>
      <c r="Q353" s="78" t="str">
        <f>+IFERROR(VLOOKUP(D353,'ID1&amp;5'!K:L,2,FALSE),"-")</f>
        <v>-</v>
      </c>
      <c r="R353" s="26" t="str">
        <f>+IFERROR(VLOOKUP(CONCATENATE(A353,$D$10,D353),'ID1&amp;5'!B:J,9,FALSE),"-")</f>
        <v>-</v>
      </c>
      <c r="S353" s="78" t="str">
        <f>+IFERROR(VLOOKUP(E353,'ID1&amp;5'!K:L,2,FALSE),"-")</f>
        <v>-</v>
      </c>
      <c r="T353" s="79" t="str">
        <f>+IFERROR(VLOOKUP(CONCATENATE(A353,$E$10,E353),'ID1&amp;5'!B:J,9,FALSE),"-")</f>
        <v>-</v>
      </c>
      <c r="U353" s="78" t="str">
        <f>+IFERROR(VLOOKUP(F353,'ID1&amp;5'!K:L,2,FALSE),"-")</f>
        <v>-</v>
      </c>
      <c r="V353" s="79" t="str">
        <f>+IFERROR(VLOOKUP(CONCATENATE(A353,$F$10,F353),'ID1&amp;5'!B:J,9,FALSE),"-")</f>
        <v>-</v>
      </c>
      <c r="W353" s="26" t="str">
        <f>+IFERROR(VLOOKUP(A353,'ID6&amp;7'!A:I,9,FALSE),"-")</f>
        <v>-</v>
      </c>
      <c r="X353" s="26" t="str">
        <f>+IFERROR(VLOOKUP(A353,'ID6&amp;7'!A:J,10,FALSE),"-")</f>
        <v>-</v>
      </c>
      <c r="Y353" s="26"/>
      <c r="Z353" s="27" t="str">
        <f t="shared" si="6"/>
        <v>Por iniciar</v>
      </c>
      <c r="AA353" s="65"/>
    </row>
    <row r="354" spans="1:27">
      <c r="A354" s="20"/>
      <c r="B354" s="60"/>
      <c r="C354" s="60"/>
      <c r="D354" s="60"/>
      <c r="E354" s="60"/>
      <c r="F354" s="60"/>
      <c r="G354" s="60"/>
      <c r="H354" s="65" t="s">
        <v>113</v>
      </c>
      <c r="I354" s="21" t="s">
        <v>1378</v>
      </c>
      <c r="J354" s="26">
        <f>+COUNTIF('ID1&amp;5'!G:G,'1. Status'!I354)</f>
        <v>0</v>
      </c>
      <c r="K354" s="79" t="str">
        <f>+IFERROR(VLOOKUP(CONCATENATE(A354,$B$10,B354),'ID1&amp;5'!B:J,8,FALSE),"-")</f>
        <v>-</v>
      </c>
      <c r="L354" s="78" t="str">
        <f>+IFERROR(VLOOKUP(B354,'ID1&amp;5'!K:L,2,FALSE),"-")</f>
        <v>-</v>
      </c>
      <c r="M354" s="79" t="str">
        <f>+IFERROR(VLOOKUP(CONCATENATE(A354,$B$10,B354),'ID1&amp;5'!B:J,9,FALSE),"-")</f>
        <v>-</v>
      </c>
      <c r="N354" s="79" t="str">
        <f>+IFERROR(VLOOKUP(CONCATENATE(A354,$C$10,C354),'ID1&amp;5'!B:J,8,FALSE),"-")</f>
        <v>-</v>
      </c>
      <c r="O354" s="78" t="str">
        <f>+IFERROR(VLOOKUP(C354,'ID1&amp;5'!K:L,2,FALSE),"-")</f>
        <v>-</v>
      </c>
      <c r="P354" s="79" t="str">
        <f>+IFERROR(VLOOKUP(CONCATENATE(A354,$C$10,C354),'ID1&amp;5'!B:J,9,FALSE),"-")</f>
        <v>-</v>
      </c>
      <c r="Q354" s="78" t="str">
        <f>+IFERROR(VLOOKUP(D354,'ID1&amp;5'!K:L,2,FALSE),"-")</f>
        <v>-</v>
      </c>
      <c r="R354" s="26" t="str">
        <f>+IFERROR(VLOOKUP(CONCATENATE(A354,$D$10,D354),'ID1&amp;5'!B:J,9,FALSE),"-")</f>
        <v>-</v>
      </c>
      <c r="S354" s="78" t="str">
        <f>+IFERROR(VLOOKUP(E354,'ID1&amp;5'!K:L,2,FALSE),"-")</f>
        <v>-</v>
      </c>
      <c r="T354" s="79" t="str">
        <f>+IFERROR(VLOOKUP(CONCATENATE(A354,$E$10,E354),'ID1&amp;5'!B:J,9,FALSE),"-")</f>
        <v>-</v>
      </c>
      <c r="U354" s="78" t="str">
        <f>+IFERROR(VLOOKUP(F354,'ID1&amp;5'!K:L,2,FALSE),"-")</f>
        <v>-</v>
      </c>
      <c r="V354" s="79" t="str">
        <f>+IFERROR(VLOOKUP(CONCATENATE(A354,$F$10,F354),'ID1&amp;5'!B:J,9,FALSE),"-")</f>
        <v>-</v>
      </c>
      <c r="W354" s="26" t="str">
        <f>+IFERROR(VLOOKUP(A354,'ID6&amp;7'!A:I,9,FALSE),"-")</f>
        <v>-</v>
      </c>
      <c r="X354" s="26" t="str">
        <f>+IFERROR(VLOOKUP(A354,'ID6&amp;7'!A:J,10,FALSE),"-")</f>
        <v>-</v>
      </c>
      <c r="Y354" s="26"/>
      <c r="Z354" s="27" t="str">
        <f t="shared" si="6"/>
        <v>Por iniciar</v>
      </c>
      <c r="AA354" s="65"/>
    </row>
    <row r="355" spans="1:27">
      <c r="A355" s="20"/>
      <c r="B355" s="60"/>
      <c r="C355" s="60"/>
      <c r="D355" s="60"/>
      <c r="E355" s="60"/>
      <c r="F355" s="60"/>
      <c r="G355" s="60"/>
      <c r="H355" s="65" t="s">
        <v>113</v>
      </c>
      <c r="I355" s="21" t="s">
        <v>1379</v>
      </c>
      <c r="J355" s="26">
        <f>+COUNTIF('ID1&amp;5'!G:G,'1. Status'!I355)</f>
        <v>0</v>
      </c>
      <c r="K355" s="79" t="str">
        <f>+IFERROR(VLOOKUP(CONCATENATE(A355,$B$10,B355),'ID1&amp;5'!B:J,8,FALSE),"-")</f>
        <v>-</v>
      </c>
      <c r="L355" s="78" t="str">
        <f>+IFERROR(VLOOKUP(B355,'ID1&amp;5'!K:L,2,FALSE),"-")</f>
        <v>-</v>
      </c>
      <c r="M355" s="79" t="str">
        <f>+IFERROR(VLOOKUP(CONCATENATE(A355,$B$10,B355),'ID1&amp;5'!B:J,9,FALSE),"-")</f>
        <v>-</v>
      </c>
      <c r="N355" s="79" t="str">
        <f>+IFERROR(VLOOKUP(CONCATENATE(A355,$C$10,C355),'ID1&amp;5'!B:J,8,FALSE),"-")</f>
        <v>-</v>
      </c>
      <c r="O355" s="78" t="str">
        <f>+IFERROR(VLOOKUP(C355,'ID1&amp;5'!K:L,2,FALSE),"-")</f>
        <v>-</v>
      </c>
      <c r="P355" s="79" t="str">
        <f>+IFERROR(VLOOKUP(CONCATENATE(A355,$C$10,C355),'ID1&amp;5'!B:J,9,FALSE),"-")</f>
        <v>-</v>
      </c>
      <c r="Q355" s="78" t="str">
        <f>+IFERROR(VLOOKUP(D355,'ID1&amp;5'!K:L,2,FALSE),"-")</f>
        <v>-</v>
      </c>
      <c r="R355" s="26" t="str">
        <f>+IFERROR(VLOOKUP(CONCATENATE(A355,$D$10,D355),'ID1&amp;5'!B:J,9,FALSE),"-")</f>
        <v>-</v>
      </c>
      <c r="S355" s="78" t="str">
        <f>+IFERROR(VLOOKUP(E355,'ID1&amp;5'!K:L,2,FALSE),"-")</f>
        <v>-</v>
      </c>
      <c r="T355" s="79" t="str">
        <f>+IFERROR(VLOOKUP(CONCATENATE(A355,$E$10,E355),'ID1&amp;5'!B:J,9,FALSE),"-")</f>
        <v>-</v>
      </c>
      <c r="U355" s="78" t="str">
        <f>+IFERROR(VLOOKUP(F355,'ID1&amp;5'!K:L,2,FALSE),"-")</f>
        <v>-</v>
      </c>
      <c r="V355" s="79" t="str">
        <f>+IFERROR(VLOOKUP(CONCATENATE(A355,$F$10,F355),'ID1&amp;5'!B:J,9,FALSE),"-")</f>
        <v>-</v>
      </c>
      <c r="W355" s="26" t="str">
        <f>+IFERROR(VLOOKUP(A355,'ID6&amp;7'!A:I,9,FALSE),"-")</f>
        <v>-</v>
      </c>
      <c r="X355" s="26" t="str">
        <f>+IFERROR(VLOOKUP(A355,'ID6&amp;7'!A:J,10,FALSE),"-")</f>
        <v>-</v>
      </c>
      <c r="Y355" s="26"/>
      <c r="Z355" s="27" t="str">
        <f t="shared" si="6"/>
        <v>Por iniciar</v>
      </c>
      <c r="AA355" s="65"/>
    </row>
    <row r="356" spans="1:27">
      <c r="A356" s="20"/>
      <c r="B356" s="60"/>
      <c r="C356" s="60"/>
      <c r="D356" s="60"/>
      <c r="E356" s="60"/>
      <c r="F356" s="60"/>
      <c r="G356" s="60"/>
      <c r="H356" s="65" t="s">
        <v>113</v>
      </c>
      <c r="I356" s="21" t="s">
        <v>1380</v>
      </c>
      <c r="J356" s="26">
        <f>+COUNTIF('ID1&amp;5'!G:G,'1. Status'!I356)</f>
        <v>0</v>
      </c>
      <c r="K356" s="79" t="str">
        <f>+IFERROR(VLOOKUP(CONCATENATE(A356,$B$10,B356),'ID1&amp;5'!B:J,8,FALSE),"-")</f>
        <v>-</v>
      </c>
      <c r="L356" s="78" t="str">
        <f>+IFERROR(VLOOKUP(B356,'ID1&amp;5'!K:L,2,FALSE),"-")</f>
        <v>-</v>
      </c>
      <c r="M356" s="79" t="str">
        <f>+IFERROR(VLOOKUP(CONCATENATE(A356,$B$10,B356),'ID1&amp;5'!B:J,9,FALSE),"-")</f>
        <v>-</v>
      </c>
      <c r="N356" s="79" t="str">
        <f>+IFERROR(VLOOKUP(CONCATENATE(A356,$C$10,C356),'ID1&amp;5'!B:J,8,FALSE),"-")</f>
        <v>-</v>
      </c>
      <c r="O356" s="78" t="str">
        <f>+IFERROR(VLOOKUP(C356,'ID1&amp;5'!K:L,2,FALSE),"-")</f>
        <v>-</v>
      </c>
      <c r="P356" s="79" t="str">
        <f>+IFERROR(VLOOKUP(CONCATENATE(A356,$C$10,C356),'ID1&amp;5'!B:J,9,FALSE),"-")</f>
        <v>-</v>
      </c>
      <c r="Q356" s="78" t="str">
        <f>+IFERROR(VLOOKUP(D356,'ID1&amp;5'!K:L,2,FALSE),"-")</f>
        <v>-</v>
      </c>
      <c r="R356" s="26" t="str">
        <f>+IFERROR(VLOOKUP(CONCATENATE(A356,$D$10,D356),'ID1&amp;5'!B:J,9,FALSE),"-")</f>
        <v>-</v>
      </c>
      <c r="S356" s="78" t="str">
        <f>+IFERROR(VLOOKUP(E356,'ID1&amp;5'!K:L,2,FALSE),"-")</f>
        <v>-</v>
      </c>
      <c r="T356" s="79" t="str">
        <f>+IFERROR(VLOOKUP(CONCATENATE(A356,$E$10,E356),'ID1&amp;5'!B:J,9,FALSE),"-")</f>
        <v>-</v>
      </c>
      <c r="U356" s="78" t="str">
        <f>+IFERROR(VLOOKUP(F356,'ID1&amp;5'!K:L,2,FALSE),"-")</f>
        <v>-</v>
      </c>
      <c r="V356" s="79" t="str">
        <f>+IFERROR(VLOOKUP(CONCATENATE(A356,$F$10,F356),'ID1&amp;5'!B:J,9,FALSE),"-")</f>
        <v>-</v>
      </c>
      <c r="W356" s="26" t="str">
        <f>+IFERROR(VLOOKUP(A356,'ID6&amp;7'!A:I,9,FALSE),"-")</f>
        <v>-</v>
      </c>
      <c r="X356" s="26" t="str">
        <f>+IFERROR(VLOOKUP(A356,'ID6&amp;7'!A:J,10,FALSE),"-")</f>
        <v>-</v>
      </c>
      <c r="Y356" s="26"/>
      <c r="Z356" s="27" t="str">
        <f t="shared" si="6"/>
        <v>Por iniciar</v>
      </c>
      <c r="AA356" s="65"/>
    </row>
    <row r="357" spans="1:27">
      <c r="A357" s="20"/>
      <c r="B357" s="60"/>
      <c r="C357" s="60"/>
      <c r="D357" s="60"/>
      <c r="E357" s="60"/>
      <c r="F357" s="60"/>
      <c r="G357" s="60"/>
      <c r="H357" s="65" t="s">
        <v>113</v>
      </c>
      <c r="I357" s="21" t="s">
        <v>1381</v>
      </c>
      <c r="J357" s="26">
        <f>+COUNTIF('ID1&amp;5'!G:G,'1. Status'!I357)</f>
        <v>0</v>
      </c>
      <c r="K357" s="79" t="str">
        <f>+IFERROR(VLOOKUP(CONCATENATE(A357,$B$10,B357),'ID1&amp;5'!B:J,8,FALSE),"-")</f>
        <v>-</v>
      </c>
      <c r="L357" s="78" t="str">
        <f>+IFERROR(VLOOKUP(B357,'ID1&amp;5'!K:L,2,FALSE),"-")</f>
        <v>-</v>
      </c>
      <c r="M357" s="79" t="str">
        <f>+IFERROR(VLOOKUP(CONCATENATE(A357,$B$10,B357),'ID1&amp;5'!B:J,9,FALSE),"-")</f>
        <v>-</v>
      </c>
      <c r="N357" s="79" t="str">
        <f>+IFERROR(VLOOKUP(CONCATENATE(A357,$C$10,C357),'ID1&amp;5'!B:J,8,FALSE),"-")</f>
        <v>-</v>
      </c>
      <c r="O357" s="78" t="str">
        <f>+IFERROR(VLOOKUP(C357,'ID1&amp;5'!K:L,2,FALSE),"-")</f>
        <v>-</v>
      </c>
      <c r="P357" s="79" t="str">
        <f>+IFERROR(VLOOKUP(CONCATENATE(A357,$C$10,C357),'ID1&amp;5'!B:J,9,FALSE),"-")</f>
        <v>-</v>
      </c>
      <c r="Q357" s="78" t="str">
        <f>+IFERROR(VLOOKUP(D357,'ID1&amp;5'!K:L,2,FALSE),"-")</f>
        <v>-</v>
      </c>
      <c r="R357" s="26" t="str">
        <f>+IFERROR(VLOOKUP(CONCATENATE(A357,$D$10,D357),'ID1&amp;5'!B:J,9,FALSE),"-")</f>
        <v>-</v>
      </c>
      <c r="S357" s="78" t="str">
        <f>+IFERROR(VLOOKUP(E357,'ID1&amp;5'!K:L,2,FALSE),"-")</f>
        <v>-</v>
      </c>
      <c r="T357" s="79" t="str">
        <f>+IFERROR(VLOOKUP(CONCATENATE(A357,$E$10,E357),'ID1&amp;5'!B:J,9,FALSE),"-")</f>
        <v>-</v>
      </c>
      <c r="U357" s="78" t="str">
        <f>+IFERROR(VLOOKUP(F357,'ID1&amp;5'!K:L,2,FALSE),"-")</f>
        <v>-</v>
      </c>
      <c r="V357" s="79" t="str">
        <f>+IFERROR(VLOOKUP(CONCATENATE(A357,$F$10,F357),'ID1&amp;5'!B:J,9,FALSE),"-")</f>
        <v>-</v>
      </c>
      <c r="W357" s="26" t="str">
        <f>+IFERROR(VLOOKUP(A357,'ID6&amp;7'!A:I,9,FALSE),"-")</f>
        <v>-</v>
      </c>
      <c r="X357" s="26" t="str">
        <f>+IFERROR(VLOOKUP(A357,'ID6&amp;7'!A:J,10,FALSE),"-")</f>
        <v>-</v>
      </c>
      <c r="Y357" s="26"/>
      <c r="Z357" s="27" t="str">
        <f t="shared" si="6"/>
        <v>Por iniciar</v>
      </c>
      <c r="AA357" s="65"/>
    </row>
    <row r="358" spans="1:27">
      <c r="A358" s="20"/>
      <c r="B358" s="60"/>
      <c r="C358" s="60"/>
      <c r="D358" s="60"/>
      <c r="E358" s="60"/>
      <c r="F358" s="60"/>
      <c r="G358" s="60"/>
      <c r="H358" s="65" t="s">
        <v>113</v>
      </c>
      <c r="I358" s="21" t="s">
        <v>1382</v>
      </c>
      <c r="J358" s="26">
        <f>+COUNTIF('ID1&amp;5'!G:G,'1. Status'!I358)</f>
        <v>0</v>
      </c>
      <c r="K358" s="79" t="str">
        <f>+IFERROR(VLOOKUP(CONCATENATE(A358,$B$10,B358),'ID1&amp;5'!B:J,8,FALSE),"-")</f>
        <v>-</v>
      </c>
      <c r="L358" s="78" t="str">
        <f>+IFERROR(VLOOKUP(B358,'ID1&amp;5'!K:L,2,FALSE),"-")</f>
        <v>-</v>
      </c>
      <c r="M358" s="79" t="str">
        <f>+IFERROR(VLOOKUP(CONCATENATE(A358,$B$10,B358),'ID1&amp;5'!B:J,9,FALSE),"-")</f>
        <v>-</v>
      </c>
      <c r="N358" s="79" t="str">
        <f>+IFERROR(VLOOKUP(CONCATENATE(A358,$C$10,C358),'ID1&amp;5'!B:J,8,FALSE),"-")</f>
        <v>-</v>
      </c>
      <c r="O358" s="78" t="str">
        <f>+IFERROR(VLOOKUP(C358,'ID1&amp;5'!K:L,2,FALSE),"-")</f>
        <v>-</v>
      </c>
      <c r="P358" s="79" t="str">
        <f>+IFERROR(VLOOKUP(CONCATENATE(A358,$C$10,C358),'ID1&amp;5'!B:J,9,FALSE),"-")</f>
        <v>-</v>
      </c>
      <c r="Q358" s="78" t="str">
        <f>+IFERROR(VLOOKUP(D358,'ID1&amp;5'!K:L,2,FALSE),"-")</f>
        <v>-</v>
      </c>
      <c r="R358" s="26" t="str">
        <f>+IFERROR(VLOOKUP(CONCATENATE(A358,$D$10,D358),'ID1&amp;5'!B:J,9,FALSE),"-")</f>
        <v>-</v>
      </c>
      <c r="S358" s="78" t="str">
        <f>+IFERROR(VLOOKUP(E358,'ID1&amp;5'!K:L,2,FALSE),"-")</f>
        <v>-</v>
      </c>
      <c r="T358" s="79" t="str">
        <f>+IFERROR(VLOOKUP(CONCATENATE(A358,$E$10,E358),'ID1&amp;5'!B:J,9,FALSE),"-")</f>
        <v>-</v>
      </c>
      <c r="U358" s="78" t="str">
        <f>+IFERROR(VLOOKUP(F358,'ID1&amp;5'!K:L,2,FALSE),"-")</f>
        <v>-</v>
      </c>
      <c r="V358" s="79" t="str">
        <f>+IFERROR(VLOOKUP(CONCATENATE(A358,$F$10,F358),'ID1&amp;5'!B:J,9,FALSE),"-")</f>
        <v>-</v>
      </c>
      <c r="W358" s="26" t="str">
        <f>+IFERROR(VLOOKUP(A358,'ID6&amp;7'!A:I,9,FALSE),"-")</f>
        <v>-</v>
      </c>
      <c r="X358" s="26" t="str">
        <f>+IFERROR(VLOOKUP(A358,'ID6&amp;7'!A:J,10,FALSE),"-")</f>
        <v>-</v>
      </c>
      <c r="Y358" s="26"/>
      <c r="Z358" s="27" t="str">
        <f t="shared" si="6"/>
        <v>Por iniciar</v>
      </c>
      <c r="AA358" s="65"/>
    </row>
    <row r="359" spans="1:27">
      <c r="A359" s="20"/>
      <c r="B359" s="60"/>
      <c r="C359" s="60"/>
      <c r="D359" s="60"/>
      <c r="E359" s="60"/>
      <c r="F359" s="60"/>
      <c r="G359" s="60"/>
      <c r="H359" s="65" t="s">
        <v>113</v>
      </c>
      <c r="I359" s="21" t="s">
        <v>1383</v>
      </c>
      <c r="J359" s="26">
        <f>+COUNTIF('ID1&amp;5'!G:G,'1. Status'!I359)</f>
        <v>0</v>
      </c>
      <c r="K359" s="79" t="str">
        <f>+IFERROR(VLOOKUP(CONCATENATE(A359,$B$10,B359),'ID1&amp;5'!B:J,8,FALSE),"-")</f>
        <v>-</v>
      </c>
      <c r="L359" s="78" t="str">
        <f>+IFERROR(VLOOKUP(B359,'ID1&amp;5'!K:L,2,FALSE),"-")</f>
        <v>-</v>
      </c>
      <c r="M359" s="79" t="str">
        <f>+IFERROR(VLOOKUP(CONCATENATE(A359,$B$10,B359),'ID1&amp;5'!B:J,9,FALSE),"-")</f>
        <v>-</v>
      </c>
      <c r="N359" s="79" t="str">
        <f>+IFERROR(VLOOKUP(CONCATENATE(A359,$C$10,C359),'ID1&amp;5'!B:J,8,FALSE),"-")</f>
        <v>-</v>
      </c>
      <c r="O359" s="78" t="str">
        <f>+IFERROR(VLOOKUP(C359,'ID1&amp;5'!K:L,2,FALSE),"-")</f>
        <v>-</v>
      </c>
      <c r="P359" s="79" t="str">
        <f>+IFERROR(VLOOKUP(CONCATENATE(A359,$C$10,C359),'ID1&amp;5'!B:J,9,FALSE),"-")</f>
        <v>-</v>
      </c>
      <c r="Q359" s="78" t="str">
        <f>+IFERROR(VLOOKUP(D359,'ID1&amp;5'!K:L,2,FALSE),"-")</f>
        <v>-</v>
      </c>
      <c r="R359" s="26" t="str">
        <f>+IFERROR(VLOOKUP(CONCATENATE(A359,$D$10,D359),'ID1&amp;5'!B:J,9,FALSE),"-")</f>
        <v>-</v>
      </c>
      <c r="S359" s="78" t="str">
        <f>+IFERROR(VLOOKUP(E359,'ID1&amp;5'!K:L,2,FALSE),"-")</f>
        <v>-</v>
      </c>
      <c r="T359" s="79" t="str">
        <f>+IFERROR(VLOOKUP(CONCATENATE(A359,$E$10,E359),'ID1&amp;5'!B:J,9,FALSE),"-")</f>
        <v>-</v>
      </c>
      <c r="U359" s="78" t="str">
        <f>+IFERROR(VLOOKUP(F359,'ID1&amp;5'!K:L,2,FALSE),"-")</f>
        <v>-</v>
      </c>
      <c r="V359" s="79" t="str">
        <f>+IFERROR(VLOOKUP(CONCATENATE(A359,$F$10,F359),'ID1&amp;5'!B:J,9,FALSE),"-")</f>
        <v>-</v>
      </c>
      <c r="W359" s="26" t="str">
        <f>+IFERROR(VLOOKUP(A359,'ID6&amp;7'!A:I,9,FALSE),"-")</f>
        <v>-</v>
      </c>
      <c r="X359" s="26" t="str">
        <f>+IFERROR(VLOOKUP(A359,'ID6&amp;7'!A:J,10,FALSE),"-")</f>
        <v>-</v>
      </c>
      <c r="Y359" s="26"/>
      <c r="Z359" s="27" t="str">
        <f t="shared" si="6"/>
        <v>Por iniciar</v>
      </c>
      <c r="AA359" s="65"/>
    </row>
    <row r="360" spans="1:27">
      <c r="A360" s="20"/>
      <c r="B360" s="60"/>
      <c r="C360" s="60"/>
      <c r="D360" s="60"/>
      <c r="E360" s="60"/>
      <c r="F360" s="60"/>
      <c r="G360" s="60"/>
      <c r="H360" s="65" t="s">
        <v>113</v>
      </c>
      <c r="I360" s="21" t="s">
        <v>1384</v>
      </c>
      <c r="J360" s="26">
        <f>+COUNTIF('ID1&amp;5'!G:G,'1. Status'!I360)</f>
        <v>0</v>
      </c>
      <c r="K360" s="79" t="str">
        <f>+IFERROR(VLOOKUP(CONCATENATE(A360,$B$10,B360),'ID1&amp;5'!B:J,8,FALSE),"-")</f>
        <v>-</v>
      </c>
      <c r="L360" s="78" t="str">
        <f>+IFERROR(VLOOKUP(B360,'ID1&amp;5'!K:L,2,FALSE),"-")</f>
        <v>-</v>
      </c>
      <c r="M360" s="79" t="str">
        <f>+IFERROR(VLOOKUP(CONCATENATE(A360,$B$10,B360),'ID1&amp;5'!B:J,9,FALSE),"-")</f>
        <v>-</v>
      </c>
      <c r="N360" s="79" t="str">
        <f>+IFERROR(VLOOKUP(CONCATENATE(A360,$C$10,C360),'ID1&amp;5'!B:J,8,FALSE),"-")</f>
        <v>-</v>
      </c>
      <c r="O360" s="78" t="str">
        <f>+IFERROR(VLOOKUP(C360,'ID1&amp;5'!K:L,2,FALSE),"-")</f>
        <v>-</v>
      </c>
      <c r="P360" s="79" t="str">
        <f>+IFERROR(VLOOKUP(CONCATENATE(A360,$C$10,C360),'ID1&amp;5'!B:J,9,FALSE),"-")</f>
        <v>-</v>
      </c>
      <c r="Q360" s="78" t="str">
        <f>+IFERROR(VLOOKUP(D360,'ID1&amp;5'!K:L,2,FALSE),"-")</f>
        <v>-</v>
      </c>
      <c r="R360" s="26" t="str">
        <f>+IFERROR(VLOOKUP(CONCATENATE(A360,$D$10,D360),'ID1&amp;5'!B:J,9,FALSE),"-")</f>
        <v>-</v>
      </c>
      <c r="S360" s="78" t="str">
        <f>+IFERROR(VLOOKUP(E360,'ID1&amp;5'!K:L,2,FALSE),"-")</f>
        <v>-</v>
      </c>
      <c r="T360" s="79" t="str">
        <f>+IFERROR(VLOOKUP(CONCATENATE(A360,$E$10,E360),'ID1&amp;5'!B:J,9,FALSE),"-")</f>
        <v>-</v>
      </c>
      <c r="U360" s="78" t="str">
        <f>+IFERROR(VLOOKUP(F360,'ID1&amp;5'!K:L,2,FALSE),"-")</f>
        <v>-</v>
      </c>
      <c r="V360" s="79" t="str">
        <f>+IFERROR(VLOOKUP(CONCATENATE(A360,$F$10,F360),'ID1&amp;5'!B:J,9,FALSE),"-")</f>
        <v>-</v>
      </c>
      <c r="W360" s="26" t="str">
        <f>+IFERROR(VLOOKUP(A360,'ID6&amp;7'!A:I,9,FALSE),"-")</f>
        <v>-</v>
      </c>
      <c r="X360" s="26" t="str">
        <f>+IFERROR(VLOOKUP(A360,'ID6&amp;7'!A:J,10,FALSE),"-")</f>
        <v>-</v>
      </c>
      <c r="Y360" s="26"/>
      <c r="Z360" s="27" t="str">
        <f t="shared" si="6"/>
        <v>Por iniciar</v>
      </c>
      <c r="AA360" s="65"/>
    </row>
    <row r="361" spans="1:27">
      <c r="A361" s="20"/>
      <c r="B361" s="60"/>
      <c r="C361" s="60"/>
      <c r="D361" s="60"/>
      <c r="E361" s="60"/>
      <c r="F361" s="60"/>
      <c r="G361" s="60"/>
      <c r="H361" s="65" t="s">
        <v>113</v>
      </c>
      <c r="I361" s="21" t="s">
        <v>1385</v>
      </c>
      <c r="J361" s="26">
        <f>+COUNTIF('ID1&amp;5'!G:G,'1. Status'!I361)</f>
        <v>0</v>
      </c>
      <c r="K361" s="79" t="str">
        <f>+IFERROR(VLOOKUP(CONCATENATE(A361,$B$10,B361),'ID1&amp;5'!B:J,8,FALSE),"-")</f>
        <v>-</v>
      </c>
      <c r="L361" s="78" t="str">
        <f>+IFERROR(VLOOKUP(B361,'ID1&amp;5'!K:L,2,FALSE),"-")</f>
        <v>-</v>
      </c>
      <c r="M361" s="79" t="str">
        <f>+IFERROR(VLOOKUP(CONCATENATE(A361,$B$10,B361),'ID1&amp;5'!B:J,9,FALSE),"-")</f>
        <v>-</v>
      </c>
      <c r="N361" s="79" t="str">
        <f>+IFERROR(VLOOKUP(CONCATENATE(A361,$C$10,C361),'ID1&amp;5'!B:J,8,FALSE),"-")</f>
        <v>-</v>
      </c>
      <c r="O361" s="78" t="str">
        <f>+IFERROR(VLOOKUP(C361,'ID1&amp;5'!K:L,2,FALSE),"-")</f>
        <v>-</v>
      </c>
      <c r="P361" s="79" t="str">
        <f>+IFERROR(VLOOKUP(CONCATENATE(A361,$C$10,C361),'ID1&amp;5'!B:J,9,FALSE),"-")</f>
        <v>-</v>
      </c>
      <c r="Q361" s="78" t="str">
        <f>+IFERROR(VLOOKUP(D361,'ID1&amp;5'!K:L,2,FALSE),"-")</f>
        <v>-</v>
      </c>
      <c r="R361" s="26" t="str">
        <f>+IFERROR(VLOOKUP(CONCATENATE(A361,$D$10,D361),'ID1&amp;5'!B:J,9,FALSE),"-")</f>
        <v>-</v>
      </c>
      <c r="S361" s="78" t="str">
        <f>+IFERROR(VLOOKUP(E361,'ID1&amp;5'!K:L,2,FALSE),"-")</f>
        <v>-</v>
      </c>
      <c r="T361" s="79" t="str">
        <f>+IFERROR(VLOOKUP(CONCATENATE(A361,$E$10,E361),'ID1&amp;5'!B:J,9,FALSE),"-")</f>
        <v>-</v>
      </c>
      <c r="U361" s="78" t="str">
        <f>+IFERROR(VLOOKUP(F361,'ID1&amp;5'!K:L,2,FALSE),"-")</f>
        <v>-</v>
      </c>
      <c r="V361" s="79" t="str">
        <f>+IFERROR(VLOOKUP(CONCATENATE(A361,$F$10,F361),'ID1&amp;5'!B:J,9,FALSE),"-")</f>
        <v>-</v>
      </c>
      <c r="W361" s="26" t="str">
        <f>+IFERROR(VLOOKUP(A361,'ID6&amp;7'!A:I,9,FALSE),"-")</f>
        <v>-</v>
      </c>
      <c r="X361" s="26" t="str">
        <f>+IFERROR(VLOOKUP(A361,'ID6&amp;7'!A:J,10,FALSE),"-")</f>
        <v>-</v>
      </c>
      <c r="Y361" s="26"/>
      <c r="Z361" s="27" t="str">
        <f t="shared" si="6"/>
        <v>Por iniciar</v>
      </c>
      <c r="AA361" s="65"/>
    </row>
    <row r="362" spans="1:27">
      <c r="A362" s="20"/>
      <c r="B362" s="60"/>
      <c r="C362" s="60"/>
      <c r="D362" s="60"/>
      <c r="E362" s="60"/>
      <c r="F362" s="60"/>
      <c r="G362" s="60"/>
      <c r="H362" s="65" t="s">
        <v>113</v>
      </c>
      <c r="I362" s="21" t="s">
        <v>1386</v>
      </c>
      <c r="J362" s="26">
        <f>+COUNTIF('ID1&amp;5'!G:G,'1. Status'!I362)</f>
        <v>0</v>
      </c>
      <c r="K362" s="79" t="str">
        <f>+IFERROR(VLOOKUP(CONCATENATE(A362,$B$10,B362),'ID1&amp;5'!B:J,8,FALSE),"-")</f>
        <v>-</v>
      </c>
      <c r="L362" s="78" t="str">
        <f>+IFERROR(VLOOKUP(B362,'ID1&amp;5'!K:L,2,FALSE),"-")</f>
        <v>-</v>
      </c>
      <c r="M362" s="79" t="str">
        <f>+IFERROR(VLOOKUP(CONCATENATE(A362,$B$10,B362),'ID1&amp;5'!B:J,9,FALSE),"-")</f>
        <v>-</v>
      </c>
      <c r="N362" s="79" t="str">
        <f>+IFERROR(VLOOKUP(CONCATENATE(A362,$C$10,C362),'ID1&amp;5'!B:J,8,FALSE),"-")</f>
        <v>-</v>
      </c>
      <c r="O362" s="78" t="str">
        <f>+IFERROR(VLOOKUP(C362,'ID1&amp;5'!K:L,2,FALSE),"-")</f>
        <v>-</v>
      </c>
      <c r="P362" s="79" t="str">
        <f>+IFERROR(VLOOKUP(CONCATENATE(A362,$C$10,C362),'ID1&amp;5'!B:J,9,FALSE),"-")</f>
        <v>-</v>
      </c>
      <c r="Q362" s="78" t="str">
        <f>+IFERROR(VLOOKUP(D362,'ID1&amp;5'!K:L,2,FALSE),"-")</f>
        <v>-</v>
      </c>
      <c r="R362" s="26" t="str">
        <f>+IFERROR(VLOOKUP(CONCATENATE(A362,$D$10,D362),'ID1&amp;5'!B:J,9,FALSE),"-")</f>
        <v>-</v>
      </c>
      <c r="S362" s="78" t="str">
        <f>+IFERROR(VLOOKUP(E362,'ID1&amp;5'!K:L,2,FALSE),"-")</f>
        <v>-</v>
      </c>
      <c r="T362" s="79" t="str">
        <f>+IFERROR(VLOOKUP(CONCATENATE(A362,$E$10,E362),'ID1&amp;5'!B:J,9,FALSE),"-")</f>
        <v>-</v>
      </c>
      <c r="U362" s="78" t="str">
        <f>+IFERROR(VLOOKUP(F362,'ID1&amp;5'!K:L,2,FALSE),"-")</f>
        <v>-</v>
      </c>
      <c r="V362" s="79" t="str">
        <f>+IFERROR(VLOOKUP(CONCATENATE(A362,$F$10,F362),'ID1&amp;5'!B:J,9,FALSE),"-")</f>
        <v>-</v>
      </c>
      <c r="W362" s="26" t="str">
        <f>+IFERROR(VLOOKUP(A362,'ID6&amp;7'!A:I,9,FALSE),"-")</f>
        <v>-</v>
      </c>
      <c r="X362" s="26" t="str">
        <f>+IFERROR(VLOOKUP(A362,'ID6&amp;7'!A:J,10,FALSE),"-")</f>
        <v>-</v>
      </c>
      <c r="Y362" s="26"/>
      <c r="Z362" s="27" t="str">
        <f t="shared" si="6"/>
        <v>Por iniciar</v>
      </c>
      <c r="AA362" s="65"/>
    </row>
    <row r="363" spans="1:27">
      <c r="A363" s="20"/>
      <c r="B363" s="60"/>
      <c r="C363" s="60"/>
      <c r="D363" s="60"/>
      <c r="E363" s="60"/>
      <c r="F363" s="60"/>
      <c r="G363" s="60"/>
      <c r="H363" s="65" t="s">
        <v>113</v>
      </c>
      <c r="I363" s="21" t="s">
        <v>1387</v>
      </c>
      <c r="J363" s="26">
        <f>+COUNTIF('ID1&amp;5'!G:G,'1. Status'!I363)</f>
        <v>0</v>
      </c>
      <c r="K363" s="79" t="str">
        <f>+IFERROR(VLOOKUP(CONCATENATE(A363,$B$10,B363),'ID1&amp;5'!B:J,8,FALSE),"-")</f>
        <v>-</v>
      </c>
      <c r="L363" s="78" t="str">
        <f>+IFERROR(VLOOKUP(B363,'ID1&amp;5'!K:L,2,FALSE),"-")</f>
        <v>-</v>
      </c>
      <c r="M363" s="79" t="str">
        <f>+IFERROR(VLOOKUP(CONCATENATE(A363,$B$10,B363),'ID1&amp;5'!B:J,9,FALSE),"-")</f>
        <v>-</v>
      </c>
      <c r="N363" s="79" t="str">
        <f>+IFERROR(VLOOKUP(CONCATENATE(A363,$C$10,C363),'ID1&amp;5'!B:J,8,FALSE),"-")</f>
        <v>-</v>
      </c>
      <c r="O363" s="78" t="str">
        <f>+IFERROR(VLOOKUP(C363,'ID1&amp;5'!K:L,2,FALSE),"-")</f>
        <v>-</v>
      </c>
      <c r="P363" s="79" t="str">
        <f>+IFERROR(VLOOKUP(CONCATENATE(A363,$C$10,C363),'ID1&amp;5'!B:J,9,FALSE),"-")</f>
        <v>-</v>
      </c>
      <c r="Q363" s="78" t="str">
        <f>+IFERROR(VLOOKUP(D363,'ID1&amp;5'!K:L,2,FALSE),"-")</f>
        <v>-</v>
      </c>
      <c r="R363" s="26" t="str">
        <f>+IFERROR(VLOOKUP(CONCATENATE(A363,$D$10,D363),'ID1&amp;5'!B:J,9,FALSE),"-")</f>
        <v>-</v>
      </c>
      <c r="S363" s="78" t="str">
        <f>+IFERROR(VLOOKUP(E363,'ID1&amp;5'!K:L,2,FALSE),"-")</f>
        <v>-</v>
      </c>
      <c r="T363" s="79" t="str">
        <f>+IFERROR(VLOOKUP(CONCATENATE(A363,$E$10,E363),'ID1&amp;5'!B:J,9,FALSE),"-")</f>
        <v>-</v>
      </c>
      <c r="U363" s="78" t="str">
        <f>+IFERROR(VLOOKUP(F363,'ID1&amp;5'!K:L,2,FALSE),"-")</f>
        <v>-</v>
      </c>
      <c r="V363" s="79" t="str">
        <f>+IFERROR(VLOOKUP(CONCATENATE(A363,$F$10,F363),'ID1&amp;5'!B:J,9,FALSE),"-")</f>
        <v>-</v>
      </c>
      <c r="W363" s="26" t="str">
        <f>+IFERROR(VLOOKUP(A363,'ID6&amp;7'!A:I,9,FALSE),"-")</f>
        <v>-</v>
      </c>
      <c r="X363" s="26" t="str">
        <f>+IFERROR(VLOOKUP(A363,'ID6&amp;7'!A:J,10,FALSE),"-")</f>
        <v>-</v>
      </c>
      <c r="Y363" s="26"/>
      <c r="Z363" s="27" t="str">
        <f t="shared" si="6"/>
        <v>Por iniciar</v>
      </c>
      <c r="AA363" s="65"/>
    </row>
    <row r="364" spans="1:27">
      <c r="A364" s="20"/>
      <c r="B364" s="60"/>
      <c r="C364" s="60"/>
      <c r="D364" s="60"/>
      <c r="E364" s="60"/>
      <c r="F364" s="60"/>
      <c r="G364" s="60"/>
      <c r="H364" s="65" t="s">
        <v>113</v>
      </c>
      <c r="I364" s="21" t="s">
        <v>1388</v>
      </c>
      <c r="J364" s="26">
        <f>+COUNTIF('ID1&amp;5'!G:G,'1. Status'!I364)</f>
        <v>0</v>
      </c>
      <c r="K364" s="79" t="str">
        <f>+IFERROR(VLOOKUP(CONCATENATE(A364,$B$10,B364),'ID1&amp;5'!B:J,8,FALSE),"-")</f>
        <v>-</v>
      </c>
      <c r="L364" s="78" t="str">
        <f>+IFERROR(VLOOKUP(B364,'ID1&amp;5'!K:L,2,FALSE),"-")</f>
        <v>-</v>
      </c>
      <c r="M364" s="79" t="str">
        <f>+IFERROR(VLOOKUP(CONCATENATE(A364,$B$10,B364),'ID1&amp;5'!B:J,9,FALSE),"-")</f>
        <v>-</v>
      </c>
      <c r="N364" s="79" t="str">
        <f>+IFERROR(VLOOKUP(CONCATENATE(A364,$C$10,C364),'ID1&amp;5'!B:J,8,FALSE),"-")</f>
        <v>-</v>
      </c>
      <c r="O364" s="78" t="str">
        <f>+IFERROR(VLOOKUP(C364,'ID1&amp;5'!K:L,2,FALSE),"-")</f>
        <v>-</v>
      </c>
      <c r="P364" s="79" t="str">
        <f>+IFERROR(VLOOKUP(CONCATENATE(A364,$C$10,C364),'ID1&amp;5'!B:J,9,FALSE),"-")</f>
        <v>-</v>
      </c>
      <c r="Q364" s="78" t="str">
        <f>+IFERROR(VLOOKUP(D364,'ID1&amp;5'!K:L,2,FALSE),"-")</f>
        <v>-</v>
      </c>
      <c r="R364" s="26" t="str">
        <f>+IFERROR(VLOOKUP(CONCATENATE(A364,$D$10,D364),'ID1&amp;5'!B:J,9,FALSE),"-")</f>
        <v>-</v>
      </c>
      <c r="S364" s="78" t="str">
        <f>+IFERROR(VLOOKUP(E364,'ID1&amp;5'!K:L,2,FALSE),"-")</f>
        <v>-</v>
      </c>
      <c r="T364" s="79" t="str">
        <f>+IFERROR(VLOOKUP(CONCATENATE(A364,$E$10,E364),'ID1&amp;5'!B:J,9,FALSE),"-")</f>
        <v>-</v>
      </c>
      <c r="U364" s="78" t="str">
        <f>+IFERROR(VLOOKUP(F364,'ID1&amp;5'!K:L,2,FALSE),"-")</f>
        <v>-</v>
      </c>
      <c r="V364" s="79" t="str">
        <f>+IFERROR(VLOOKUP(CONCATENATE(A364,$F$10,F364),'ID1&amp;5'!B:J,9,FALSE),"-")</f>
        <v>-</v>
      </c>
      <c r="W364" s="26" t="str">
        <f>+IFERROR(VLOOKUP(A364,'ID6&amp;7'!A:I,9,FALSE),"-")</f>
        <v>-</v>
      </c>
      <c r="X364" s="26" t="str">
        <f>+IFERROR(VLOOKUP(A364,'ID6&amp;7'!A:J,10,FALSE),"-")</f>
        <v>-</v>
      </c>
      <c r="Y364" s="26"/>
      <c r="Z364" s="27" t="str">
        <f t="shared" si="6"/>
        <v>Por iniciar</v>
      </c>
      <c r="AA364" s="65"/>
    </row>
    <row r="365" spans="1:27">
      <c r="A365" s="20"/>
      <c r="B365" s="60"/>
      <c r="C365" s="60"/>
      <c r="D365" s="60"/>
      <c r="E365" s="60"/>
      <c r="F365" s="60"/>
      <c r="G365" s="60"/>
      <c r="H365" s="65" t="s">
        <v>113</v>
      </c>
      <c r="I365" s="21" t="s">
        <v>1389</v>
      </c>
      <c r="J365" s="26">
        <f>+COUNTIF('ID1&amp;5'!G:G,'1. Status'!I365)</f>
        <v>0</v>
      </c>
      <c r="K365" s="79" t="str">
        <f>+IFERROR(VLOOKUP(CONCATENATE(A365,$B$10,B365),'ID1&amp;5'!B:J,8,FALSE),"-")</f>
        <v>-</v>
      </c>
      <c r="L365" s="78" t="str">
        <f>+IFERROR(VLOOKUP(B365,'ID1&amp;5'!K:L,2,FALSE),"-")</f>
        <v>-</v>
      </c>
      <c r="M365" s="79" t="str">
        <f>+IFERROR(VLOOKUP(CONCATENATE(A365,$B$10,B365),'ID1&amp;5'!B:J,9,FALSE),"-")</f>
        <v>-</v>
      </c>
      <c r="N365" s="79" t="str">
        <f>+IFERROR(VLOOKUP(CONCATENATE(A365,$C$10,C365),'ID1&amp;5'!B:J,8,FALSE),"-")</f>
        <v>-</v>
      </c>
      <c r="O365" s="78" t="str">
        <f>+IFERROR(VLOOKUP(C365,'ID1&amp;5'!K:L,2,FALSE),"-")</f>
        <v>-</v>
      </c>
      <c r="P365" s="79" t="str">
        <f>+IFERROR(VLOOKUP(CONCATENATE(A365,$C$10,C365),'ID1&amp;5'!B:J,9,FALSE),"-")</f>
        <v>-</v>
      </c>
      <c r="Q365" s="78" t="str">
        <f>+IFERROR(VLOOKUP(D365,'ID1&amp;5'!K:L,2,FALSE),"-")</f>
        <v>-</v>
      </c>
      <c r="R365" s="26" t="str">
        <f>+IFERROR(VLOOKUP(CONCATENATE(A365,$D$10,D365),'ID1&amp;5'!B:J,9,FALSE),"-")</f>
        <v>-</v>
      </c>
      <c r="S365" s="78" t="str">
        <f>+IFERROR(VLOOKUP(E365,'ID1&amp;5'!K:L,2,FALSE),"-")</f>
        <v>-</v>
      </c>
      <c r="T365" s="79" t="str">
        <f>+IFERROR(VLOOKUP(CONCATENATE(A365,$E$10,E365),'ID1&amp;5'!B:J,9,FALSE),"-")</f>
        <v>-</v>
      </c>
      <c r="U365" s="78" t="str">
        <f>+IFERROR(VLOOKUP(F365,'ID1&amp;5'!K:L,2,FALSE),"-")</f>
        <v>-</v>
      </c>
      <c r="V365" s="79" t="str">
        <f>+IFERROR(VLOOKUP(CONCATENATE(A365,$F$10,F365),'ID1&amp;5'!B:J,9,FALSE),"-")</f>
        <v>-</v>
      </c>
      <c r="W365" s="26" t="str">
        <f>+IFERROR(VLOOKUP(A365,'ID6&amp;7'!A:I,9,FALSE),"-")</f>
        <v>-</v>
      </c>
      <c r="X365" s="26" t="str">
        <f>+IFERROR(VLOOKUP(A365,'ID6&amp;7'!A:J,10,FALSE),"-")</f>
        <v>-</v>
      </c>
      <c r="Y365" s="26"/>
      <c r="Z365" s="27" t="str">
        <f t="shared" si="6"/>
        <v>Por iniciar</v>
      </c>
      <c r="AA365" s="65"/>
    </row>
    <row r="366" spans="1:27">
      <c r="A366" s="20"/>
      <c r="B366" s="60"/>
      <c r="C366" s="60"/>
      <c r="D366" s="60"/>
      <c r="E366" s="60"/>
      <c r="F366" s="60"/>
      <c r="G366" s="60"/>
      <c r="H366" s="65" t="s">
        <v>113</v>
      </c>
      <c r="I366" s="21" t="s">
        <v>1390</v>
      </c>
      <c r="J366" s="26">
        <f>+COUNTIF('ID1&amp;5'!G:G,'1. Status'!I366)</f>
        <v>0</v>
      </c>
      <c r="K366" s="79" t="str">
        <f>+IFERROR(VLOOKUP(CONCATENATE(A366,$B$10,B366),'ID1&amp;5'!B:J,8,FALSE),"-")</f>
        <v>-</v>
      </c>
      <c r="L366" s="78" t="str">
        <f>+IFERROR(VLOOKUP(B366,'ID1&amp;5'!K:L,2,FALSE),"-")</f>
        <v>-</v>
      </c>
      <c r="M366" s="79" t="str">
        <f>+IFERROR(VLOOKUP(CONCATENATE(A366,$B$10,B366),'ID1&amp;5'!B:J,9,FALSE),"-")</f>
        <v>-</v>
      </c>
      <c r="N366" s="79" t="str">
        <f>+IFERROR(VLOOKUP(CONCATENATE(A366,$C$10,C366),'ID1&amp;5'!B:J,8,FALSE),"-")</f>
        <v>-</v>
      </c>
      <c r="O366" s="78" t="str">
        <f>+IFERROR(VLOOKUP(C366,'ID1&amp;5'!K:L,2,FALSE),"-")</f>
        <v>-</v>
      </c>
      <c r="P366" s="79" t="str">
        <f>+IFERROR(VLOOKUP(CONCATENATE(A366,$C$10,C366),'ID1&amp;5'!B:J,9,FALSE),"-")</f>
        <v>-</v>
      </c>
      <c r="Q366" s="78" t="str">
        <f>+IFERROR(VLOOKUP(D366,'ID1&amp;5'!K:L,2,FALSE),"-")</f>
        <v>-</v>
      </c>
      <c r="R366" s="26" t="str">
        <f>+IFERROR(VLOOKUP(CONCATENATE(A366,$D$10,D366),'ID1&amp;5'!B:J,9,FALSE),"-")</f>
        <v>-</v>
      </c>
      <c r="S366" s="78" t="str">
        <f>+IFERROR(VLOOKUP(E366,'ID1&amp;5'!K:L,2,FALSE),"-")</f>
        <v>-</v>
      </c>
      <c r="T366" s="79" t="str">
        <f>+IFERROR(VLOOKUP(CONCATENATE(A366,$E$10,E366),'ID1&amp;5'!B:J,9,FALSE),"-")</f>
        <v>-</v>
      </c>
      <c r="U366" s="78" t="str">
        <f>+IFERROR(VLOOKUP(F366,'ID1&amp;5'!K:L,2,FALSE),"-")</f>
        <v>-</v>
      </c>
      <c r="V366" s="79" t="str">
        <f>+IFERROR(VLOOKUP(CONCATENATE(A366,$F$10,F366),'ID1&amp;5'!B:J,9,FALSE),"-")</f>
        <v>-</v>
      </c>
      <c r="W366" s="26" t="str">
        <f>+IFERROR(VLOOKUP(A366,'ID6&amp;7'!A:I,9,FALSE),"-")</f>
        <v>-</v>
      </c>
      <c r="X366" s="26" t="str">
        <f>+IFERROR(VLOOKUP(A366,'ID6&amp;7'!A:J,10,FALSE),"-")</f>
        <v>-</v>
      </c>
      <c r="Y366" s="26"/>
      <c r="Z366" s="27" t="str">
        <f t="shared" si="6"/>
        <v>Por iniciar</v>
      </c>
      <c r="AA366" s="65"/>
    </row>
    <row r="367" spans="1:27">
      <c r="A367" s="20"/>
      <c r="B367" s="60"/>
      <c r="C367" s="60"/>
      <c r="D367" s="60"/>
      <c r="E367" s="60"/>
      <c r="F367" s="60"/>
      <c r="G367" s="60"/>
      <c r="H367" s="65" t="s">
        <v>113</v>
      </c>
      <c r="I367" s="21" t="s">
        <v>1134</v>
      </c>
      <c r="J367" s="26">
        <f>+COUNTIF('ID1&amp;5'!G:G,'1. Status'!I367)</f>
        <v>0</v>
      </c>
      <c r="K367" s="79" t="str">
        <f>+IFERROR(VLOOKUP(CONCATENATE(A367,$B$10,B367),'ID1&amp;5'!B:J,8,FALSE),"-")</f>
        <v>-</v>
      </c>
      <c r="L367" s="78" t="str">
        <f>+IFERROR(VLOOKUP(B367,'ID1&amp;5'!K:L,2,FALSE),"-")</f>
        <v>-</v>
      </c>
      <c r="M367" s="79" t="str">
        <f>+IFERROR(VLOOKUP(CONCATENATE(A367,$B$10,B367),'ID1&amp;5'!B:J,9,FALSE),"-")</f>
        <v>-</v>
      </c>
      <c r="N367" s="79" t="str">
        <f>+IFERROR(VLOOKUP(CONCATENATE(A367,$C$10,C367),'ID1&amp;5'!B:J,8,FALSE),"-")</f>
        <v>-</v>
      </c>
      <c r="O367" s="78" t="str">
        <f>+IFERROR(VLOOKUP(C367,'ID1&amp;5'!K:L,2,FALSE),"-")</f>
        <v>-</v>
      </c>
      <c r="P367" s="79" t="str">
        <f>+IFERROR(VLOOKUP(CONCATENATE(A367,$C$10,C367),'ID1&amp;5'!B:J,9,FALSE),"-")</f>
        <v>-</v>
      </c>
      <c r="Q367" s="78" t="str">
        <f>+IFERROR(VLOOKUP(D367,'ID1&amp;5'!K:L,2,FALSE),"-")</f>
        <v>-</v>
      </c>
      <c r="R367" s="26" t="str">
        <f>+IFERROR(VLOOKUP(CONCATENATE(A367,$D$10,D367),'ID1&amp;5'!B:J,9,FALSE),"-")</f>
        <v>-</v>
      </c>
      <c r="S367" s="78" t="str">
        <f>+IFERROR(VLOOKUP(E367,'ID1&amp;5'!K:L,2,FALSE),"-")</f>
        <v>-</v>
      </c>
      <c r="T367" s="79" t="str">
        <f>+IFERROR(VLOOKUP(CONCATENATE(A367,$E$10,E367),'ID1&amp;5'!B:J,9,FALSE),"-")</f>
        <v>-</v>
      </c>
      <c r="U367" s="78" t="str">
        <f>+IFERROR(VLOOKUP(F367,'ID1&amp;5'!K:L,2,FALSE),"-")</f>
        <v>-</v>
      </c>
      <c r="V367" s="79" t="str">
        <f>+IFERROR(VLOOKUP(CONCATENATE(A367,$F$10,F367),'ID1&amp;5'!B:J,9,FALSE),"-")</f>
        <v>-</v>
      </c>
      <c r="W367" s="26" t="str">
        <f>+IFERROR(VLOOKUP(A367,'ID6&amp;7'!A:I,9,FALSE),"-")</f>
        <v>-</v>
      </c>
      <c r="X367" s="26" t="str">
        <f>+IFERROR(VLOOKUP(A367,'ID6&amp;7'!A:J,10,FALSE),"-")</f>
        <v>-</v>
      </c>
      <c r="Y367" s="26"/>
      <c r="Z367" s="27" t="str">
        <f t="shared" si="6"/>
        <v>Por iniciar</v>
      </c>
      <c r="AA367" s="65"/>
    </row>
    <row r="368" spans="1:27">
      <c r="A368" s="20"/>
      <c r="B368" s="60"/>
      <c r="C368" s="60"/>
      <c r="D368" s="60"/>
      <c r="E368" s="60"/>
      <c r="F368" s="60"/>
      <c r="G368" s="60"/>
      <c r="H368" s="65" t="s">
        <v>113</v>
      </c>
      <c r="I368" s="21" t="s">
        <v>1391</v>
      </c>
      <c r="J368" s="26">
        <f>+COUNTIF('ID1&amp;5'!G:G,'1. Status'!I368)</f>
        <v>0</v>
      </c>
      <c r="K368" s="79" t="str">
        <f>+IFERROR(VLOOKUP(CONCATENATE(A368,$B$10,B368),'ID1&amp;5'!B:J,8,FALSE),"-")</f>
        <v>-</v>
      </c>
      <c r="L368" s="78" t="str">
        <f>+IFERROR(VLOOKUP(B368,'ID1&amp;5'!K:L,2,FALSE),"-")</f>
        <v>-</v>
      </c>
      <c r="M368" s="79" t="str">
        <f>+IFERROR(VLOOKUP(CONCATENATE(A368,$B$10,B368),'ID1&amp;5'!B:J,9,FALSE),"-")</f>
        <v>-</v>
      </c>
      <c r="N368" s="79" t="str">
        <f>+IFERROR(VLOOKUP(CONCATENATE(A368,$C$10,C368),'ID1&amp;5'!B:J,8,FALSE),"-")</f>
        <v>-</v>
      </c>
      <c r="O368" s="78" t="str">
        <f>+IFERROR(VLOOKUP(C368,'ID1&amp;5'!K:L,2,FALSE),"-")</f>
        <v>-</v>
      </c>
      <c r="P368" s="79" t="str">
        <f>+IFERROR(VLOOKUP(CONCATENATE(A368,$C$10,C368),'ID1&amp;5'!B:J,9,FALSE),"-")</f>
        <v>-</v>
      </c>
      <c r="Q368" s="78" t="str">
        <f>+IFERROR(VLOOKUP(D368,'ID1&amp;5'!K:L,2,FALSE),"-")</f>
        <v>-</v>
      </c>
      <c r="R368" s="26" t="str">
        <f>+IFERROR(VLOOKUP(CONCATENATE(A368,$D$10,D368),'ID1&amp;5'!B:J,9,FALSE),"-")</f>
        <v>-</v>
      </c>
      <c r="S368" s="78" t="str">
        <f>+IFERROR(VLOOKUP(E368,'ID1&amp;5'!K:L,2,FALSE),"-")</f>
        <v>-</v>
      </c>
      <c r="T368" s="79" t="str">
        <f>+IFERROR(VLOOKUP(CONCATENATE(A368,$E$10,E368),'ID1&amp;5'!B:J,9,FALSE),"-")</f>
        <v>-</v>
      </c>
      <c r="U368" s="78" t="str">
        <f>+IFERROR(VLOOKUP(F368,'ID1&amp;5'!K:L,2,FALSE),"-")</f>
        <v>-</v>
      </c>
      <c r="V368" s="79" t="str">
        <f>+IFERROR(VLOOKUP(CONCATENATE(A368,$F$10,F368),'ID1&amp;5'!B:J,9,FALSE),"-")</f>
        <v>-</v>
      </c>
      <c r="W368" s="26" t="str">
        <f>+IFERROR(VLOOKUP(A368,'ID6&amp;7'!A:I,9,FALSE),"-")</f>
        <v>-</v>
      </c>
      <c r="X368" s="26" t="str">
        <f>+IFERROR(VLOOKUP(A368,'ID6&amp;7'!A:J,10,FALSE),"-")</f>
        <v>-</v>
      </c>
      <c r="Y368" s="26"/>
      <c r="Z368" s="27" t="str">
        <f t="shared" si="6"/>
        <v>Por iniciar</v>
      </c>
      <c r="AA368" s="65"/>
    </row>
    <row r="369" spans="1:27">
      <c r="A369" s="20"/>
      <c r="B369" s="60"/>
      <c r="C369" s="60"/>
      <c r="D369" s="60"/>
      <c r="E369" s="60"/>
      <c r="F369" s="60"/>
      <c r="G369" s="60"/>
      <c r="H369" s="65" t="s">
        <v>113</v>
      </c>
      <c r="I369" s="21" t="s">
        <v>1392</v>
      </c>
      <c r="J369" s="26">
        <f>+COUNTIF('ID1&amp;5'!G:G,'1. Status'!I369)</f>
        <v>0</v>
      </c>
      <c r="K369" s="79" t="str">
        <f>+IFERROR(VLOOKUP(CONCATENATE(A369,$B$10,B369),'ID1&amp;5'!B:J,8,FALSE),"-")</f>
        <v>-</v>
      </c>
      <c r="L369" s="78" t="str">
        <f>+IFERROR(VLOOKUP(B369,'ID1&amp;5'!K:L,2,FALSE),"-")</f>
        <v>-</v>
      </c>
      <c r="M369" s="79" t="str">
        <f>+IFERROR(VLOOKUP(CONCATENATE(A369,$B$10,B369),'ID1&amp;5'!B:J,9,FALSE),"-")</f>
        <v>-</v>
      </c>
      <c r="N369" s="79" t="str">
        <f>+IFERROR(VLOOKUP(CONCATENATE(A369,$C$10,C369),'ID1&amp;5'!B:J,8,FALSE),"-")</f>
        <v>-</v>
      </c>
      <c r="O369" s="78" t="str">
        <f>+IFERROR(VLOOKUP(C369,'ID1&amp;5'!K:L,2,FALSE),"-")</f>
        <v>-</v>
      </c>
      <c r="P369" s="79" t="str">
        <f>+IFERROR(VLOOKUP(CONCATENATE(A369,$C$10,C369),'ID1&amp;5'!B:J,9,FALSE),"-")</f>
        <v>-</v>
      </c>
      <c r="Q369" s="78" t="str">
        <f>+IFERROR(VLOOKUP(D369,'ID1&amp;5'!K:L,2,FALSE),"-")</f>
        <v>-</v>
      </c>
      <c r="R369" s="26" t="str">
        <f>+IFERROR(VLOOKUP(CONCATENATE(A369,$D$10,D369),'ID1&amp;5'!B:J,9,FALSE),"-")</f>
        <v>-</v>
      </c>
      <c r="S369" s="78" t="str">
        <f>+IFERROR(VLOOKUP(E369,'ID1&amp;5'!K:L,2,FALSE),"-")</f>
        <v>-</v>
      </c>
      <c r="T369" s="79" t="str">
        <f>+IFERROR(VLOOKUP(CONCATENATE(A369,$E$10,E369),'ID1&amp;5'!B:J,9,FALSE),"-")</f>
        <v>-</v>
      </c>
      <c r="U369" s="78" t="str">
        <f>+IFERROR(VLOOKUP(F369,'ID1&amp;5'!K:L,2,FALSE),"-")</f>
        <v>-</v>
      </c>
      <c r="V369" s="79" t="str">
        <f>+IFERROR(VLOOKUP(CONCATENATE(A369,$F$10,F369),'ID1&amp;5'!B:J,9,FALSE),"-")</f>
        <v>-</v>
      </c>
      <c r="W369" s="26" t="str">
        <f>+IFERROR(VLOOKUP(A369,'ID6&amp;7'!A:I,9,FALSE),"-")</f>
        <v>-</v>
      </c>
      <c r="X369" s="26" t="str">
        <f>+IFERROR(VLOOKUP(A369,'ID6&amp;7'!A:J,10,FALSE),"-")</f>
        <v>-</v>
      </c>
      <c r="Y369" s="26"/>
      <c r="Z369" s="27" t="str">
        <f t="shared" si="6"/>
        <v>Por iniciar</v>
      </c>
      <c r="AA369" s="65"/>
    </row>
    <row r="370" spans="1:27">
      <c r="A370" s="20"/>
      <c r="B370" s="60"/>
      <c r="C370" s="60"/>
      <c r="D370" s="60"/>
      <c r="E370" s="60"/>
      <c r="F370" s="60"/>
      <c r="G370" s="60"/>
      <c r="H370" s="65" t="s">
        <v>113</v>
      </c>
      <c r="I370" s="21" t="s">
        <v>1393</v>
      </c>
      <c r="J370" s="26">
        <f>+COUNTIF('ID1&amp;5'!G:G,'1. Status'!I370)</f>
        <v>0</v>
      </c>
      <c r="K370" s="79" t="str">
        <f>+IFERROR(VLOOKUP(CONCATENATE(A370,$B$10,B370),'ID1&amp;5'!B:J,8,FALSE),"-")</f>
        <v>-</v>
      </c>
      <c r="L370" s="78" t="str">
        <f>+IFERROR(VLOOKUP(B370,'ID1&amp;5'!K:L,2,FALSE),"-")</f>
        <v>-</v>
      </c>
      <c r="M370" s="79" t="str">
        <f>+IFERROR(VLOOKUP(CONCATENATE(A370,$B$10,B370),'ID1&amp;5'!B:J,9,FALSE),"-")</f>
        <v>-</v>
      </c>
      <c r="N370" s="79" t="str">
        <f>+IFERROR(VLOOKUP(CONCATENATE(A370,$C$10,C370),'ID1&amp;5'!B:J,8,FALSE),"-")</f>
        <v>-</v>
      </c>
      <c r="O370" s="78" t="str">
        <f>+IFERROR(VLOOKUP(C370,'ID1&amp;5'!K:L,2,FALSE),"-")</f>
        <v>-</v>
      </c>
      <c r="P370" s="79" t="str">
        <f>+IFERROR(VLOOKUP(CONCATENATE(A370,$C$10,C370),'ID1&amp;5'!B:J,9,FALSE),"-")</f>
        <v>-</v>
      </c>
      <c r="Q370" s="78" t="str">
        <f>+IFERROR(VLOOKUP(D370,'ID1&amp;5'!K:L,2,FALSE),"-")</f>
        <v>-</v>
      </c>
      <c r="R370" s="26" t="str">
        <f>+IFERROR(VLOOKUP(CONCATENATE(A370,$D$10,D370),'ID1&amp;5'!B:J,9,FALSE),"-")</f>
        <v>-</v>
      </c>
      <c r="S370" s="78" t="str">
        <f>+IFERROR(VLOOKUP(E370,'ID1&amp;5'!K:L,2,FALSE),"-")</f>
        <v>-</v>
      </c>
      <c r="T370" s="79" t="str">
        <f>+IFERROR(VLOOKUP(CONCATENATE(A370,$E$10,E370),'ID1&amp;5'!B:J,9,FALSE),"-")</f>
        <v>-</v>
      </c>
      <c r="U370" s="78" t="str">
        <f>+IFERROR(VLOOKUP(F370,'ID1&amp;5'!K:L,2,FALSE),"-")</f>
        <v>-</v>
      </c>
      <c r="V370" s="79" t="str">
        <f>+IFERROR(VLOOKUP(CONCATENATE(A370,$F$10,F370),'ID1&amp;5'!B:J,9,FALSE),"-")</f>
        <v>-</v>
      </c>
      <c r="W370" s="26" t="str">
        <f>+IFERROR(VLOOKUP(A370,'ID6&amp;7'!A:I,9,FALSE),"-")</f>
        <v>-</v>
      </c>
      <c r="X370" s="26" t="str">
        <f>+IFERROR(VLOOKUP(A370,'ID6&amp;7'!A:J,10,FALSE),"-")</f>
        <v>-</v>
      </c>
      <c r="Y370" s="26"/>
      <c r="Z370" s="27" t="str">
        <f t="shared" si="6"/>
        <v>Por iniciar</v>
      </c>
      <c r="AA370" s="65"/>
    </row>
    <row r="371" spans="1:27">
      <c r="A371" s="20"/>
      <c r="B371" s="60"/>
      <c r="C371" s="60"/>
      <c r="D371" s="60"/>
      <c r="E371" s="60"/>
      <c r="F371" s="60"/>
      <c r="G371" s="60"/>
      <c r="H371" s="65" t="s">
        <v>113</v>
      </c>
      <c r="I371" s="21" t="s">
        <v>1394</v>
      </c>
      <c r="J371" s="26">
        <f>+COUNTIF('ID1&amp;5'!G:G,'1. Status'!I371)</f>
        <v>0</v>
      </c>
      <c r="K371" s="79" t="str">
        <f>+IFERROR(VLOOKUP(CONCATENATE(A371,$B$10,B371),'ID1&amp;5'!B:J,8,FALSE),"-")</f>
        <v>-</v>
      </c>
      <c r="L371" s="78" t="str">
        <f>+IFERROR(VLOOKUP(B371,'ID1&amp;5'!K:L,2,FALSE),"-")</f>
        <v>-</v>
      </c>
      <c r="M371" s="79" t="str">
        <f>+IFERROR(VLOOKUP(CONCATENATE(A371,$B$10,B371),'ID1&amp;5'!B:J,9,FALSE),"-")</f>
        <v>-</v>
      </c>
      <c r="N371" s="79" t="str">
        <f>+IFERROR(VLOOKUP(CONCATENATE(A371,$C$10,C371),'ID1&amp;5'!B:J,8,FALSE),"-")</f>
        <v>-</v>
      </c>
      <c r="O371" s="78" t="str">
        <f>+IFERROR(VLOOKUP(C371,'ID1&amp;5'!K:L,2,FALSE),"-")</f>
        <v>-</v>
      </c>
      <c r="P371" s="79" t="str">
        <f>+IFERROR(VLOOKUP(CONCATENATE(A371,$C$10,C371),'ID1&amp;5'!B:J,9,FALSE),"-")</f>
        <v>-</v>
      </c>
      <c r="Q371" s="78" t="str">
        <f>+IFERROR(VLOOKUP(D371,'ID1&amp;5'!K:L,2,FALSE),"-")</f>
        <v>-</v>
      </c>
      <c r="R371" s="26" t="str">
        <f>+IFERROR(VLOOKUP(CONCATENATE(A371,$D$10,D371),'ID1&amp;5'!B:J,9,FALSE),"-")</f>
        <v>-</v>
      </c>
      <c r="S371" s="78" t="str">
        <f>+IFERROR(VLOOKUP(E371,'ID1&amp;5'!K:L,2,FALSE),"-")</f>
        <v>-</v>
      </c>
      <c r="T371" s="79" t="str">
        <f>+IFERROR(VLOOKUP(CONCATENATE(A371,$E$10,E371),'ID1&amp;5'!B:J,9,FALSE),"-")</f>
        <v>-</v>
      </c>
      <c r="U371" s="78" t="str">
        <f>+IFERROR(VLOOKUP(F371,'ID1&amp;5'!K:L,2,FALSE),"-")</f>
        <v>-</v>
      </c>
      <c r="V371" s="79" t="str">
        <f>+IFERROR(VLOOKUP(CONCATENATE(A371,$F$10,F371),'ID1&amp;5'!B:J,9,FALSE),"-")</f>
        <v>-</v>
      </c>
      <c r="W371" s="26" t="str">
        <f>+IFERROR(VLOOKUP(A371,'ID6&amp;7'!A:I,9,FALSE),"-")</f>
        <v>-</v>
      </c>
      <c r="X371" s="26" t="str">
        <f>+IFERROR(VLOOKUP(A371,'ID6&amp;7'!A:J,10,FALSE),"-")</f>
        <v>-</v>
      </c>
      <c r="Y371" s="26"/>
      <c r="Z371" s="27" t="str">
        <f t="shared" si="6"/>
        <v>Por iniciar</v>
      </c>
      <c r="AA371" s="65"/>
    </row>
    <row r="372" spans="1:27">
      <c r="A372" s="20"/>
      <c r="B372" s="60"/>
      <c r="C372" s="60"/>
      <c r="D372" s="60"/>
      <c r="E372" s="60"/>
      <c r="F372" s="60"/>
      <c r="G372" s="60"/>
      <c r="H372" s="65" t="s">
        <v>113</v>
      </c>
      <c r="I372" s="21" t="s">
        <v>1395</v>
      </c>
      <c r="J372" s="26">
        <f>+COUNTIF('ID1&amp;5'!G:G,'1. Status'!I372)</f>
        <v>0</v>
      </c>
      <c r="K372" s="79" t="str">
        <f>+IFERROR(VLOOKUP(CONCATENATE(A372,$B$10,B372),'ID1&amp;5'!B:J,8,FALSE),"-")</f>
        <v>-</v>
      </c>
      <c r="L372" s="78" t="str">
        <f>+IFERROR(VLOOKUP(B372,'ID1&amp;5'!K:L,2,FALSE),"-")</f>
        <v>-</v>
      </c>
      <c r="M372" s="79" t="str">
        <f>+IFERROR(VLOOKUP(CONCATENATE(A372,$B$10,B372),'ID1&amp;5'!B:J,9,FALSE),"-")</f>
        <v>-</v>
      </c>
      <c r="N372" s="79" t="str">
        <f>+IFERROR(VLOOKUP(CONCATENATE(A372,$C$10,C372),'ID1&amp;5'!B:J,8,FALSE),"-")</f>
        <v>-</v>
      </c>
      <c r="O372" s="78" t="str">
        <f>+IFERROR(VLOOKUP(C372,'ID1&amp;5'!K:L,2,FALSE),"-")</f>
        <v>-</v>
      </c>
      <c r="P372" s="79" t="str">
        <f>+IFERROR(VLOOKUP(CONCATENATE(A372,$C$10,C372),'ID1&amp;5'!B:J,9,FALSE),"-")</f>
        <v>-</v>
      </c>
      <c r="Q372" s="78" t="str">
        <f>+IFERROR(VLOOKUP(D372,'ID1&amp;5'!K:L,2,FALSE),"-")</f>
        <v>-</v>
      </c>
      <c r="R372" s="26" t="str">
        <f>+IFERROR(VLOOKUP(CONCATENATE(A372,$D$10,D372),'ID1&amp;5'!B:J,9,FALSE),"-")</f>
        <v>-</v>
      </c>
      <c r="S372" s="78" t="str">
        <f>+IFERROR(VLOOKUP(E372,'ID1&amp;5'!K:L,2,FALSE),"-")</f>
        <v>-</v>
      </c>
      <c r="T372" s="79" t="str">
        <f>+IFERROR(VLOOKUP(CONCATENATE(A372,$E$10,E372),'ID1&amp;5'!B:J,9,FALSE),"-")</f>
        <v>-</v>
      </c>
      <c r="U372" s="78" t="str">
        <f>+IFERROR(VLOOKUP(F372,'ID1&amp;5'!K:L,2,FALSE),"-")</f>
        <v>-</v>
      </c>
      <c r="V372" s="79" t="str">
        <f>+IFERROR(VLOOKUP(CONCATENATE(A372,$F$10,F372),'ID1&amp;5'!B:J,9,FALSE),"-")</f>
        <v>-</v>
      </c>
      <c r="W372" s="26" t="str">
        <f>+IFERROR(VLOOKUP(A372,'ID6&amp;7'!A:I,9,FALSE),"-")</f>
        <v>-</v>
      </c>
      <c r="X372" s="26" t="str">
        <f>+IFERROR(VLOOKUP(A372,'ID6&amp;7'!A:J,10,FALSE),"-")</f>
        <v>-</v>
      </c>
      <c r="Y372" s="26"/>
      <c r="Z372" s="27" t="str">
        <f t="shared" si="6"/>
        <v>Por iniciar</v>
      </c>
      <c r="AA372" s="65"/>
    </row>
    <row r="373" spans="1:27">
      <c r="A373" s="20"/>
      <c r="B373" s="60"/>
      <c r="C373" s="60"/>
      <c r="D373" s="60"/>
      <c r="E373" s="60"/>
      <c r="F373" s="60"/>
      <c r="G373" s="60"/>
      <c r="H373" s="65" t="s">
        <v>113</v>
      </c>
      <c r="I373" s="21" t="s">
        <v>1396</v>
      </c>
      <c r="J373" s="26">
        <f>+COUNTIF('ID1&amp;5'!G:G,'1. Status'!I373)</f>
        <v>0</v>
      </c>
      <c r="K373" s="79" t="str">
        <f>+IFERROR(VLOOKUP(CONCATENATE(A373,$B$10,B373),'ID1&amp;5'!B:J,8,FALSE),"-")</f>
        <v>-</v>
      </c>
      <c r="L373" s="78" t="str">
        <f>+IFERROR(VLOOKUP(B373,'ID1&amp;5'!K:L,2,FALSE),"-")</f>
        <v>-</v>
      </c>
      <c r="M373" s="79" t="str">
        <f>+IFERROR(VLOOKUP(CONCATENATE(A373,$B$10,B373),'ID1&amp;5'!B:J,9,FALSE),"-")</f>
        <v>-</v>
      </c>
      <c r="N373" s="79" t="str">
        <f>+IFERROR(VLOOKUP(CONCATENATE(A373,$C$10,C373),'ID1&amp;5'!B:J,8,FALSE),"-")</f>
        <v>-</v>
      </c>
      <c r="O373" s="78" t="str">
        <f>+IFERROR(VLOOKUP(C373,'ID1&amp;5'!K:L,2,FALSE),"-")</f>
        <v>-</v>
      </c>
      <c r="P373" s="79" t="str">
        <f>+IFERROR(VLOOKUP(CONCATENATE(A373,$C$10,C373),'ID1&amp;5'!B:J,9,FALSE),"-")</f>
        <v>-</v>
      </c>
      <c r="Q373" s="78" t="str">
        <f>+IFERROR(VLOOKUP(D373,'ID1&amp;5'!K:L,2,FALSE),"-")</f>
        <v>-</v>
      </c>
      <c r="R373" s="26" t="str">
        <f>+IFERROR(VLOOKUP(CONCATENATE(A373,$D$10,D373),'ID1&amp;5'!B:J,9,FALSE),"-")</f>
        <v>-</v>
      </c>
      <c r="S373" s="78" t="str">
        <f>+IFERROR(VLOOKUP(E373,'ID1&amp;5'!K:L,2,FALSE),"-")</f>
        <v>-</v>
      </c>
      <c r="T373" s="79" t="str">
        <f>+IFERROR(VLOOKUP(CONCATENATE(A373,$E$10,E373),'ID1&amp;5'!B:J,9,FALSE),"-")</f>
        <v>-</v>
      </c>
      <c r="U373" s="78" t="str">
        <f>+IFERROR(VLOOKUP(F373,'ID1&amp;5'!K:L,2,FALSE),"-")</f>
        <v>-</v>
      </c>
      <c r="V373" s="79" t="str">
        <f>+IFERROR(VLOOKUP(CONCATENATE(A373,$F$10,F373),'ID1&amp;5'!B:J,9,FALSE),"-")</f>
        <v>-</v>
      </c>
      <c r="W373" s="26" t="str">
        <f>+IFERROR(VLOOKUP(A373,'ID6&amp;7'!A:I,9,FALSE),"-")</f>
        <v>-</v>
      </c>
      <c r="X373" s="26" t="str">
        <f>+IFERROR(VLOOKUP(A373,'ID6&amp;7'!A:J,10,FALSE),"-")</f>
        <v>-</v>
      </c>
      <c r="Y373" s="26"/>
      <c r="Z373" s="27" t="str">
        <f t="shared" si="6"/>
        <v>Por iniciar</v>
      </c>
      <c r="AA373" s="65"/>
    </row>
    <row r="374" spans="1:27">
      <c r="A374" s="20"/>
      <c r="B374" s="60"/>
      <c r="C374" s="60"/>
      <c r="D374" s="60"/>
      <c r="E374" s="60"/>
      <c r="F374" s="60"/>
      <c r="G374" s="60"/>
      <c r="H374" s="65" t="s">
        <v>113</v>
      </c>
      <c r="I374" s="21" t="s">
        <v>1397</v>
      </c>
      <c r="J374" s="26">
        <f>+COUNTIF('ID1&amp;5'!G:G,'1. Status'!I374)</f>
        <v>0</v>
      </c>
      <c r="K374" s="79" t="str">
        <f>+IFERROR(VLOOKUP(CONCATENATE(A374,$B$10,B374),'ID1&amp;5'!B:J,8,FALSE),"-")</f>
        <v>-</v>
      </c>
      <c r="L374" s="78" t="str">
        <f>+IFERROR(VLOOKUP(B374,'ID1&amp;5'!K:L,2,FALSE),"-")</f>
        <v>-</v>
      </c>
      <c r="M374" s="79" t="str">
        <f>+IFERROR(VLOOKUP(CONCATENATE(A374,$B$10,B374),'ID1&amp;5'!B:J,9,FALSE),"-")</f>
        <v>-</v>
      </c>
      <c r="N374" s="79" t="str">
        <f>+IFERROR(VLOOKUP(CONCATENATE(A374,$C$10,C374),'ID1&amp;5'!B:J,8,FALSE),"-")</f>
        <v>-</v>
      </c>
      <c r="O374" s="78" t="str">
        <f>+IFERROR(VLOOKUP(C374,'ID1&amp;5'!K:L,2,FALSE),"-")</f>
        <v>-</v>
      </c>
      <c r="P374" s="79" t="str">
        <f>+IFERROR(VLOOKUP(CONCATENATE(A374,$C$10,C374),'ID1&amp;5'!B:J,9,FALSE),"-")</f>
        <v>-</v>
      </c>
      <c r="Q374" s="78" t="str">
        <f>+IFERROR(VLOOKUP(D374,'ID1&amp;5'!K:L,2,FALSE),"-")</f>
        <v>-</v>
      </c>
      <c r="R374" s="26" t="str">
        <f>+IFERROR(VLOOKUP(CONCATENATE(A374,$D$10,D374),'ID1&amp;5'!B:J,9,FALSE),"-")</f>
        <v>-</v>
      </c>
      <c r="S374" s="78" t="str">
        <f>+IFERROR(VLOOKUP(E374,'ID1&amp;5'!K:L,2,FALSE),"-")</f>
        <v>-</v>
      </c>
      <c r="T374" s="79" t="str">
        <f>+IFERROR(VLOOKUP(CONCATENATE(A374,$E$10,E374),'ID1&amp;5'!B:J,9,FALSE),"-")</f>
        <v>-</v>
      </c>
      <c r="U374" s="78" t="str">
        <f>+IFERROR(VLOOKUP(F374,'ID1&amp;5'!K:L,2,FALSE),"-")</f>
        <v>-</v>
      </c>
      <c r="V374" s="79" t="str">
        <f>+IFERROR(VLOOKUP(CONCATENATE(A374,$F$10,F374),'ID1&amp;5'!B:J,9,FALSE),"-")</f>
        <v>-</v>
      </c>
      <c r="W374" s="26" t="str">
        <f>+IFERROR(VLOOKUP(A374,'ID6&amp;7'!A:I,9,FALSE),"-")</f>
        <v>-</v>
      </c>
      <c r="X374" s="26" t="str">
        <f>+IFERROR(VLOOKUP(A374,'ID6&amp;7'!A:J,10,FALSE),"-")</f>
        <v>-</v>
      </c>
      <c r="Y374" s="26"/>
      <c r="Z374" s="27" t="str">
        <f t="shared" si="6"/>
        <v>Por iniciar</v>
      </c>
      <c r="AA374" s="65"/>
    </row>
    <row r="375" spans="1:27">
      <c r="A375" s="20"/>
      <c r="B375" s="60"/>
      <c r="C375" s="60"/>
      <c r="D375" s="60"/>
      <c r="E375" s="60"/>
      <c r="F375" s="60"/>
      <c r="G375" s="60"/>
      <c r="H375" s="65" t="s">
        <v>113</v>
      </c>
      <c r="I375" s="21" t="s">
        <v>1398</v>
      </c>
      <c r="J375" s="26">
        <f>+COUNTIF('ID1&amp;5'!G:G,'1. Status'!I375)</f>
        <v>0</v>
      </c>
      <c r="K375" s="79" t="str">
        <f>+IFERROR(VLOOKUP(CONCATENATE(A375,$B$10,B375),'ID1&amp;5'!B:J,8,FALSE),"-")</f>
        <v>-</v>
      </c>
      <c r="L375" s="78" t="str">
        <f>+IFERROR(VLOOKUP(B375,'ID1&amp;5'!K:L,2,FALSE),"-")</f>
        <v>-</v>
      </c>
      <c r="M375" s="79" t="str">
        <f>+IFERROR(VLOOKUP(CONCATENATE(A375,$B$10,B375),'ID1&amp;5'!B:J,9,FALSE),"-")</f>
        <v>-</v>
      </c>
      <c r="N375" s="79" t="str">
        <f>+IFERROR(VLOOKUP(CONCATENATE(A375,$C$10,C375),'ID1&amp;5'!B:J,8,FALSE),"-")</f>
        <v>-</v>
      </c>
      <c r="O375" s="78" t="str">
        <f>+IFERROR(VLOOKUP(C375,'ID1&amp;5'!K:L,2,FALSE),"-")</f>
        <v>-</v>
      </c>
      <c r="P375" s="79" t="str">
        <f>+IFERROR(VLOOKUP(CONCATENATE(A375,$C$10,C375),'ID1&amp;5'!B:J,9,FALSE),"-")</f>
        <v>-</v>
      </c>
      <c r="Q375" s="78" t="str">
        <f>+IFERROR(VLOOKUP(D375,'ID1&amp;5'!K:L,2,FALSE),"-")</f>
        <v>-</v>
      </c>
      <c r="R375" s="26" t="str">
        <f>+IFERROR(VLOOKUP(CONCATENATE(A375,$D$10,D375),'ID1&amp;5'!B:J,9,FALSE),"-")</f>
        <v>-</v>
      </c>
      <c r="S375" s="78" t="str">
        <f>+IFERROR(VLOOKUP(E375,'ID1&amp;5'!K:L,2,FALSE),"-")</f>
        <v>-</v>
      </c>
      <c r="T375" s="79" t="str">
        <f>+IFERROR(VLOOKUP(CONCATENATE(A375,$E$10,E375),'ID1&amp;5'!B:J,9,FALSE),"-")</f>
        <v>-</v>
      </c>
      <c r="U375" s="78" t="str">
        <f>+IFERROR(VLOOKUP(F375,'ID1&amp;5'!K:L,2,FALSE),"-")</f>
        <v>-</v>
      </c>
      <c r="V375" s="79" t="str">
        <f>+IFERROR(VLOOKUP(CONCATENATE(A375,$F$10,F375),'ID1&amp;5'!B:J,9,FALSE),"-")</f>
        <v>-</v>
      </c>
      <c r="W375" s="26" t="str">
        <f>+IFERROR(VLOOKUP(A375,'ID6&amp;7'!A:I,9,FALSE),"-")</f>
        <v>-</v>
      </c>
      <c r="X375" s="26" t="str">
        <f>+IFERROR(VLOOKUP(A375,'ID6&amp;7'!A:J,10,FALSE),"-")</f>
        <v>-</v>
      </c>
      <c r="Y375" s="26"/>
      <c r="Z375" s="27" t="str">
        <f t="shared" si="6"/>
        <v>Por iniciar</v>
      </c>
      <c r="AA375" s="65"/>
    </row>
    <row r="376" spans="1:27">
      <c r="A376" s="20"/>
      <c r="B376" s="60"/>
      <c r="C376" s="60"/>
      <c r="D376" s="60"/>
      <c r="E376" s="60"/>
      <c r="F376" s="60"/>
      <c r="G376" s="60"/>
      <c r="H376" s="65" t="s">
        <v>113</v>
      </c>
      <c r="I376" s="21" t="s">
        <v>1399</v>
      </c>
      <c r="J376" s="26">
        <f>+COUNTIF('ID1&amp;5'!G:G,'1. Status'!I376)</f>
        <v>0</v>
      </c>
      <c r="K376" s="79" t="str">
        <f>+IFERROR(VLOOKUP(CONCATENATE(A376,$B$10,B376),'ID1&amp;5'!B:J,8,FALSE),"-")</f>
        <v>-</v>
      </c>
      <c r="L376" s="78" t="str">
        <f>+IFERROR(VLOOKUP(B376,'ID1&amp;5'!K:L,2,FALSE),"-")</f>
        <v>-</v>
      </c>
      <c r="M376" s="79" t="str">
        <f>+IFERROR(VLOOKUP(CONCATENATE(A376,$B$10,B376),'ID1&amp;5'!B:J,9,FALSE),"-")</f>
        <v>-</v>
      </c>
      <c r="N376" s="79" t="str">
        <f>+IFERROR(VLOOKUP(CONCATENATE(A376,$C$10,C376),'ID1&amp;5'!B:J,8,FALSE),"-")</f>
        <v>-</v>
      </c>
      <c r="O376" s="78" t="str">
        <f>+IFERROR(VLOOKUP(C376,'ID1&amp;5'!K:L,2,FALSE),"-")</f>
        <v>-</v>
      </c>
      <c r="P376" s="79" t="str">
        <f>+IFERROR(VLOOKUP(CONCATENATE(A376,$C$10,C376),'ID1&amp;5'!B:J,9,FALSE),"-")</f>
        <v>-</v>
      </c>
      <c r="Q376" s="78" t="str">
        <f>+IFERROR(VLOOKUP(D376,'ID1&amp;5'!K:L,2,FALSE),"-")</f>
        <v>-</v>
      </c>
      <c r="R376" s="26" t="str">
        <f>+IFERROR(VLOOKUP(CONCATENATE(A376,$D$10,D376),'ID1&amp;5'!B:J,9,FALSE),"-")</f>
        <v>-</v>
      </c>
      <c r="S376" s="78" t="str">
        <f>+IFERROR(VLOOKUP(E376,'ID1&amp;5'!K:L,2,FALSE),"-")</f>
        <v>-</v>
      </c>
      <c r="T376" s="79" t="str">
        <f>+IFERROR(VLOOKUP(CONCATENATE(A376,$E$10,E376),'ID1&amp;5'!B:J,9,FALSE),"-")</f>
        <v>-</v>
      </c>
      <c r="U376" s="78" t="str">
        <f>+IFERROR(VLOOKUP(F376,'ID1&amp;5'!K:L,2,FALSE),"-")</f>
        <v>-</v>
      </c>
      <c r="V376" s="79" t="str">
        <f>+IFERROR(VLOOKUP(CONCATENATE(A376,$F$10,F376),'ID1&amp;5'!B:J,9,FALSE),"-")</f>
        <v>-</v>
      </c>
      <c r="W376" s="26" t="str">
        <f>+IFERROR(VLOOKUP(A376,'ID6&amp;7'!A:I,9,FALSE),"-")</f>
        <v>-</v>
      </c>
      <c r="X376" s="26" t="str">
        <f>+IFERROR(VLOOKUP(A376,'ID6&amp;7'!A:J,10,FALSE),"-")</f>
        <v>-</v>
      </c>
      <c r="Y376" s="26"/>
      <c r="Z376" s="27" t="str">
        <f t="shared" si="6"/>
        <v>Por iniciar</v>
      </c>
      <c r="AA376" s="65"/>
    </row>
    <row r="377" spans="1:27">
      <c r="A377" s="20"/>
      <c r="B377" s="60"/>
      <c r="C377" s="60"/>
      <c r="D377" s="60"/>
      <c r="E377" s="60"/>
      <c r="F377" s="60"/>
      <c r="G377" s="60"/>
      <c r="H377" s="65" t="s">
        <v>113</v>
      </c>
      <c r="I377" s="21" t="s">
        <v>1400</v>
      </c>
      <c r="J377" s="26">
        <f>+COUNTIF('ID1&amp;5'!G:G,'1. Status'!I377)</f>
        <v>0</v>
      </c>
      <c r="K377" s="79" t="str">
        <f>+IFERROR(VLOOKUP(CONCATENATE(A377,$B$10,B377),'ID1&amp;5'!B:J,8,FALSE),"-")</f>
        <v>-</v>
      </c>
      <c r="L377" s="78" t="str">
        <f>+IFERROR(VLOOKUP(B377,'ID1&amp;5'!K:L,2,FALSE),"-")</f>
        <v>-</v>
      </c>
      <c r="M377" s="79" t="str">
        <f>+IFERROR(VLOOKUP(CONCATENATE(A377,$B$10,B377),'ID1&amp;5'!B:J,9,FALSE),"-")</f>
        <v>-</v>
      </c>
      <c r="N377" s="79" t="str">
        <f>+IFERROR(VLOOKUP(CONCATENATE(A377,$C$10,C377),'ID1&amp;5'!B:J,8,FALSE),"-")</f>
        <v>-</v>
      </c>
      <c r="O377" s="78" t="str">
        <f>+IFERROR(VLOOKUP(C377,'ID1&amp;5'!K:L,2,FALSE),"-")</f>
        <v>-</v>
      </c>
      <c r="P377" s="79" t="str">
        <f>+IFERROR(VLOOKUP(CONCATENATE(A377,$C$10,C377),'ID1&amp;5'!B:J,9,FALSE),"-")</f>
        <v>-</v>
      </c>
      <c r="Q377" s="78" t="str">
        <f>+IFERROR(VLOOKUP(D377,'ID1&amp;5'!K:L,2,FALSE),"-")</f>
        <v>-</v>
      </c>
      <c r="R377" s="26" t="str">
        <f>+IFERROR(VLOOKUP(CONCATENATE(A377,$D$10,D377),'ID1&amp;5'!B:J,9,FALSE),"-")</f>
        <v>-</v>
      </c>
      <c r="S377" s="78" t="str">
        <f>+IFERROR(VLOOKUP(E377,'ID1&amp;5'!K:L,2,FALSE),"-")</f>
        <v>-</v>
      </c>
      <c r="T377" s="79" t="str">
        <f>+IFERROR(VLOOKUP(CONCATENATE(A377,$E$10,E377),'ID1&amp;5'!B:J,9,FALSE),"-")</f>
        <v>-</v>
      </c>
      <c r="U377" s="78" t="str">
        <f>+IFERROR(VLOOKUP(F377,'ID1&amp;5'!K:L,2,FALSE),"-")</f>
        <v>-</v>
      </c>
      <c r="V377" s="79" t="str">
        <f>+IFERROR(VLOOKUP(CONCATENATE(A377,$F$10,F377),'ID1&amp;5'!B:J,9,FALSE),"-")</f>
        <v>-</v>
      </c>
      <c r="W377" s="26" t="str">
        <f>+IFERROR(VLOOKUP(A377,'ID6&amp;7'!A:I,9,FALSE),"-")</f>
        <v>-</v>
      </c>
      <c r="X377" s="26" t="str">
        <f>+IFERROR(VLOOKUP(A377,'ID6&amp;7'!A:J,10,FALSE),"-")</f>
        <v>-</v>
      </c>
      <c r="Y377" s="26"/>
      <c r="Z377" s="27" t="str">
        <f t="shared" si="6"/>
        <v>Por iniciar</v>
      </c>
      <c r="AA377" s="65"/>
    </row>
    <row r="378" spans="1:27">
      <c r="A378" s="20"/>
      <c r="B378" s="60"/>
      <c r="C378" s="60"/>
      <c r="D378" s="60"/>
      <c r="E378" s="60"/>
      <c r="F378" s="60"/>
      <c r="G378" s="60"/>
      <c r="H378" s="65" t="s">
        <v>114</v>
      </c>
      <c r="I378" s="21" t="s">
        <v>656</v>
      </c>
      <c r="J378" s="26">
        <f>+COUNTIF('ID1&amp;5'!G:G,'1. Status'!I378)</f>
        <v>1</v>
      </c>
      <c r="K378" s="79" t="str">
        <f>+IFERROR(VLOOKUP(CONCATENATE(A378,$B$10,B378),'ID1&amp;5'!B:J,8,FALSE),"-")</f>
        <v>-</v>
      </c>
      <c r="L378" s="78" t="str">
        <f>+IFERROR(VLOOKUP(B378,'ID1&amp;5'!K:L,2,FALSE),"-")</f>
        <v>-</v>
      </c>
      <c r="M378" s="79" t="str">
        <f>+IFERROR(VLOOKUP(CONCATENATE(A378,$B$10,B378),'ID1&amp;5'!B:J,9,FALSE),"-")</f>
        <v>-</v>
      </c>
      <c r="N378" s="79" t="str">
        <f>+IFERROR(VLOOKUP(CONCATENATE(A378,$C$10,C378),'ID1&amp;5'!B:J,8,FALSE),"-")</f>
        <v>-</v>
      </c>
      <c r="O378" s="78" t="str">
        <f>+IFERROR(VLOOKUP(C378,'ID1&amp;5'!K:L,2,FALSE),"-")</f>
        <v>-</v>
      </c>
      <c r="P378" s="79" t="str">
        <f>+IFERROR(VLOOKUP(CONCATENATE(A378,$C$10,C378),'ID1&amp;5'!B:J,9,FALSE),"-")</f>
        <v>-</v>
      </c>
      <c r="Q378" s="78" t="str">
        <f>+IFERROR(VLOOKUP(D378,'ID1&amp;5'!K:L,2,FALSE),"-")</f>
        <v>-</v>
      </c>
      <c r="R378" s="26" t="str">
        <f>+IFERROR(VLOOKUP(CONCATENATE(A378,$D$10,D378),'ID1&amp;5'!B:J,9,FALSE),"-")</f>
        <v>-</v>
      </c>
      <c r="S378" s="78" t="str">
        <f>+IFERROR(VLOOKUP(E378,'ID1&amp;5'!K:L,2,FALSE),"-")</f>
        <v>-</v>
      </c>
      <c r="T378" s="79" t="str">
        <f>+IFERROR(VLOOKUP(CONCATENATE(A378,$E$10,E378),'ID1&amp;5'!B:J,9,FALSE),"-")</f>
        <v>-</v>
      </c>
      <c r="U378" s="78" t="str">
        <f>+IFERROR(VLOOKUP(F378,'ID1&amp;5'!K:L,2,FALSE),"-")</f>
        <v>-</v>
      </c>
      <c r="V378" s="79" t="str">
        <f>+IFERROR(VLOOKUP(CONCATENATE(A378,$F$10,F378),'ID1&amp;5'!B:J,9,FALSE),"-")</f>
        <v>-</v>
      </c>
      <c r="W378" s="26" t="str">
        <f>+IFERROR(VLOOKUP(A378,'ID6&amp;7'!A:I,9,FALSE),"-")</f>
        <v>-</v>
      </c>
      <c r="X378" s="26" t="str">
        <f>+IFERROR(VLOOKUP(A378,'ID6&amp;7'!A:J,10,FALSE),"-")</f>
        <v>-</v>
      </c>
      <c r="Y378" s="26"/>
      <c r="Z378" s="27" t="str">
        <f t="shared" si="6"/>
        <v>Em testes</v>
      </c>
      <c r="AA378" s="65"/>
    </row>
    <row r="379" spans="1:27">
      <c r="A379" s="20"/>
      <c r="B379" s="60"/>
      <c r="C379" s="60"/>
      <c r="D379" s="60"/>
      <c r="E379" s="60"/>
      <c r="F379" s="60"/>
      <c r="G379" s="60"/>
      <c r="H379" s="65" t="s">
        <v>114</v>
      </c>
      <c r="I379" s="21" t="s">
        <v>1401</v>
      </c>
      <c r="J379" s="26">
        <f>+COUNTIF('ID1&amp;5'!G:G,'1. Status'!I379)</f>
        <v>0</v>
      </c>
      <c r="K379" s="79" t="str">
        <f>+IFERROR(VLOOKUP(CONCATENATE(A379,$B$10,B379),'ID1&amp;5'!B:J,8,FALSE),"-")</f>
        <v>-</v>
      </c>
      <c r="L379" s="78" t="str">
        <f>+IFERROR(VLOOKUP(B379,'ID1&amp;5'!K:L,2,FALSE),"-")</f>
        <v>-</v>
      </c>
      <c r="M379" s="79" t="str">
        <f>+IFERROR(VLOOKUP(CONCATENATE(A379,$B$10,B379),'ID1&amp;5'!B:J,9,FALSE),"-")</f>
        <v>-</v>
      </c>
      <c r="N379" s="79" t="str">
        <f>+IFERROR(VLOOKUP(CONCATENATE(A379,$C$10,C379),'ID1&amp;5'!B:J,8,FALSE),"-")</f>
        <v>-</v>
      </c>
      <c r="O379" s="78" t="str">
        <f>+IFERROR(VLOOKUP(C379,'ID1&amp;5'!K:L,2,FALSE),"-")</f>
        <v>-</v>
      </c>
      <c r="P379" s="79" t="str">
        <f>+IFERROR(VLOOKUP(CONCATENATE(A379,$C$10,C379),'ID1&amp;5'!B:J,9,FALSE),"-")</f>
        <v>-</v>
      </c>
      <c r="Q379" s="78" t="str">
        <f>+IFERROR(VLOOKUP(D379,'ID1&amp;5'!K:L,2,FALSE),"-")</f>
        <v>-</v>
      </c>
      <c r="R379" s="26" t="str">
        <f>+IFERROR(VLOOKUP(CONCATENATE(A379,$D$10,D379),'ID1&amp;5'!B:J,9,FALSE),"-")</f>
        <v>-</v>
      </c>
      <c r="S379" s="78" t="str">
        <f>+IFERROR(VLOOKUP(E379,'ID1&amp;5'!K:L,2,FALSE),"-")</f>
        <v>-</v>
      </c>
      <c r="T379" s="79" t="str">
        <f>+IFERROR(VLOOKUP(CONCATENATE(A379,$E$10,E379),'ID1&amp;5'!B:J,9,FALSE),"-")</f>
        <v>-</v>
      </c>
      <c r="U379" s="78" t="str">
        <f>+IFERROR(VLOOKUP(F379,'ID1&amp;5'!K:L,2,FALSE),"-")</f>
        <v>-</v>
      </c>
      <c r="V379" s="79" t="str">
        <f>+IFERROR(VLOOKUP(CONCATENATE(A379,$F$10,F379),'ID1&amp;5'!B:J,9,FALSE),"-")</f>
        <v>-</v>
      </c>
      <c r="W379" s="26" t="str">
        <f>+IFERROR(VLOOKUP(A379,'ID6&amp;7'!A:I,9,FALSE),"-")</f>
        <v>-</v>
      </c>
      <c r="X379" s="26" t="str">
        <f>+IFERROR(VLOOKUP(A379,'ID6&amp;7'!A:J,10,FALSE),"-")</f>
        <v>-</v>
      </c>
      <c r="Y379" s="26"/>
      <c r="Z379" s="27" t="str">
        <f t="shared" si="6"/>
        <v>Por iniciar</v>
      </c>
      <c r="AA379" s="65"/>
    </row>
    <row r="380" spans="1:27">
      <c r="A380" s="20"/>
      <c r="B380" s="60"/>
      <c r="C380" s="60"/>
      <c r="D380" s="60"/>
      <c r="E380" s="60"/>
      <c r="F380" s="60"/>
      <c r="G380" s="60"/>
      <c r="H380" s="65" t="s">
        <v>114</v>
      </c>
      <c r="I380" s="21" t="s">
        <v>1402</v>
      </c>
      <c r="J380" s="26">
        <f>+COUNTIF('ID1&amp;5'!G:G,'1. Status'!I380)</f>
        <v>0</v>
      </c>
      <c r="K380" s="79" t="str">
        <f>+IFERROR(VLOOKUP(CONCATENATE(A380,$B$10,B380),'ID1&amp;5'!B:J,8,FALSE),"-")</f>
        <v>-</v>
      </c>
      <c r="L380" s="78" t="str">
        <f>+IFERROR(VLOOKUP(B380,'ID1&amp;5'!K:L,2,FALSE),"-")</f>
        <v>-</v>
      </c>
      <c r="M380" s="79" t="str">
        <f>+IFERROR(VLOOKUP(CONCATENATE(A380,$B$10,B380),'ID1&amp;5'!B:J,9,FALSE),"-")</f>
        <v>-</v>
      </c>
      <c r="N380" s="79" t="str">
        <f>+IFERROR(VLOOKUP(CONCATENATE(A380,$C$10,C380),'ID1&amp;5'!B:J,8,FALSE),"-")</f>
        <v>-</v>
      </c>
      <c r="O380" s="78" t="str">
        <f>+IFERROR(VLOOKUP(C380,'ID1&amp;5'!K:L,2,FALSE),"-")</f>
        <v>-</v>
      </c>
      <c r="P380" s="79" t="str">
        <f>+IFERROR(VLOOKUP(CONCATENATE(A380,$C$10,C380),'ID1&amp;5'!B:J,9,FALSE),"-")</f>
        <v>-</v>
      </c>
      <c r="Q380" s="78" t="str">
        <f>+IFERROR(VLOOKUP(D380,'ID1&amp;5'!K:L,2,FALSE),"-")</f>
        <v>-</v>
      </c>
      <c r="R380" s="26" t="str">
        <f>+IFERROR(VLOOKUP(CONCATENATE(A380,$D$10,D380),'ID1&amp;5'!B:J,9,FALSE),"-")</f>
        <v>-</v>
      </c>
      <c r="S380" s="78" t="str">
        <f>+IFERROR(VLOOKUP(E380,'ID1&amp;5'!K:L,2,FALSE),"-")</f>
        <v>-</v>
      </c>
      <c r="T380" s="79" t="str">
        <f>+IFERROR(VLOOKUP(CONCATENATE(A380,$E$10,E380),'ID1&amp;5'!B:J,9,FALSE),"-")</f>
        <v>-</v>
      </c>
      <c r="U380" s="78" t="str">
        <f>+IFERROR(VLOOKUP(F380,'ID1&amp;5'!K:L,2,FALSE),"-")</f>
        <v>-</v>
      </c>
      <c r="V380" s="79" t="str">
        <f>+IFERROR(VLOOKUP(CONCATENATE(A380,$F$10,F380),'ID1&amp;5'!B:J,9,FALSE),"-")</f>
        <v>-</v>
      </c>
      <c r="W380" s="26" t="str">
        <f>+IFERROR(VLOOKUP(A380,'ID6&amp;7'!A:I,9,FALSE),"-")</f>
        <v>-</v>
      </c>
      <c r="X380" s="26" t="str">
        <f>+IFERROR(VLOOKUP(A380,'ID6&amp;7'!A:J,10,FALSE),"-")</f>
        <v>-</v>
      </c>
      <c r="Y380" s="26"/>
      <c r="Z380" s="27" t="str">
        <f t="shared" si="6"/>
        <v>Por iniciar</v>
      </c>
      <c r="AA380" s="65"/>
    </row>
    <row r="381" spans="1:27">
      <c r="A381" s="20"/>
      <c r="B381" s="60"/>
      <c r="C381" s="60"/>
      <c r="D381" s="60"/>
      <c r="E381" s="60"/>
      <c r="F381" s="60"/>
      <c r="G381" s="60"/>
      <c r="H381" s="65" t="s">
        <v>114</v>
      </c>
      <c r="I381" s="21" t="s">
        <v>1403</v>
      </c>
      <c r="J381" s="26">
        <f>+COUNTIF('ID1&amp;5'!G:G,'1. Status'!I381)</f>
        <v>0</v>
      </c>
      <c r="K381" s="79" t="str">
        <f>+IFERROR(VLOOKUP(CONCATENATE(A381,$B$10,B381),'ID1&amp;5'!B:J,8,FALSE),"-")</f>
        <v>-</v>
      </c>
      <c r="L381" s="78" t="str">
        <f>+IFERROR(VLOOKUP(B381,'ID1&amp;5'!K:L,2,FALSE),"-")</f>
        <v>-</v>
      </c>
      <c r="M381" s="79" t="str">
        <f>+IFERROR(VLOOKUP(CONCATENATE(A381,$B$10,B381),'ID1&amp;5'!B:J,9,FALSE),"-")</f>
        <v>-</v>
      </c>
      <c r="N381" s="79" t="str">
        <f>+IFERROR(VLOOKUP(CONCATENATE(A381,$C$10,C381),'ID1&amp;5'!B:J,8,FALSE),"-")</f>
        <v>-</v>
      </c>
      <c r="O381" s="78" t="str">
        <f>+IFERROR(VLOOKUP(C381,'ID1&amp;5'!K:L,2,FALSE),"-")</f>
        <v>-</v>
      </c>
      <c r="P381" s="79" t="str">
        <f>+IFERROR(VLOOKUP(CONCATENATE(A381,$C$10,C381),'ID1&amp;5'!B:J,9,FALSE),"-")</f>
        <v>-</v>
      </c>
      <c r="Q381" s="78" t="str">
        <f>+IFERROR(VLOOKUP(D381,'ID1&amp;5'!K:L,2,FALSE),"-")</f>
        <v>-</v>
      </c>
      <c r="R381" s="26" t="str">
        <f>+IFERROR(VLOOKUP(CONCATENATE(A381,$D$10,D381),'ID1&amp;5'!B:J,9,FALSE),"-")</f>
        <v>-</v>
      </c>
      <c r="S381" s="78" t="str">
        <f>+IFERROR(VLOOKUP(E381,'ID1&amp;5'!K:L,2,FALSE),"-")</f>
        <v>-</v>
      </c>
      <c r="T381" s="79" t="str">
        <f>+IFERROR(VLOOKUP(CONCATENATE(A381,$E$10,E381),'ID1&amp;5'!B:J,9,FALSE),"-")</f>
        <v>-</v>
      </c>
      <c r="U381" s="78" t="str">
        <f>+IFERROR(VLOOKUP(F381,'ID1&amp;5'!K:L,2,FALSE),"-")</f>
        <v>-</v>
      </c>
      <c r="V381" s="79" t="str">
        <f>+IFERROR(VLOOKUP(CONCATENATE(A381,$F$10,F381),'ID1&amp;5'!B:J,9,FALSE),"-")</f>
        <v>-</v>
      </c>
      <c r="W381" s="26" t="str">
        <f>+IFERROR(VLOOKUP(A381,'ID6&amp;7'!A:I,9,FALSE),"-")</f>
        <v>-</v>
      </c>
      <c r="X381" s="26" t="str">
        <f>+IFERROR(VLOOKUP(A381,'ID6&amp;7'!A:J,10,FALSE),"-")</f>
        <v>-</v>
      </c>
      <c r="Y381" s="26"/>
      <c r="Z381" s="27" t="str">
        <f t="shared" si="6"/>
        <v>Por iniciar</v>
      </c>
      <c r="AA381" s="65"/>
    </row>
    <row r="382" spans="1:27">
      <c r="A382" s="20"/>
      <c r="B382" s="60"/>
      <c r="C382" s="60"/>
      <c r="D382" s="60"/>
      <c r="E382" s="60"/>
      <c r="F382" s="60"/>
      <c r="G382" s="60"/>
      <c r="H382" s="65" t="s">
        <v>114</v>
      </c>
      <c r="I382" s="21" t="s">
        <v>1404</v>
      </c>
      <c r="J382" s="26">
        <f>+COUNTIF('ID1&amp;5'!G:G,'1. Status'!I382)</f>
        <v>0</v>
      </c>
      <c r="K382" s="79" t="str">
        <f>+IFERROR(VLOOKUP(CONCATENATE(A382,$B$10,B382),'ID1&amp;5'!B:J,8,FALSE),"-")</f>
        <v>-</v>
      </c>
      <c r="L382" s="78" t="str">
        <f>+IFERROR(VLOOKUP(B382,'ID1&amp;5'!K:L,2,FALSE),"-")</f>
        <v>-</v>
      </c>
      <c r="M382" s="79" t="str">
        <f>+IFERROR(VLOOKUP(CONCATENATE(A382,$B$10,B382),'ID1&amp;5'!B:J,9,FALSE),"-")</f>
        <v>-</v>
      </c>
      <c r="N382" s="79" t="str">
        <f>+IFERROR(VLOOKUP(CONCATENATE(A382,$C$10,C382),'ID1&amp;5'!B:J,8,FALSE),"-")</f>
        <v>-</v>
      </c>
      <c r="O382" s="78" t="str">
        <f>+IFERROR(VLOOKUP(C382,'ID1&amp;5'!K:L,2,FALSE),"-")</f>
        <v>-</v>
      </c>
      <c r="P382" s="79" t="str">
        <f>+IFERROR(VLOOKUP(CONCATENATE(A382,$C$10,C382),'ID1&amp;5'!B:J,9,FALSE),"-")</f>
        <v>-</v>
      </c>
      <c r="Q382" s="78" t="str">
        <f>+IFERROR(VLOOKUP(D382,'ID1&amp;5'!K:L,2,FALSE),"-")</f>
        <v>-</v>
      </c>
      <c r="R382" s="26" t="str">
        <f>+IFERROR(VLOOKUP(CONCATENATE(A382,$D$10,D382),'ID1&amp;5'!B:J,9,FALSE),"-")</f>
        <v>-</v>
      </c>
      <c r="S382" s="78" t="str">
        <f>+IFERROR(VLOOKUP(E382,'ID1&amp;5'!K:L,2,FALSE),"-")</f>
        <v>-</v>
      </c>
      <c r="T382" s="79" t="str">
        <f>+IFERROR(VLOOKUP(CONCATENATE(A382,$E$10,E382),'ID1&amp;5'!B:J,9,FALSE),"-")</f>
        <v>-</v>
      </c>
      <c r="U382" s="78" t="str">
        <f>+IFERROR(VLOOKUP(F382,'ID1&amp;5'!K:L,2,FALSE),"-")</f>
        <v>-</v>
      </c>
      <c r="V382" s="79" t="str">
        <f>+IFERROR(VLOOKUP(CONCATENATE(A382,$F$10,F382),'ID1&amp;5'!B:J,9,FALSE),"-")</f>
        <v>-</v>
      </c>
      <c r="W382" s="26" t="str">
        <f>+IFERROR(VLOOKUP(A382,'ID6&amp;7'!A:I,9,FALSE),"-")</f>
        <v>-</v>
      </c>
      <c r="X382" s="26" t="str">
        <f>+IFERROR(VLOOKUP(A382,'ID6&amp;7'!A:J,10,FALSE),"-")</f>
        <v>-</v>
      </c>
      <c r="Y382" s="26"/>
      <c r="Z382" s="27" t="str">
        <f t="shared" si="6"/>
        <v>Por iniciar</v>
      </c>
      <c r="AA382" s="65"/>
    </row>
    <row r="383" spans="1:27">
      <c r="A383" s="20"/>
      <c r="B383" s="60"/>
      <c r="C383" s="60"/>
      <c r="D383" s="60"/>
      <c r="E383" s="60"/>
      <c r="F383" s="60"/>
      <c r="G383" s="60"/>
      <c r="H383" s="65" t="s">
        <v>114</v>
      </c>
      <c r="I383" s="21" t="s">
        <v>1405</v>
      </c>
      <c r="J383" s="26">
        <f>+COUNTIF('ID1&amp;5'!G:G,'1. Status'!I383)</f>
        <v>0</v>
      </c>
      <c r="K383" s="79" t="str">
        <f>+IFERROR(VLOOKUP(CONCATENATE(A383,$B$10,B383),'ID1&amp;5'!B:J,8,FALSE),"-")</f>
        <v>-</v>
      </c>
      <c r="L383" s="78" t="str">
        <f>+IFERROR(VLOOKUP(B383,'ID1&amp;5'!K:L,2,FALSE),"-")</f>
        <v>-</v>
      </c>
      <c r="M383" s="79" t="str">
        <f>+IFERROR(VLOOKUP(CONCATENATE(A383,$B$10,B383),'ID1&amp;5'!B:J,9,FALSE),"-")</f>
        <v>-</v>
      </c>
      <c r="N383" s="79" t="str">
        <f>+IFERROR(VLOOKUP(CONCATENATE(A383,$C$10,C383),'ID1&amp;5'!B:J,8,FALSE),"-")</f>
        <v>-</v>
      </c>
      <c r="O383" s="78" t="str">
        <f>+IFERROR(VLOOKUP(C383,'ID1&amp;5'!K:L,2,FALSE),"-")</f>
        <v>-</v>
      </c>
      <c r="P383" s="79" t="str">
        <f>+IFERROR(VLOOKUP(CONCATENATE(A383,$C$10,C383),'ID1&amp;5'!B:J,9,FALSE),"-")</f>
        <v>-</v>
      </c>
      <c r="Q383" s="78" t="str">
        <f>+IFERROR(VLOOKUP(D383,'ID1&amp;5'!K:L,2,FALSE),"-")</f>
        <v>-</v>
      </c>
      <c r="R383" s="26" t="str">
        <f>+IFERROR(VLOOKUP(CONCATENATE(A383,$D$10,D383),'ID1&amp;5'!B:J,9,FALSE),"-")</f>
        <v>-</v>
      </c>
      <c r="S383" s="78" t="str">
        <f>+IFERROR(VLOOKUP(E383,'ID1&amp;5'!K:L,2,FALSE),"-")</f>
        <v>-</v>
      </c>
      <c r="T383" s="79" t="str">
        <f>+IFERROR(VLOOKUP(CONCATENATE(A383,$E$10,E383),'ID1&amp;5'!B:J,9,FALSE),"-")</f>
        <v>-</v>
      </c>
      <c r="U383" s="78" t="str">
        <f>+IFERROR(VLOOKUP(F383,'ID1&amp;5'!K:L,2,FALSE),"-")</f>
        <v>-</v>
      </c>
      <c r="V383" s="79" t="str">
        <f>+IFERROR(VLOOKUP(CONCATENATE(A383,$F$10,F383),'ID1&amp;5'!B:J,9,FALSE),"-")</f>
        <v>-</v>
      </c>
      <c r="W383" s="26" t="str">
        <f>+IFERROR(VLOOKUP(A383,'ID6&amp;7'!A:I,9,FALSE),"-")</f>
        <v>-</v>
      </c>
      <c r="X383" s="26" t="str">
        <f>+IFERROR(VLOOKUP(A383,'ID6&amp;7'!A:J,10,FALSE),"-")</f>
        <v>-</v>
      </c>
      <c r="Y383" s="26"/>
      <c r="Z383" s="27" t="str">
        <f t="shared" si="6"/>
        <v>Por iniciar</v>
      </c>
      <c r="AA383" s="65"/>
    </row>
    <row r="384" spans="1:27">
      <c r="A384" s="20"/>
      <c r="B384" s="60"/>
      <c r="C384" s="60"/>
      <c r="D384" s="60"/>
      <c r="E384" s="60"/>
      <c r="F384" s="60"/>
      <c r="G384" s="60"/>
      <c r="H384" s="65" t="s">
        <v>114</v>
      </c>
      <c r="I384" s="21" t="s">
        <v>282</v>
      </c>
      <c r="J384" s="26">
        <f>+COUNTIF('ID1&amp;5'!G:G,'1. Status'!I384)</f>
        <v>0</v>
      </c>
      <c r="K384" s="79" t="str">
        <f>+IFERROR(VLOOKUP(CONCATENATE(A384,$B$10,B384),'ID1&amp;5'!B:J,8,FALSE),"-")</f>
        <v>-</v>
      </c>
      <c r="L384" s="78" t="str">
        <f>+IFERROR(VLOOKUP(B384,'ID1&amp;5'!K:L,2,FALSE),"-")</f>
        <v>-</v>
      </c>
      <c r="M384" s="79" t="str">
        <f>+IFERROR(VLOOKUP(CONCATENATE(A384,$B$10,B384),'ID1&amp;5'!B:J,9,FALSE),"-")</f>
        <v>-</v>
      </c>
      <c r="N384" s="79" t="str">
        <f>+IFERROR(VLOOKUP(CONCATENATE(A384,$C$10,C384),'ID1&amp;5'!B:J,8,FALSE),"-")</f>
        <v>-</v>
      </c>
      <c r="O384" s="78" t="str">
        <f>+IFERROR(VLOOKUP(C384,'ID1&amp;5'!K:L,2,FALSE),"-")</f>
        <v>-</v>
      </c>
      <c r="P384" s="79" t="str">
        <f>+IFERROR(VLOOKUP(CONCATENATE(A384,$C$10,C384),'ID1&amp;5'!B:J,9,FALSE),"-")</f>
        <v>-</v>
      </c>
      <c r="Q384" s="78" t="str">
        <f>+IFERROR(VLOOKUP(D384,'ID1&amp;5'!K:L,2,FALSE),"-")</f>
        <v>-</v>
      </c>
      <c r="R384" s="26" t="str">
        <f>+IFERROR(VLOOKUP(CONCATENATE(A384,$D$10,D384),'ID1&amp;5'!B:J,9,FALSE),"-")</f>
        <v>-</v>
      </c>
      <c r="S384" s="78" t="str">
        <f>+IFERROR(VLOOKUP(E384,'ID1&amp;5'!K:L,2,FALSE),"-")</f>
        <v>-</v>
      </c>
      <c r="T384" s="79" t="str">
        <f>+IFERROR(VLOOKUP(CONCATENATE(A384,$E$10,E384),'ID1&amp;5'!B:J,9,FALSE),"-")</f>
        <v>-</v>
      </c>
      <c r="U384" s="78" t="str">
        <f>+IFERROR(VLOOKUP(F384,'ID1&amp;5'!K:L,2,FALSE),"-")</f>
        <v>-</v>
      </c>
      <c r="V384" s="79" t="str">
        <f>+IFERROR(VLOOKUP(CONCATENATE(A384,$F$10,F384),'ID1&amp;5'!B:J,9,FALSE),"-")</f>
        <v>-</v>
      </c>
      <c r="W384" s="26" t="str">
        <f>+IFERROR(VLOOKUP(A384,'ID6&amp;7'!A:I,9,FALSE),"-")</f>
        <v>-</v>
      </c>
      <c r="X384" s="26" t="str">
        <f>+IFERROR(VLOOKUP(A384,'ID6&amp;7'!A:J,10,FALSE),"-")</f>
        <v>-</v>
      </c>
      <c r="Y384" s="26"/>
      <c r="Z384" s="27" t="str">
        <f t="shared" ref="Z384:Z447" si="7">+IF(J384=0,"Por iniciar",IF(OR(K384="-",M384="-",P384="-",R384="-",T384="-",V384="-"),"Em testes",IF(AND(M384=0,P384=0,R384=0,T384&lt;&gt;K384,V384&lt;&gt;K384),"OK","NOK")))</f>
        <v>Por iniciar</v>
      </c>
      <c r="AA384" s="65"/>
    </row>
    <row r="385" spans="1:27">
      <c r="A385" s="20"/>
      <c r="B385" s="60"/>
      <c r="C385" s="60"/>
      <c r="D385" s="60"/>
      <c r="E385" s="60"/>
      <c r="F385" s="60"/>
      <c r="G385" s="60"/>
      <c r="H385" s="65" t="s">
        <v>114</v>
      </c>
      <c r="I385" s="21" t="s">
        <v>24</v>
      </c>
      <c r="J385" s="26">
        <f>+COUNTIF('ID1&amp;5'!G:G,'1. Status'!I385)</f>
        <v>0</v>
      </c>
      <c r="K385" s="79" t="str">
        <f>+IFERROR(VLOOKUP(CONCATENATE(A385,$B$10,B385),'ID1&amp;5'!B:J,8,FALSE),"-")</f>
        <v>-</v>
      </c>
      <c r="L385" s="78" t="str">
        <f>+IFERROR(VLOOKUP(B385,'ID1&amp;5'!K:L,2,FALSE),"-")</f>
        <v>-</v>
      </c>
      <c r="M385" s="79" t="str">
        <f>+IFERROR(VLOOKUP(CONCATENATE(A385,$B$10,B385),'ID1&amp;5'!B:J,9,FALSE),"-")</f>
        <v>-</v>
      </c>
      <c r="N385" s="79" t="str">
        <f>+IFERROR(VLOOKUP(CONCATENATE(A385,$C$10,C385),'ID1&amp;5'!B:J,8,FALSE),"-")</f>
        <v>-</v>
      </c>
      <c r="O385" s="78" t="str">
        <f>+IFERROR(VLOOKUP(C385,'ID1&amp;5'!K:L,2,FALSE),"-")</f>
        <v>-</v>
      </c>
      <c r="P385" s="79" t="str">
        <f>+IFERROR(VLOOKUP(CONCATENATE(A385,$C$10,C385),'ID1&amp;5'!B:J,9,FALSE),"-")</f>
        <v>-</v>
      </c>
      <c r="Q385" s="78" t="str">
        <f>+IFERROR(VLOOKUP(D385,'ID1&amp;5'!K:L,2,FALSE),"-")</f>
        <v>-</v>
      </c>
      <c r="R385" s="26" t="str">
        <f>+IFERROR(VLOOKUP(CONCATENATE(A385,$D$10,D385),'ID1&amp;5'!B:J,9,FALSE),"-")</f>
        <v>-</v>
      </c>
      <c r="S385" s="78" t="str">
        <f>+IFERROR(VLOOKUP(E385,'ID1&amp;5'!K:L,2,FALSE),"-")</f>
        <v>-</v>
      </c>
      <c r="T385" s="79" t="str">
        <f>+IFERROR(VLOOKUP(CONCATENATE(A385,$E$10,E385),'ID1&amp;5'!B:J,9,FALSE),"-")</f>
        <v>-</v>
      </c>
      <c r="U385" s="78" t="str">
        <f>+IFERROR(VLOOKUP(F385,'ID1&amp;5'!K:L,2,FALSE),"-")</f>
        <v>-</v>
      </c>
      <c r="V385" s="79" t="str">
        <f>+IFERROR(VLOOKUP(CONCATENATE(A385,$F$10,F385),'ID1&amp;5'!B:J,9,FALSE),"-")</f>
        <v>-</v>
      </c>
      <c r="W385" s="26" t="str">
        <f>+IFERROR(VLOOKUP(A385,'ID6&amp;7'!A:I,9,FALSE),"-")</f>
        <v>-</v>
      </c>
      <c r="X385" s="26" t="str">
        <f>+IFERROR(VLOOKUP(A385,'ID6&amp;7'!A:J,10,FALSE),"-")</f>
        <v>-</v>
      </c>
      <c r="Y385" s="26"/>
      <c r="Z385" s="27" t="str">
        <f t="shared" si="7"/>
        <v>Por iniciar</v>
      </c>
      <c r="AA385" s="65"/>
    </row>
    <row r="386" spans="1:27">
      <c r="A386" s="20"/>
      <c r="B386" s="60"/>
      <c r="C386" s="60"/>
      <c r="D386" s="60"/>
      <c r="E386" s="60"/>
      <c r="F386" s="60"/>
      <c r="G386" s="60"/>
      <c r="H386" s="65" t="s">
        <v>114</v>
      </c>
      <c r="I386" s="21" t="s">
        <v>1406</v>
      </c>
      <c r="J386" s="26">
        <f>+COUNTIF('ID1&amp;5'!G:G,'1. Status'!I386)</f>
        <v>0</v>
      </c>
      <c r="K386" s="79" t="str">
        <f>+IFERROR(VLOOKUP(CONCATENATE(A386,$B$10,B386),'ID1&amp;5'!B:J,8,FALSE),"-")</f>
        <v>-</v>
      </c>
      <c r="L386" s="78" t="str">
        <f>+IFERROR(VLOOKUP(B386,'ID1&amp;5'!K:L,2,FALSE),"-")</f>
        <v>-</v>
      </c>
      <c r="M386" s="79" t="str">
        <f>+IFERROR(VLOOKUP(CONCATENATE(A386,$B$10,B386),'ID1&amp;5'!B:J,9,FALSE),"-")</f>
        <v>-</v>
      </c>
      <c r="N386" s="79" t="str">
        <f>+IFERROR(VLOOKUP(CONCATENATE(A386,$C$10,C386),'ID1&amp;5'!B:J,8,FALSE),"-")</f>
        <v>-</v>
      </c>
      <c r="O386" s="78" t="str">
        <f>+IFERROR(VLOOKUP(C386,'ID1&amp;5'!K:L,2,FALSE),"-")</f>
        <v>-</v>
      </c>
      <c r="P386" s="79" t="str">
        <f>+IFERROR(VLOOKUP(CONCATENATE(A386,$C$10,C386),'ID1&amp;5'!B:J,9,FALSE),"-")</f>
        <v>-</v>
      </c>
      <c r="Q386" s="78" t="str">
        <f>+IFERROR(VLOOKUP(D386,'ID1&amp;5'!K:L,2,FALSE),"-")</f>
        <v>-</v>
      </c>
      <c r="R386" s="26" t="str">
        <f>+IFERROR(VLOOKUP(CONCATENATE(A386,$D$10,D386),'ID1&amp;5'!B:J,9,FALSE),"-")</f>
        <v>-</v>
      </c>
      <c r="S386" s="78" t="str">
        <f>+IFERROR(VLOOKUP(E386,'ID1&amp;5'!K:L,2,FALSE),"-")</f>
        <v>-</v>
      </c>
      <c r="T386" s="79" t="str">
        <f>+IFERROR(VLOOKUP(CONCATENATE(A386,$E$10,E386),'ID1&amp;5'!B:J,9,FALSE),"-")</f>
        <v>-</v>
      </c>
      <c r="U386" s="78" t="str">
        <f>+IFERROR(VLOOKUP(F386,'ID1&amp;5'!K:L,2,FALSE),"-")</f>
        <v>-</v>
      </c>
      <c r="V386" s="79" t="str">
        <f>+IFERROR(VLOOKUP(CONCATENATE(A386,$F$10,F386),'ID1&amp;5'!B:J,9,FALSE),"-")</f>
        <v>-</v>
      </c>
      <c r="W386" s="26" t="str">
        <f>+IFERROR(VLOOKUP(A386,'ID6&amp;7'!A:I,9,FALSE),"-")</f>
        <v>-</v>
      </c>
      <c r="X386" s="26" t="str">
        <f>+IFERROR(VLOOKUP(A386,'ID6&amp;7'!A:J,10,FALSE),"-")</f>
        <v>-</v>
      </c>
      <c r="Y386" s="26"/>
      <c r="Z386" s="27" t="str">
        <f t="shared" si="7"/>
        <v>Por iniciar</v>
      </c>
      <c r="AA386" s="65"/>
    </row>
    <row r="387" spans="1:27">
      <c r="A387" s="20"/>
      <c r="B387" s="60"/>
      <c r="C387" s="60"/>
      <c r="D387" s="60"/>
      <c r="E387" s="60"/>
      <c r="F387" s="60"/>
      <c r="G387" s="60"/>
      <c r="H387" s="65" t="s">
        <v>114</v>
      </c>
      <c r="I387" s="21" t="s">
        <v>1407</v>
      </c>
      <c r="J387" s="26">
        <f>+COUNTIF('ID1&amp;5'!G:G,'1. Status'!I387)</f>
        <v>0</v>
      </c>
      <c r="K387" s="79" t="str">
        <f>+IFERROR(VLOOKUP(CONCATENATE(A387,$B$10,B387),'ID1&amp;5'!B:J,8,FALSE),"-")</f>
        <v>-</v>
      </c>
      <c r="L387" s="78" t="str">
        <f>+IFERROR(VLOOKUP(B387,'ID1&amp;5'!K:L,2,FALSE),"-")</f>
        <v>-</v>
      </c>
      <c r="M387" s="79" t="str">
        <f>+IFERROR(VLOOKUP(CONCATENATE(A387,$B$10,B387),'ID1&amp;5'!B:J,9,FALSE),"-")</f>
        <v>-</v>
      </c>
      <c r="N387" s="79" t="str">
        <f>+IFERROR(VLOOKUP(CONCATENATE(A387,$C$10,C387),'ID1&amp;5'!B:J,8,FALSE),"-")</f>
        <v>-</v>
      </c>
      <c r="O387" s="78" t="str">
        <f>+IFERROR(VLOOKUP(C387,'ID1&amp;5'!K:L,2,FALSE),"-")</f>
        <v>-</v>
      </c>
      <c r="P387" s="79" t="str">
        <f>+IFERROR(VLOOKUP(CONCATENATE(A387,$C$10,C387),'ID1&amp;5'!B:J,9,FALSE),"-")</f>
        <v>-</v>
      </c>
      <c r="Q387" s="78" t="str">
        <f>+IFERROR(VLOOKUP(D387,'ID1&amp;5'!K:L,2,FALSE),"-")</f>
        <v>-</v>
      </c>
      <c r="R387" s="26" t="str">
        <f>+IFERROR(VLOOKUP(CONCATENATE(A387,$D$10,D387),'ID1&amp;5'!B:J,9,FALSE),"-")</f>
        <v>-</v>
      </c>
      <c r="S387" s="78" t="str">
        <f>+IFERROR(VLOOKUP(E387,'ID1&amp;5'!K:L,2,FALSE),"-")</f>
        <v>-</v>
      </c>
      <c r="T387" s="79" t="str">
        <f>+IFERROR(VLOOKUP(CONCATENATE(A387,$E$10,E387),'ID1&amp;5'!B:J,9,FALSE),"-")</f>
        <v>-</v>
      </c>
      <c r="U387" s="78" t="str">
        <f>+IFERROR(VLOOKUP(F387,'ID1&amp;5'!K:L,2,FALSE),"-")</f>
        <v>-</v>
      </c>
      <c r="V387" s="79" t="str">
        <f>+IFERROR(VLOOKUP(CONCATENATE(A387,$F$10,F387),'ID1&amp;5'!B:J,9,FALSE),"-")</f>
        <v>-</v>
      </c>
      <c r="W387" s="26" t="str">
        <f>+IFERROR(VLOOKUP(A387,'ID6&amp;7'!A:I,9,FALSE),"-")</f>
        <v>-</v>
      </c>
      <c r="X387" s="26" t="str">
        <f>+IFERROR(VLOOKUP(A387,'ID6&amp;7'!A:J,10,FALSE),"-")</f>
        <v>-</v>
      </c>
      <c r="Y387" s="26"/>
      <c r="Z387" s="27" t="str">
        <f t="shared" si="7"/>
        <v>Por iniciar</v>
      </c>
      <c r="AA387" s="65"/>
    </row>
    <row r="388" spans="1:27">
      <c r="A388" s="20"/>
      <c r="B388" s="60"/>
      <c r="C388" s="60"/>
      <c r="D388" s="60"/>
      <c r="E388" s="60"/>
      <c r="F388" s="60"/>
      <c r="G388" s="60"/>
      <c r="H388" s="65" t="s">
        <v>114</v>
      </c>
      <c r="I388" s="21" t="s">
        <v>1157</v>
      </c>
      <c r="J388" s="26">
        <f>+COUNTIF('ID1&amp;5'!G:G,'1. Status'!I388)</f>
        <v>1</v>
      </c>
      <c r="K388" s="79" t="str">
        <f>+IFERROR(VLOOKUP(CONCATENATE(A388,$B$10,B388),'ID1&amp;5'!B:J,8,FALSE),"-")</f>
        <v>-</v>
      </c>
      <c r="L388" s="78" t="str">
        <f>+IFERROR(VLOOKUP(B388,'ID1&amp;5'!K:L,2,FALSE),"-")</f>
        <v>-</v>
      </c>
      <c r="M388" s="79" t="str">
        <f>+IFERROR(VLOOKUP(CONCATENATE(A388,$B$10,B388),'ID1&amp;5'!B:J,9,FALSE),"-")</f>
        <v>-</v>
      </c>
      <c r="N388" s="79" t="str">
        <f>+IFERROR(VLOOKUP(CONCATENATE(A388,$C$10,C388),'ID1&amp;5'!B:J,8,FALSE),"-")</f>
        <v>-</v>
      </c>
      <c r="O388" s="78" t="str">
        <f>+IFERROR(VLOOKUP(C388,'ID1&amp;5'!K:L,2,FALSE),"-")</f>
        <v>-</v>
      </c>
      <c r="P388" s="79" t="str">
        <f>+IFERROR(VLOOKUP(CONCATENATE(A388,$C$10,C388),'ID1&amp;5'!B:J,9,FALSE),"-")</f>
        <v>-</v>
      </c>
      <c r="Q388" s="78" t="str">
        <f>+IFERROR(VLOOKUP(D388,'ID1&amp;5'!K:L,2,FALSE),"-")</f>
        <v>-</v>
      </c>
      <c r="R388" s="26" t="str">
        <f>+IFERROR(VLOOKUP(CONCATENATE(A388,$D$10,D388),'ID1&amp;5'!B:J,9,FALSE),"-")</f>
        <v>-</v>
      </c>
      <c r="S388" s="78" t="str">
        <f>+IFERROR(VLOOKUP(E388,'ID1&amp;5'!K:L,2,FALSE),"-")</f>
        <v>-</v>
      </c>
      <c r="T388" s="79" t="str">
        <f>+IFERROR(VLOOKUP(CONCATENATE(A388,$E$10,E388),'ID1&amp;5'!B:J,9,FALSE),"-")</f>
        <v>-</v>
      </c>
      <c r="U388" s="78" t="str">
        <f>+IFERROR(VLOOKUP(F388,'ID1&amp;5'!K:L,2,FALSE),"-")</f>
        <v>-</v>
      </c>
      <c r="V388" s="79" t="str">
        <f>+IFERROR(VLOOKUP(CONCATENATE(A388,$F$10,F388),'ID1&amp;5'!B:J,9,FALSE),"-")</f>
        <v>-</v>
      </c>
      <c r="W388" s="26" t="str">
        <f>+IFERROR(VLOOKUP(A388,'ID6&amp;7'!A:I,9,FALSE),"-")</f>
        <v>-</v>
      </c>
      <c r="X388" s="26" t="str">
        <f>+IFERROR(VLOOKUP(A388,'ID6&amp;7'!A:J,10,FALSE),"-")</f>
        <v>-</v>
      </c>
      <c r="Y388" s="26"/>
      <c r="Z388" s="27" t="str">
        <f t="shared" si="7"/>
        <v>Em testes</v>
      </c>
      <c r="AA388" s="65"/>
    </row>
    <row r="389" spans="1:27">
      <c r="A389" s="20"/>
      <c r="B389" s="60"/>
      <c r="C389" s="60"/>
      <c r="D389" s="60"/>
      <c r="E389" s="60"/>
      <c r="F389" s="60"/>
      <c r="G389" s="60"/>
      <c r="H389" s="65" t="s">
        <v>114</v>
      </c>
      <c r="I389" s="21" t="s">
        <v>1158</v>
      </c>
      <c r="J389" s="26">
        <f>+COUNTIF('ID1&amp;5'!G:G,'1. Status'!I389)</f>
        <v>0</v>
      </c>
      <c r="K389" s="79" t="str">
        <f>+IFERROR(VLOOKUP(CONCATENATE(A389,$B$10,B389),'ID1&amp;5'!B:J,8,FALSE),"-")</f>
        <v>-</v>
      </c>
      <c r="L389" s="78" t="str">
        <f>+IFERROR(VLOOKUP(B389,'ID1&amp;5'!K:L,2,FALSE),"-")</f>
        <v>-</v>
      </c>
      <c r="M389" s="79" t="str">
        <f>+IFERROR(VLOOKUP(CONCATENATE(A389,$B$10,B389),'ID1&amp;5'!B:J,9,FALSE),"-")</f>
        <v>-</v>
      </c>
      <c r="N389" s="79" t="str">
        <f>+IFERROR(VLOOKUP(CONCATENATE(A389,$C$10,C389),'ID1&amp;5'!B:J,8,FALSE),"-")</f>
        <v>-</v>
      </c>
      <c r="O389" s="78" t="str">
        <f>+IFERROR(VLOOKUP(C389,'ID1&amp;5'!K:L,2,FALSE),"-")</f>
        <v>-</v>
      </c>
      <c r="P389" s="79" t="str">
        <f>+IFERROR(VLOOKUP(CONCATENATE(A389,$C$10,C389),'ID1&amp;5'!B:J,9,FALSE),"-")</f>
        <v>-</v>
      </c>
      <c r="Q389" s="78" t="str">
        <f>+IFERROR(VLOOKUP(D389,'ID1&amp;5'!K:L,2,FALSE),"-")</f>
        <v>-</v>
      </c>
      <c r="R389" s="26" t="str">
        <f>+IFERROR(VLOOKUP(CONCATENATE(A389,$D$10,D389),'ID1&amp;5'!B:J,9,FALSE),"-")</f>
        <v>-</v>
      </c>
      <c r="S389" s="78" t="str">
        <f>+IFERROR(VLOOKUP(E389,'ID1&amp;5'!K:L,2,FALSE),"-")</f>
        <v>-</v>
      </c>
      <c r="T389" s="79" t="str">
        <f>+IFERROR(VLOOKUP(CONCATENATE(A389,$E$10,E389),'ID1&amp;5'!B:J,9,FALSE),"-")</f>
        <v>-</v>
      </c>
      <c r="U389" s="78" t="str">
        <f>+IFERROR(VLOOKUP(F389,'ID1&amp;5'!K:L,2,FALSE),"-")</f>
        <v>-</v>
      </c>
      <c r="V389" s="79" t="str">
        <f>+IFERROR(VLOOKUP(CONCATENATE(A389,$F$10,F389),'ID1&amp;5'!B:J,9,FALSE),"-")</f>
        <v>-</v>
      </c>
      <c r="W389" s="26" t="str">
        <f>+IFERROR(VLOOKUP(A389,'ID6&amp;7'!A:I,9,FALSE),"-")</f>
        <v>-</v>
      </c>
      <c r="X389" s="26" t="str">
        <f>+IFERROR(VLOOKUP(A389,'ID6&amp;7'!A:J,10,FALSE),"-")</f>
        <v>-</v>
      </c>
      <c r="Y389" s="26"/>
      <c r="Z389" s="27" t="str">
        <f t="shared" si="7"/>
        <v>Por iniciar</v>
      </c>
      <c r="AA389" s="65"/>
    </row>
    <row r="390" spans="1:27">
      <c r="A390" s="20"/>
      <c r="B390" s="60"/>
      <c r="C390" s="60"/>
      <c r="D390" s="60"/>
      <c r="E390" s="60"/>
      <c r="F390" s="60"/>
      <c r="G390" s="60"/>
      <c r="H390" s="65" t="s">
        <v>114</v>
      </c>
      <c r="I390" s="21" t="s">
        <v>657</v>
      </c>
      <c r="J390" s="26">
        <f>+COUNTIF('ID1&amp;5'!G:G,'1. Status'!I390)</f>
        <v>1</v>
      </c>
      <c r="K390" s="79" t="str">
        <f>+IFERROR(VLOOKUP(CONCATENATE(A390,$B$10,B390),'ID1&amp;5'!B:J,8,FALSE),"-")</f>
        <v>-</v>
      </c>
      <c r="L390" s="78" t="str">
        <f>+IFERROR(VLOOKUP(B390,'ID1&amp;5'!K:L,2,FALSE),"-")</f>
        <v>-</v>
      </c>
      <c r="M390" s="79" t="str">
        <f>+IFERROR(VLOOKUP(CONCATENATE(A390,$B$10,B390),'ID1&amp;5'!B:J,9,FALSE),"-")</f>
        <v>-</v>
      </c>
      <c r="N390" s="79" t="str">
        <f>+IFERROR(VLOOKUP(CONCATENATE(A390,$C$10,C390),'ID1&amp;5'!B:J,8,FALSE),"-")</f>
        <v>-</v>
      </c>
      <c r="O390" s="78" t="str">
        <f>+IFERROR(VLOOKUP(C390,'ID1&amp;5'!K:L,2,FALSE),"-")</f>
        <v>-</v>
      </c>
      <c r="P390" s="79" t="str">
        <f>+IFERROR(VLOOKUP(CONCATENATE(A390,$C$10,C390),'ID1&amp;5'!B:J,9,FALSE),"-")</f>
        <v>-</v>
      </c>
      <c r="Q390" s="78" t="str">
        <f>+IFERROR(VLOOKUP(D390,'ID1&amp;5'!K:L,2,FALSE),"-")</f>
        <v>-</v>
      </c>
      <c r="R390" s="26" t="str">
        <f>+IFERROR(VLOOKUP(CONCATENATE(A390,$D$10,D390),'ID1&amp;5'!B:J,9,FALSE),"-")</f>
        <v>-</v>
      </c>
      <c r="S390" s="78" t="str">
        <f>+IFERROR(VLOOKUP(E390,'ID1&amp;5'!K:L,2,FALSE),"-")</f>
        <v>-</v>
      </c>
      <c r="T390" s="79" t="str">
        <f>+IFERROR(VLOOKUP(CONCATENATE(A390,$E$10,E390),'ID1&amp;5'!B:J,9,FALSE),"-")</f>
        <v>-</v>
      </c>
      <c r="U390" s="78" t="str">
        <f>+IFERROR(VLOOKUP(F390,'ID1&amp;5'!K:L,2,FALSE),"-")</f>
        <v>-</v>
      </c>
      <c r="V390" s="79" t="str">
        <f>+IFERROR(VLOOKUP(CONCATENATE(A390,$F$10,F390),'ID1&amp;5'!B:J,9,FALSE),"-")</f>
        <v>-</v>
      </c>
      <c r="W390" s="26" t="str">
        <f>+IFERROR(VLOOKUP(A390,'ID6&amp;7'!A:I,9,FALSE),"-")</f>
        <v>-</v>
      </c>
      <c r="X390" s="26" t="str">
        <f>+IFERROR(VLOOKUP(A390,'ID6&amp;7'!A:J,10,FALSE),"-")</f>
        <v>-</v>
      </c>
      <c r="Y390" s="26"/>
      <c r="Z390" s="27" t="str">
        <f t="shared" si="7"/>
        <v>Em testes</v>
      </c>
      <c r="AA390" s="65"/>
    </row>
    <row r="391" spans="1:27">
      <c r="A391" s="20"/>
      <c r="B391" s="60"/>
      <c r="C391" s="60"/>
      <c r="D391" s="60"/>
      <c r="E391" s="60"/>
      <c r="F391" s="60"/>
      <c r="G391" s="60"/>
      <c r="H391" s="65" t="s">
        <v>114</v>
      </c>
      <c r="I391" s="21" t="s">
        <v>696</v>
      </c>
      <c r="J391" s="26">
        <f>+COUNTIF('ID1&amp;5'!G:G,'1. Status'!I391)</f>
        <v>1</v>
      </c>
      <c r="K391" s="79" t="str">
        <f>+IFERROR(VLOOKUP(CONCATENATE(A391,$B$10,B391),'ID1&amp;5'!B:J,8,FALSE),"-")</f>
        <v>-</v>
      </c>
      <c r="L391" s="78" t="str">
        <f>+IFERROR(VLOOKUP(B391,'ID1&amp;5'!K:L,2,FALSE),"-")</f>
        <v>-</v>
      </c>
      <c r="M391" s="79" t="str">
        <f>+IFERROR(VLOOKUP(CONCATENATE(A391,$B$10,B391),'ID1&amp;5'!B:J,9,FALSE),"-")</f>
        <v>-</v>
      </c>
      <c r="N391" s="79" t="str">
        <f>+IFERROR(VLOOKUP(CONCATENATE(A391,$C$10,C391),'ID1&amp;5'!B:J,8,FALSE),"-")</f>
        <v>-</v>
      </c>
      <c r="O391" s="78" t="str">
        <f>+IFERROR(VLOOKUP(C391,'ID1&amp;5'!K:L,2,FALSE),"-")</f>
        <v>-</v>
      </c>
      <c r="P391" s="79" t="str">
        <f>+IFERROR(VLOOKUP(CONCATENATE(A391,$C$10,C391),'ID1&amp;5'!B:J,9,FALSE),"-")</f>
        <v>-</v>
      </c>
      <c r="Q391" s="78" t="str">
        <f>+IFERROR(VLOOKUP(D391,'ID1&amp;5'!K:L,2,FALSE),"-")</f>
        <v>-</v>
      </c>
      <c r="R391" s="26" t="str">
        <f>+IFERROR(VLOOKUP(CONCATENATE(A391,$D$10,D391),'ID1&amp;5'!B:J,9,FALSE),"-")</f>
        <v>-</v>
      </c>
      <c r="S391" s="78" t="str">
        <f>+IFERROR(VLOOKUP(E391,'ID1&amp;5'!K:L,2,FALSE),"-")</f>
        <v>-</v>
      </c>
      <c r="T391" s="79" t="str">
        <f>+IFERROR(VLOOKUP(CONCATENATE(A391,$E$10,E391),'ID1&amp;5'!B:J,9,FALSE),"-")</f>
        <v>-</v>
      </c>
      <c r="U391" s="78" t="str">
        <f>+IFERROR(VLOOKUP(F391,'ID1&amp;5'!K:L,2,FALSE),"-")</f>
        <v>-</v>
      </c>
      <c r="V391" s="79" t="str">
        <f>+IFERROR(VLOOKUP(CONCATENATE(A391,$F$10,F391),'ID1&amp;5'!B:J,9,FALSE),"-")</f>
        <v>-</v>
      </c>
      <c r="W391" s="26" t="str">
        <f>+IFERROR(VLOOKUP(A391,'ID6&amp;7'!A:I,9,FALSE),"-")</f>
        <v>-</v>
      </c>
      <c r="X391" s="26" t="str">
        <f>+IFERROR(VLOOKUP(A391,'ID6&amp;7'!A:J,10,FALSE),"-")</f>
        <v>-</v>
      </c>
      <c r="Y391" s="26"/>
      <c r="Z391" s="27" t="str">
        <f t="shared" si="7"/>
        <v>Em testes</v>
      </c>
      <c r="AA391" s="65"/>
    </row>
    <row r="392" spans="1:27">
      <c r="A392" s="20"/>
      <c r="B392" s="60"/>
      <c r="C392" s="60"/>
      <c r="D392" s="60"/>
      <c r="E392" s="60"/>
      <c r="F392" s="60"/>
      <c r="G392" s="60"/>
      <c r="H392" s="65" t="s">
        <v>114</v>
      </c>
      <c r="I392" s="21" t="s">
        <v>1408</v>
      </c>
      <c r="J392" s="26">
        <f>+COUNTIF('ID1&amp;5'!G:G,'1. Status'!I392)</f>
        <v>0</v>
      </c>
      <c r="K392" s="79" t="str">
        <f>+IFERROR(VLOOKUP(CONCATENATE(A392,$B$10,B392),'ID1&amp;5'!B:J,8,FALSE),"-")</f>
        <v>-</v>
      </c>
      <c r="L392" s="78" t="str">
        <f>+IFERROR(VLOOKUP(B392,'ID1&amp;5'!K:L,2,FALSE),"-")</f>
        <v>-</v>
      </c>
      <c r="M392" s="79" t="str">
        <f>+IFERROR(VLOOKUP(CONCATENATE(A392,$B$10,B392),'ID1&amp;5'!B:J,9,FALSE),"-")</f>
        <v>-</v>
      </c>
      <c r="N392" s="79" t="str">
        <f>+IFERROR(VLOOKUP(CONCATENATE(A392,$C$10,C392),'ID1&amp;5'!B:J,8,FALSE),"-")</f>
        <v>-</v>
      </c>
      <c r="O392" s="78" t="str">
        <f>+IFERROR(VLOOKUP(C392,'ID1&amp;5'!K:L,2,FALSE),"-")</f>
        <v>-</v>
      </c>
      <c r="P392" s="79" t="str">
        <f>+IFERROR(VLOOKUP(CONCATENATE(A392,$C$10,C392),'ID1&amp;5'!B:J,9,FALSE),"-")</f>
        <v>-</v>
      </c>
      <c r="Q392" s="78" t="str">
        <f>+IFERROR(VLOOKUP(D392,'ID1&amp;5'!K:L,2,FALSE),"-")</f>
        <v>-</v>
      </c>
      <c r="R392" s="26" t="str">
        <f>+IFERROR(VLOOKUP(CONCATENATE(A392,$D$10,D392),'ID1&amp;5'!B:J,9,FALSE),"-")</f>
        <v>-</v>
      </c>
      <c r="S392" s="78" t="str">
        <f>+IFERROR(VLOOKUP(E392,'ID1&amp;5'!K:L,2,FALSE),"-")</f>
        <v>-</v>
      </c>
      <c r="T392" s="79" t="str">
        <f>+IFERROR(VLOOKUP(CONCATENATE(A392,$E$10,E392),'ID1&amp;5'!B:J,9,FALSE),"-")</f>
        <v>-</v>
      </c>
      <c r="U392" s="78" t="str">
        <f>+IFERROR(VLOOKUP(F392,'ID1&amp;5'!K:L,2,FALSE),"-")</f>
        <v>-</v>
      </c>
      <c r="V392" s="79" t="str">
        <f>+IFERROR(VLOOKUP(CONCATENATE(A392,$F$10,F392),'ID1&amp;5'!B:J,9,FALSE),"-")</f>
        <v>-</v>
      </c>
      <c r="W392" s="26" t="str">
        <f>+IFERROR(VLOOKUP(A392,'ID6&amp;7'!A:I,9,FALSE),"-")</f>
        <v>-</v>
      </c>
      <c r="X392" s="26" t="str">
        <f>+IFERROR(VLOOKUP(A392,'ID6&amp;7'!A:J,10,FALSE),"-")</f>
        <v>-</v>
      </c>
      <c r="Y392" s="26"/>
      <c r="Z392" s="27" t="str">
        <f t="shared" si="7"/>
        <v>Por iniciar</v>
      </c>
      <c r="AA392" s="65"/>
    </row>
    <row r="393" spans="1:27">
      <c r="A393" s="20"/>
      <c r="B393" s="60"/>
      <c r="C393" s="60"/>
      <c r="D393" s="60"/>
      <c r="E393" s="60"/>
      <c r="F393" s="60"/>
      <c r="G393" s="60"/>
      <c r="H393" s="65" t="s">
        <v>114</v>
      </c>
      <c r="I393" s="21" t="s">
        <v>1409</v>
      </c>
      <c r="J393" s="26">
        <f>+COUNTIF('ID1&amp;5'!G:G,'1. Status'!I393)</f>
        <v>0</v>
      </c>
      <c r="K393" s="79" t="str">
        <f>+IFERROR(VLOOKUP(CONCATENATE(A393,$B$10,B393),'ID1&amp;5'!B:J,8,FALSE),"-")</f>
        <v>-</v>
      </c>
      <c r="L393" s="78" t="str">
        <f>+IFERROR(VLOOKUP(B393,'ID1&amp;5'!K:L,2,FALSE),"-")</f>
        <v>-</v>
      </c>
      <c r="M393" s="79" t="str">
        <f>+IFERROR(VLOOKUP(CONCATENATE(A393,$B$10,B393),'ID1&amp;5'!B:J,9,FALSE),"-")</f>
        <v>-</v>
      </c>
      <c r="N393" s="79" t="str">
        <f>+IFERROR(VLOOKUP(CONCATENATE(A393,$C$10,C393),'ID1&amp;5'!B:J,8,FALSE),"-")</f>
        <v>-</v>
      </c>
      <c r="O393" s="78" t="str">
        <f>+IFERROR(VLOOKUP(C393,'ID1&amp;5'!K:L,2,FALSE),"-")</f>
        <v>-</v>
      </c>
      <c r="P393" s="79" t="str">
        <f>+IFERROR(VLOOKUP(CONCATENATE(A393,$C$10,C393),'ID1&amp;5'!B:J,9,FALSE),"-")</f>
        <v>-</v>
      </c>
      <c r="Q393" s="78" t="str">
        <f>+IFERROR(VLOOKUP(D393,'ID1&amp;5'!K:L,2,FALSE),"-")</f>
        <v>-</v>
      </c>
      <c r="R393" s="26" t="str">
        <f>+IFERROR(VLOOKUP(CONCATENATE(A393,$D$10,D393),'ID1&amp;5'!B:J,9,FALSE),"-")</f>
        <v>-</v>
      </c>
      <c r="S393" s="78" t="str">
        <f>+IFERROR(VLOOKUP(E393,'ID1&amp;5'!K:L,2,FALSE),"-")</f>
        <v>-</v>
      </c>
      <c r="T393" s="79" t="str">
        <f>+IFERROR(VLOOKUP(CONCATENATE(A393,$E$10,E393),'ID1&amp;5'!B:J,9,FALSE),"-")</f>
        <v>-</v>
      </c>
      <c r="U393" s="78" t="str">
        <f>+IFERROR(VLOOKUP(F393,'ID1&amp;5'!K:L,2,FALSE),"-")</f>
        <v>-</v>
      </c>
      <c r="V393" s="79" t="str">
        <f>+IFERROR(VLOOKUP(CONCATENATE(A393,$F$10,F393),'ID1&amp;5'!B:J,9,FALSE),"-")</f>
        <v>-</v>
      </c>
      <c r="W393" s="26" t="str">
        <f>+IFERROR(VLOOKUP(A393,'ID6&amp;7'!A:I,9,FALSE),"-")</f>
        <v>-</v>
      </c>
      <c r="X393" s="26" t="str">
        <f>+IFERROR(VLOOKUP(A393,'ID6&amp;7'!A:J,10,FALSE),"-")</f>
        <v>-</v>
      </c>
      <c r="Y393" s="26"/>
      <c r="Z393" s="27" t="str">
        <f t="shared" si="7"/>
        <v>Por iniciar</v>
      </c>
      <c r="AA393" s="65"/>
    </row>
    <row r="394" spans="1:27">
      <c r="A394" s="20"/>
      <c r="B394" s="60"/>
      <c r="C394" s="60"/>
      <c r="D394" s="60"/>
      <c r="E394" s="60"/>
      <c r="F394" s="60"/>
      <c r="G394" s="60"/>
      <c r="H394" s="65" t="s">
        <v>114</v>
      </c>
      <c r="I394" s="21" t="s">
        <v>280</v>
      </c>
      <c r="J394" s="26">
        <f>+COUNTIF('ID1&amp;5'!G:G,'1. Status'!I394)</f>
        <v>0</v>
      </c>
      <c r="K394" s="79" t="str">
        <f>+IFERROR(VLOOKUP(CONCATENATE(A394,$B$10,B394),'ID1&amp;5'!B:J,8,FALSE),"-")</f>
        <v>-</v>
      </c>
      <c r="L394" s="78" t="str">
        <f>+IFERROR(VLOOKUP(B394,'ID1&amp;5'!K:L,2,FALSE),"-")</f>
        <v>-</v>
      </c>
      <c r="M394" s="79" t="str">
        <f>+IFERROR(VLOOKUP(CONCATENATE(A394,$B$10,B394),'ID1&amp;5'!B:J,9,FALSE),"-")</f>
        <v>-</v>
      </c>
      <c r="N394" s="79" t="str">
        <f>+IFERROR(VLOOKUP(CONCATENATE(A394,$C$10,C394),'ID1&amp;5'!B:J,8,FALSE),"-")</f>
        <v>-</v>
      </c>
      <c r="O394" s="78" t="str">
        <f>+IFERROR(VLOOKUP(C394,'ID1&amp;5'!K:L,2,FALSE),"-")</f>
        <v>-</v>
      </c>
      <c r="P394" s="79" t="str">
        <f>+IFERROR(VLOOKUP(CONCATENATE(A394,$C$10,C394),'ID1&amp;5'!B:J,9,FALSE),"-")</f>
        <v>-</v>
      </c>
      <c r="Q394" s="78" t="str">
        <f>+IFERROR(VLOOKUP(D394,'ID1&amp;5'!K:L,2,FALSE),"-")</f>
        <v>-</v>
      </c>
      <c r="R394" s="26" t="str">
        <f>+IFERROR(VLOOKUP(CONCATENATE(A394,$D$10,D394),'ID1&amp;5'!B:J,9,FALSE),"-")</f>
        <v>-</v>
      </c>
      <c r="S394" s="78" t="str">
        <f>+IFERROR(VLOOKUP(E394,'ID1&amp;5'!K:L,2,FALSE),"-")</f>
        <v>-</v>
      </c>
      <c r="T394" s="79" t="str">
        <f>+IFERROR(VLOOKUP(CONCATENATE(A394,$E$10,E394),'ID1&amp;5'!B:J,9,FALSE),"-")</f>
        <v>-</v>
      </c>
      <c r="U394" s="78" t="str">
        <f>+IFERROR(VLOOKUP(F394,'ID1&amp;5'!K:L,2,FALSE),"-")</f>
        <v>-</v>
      </c>
      <c r="V394" s="79" t="str">
        <f>+IFERROR(VLOOKUP(CONCATENATE(A394,$F$10,F394),'ID1&amp;5'!B:J,9,FALSE),"-")</f>
        <v>-</v>
      </c>
      <c r="W394" s="26" t="str">
        <f>+IFERROR(VLOOKUP(A394,'ID6&amp;7'!A:I,9,FALSE),"-")</f>
        <v>-</v>
      </c>
      <c r="X394" s="26" t="str">
        <f>+IFERROR(VLOOKUP(A394,'ID6&amp;7'!A:J,10,FALSE),"-")</f>
        <v>-</v>
      </c>
      <c r="Y394" s="26"/>
      <c r="Z394" s="27" t="str">
        <f t="shared" si="7"/>
        <v>Por iniciar</v>
      </c>
      <c r="AA394" s="65"/>
    </row>
    <row r="395" spans="1:27">
      <c r="A395" s="20"/>
      <c r="B395" s="60"/>
      <c r="C395" s="60"/>
      <c r="D395" s="60"/>
      <c r="E395" s="60"/>
      <c r="F395" s="60"/>
      <c r="G395" s="60"/>
      <c r="H395" s="65" t="s">
        <v>114</v>
      </c>
      <c r="I395" s="21" t="s">
        <v>1410</v>
      </c>
      <c r="J395" s="26">
        <f>+COUNTIF('ID1&amp;5'!G:G,'1. Status'!I395)</f>
        <v>0</v>
      </c>
      <c r="K395" s="79" t="str">
        <f>+IFERROR(VLOOKUP(CONCATENATE(A395,$B$10,B395),'ID1&amp;5'!B:J,8,FALSE),"-")</f>
        <v>-</v>
      </c>
      <c r="L395" s="78" t="str">
        <f>+IFERROR(VLOOKUP(B395,'ID1&amp;5'!K:L,2,FALSE),"-")</f>
        <v>-</v>
      </c>
      <c r="M395" s="79" t="str">
        <f>+IFERROR(VLOOKUP(CONCATENATE(A395,$B$10,B395),'ID1&amp;5'!B:J,9,FALSE),"-")</f>
        <v>-</v>
      </c>
      <c r="N395" s="79" t="str">
        <f>+IFERROR(VLOOKUP(CONCATENATE(A395,$C$10,C395),'ID1&amp;5'!B:J,8,FALSE),"-")</f>
        <v>-</v>
      </c>
      <c r="O395" s="78" t="str">
        <f>+IFERROR(VLOOKUP(C395,'ID1&amp;5'!K:L,2,FALSE),"-")</f>
        <v>-</v>
      </c>
      <c r="P395" s="79" t="str">
        <f>+IFERROR(VLOOKUP(CONCATENATE(A395,$C$10,C395),'ID1&amp;5'!B:J,9,FALSE),"-")</f>
        <v>-</v>
      </c>
      <c r="Q395" s="78" t="str">
        <f>+IFERROR(VLOOKUP(D395,'ID1&amp;5'!K:L,2,FALSE),"-")</f>
        <v>-</v>
      </c>
      <c r="R395" s="26" t="str">
        <f>+IFERROR(VLOOKUP(CONCATENATE(A395,$D$10,D395),'ID1&amp;5'!B:J,9,FALSE),"-")</f>
        <v>-</v>
      </c>
      <c r="S395" s="78" t="str">
        <f>+IFERROR(VLOOKUP(E395,'ID1&amp;5'!K:L,2,FALSE),"-")</f>
        <v>-</v>
      </c>
      <c r="T395" s="79" t="str">
        <f>+IFERROR(VLOOKUP(CONCATENATE(A395,$E$10,E395),'ID1&amp;5'!B:J,9,FALSE),"-")</f>
        <v>-</v>
      </c>
      <c r="U395" s="78" t="str">
        <f>+IFERROR(VLOOKUP(F395,'ID1&amp;5'!K:L,2,FALSE),"-")</f>
        <v>-</v>
      </c>
      <c r="V395" s="79" t="str">
        <f>+IFERROR(VLOOKUP(CONCATENATE(A395,$F$10,F395),'ID1&amp;5'!B:J,9,FALSE),"-")</f>
        <v>-</v>
      </c>
      <c r="W395" s="26" t="str">
        <f>+IFERROR(VLOOKUP(A395,'ID6&amp;7'!A:I,9,FALSE),"-")</f>
        <v>-</v>
      </c>
      <c r="X395" s="26" t="str">
        <f>+IFERROR(VLOOKUP(A395,'ID6&amp;7'!A:J,10,FALSE),"-")</f>
        <v>-</v>
      </c>
      <c r="Y395" s="26"/>
      <c r="Z395" s="27" t="str">
        <f t="shared" si="7"/>
        <v>Por iniciar</v>
      </c>
      <c r="AA395" s="65"/>
    </row>
    <row r="396" spans="1:27">
      <c r="A396" s="20"/>
      <c r="B396" s="60"/>
      <c r="C396" s="60"/>
      <c r="D396" s="60"/>
      <c r="E396" s="60"/>
      <c r="F396" s="60"/>
      <c r="G396" s="60"/>
      <c r="H396" s="65" t="s">
        <v>114</v>
      </c>
      <c r="I396" s="21" t="s">
        <v>1411</v>
      </c>
      <c r="J396" s="26">
        <f>+COUNTIF('ID1&amp;5'!G:G,'1. Status'!I396)</f>
        <v>0</v>
      </c>
      <c r="K396" s="79" t="str">
        <f>+IFERROR(VLOOKUP(CONCATENATE(A396,$B$10,B396),'ID1&amp;5'!B:J,8,FALSE),"-")</f>
        <v>-</v>
      </c>
      <c r="L396" s="78" t="str">
        <f>+IFERROR(VLOOKUP(B396,'ID1&amp;5'!K:L,2,FALSE),"-")</f>
        <v>-</v>
      </c>
      <c r="M396" s="79" t="str">
        <f>+IFERROR(VLOOKUP(CONCATENATE(A396,$B$10,B396),'ID1&amp;5'!B:J,9,FALSE),"-")</f>
        <v>-</v>
      </c>
      <c r="N396" s="79" t="str">
        <f>+IFERROR(VLOOKUP(CONCATENATE(A396,$C$10,C396),'ID1&amp;5'!B:J,8,FALSE),"-")</f>
        <v>-</v>
      </c>
      <c r="O396" s="78" t="str">
        <f>+IFERROR(VLOOKUP(C396,'ID1&amp;5'!K:L,2,FALSE),"-")</f>
        <v>-</v>
      </c>
      <c r="P396" s="79" t="str">
        <f>+IFERROR(VLOOKUP(CONCATENATE(A396,$C$10,C396),'ID1&amp;5'!B:J,9,FALSE),"-")</f>
        <v>-</v>
      </c>
      <c r="Q396" s="78" t="str">
        <f>+IFERROR(VLOOKUP(D396,'ID1&amp;5'!K:L,2,FALSE),"-")</f>
        <v>-</v>
      </c>
      <c r="R396" s="26" t="str">
        <f>+IFERROR(VLOOKUP(CONCATENATE(A396,$D$10,D396),'ID1&amp;5'!B:J,9,FALSE),"-")</f>
        <v>-</v>
      </c>
      <c r="S396" s="78" t="str">
        <f>+IFERROR(VLOOKUP(E396,'ID1&amp;5'!K:L,2,FALSE),"-")</f>
        <v>-</v>
      </c>
      <c r="T396" s="79" t="str">
        <f>+IFERROR(VLOOKUP(CONCATENATE(A396,$E$10,E396),'ID1&amp;5'!B:J,9,FALSE),"-")</f>
        <v>-</v>
      </c>
      <c r="U396" s="78" t="str">
        <f>+IFERROR(VLOOKUP(F396,'ID1&amp;5'!K:L,2,FALSE),"-")</f>
        <v>-</v>
      </c>
      <c r="V396" s="79" t="str">
        <f>+IFERROR(VLOOKUP(CONCATENATE(A396,$F$10,F396),'ID1&amp;5'!B:J,9,FALSE),"-")</f>
        <v>-</v>
      </c>
      <c r="W396" s="26" t="str">
        <f>+IFERROR(VLOOKUP(A396,'ID6&amp;7'!A:I,9,FALSE),"-")</f>
        <v>-</v>
      </c>
      <c r="X396" s="26" t="str">
        <f>+IFERROR(VLOOKUP(A396,'ID6&amp;7'!A:J,10,FALSE),"-")</f>
        <v>-</v>
      </c>
      <c r="Y396" s="26"/>
      <c r="Z396" s="27" t="str">
        <f t="shared" si="7"/>
        <v>Por iniciar</v>
      </c>
      <c r="AA396" s="65"/>
    </row>
    <row r="397" spans="1:27">
      <c r="A397" s="20"/>
      <c r="B397" s="60"/>
      <c r="C397" s="60"/>
      <c r="D397" s="60"/>
      <c r="E397" s="60"/>
      <c r="F397" s="60"/>
      <c r="G397" s="60"/>
      <c r="H397" s="65" t="s">
        <v>114</v>
      </c>
      <c r="I397" s="21" t="s">
        <v>1412</v>
      </c>
      <c r="J397" s="26">
        <f>+COUNTIF('ID1&amp;5'!G:G,'1. Status'!I397)</f>
        <v>0</v>
      </c>
      <c r="K397" s="79" t="str">
        <f>+IFERROR(VLOOKUP(CONCATENATE(A397,$B$10,B397),'ID1&amp;5'!B:J,8,FALSE),"-")</f>
        <v>-</v>
      </c>
      <c r="L397" s="78" t="str">
        <f>+IFERROR(VLOOKUP(B397,'ID1&amp;5'!K:L,2,FALSE),"-")</f>
        <v>-</v>
      </c>
      <c r="M397" s="79" t="str">
        <f>+IFERROR(VLOOKUP(CONCATENATE(A397,$B$10,B397),'ID1&amp;5'!B:J,9,FALSE),"-")</f>
        <v>-</v>
      </c>
      <c r="N397" s="79" t="str">
        <f>+IFERROR(VLOOKUP(CONCATENATE(A397,$C$10,C397),'ID1&amp;5'!B:J,8,FALSE),"-")</f>
        <v>-</v>
      </c>
      <c r="O397" s="78" t="str">
        <f>+IFERROR(VLOOKUP(C397,'ID1&amp;5'!K:L,2,FALSE),"-")</f>
        <v>-</v>
      </c>
      <c r="P397" s="79" t="str">
        <f>+IFERROR(VLOOKUP(CONCATENATE(A397,$C$10,C397),'ID1&amp;5'!B:J,9,FALSE),"-")</f>
        <v>-</v>
      </c>
      <c r="Q397" s="78" t="str">
        <f>+IFERROR(VLOOKUP(D397,'ID1&amp;5'!K:L,2,FALSE),"-")</f>
        <v>-</v>
      </c>
      <c r="R397" s="26" t="str">
        <f>+IFERROR(VLOOKUP(CONCATENATE(A397,$D$10,D397),'ID1&amp;5'!B:J,9,FALSE),"-")</f>
        <v>-</v>
      </c>
      <c r="S397" s="78" t="str">
        <f>+IFERROR(VLOOKUP(E397,'ID1&amp;5'!K:L,2,FALSE),"-")</f>
        <v>-</v>
      </c>
      <c r="T397" s="79" t="str">
        <f>+IFERROR(VLOOKUP(CONCATENATE(A397,$E$10,E397),'ID1&amp;5'!B:J,9,FALSE),"-")</f>
        <v>-</v>
      </c>
      <c r="U397" s="78" t="str">
        <f>+IFERROR(VLOOKUP(F397,'ID1&amp;5'!K:L,2,FALSE),"-")</f>
        <v>-</v>
      </c>
      <c r="V397" s="79" t="str">
        <f>+IFERROR(VLOOKUP(CONCATENATE(A397,$F$10,F397),'ID1&amp;5'!B:J,9,FALSE),"-")</f>
        <v>-</v>
      </c>
      <c r="W397" s="26" t="str">
        <f>+IFERROR(VLOOKUP(A397,'ID6&amp;7'!A:I,9,FALSE),"-")</f>
        <v>-</v>
      </c>
      <c r="X397" s="26" t="str">
        <f>+IFERROR(VLOOKUP(A397,'ID6&amp;7'!A:J,10,FALSE),"-")</f>
        <v>-</v>
      </c>
      <c r="Y397" s="26"/>
      <c r="Z397" s="27" t="str">
        <f t="shared" si="7"/>
        <v>Por iniciar</v>
      </c>
      <c r="AA397" s="65"/>
    </row>
    <row r="398" spans="1:27">
      <c r="A398" s="20"/>
      <c r="B398" s="60"/>
      <c r="C398" s="60"/>
      <c r="D398" s="60"/>
      <c r="E398" s="60"/>
      <c r="F398" s="60"/>
      <c r="G398" s="60"/>
      <c r="H398" s="65" t="s">
        <v>114</v>
      </c>
      <c r="I398" s="21" t="s">
        <v>1150</v>
      </c>
      <c r="J398" s="26">
        <f>+COUNTIF('ID1&amp;5'!G:G,'1. Status'!I398)</f>
        <v>0</v>
      </c>
      <c r="K398" s="79" t="str">
        <f>+IFERROR(VLOOKUP(CONCATENATE(A398,$B$10,B398),'ID1&amp;5'!B:J,8,FALSE),"-")</f>
        <v>-</v>
      </c>
      <c r="L398" s="78" t="str">
        <f>+IFERROR(VLOOKUP(B398,'ID1&amp;5'!K:L,2,FALSE),"-")</f>
        <v>-</v>
      </c>
      <c r="M398" s="79" t="str">
        <f>+IFERROR(VLOOKUP(CONCATENATE(A398,$B$10,B398),'ID1&amp;5'!B:J,9,FALSE),"-")</f>
        <v>-</v>
      </c>
      <c r="N398" s="79" t="str">
        <f>+IFERROR(VLOOKUP(CONCATENATE(A398,$C$10,C398),'ID1&amp;5'!B:J,8,FALSE),"-")</f>
        <v>-</v>
      </c>
      <c r="O398" s="78" t="str">
        <f>+IFERROR(VLOOKUP(C398,'ID1&amp;5'!K:L,2,FALSE),"-")</f>
        <v>-</v>
      </c>
      <c r="P398" s="79" t="str">
        <f>+IFERROR(VLOOKUP(CONCATENATE(A398,$C$10,C398),'ID1&amp;5'!B:J,9,FALSE),"-")</f>
        <v>-</v>
      </c>
      <c r="Q398" s="78" t="str">
        <f>+IFERROR(VLOOKUP(D398,'ID1&amp;5'!K:L,2,FALSE),"-")</f>
        <v>-</v>
      </c>
      <c r="R398" s="26" t="str">
        <f>+IFERROR(VLOOKUP(CONCATENATE(A398,$D$10,D398),'ID1&amp;5'!B:J,9,FALSE),"-")</f>
        <v>-</v>
      </c>
      <c r="S398" s="78" t="str">
        <f>+IFERROR(VLOOKUP(E398,'ID1&amp;5'!K:L,2,FALSE),"-")</f>
        <v>-</v>
      </c>
      <c r="T398" s="79" t="str">
        <f>+IFERROR(VLOOKUP(CONCATENATE(A398,$E$10,E398),'ID1&amp;5'!B:J,9,FALSE),"-")</f>
        <v>-</v>
      </c>
      <c r="U398" s="78" t="str">
        <f>+IFERROR(VLOOKUP(F398,'ID1&amp;5'!K:L,2,FALSE),"-")</f>
        <v>-</v>
      </c>
      <c r="V398" s="79" t="str">
        <f>+IFERROR(VLOOKUP(CONCATENATE(A398,$F$10,F398),'ID1&amp;5'!B:J,9,FALSE),"-")</f>
        <v>-</v>
      </c>
      <c r="W398" s="26" t="str">
        <f>+IFERROR(VLOOKUP(A398,'ID6&amp;7'!A:I,9,FALSE),"-")</f>
        <v>-</v>
      </c>
      <c r="X398" s="26" t="str">
        <f>+IFERROR(VLOOKUP(A398,'ID6&amp;7'!A:J,10,FALSE),"-")</f>
        <v>-</v>
      </c>
      <c r="Y398" s="26"/>
      <c r="Z398" s="27" t="str">
        <f t="shared" si="7"/>
        <v>Por iniciar</v>
      </c>
      <c r="AA398" s="65"/>
    </row>
    <row r="399" spans="1:27">
      <c r="A399" s="20"/>
      <c r="B399" s="60"/>
      <c r="C399" s="60"/>
      <c r="D399" s="60"/>
      <c r="E399" s="60"/>
      <c r="F399" s="60"/>
      <c r="G399" s="60"/>
      <c r="H399" s="65" t="s">
        <v>114</v>
      </c>
      <c r="I399" s="21" t="s">
        <v>658</v>
      </c>
      <c r="J399" s="26">
        <f>+COUNTIF('ID1&amp;5'!G:G,'1. Status'!I399)</f>
        <v>0</v>
      </c>
      <c r="K399" s="79" t="str">
        <f>+IFERROR(VLOOKUP(CONCATENATE(A399,$B$10,B399),'ID1&amp;5'!B:J,8,FALSE),"-")</f>
        <v>-</v>
      </c>
      <c r="L399" s="78" t="str">
        <f>+IFERROR(VLOOKUP(B399,'ID1&amp;5'!K:L,2,FALSE),"-")</f>
        <v>-</v>
      </c>
      <c r="M399" s="79" t="str">
        <f>+IFERROR(VLOOKUP(CONCATENATE(A399,$B$10,B399),'ID1&amp;5'!B:J,9,FALSE),"-")</f>
        <v>-</v>
      </c>
      <c r="N399" s="79" t="str">
        <f>+IFERROR(VLOOKUP(CONCATENATE(A399,$C$10,C399),'ID1&amp;5'!B:J,8,FALSE),"-")</f>
        <v>-</v>
      </c>
      <c r="O399" s="78" t="str">
        <f>+IFERROR(VLOOKUP(C399,'ID1&amp;5'!K:L,2,FALSE),"-")</f>
        <v>-</v>
      </c>
      <c r="P399" s="79" t="str">
        <f>+IFERROR(VLOOKUP(CONCATENATE(A399,$C$10,C399),'ID1&amp;5'!B:J,9,FALSE),"-")</f>
        <v>-</v>
      </c>
      <c r="Q399" s="78" t="str">
        <f>+IFERROR(VLOOKUP(D399,'ID1&amp;5'!K:L,2,FALSE),"-")</f>
        <v>-</v>
      </c>
      <c r="R399" s="26" t="str">
        <f>+IFERROR(VLOOKUP(CONCATENATE(A399,$D$10,D399),'ID1&amp;5'!B:J,9,FALSE),"-")</f>
        <v>-</v>
      </c>
      <c r="S399" s="78" t="str">
        <f>+IFERROR(VLOOKUP(E399,'ID1&amp;5'!K:L,2,FALSE),"-")</f>
        <v>-</v>
      </c>
      <c r="T399" s="79" t="str">
        <f>+IFERROR(VLOOKUP(CONCATENATE(A399,$E$10,E399),'ID1&amp;5'!B:J,9,FALSE),"-")</f>
        <v>-</v>
      </c>
      <c r="U399" s="78" t="str">
        <f>+IFERROR(VLOOKUP(F399,'ID1&amp;5'!K:L,2,FALSE),"-")</f>
        <v>-</v>
      </c>
      <c r="V399" s="79" t="str">
        <f>+IFERROR(VLOOKUP(CONCATENATE(A399,$F$10,F399),'ID1&amp;5'!B:J,9,FALSE),"-")</f>
        <v>-</v>
      </c>
      <c r="W399" s="26" t="str">
        <f>+IFERROR(VLOOKUP(A399,'ID6&amp;7'!A:I,9,FALSE),"-")</f>
        <v>-</v>
      </c>
      <c r="X399" s="26" t="str">
        <f>+IFERROR(VLOOKUP(A399,'ID6&amp;7'!A:J,10,FALSE),"-")</f>
        <v>-</v>
      </c>
      <c r="Y399" s="26"/>
      <c r="Z399" s="27" t="str">
        <f t="shared" si="7"/>
        <v>Por iniciar</v>
      </c>
      <c r="AA399" s="65"/>
    </row>
    <row r="400" spans="1:27">
      <c r="A400" s="20"/>
      <c r="B400" s="60"/>
      <c r="C400" s="60"/>
      <c r="D400" s="60"/>
      <c r="E400" s="60"/>
      <c r="F400" s="60"/>
      <c r="G400" s="60"/>
      <c r="H400" s="65" t="s">
        <v>114</v>
      </c>
      <c r="I400" s="21" t="s">
        <v>1413</v>
      </c>
      <c r="J400" s="26">
        <f>+COUNTIF('ID1&amp;5'!G:G,'1. Status'!I400)</f>
        <v>0</v>
      </c>
      <c r="K400" s="79" t="str">
        <f>+IFERROR(VLOOKUP(CONCATENATE(A400,$B$10,B400),'ID1&amp;5'!B:J,8,FALSE),"-")</f>
        <v>-</v>
      </c>
      <c r="L400" s="78" t="str">
        <f>+IFERROR(VLOOKUP(B400,'ID1&amp;5'!K:L,2,FALSE),"-")</f>
        <v>-</v>
      </c>
      <c r="M400" s="79" t="str">
        <f>+IFERROR(VLOOKUP(CONCATENATE(A400,$B$10,B400),'ID1&amp;5'!B:J,9,FALSE),"-")</f>
        <v>-</v>
      </c>
      <c r="N400" s="79" t="str">
        <f>+IFERROR(VLOOKUP(CONCATENATE(A400,$C$10,C400),'ID1&amp;5'!B:J,8,FALSE),"-")</f>
        <v>-</v>
      </c>
      <c r="O400" s="78" t="str">
        <f>+IFERROR(VLOOKUP(C400,'ID1&amp;5'!K:L,2,FALSE),"-")</f>
        <v>-</v>
      </c>
      <c r="P400" s="79" t="str">
        <f>+IFERROR(VLOOKUP(CONCATENATE(A400,$C$10,C400),'ID1&amp;5'!B:J,9,FALSE),"-")</f>
        <v>-</v>
      </c>
      <c r="Q400" s="78" t="str">
        <f>+IFERROR(VLOOKUP(D400,'ID1&amp;5'!K:L,2,FALSE),"-")</f>
        <v>-</v>
      </c>
      <c r="R400" s="26" t="str">
        <f>+IFERROR(VLOOKUP(CONCATENATE(A400,$D$10,D400),'ID1&amp;5'!B:J,9,FALSE),"-")</f>
        <v>-</v>
      </c>
      <c r="S400" s="78" t="str">
        <f>+IFERROR(VLOOKUP(E400,'ID1&amp;5'!K:L,2,FALSE),"-")</f>
        <v>-</v>
      </c>
      <c r="T400" s="79" t="str">
        <f>+IFERROR(VLOOKUP(CONCATENATE(A400,$E$10,E400),'ID1&amp;5'!B:J,9,FALSE),"-")</f>
        <v>-</v>
      </c>
      <c r="U400" s="78" t="str">
        <f>+IFERROR(VLOOKUP(F400,'ID1&amp;5'!K:L,2,FALSE),"-")</f>
        <v>-</v>
      </c>
      <c r="V400" s="79" t="str">
        <f>+IFERROR(VLOOKUP(CONCATENATE(A400,$F$10,F400),'ID1&amp;5'!B:J,9,FALSE),"-")</f>
        <v>-</v>
      </c>
      <c r="W400" s="26" t="str">
        <f>+IFERROR(VLOOKUP(A400,'ID6&amp;7'!A:I,9,FALSE),"-")</f>
        <v>-</v>
      </c>
      <c r="X400" s="26" t="str">
        <f>+IFERROR(VLOOKUP(A400,'ID6&amp;7'!A:J,10,FALSE),"-")</f>
        <v>-</v>
      </c>
      <c r="Y400" s="26"/>
      <c r="Z400" s="27" t="str">
        <f t="shared" si="7"/>
        <v>Por iniciar</v>
      </c>
      <c r="AA400" s="65"/>
    </row>
    <row r="401" spans="1:27">
      <c r="A401" s="20"/>
      <c r="B401" s="60"/>
      <c r="C401" s="60"/>
      <c r="D401" s="60"/>
      <c r="E401" s="60"/>
      <c r="F401" s="60"/>
      <c r="G401" s="60"/>
      <c r="H401" s="65" t="s">
        <v>114</v>
      </c>
      <c r="I401" s="21" t="s">
        <v>1414</v>
      </c>
      <c r="J401" s="26">
        <f>+COUNTIF('ID1&amp;5'!G:G,'1. Status'!I401)</f>
        <v>0</v>
      </c>
      <c r="K401" s="79" t="str">
        <f>+IFERROR(VLOOKUP(CONCATENATE(A401,$B$10,B401),'ID1&amp;5'!B:J,8,FALSE),"-")</f>
        <v>-</v>
      </c>
      <c r="L401" s="78" t="str">
        <f>+IFERROR(VLOOKUP(B401,'ID1&amp;5'!K:L,2,FALSE),"-")</f>
        <v>-</v>
      </c>
      <c r="M401" s="79" t="str">
        <f>+IFERROR(VLOOKUP(CONCATENATE(A401,$B$10,B401),'ID1&amp;5'!B:J,9,FALSE),"-")</f>
        <v>-</v>
      </c>
      <c r="N401" s="79" t="str">
        <f>+IFERROR(VLOOKUP(CONCATENATE(A401,$C$10,C401),'ID1&amp;5'!B:J,8,FALSE),"-")</f>
        <v>-</v>
      </c>
      <c r="O401" s="78" t="str">
        <f>+IFERROR(VLOOKUP(C401,'ID1&amp;5'!K:L,2,FALSE),"-")</f>
        <v>-</v>
      </c>
      <c r="P401" s="79" t="str">
        <f>+IFERROR(VLOOKUP(CONCATENATE(A401,$C$10,C401),'ID1&amp;5'!B:J,9,FALSE),"-")</f>
        <v>-</v>
      </c>
      <c r="Q401" s="78" t="str">
        <f>+IFERROR(VLOOKUP(D401,'ID1&amp;5'!K:L,2,FALSE),"-")</f>
        <v>-</v>
      </c>
      <c r="R401" s="26" t="str">
        <f>+IFERROR(VLOOKUP(CONCATENATE(A401,$D$10,D401),'ID1&amp;5'!B:J,9,FALSE),"-")</f>
        <v>-</v>
      </c>
      <c r="S401" s="78" t="str">
        <f>+IFERROR(VLOOKUP(E401,'ID1&amp;5'!K:L,2,FALSE),"-")</f>
        <v>-</v>
      </c>
      <c r="T401" s="79" t="str">
        <f>+IFERROR(VLOOKUP(CONCATENATE(A401,$E$10,E401),'ID1&amp;5'!B:J,9,FALSE),"-")</f>
        <v>-</v>
      </c>
      <c r="U401" s="78" t="str">
        <f>+IFERROR(VLOOKUP(F401,'ID1&amp;5'!K:L,2,FALSE),"-")</f>
        <v>-</v>
      </c>
      <c r="V401" s="79" t="str">
        <f>+IFERROR(VLOOKUP(CONCATENATE(A401,$F$10,F401),'ID1&amp;5'!B:J,9,FALSE),"-")</f>
        <v>-</v>
      </c>
      <c r="W401" s="26" t="str">
        <f>+IFERROR(VLOOKUP(A401,'ID6&amp;7'!A:I,9,FALSE),"-")</f>
        <v>-</v>
      </c>
      <c r="X401" s="26" t="str">
        <f>+IFERROR(VLOOKUP(A401,'ID6&amp;7'!A:J,10,FALSE),"-")</f>
        <v>-</v>
      </c>
      <c r="Y401" s="26"/>
      <c r="Z401" s="27" t="str">
        <f t="shared" si="7"/>
        <v>Por iniciar</v>
      </c>
      <c r="AA401" s="65"/>
    </row>
    <row r="402" spans="1:27">
      <c r="A402" s="20"/>
      <c r="B402" s="60"/>
      <c r="C402" s="60"/>
      <c r="D402" s="60"/>
      <c r="E402" s="60"/>
      <c r="F402" s="60"/>
      <c r="G402" s="60"/>
      <c r="H402" s="65" t="s">
        <v>114</v>
      </c>
      <c r="I402" s="21" t="s">
        <v>1415</v>
      </c>
      <c r="J402" s="26">
        <f>+COUNTIF('ID1&amp;5'!G:G,'1. Status'!I402)</f>
        <v>1</v>
      </c>
      <c r="K402" s="79" t="str">
        <f>+IFERROR(VLOOKUP(CONCATENATE(A402,$B$10,B402),'ID1&amp;5'!B:J,8,FALSE),"-")</f>
        <v>-</v>
      </c>
      <c r="L402" s="78" t="str">
        <f>+IFERROR(VLOOKUP(B402,'ID1&amp;5'!K:L,2,FALSE),"-")</f>
        <v>-</v>
      </c>
      <c r="M402" s="79" t="str">
        <f>+IFERROR(VLOOKUP(CONCATENATE(A402,$B$10,B402),'ID1&amp;5'!B:J,9,FALSE),"-")</f>
        <v>-</v>
      </c>
      <c r="N402" s="79" t="str">
        <f>+IFERROR(VLOOKUP(CONCATENATE(A402,$C$10,C402),'ID1&amp;5'!B:J,8,FALSE),"-")</f>
        <v>-</v>
      </c>
      <c r="O402" s="78" t="str">
        <f>+IFERROR(VLOOKUP(C402,'ID1&amp;5'!K:L,2,FALSE),"-")</f>
        <v>-</v>
      </c>
      <c r="P402" s="79" t="str">
        <f>+IFERROR(VLOOKUP(CONCATENATE(A402,$C$10,C402),'ID1&amp;5'!B:J,9,FALSE),"-")</f>
        <v>-</v>
      </c>
      <c r="Q402" s="78" t="str">
        <f>+IFERROR(VLOOKUP(D402,'ID1&amp;5'!K:L,2,FALSE),"-")</f>
        <v>-</v>
      </c>
      <c r="R402" s="26" t="str">
        <f>+IFERROR(VLOOKUP(CONCATENATE(A402,$D$10,D402),'ID1&amp;5'!B:J,9,FALSE),"-")</f>
        <v>-</v>
      </c>
      <c r="S402" s="78" t="str">
        <f>+IFERROR(VLOOKUP(E402,'ID1&amp;5'!K:L,2,FALSE),"-")</f>
        <v>-</v>
      </c>
      <c r="T402" s="79" t="str">
        <f>+IFERROR(VLOOKUP(CONCATENATE(A402,$E$10,E402),'ID1&amp;5'!B:J,9,FALSE),"-")</f>
        <v>-</v>
      </c>
      <c r="U402" s="78" t="str">
        <f>+IFERROR(VLOOKUP(F402,'ID1&amp;5'!K:L,2,FALSE),"-")</f>
        <v>-</v>
      </c>
      <c r="V402" s="79" t="str">
        <f>+IFERROR(VLOOKUP(CONCATENATE(A402,$F$10,F402),'ID1&amp;5'!B:J,9,FALSE),"-")</f>
        <v>-</v>
      </c>
      <c r="W402" s="26" t="str">
        <f>+IFERROR(VLOOKUP(A402,'ID6&amp;7'!A:I,9,FALSE),"-")</f>
        <v>-</v>
      </c>
      <c r="X402" s="26" t="str">
        <f>+IFERROR(VLOOKUP(A402,'ID6&amp;7'!A:J,10,FALSE),"-")</f>
        <v>-</v>
      </c>
      <c r="Y402" s="26"/>
      <c r="Z402" s="27" t="str">
        <f t="shared" si="7"/>
        <v>Em testes</v>
      </c>
      <c r="AA402" s="65"/>
    </row>
    <row r="403" spans="1:27">
      <c r="A403" s="20"/>
      <c r="B403" s="60"/>
      <c r="C403" s="60"/>
      <c r="D403" s="60"/>
      <c r="E403" s="60"/>
      <c r="F403" s="60"/>
      <c r="G403" s="60"/>
      <c r="H403" s="65" t="s">
        <v>114</v>
      </c>
      <c r="I403" s="21" t="s">
        <v>1416</v>
      </c>
      <c r="J403" s="26">
        <f>+COUNTIF('ID1&amp;5'!G:G,'1. Status'!I403)</f>
        <v>0</v>
      </c>
      <c r="K403" s="79" t="str">
        <f>+IFERROR(VLOOKUP(CONCATENATE(A403,$B$10,B403),'ID1&amp;5'!B:J,8,FALSE),"-")</f>
        <v>-</v>
      </c>
      <c r="L403" s="78" t="str">
        <f>+IFERROR(VLOOKUP(B403,'ID1&amp;5'!K:L,2,FALSE),"-")</f>
        <v>-</v>
      </c>
      <c r="M403" s="79" t="str">
        <f>+IFERROR(VLOOKUP(CONCATENATE(A403,$B$10,B403),'ID1&amp;5'!B:J,9,FALSE),"-")</f>
        <v>-</v>
      </c>
      <c r="N403" s="79" t="str">
        <f>+IFERROR(VLOOKUP(CONCATENATE(A403,$C$10,C403),'ID1&amp;5'!B:J,8,FALSE),"-")</f>
        <v>-</v>
      </c>
      <c r="O403" s="78" t="str">
        <f>+IFERROR(VLOOKUP(C403,'ID1&amp;5'!K:L,2,FALSE),"-")</f>
        <v>-</v>
      </c>
      <c r="P403" s="79" t="str">
        <f>+IFERROR(VLOOKUP(CONCATENATE(A403,$C$10,C403),'ID1&amp;5'!B:J,9,FALSE),"-")</f>
        <v>-</v>
      </c>
      <c r="Q403" s="78" t="str">
        <f>+IFERROR(VLOOKUP(D403,'ID1&amp;5'!K:L,2,FALSE),"-")</f>
        <v>-</v>
      </c>
      <c r="R403" s="26" t="str">
        <f>+IFERROR(VLOOKUP(CONCATENATE(A403,$D$10,D403),'ID1&amp;5'!B:J,9,FALSE),"-")</f>
        <v>-</v>
      </c>
      <c r="S403" s="78" t="str">
        <f>+IFERROR(VLOOKUP(E403,'ID1&amp;5'!K:L,2,FALSE),"-")</f>
        <v>-</v>
      </c>
      <c r="T403" s="79" t="str">
        <f>+IFERROR(VLOOKUP(CONCATENATE(A403,$E$10,E403),'ID1&amp;5'!B:J,9,FALSE),"-")</f>
        <v>-</v>
      </c>
      <c r="U403" s="78" t="str">
        <f>+IFERROR(VLOOKUP(F403,'ID1&amp;5'!K:L,2,FALSE),"-")</f>
        <v>-</v>
      </c>
      <c r="V403" s="79" t="str">
        <f>+IFERROR(VLOOKUP(CONCATENATE(A403,$F$10,F403),'ID1&amp;5'!B:J,9,FALSE),"-")</f>
        <v>-</v>
      </c>
      <c r="W403" s="26" t="str">
        <f>+IFERROR(VLOOKUP(A403,'ID6&amp;7'!A:I,9,FALSE),"-")</f>
        <v>-</v>
      </c>
      <c r="X403" s="26" t="str">
        <f>+IFERROR(VLOOKUP(A403,'ID6&amp;7'!A:J,10,FALSE),"-")</f>
        <v>-</v>
      </c>
      <c r="Y403" s="26"/>
      <c r="Z403" s="27" t="str">
        <f t="shared" si="7"/>
        <v>Por iniciar</v>
      </c>
      <c r="AA403" s="65"/>
    </row>
    <row r="404" spans="1:27">
      <c r="A404" s="20"/>
      <c r="B404" s="60"/>
      <c r="C404" s="60"/>
      <c r="D404" s="60"/>
      <c r="E404" s="60"/>
      <c r="F404" s="60"/>
      <c r="G404" s="60"/>
      <c r="H404" s="65" t="s">
        <v>114</v>
      </c>
      <c r="I404" s="21" t="s">
        <v>1417</v>
      </c>
      <c r="J404" s="26">
        <f>+COUNTIF('ID1&amp;5'!G:G,'1. Status'!I404)</f>
        <v>0</v>
      </c>
      <c r="K404" s="79" t="str">
        <f>+IFERROR(VLOOKUP(CONCATENATE(A404,$B$10,B404),'ID1&amp;5'!B:J,8,FALSE),"-")</f>
        <v>-</v>
      </c>
      <c r="L404" s="78" t="str">
        <f>+IFERROR(VLOOKUP(B404,'ID1&amp;5'!K:L,2,FALSE),"-")</f>
        <v>-</v>
      </c>
      <c r="M404" s="79" t="str">
        <f>+IFERROR(VLOOKUP(CONCATENATE(A404,$B$10,B404),'ID1&amp;5'!B:J,9,FALSE),"-")</f>
        <v>-</v>
      </c>
      <c r="N404" s="79" t="str">
        <f>+IFERROR(VLOOKUP(CONCATENATE(A404,$C$10,C404),'ID1&amp;5'!B:J,8,FALSE),"-")</f>
        <v>-</v>
      </c>
      <c r="O404" s="78" t="str">
        <f>+IFERROR(VLOOKUP(C404,'ID1&amp;5'!K:L,2,FALSE),"-")</f>
        <v>-</v>
      </c>
      <c r="P404" s="79" t="str">
        <f>+IFERROR(VLOOKUP(CONCATENATE(A404,$C$10,C404),'ID1&amp;5'!B:J,9,FALSE),"-")</f>
        <v>-</v>
      </c>
      <c r="Q404" s="78" t="str">
        <f>+IFERROR(VLOOKUP(D404,'ID1&amp;5'!K:L,2,FALSE),"-")</f>
        <v>-</v>
      </c>
      <c r="R404" s="26" t="str">
        <f>+IFERROR(VLOOKUP(CONCATENATE(A404,$D$10,D404),'ID1&amp;5'!B:J,9,FALSE),"-")</f>
        <v>-</v>
      </c>
      <c r="S404" s="78" t="str">
        <f>+IFERROR(VLOOKUP(E404,'ID1&amp;5'!K:L,2,FALSE),"-")</f>
        <v>-</v>
      </c>
      <c r="T404" s="79" t="str">
        <f>+IFERROR(VLOOKUP(CONCATENATE(A404,$E$10,E404),'ID1&amp;5'!B:J,9,FALSE),"-")</f>
        <v>-</v>
      </c>
      <c r="U404" s="78" t="str">
        <f>+IFERROR(VLOOKUP(F404,'ID1&amp;5'!K:L,2,FALSE),"-")</f>
        <v>-</v>
      </c>
      <c r="V404" s="79" t="str">
        <f>+IFERROR(VLOOKUP(CONCATENATE(A404,$F$10,F404),'ID1&amp;5'!B:J,9,FALSE),"-")</f>
        <v>-</v>
      </c>
      <c r="W404" s="26" t="str">
        <f>+IFERROR(VLOOKUP(A404,'ID6&amp;7'!A:I,9,FALSE),"-")</f>
        <v>-</v>
      </c>
      <c r="X404" s="26" t="str">
        <f>+IFERROR(VLOOKUP(A404,'ID6&amp;7'!A:J,10,FALSE),"-")</f>
        <v>-</v>
      </c>
      <c r="Y404" s="26"/>
      <c r="Z404" s="27" t="str">
        <f t="shared" si="7"/>
        <v>Por iniciar</v>
      </c>
      <c r="AA404" s="65"/>
    </row>
    <row r="405" spans="1:27">
      <c r="A405" s="20"/>
      <c r="B405" s="60"/>
      <c r="C405" s="60"/>
      <c r="D405" s="60"/>
      <c r="E405" s="60"/>
      <c r="F405" s="60"/>
      <c r="G405" s="60"/>
      <c r="H405" s="65" t="s">
        <v>114</v>
      </c>
      <c r="I405" s="21" t="s">
        <v>1418</v>
      </c>
      <c r="J405" s="26">
        <f>+COUNTIF('ID1&amp;5'!G:G,'1. Status'!I405)</f>
        <v>0</v>
      </c>
      <c r="K405" s="79" t="str">
        <f>+IFERROR(VLOOKUP(CONCATENATE(A405,$B$10,B405),'ID1&amp;5'!B:J,8,FALSE),"-")</f>
        <v>-</v>
      </c>
      <c r="L405" s="78" t="str">
        <f>+IFERROR(VLOOKUP(B405,'ID1&amp;5'!K:L,2,FALSE),"-")</f>
        <v>-</v>
      </c>
      <c r="M405" s="79" t="str">
        <f>+IFERROR(VLOOKUP(CONCATENATE(A405,$B$10,B405),'ID1&amp;5'!B:J,9,FALSE),"-")</f>
        <v>-</v>
      </c>
      <c r="N405" s="79" t="str">
        <f>+IFERROR(VLOOKUP(CONCATENATE(A405,$C$10,C405),'ID1&amp;5'!B:J,8,FALSE),"-")</f>
        <v>-</v>
      </c>
      <c r="O405" s="78" t="str">
        <f>+IFERROR(VLOOKUP(C405,'ID1&amp;5'!K:L,2,FALSE),"-")</f>
        <v>-</v>
      </c>
      <c r="P405" s="79" t="str">
        <f>+IFERROR(VLOOKUP(CONCATENATE(A405,$C$10,C405),'ID1&amp;5'!B:J,9,FALSE),"-")</f>
        <v>-</v>
      </c>
      <c r="Q405" s="78" t="str">
        <f>+IFERROR(VLOOKUP(D405,'ID1&amp;5'!K:L,2,FALSE),"-")</f>
        <v>-</v>
      </c>
      <c r="R405" s="26" t="str">
        <f>+IFERROR(VLOOKUP(CONCATENATE(A405,$D$10,D405),'ID1&amp;5'!B:J,9,FALSE),"-")</f>
        <v>-</v>
      </c>
      <c r="S405" s="78" t="str">
        <f>+IFERROR(VLOOKUP(E405,'ID1&amp;5'!K:L,2,FALSE),"-")</f>
        <v>-</v>
      </c>
      <c r="T405" s="79" t="str">
        <f>+IFERROR(VLOOKUP(CONCATENATE(A405,$E$10,E405),'ID1&amp;5'!B:J,9,FALSE),"-")</f>
        <v>-</v>
      </c>
      <c r="U405" s="78" t="str">
        <f>+IFERROR(VLOOKUP(F405,'ID1&amp;5'!K:L,2,FALSE),"-")</f>
        <v>-</v>
      </c>
      <c r="V405" s="79" t="str">
        <f>+IFERROR(VLOOKUP(CONCATENATE(A405,$F$10,F405),'ID1&amp;5'!B:J,9,FALSE),"-")</f>
        <v>-</v>
      </c>
      <c r="W405" s="26" t="str">
        <f>+IFERROR(VLOOKUP(A405,'ID6&amp;7'!A:I,9,FALSE),"-")</f>
        <v>-</v>
      </c>
      <c r="X405" s="26" t="str">
        <f>+IFERROR(VLOOKUP(A405,'ID6&amp;7'!A:J,10,FALSE),"-")</f>
        <v>-</v>
      </c>
      <c r="Y405" s="26"/>
      <c r="Z405" s="27" t="str">
        <f t="shared" si="7"/>
        <v>Por iniciar</v>
      </c>
      <c r="AA405" s="65"/>
    </row>
    <row r="406" spans="1:27">
      <c r="A406" s="20"/>
      <c r="B406" s="60"/>
      <c r="C406" s="60"/>
      <c r="D406" s="60"/>
      <c r="E406" s="60"/>
      <c r="F406" s="60"/>
      <c r="G406" s="60"/>
      <c r="H406" s="65" t="s">
        <v>114</v>
      </c>
      <c r="I406" s="21" t="s">
        <v>1419</v>
      </c>
      <c r="J406" s="26">
        <f>+COUNTIF('ID1&amp;5'!G:G,'1. Status'!I406)</f>
        <v>0</v>
      </c>
      <c r="K406" s="79" t="str">
        <f>+IFERROR(VLOOKUP(CONCATENATE(A406,$B$10,B406),'ID1&amp;5'!B:J,8,FALSE),"-")</f>
        <v>-</v>
      </c>
      <c r="L406" s="78" t="str">
        <f>+IFERROR(VLOOKUP(B406,'ID1&amp;5'!K:L,2,FALSE),"-")</f>
        <v>-</v>
      </c>
      <c r="M406" s="79" t="str">
        <f>+IFERROR(VLOOKUP(CONCATENATE(A406,$B$10,B406),'ID1&amp;5'!B:J,9,FALSE),"-")</f>
        <v>-</v>
      </c>
      <c r="N406" s="79" t="str">
        <f>+IFERROR(VLOOKUP(CONCATENATE(A406,$C$10,C406),'ID1&amp;5'!B:J,8,FALSE),"-")</f>
        <v>-</v>
      </c>
      <c r="O406" s="78" t="str">
        <f>+IFERROR(VLOOKUP(C406,'ID1&amp;5'!K:L,2,FALSE),"-")</f>
        <v>-</v>
      </c>
      <c r="P406" s="79" t="str">
        <f>+IFERROR(VLOOKUP(CONCATENATE(A406,$C$10,C406),'ID1&amp;5'!B:J,9,FALSE),"-")</f>
        <v>-</v>
      </c>
      <c r="Q406" s="78" t="str">
        <f>+IFERROR(VLOOKUP(D406,'ID1&amp;5'!K:L,2,FALSE),"-")</f>
        <v>-</v>
      </c>
      <c r="R406" s="26" t="str">
        <f>+IFERROR(VLOOKUP(CONCATENATE(A406,$D$10,D406),'ID1&amp;5'!B:J,9,FALSE),"-")</f>
        <v>-</v>
      </c>
      <c r="S406" s="78" t="str">
        <f>+IFERROR(VLOOKUP(E406,'ID1&amp;5'!K:L,2,FALSE),"-")</f>
        <v>-</v>
      </c>
      <c r="T406" s="79" t="str">
        <f>+IFERROR(VLOOKUP(CONCATENATE(A406,$E$10,E406),'ID1&amp;5'!B:J,9,FALSE),"-")</f>
        <v>-</v>
      </c>
      <c r="U406" s="78" t="str">
        <f>+IFERROR(VLOOKUP(F406,'ID1&amp;5'!K:L,2,FALSE),"-")</f>
        <v>-</v>
      </c>
      <c r="V406" s="79" t="str">
        <f>+IFERROR(VLOOKUP(CONCATENATE(A406,$F$10,F406),'ID1&amp;5'!B:J,9,FALSE),"-")</f>
        <v>-</v>
      </c>
      <c r="W406" s="26" t="str">
        <f>+IFERROR(VLOOKUP(A406,'ID6&amp;7'!A:I,9,FALSE),"-")</f>
        <v>-</v>
      </c>
      <c r="X406" s="26" t="str">
        <f>+IFERROR(VLOOKUP(A406,'ID6&amp;7'!A:J,10,FALSE),"-")</f>
        <v>-</v>
      </c>
      <c r="Y406" s="26"/>
      <c r="Z406" s="27" t="str">
        <f t="shared" si="7"/>
        <v>Por iniciar</v>
      </c>
      <c r="AA406" s="65"/>
    </row>
    <row r="407" spans="1:27">
      <c r="A407" s="20"/>
      <c r="B407" s="60"/>
      <c r="C407" s="60"/>
      <c r="D407" s="60"/>
      <c r="E407" s="60"/>
      <c r="F407" s="60"/>
      <c r="G407" s="60"/>
      <c r="H407" s="65" t="s">
        <v>114</v>
      </c>
      <c r="I407" s="21" t="s">
        <v>1420</v>
      </c>
      <c r="J407" s="26">
        <f>+COUNTIF('ID1&amp;5'!G:G,'1. Status'!I407)</f>
        <v>0</v>
      </c>
      <c r="K407" s="79" t="str">
        <f>+IFERROR(VLOOKUP(CONCATENATE(A407,$B$10,B407),'ID1&amp;5'!B:J,8,FALSE),"-")</f>
        <v>-</v>
      </c>
      <c r="L407" s="78" t="str">
        <f>+IFERROR(VLOOKUP(B407,'ID1&amp;5'!K:L,2,FALSE),"-")</f>
        <v>-</v>
      </c>
      <c r="M407" s="79" t="str">
        <f>+IFERROR(VLOOKUP(CONCATENATE(A407,$B$10,B407),'ID1&amp;5'!B:J,9,FALSE),"-")</f>
        <v>-</v>
      </c>
      <c r="N407" s="79" t="str">
        <f>+IFERROR(VLOOKUP(CONCATENATE(A407,$C$10,C407),'ID1&amp;5'!B:J,8,FALSE),"-")</f>
        <v>-</v>
      </c>
      <c r="O407" s="78" t="str">
        <f>+IFERROR(VLOOKUP(C407,'ID1&amp;5'!K:L,2,FALSE),"-")</f>
        <v>-</v>
      </c>
      <c r="P407" s="79" t="str">
        <f>+IFERROR(VLOOKUP(CONCATENATE(A407,$C$10,C407),'ID1&amp;5'!B:J,9,FALSE),"-")</f>
        <v>-</v>
      </c>
      <c r="Q407" s="78" t="str">
        <f>+IFERROR(VLOOKUP(D407,'ID1&amp;5'!K:L,2,FALSE),"-")</f>
        <v>-</v>
      </c>
      <c r="R407" s="26" t="str">
        <f>+IFERROR(VLOOKUP(CONCATENATE(A407,$D$10,D407),'ID1&amp;5'!B:J,9,FALSE),"-")</f>
        <v>-</v>
      </c>
      <c r="S407" s="78" t="str">
        <f>+IFERROR(VLOOKUP(E407,'ID1&amp;5'!K:L,2,FALSE),"-")</f>
        <v>-</v>
      </c>
      <c r="T407" s="79" t="str">
        <f>+IFERROR(VLOOKUP(CONCATENATE(A407,$E$10,E407),'ID1&amp;5'!B:J,9,FALSE),"-")</f>
        <v>-</v>
      </c>
      <c r="U407" s="78" t="str">
        <f>+IFERROR(VLOOKUP(F407,'ID1&amp;5'!K:L,2,FALSE),"-")</f>
        <v>-</v>
      </c>
      <c r="V407" s="79" t="str">
        <f>+IFERROR(VLOOKUP(CONCATENATE(A407,$F$10,F407),'ID1&amp;5'!B:J,9,FALSE),"-")</f>
        <v>-</v>
      </c>
      <c r="W407" s="26" t="str">
        <f>+IFERROR(VLOOKUP(A407,'ID6&amp;7'!A:I,9,FALSE),"-")</f>
        <v>-</v>
      </c>
      <c r="X407" s="26" t="str">
        <f>+IFERROR(VLOOKUP(A407,'ID6&amp;7'!A:J,10,FALSE),"-")</f>
        <v>-</v>
      </c>
      <c r="Y407" s="26"/>
      <c r="Z407" s="27" t="str">
        <f t="shared" si="7"/>
        <v>Por iniciar</v>
      </c>
      <c r="AA407" s="65"/>
    </row>
    <row r="408" spans="1:27">
      <c r="A408" s="20"/>
      <c r="B408" s="60"/>
      <c r="C408" s="60"/>
      <c r="D408" s="60"/>
      <c r="E408" s="60"/>
      <c r="F408" s="60"/>
      <c r="G408" s="60"/>
      <c r="H408" s="65" t="s">
        <v>114</v>
      </c>
      <c r="I408" s="21" t="s">
        <v>1421</v>
      </c>
      <c r="J408" s="26">
        <f>+COUNTIF('ID1&amp;5'!G:G,'1. Status'!I408)</f>
        <v>0</v>
      </c>
      <c r="K408" s="79" t="str">
        <f>+IFERROR(VLOOKUP(CONCATENATE(A408,$B$10,B408),'ID1&amp;5'!B:J,8,FALSE),"-")</f>
        <v>-</v>
      </c>
      <c r="L408" s="78" t="str">
        <f>+IFERROR(VLOOKUP(B408,'ID1&amp;5'!K:L,2,FALSE),"-")</f>
        <v>-</v>
      </c>
      <c r="M408" s="79" t="str">
        <f>+IFERROR(VLOOKUP(CONCATENATE(A408,$B$10,B408),'ID1&amp;5'!B:J,9,FALSE),"-")</f>
        <v>-</v>
      </c>
      <c r="N408" s="79" t="str">
        <f>+IFERROR(VLOOKUP(CONCATENATE(A408,$C$10,C408),'ID1&amp;5'!B:J,8,FALSE),"-")</f>
        <v>-</v>
      </c>
      <c r="O408" s="78" t="str">
        <f>+IFERROR(VLOOKUP(C408,'ID1&amp;5'!K:L,2,FALSE),"-")</f>
        <v>-</v>
      </c>
      <c r="P408" s="79" t="str">
        <f>+IFERROR(VLOOKUP(CONCATENATE(A408,$C$10,C408),'ID1&amp;5'!B:J,9,FALSE),"-")</f>
        <v>-</v>
      </c>
      <c r="Q408" s="78" t="str">
        <f>+IFERROR(VLOOKUP(D408,'ID1&amp;5'!K:L,2,FALSE),"-")</f>
        <v>-</v>
      </c>
      <c r="R408" s="26" t="str">
        <f>+IFERROR(VLOOKUP(CONCATENATE(A408,$D$10,D408),'ID1&amp;5'!B:J,9,FALSE),"-")</f>
        <v>-</v>
      </c>
      <c r="S408" s="78" t="str">
        <f>+IFERROR(VLOOKUP(E408,'ID1&amp;5'!K:L,2,FALSE),"-")</f>
        <v>-</v>
      </c>
      <c r="T408" s="79" t="str">
        <f>+IFERROR(VLOOKUP(CONCATENATE(A408,$E$10,E408),'ID1&amp;5'!B:J,9,FALSE),"-")</f>
        <v>-</v>
      </c>
      <c r="U408" s="78" t="str">
        <f>+IFERROR(VLOOKUP(F408,'ID1&amp;5'!K:L,2,FALSE),"-")</f>
        <v>-</v>
      </c>
      <c r="V408" s="79" t="str">
        <f>+IFERROR(VLOOKUP(CONCATENATE(A408,$F$10,F408),'ID1&amp;5'!B:J,9,FALSE),"-")</f>
        <v>-</v>
      </c>
      <c r="W408" s="26" t="str">
        <f>+IFERROR(VLOOKUP(A408,'ID6&amp;7'!A:I,9,FALSE),"-")</f>
        <v>-</v>
      </c>
      <c r="X408" s="26" t="str">
        <f>+IFERROR(VLOOKUP(A408,'ID6&amp;7'!A:J,10,FALSE),"-")</f>
        <v>-</v>
      </c>
      <c r="Y408" s="26"/>
      <c r="Z408" s="27" t="str">
        <f t="shared" si="7"/>
        <v>Por iniciar</v>
      </c>
      <c r="AA408" s="65"/>
    </row>
    <row r="409" spans="1:27">
      <c r="A409" s="20"/>
      <c r="B409" s="60"/>
      <c r="C409" s="60"/>
      <c r="D409" s="60"/>
      <c r="E409" s="60"/>
      <c r="F409" s="60"/>
      <c r="G409" s="60"/>
      <c r="H409" s="65" t="s">
        <v>114</v>
      </c>
      <c r="I409" s="21" t="s">
        <v>1422</v>
      </c>
      <c r="J409" s="26">
        <f>+COUNTIF('ID1&amp;5'!G:G,'1. Status'!I409)</f>
        <v>0</v>
      </c>
      <c r="K409" s="79" t="str">
        <f>+IFERROR(VLOOKUP(CONCATENATE(A409,$B$10,B409),'ID1&amp;5'!B:J,8,FALSE),"-")</f>
        <v>-</v>
      </c>
      <c r="L409" s="78" t="str">
        <f>+IFERROR(VLOOKUP(B409,'ID1&amp;5'!K:L,2,FALSE),"-")</f>
        <v>-</v>
      </c>
      <c r="M409" s="79" t="str">
        <f>+IFERROR(VLOOKUP(CONCATENATE(A409,$B$10,B409),'ID1&amp;5'!B:J,9,FALSE),"-")</f>
        <v>-</v>
      </c>
      <c r="N409" s="79" t="str">
        <f>+IFERROR(VLOOKUP(CONCATENATE(A409,$C$10,C409),'ID1&amp;5'!B:J,8,FALSE),"-")</f>
        <v>-</v>
      </c>
      <c r="O409" s="78" t="str">
        <f>+IFERROR(VLOOKUP(C409,'ID1&amp;5'!K:L,2,FALSE),"-")</f>
        <v>-</v>
      </c>
      <c r="P409" s="79" t="str">
        <f>+IFERROR(VLOOKUP(CONCATENATE(A409,$C$10,C409),'ID1&amp;5'!B:J,9,FALSE),"-")</f>
        <v>-</v>
      </c>
      <c r="Q409" s="78" t="str">
        <f>+IFERROR(VLOOKUP(D409,'ID1&amp;5'!K:L,2,FALSE),"-")</f>
        <v>-</v>
      </c>
      <c r="R409" s="26" t="str">
        <f>+IFERROR(VLOOKUP(CONCATENATE(A409,$D$10,D409),'ID1&amp;5'!B:J,9,FALSE),"-")</f>
        <v>-</v>
      </c>
      <c r="S409" s="78" t="str">
        <f>+IFERROR(VLOOKUP(E409,'ID1&amp;5'!K:L,2,FALSE),"-")</f>
        <v>-</v>
      </c>
      <c r="T409" s="79" t="str">
        <f>+IFERROR(VLOOKUP(CONCATENATE(A409,$E$10,E409),'ID1&amp;5'!B:J,9,FALSE),"-")</f>
        <v>-</v>
      </c>
      <c r="U409" s="78" t="str">
        <f>+IFERROR(VLOOKUP(F409,'ID1&amp;5'!K:L,2,FALSE),"-")</f>
        <v>-</v>
      </c>
      <c r="V409" s="79" t="str">
        <f>+IFERROR(VLOOKUP(CONCATENATE(A409,$F$10,F409),'ID1&amp;5'!B:J,9,FALSE),"-")</f>
        <v>-</v>
      </c>
      <c r="W409" s="26" t="str">
        <f>+IFERROR(VLOOKUP(A409,'ID6&amp;7'!A:I,9,FALSE),"-")</f>
        <v>-</v>
      </c>
      <c r="X409" s="26" t="str">
        <f>+IFERROR(VLOOKUP(A409,'ID6&amp;7'!A:J,10,FALSE),"-")</f>
        <v>-</v>
      </c>
      <c r="Y409" s="26"/>
      <c r="Z409" s="27" t="str">
        <f t="shared" si="7"/>
        <v>Por iniciar</v>
      </c>
      <c r="AA409" s="65"/>
    </row>
    <row r="410" spans="1:27">
      <c r="A410" s="20"/>
      <c r="B410" s="60"/>
      <c r="C410" s="60"/>
      <c r="D410" s="60"/>
      <c r="E410" s="60"/>
      <c r="F410" s="60"/>
      <c r="G410" s="60"/>
      <c r="H410" s="65" t="s">
        <v>114</v>
      </c>
      <c r="I410" s="21" t="s">
        <v>1423</v>
      </c>
      <c r="J410" s="26">
        <f>+COUNTIF('ID1&amp;5'!G:G,'1. Status'!I410)</f>
        <v>0</v>
      </c>
      <c r="K410" s="79" t="str">
        <f>+IFERROR(VLOOKUP(CONCATENATE(A410,$B$10,B410),'ID1&amp;5'!B:J,8,FALSE),"-")</f>
        <v>-</v>
      </c>
      <c r="L410" s="78" t="str">
        <f>+IFERROR(VLOOKUP(B410,'ID1&amp;5'!K:L,2,FALSE),"-")</f>
        <v>-</v>
      </c>
      <c r="M410" s="79" t="str">
        <f>+IFERROR(VLOOKUP(CONCATENATE(A410,$B$10,B410),'ID1&amp;5'!B:J,9,FALSE),"-")</f>
        <v>-</v>
      </c>
      <c r="N410" s="79" t="str">
        <f>+IFERROR(VLOOKUP(CONCATENATE(A410,$C$10,C410),'ID1&amp;5'!B:J,8,FALSE),"-")</f>
        <v>-</v>
      </c>
      <c r="O410" s="78" t="str">
        <f>+IFERROR(VLOOKUP(C410,'ID1&amp;5'!K:L,2,FALSE),"-")</f>
        <v>-</v>
      </c>
      <c r="P410" s="79" t="str">
        <f>+IFERROR(VLOOKUP(CONCATENATE(A410,$C$10,C410),'ID1&amp;5'!B:J,9,FALSE),"-")</f>
        <v>-</v>
      </c>
      <c r="Q410" s="78" t="str">
        <f>+IFERROR(VLOOKUP(D410,'ID1&amp;5'!K:L,2,FALSE),"-")</f>
        <v>-</v>
      </c>
      <c r="R410" s="26" t="str">
        <f>+IFERROR(VLOOKUP(CONCATENATE(A410,$D$10,D410),'ID1&amp;5'!B:J,9,FALSE),"-")</f>
        <v>-</v>
      </c>
      <c r="S410" s="78" t="str">
        <f>+IFERROR(VLOOKUP(E410,'ID1&amp;5'!K:L,2,FALSE),"-")</f>
        <v>-</v>
      </c>
      <c r="T410" s="79" t="str">
        <f>+IFERROR(VLOOKUP(CONCATENATE(A410,$E$10,E410),'ID1&amp;5'!B:J,9,FALSE),"-")</f>
        <v>-</v>
      </c>
      <c r="U410" s="78" t="str">
        <f>+IFERROR(VLOOKUP(F410,'ID1&amp;5'!K:L,2,FALSE),"-")</f>
        <v>-</v>
      </c>
      <c r="V410" s="79" t="str">
        <f>+IFERROR(VLOOKUP(CONCATENATE(A410,$F$10,F410),'ID1&amp;5'!B:J,9,FALSE),"-")</f>
        <v>-</v>
      </c>
      <c r="W410" s="26" t="str">
        <f>+IFERROR(VLOOKUP(A410,'ID6&amp;7'!A:I,9,FALSE),"-")</f>
        <v>-</v>
      </c>
      <c r="X410" s="26" t="str">
        <f>+IFERROR(VLOOKUP(A410,'ID6&amp;7'!A:J,10,FALSE),"-")</f>
        <v>-</v>
      </c>
      <c r="Y410" s="26"/>
      <c r="Z410" s="27" t="str">
        <f t="shared" si="7"/>
        <v>Por iniciar</v>
      </c>
      <c r="AA410" s="65"/>
    </row>
    <row r="411" spans="1:27">
      <c r="A411" s="20"/>
      <c r="B411" s="60"/>
      <c r="C411" s="60"/>
      <c r="D411" s="60"/>
      <c r="E411" s="60"/>
      <c r="F411" s="60"/>
      <c r="G411" s="60"/>
      <c r="H411" s="65" t="s">
        <v>114</v>
      </c>
      <c r="I411" s="21" t="s">
        <v>1424</v>
      </c>
      <c r="J411" s="26">
        <f>+COUNTIF('ID1&amp;5'!G:G,'1. Status'!I411)</f>
        <v>0</v>
      </c>
      <c r="K411" s="79" t="str">
        <f>+IFERROR(VLOOKUP(CONCATENATE(A411,$B$10,B411),'ID1&amp;5'!B:J,8,FALSE),"-")</f>
        <v>-</v>
      </c>
      <c r="L411" s="78" t="str">
        <f>+IFERROR(VLOOKUP(B411,'ID1&amp;5'!K:L,2,FALSE),"-")</f>
        <v>-</v>
      </c>
      <c r="M411" s="79" t="str">
        <f>+IFERROR(VLOOKUP(CONCATENATE(A411,$B$10,B411),'ID1&amp;5'!B:J,9,FALSE),"-")</f>
        <v>-</v>
      </c>
      <c r="N411" s="79" t="str">
        <f>+IFERROR(VLOOKUP(CONCATENATE(A411,$C$10,C411),'ID1&amp;5'!B:J,8,FALSE),"-")</f>
        <v>-</v>
      </c>
      <c r="O411" s="78" t="str">
        <f>+IFERROR(VLOOKUP(C411,'ID1&amp;5'!K:L,2,FALSE),"-")</f>
        <v>-</v>
      </c>
      <c r="P411" s="79" t="str">
        <f>+IFERROR(VLOOKUP(CONCATENATE(A411,$C$10,C411),'ID1&amp;5'!B:J,9,FALSE),"-")</f>
        <v>-</v>
      </c>
      <c r="Q411" s="78" t="str">
        <f>+IFERROR(VLOOKUP(D411,'ID1&amp;5'!K:L,2,FALSE),"-")</f>
        <v>-</v>
      </c>
      <c r="R411" s="26" t="str">
        <f>+IFERROR(VLOOKUP(CONCATENATE(A411,$D$10,D411),'ID1&amp;5'!B:J,9,FALSE),"-")</f>
        <v>-</v>
      </c>
      <c r="S411" s="78" t="str">
        <f>+IFERROR(VLOOKUP(E411,'ID1&amp;5'!K:L,2,FALSE),"-")</f>
        <v>-</v>
      </c>
      <c r="T411" s="79" t="str">
        <f>+IFERROR(VLOOKUP(CONCATENATE(A411,$E$10,E411),'ID1&amp;5'!B:J,9,FALSE),"-")</f>
        <v>-</v>
      </c>
      <c r="U411" s="78" t="str">
        <f>+IFERROR(VLOOKUP(F411,'ID1&amp;5'!K:L,2,FALSE),"-")</f>
        <v>-</v>
      </c>
      <c r="V411" s="79" t="str">
        <f>+IFERROR(VLOOKUP(CONCATENATE(A411,$F$10,F411),'ID1&amp;5'!B:J,9,FALSE),"-")</f>
        <v>-</v>
      </c>
      <c r="W411" s="26" t="str">
        <f>+IFERROR(VLOOKUP(A411,'ID6&amp;7'!A:I,9,FALSE),"-")</f>
        <v>-</v>
      </c>
      <c r="X411" s="26" t="str">
        <f>+IFERROR(VLOOKUP(A411,'ID6&amp;7'!A:J,10,FALSE),"-")</f>
        <v>-</v>
      </c>
      <c r="Y411" s="26"/>
      <c r="Z411" s="27" t="str">
        <f t="shared" si="7"/>
        <v>Por iniciar</v>
      </c>
      <c r="AA411" s="65"/>
    </row>
    <row r="412" spans="1:27">
      <c r="A412" s="20"/>
      <c r="B412" s="60"/>
      <c r="C412" s="60"/>
      <c r="D412" s="60"/>
      <c r="E412" s="60"/>
      <c r="F412" s="60"/>
      <c r="G412" s="60"/>
      <c r="H412" s="65" t="s">
        <v>114</v>
      </c>
      <c r="I412" s="21" t="s">
        <v>1425</v>
      </c>
      <c r="J412" s="26">
        <f>+COUNTIF('ID1&amp;5'!G:G,'1. Status'!I412)</f>
        <v>0</v>
      </c>
      <c r="K412" s="79" t="str">
        <f>+IFERROR(VLOOKUP(CONCATENATE(A412,$B$10,B412),'ID1&amp;5'!B:J,8,FALSE),"-")</f>
        <v>-</v>
      </c>
      <c r="L412" s="78" t="str">
        <f>+IFERROR(VLOOKUP(B412,'ID1&amp;5'!K:L,2,FALSE),"-")</f>
        <v>-</v>
      </c>
      <c r="M412" s="79" t="str">
        <f>+IFERROR(VLOOKUP(CONCATENATE(A412,$B$10,B412),'ID1&amp;5'!B:J,9,FALSE),"-")</f>
        <v>-</v>
      </c>
      <c r="N412" s="79" t="str">
        <f>+IFERROR(VLOOKUP(CONCATENATE(A412,$C$10,C412),'ID1&amp;5'!B:J,8,FALSE),"-")</f>
        <v>-</v>
      </c>
      <c r="O412" s="78" t="str">
        <f>+IFERROR(VLOOKUP(C412,'ID1&amp;5'!K:L,2,FALSE),"-")</f>
        <v>-</v>
      </c>
      <c r="P412" s="79" t="str">
        <f>+IFERROR(VLOOKUP(CONCATENATE(A412,$C$10,C412),'ID1&amp;5'!B:J,9,FALSE),"-")</f>
        <v>-</v>
      </c>
      <c r="Q412" s="78" t="str">
        <f>+IFERROR(VLOOKUP(D412,'ID1&amp;5'!K:L,2,FALSE),"-")</f>
        <v>-</v>
      </c>
      <c r="R412" s="26" t="str">
        <f>+IFERROR(VLOOKUP(CONCATENATE(A412,$D$10,D412),'ID1&amp;5'!B:J,9,FALSE),"-")</f>
        <v>-</v>
      </c>
      <c r="S412" s="78" t="str">
        <f>+IFERROR(VLOOKUP(E412,'ID1&amp;5'!K:L,2,FALSE),"-")</f>
        <v>-</v>
      </c>
      <c r="T412" s="79" t="str">
        <f>+IFERROR(VLOOKUP(CONCATENATE(A412,$E$10,E412),'ID1&amp;5'!B:J,9,FALSE),"-")</f>
        <v>-</v>
      </c>
      <c r="U412" s="78" t="str">
        <f>+IFERROR(VLOOKUP(F412,'ID1&amp;5'!K:L,2,FALSE),"-")</f>
        <v>-</v>
      </c>
      <c r="V412" s="79" t="str">
        <f>+IFERROR(VLOOKUP(CONCATENATE(A412,$F$10,F412),'ID1&amp;5'!B:J,9,FALSE),"-")</f>
        <v>-</v>
      </c>
      <c r="W412" s="26" t="str">
        <f>+IFERROR(VLOOKUP(A412,'ID6&amp;7'!A:I,9,FALSE),"-")</f>
        <v>-</v>
      </c>
      <c r="X412" s="26" t="str">
        <f>+IFERROR(VLOOKUP(A412,'ID6&amp;7'!A:J,10,FALSE),"-")</f>
        <v>-</v>
      </c>
      <c r="Y412" s="26"/>
      <c r="Z412" s="27" t="str">
        <f t="shared" si="7"/>
        <v>Por iniciar</v>
      </c>
      <c r="AA412" s="65"/>
    </row>
    <row r="413" spans="1:27">
      <c r="A413" s="20"/>
      <c r="B413" s="60"/>
      <c r="C413" s="60"/>
      <c r="D413" s="60"/>
      <c r="E413" s="60"/>
      <c r="F413" s="60"/>
      <c r="G413" s="60"/>
      <c r="H413" s="65" t="s">
        <v>114</v>
      </c>
      <c r="I413" s="21" t="s">
        <v>1155</v>
      </c>
      <c r="J413" s="26">
        <f>+COUNTIF('ID1&amp;5'!G:G,'1. Status'!I413)</f>
        <v>1</v>
      </c>
      <c r="K413" s="79" t="str">
        <f>+IFERROR(VLOOKUP(CONCATENATE(A413,$B$10,B413),'ID1&amp;5'!B:J,8,FALSE),"-")</f>
        <v>-</v>
      </c>
      <c r="L413" s="78" t="str">
        <f>+IFERROR(VLOOKUP(B413,'ID1&amp;5'!K:L,2,FALSE),"-")</f>
        <v>-</v>
      </c>
      <c r="M413" s="79" t="str">
        <f>+IFERROR(VLOOKUP(CONCATENATE(A413,$B$10,B413),'ID1&amp;5'!B:J,9,FALSE),"-")</f>
        <v>-</v>
      </c>
      <c r="N413" s="79" t="str">
        <f>+IFERROR(VLOOKUP(CONCATENATE(A413,$C$10,C413),'ID1&amp;5'!B:J,8,FALSE),"-")</f>
        <v>-</v>
      </c>
      <c r="O413" s="78" t="str">
        <f>+IFERROR(VLOOKUP(C413,'ID1&amp;5'!K:L,2,FALSE),"-")</f>
        <v>-</v>
      </c>
      <c r="P413" s="79" t="str">
        <f>+IFERROR(VLOOKUP(CONCATENATE(A413,$C$10,C413),'ID1&amp;5'!B:J,9,FALSE),"-")</f>
        <v>-</v>
      </c>
      <c r="Q413" s="78" t="str">
        <f>+IFERROR(VLOOKUP(D413,'ID1&amp;5'!K:L,2,FALSE),"-")</f>
        <v>-</v>
      </c>
      <c r="R413" s="26" t="str">
        <f>+IFERROR(VLOOKUP(CONCATENATE(A413,$D$10,D413),'ID1&amp;5'!B:J,9,FALSE),"-")</f>
        <v>-</v>
      </c>
      <c r="S413" s="78" t="str">
        <f>+IFERROR(VLOOKUP(E413,'ID1&amp;5'!K:L,2,FALSE),"-")</f>
        <v>-</v>
      </c>
      <c r="T413" s="79" t="str">
        <f>+IFERROR(VLOOKUP(CONCATENATE(A413,$E$10,E413),'ID1&amp;5'!B:J,9,FALSE),"-")</f>
        <v>-</v>
      </c>
      <c r="U413" s="78" t="str">
        <f>+IFERROR(VLOOKUP(F413,'ID1&amp;5'!K:L,2,FALSE),"-")</f>
        <v>-</v>
      </c>
      <c r="V413" s="79" t="str">
        <f>+IFERROR(VLOOKUP(CONCATENATE(A413,$F$10,F413),'ID1&amp;5'!B:J,9,FALSE),"-")</f>
        <v>-</v>
      </c>
      <c r="W413" s="26" t="str">
        <f>+IFERROR(VLOOKUP(A413,'ID6&amp;7'!A:I,9,FALSE),"-")</f>
        <v>-</v>
      </c>
      <c r="X413" s="26" t="str">
        <f>+IFERROR(VLOOKUP(A413,'ID6&amp;7'!A:J,10,FALSE),"-")</f>
        <v>-</v>
      </c>
      <c r="Y413" s="26"/>
      <c r="Z413" s="27" t="str">
        <f t="shared" si="7"/>
        <v>Em testes</v>
      </c>
      <c r="AA413" s="65"/>
    </row>
    <row r="414" spans="1:27">
      <c r="A414" s="20"/>
      <c r="B414" s="60"/>
      <c r="C414" s="60"/>
      <c r="D414" s="60"/>
      <c r="E414" s="60"/>
      <c r="F414" s="60"/>
      <c r="G414" s="60"/>
      <c r="H414" s="65" t="s">
        <v>114</v>
      </c>
      <c r="I414" s="21" t="s">
        <v>1426</v>
      </c>
      <c r="J414" s="26">
        <f>+COUNTIF('ID1&amp;5'!G:G,'1. Status'!I414)</f>
        <v>0</v>
      </c>
      <c r="K414" s="79" t="str">
        <f>+IFERROR(VLOOKUP(CONCATENATE(A414,$B$10,B414),'ID1&amp;5'!B:J,8,FALSE),"-")</f>
        <v>-</v>
      </c>
      <c r="L414" s="78" t="str">
        <f>+IFERROR(VLOOKUP(B414,'ID1&amp;5'!K:L,2,FALSE),"-")</f>
        <v>-</v>
      </c>
      <c r="M414" s="79" t="str">
        <f>+IFERROR(VLOOKUP(CONCATENATE(A414,$B$10,B414),'ID1&amp;5'!B:J,9,FALSE),"-")</f>
        <v>-</v>
      </c>
      <c r="N414" s="79" t="str">
        <f>+IFERROR(VLOOKUP(CONCATENATE(A414,$C$10,C414),'ID1&amp;5'!B:J,8,FALSE),"-")</f>
        <v>-</v>
      </c>
      <c r="O414" s="78" t="str">
        <f>+IFERROR(VLOOKUP(C414,'ID1&amp;5'!K:L,2,FALSE),"-")</f>
        <v>-</v>
      </c>
      <c r="P414" s="79" t="str">
        <f>+IFERROR(VLOOKUP(CONCATENATE(A414,$C$10,C414),'ID1&amp;5'!B:J,9,FALSE),"-")</f>
        <v>-</v>
      </c>
      <c r="Q414" s="78" t="str">
        <f>+IFERROR(VLOOKUP(D414,'ID1&amp;5'!K:L,2,FALSE),"-")</f>
        <v>-</v>
      </c>
      <c r="R414" s="26" t="str">
        <f>+IFERROR(VLOOKUP(CONCATENATE(A414,$D$10,D414),'ID1&amp;5'!B:J,9,FALSE),"-")</f>
        <v>-</v>
      </c>
      <c r="S414" s="78" t="str">
        <f>+IFERROR(VLOOKUP(E414,'ID1&amp;5'!K:L,2,FALSE),"-")</f>
        <v>-</v>
      </c>
      <c r="T414" s="79" t="str">
        <f>+IFERROR(VLOOKUP(CONCATENATE(A414,$E$10,E414),'ID1&amp;5'!B:J,9,FALSE),"-")</f>
        <v>-</v>
      </c>
      <c r="U414" s="78" t="str">
        <f>+IFERROR(VLOOKUP(F414,'ID1&amp;5'!K:L,2,FALSE),"-")</f>
        <v>-</v>
      </c>
      <c r="V414" s="79" t="str">
        <f>+IFERROR(VLOOKUP(CONCATENATE(A414,$F$10,F414),'ID1&amp;5'!B:J,9,FALSE),"-")</f>
        <v>-</v>
      </c>
      <c r="W414" s="26" t="str">
        <f>+IFERROR(VLOOKUP(A414,'ID6&amp;7'!A:I,9,FALSE),"-")</f>
        <v>-</v>
      </c>
      <c r="X414" s="26" t="str">
        <f>+IFERROR(VLOOKUP(A414,'ID6&amp;7'!A:J,10,FALSE),"-")</f>
        <v>-</v>
      </c>
      <c r="Y414" s="26"/>
      <c r="Z414" s="27" t="str">
        <f t="shared" si="7"/>
        <v>Por iniciar</v>
      </c>
      <c r="AA414" s="65"/>
    </row>
    <row r="415" spans="1:27">
      <c r="A415" s="20"/>
      <c r="B415" s="60"/>
      <c r="C415" s="60"/>
      <c r="D415" s="60"/>
      <c r="E415" s="60"/>
      <c r="F415" s="60"/>
      <c r="G415" s="60"/>
      <c r="H415" s="65" t="s">
        <v>114</v>
      </c>
      <c r="I415" s="21" t="s">
        <v>1427</v>
      </c>
      <c r="J415" s="26">
        <f>+COUNTIF('ID1&amp;5'!G:G,'1. Status'!I415)</f>
        <v>0</v>
      </c>
      <c r="K415" s="79" t="str">
        <f>+IFERROR(VLOOKUP(CONCATENATE(A415,$B$10,B415),'ID1&amp;5'!B:J,8,FALSE),"-")</f>
        <v>-</v>
      </c>
      <c r="L415" s="78" t="str">
        <f>+IFERROR(VLOOKUP(B415,'ID1&amp;5'!K:L,2,FALSE),"-")</f>
        <v>-</v>
      </c>
      <c r="M415" s="79" t="str">
        <f>+IFERROR(VLOOKUP(CONCATENATE(A415,$B$10,B415),'ID1&amp;5'!B:J,9,FALSE),"-")</f>
        <v>-</v>
      </c>
      <c r="N415" s="79" t="str">
        <f>+IFERROR(VLOOKUP(CONCATENATE(A415,$C$10,C415),'ID1&amp;5'!B:J,8,FALSE),"-")</f>
        <v>-</v>
      </c>
      <c r="O415" s="78" t="str">
        <f>+IFERROR(VLOOKUP(C415,'ID1&amp;5'!K:L,2,FALSE),"-")</f>
        <v>-</v>
      </c>
      <c r="P415" s="79" t="str">
        <f>+IFERROR(VLOOKUP(CONCATENATE(A415,$C$10,C415),'ID1&amp;5'!B:J,9,FALSE),"-")</f>
        <v>-</v>
      </c>
      <c r="Q415" s="78" t="str">
        <f>+IFERROR(VLOOKUP(D415,'ID1&amp;5'!K:L,2,FALSE),"-")</f>
        <v>-</v>
      </c>
      <c r="R415" s="26" t="str">
        <f>+IFERROR(VLOOKUP(CONCATENATE(A415,$D$10,D415),'ID1&amp;5'!B:J,9,FALSE),"-")</f>
        <v>-</v>
      </c>
      <c r="S415" s="78" t="str">
        <f>+IFERROR(VLOOKUP(E415,'ID1&amp;5'!K:L,2,FALSE),"-")</f>
        <v>-</v>
      </c>
      <c r="T415" s="79" t="str">
        <f>+IFERROR(VLOOKUP(CONCATENATE(A415,$E$10,E415),'ID1&amp;5'!B:J,9,FALSE),"-")</f>
        <v>-</v>
      </c>
      <c r="U415" s="78" t="str">
        <f>+IFERROR(VLOOKUP(F415,'ID1&amp;5'!K:L,2,FALSE),"-")</f>
        <v>-</v>
      </c>
      <c r="V415" s="79" t="str">
        <f>+IFERROR(VLOOKUP(CONCATENATE(A415,$F$10,F415),'ID1&amp;5'!B:J,9,FALSE),"-")</f>
        <v>-</v>
      </c>
      <c r="W415" s="26" t="str">
        <f>+IFERROR(VLOOKUP(A415,'ID6&amp;7'!A:I,9,FALSE),"-")</f>
        <v>-</v>
      </c>
      <c r="X415" s="26" t="str">
        <f>+IFERROR(VLOOKUP(A415,'ID6&amp;7'!A:J,10,FALSE),"-")</f>
        <v>-</v>
      </c>
      <c r="Y415" s="26"/>
      <c r="Z415" s="27" t="str">
        <f t="shared" si="7"/>
        <v>Por iniciar</v>
      </c>
      <c r="AA415" s="65"/>
    </row>
    <row r="416" spans="1:27">
      <c r="A416" s="20"/>
      <c r="B416" s="60"/>
      <c r="C416" s="60"/>
      <c r="D416" s="60"/>
      <c r="E416" s="60"/>
      <c r="F416" s="60"/>
      <c r="G416" s="60"/>
      <c r="H416" s="65" t="s">
        <v>114</v>
      </c>
      <c r="I416" s="21" t="s">
        <v>1428</v>
      </c>
      <c r="J416" s="26">
        <f>+COUNTIF('ID1&amp;5'!G:G,'1. Status'!I416)</f>
        <v>0</v>
      </c>
      <c r="K416" s="79" t="str">
        <f>+IFERROR(VLOOKUP(CONCATENATE(A416,$B$10,B416),'ID1&amp;5'!B:J,8,FALSE),"-")</f>
        <v>-</v>
      </c>
      <c r="L416" s="78" t="str">
        <f>+IFERROR(VLOOKUP(B416,'ID1&amp;5'!K:L,2,FALSE),"-")</f>
        <v>-</v>
      </c>
      <c r="M416" s="79" t="str">
        <f>+IFERROR(VLOOKUP(CONCATENATE(A416,$B$10,B416),'ID1&amp;5'!B:J,9,FALSE),"-")</f>
        <v>-</v>
      </c>
      <c r="N416" s="79" t="str">
        <f>+IFERROR(VLOOKUP(CONCATENATE(A416,$C$10,C416),'ID1&amp;5'!B:J,8,FALSE),"-")</f>
        <v>-</v>
      </c>
      <c r="O416" s="78" t="str">
        <f>+IFERROR(VLOOKUP(C416,'ID1&amp;5'!K:L,2,FALSE),"-")</f>
        <v>-</v>
      </c>
      <c r="P416" s="79" t="str">
        <f>+IFERROR(VLOOKUP(CONCATENATE(A416,$C$10,C416),'ID1&amp;5'!B:J,9,FALSE),"-")</f>
        <v>-</v>
      </c>
      <c r="Q416" s="78" t="str">
        <f>+IFERROR(VLOOKUP(D416,'ID1&amp;5'!K:L,2,FALSE),"-")</f>
        <v>-</v>
      </c>
      <c r="R416" s="26" t="str">
        <f>+IFERROR(VLOOKUP(CONCATENATE(A416,$D$10,D416),'ID1&amp;5'!B:J,9,FALSE),"-")</f>
        <v>-</v>
      </c>
      <c r="S416" s="78" t="str">
        <f>+IFERROR(VLOOKUP(E416,'ID1&amp;5'!K:L,2,FALSE),"-")</f>
        <v>-</v>
      </c>
      <c r="T416" s="79" t="str">
        <f>+IFERROR(VLOOKUP(CONCATENATE(A416,$E$10,E416),'ID1&amp;5'!B:J,9,FALSE),"-")</f>
        <v>-</v>
      </c>
      <c r="U416" s="78" t="str">
        <f>+IFERROR(VLOOKUP(F416,'ID1&amp;5'!K:L,2,FALSE),"-")</f>
        <v>-</v>
      </c>
      <c r="V416" s="79" t="str">
        <f>+IFERROR(VLOOKUP(CONCATENATE(A416,$F$10,F416),'ID1&amp;5'!B:J,9,FALSE),"-")</f>
        <v>-</v>
      </c>
      <c r="W416" s="26" t="str">
        <f>+IFERROR(VLOOKUP(A416,'ID6&amp;7'!A:I,9,FALSE),"-")</f>
        <v>-</v>
      </c>
      <c r="X416" s="26" t="str">
        <f>+IFERROR(VLOOKUP(A416,'ID6&amp;7'!A:J,10,FALSE),"-")</f>
        <v>-</v>
      </c>
      <c r="Y416" s="26"/>
      <c r="Z416" s="27" t="str">
        <f t="shared" si="7"/>
        <v>Por iniciar</v>
      </c>
      <c r="AA416" s="65"/>
    </row>
    <row r="417" spans="1:27">
      <c r="A417" s="20"/>
      <c r="B417" s="60"/>
      <c r="C417" s="60"/>
      <c r="D417" s="60"/>
      <c r="E417" s="60"/>
      <c r="F417" s="60"/>
      <c r="G417" s="60"/>
      <c r="H417" s="65" t="s">
        <v>114</v>
      </c>
      <c r="I417" s="21" t="s">
        <v>1429</v>
      </c>
      <c r="J417" s="26">
        <f>+COUNTIF('ID1&amp;5'!G:G,'1. Status'!I417)</f>
        <v>0</v>
      </c>
      <c r="K417" s="79" t="str">
        <f>+IFERROR(VLOOKUP(CONCATENATE(A417,$B$10,B417),'ID1&amp;5'!B:J,8,FALSE),"-")</f>
        <v>-</v>
      </c>
      <c r="L417" s="78" t="str">
        <f>+IFERROR(VLOOKUP(B417,'ID1&amp;5'!K:L,2,FALSE),"-")</f>
        <v>-</v>
      </c>
      <c r="M417" s="79" t="str">
        <f>+IFERROR(VLOOKUP(CONCATENATE(A417,$B$10,B417),'ID1&amp;5'!B:J,9,FALSE),"-")</f>
        <v>-</v>
      </c>
      <c r="N417" s="79" t="str">
        <f>+IFERROR(VLOOKUP(CONCATENATE(A417,$C$10,C417),'ID1&amp;5'!B:J,8,FALSE),"-")</f>
        <v>-</v>
      </c>
      <c r="O417" s="78" t="str">
        <f>+IFERROR(VLOOKUP(C417,'ID1&amp;5'!K:L,2,FALSE),"-")</f>
        <v>-</v>
      </c>
      <c r="P417" s="79" t="str">
        <f>+IFERROR(VLOOKUP(CONCATENATE(A417,$C$10,C417),'ID1&amp;5'!B:J,9,FALSE),"-")</f>
        <v>-</v>
      </c>
      <c r="Q417" s="78" t="str">
        <f>+IFERROR(VLOOKUP(D417,'ID1&amp;5'!K:L,2,FALSE),"-")</f>
        <v>-</v>
      </c>
      <c r="R417" s="26" t="str">
        <f>+IFERROR(VLOOKUP(CONCATENATE(A417,$D$10,D417),'ID1&amp;5'!B:J,9,FALSE),"-")</f>
        <v>-</v>
      </c>
      <c r="S417" s="78" t="str">
        <f>+IFERROR(VLOOKUP(E417,'ID1&amp;5'!K:L,2,FALSE),"-")</f>
        <v>-</v>
      </c>
      <c r="T417" s="79" t="str">
        <f>+IFERROR(VLOOKUP(CONCATENATE(A417,$E$10,E417),'ID1&amp;5'!B:J,9,FALSE),"-")</f>
        <v>-</v>
      </c>
      <c r="U417" s="78" t="str">
        <f>+IFERROR(VLOOKUP(F417,'ID1&amp;5'!K:L,2,FALSE),"-")</f>
        <v>-</v>
      </c>
      <c r="V417" s="79" t="str">
        <f>+IFERROR(VLOOKUP(CONCATENATE(A417,$F$10,F417),'ID1&amp;5'!B:J,9,FALSE),"-")</f>
        <v>-</v>
      </c>
      <c r="W417" s="26" t="str">
        <f>+IFERROR(VLOOKUP(A417,'ID6&amp;7'!A:I,9,FALSE),"-")</f>
        <v>-</v>
      </c>
      <c r="X417" s="26" t="str">
        <f>+IFERROR(VLOOKUP(A417,'ID6&amp;7'!A:J,10,FALSE),"-")</f>
        <v>-</v>
      </c>
      <c r="Y417" s="26"/>
      <c r="Z417" s="27" t="str">
        <f t="shared" si="7"/>
        <v>Por iniciar</v>
      </c>
      <c r="AA417" s="65"/>
    </row>
    <row r="418" spans="1:27">
      <c r="A418" s="20"/>
      <c r="B418" s="60"/>
      <c r="C418" s="60"/>
      <c r="D418" s="60"/>
      <c r="E418" s="60"/>
      <c r="F418" s="60"/>
      <c r="G418" s="60"/>
      <c r="H418" s="65" t="s">
        <v>114</v>
      </c>
      <c r="I418" s="21" t="s">
        <v>1224</v>
      </c>
      <c r="J418" s="26">
        <f>+COUNTIF('ID1&amp;5'!G:G,'1. Status'!I418)</f>
        <v>0</v>
      </c>
      <c r="K418" s="79" t="str">
        <f>+IFERROR(VLOOKUP(CONCATENATE(A418,$B$10,B418),'ID1&amp;5'!B:J,8,FALSE),"-")</f>
        <v>-</v>
      </c>
      <c r="L418" s="78" t="str">
        <f>+IFERROR(VLOOKUP(B418,'ID1&amp;5'!K:L,2,FALSE),"-")</f>
        <v>-</v>
      </c>
      <c r="M418" s="79" t="str">
        <f>+IFERROR(VLOOKUP(CONCATENATE(A418,$B$10,B418),'ID1&amp;5'!B:J,9,FALSE),"-")</f>
        <v>-</v>
      </c>
      <c r="N418" s="79" t="str">
        <f>+IFERROR(VLOOKUP(CONCATENATE(A418,$C$10,C418),'ID1&amp;5'!B:J,8,FALSE),"-")</f>
        <v>-</v>
      </c>
      <c r="O418" s="78" t="str">
        <f>+IFERROR(VLOOKUP(C418,'ID1&amp;5'!K:L,2,FALSE),"-")</f>
        <v>-</v>
      </c>
      <c r="P418" s="79" t="str">
        <f>+IFERROR(VLOOKUP(CONCATENATE(A418,$C$10,C418),'ID1&amp;5'!B:J,9,FALSE),"-")</f>
        <v>-</v>
      </c>
      <c r="Q418" s="78" t="str">
        <f>+IFERROR(VLOOKUP(D418,'ID1&amp;5'!K:L,2,FALSE),"-")</f>
        <v>-</v>
      </c>
      <c r="R418" s="26" t="str">
        <f>+IFERROR(VLOOKUP(CONCATENATE(A418,$D$10,D418),'ID1&amp;5'!B:J,9,FALSE),"-")</f>
        <v>-</v>
      </c>
      <c r="S418" s="78" t="str">
        <f>+IFERROR(VLOOKUP(E418,'ID1&amp;5'!K:L,2,FALSE),"-")</f>
        <v>-</v>
      </c>
      <c r="T418" s="79" t="str">
        <f>+IFERROR(VLOOKUP(CONCATENATE(A418,$E$10,E418),'ID1&amp;5'!B:J,9,FALSE),"-")</f>
        <v>-</v>
      </c>
      <c r="U418" s="78" t="str">
        <f>+IFERROR(VLOOKUP(F418,'ID1&amp;5'!K:L,2,FALSE),"-")</f>
        <v>-</v>
      </c>
      <c r="V418" s="79" t="str">
        <f>+IFERROR(VLOOKUP(CONCATENATE(A418,$F$10,F418),'ID1&amp;5'!B:J,9,FALSE),"-")</f>
        <v>-</v>
      </c>
      <c r="W418" s="26" t="str">
        <f>+IFERROR(VLOOKUP(A418,'ID6&amp;7'!A:I,9,FALSE),"-")</f>
        <v>-</v>
      </c>
      <c r="X418" s="26" t="str">
        <f>+IFERROR(VLOOKUP(A418,'ID6&amp;7'!A:J,10,FALSE),"-")</f>
        <v>-</v>
      </c>
      <c r="Y418" s="26"/>
      <c r="Z418" s="27" t="str">
        <f t="shared" si="7"/>
        <v>Por iniciar</v>
      </c>
      <c r="AA418" s="65"/>
    </row>
    <row r="419" spans="1:27">
      <c r="A419" s="20"/>
      <c r="B419" s="60"/>
      <c r="C419" s="60"/>
      <c r="D419" s="60"/>
      <c r="E419" s="60"/>
      <c r="F419" s="60"/>
      <c r="G419" s="60"/>
      <c r="H419" s="65" t="s">
        <v>114</v>
      </c>
      <c r="I419" s="21" t="s">
        <v>1225</v>
      </c>
      <c r="J419" s="26">
        <f>+COUNTIF('ID1&amp;5'!G:G,'1. Status'!I419)</f>
        <v>0</v>
      </c>
      <c r="K419" s="79" t="str">
        <f>+IFERROR(VLOOKUP(CONCATENATE(A419,$B$10,B419),'ID1&amp;5'!B:J,8,FALSE),"-")</f>
        <v>-</v>
      </c>
      <c r="L419" s="78" t="str">
        <f>+IFERROR(VLOOKUP(B419,'ID1&amp;5'!K:L,2,FALSE),"-")</f>
        <v>-</v>
      </c>
      <c r="M419" s="79" t="str">
        <f>+IFERROR(VLOOKUP(CONCATENATE(A419,$B$10,B419),'ID1&amp;5'!B:J,9,FALSE),"-")</f>
        <v>-</v>
      </c>
      <c r="N419" s="79" t="str">
        <f>+IFERROR(VLOOKUP(CONCATENATE(A419,$C$10,C419),'ID1&amp;5'!B:J,8,FALSE),"-")</f>
        <v>-</v>
      </c>
      <c r="O419" s="78" t="str">
        <f>+IFERROR(VLOOKUP(C419,'ID1&amp;5'!K:L,2,FALSE),"-")</f>
        <v>-</v>
      </c>
      <c r="P419" s="79" t="str">
        <f>+IFERROR(VLOOKUP(CONCATENATE(A419,$C$10,C419),'ID1&amp;5'!B:J,9,FALSE),"-")</f>
        <v>-</v>
      </c>
      <c r="Q419" s="78" t="str">
        <f>+IFERROR(VLOOKUP(D419,'ID1&amp;5'!K:L,2,FALSE),"-")</f>
        <v>-</v>
      </c>
      <c r="R419" s="26" t="str">
        <f>+IFERROR(VLOOKUP(CONCATENATE(A419,$D$10,D419),'ID1&amp;5'!B:J,9,FALSE),"-")</f>
        <v>-</v>
      </c>
      <c r="S419" s="78" t="str">
        <f>+IFERROR(VLOOKUP(E419,'ID1&amp;5'!K:L,2,FALSE),"-")</f>
        <v>-</v>
      </c>
      <c r="T419" s="79" t="str">
        <f>+IFERROR(VLOOKUP(CONCATENATE(A419,$E$10,E419),'ID1&amp;5'!B:J,9,FALSE),"-")</f>
        <v>-</v>
      </c>
      <c r="U419" s="78" t="str">
        <f>+IFERROR(VLOOKUP(F419,'ID1&amp;5'!K:L,2,FALSE),"-")</f>
        <v>-</v>
      </c>
      <c r="V419" s="79" t="str">
        <f>+IFERROR(VLOOKUP(CONCATENATE(A419,$F$10,F419),'ID1&amp;5'!B:J,9,FALSE),"-")</f>
        <v>-</v>
      </c>
      <c r="W419" s="26" t="str">
        <f>+IFERROR(VLOOKUP(A419,'ID6&amp;7'!A:I,9,FALSE),"-")</f>
        <v>-</v>
      </c>
      <c r="X419" s="26" t="str">
        <f>+IFERROR(VLOOKUP(A419,'ID6&amp;7'!A:J,10,FALSE),"-")</f>
        <v>-</v>
      </c>
      <c r="Y419" s="26"/>
      <c r="Z419" s="27" t="str">
        <f t="shared" si="7"/>
        <v>Por iniciar</v>
      </c>
      <c r="AA419" s="65"/>
    </row>
    <row r="420" spans="1:27">
      <c r="A420" s="20"/>
      <c r="B420" s="60"/>
      <c r="C420" s="60"/>
      <c r="D420" s="60"/>
      <c r="E420" s="60"/>
      <c r="F420" s="60"/>
      <c r="G420" s="60"/>
      <c r="H420" s="65" t="s">
        <v>114</v>
      </c>
      <c r="I420" s="21" t="s">
        <v>1430</v>
      </c>
      <c r="J420" s="26">
        <f>+COUNTIF('ID1&amp;5'!G:G,'1. Status'!I420)</f>
        <v>0</v>
      </c>
      <c r="K420" s="79" t="str">
        <f>+IFERROR(VLOOKUP(CONCATENATE(A420,$B$10,B420),'ID1&amp;5'!B:J,8,FALSE),"-")</f>
        <v>-</v>
      </c>
      <c r="L420" s="78" t="str">
        <f>+IFERROR(VLOOKUP(B420,'ID1&amp;5'!K:L,2,FALSE),"-")</f>
        <v>-</v>
      </c>
      <c r="M420" s="79" t="str">
        <f>+IFERROR(VLOOKUP(CONCATENATE(A420,$B$10,B420),'ID1&amp;5'!B:J,9,FALSE),"-")</f>
        <v>-</v>
      </c>
      <c r="N420" s="79" t="str">
        <f>+IFERROR(VLOOKUP(CONCATENATE(A420,$C$10,C420),'ID1&amp;5'!B:J,8,FALSE),"-")</f>
        <v>-</v>
      </c>
      <c r="O420" s="78" t="str">
        <f>+IFERROR(VLOOKUP(C420,'ID1&amp;5'!K:L,2,FALSE),"-")</f>
        <v>-</v>
      </c>
      <c r="P420" s="79" t="str">
        <f>+IFERROR(VLOOKUP(CONCATENATE(A420,$C$10,C420),'ID1&amp;5'!B:J,9,FALSE),"-")</f>
        <v>-</v>
      </c>
      <c r="Q420" s="78" t="str">
        <f>+IFERROR(VLOOKUP(D420,'ID1&amp;5'!K:L,2,FALSE),"-")</f>
        <v>-</v>
      </c>
      <c r="R420" s="26" t="str">
        <f>+IFERROR(VLOOKUP(CONCATENATE(A420,$D$10,D420),'ID1&amp;5'!B:J,9,FALSE),"-")</f>
        <v>-</v>
      </c>
      <c r="S420" s="78" t="str">
        <f>+IFERROR(VLOOKUP(E420,'ID1&amp;5'!K:L,2,FALSE),"-")</f>
        <v>-</v>
      </c>
      <c r="T420" s="79" t="str">
        <f>+IFERROR(VLOOKUP(CONCATENATE(A420,$E$10,E420),'ID1&amp;5'!B:J,9,FALSE),"-")</f>
        <v>-</v>
      </c>
      <c r="U420" s="78" t="str">
        <f>+IFERROR(VLOOKUP(F420,'ID1&amp;5'!K:L,2,FALSE),"-")</f>
        <v>-</v>
      </c>
      <c r="V420" s="79" t="str">
        <f>+IFERROR(VLOOKUP(CONCATENATE(A420,$F$10,F420),'ID1&amp;5'!B:J,9,FALSE),"-")</f>
        <v>-</v>
      </c>
      <c r="W420" s="26" t="str">
        <f>+IFERROR(VLOOKUP(A420,'ID6&amp;7'!A:I,9,FALSE),"-")</f>
        <v>-</v>
      </c>
      <c r="X420" s="26" t="str">
        <f>+IFERROR(VLOOKUP(A420,'ID6&amp;7'!A:J,10,FALSE),"-")</f>
        <v>-</v>
      </c>
      <c r="Y420" s="26"/>
      <c r="Z420" s="27" t="str">
        <f t="shared" si="7"/>
        <v>Por iniciar</v>
      </c>
      <c r="AA420" s="65"/>
    </row>
    <row r="421" spans="1:27">
      <c r="A421" s="20"/>
      <c r="B421" s="60"/>
      <c r="C421" s="60"/>
      <c r="D421" s="60"/>
      <c r="E421" s="60"/>
      <c r="F421" s="60"/>
      <c r="G421" s="60"/>
      <c r="H421" s="65" t="s">
        <v>114</v>
      </c>
      <c r="I421" s="21" t="s">
        <v>1431</v>
      </c>
      <c r="J421" s="26">
        <f>+COUNTIF('ID1&amp;5'!G:G,'1. Status'!I421)</f>
        <v>0</v>
      </c>
      <c r="K421" s="79" t="str">
        <f>+IFERROR(VLOOKUP(CONCATENATE(A421,$B$10,B421),'ID1&amp;5'!B:J,8,FALSE),"-")</f>
        <v>-</v>
      </c>
      <c r="L421" s="78" t="str">
        <f>+IFERROR(VLOOKUP(B421,'ID1&amp;5'!K:L,2,FALSE),"-")</f>
        <v>-</v>
      </c>
      <c r="M421" s="79" t="str">
        <f>+IFERROR(VLOOKUP(CONCATENATE(A421,$B$10,B421),'ID1&amp;5'!B:J,9,FALSE),"-")</f>
        <v>-</v>
      </c>
      <c r="N421" s="79" t="str">
        <f>+IFERROR(VLOOKUP(CONCATENATE(A421,$C$10,C421),'ID1&amp;5'!B:J,8,FALSE),"-")</f>
        <v>-</v>
      </c>
      <c r="O421" s="78" t="str">
        <f>+IFERROR(VLOOKUP(C421,'ID1&amp;5'!K:L,2,FALSE),"-")</f>
        <v>-</v>
      </c>
      <c r="P421" s="79" t="str">
        <f>+IFERROR(VLOOKUP(CONCATENATE(A421,$C$10,C421),'ID1&amp;5'!B:J,9,FALSE),"-")</f>
        <v>-</v>
      </c>
      <c r="Q421" s="78" t="str">
        <f>+IFERROR(VLOOKUP(D421,'ID1&amp;5'!K:L,2,FALSE),"-")</f>
        <v>-</v>
      </c>
      <c r="R421" s="26" t="str">
        <f>+IFERROR(VLOOKUP(CONCATENATE(A421,$D$10,D421),'ID1&amp;5'!B:J,9,FALSE),"-")</f>
        <v>-</v>
      </c>
      <c r="S421" s="78" t="str">
        <f>+IFERROR(VLOOKUP(E421,'ID1&amp;5'!K:L,2,FALSE),"-")</f>
        <v>-</v>
      </c>
      <c r="T421" s="79" t="str">
        <f>+IFERROR(VLOOKUP(CONCATENATE(A421,$E$10,E421),'ID1&amp;5'!B:J,9,FALSE),"-")</f>
        <v>-</v>
      </c>
      <c r="U421" s="78" t="str">
        <f>+IFERROR(VLOOKUP(F421,'ID1&amp;5'!K:L,2,FALSE),"-")</f>
        <v>-</v>
      </c>
      <c r="V421" s="79" t="str">
        <f>+IFERROR(VLOOKUP(CONCATENATE(A421,$F$10,F421),'ID1&amp;5'!B:J,9,FALSE),"-")</f>
        <v>-</v>
      </c>
      <c r="W421" s="26" t="str">
        <f>+IFERROR(VLOOKUP(A421,'ID6&amp;7'!A:I,9,FALSE),"-")</f>
        <v>-</v>
      </c>
      <c r="X421" s="26" t="str">
        <f>+IFERROR(VLOOKUP(A421,'ID6&amp;7'!A:J,10,FALSE),"-")</f>
        <v>-</v>
      </c>
      <c r="Y421" s="26"/>
      <c r="Z421" s="27" t="str">
        <f t="shared" si="7"/>
        <v>Por iniciar</v>
      </c>
      <c r="AA421" s="65"/>
    </row>
    <row r="422" spans="1:27">
      <c r="A422" s="20"/>
      <c r="B422" s="60"/>
      <c r="C422" s="60"/>
      <c r="D422" s="60"/>
      <c r="E422" s="60"/>
      <c r="F422" s="60"/>
      <c r="G422" s="60"/>
      <c r="H422" s="65" t="s">
        <v>114</v>
      </c>
      <c r="I422" s="21" t="s">
        <v>1432</v>
      </c>
      <c r="J422" s="26">
        <f>+COUNTIF('ID1&amp;5'!G:G,'1. Status'!I422)</f>
        <v>0</v>
      </c>
      <c r="K422" s="79" t="str">
        <f>+IFERROR(VLOOKUP(CONCATENATE(A422,$B$10,B422),'ID1&amp;5'!B:J,8,FALSE),"-")</f>
        <v>-</v>
      </c>
      <c r="L422" s="78" t="str">
        <f>+IFERROR(VLOOKUP(B422,'ID1&amp;5'!K:L,2,FALSE),"-")</f>
        <v>-</v>
      </c>
      <c r="M422" s="79" t="str">
        <f>+IFERROR(VLOOKUP(CONCATENATE(A422,$B$10,B422),'ID1&amp;5'!B:J,9,FALSE),"-")</f>
        <v>-</v>
      </c>
      <c r="N422" s="79" t="str">
        <f>+IFERROR(VLOOKUP(CONCATENATE(A422,$C$10,C422),'ID1&amp;5'!B:J,8,FALSE),"-")</f>
        <v>-</v>
      </c>
      <c r="O422" s="78" t="str">
        <f>+IFERROR(VLOOKUP(C422,'ID1&amp;5'!K:L,2,FALSE),"-")</f>
        <v>-</v>
      </c>
      <c r="P422" s="79" t="str">
        <f>+IFERROR(VLOOKUP(CONCATENATE(A422,$C$10,C422),'ID1&amp;5'!B:J,9,FALSE),"-")</f>
        <v>-</v>
      </c>
      <c r="Q422" s="78" t="str">
        <f>+IFERROR(VLOOKUP(D422,'ID1&amp;5'!K:L,2,FALSE),"-")</f>
        <v>-</v>
      </c>
      <c r="R422" s="26" t="str">
        <f>+IFERROR(VLOOKUP(CONCATENATE(A422,$D$10,D422),'ID1&amp;5'!B:J,9,FALSE),"-")</f>
        <v>-</v>
      </c>
      <c r="S422" s="78" t="str">
        <f>+IFERROR(VLOOKUP(E422,'ID1&amp;5'!K:L,2,FALSE),"-")</f>
        <v>-</v>
      </c>
      <c r="T422" s="79" t="str">
        <f>+IFERROR(VLOOKUP(CONCATENATE(A422,$E$10,E422),'ID1&amp;5'!B:J,9,FALSE),"-")</f>
        <v>-</v>
      </c>
      <c r="U422" s="78" t="str">
        <f>+IFERROR(VLOOKUP(F422,'ID1&amp;5'!K:L,2,FALSE),"-")</f>
        <v>-</v>
      </c>
      <c r="V422" s="79" t="str">
        <f>+IFERROR(VLOOKUP(CONCATENATE(A422,$F$10,F422),'ID1&amp;5'!B:J,9,FALSE),"-")</f>
        <v>-</v>
      </c>
      <c r="W422" s="26" t="str">
        <f>+IFERROR(VLOOKUP(A422,'ID6&amp;7'!A:I,9,FALSE),"-")</f>
        <v>-</v>
      </c>
      <c r="X422" s="26" t="str">
        <f>+IFERROR(VLOOKUP(A422,'ID6&amp;7'!A:J,10,FALSE),"-")</f>
        <v>-</v>
      </c>
      <c r="Y422" s="26"/>
      <c r="Z422" s="27" t="str">
        <f t="shared" si="7"/>
        <v>Por iniciar</v>
      </c>
      <c r="AA422" s="65"/>
    </row>
    <row r="423" spans="1:27">
      <c r="A423" s="20"/>
      <c r="B423" s="60"/>
      <c r="C423" s="60"/>
      <c r="D423" s="60"/>
      <c r="E423" s="60"/>
      <c r="F423" s="60"/>
      <c r="G423" s="60"/>
      <c r="H423" s="65" t="s">
        <v>114</v>
      </c>
      <c r="I423" s="21" t="s">
        <v>659</v>
      </c>
      <c r="J423" s="26">
        <f>+COUNTIF('ID1&amp;5'!G:G,'1. Status'!I423)</f>
        <v>0</v>
      </c>
      <c r="K423" s="79" t="str">
        <f>+IFERROR(VLOOKUP(CONCATENATE(A423,$B$10,B423),'ID1&amp;5'!B:J,8,FALSE),"-")</f>
        <v>-</v>
      </c>
      <c r="L423" s="78" t="str">
        <f>+IFERROR(VLOOKUP(B423,'ID1&amp;5'!K:L,2,FALSE),"-")</f>
        <v>-</v>
      </c>
      <c r="M423" s="79" t="str">
        <f>+IFERROR(VLOOKUP(CONCATENATE(A423,$B$10,B423),'ID1&amp;5'!B:J,9,FALSE),"-")</f>
        <v>-</v>
      </c>
      <c r="N423" s="79" t="str">
        <f>+IFERROR(VLOOKUP(CONCATENATE(A423,$C$10,C423),'ID1&amp;5'!B:J,8,FALSE),"-")</f>
        <v>-</v>
      </c>
      <c r="O423" s="78" t="str">
        <f>+IFERROR(VLOOKUP(C423,'ID1&amp;5'!K:L,2,FALSE),"-")</f>
        <v>-</v>
      </c>
      <c r="P423" s="79" t="str">
        <f>+IFERROR(VLOOKUP(CONCATENATE(A423,$C$10,C423),'ID1&amp;5'!B:J,9,FALSE),"-")</f>
        <v>-</v>
      </c>
      <c r="Q423" s="78" t="str">
        <f>+IFERROR(VLOOKUP(D423,'ID1&amp;5'!K:L,2,FALSE),"-")</f>
        <v>-</v>
      </c>
      <c r="R423" s="26" t="str">
        <f>+IFERROR(VLOOKUP(CONCATENATE(A423,$D$10,D423),'ID1&amp;5'!B:J,9,FALSE),"-")</f>
        <v>-</v>
      </c>
      <c r="S423" s="78" t="str">
        <f>+IFERROR(VLOOKUP(E423,'ID1&amp;5'!K:L,2,FALSE),"-")</f>
        <v>-</v>
      </c>
      <c r="T423" s="79" t="str">
        <f>+IFERROR(VLOOKUP(CONCATENATE(A423,$E$10,E423),'ID1&amp;5'!B:J,9,FALSE),"-")</f>
        <v>-</v>
      </c>
      <c r="U423" s="78" t="str">
        <f>+IFERROR(VLOOKUP(F423,'ID1&amp;5'!K:L,2,FALSE),"-")</f>
        <v>-</v>
      </c>
      <c r="V423" s="79" t="str">
        <f>+IFERROR(VLOOKUP(CONCATENATE(A423,$F$10,F423),'ID1&amp;5'!B:J,9,FALSE),"-")</f>
        <v>-</v>
      </c>
      <c r="W423" s="26" t="str">
        <f>+IFERROR(VLOOKUP(A423,'ID6&amp;7'!A:I,9,FALSE),"-")</f>
        <v>-</v>
      </c>
      <c r="X423" s="26" t="str">
        <f>+IFERROR(VLOOKUP(A423,'ID6&amp;7'!A:J,10,FALSE),"-")</f>
        <v>-</v>
      </c>
      <c r="Y423" s="26"/>
      <c r="Z423" s="27" t="str">
        <f t="shared" si="7"/>
        <v>Por iniciar</v>
      </c>
      <c r="AA423" s="65"/>
    </row>
    <row r="424" spans="1:27">
      <c r="A424" s="20"/>
      <c r="B424" s="60"/>
      <c r="C424" s="60"/>
      <c r="D424" s="60"/>
      <c r="E424" s="60"/>
      <c r="F424" s="60"/>
      <c r="G424" s="60"/>
      <c r="H424" s="65" t="s">
        <v>114</v>
      </c>
      <c r="I424" s="21" t="s">
        <v>1433</v>
      </c>
      <c r="J424" s="26">
        <f>+COUNTIF('ID1&amp;5'!G:G,'1. Status'!I424)</f>
        <v>0</v>
      </c>
      <c r="K424" s="79" t="str">
        <f>+IFERROR(VLOOKUP(CONCATENATE(A424,$B$10,B424),'ID1&amp;5'!B:J,8,FALSE),"-")</f>
        <v>-</v>
      </c>
      <c r="L424" s="78" t="str">
        <f>+IFERROR(VLOOKUP(B424,'ID1&amp;5'!K:L,2,FALSE),"-")</f>
        <v>-</v>
      </c>
      <c r="M424" s="79" t="str">
        <f>+IFERROR(VLOOKUP(CONCATENATE(A424,$B$10,B424),'ID1&amp;5'!B:J,9,FALSE),"-")</f>
        <v>-</v>
      </c>
      <c r="N424" s="79" t="str">
        <f>+IFERROR(VLOOKUP(CONCATENATE(A424,$C$10,C424),'ID1&amp;5'!B:J,8,FALSE),"-")</f>
        <v>-</v>
      </c>
      <c r="O424" s="78" t="str">
        <f>+IFERROR(VLOOKUP(C424,'ID1&amp;5'!K:L,2,FALSE),"-")</f>
        <v>-</v>
      </c>
      <c r="P424" s="79" t="str">
        <f>+IFERROR(VLOOKUP(CONCATENATE(A424,$C$10,C424),'ID1&amp;5'!B:J,9,FALSE),"-")</f>
        <v>-</v>
      </c>
      <c r="Q424" s="78" t="str">
        <f>+IFERROR(VLOOKUP(D424,'ID1&amp;5'!K:L,2,FALSE),"-")</f>
        <v>-</v>
      </c>
      <c r="R424" s="26" t="str">
        <f>+IFERROR(VLOOKUP(CONCATENATE(A424,$D$10,D424),'ID1&amp;5'!B:J,9,FALSE),"-")</f>
        <v>-</v>
      </c>
      <c r="S424" s="78" t="str">
        <f>+IFERROR(VLOOKUP(E424,'ID1&amp;5'!K:L,2,FALSE),"-")</f>
        <v>-</v>
      </c>
      <c r="T424" s="79" t="str">
        <f>+IFERROR(VLOOKUP(CONCATENATE(A424,$E$10,E424),'ID1&amp;5'!B:J,9,FALSE),"-")</f>
        <v>-</v>
      </c>
      <c r="U424" s="78" t="str">
        <f>+IFERROR(VLOOKUP(F424,'ID1&amp;5'!K:L,2,FALSE),"-")</f>
        <v>-</v>
      </c>
      <c r="V424" s="79" t="str">
        <f>+IFERROR(VLOOKUP(CONCATENATE(A424,$F$10,F424),'ID1&amp;5'!B:J,9,FALSE),"-")</f>
        <v>-</v>
      </c>
      <c r="W424" s="26" t="str">
        <f>+IFERROR(VLOOKUP(A424,'ID6&amp;7'!A:I,9,FALSE),"-")</f>
        <v>-</v>
      </c>
      <c r="X424" s="26" t="str">
        <f>+IFERROR(VLOOKUP(A424,'ID6&amp;7'!A:J,10,FALSE),"-")</f>
        <v>-</v>
      </c>
      <c r="Y424" s="26"/>
      <c r="Z424" s="27" t="str">
        <f t="shared" si="7"/>
        <v>Por iniciar</v>
      </c>
      <c r="AA424" s="65"/>
    </row>
    <row r="425" spans="1:27">
      <c r="A425" s="20"/>
      <c r="B425" s="60"/>
      <c r="C425" s="60"/>
      <c r="D425" s="60"/>
      <c r="E425" s="60"/>
      <c r="F425" s="60"/>
      <c r="G425" s="60"/>
      <c r="H425" s="65" t="s">
        <v>114</v>
      </c>
      <c r="I425" s="21" t="s">
        <v>660</v>
      </c>
      <c r="J425" s="26">
        <f>+COUNTIF('ID1&amp;5'!G:G,'1. Status'!I425)</f>
        <v>0</v>
      </c>
      <c r="K425" s="79" t="str">
        <f>+IFERROR(VLOOKUP(CONCATENATE(A425,$B$10,B425),'ID1&amp;5'!B:J,8,FALSE),"-")</f>
        <v>-</v>
      </c>
      <c r="L425" s="78" t="str">
        <f>+IFERROR(VLOOKUP(B425,'ID1&amp;5'!K:L,2,FALSE),"-")</f>
        <v>-</v>
      </c>
      <c r="M425" s="79" t="str">
        <f>+IFERROR(VLOOKUP(CONCATENATE(A425,$B$10,B425),'ID1&amp;5'!B:J,9,FALSE),"-")</f>
        <v>-</v>
      </c>
      <c r="N425" s="79" t="str">
        <f>+IFERROR(VLOOKUP(CONCATENATE(A425,$C$10,C425),'ID1&amp;5'!B:J,8,FALSE),"-")</f>
        <v>-</v>
      </c>
      <c r="O425" s="78" t="str">
        <f>+IFERROR(VLOOKUP(C425,'ID1&amp;5'!K:L,2,FALSE),"-")</f>
        <v>-</v>
      </c>
      <c r="P425" s="79" t="str">
        <f>+IFERROR(VLOOKUP(CONCATENATE(A425,$C$10,C425),'ID1&amp;5'!B:J,9,FALSE),"-")</f>
        <v>-</v>
      </c>
      <c r="Q425" s="78" t="str">
        <f>+IFERROR(VLOOKUP(D425,'ID1&amp;5'!K:L,2,FALSE),"-")</f>
        <v>-</v>
      </c>
      <c r="R425" s="26" t="str">
        <f>+IFERROR(VLOOKUP(CONCATENATE(A425,$D$10,D425),'ID1&amp;5'!B:J,9,FALSE),"-")</f>
        <v>-</v>
      </c>
      <c r="S425" s="78" t="str">
        <f>+IFERROR(VLOOKUP(E425,'ID1&amp;5'!K:L,2,FALSE),"-")</f>
        <v>-</v>
      </c>
      <c r="T425" s="79" t="str">
        <f>+IFERROR(VLOOKUP(CONCATENATE(A425,$E$10,E425),'ID1&amp;5'!B:J,9,FALSE),"-")</f>
        <v>-</v>
      </c>
      <c r="U425" s="78" t="str">
        <f>+IFERROR(VLOOKUP(F425,'ID1&amp;5'!K:L,2,FALSE),"-")</f>
        <v>-</v>
      </c>
      <c r="V425" s="79" t="str">
        <f>+IFERROR(VLOOKUP(CONCATENATE(A425,$F$10,F425),'ID1&amp;5'!B:J,9,FALSE),"-")</f>
        <v>-</v>
      </c>
      <c r="W425" s="26" t="str">
        <f>+IFERROR(VLOOKUP(A425,'ID6&amp;7'!A:I,9,FALSE),"-")</f>
        <v>-</v>
      </c>
      <c r="X425" s="26" t="str">
        <f>+IFERROR(VLOOKUP(A425,'ID6&amp;7'!A:J,10,FALSE),"-")</f>
        <v>-</v>
      </c>
      <c r="Y425" s="26"/>
      <c r="Z425" s="27" t="str">
        <f t="shared" si="7"/>
        <v>Por iniciar</v>
      </c>
      <c r="AA425" s="65"/>
    </row>
    <row r="426" spans="1:27">
      <c r="A426" s="20"/>
      <c r="B426" s="60"/>
      <c r="C426" s="60"/>
      <c r="D426" s="60"/>
      <c r="E426" s="60"/>
      <c r="F426" s="60"/>
      <c r="G426" s="60"/>
      <c r="H426" s="65" t="s">
        <v>114</v>
      </c>
      <c r="I426" s="21" t="s">
        <v>1434</v>
      </c>
      <c r="J426" s="26">
        <f>+COUNTIF('ID1&amp;5'!G:G,'1. Status'!I426)</f>
        <v>0</v>
      </c>
      <c r="K426" s="79" t="str">
        <f>+IFERROR(VLOOKUP(CONCATENATE(A426,$B$10,B426),'ID1&amp;5'!B:J,8,FALSE),"-")</f>
        <v>-</v>
      </c>
      <c r="L426" s="78" t="str">
        <f>+IFERROR(VLOOKUP(B426,'ID1&amp;5'!K:L,2,FALSE),"-")</f>
        <v>-</v>
      </c>
      <c r="M426" s="79" t="str">
        <f>+IFERROR(VLOOKUP(CONCATENATE(A426,$B$10,B426),'ID1&amp;5'!B:J,9,FALSE),"-")</f>
        <v>-</v>
      </c>
      <c r="N426" s="79" t="str">
        <f>+IFERROR(VLOOKUP(CONCATENATE(A426,$C$10,C426),'ID1&amp;5'!B:J,8,FALSE),"-")</f>
        <v>-</v>
      </c>
      <c r="O426" s="78" t="str">
        <f>+IFERROR(VLOOKUP(C426,'ID1&amp;5'!K:L,2,FALSE),"-")</f>
        <v>-</v>
      </c>
      <c r="P426" s="79" t="str">
        <f>+IFERROR(VLOOKUP(CONCATENATE(A426,$C$10,C426),'ID1&amp;5'!B:J,9,FALSE),"-")</f>
        <v>-</v>
      </c>
      <c r="Q426" s="78" t="str">
        <f>+IFERROR(VLOOKUP(D426,'ID1&amp;5'!K:L,2,FALSE),"-")</f>
        <v>-</v>
      </c>
      <c r="R426" s="26" t="str">
        <f>+IFERROR(VLOOKUP(CONCATENATE(A426,$D$10,D426),'ID1&amp;5'!B:J,9,FALSE),"-")</f>
        <v>-</v>
      </c>
      <c r="S426" s="78" t="str">
        <f>+IFERROR(VLOOKUP(E426,'ID1&amp;5'!K:L,2,FALSE),"-")</f>
        <v>-</v>
      </c>
      <c r="T426" s="79" t="str">
        <f>+IFERROR(VLOOKUP(CONCATENATE(A426,$E$10,E426),'ID1&amp;5'!B:J,9,FALSE),"-")</f>
        <v>-</v>
      </c>
      <c r="U426" s="78" t="str">
        <f>+IFERROR(VLOOKUP(F426,'ID1&amp;5'!K:L,2,FALSE),"-")</f>
        <v>-</v>
      </c>
      <c r="V426" s="79" t="str">
        <f>+IFERROR(VLOOKUP(CONCATENATE(A426,$F$10,F426),'ID1&amp;5'!B:J,9,FALSE),"-")</f>
        <v>-</v>
      </c>
      <c r="W426" s="26" t="str">
        <f>+IFERROR(VLOOKUP(A426,'ID6&amp;7'!A:I,9,FALSE),"-")</f>
        <v>-</v>
      </c>
      <c r="X426" s="26" t="str">
        <f>+IFERROR(VLOOKUP(A426,'ID6&amp;7'!A:J,10,FALSE),"-")</f>
        <v>-</v>
      </c>
      <c r="Y426" s="26"/>
      <c r="Z426" s="27" t="str">
        <f t="shared" si="7"/>
        <v>Por iniciar</v>
      </c>
      <c r="AA426" s="65"/>
    </row>
    <row r="427" spans="1:27">
      <c r="A427" s="20"/>
      <c r="B427" s="60"/>
      <c r="C427" s="60"/>
      <c r="D427" s="60"/>
      <c r="E427" s="60"/>
      <c r="F427" s="60"/>
      <c r="G427" s="60"/>
      <c r="H427" s="65" t="s">
        <v>114</v>
      </c>
      <c r="I427" s="21" t="s">
        <v>1435</v>
      </c>
      <c r="J427" s="26">
        <f>+COUNTIF('ID1&amp;5'!G:G,'1. Status'!I427)</f>
        <v>0</v>
      </c>
      <c r="K427" s="79" t="str">
        <f>+IFERROR(VLOOKUP(CONCATENATE(A427,$B$10,B427),'ID1&amp;5'!B:J,8,FALSE),"-")</f>
        <v>-</v>
      </c>
      <c r="L427" s="78" t="str">
        <f>+IFERROR(VLOOKUP(B427,'ID1&amp;5'!K:L,2,FALSE),"-")</f>
        <v>-</v>
      </c>
      <c r="M427" s="79" t="str">
        <f>+IFERROR(VLOOKUP(CONCATENATE(A427,$B$10,B427),'ID1&amp;5'!B:J,9,FALSE),"-")</f>
        <v>-</v>
      </c>
      <c r="N427" s="79" t="str">
        <f>+IFERROR(VLOOKUP(CONCATENATE(A427,$C$10,C427),'ID1&amp;5'!B:J,8,FALSE),"-")</f>
        <v>-</v>
      </c>
      <c r="O427" s="78" t="str">
        <f>+IFERROR(VLOOKUP(C427,'ID1&amp;5'!K:L,2,FALSE),"-")</f>
        <v>-</v>
      </c>
      <c r="P427" s="79" t="str">
        <f>+IFERROR(VLOOKUP(CONCATENATE(A427,$C$10,C427),'ID1&amp;5'!B:J,9,FALSE),"-")</f>
        <v>-</v>
      </c>
      <c r="Q427" s="78" t="str">
        <f>+IFERROR(VLOOKUP(D427,'ID1&amp;5'!K:L,2,FALSE),"-")</f>
        <v>-</v>
      </c>
      <c r="R427" s="26" t="str">
        <f>+IFERROR(VLOOKUP(CONCATENATE(A427,$D$10,D427),'ID1&amp;5'!B:J,9,FALSE),"-")</f>
        <v>-</v>
      </c>
      <c r="S427" s="78" t="str">
        <f>+IFERROR(VLOOKUP(E427,'ID1&amp;5'!K:L,2,FALSE),"-")</f>
        <v>-</v>
      </c>
      <c r="T427" s="79" t="str">
        <f>+IFERROR(VLOOKUP(CONCATENATE(A427,$E$10,E427),'ID1&amp;5'!B:J,9,FALSE),"-")</f>
        <v>-</v>
      </c>
      <c r="U427" s="78" t="str">
        <f>+IFERROR(VLOOKUP(F427,'ID1&amp;5'!K:L,2,FALSE),"-")</f>
        <v>-</v>
      </c>
      <c r="V427" s="79" t="str">
        <f>+IFERROR(VLOOKUP(CONCATENATE(A427,$F$10,F427),'ID1&amp;5'!B:J,9,FALSE),"-")</f>
        <v>-</v>
      </c>
      <c r="W427" s="26" t="str">
        <f>+IFERROR(VLOOKUP(A427,'ID6&amp;7'!A:I,9,FALSE),"-")</f>
        <v>-</v>
      </c>
      <c r="X427" s="26" t="str">
        <f>+IFERROR(VLOOKUP(A427,'ID6&amp;7'!A:J,10,FALSE),"-")</f>
        <v>-</v>
      </c>
      <c r="Y427" s="26"/>
      <c r="Z427" s="27" t="str">
        <f t="shared" si="7"/>
        <v>Por iniciar</v>
      </c>
      <c r="AA427" s="65"/>
    </row>
    <row r="428" spans="1:27">
      <c r="A428" s="20"/>
      <c r="B428" s="60"/>
      <c r="C428" s="60"/>
      <c r="D428" s="60"/>
      <c r="E428" s="60"/>
      <c r="F428" s="60"/>
      <c r="G428" s="60"/>
      <c r="H428" s="65" t="s">
        <v>114</v>
      </c>
      <c r="I428" s="21" t="s">
        <v>1436</v>
      </c>
      <c r="J428" s="26">
        <f>+COUNTIF('ID1&amp;5'!G:G,'1. Status'!I428)</f>
        <v>0</v>
      </c>
      <c r="K428" s="79" t="str">
        <f>+IFERROR(VLOOKUP(CONCATENATE(A428,$B$10,B428),'ID1&amp;5'!B:J,8,FALSE),"-")</f>
        <v>-</v>
      </c>
      <c r="L428" s="78" t="str">
        <f>+IFERROR(VLOOKUP(B428,'ID1&amp;5'!K:L,2,FALSE),"-")</f>
        <v>-</v>
      </c>
      <c r="M428" s="79" t="str">
        <f>+IFERROR(VLOOKUP(CONCATENATE(A428,$B$10,B428),'ID1&amp;5'!B:J,9,FALSE),"-")</f>
        <v>-</v>
      </c>
      <c r="N428" s="79" t="str">
        <f>+IFERROR(VLOOKUP(CONCATENATE(A428,$C$10,C428),'ID1&amp;5'!B:J,8,FALSE),"-")</f>
        <v>-</v>
      </c>
      <c r="O428" s="78" t="str">
        <f>+IFERROR(VLOOKUP(C428,'ID1&amp;5'!K:L,2,FALSE),"-")</f>
        <v>-</v>
      </c>
      <c r="P428" s="79" t="str">
        <f>+IFERROR(VLOOKUP(CONCATENATE(A428,$C$10,C428),'ID1&amp;5'!B:J,9,FALSE),"-")</f>
        <v>-</v>
      </c>
      <c r="Q428" s="78" t="str">
        <f>+IFERROR(VLOOKUP(D428,'ID1&amp;5'!K:L,2,FALSE),"-")</f>
        <v>-</v>
      </c>
      <c r="R428" s="26" t="str">
        <f>+IFERROR(VLOOKUP(CONCATENATE(A428,$D$10,D428),'ID1&amp;5'!B:J,9,FALSE),"-")</f>
        <v>-</v>
      </c>
      <c r="S428" s="78" t="str">
        <f>+IFERROR(VLOOKUP(E428,'ID1&amp;5'!K:L,2,FALSE),"-")</f>
        <v>-</v>
      </c>
      <c r="T428" s="79" t="str">
        <f>+IFERROR(VLOOKUP(CONCATENATE(A428,$E$10,E428),'ID1&amp;5'!B:J,9,FALSE),"-")</f>
        <v>-</v>
      </c>
      <c r="U428" s="78" t="str">
        <f>+IFERROR(VLOOKUP(F428,'ID1&amp;5'!K:L,2,FALSE),"-")</f>
        <v>-</v>
      </c>
      <c r="V428" s="79" t="str">
        <f>+IFERROR(VLOOKUP(CONCATENATE(A428,$F$10,F428),'ID1&amp;5'!B:J,9,FALSE),"-")</f>
        <v>-</v>
      </c>
      <c r="W428" s="26" t="str">
        <f>+IFERROR(VLOOKUP(A428,'ID6&amp;7'!A:I,9,FALSE),"-")</f>
        <v>-</v>
      </c>
      <c r="X428" s="26" t="str">
        <f>+IFERROR(VLOOKUP(A428,'ID6&amp;7'!A:J,10,FALSE),"-")</f>
        <v>-</v>
      </c>
      <c r="Y428" s="26"/>
      <c r="Z428" s="27" t="str">
        <f t="shared" si="7"/>
        <v>Por iniciar</v>
      </c>
      <c r="AA428" s="65"/>
    </row>
    <row r="429" spans="1:27">
      <c r="A429" s="20"/>
      <c r="B429" s="60"/>
      <c r="C429" s="60"/>
      <c r="D429" s="60"/>
      <c r="E429" s="60"/>
      <c r="F429" s="60"/>
      <c r="G429" s="60"/>
      <c r="H429" s="65" t="s">
        <v>114</v>
      </c>
      <c r="I429" s="21" t="s">
        <v>1437</v>
      </c>
      <c r="J429" s="26">
        <f>+COUNTIF('ID1&amp;5'!G:G,'1. Status'!I429)</f>
        <v>0</v>
      </c>
      <c r="K429" s="79" t="str">
        <f>+IFERROR(VLOOKUP(CONCATENATE(A429,$B$10,B429),'ID1&amp;5'!B:J,8,FALSE),"-")</f>
        <v>-</v>
      </c>
      <c r="L429" s="78" t="str">
        <f>+IFERROR(VLOOKUP(B429,'ID1&amp;5'!K:L,2,FALSE),"-")</f>
        <v>-</v>
      </c>
      <c r="M429" s="79" t="str">
        <f>+IFERROR(VLOOKUP(CONCATENATE(A429,$B$10,B429),'ID1&amp;5'!B:J,9,FALSE),"-")</f>
        <v>-</v>
      </c>
      <c r="N429" s="79" t="str">
        <f>+IFERROR(VLOOKUP(CONCATENATE(A429,$C$10,C429),'ID1&amp;5'!B:J,8,FALSE),"-")</f>
        <v>-</v>
      </c>
      <c r="O429" s="78" t="str">
        <f>+IFERROR(VLOOKUP(C429,'ID1&amp;5'!K:L,2,FALSE),"-")</f>
        <v>-</v>
      </c>
      <c r="P429" s="79" t="str">
        <f>+IFERROR(VLOOKUP(CONCATENATE(A429,$C$10,C429),'ID1&amp;5'!B:J,9,FALSE),"-")</f>
        <v>-</v>
      </c>
      <c r="Q429" s="78" t="str">
        <f>+IFERROR(VLOOKUP(D429,'ID1&amp;5'!K:L,2,FALSE),"-")</f>
        <v>-</v>
      </c>
      <c r="R429" s="26" t="str">
        <f>+IFERROR(VLOOKUP(CONCATENATE(A429,$D$10,D429),'ID1&amp;5'!B:J,9,FALSE),"-")</f>
        <v>-</v>
      </c>
      <c r="S429" s="78" t="str">
        <f>+IFERROR(VLOOKUP(E429,'ID1&amp;5'!K:L,2,FALSE),"-")</f>
        <v>-</v>
      </c>
      <c r="T429" s="79" t="str">
        <f>+IFERROR(VLOOKUP(CONCATENATE(A429,$E$10,E429),'ID1&amp;5'!B:J,9,FALSE),"-")</f>
        <v>-</v>
      </c>
      <c r="U429" s="78" t="str">
        <f>+IFERROR(VLOOKUP(F429,'ID1&amp;5'!K:L,2,FALSE),"-")</f>
        <v>-</v>
      </c>
      <c r="V429" s="79" t="str">
        <f>+IFERROR(VLOOKUP(CONCATENATE(A429,$F$10,F429),'ID1&amp;5'!B:J,9,FALSE),"-")</f>
        <v>-</v>
      </c>
      <c r="W429" s="26" t="str">
        <f>+IFERROR(VLOOKUP(A429,'ID6&amp;7'!A:I,9,FALSE),"-")</f>
        <v>-</v>
      </c>
      <c r="X429" s="26" t="str">
        <f>+IFERROR(VLOOKUP(A429,'ID6&amp;7'!A:J,10,FALSE),"-")</f>
        <v>-</v>
      </c>
      <c r="Y429" s="26"/>
      <c r="Z429" s="27" t="str">
        <f t="shared" si="7"/>
        <v>Por iniciar</v>
      </c>
      <c r="AA429" s="65"/>
    </row>
    <row r="430" spans="1:27">
      <c r="A430" s="20"/>
      <c r="B430" s="60"/>
      <c r="C430" s="60"/>
      <c r="D430" s="60"/>
      <c r="E430" s="60"/>
      <c r="F430" s="60"/>
      <c r="G430" s="60"/>
      <c r="H430" s="65" t="s">
        <v>114</v>
      </c>
      <c r="I430" s="21" t="s">
        <v>1438</v>
      </c>
      <c r="J430" s="26">
        <f>+COUNTIF('ID1&amp;5'!G:G,'1. Status'!I430)</f>
        <v>0</v>
      </c>
      <c r="K430" s="79" t="str">
        <f>+IFERROR(VLOOKUP(CONCATENATE(A430,$B$10,B430),'ID1&amp;5'!B:J,8,FALSE),"-")</f>
        <v>-</v>
      </c>
      <c r="L430" s="78" t="str">
        <f>+IFERROR(VLOOKUP(B430,'ID1&amp;5'!K:L,2,FALSE),"-")</f>
        <v>-</v>
      </c>
      <c r="M430" s="79" t="str">
        <f>+IFERROR(VLOOKUP(CONCATENATE(A430,$B$10,B430),'ID1&amp;5'!B:J,9,FALSE),"-")</f>
        <v>-</v>
      </c>
      <c r="N430" s="79" t="str">
        <f>+IFERROR(VLOOKUP(CONCATENATE(A430,$C$10,C430),'ID1&amp;5'!B:J,8,FALSE),"-")</f>
        <v>-</v>
      </c>
      <c r="O430" s="78" t="str">
        <f>+IFERROR(VLOOKUP(C430,'ID1&amp;5'!K:L,2,FALSE),"-")</f>
        <v>-</v>
      </c>
      <c r="P430" s="79" t="str">
        <f>+IFERROR(VLOOKUP(CONCATENATE(A430,$C$10,C430),'ID1&amp;5'!B:J,9,FALSE),"-")</f>
        <v>-</v>
      </c>
      <c r="Q430" s="78" t="str">
        <f>+IFERROR(VLOOKUP(D430,'ID1&amp;5'!K:L,2,FALSE),"-")</f>
        <v>-</v>
      </c>
      <c r="R430" s="26" t="str">
        <f>+IFERROR(VLOOKUP(CONCATENATE(A430,$D$10,D430),'ID1&amp;5'!B:J,9,FALSE),"-")</f>
        <v>-</v>
      </c>
      <c r="S430" s="78" t="str">
        <f>+IFERROR(VLOOKUP(E430,'ID1&amp;5'!K:L,2,FALSE),"-")</f>
        <v>-</v>
      </c>
      <c r="T430" s="79" t="str">
        <f>+IFERROR(VLOOKUP(CONCATENATE(A430,$E$10,E430),'ID1&amp;5'!B:J,9,FALSE),"-")</f>
        <v>-</v>
      </c>
      <c r="U430" s="78" t="str">
        <f>+IFERROR(VLOOKUP(F430,'ID1&amp;5'!K:L,2,FALSE),"-")</f>
        <v>-</v>
      </c>
      <c r="V430" s="79" t="str">
        <f>+IFERROR(VLOOKUP(CONCATENATE(A430,$F$10,F430),'ID1&amp;5'!B:J,9,FALSE),"-")</f>
        <v>-</v>
      </c>
      <c r="W430" s="26" t="str">
        <f>+IFERROR(VLOOKUP(A430,'ID6&amp;7'!A:I,9,FALSE),"-")</f>
        <v>-</v>
      </c>
      <c r="X430" s="26" t="str">
        <f>+IFERROR(VLOOKUP(A430,'ID6&amp;7'!A:J,10,FALSE),"-")</f>
        <v>-</v>
      </c>
      <c r="Y430" s="26"/>
      <c r="Z430" s="27" t="str">
        <f t="shared" si="7"/>
        <v>Por iniciar</v>
      </c>
      <c r="AA430" s="65"/>
    </row>
    <row r="431" spans="1:27">
      <c r="A431" s="20"/>
      <c r="B431" s="60"/>
      <c r="C431" s="60"/>
      <c r="D431" s="60"/>
      <c r="E431" s="60"/>
      <c r="F431" s="60"/>
      <c r="G431" s="60"/>
      <c r="H431" s="65" t="s">
        <v>114</v>
      </c>
      <c r="I431" s="21" t="s">
        <v>1439</v>
      </c>
      <c r="J431" s="26">
        <f>+COUNTIF('ID1&amp;5'!G:G,'1. Status'!I431)</f>
        <v>0</v>
      </c>
      <c r="K431" s="79" t="str">
        <f>+IFERROR(VLOOKUP(CONCATENATE(A431,$B$10,B431),'ID1&amp;5'!B:J,8,FALSE),"-")</f>
        <v>-</v>
      </c>
      <c r="L431" s="78" t="str">
        <f>+IFERROR(VLOOKUP(B431,'ID1&amp;5'!K:L,2,FALSE),"-")</f>
        <v>-</v>
      </c>
      <c r="M431" s="79" t="str">
        <f>+IFERROR(VLOOKUP(CONCATENATE(A431,$B$10,B431),'ID1&amp;5'!B:J,9,FALSE),"-")</f>
        <v>-</v>
      </c>
      <c r="N431" s="79" t="str">
        <f>+IFERROR(VLOOKUP(CONCATENATE(A431,$C$10,C431),'ID1&amp;5'!B:J,8,FALSE),"-")</f>
        <v>-</v>
      </c>
      <c r="O431" s="78" t="str">
        <f>+IFERROR(VLOOKUP(C431,'ID1&amp;5'!K:L,2,FALSE),"-")</f>
        <v>-</v>
      </c>
      <c r="P431" s="79" t="str">
        <f>+IFERROR(VLOOKUP(CONCATENATE(A431,$C$10,C431),'ID1&amp;5'!B:J,9,FALSE),"-")</f>
        <v>-</v>
      </c>
      <c r="Q431" s="78" t="str">
        <f>+IFERROR(VLOOKUP(D431,'ID1&amp;5'!K:L,2,FALSE),"-")</f>
        <v>-</v>
      </c>
      <c r="R431" s="26" t="str">
        <f>+IFERROR(VLOOKUP(CONCATENATE(A431,$D$10,D431),'ID1&amp;5'!B:J,9,FALSE),"-")</f>
        <v>-</v>
      </c>
      <c r="S431" s="78" t="str">
        <f>+IFERROR(VLOOKUP(E431,'ID1&amp;5'!K:L,2,FALSE),"-")</f>
        <v>-</v>
      </c>
      <c r="T431" s="79" t="str">
        <f>+IFERROR(VLOOKUP(CONCATENATE(A431,$E$10,E431),'ID1&amp;5'!B:J,9,FALSE),"-")</f>
        <v>-</v>
      </c>
      <c r="U431" s="78" t="str">
        <f>+IFERROR(VLOOKUP(F431,'ID1&amp;5'!K:L,2,FALSE),"-")</f>
        <v>-</v>
      </c>
      <c r="V431" s="79" t="str">
        <f>+IFERROR(VLOOKUP(CONCATENATE(A431,$F$10,F431),'ID1&amp;5'!B:J,9,FALSE),"-")</f>
        <v>-</v>
      </c>
      <c r="W431" s="26" t="str">
        <f>+IFERROR(VLOOKUP(A431,'ID6&amp;7'!A:I,9,FALSE),"-")</f>
        <v>-</v>
      </c>
      <c r="X431" s="26" t="str">
        <f>+IFERROR(VLOOKUP(A431,'ID6&amp;7'!A:J,10,FALSE),"-")</f>
        <v>-</v>
      </c>
      <c r="Y431" s="26"/>
      <c r="Z431" s="27" t="str">
        <f t="shared" si="7"/>
        <v>Por iniciar</v>
      </c>
      <c r="AA431" s="65"/>
    </row>
    <row r="432" spans="1:27">
      <c r="A432" s="20"/>
      <c r="B432" s="60"/>
      <c r="C432" s="60"/>
      <c r="D432" s="60"/>
      <c r="E432" s="60"/>
      <c r="F432" s="60"/>
      <c r="G432" s="60"/>
      <c r="H432" s="65" t="s">
        <v>114</v>
      </c>
      <c r="I432" s="21" t="s">
        <v>1440</v>
      </c>
      <c r="J432" s="26">
        <f>+COUNTIF('ID1&amp;5'!G:G,'1. Status'!I432)</f>
        <v>0</v>
      </c>
      <c r="K432" s="79" t="str">
        <f>+IFERROR(VLOOKUP(CONCATENATE(A432,$B$10,B432),'ID1&amp;5'!B:J,8,FALSE),"-")</f>
        <v>-</v>
      </c>
      <c r="L432" s="78" t="str">
        <f>+IFERROR(VLOOKUP(B432,'ID1&amp;5'!K:L,2,FALSE),"-")</f>
        <v>-</v>
      </c>
      <c r="M432" s="79" t="str">
        <f>+IFERROR(VLOOKUP(CONCATENATE(A432,$B$10,B432),'ID1&amp;5'!B:J,9,FALSE),"-")</f>
        <v>-</v>
      </c>
      <c r="N432" s="79" t="str">
        <f>+IFERROR(VLOOKUP(CONCATENATE(A432,$C$10,C432),'ID1&amp;5'!B:J,8,FALSE),"-")</f>
        <v>-</v>
      </c>
      <c r="O432" s="78" t="str">
        <f>+IFERROR(VLOOKUP(C432,'ID1&amp;5'!K:L,2,FALSE),"-")</f>
        <v>-</v>
      </c>
      <c r="P432" s="79" t="str">
        <f>+IFERROR(VLOOKUP(CONCATENATE(A432,$C$10,C432),'ID1&amp;5'!B:J,9,FALSE),"-")</f>
        <v>-</v>
      </c>
      <c r="Q432" s="78" t="str">
        <f>+IFERROR(VLOOKUP(D432,'ID1&amp;5'!K:L,2,FALSE),"-")</f>
        <v>-</v>
      </c>
      <c r="R432" s="26" t="str">
        <f>+IFERROR(VLOOKUP(CONCATENATE(A432,$D$10,D432),'ID1&amp;5'!B:J,9,FALSE),"-")</f>
        <v>-</v>
      </c>
      <c r="S432" s="78" t="str">
        <f>+IFERROR(VLOOKUP(E432,'ID1&amp;5'!K:L,2,FALSE),"-")</f>
        <v>-</v>
      </c>
      <c r="T432" s="79" t="str">
        <f>+IFERROR(VLOOKUP(CONCATENATE(A432,$E$10,E432),'ID1&amp;5'!B:J,9,FALSE),"-")</f>
        <v>-</v>
      </c>
      <c r="U432" s="78" t="str">
        <f>+IFERROR(VLOOKUP(F432,'ID1&amp;5'!K:L,2,FALSE),"-")</f>
        <v>-</v>
      </c>
      <c r="V432" s="79" t="str">
        <f>+IFERROR(VLOOKUP(CONCATENATE(A432,$F$10,F432),'ID1&amp;5'!B:J,9,FALSE),"-")</f>
        <v>-</v>
      </c>
      <c r="W432" s="26" t="str">
        <f>+IFERROR(VLOOKUP(A432,'ID6&amp;7'!A:I,9,FALSE),"-")</f>
        <v>-</v>
      </c>
      <c r="X432" s="26" t="str">
        <f>+IFERROR(VLOOKUP(A432,'ID6&amp;7'!A:J,10,FALSE),"-")</f>
        <v>-</v>
      </c>
      <c r="Y432" s="26"/>
      <c r="Z432" s="27" t="str">
        <f t="shared" si="7"/>
        <v>Por iniciar</v>
      </c>
      <c r="AA432" s="65"/>
    </row>
    <row r="433" spans="1:27">
      <c r="A433" s="20"/>
      <c r="B433" s="60"/>
      <c r="C433" s="60"/>
      <c r="D433" s="60"/>
      <c r="E433" s="60"/>
      <c r="F433" s="60"/>
      <c r="G433" s="60"/>
      <c r="H433" s="65" t="s">
        <v>114</v>
      </c>
      <c r="I433" s="21" t="s">
        <v>1441</v>
      </c>
      <c r="J433" s="26">
        <f>+COUNTIF('ID1&amp;5'!G:G,'1. Status'!I433)</f>
        <v>0</v>
      </c>
      <c r="K433" s="79" t="str">
        <f>+IFERROR(VLOOKUP(CONCATENATE(A433,$B$10,B433),'ID1&amp;5'!B:J,8,FALSE),"-")</f>
        <v>-</v>
      </c>
      <c r="L433" s="78" t="str">
        <f>+IFERROR(VLOOKUP(B433,'ID1&amp;5'!K:L,2,FALSE),"-")</f>
        <v>-</v>
      </c>
      <c r="M433" s="79" t="str">
        <f>+IFERROR(VLOOKUP(CONCATENATE(A433,$B$10,B433),'ID1&amp;5'!B:J,9,FALSE),"-")</f>
        <v>-</v>
      </c>
      <c r="N433" s="79" t="str">
        <f>+IFERROR(VLOOKUP(CONCATENATE(A433,$C$10,C433),'ID1&amp;5'!B:J,8,FALSE),"-")</f>
        <v>-</v>
      </c>
      <c r="O433" s="78" t="str">
        <f>+IFERROR(VLOOKUP(C433,'ID1&amp;5'!K:L,2,FALSE),"-")</f>
        <v>-</v>
      </c>
      <c r="P433" s="79" t="str">
        <f>+IFERROR(VLOOKUP(CONCATENATE(A433,$C$10,C433),'ID1&amp;5'!B:J,9,FALSE),"-")</f>
        <v>-</v>
      </c>
      <c r="Q433" s="78" t="str">
        <f>+IFERROR(VLOOKUP(D433,'ID1&amp;5'!K:L,2,FALSE),"-")</f>
        <v>-</v>
      </c>
      <c r="R433" s="26" t="str">
        <f>+IFERROR(VLOOKUP(CONCATENATE(A433,$D$10,D433),'ID1&amp;5'!B:J,9,FALSE),"-")</f>
        <v>-</v>
      </c>
      <c r="S433" s="78" t="str">
        <f>+IFERROR(VLOOKUP(E433,'ID1&amp;5'!K:L,2,FALSE),"-")</f>
        <v>-</v>
      </c>
      <c r="T433" s="79" t="str">
        <f>+IFERROR(VLOOKUP(CONCATENATE(A433,$E$10,E433),'ID1&amp;5'!B:J,9,FALSE),"-")</f>
        <v>-</v>
      </c>
      <c r="U433" s="78" t="str">
        <f>+IFERROR(VLOOKUP(F433,'ID1&amp;5'!K:L,2,FALSE),"-")</f>
        <v>-</v>
      </c>
      <c r="V433" s="79" t="str">
        <f>+IFERROR(VLOOKUP(CONCATENATE(A433,$F$10,F433),'ID1&amp;5'!B:J,9,FALSE),"-")</f>
        <v>-</v>
      </c>
      <c r="W433" s="26" t="str">
        <f>+IFERROR(VLOOKUP(A433,'ID6&amp;7'!A:I,9,FALSE),"-")</f>
        <v>-</v>
      </c>
      <c r="X433" s="26" t="str">
        <f>+IFERROR(VLOOKUP(A433,'ID6&amp;7'!A:J,10,FALSE),"-")</f>
        <v>-</v>
      </c>
      <c r="Y433" s="26"/>
      <c r="Z433" s="27" t="str">
        <f t="shared" si="7"/>
        <v>Por iniciar</v>
      </c>
      <c r="AA433" s="65"/>
    </row>
    <row r="434" spans="1:27">
      <c r="A434" s="20"/>
      <c r="B434" s="60"/>
      <c r="C434" s="60"/>
      <c r="D434" s="60"/>
      <c r="E434" s="60"/>
      <c r="F434" s="60"/>
      <c r="G434" s="60"/>
      <c r="H434" s="65" t="s">
        <v>114</v>
      </c>
      <c r="I434" s="21" t="s">
        <v>661</v>
      </c>
      <c r="J434" s="26">
        <f>+COUNTIF('ID1&amp;5'!G:G,'1. Status'!I434)</f>
        <v>0</v>
      </c>
      <c r="K434" s="79" t="str">
        <f>+IFERROR(VLOOKUP(CONCATENATE(A434,$B$10,B434),'ID1&amp;5'!B:J,8,FALSE),"-")</f>
        <v>-</v>
      </c>
      <c r="L434" s="78" t="str">
        <f>+IFERROR(VLOOKUP(B434,'ID1&amp;5'!K:L,2,FALSE),"-")</f>
        <v>-</v>
      </c>
      <c r="M434" s="79" t="str">
        <f>+IFERROR(VLOOKUP(CONCATENATE(A434,$B$10,B434),'ID1&amp;5'!B:J,9,FALSE),"-")</f>
        <v>-</v>
      </c>
      <c r="N434" s="79" t="str">
        <f>+IFERROR(VLOOKUP(CONCATENATE(A434,$C$10,C434),'ID1&amp;5'!B:J,8,FALSE),"-")</f>
        <v>-</v>
      </c>
      <c r="O434" s="78" t="str">
        <f>+IFERROR(VLOOKUP(C434,'ID1&amp;5'!K:L,2,FALSE),"-")</f>
        <v>-</v>
      </c>
      <c r="P434" s="79" t="str">
        <f>+IFERROR(VLOOKUP(CONCATENATE(A434,$C$10,C434),'ID1&amp;5'!B:J,9,FALSE),"-")</f>
        <v>-</v>
      </c>
      <c r="Q434" s="78" t="str">
        <f>+IFERROR(VLOOKUP(D434,'ID1&amp;5'!K:L,2,FALSE),"-")</f>
        <v>-</v>
      </c>
      <c r="R434" s="26" t="str">
        <f>+IFERROR(VLOOKUP(CONCATENATE(A434,$D$10,D434),'ID1&amp;5'!B:J,9,FALSE),"-")</f>
        <v>-</v>
      </c>
      <c r="S434" s="78" t="str">
        <f>+IFERROR(VLOOKUP(E434,'ID1&amp;5'!K:L,2,FALSE),"-")</f>
        <v>-</v>
      </c>
      <c r="T434" s="79" t="str">
        <f>+IFERROR(VLOOKUP(CONCATENATE(A434,$E$10,E434),'ID1&amp;5'!B:J,9,FALSE),"-")</f>
        <v>-</v>
      </c>
      <c r="U434" s="78" t="str">
        <f>+IFERROR(VLOOKUP(F434,'ID1&amp;5'!K:L,2,FALSE),"-")</f>
        <v>-</v>
      </c>
      <c r="V434" s="79" t="str">
        <f>+IFERROR(VLOOKUP(CONCATENATE(A434,$F$10,F434),'ID1&amp;5'!B:J,9,FALSE),"-")</f>
        <v>-</v>
      </c>
      <c r="W434" s="26" t="str">
        <f>+IFERROR(VLOOKUP(A434,'ID6&amp;7'!A:I,9,FALSE),"-")</f>
        <v>-</v>
      </c>
      <c r="X434" s="26" t="str">
        <f>+IFERROR(VLOOKUP(A434,'ID6&amp;7'!A:J,10,FALSE),"-")</f>
        <v>-</v>
      </c>
      <c r="Y434" s="26"/>
      <c r="Z434" s="27" t="str">
        <f t="shared" si="7"/>
        <v>Por iniciar</v>
      </c>
      <c r="AA434" s="65"/>
    </row>
    <row r="435" spans="1:27">
      <c r="A435" s="20"/>
      <c r="B435" s="60"/>
      <c r="C435" s="60"/>
      <c r="D435" s="60"/>
      <c r="E435" s="60"/>
      <c r="F435" s="60"/>
      <c r="G435" s="60"/>
      <c r="H435" s="65" t="s">
        <v>114</v>
      </c>
      <c r="I435" s="21" t="s">
        <v>1442</v>
      </c>
      <c r="J435" s="26">
        <f>+COUNTIF('ID1&amp;5'!G:G,'1. Status'!I435)</f>
        <v>0</v>
      </c>
      <c r="K435" s="79" t="str">
        <f>+IFERROR(VLOOKUP(CONCATENATE(A435,$B$10,B435),'ID1&amp;5'!B:J,8,FALSE),"-")</f>
        <v>-</v>
      </c>
      <c r="L435" s="78" t="str">
        <f>+IFERROR(VLOOKUP(B435,'ID1&amp;5'!K:L,2,FALSE),"-")</f>
        <v>-</v>
      </c>
      <c r="M435" s="79" t="str">
        <f>+IFERROR(VLOOKUP(CONCATENATE(A435,$B$10,B435),'ID1&amp;5'!B:J,9,FALSE),"-")</f>
        <v>-</v>
      </c>
      <c r="N435" s="79" t="str">
        <f>+IFERROR(VLOOKUP(CONCATENATE(A435,$C$10,C435),'ID1&amp;5'!B:J,8,FALSE),"-")</f>
        <v>-</v>
      </c>
      <c r="O435" s="78" t="str">
        <f>+IFERROR(VLOOKUP(C435,'ID1&amp;5'!K:L,2,FALSE),"-")</f>
        <v>-</v>
      </c>
      <c r="P435" s="79" t="str">
        <f>+IFERROR(VLOOKUP(CONCATENATE(A435,$C$10,C435),'ID1&amp;5'!B:J,9,FALSE),"-")</f>
        <v>-</v>
      </c>
      <c r="Q435" s="78" t="str">
        <f>+IFERROR(VLOOKUP(D435,'ID1&amp;5'!K:L,2,FALSE),"-")</f>
        <v>-</v>
      </c>
      <c r="R435" s="26" t="str">
        <f>+IFERROR(VLOOKUP(CONCATENATE(A435,$D$10,D435),'ID1&amp;5'!B:J,9,FALSE),"-")</f>
        <v>-</v>
      </c>
      <c r="S435" s="78" t="str">
        <f>+IFERROR(VLOOKUP(E435,'ID1&amp;5'!K:L,2,FALSE),"-")</f>
        <v>-</v>
      </c>
      <c r="T435" s="79" t="str">
        <f>+IFERROR(VLOOKUP(CONCATENATE(A435,$E$10,E435),'ID1&amp;5'!B:J,9,FALSE),"-")</f>
        <v>-</v>
      </c>
      <c r="U435" s="78" t="str">
        <f>+IFERROR(VLOOKUP(F435,'ID1&amp;5'!K:L,2,FALSE),"-")</f>
        <v>-</v>
      </c>
      <c r="V435" s="79" t="str">
        <f>+IFERROR(VLOOKUP(CONCATENATE(A435,$F$10,F435),'ID1&amp;5'!B:J,9,FALSE),"-")</f>
        <v>-</v>
      </c>
      <c r="W435" s="26" t="str">
        <f>+IFERROR(VLOOKUP(A435,'ID6&amp;7'!A:I,9,FALSE),"-")</f>
        <v>-</v>
      </c>
      <c r="X435" s="26" t="str">
        <f>+IFERROR(VLOOKUP(A435,'ID6&amp;7'!A:J,10,FALSE),"-")</f>
        <v>-</v>
      </c>
      <c r="Y435" s="26"/>
      <c r="Z435" s="27" t="str">
        <f t="shared" si="7"/>
        <v>Por iniciar</v>
      </c>
      <c r="AA435" s="65"/>
    </row>
    <row r="436" spans="1:27">
      <c r="A436" s="20"/>
      <c r="B436" s="60"/>
      <c r="C436" s="60"/>
      <c r="D436" s="60"/>
      <c r="E436" s="60"/>
      <c r="F436" s="60"/>
      <c r="G436" s="60"/>
      <c r="H436" s="65" t="s">
        <v>114</v>
      </c>
      <c r="I436" s="21" t="s">
        <v>662</v>
      </c>
      <c r="J436" s="26">
        <f>+COUNTIF('ID1&amp;5'!G:G,'1. Status'!I436)</f>
        <v>0</v>
      </c>
      <c r="K436" s="79" t="str">
        <f>+IFERROR(VLOOKUP(CONCATENATE(A436,$B$10,B436),'ID1&amp;5'!B:J,8,FALSE),"-")</f>
        <v>-</v>
      </c>
      <c r="L436" s="78" t="str">
        <f>+IFERROR(VLOOKUP(B436,'ID1&amp;5'!K:L,2,FALSE),"-")</f>
        <v>-</v>
      </c>
      <c r="M436" s="79" t="str">
        <f>+IFERROR(VLOOKUP(CONCATENATE(A436,$B$10,B436),'ID1&amp;5'!B:J,9,FALSE),"-")</f>
        <v>-</v>
      </c>
      <c r="N436" s="79" t="str">
        <f>+IFERROR(VLOOKUP(CONCATENATE(A436,$C$10,C436),'ID1&amp;5'!B:J,8,FALSE),"-")</f>
        <v>-</v>
      </c>
      <c r="O436" s="78" t="str">
        <f>+IFERROR(VLOOKUP(C436,'ID1&amp;5'!K:L,2,FALSE),"-")</f>
        <v>-</v>
      </c>
      <c r="P436" s="79" t="str">
        <f>+IFERROR(VLOOKUP(CONCATENATE(A436,$C$10,C436),'ID1&amp;5'!B:J,9,FALSE),"-")</f>
        <v>-</v>
      </c>
      <c r="Q436" s="78" t="str">
        <f>+IFERROR(VLOOKUP(D436,'ID1&amp;5'!K:L,2,FALSE),"-")</f>
        <v>-</v>
      </c>
      <c r="R436" s="26" t="str">
        <f>+IFERROR(VLOOKUP(CONCATENATE(A436,$D$10,D436),'ID1&amp;5'!B:J,9,FALSE),"-")</f>
        <v>-</v>
      </c>
      <c r="S436" s="78" t="str">
        <f>+IFERROR(VLOOKUP(E436,'ID1&amp;5'!K:L,2,FALSE),"-")</f>
        <v>-</v>
      </c>
      <c r="T436" s="79" t="str">
        <f>+IFERROR(VLOOKUP(CONCATENATE(A436,$E$10,E436),'ID1&amp;5'!B:J,9,FALSE),"-")</f>
        <v>-</v>
      </c>
      <c r="U436" s="78" t="str">
        <f>+IFERROR(VLOOKUP(F436,'ID1&amp;5'!K:L,2,FALSE),"-")</f>
        <v>-</v>
      </c>
      <c r="V436" s="79" t="str">
        <f>+IFERROR(VLOOKUP(CONCATENATE(A436,$F$10,F436),'ID1&amp;5'!B:J,9,FALSE),"-")</f>
        <v>-</v>
      </c>
      <c r="W436" s="26" t="str">
        <f>+IFERROR(VLOOKUP(A436,'ID6&amp;7'!A:I,9,FALSE),"-")</f>
        <v>-</v>
      </c>
      <c r="X436" s="26" t="str">
        <f>+IFERROR(VLOOKUP(A436,'ID6&amp;7'!A:J,10,FALSE),"-")</f>
        <v>-</v>
      </c>
      <c r="Y436" s="26"/>
      <c r="Z436" s="27" t="str">
        <f t="shared" si="7"/>
        <v>Por iniciar</v>
      </c>
      <c r="AA436" s="65"/>
    </row>
    <row r="437" spans="1:27">
      <c r="A437" s="20"/>
      <c r="B437" s="60"/>
      <c r="C437" s="60"/>
      <c r="D437" s="60"/>
      <c r="E437" s="60"/>
      <c r="F437" s="60"/>
      <c r="G437" s="60"/>
      <c r="H437" s="65" t="s">
        <v>114</v>
      </c>
      <c r="I437" s="21" t="s">
        <v>1443</v>
      </c>
      <c r="J437" s="26">
        <f>+COUNTIF('ID1&amp;5'!G:G,'1. Status'!I437)</f>
        <v>0</v>
      </c>
      <c r="K437" s="79" t="str">
        <f>+IFERROR(VLOOKUP(CONCATENATE(A437,$B$10,B437),'ID1&amp;5'!B:J,8,FALSE),"-")</f>
        <v>-</v>
      </c>
      <c r="L437" s="78" t="str">
        <f>+IFERROR(VLOOKUP(B437,'ID1&amp;5'!K:L,2,FALSE),"-")</f>
        <v>-</v>
      </c>
      <c r="M437" s="79" t="str">
        <f>+IFERROR(VLOOKUP(CONCATENATE(A437,$B$10,B437),'ID1&amp;5'!B:J,9,FALSE),"-")</f>
        <v>-</v>
      </c>
      <c r="N437" s="79" t="str">
        <f>+IFERROR(VLOOKUP(CONCATENATE(A437,$C$10,C437),'ID1&amp;5'!B:J,8,FALSE),"-")</f>
        <v>-</v>
      </c>
      <c r="O437" s="78" t="str">
        <f>+IFERROR(VLOOKUP(C437,'ID1&amp;5'!K:L,2,FALSE),"-")</f>
        <v>-</v>
      </c>
      <c r="P437" s="79" t="str">
        <f>+IFERROR(VLOOKUP(CONCATENATE(A437,$C$10,C437),'ID1&amp;5'!B:J,9,FALSE),"-")</f>
        <v>-</v>
      </c>
      <c r="Q437" s="78" t="str">
        <f>+IFERROR(VLOOKUP(D437,'ID1&amp;5'!K:L,2,FALSE),"-")</f>
        <v>-</v>
      </c>
      <c r="R437" s="26" t="str">
        <f>+IFERROR(VLOOKUP(CONCATENATE(A437,$D$10,D437),'ID1&amp;5'!B:J,9,FALSE),"-")</f>
        <v>-</v>
      </c>
      <c r="S437" s="78" t="str">
        <f>+IFERROR(VLOOKUP(E437,'ID1&amp;5'!K:L,2,FALSE),"-")</f>
        <v>-</v>
      </c>
      <c r="T437" s="79" t="str">
        <f>+IFERROR(VLOOKUP(CONCATENATE(A437,$E$10,E437),'ID1&amp;5'!B:J,9,FALSE),"-")</f>
        <v>-</v>
      </c>
      <c r="U437" s="78" t="str">
        <f>+IFERROR(VLOOKUP(F437,'ID1&amp;5'!K:L,2,FALSE),"-")</f>
        <v>-</v>
      </c>
      <c r="V437" s="79" t="str">
        <f>+IFERROR(VLOOKUP(CONCATENATE(A437,$F$10,F437),'ID1&amp;5'!B:J,9,FALSE),"-")</f>
        <v>-</v>
      </c>
      <c r="W437" s="26" t="str">
        <f>+IFERROR(VLOOKUP(A437,'ID6&amp;7'!A:I,9,FALSE),"-")</f>
        <v>-</v>
      </c>
      <c r="X437" s="26" t="str">
        <f>+IFERROR(VLOOKUP(A437,'ID6&amp;7'!A:J,10,FALSE),"-")</f>
        <v>-</v>
      </c>
      <c r="Y437" s="26"/>
      <c r="Z437" s="27" t="str">
        <f t="shared" si="7"/>
        <v>Por iniciar</v>
      </c>
      <c r="AA437" s="65"/>
    </row>
    <row r="438" spans="1:27">
      <c r="A438" s="20"/>
      <c r="B438" s="60"/>
      <c r="C438" s="60"/>
      <c r="D438" s="60"/>
      <c r="E438" s="60"/>
      <c r="F438" s="60"/>
      <c r="G438" s="60"/>
      <c r="H438" s="65" t="s">
        <v>114</v>
      </c>
      <c r="I438" s="21" t="s">
        <v>1444</v>
      </c>
      <c r="J438" s="26">
        <f>+COUNTIF('ID1&amp;5'!G:G,'1. Status'!I438)</f>
        <v>0</v>
      </c>
      <c r="K438" s="79" t="str">
        <f>+IFERROR(VLOOKUP(CONCATENATE(A438,$B$10,B438),'ID1&amp;5'!B:J,8,FALSE),"-")</f>
        <v>-</v>
      </c>
      <c r="L438" s="78" t="str">
        <f>+IFERROR(VLOOKUP(B438,'ID1&amp;5'!K:L,2,FALSE),"-")</f>
        <v>-</v>
      </c>
      <c r="M438" s="79" t="str">
        <f>+IFERROR(VLOOKUP(CONCATENATE(A438,$B$10,B438),'ID1&amp;5'!B:J,9,FALSE),"-")</f>
        <v>-</v>
      </c>
      <c r="N438" s="79" t="str">
        <f>+IFERROR(VLOOKUP(CONCATENATE(A438,$C$10,C438),'ID1&amp;5'!B:J,8,FALSE),"-")</f>
        <v>-</v>
      </c>
      <c r="O438" s="78" t="str">
        <f>+IFERROR(VLOOKUP(C438,'ID1&amp;5'!K:L,2,FALSE),"-")</f>
        <v>-</v>
      </c>
      <c r="P438" s="79" t="str">
        <f>+IFERROR(VLOOKUP(CONCATENATE(A438,$C$10,C438),'ID1&amp;5'!B:J,9,FALSE),"-")</f>
        <v>-</v>
      </c>
      <c r="Q438" s="78" t="str">
        <f>+IFERROR(VLOOKUP(D438,'ID1&amp;5'!K:L,2,FALSE),"-")</f>
        <v>-</v>
      </c>
      <c r="R438" s="26" t="str">
        <f>+IFERROR(VLOOKUP(CONCATENATE(A438,$D$10,D438),'ID1&amp;5'!B:J,9,FALSE),"-")</f>
        <v>-</v>
      </c>
      <c r="S438" s="78" t="str">
        <f>+IFERROR(VLOOKUP(E438,'ID1&amp;5'!K:L,2,FALSE),"-")</f>
        <v>-</v>
      </c>
      <c r="T438" s="79" t="str">
        <f>+IFERROR(VLOOKUP(CONCATENATE(A438,$E$10,E438),'ID1&amp;5'!B:J,9,FALSE),"-")</f>
        <v>-</v>
      </c>
      <c r="U438" s="78" t="str">
        <f>+IFERROR(VLOOKUP(F438,'ID1&amp;5'!K:L,2,FALSE),"-")</f>
        <v>-</v>
      </c>
      <c r="V438" s="79" t="str">
        <f>+IFERROR(VLOOKUP(CONCATENATE(A438,$F$10,F438),'ID1&amp;5'!B:J,9,FALSE),"-")</f>
        <v>-</v>
      </c>
      <c r="W438" s="26" t="str">
        <f>+IFERROR(VLOOKUP(A438,'ID6&amp;7'!A:I,9,FALSE),"-")</f>
        <v>-</v>
      </c>
      <c r="X438" s="26" t="str">
        <f>+IFERROR(VLOOKUP(A438,'ID6&amp;7'!A:J,10,FALSE),"-")</f>
        <v>-</v>
      </c>
      <c r="Y438" s="26"/>
      <c r="Z438" s="27" t="str">
        <f t="shared" si="7"/>
        <v>Por iniciar</v>
      </c>
      <c r="AA438" s="65"/>
    </row>
    <row r="439" spans="1:27">
      <c r="A439" s="20"/>
      <c r="B439" s="60"/>
      <c r="C439" s="60"/>
      <c r="D439" s="60"/>
      <c r="E439" s="60"/>
      <c r="F439" s="60"/>
      <c r="G439" s="60"/>
      <c r="H439" s="65" t="s">
        <v>114</v>
      </c>
      <c r="I439" s="21" t="s">
        <v>1445</v>
      </c>
      <c r="J439" s="26">
        <f>+COUNTIF('ID1&amp;5'!G:G,'1. Status'!I439)</f>
        <v>0</v>
      </c>
      <c r="K439" s="79" t="str">
        <f>+IFERROR(VLOOKUP(CONCATENATE(A439,$B$10,B439),'ID1&amp;5'!B:J,8,FALSE),"-")</f>
        <v>-</v>
      </c>
      <c r="L439" s="78" t="str">
        <f>+IFERROR(VLOOKUP(B439,'ID1&amp;5'!K:L,2,FALSE),"-")</f>
        <v>-</v>
      </c>
      <c r="M439" s="79" t="str">
        <f>+IFERROR(VLOOKUP(CONCATENATE(A439,$B$10,B439),'ID1&amp;5'!B:J,9,FALSE),"-")</f>
        <v>-</v>
      </c>
      <c r="N439" s="79" t="str">
        <f>+IFERROR(VLOOKUP(CONCATENATE(A439,$C$10,C439),'ID1&amp;5'!B:J,8,FALSE),"-")</f>
        <v>-</v>
      </c>
      <c r="O439" s="78" t="str">
        <f>+IFERROR(VLOOKUP(C439,'ID1&amp;5'!K:L,2,FALSE),"-")</f>
        <v>-</v>
      </c>
      <c r="P439" s="79" t="str">
        <f>+IFERROR(VLOOKUP(CONCATENATE(A439,$C$10,C439),'ID1&amp;5'!B:J,9,FALSE),"-")</f>
        <v>-</v>
      </c>
      <c r="Q439" s="78" t="str">
        <f>+IFERROR(VLOOKUP(D439,'ID1&amp;5'!K:L,2,FALSE),"-")</f>
        <v>-</v>
      </c>
      <c r="R439" s="26" t="str">
        <f>+IFERROR(VLOOKUP(CONCATENATE(A439,$D$10,D439),'ID1&amp;5'!B:J,9,FALSE),"-")</f>
        <v>-</v>
      </c>
      <c r="S439" s="78" t="str">
        <f>+IFERROR(VLOOKUP(E439,'ID1&amp;5'!K:L,2,FALSE),"-")</f>
        <v>-</v>
      </c>
      <c r="T439" s="79" t="str">
        <f>+IFERROR(VLOOKUP(CONCATENATE(A439,$E$10,E439),'ID1&amp;5'!B:J,9,FALSE),"-")</f>
        <v>-</v>
      </c>
      <c r="U439" s="78" t="str">
        <f>+IFERROR(VLOOKUP(F439,'ID1&amp;5'!K:L,2,FALSE),"-")</f>
        <v>-</v>
      </c>
      <c r="V439" s="79" t="str">
        <f>+IFERROR(VLOOKUP(CONCATENATE(A439,$F$10,F439),'ID1&amp;5'!B:J,9,FALSE),"-")</f>
        <v>-</v>
      </c>
      <c r="W439" s="26" t="str">
        <f>+IFERROR(VLOOKUP(A439,'ID6&amp;7'!A:I,9,FALSE),"-")</f>
        <v>-</v>
      </c>
      <c r="X439" s="26" t="str">
        <f>+IFERROR(VLOOKUP(A439,'ID6&amp;7'!A:J,10,FALSE),"-")</f>
        <v>-</v>
      </c>
      <c r="Y439" s="26"/>
      <c r="Z439" s="27" t="str">
        <f t="shared" si="7"/>
        <v>Por iniciar</v>
      </c>
      <c r="AA439" s="65"/>
    </row>
    <row r="440" spans="1:27">
      <c r="A440" s="20"/>
      <c r="B440" s="60"/>
      <c r="C440" s="60"/>
      <c r="D440" s="60"/>
      <c r="E440" s="60"/>
      <c r="F440" s="60"/>
      <c r="G440" s="60"/>
      <c r="H440" s="65" t="s">
        <v>114</v>
      </c>
      <c r="I440" s="21" t="s">
        <v>1446</v>
      </c>
      <c r="J440" s="26">
        <f>+COUNTIF('ID1&amp;5'!G:G,'1. Status'!I440)</f>
        <v>0</v>
      </c>
      <c r="K440" s="79" t="str">
        <f>+IFERROR(VLOOKUP(CONCATENATE(A440,$B$10,B440),'ID1&amp;5'!B:J,8,FALSE),"-")</f>
        <v>-</v>
      </c>
      <c r="L440" s="78" t="str">
        <f>+IFERROR(VLOOKUP(B440,'ID1&amp;5'!K:L,2,FALSE),"-")</f>
        <v>-</v>
      </c>
      <c r="M440" s="79" t="str">
        <f>+IFERROR(VLOOKUP(CONCATENATE(A440,$B$10,B440),'ID1&amp;5'!B:J,9,FALSE),"-")</f>
        <v>-</v>
      </c>
      <c r="N440" s="79" t="str">
        <f>+IFERROR(VLOOKUP(CONCATENATE(A440,$C$10,C440),'ID1&amp;5'!B:J,8,FALSE),"-")</f>
        <v>-</v>
      </c>
      <c r="O440" s="78" t="str">
        <f>+IFERROR(VLOOKUP(C440,'ID1&amp;5'!K:L,2,FALSE),"-")</f>
        <v>-</v>
      </c>
      <c r="P440" s="79" t="str">
        <f>+IFERROR(VLOOKUP(CONCATENATE(A440,$C$10,C440),'ID1&amp;5'!B:J,9,FALSE),"-")</f>
        <v>-</v>
      </c>
      <c r="Q440" s="78" t="str">
        <f>+IFERROR(VLOOKUP(D440,'ID1&amp;5'!K:L,2,FALSE),"-")</f>
        <v>-</v>
      </c>
      <c r="R440" s="26" t="str">
        <f>+IFERROR(VLOOKUP(CONCATENATE(A440,$D$10,D440),'ID1&amp;5'!B:J,9,FALSE),"-")</f>
        <v>-</v>
      </c>
      <c r="S440" s="78" t="str">
        <f>+IFERROR(VLOOKUP(E440,'ID1&amp;5'!K:L,2,FALSE),"-")</f>
        <v>-</v>
      </c>
      <c r="T440" s="79" t="str">
        <f>+IFERROR(VLOOKUP(CONCATENATE(A440,$E$10,E440),'ID1&amp;5'!B:J,9,FALSE),"-")</f>
        <v>-</v>
      </c>
      <c r="U440" s="78" t="str">
        <f>+IFERROR(VLOOKUP(F440,'ID1&amp;5'!K:L,2,FALSE),"-")</f>
        <v>-</v>
      </c>
      <c r="V440" s="79" t="str">
        <f>+IFERROR(VLOOKUP(CONCATENATE(A440,$F$10,F440),'ID1&amp;5'!B:J,9,FALSE),"-")</f>
        <v>-</v>
      </c>
      <c r="W440" s="26" t="str">
        <f>+IFERROR(VLOOKUP(A440,'ID6&amp;7'!A:I,9,FALSE),"-")</f>
        <v>-</v>
      </c>
      <c r="X440" s="26" t="str">
        <f>+IFERROR(VLOOKUP(A440,'ID6&amp;7'!A:J,10,FALSE),"-")</f>
        <v>-</v>
      </c>
      <c r="Y440" s="26"/>
      <c r="Z440" s="27" t="str">
        <f t="shared" si="7"/>
        <v>Por iniciar</v>
      </c>
      <c r="AA440" s="65"/>
    </row>
    <row r="441" spans="1:27">
      <c r="A441" s="20"/>
      <c r="B441" s="60"/>
      <c r="C441" s="60"/>
      <c r="D441" s="60"/>
      <c r="E441" s="60"/>
      <c r="F441" s="60"/>
      <c r="G441" s="60"/>
      <c r="H441" s="65" t="s">
        <v>114</v>
      </c>
      <c r="I441" s="21" t="s">
        <v>1447</v>
      </c>
      <c r="J441" s="26">
        <f>+COUNTIF('ID1&amp;5'!G:G,'1. Status'!I441)</f>
        <v>0</v>
      </c>
      <c r="K441" s="79" t="str">
        <f>+IFERROR(VLOOKUP(CONCATENATE(A441,$B$10,B441),'ID1&amp;5'!B:J,8,FALSE),"-")</f>
        <v>-</v>
      </c>
      <c r="L441" s="78" t="str">
        <f>+IFERROR(VLOOKUP(B441,'ID1&amp;5'!K:L,2,FALSE),"-")</f>
        <v>-</v>
      </c>
      <c r="M441" s="79" t="str">
        <f>+IFERROR(VLOOKUP(CONCATENATE(A441,$B$10,B441),'ID1&amp;5'!B:J,9,FALSE),"-")</f>
        <v>-</v>
      </c>
      <c r="N441" s="79" t="str">
        <f>+IFERROR(VLOOKUP(CONCATENATE(A441,$C$10,C441),'ID1&amp;5'!B:J,8,FALSE),"-")</f>
        <v>-</v>
      </c>
      <c r="O441" s="78" t="str">
        <f>+IFERROR(VLOOKUP(C441,'ID1&amp;5'!K:L,2,FALSE),"-")</f>
        <v>-</v>
      </c>
      <c r="P441" s="79" t="str">
        <f>+IFERROR(VLOOKUP(CONCATENATE(A441,$C$10,C441),'ID1&amp;5'!B:J,9,FALSE),"-")</f>
        <v>-</v>
      </c>
      <c r="Q441" s="78" t="str">
        <f>+IFERROR(VLOOKUP(D441,'ID1&amp;5'!K:L,2,FALSE),"-")</f>
        <v>-</v>
      </c>
      <c r="R441" s="26" t="str">
        <f>+IFERROR(VLOOKUP(CONCATENATE(A441,$D$10,D441),'ID1&amp;5'!B:J,9,FALSE),"-")</f>
        <v>-</v>
      </c>
      <c r="S441" s="78" t="str">
        <f>+IFERROR(VLOOKUP(E441,'ID1&amp;5'!K:L,2,FALSE),"-")</f>
        <v>-</v>
      </c>
      <c r="T441" s="79" t="str">
        <f>+IFERROR(VLOOKUP(CONCATENATE(A441,$E$10,E441),'ID1&amp;5'!B:J,9,FALSE),"-")</f>
        <v>-</v>
      </c>
      <c r="U441" s="78" t="str">
        <f>+IFERROR(VLOOKUP(F441,'ID1&amp;5'!K:L,2,FALSE),"-")</f>
        <v>-</v>
      </c>
      <c r="V441" s="79" t="str">
        <f>+IFERROR(VLOOKUP(CONCATENATE(A441,$F$10,F441),'ID1&amp;5'!B:J,9,FALSE),"-")</f>
        <v>-</v>
      </c>
      <c r="W441" s="26" t="str">
        <f>+IFERROR(VLOOKUP(A441,'ID6&amp;7'!A:I,9,FALSE),"-")</f>
        <v>-</v>
      </c>
      <c r="X441" s="26" t="str">
        <f>+IFERROR(VLOOKUP(A441,'ID6&amp;7'!A:J,10,FALSE),"-")</f>
        <v>-</v>
      </c>
      <c r="Y441" s="26"/>
      <c r="Z441" s="27" t="str">
        <f t="shared" si="7"/>
        <v>Por iniciar</v>
      </c>
      <c r="AA441" s="65"/>
    </row>
    <row r="442" spans="1:27">
      <c r="A442" s="20"/>
      <c r="B442" s="60"/>
      <c r="C442" s="60"/>
      <c r="D442" s="60"/>
      <c r="E442" s="60"/>
      <c r="F442" s="60"/>
      <c r="G442" s="60"/>
      <c r="H442" s="65" t="s">
        <v>114</v>
      </c>
      <c r="I442" s="21" t="s">
        <v>1448</v>
      </c>
      <c r="J442" s="26">
        <f>+COUNTIF('ID1&amp;5'!G:G,'1. Status'!I442)</f>
        <v>0</v>
      </c>
      <c r="K442" s="79" t="str">
        <f>+IFERROR(VLOOKUP(CONCATENATE(A442,$B$10,B442),'ID1&amp;5'!B:J,8,FALSE),"-")</f>
        <v>-</v>
      </c>
      <c r="L442" s="78" t="str">
        <f>+IFERROR(VLOOKUP(B442,'ID1&amp;5'!K:L,2,FALSE),"-")</f>
        <v>-</v>
      </c>
      <c r="M442" s="79" t="str">
        <f>+IFERROR(VLOOKUP(CONCATENATE(A442,$B$10,B442),'ID1&amp;5'!B:J,9,FALSE),"-")</f>
        <v>-</v>
      </c>
      <c r="N442" s="79" t="str">
        <f>+IFERROR(VLOOKUP(CONCATENATE(A442,$C$10,C442),'ID1&amp;5'!B:J,8,FALSE),"-")</f>
        <v>-</v>
      </c>
      <c r="O442" s="78" t="str">
        <f>+IFERROR(VLOOKUP(C442,'ID1&amp;5'!K:L,2,FALSE),"-")</f>
        <v>-</v>
      </c>
      <c r="P442" s="79" t="str">
        <f>+IFERROR(VLOOKUP(CONCATENATE(A442,$C$10,C442),'ID1&amp;5'!B:J,9,FALSE),"-")</f>
        <v>-</v>
      </c>
      <c r="Q442" s="78" t="str">
        <f>+IFERROR(VLOOKUP(D442,'ID1&amp;5'!K:L,2,FALSE),"-")</f>
        <v>-</v>
      </c>
      <c r="R442" s="26" t="str">
        <f>+IFERROR(VLOOKUP(CONCATENATE(A442,$D$10,D442),'ID1&amp;5'!B:J,9,FALSE),"-")</f>
        <v>-</v>
      </c>
      <c r="S442" s="78" t="str">
        <f>+IFERROR(VLOOKUP(E442,'ID1&amp;5'!K:L,2,FALSE),"-")</f>
        <v>-</v>
      </c>
      <c r="T442" s="79" t="str">
        <f>+IFERROR(VLOOKUP(CONCATENATE(A442,$E$10,E442),'ID1&amp;5'!B:J,9,FALSE),"-")</f>
        <v>-</v>
      </c>
      <c r="U442" s="78" t="str">
        <f>+IFERROR(VLOOKUP(F442,'ID1&amp;5'!K:L,2,FALSE),"-")</f>
        <v>-</v>
      </c>
      <c r="V442" s="79" t="str">
        <f>+IFERROR(VLOOKUP(CONCATENATE(A442,$F$10,F442),'ID1&amp;5'!B:J,9,FALSE),"-")</f>
        <v>-</v>
      </c>
      <c r="W442" s="26" t="str">
        <f>+IFERROR(VLOOKUP(A442,'ID6&amp;7'!A:I,9,FALSE),"-")</f>
        <v>-</v>
      </c>
      <c r="X442" s="26" t="str">
        <f>+IFERROR(VLOOKUP(A442,'ID6&amp;7'!A:J,10,FALSE),"-")</f>
        <v>-</v>
      </c>
      <c r="Y442" s="26"/>
      <c r="Z442" s="27" t="str">
        <f t="shared" si="7"/>
        <v>Por iniciar</v>
      </c>
      <c r="AA442" s="65"/>
    </row>
    <row r="443" spans="1:27">
      <c r="A443" s="20"/>
      <c r="B443" s="60"/>
      <c r="C443" s="60"/>
      <c r="D443" s="60"/>
      <c r="E443" s="60"/>
      <c r="F443" s="60"/>
      <c r="G443" s="60"/>
      <c r="H443" s="65" t="s">
        <v>114</v>
      </c>
      <c r="I443" s="21" t="s">
        <v>1449</v>
      </c>
      <c r="J443" s="26">
        <f>+COUNTIF('ID1&amp;5'!G:G,'1. Status'!I443)</f>
        <v>0</v>
      </c>
      <c r="K443" s="79" t="str">
        <f>+IFERROR(VLOOKUP(CONCATENATE(A443,$B$10,B443),'ID1&amp;5'!B:J,8,FALSE),"-")</f>
        <v>-</v>
      </c>
      <c r="L443" s="78" t="str">
        <f>+IFERROR(VLOOKUP(B443,'ID1&amp;5'!K:L,2,FALSE),"-")</f>
        <v>-</v>
      </c>
      <c r="M443" s="79" t="str">
        <f>+IFERROR(VLOOKUP(CONCATENATE(A443,$B$10,B443),'ID1&amp;5'!B:J,9,FALSE),"-")</f>
        <v>-</v>
      </c>
      <c r="N443" s="79" t="str">
        <f>+IFERROR(VLOOKUP(CONCATENATE(A443,$C$10,C443),'ID1&amp;5'!B:J,8,FALSE),"-")</f>
        <v>-</v>
      </c>
      <c r="O443" s="78" t="str">
        <f>+IFERROR(VLOOKUP(C443,'ID1&amp;5'!K:L,2,FALSE),"-")</f>
        <v>-</v>
      </c>
      <c r="P443" s="79" t="str">
        <f>+IFERROR(VLOOKUP(CONCATENATE(A443,$C$10,C443),'ID1&amp;5'!B:J,9,FALSE),"-")</f>
        <v>-</v>
      </c>
      <c r="Q443" s="78" t="str">
        <f>+IFERROR(VLOOKUP(D443,'ID1&amp;5'!K:L,2,FALSE),"-")</f>
        <v>-</v>
      </c>
      <c r="R443" s="26" t="str">
        <f>+IFERROR(VLOOKUP(CONCATENATE(A443,$D$10,D443),'ID1&amp;5'!B:J,9,FALSE),"-")</f>
        <v>-</v>
      </c>
      <c r="S443" s="78" t="str">
        <f>+IFERROR(VLOOKUP(E443,'ID1&amp;5'!K:L,2,FALSE),"-")</f>
        <v>-</v>
      </c>
      <c r="T443" s="79" t="str">
        <f>+IFERROR(VLOOKUP(CONCATENATE(A443,$E$10,E443),'ID1&amp;5'!B:J,9,FALSE),"-")</f>
        <v>-</v>
      </c>
      <c r="U443" s="78" t="str">
        <f>+IFERROR(VLOOKUP(F443,'ID1&amp;5'!K:L,2,FALSE),"-")</f>
        <v>-</v>
      </c>
      <c r="V443" s="79" t="str">
        <f>+IFERROR(VLOOKUP(CONCATENATE(A443,$F$10,F443),'ID1&amp;5'!B:J,9,FALSE),"-")</f>
        <v>-</v>
      </c>
      <c r="W443" s="26" t="str">
        <f>+IFERROR(VLOOKUP(A443,'ID6&amp;7'!A:I,9,FALSE),"-")</f>
        <v>-</v>
      </c>
      <c r="X443" s="26" t="str">
        <f>+IFERROR(VLOOKUP(A443,'ID6&amp;7'!A:J,10,FALSE),"-")</f>
        <v>-</v>
      </c>
      <c r="Y443" s="26"/>
      <c r="Z443" s="27" t="str">
        <f t="shared" si="7"/>
        <v>Por iniciar</v>
      </c>
      <c r="AA443" s="65"/>
    </row>
    <row r="444" spans="1:27">
      <c r="A444" s="20"/>
      <c r="B444" s="60"/>
      <c r="C444" s="60"/>
      <c r="D444" s="60"/>
      <c r="E444" s="60"/>
      <c r="F444" s="60"/>
      <c r="G444" s="60"/>
      <c r="H444" s="65" t="s">
        <v>114</v>
      </c>
      <c r="I444" s="21" t="s">
        <v>1450</v>
      </c>
      <c r="J444" s="26">
        <f>+COUNTIF('ID1&amp;5'!G:G,'1. Status'!I444)</f>
        <v>0</v>
      </c>
      <c r="K444" s="79" t="str">
        <f>+IFERROR(VLOOKUP(CONCATENATE(A444,$B$10,B444),'ID1&amp;5'!B:J,8,FALSE),"-")</f>
        <v>-</v>
      </c>
      <c r="L444" s="78" t="str">
        <f>+IFERROR(VLOOKUP(B444,'ID1&amp;5'!K:L,2,FALSE),"-")</f>
        <v>-</v>
      </c>
      <c r="M444" s="79" t="str">
        <f>+IFERROR(VLOOKUP(CONCATENATE(A444,$B$10,B444),'ID1&amp;5'!B:J,9,FALSE),"-")</f>
        <v>-</v>
      </c>
      <c r="N444" s="79" t="str">
        <f>+IFERROR(VLOOKUP(CONCATENATE(A444,$C$10,C444),'ID1&amp;5'!B:J,8,FALSE),"-")</f>
        <v>-</v>
      </c>
      <c r="O444" s="78" t="str">
        <f>+IFERROR(VLOOKUP(C444,'ID1&amp;5'!K:L,2,FALSE),"-")</f>
        <v>-</v>
      </c>
      <c r="P444" s="79" t="str">
        <f>+IFERROR(VLOOKUP(CONCATENATE(A444,$C$10,C444),'ID1&amp;5'!B:J,9,FALSE),"-")</f>
        <v>-</v>
      </c>
      <c r="Q444" s="78" t="str">
        <f>+IFERROR(VLOOKUP(D444,'ID1&amp;5'!K:L,2,FALSE),"-")</f>
        <v>-</v>
      </c>
      <c r="R444" s="26" t="str">
        <f>+IFERROR(VLOOKUP(CONCATENATE(A444,$D$10,D444),'ID1&amp;5'!B:J,9,FALSE),"-")</f>
        <v>-</v>
      </c>
      <c r="S444" s="78" t="str">
        <f>+IFERROR(VLOOKUP(E444,'ID1&amp;5'!K:L,2,FALSE),"-")</f>
        <v>-</v>
      </c>
      <c r="T444" s="79" t="str">
        <f>+IFERROR(VLOOKUP(CONCATENATE(A444,$E$10,E444),'ID1&amp;5'!B:J,9,FALSE),"-")</f>
        <v>-</v>
      </c>
      <c r="U444" s="78" t="str">
        <f>+IFERROR(VLOOKUP(F444,'ID1&amp;5'!K:L,2,FALSE),"-")</f>
        <v>-</v>
      </c>
      <c r="V444" s="79" t="str">
        <f>+IFERROR(VLOOKUP(CONCATENATE(A444,$F$10,F444),'ID1&amp;5'!B:J,9,FALSE),"-")</f>
        <v>-</v>
      </c>
      <c r="W444" s="26" t="str">
        <f>+IFERROR(VLOOKUP(A444,'ID6&amp;7'!A:I,9,FALSE),"-")</f>
        <v>-</v>
      </c>
      <c r="X444" s="26" t="str">
        <f>+IFERROR(VLOOKUP(A444,'ID6&amp;7'!A:J,10,FALSE),"-")</f>
        <v>-</v>
      </c>
      <c r="Y444" s="26"/>
      <c r="Z444" s="27" t="str">
        <f t="shared" si="7"/>
        <v>Por iniciar</v>
      </c>
      <c r="AA444" s="65"/>
    </row>
    <row r="445" spans="1:27">
      <c r="A445" s="20"/>
      <c r="B445" s="60"/>
      <c r="C445" s="60"/>
      <c r="D445" s="60"/>
      <c r="E445" s="60"/>
      <c r="F445" s="60"/>
      <c r="G445" s="60"/>
      <c r="H445" s="65" t="s">
        <v>114</v>
      </c>
      <c r="I445" s="21" t="s">
        <v>1451</v>
      </c>
      <c r="J445" s="26">
        <f>+COUNTIF('ID1&amp;5'!G:G,'1. Status'!I445)</f>
        <v>0</v>
      </c>
      <c r="K445" s="79" t="str">
        <f>+IFERROR(VLOOKUP(CONCATENATE(A445,$B$10,B445),'ID1&amp;5'!B:J,8,FALSE),"-")</f>
        <v>-</v>
      </c>
      <c r="L445" s="78" t="str">
        <f>+IFERROR(VLOOKUP(B445,'ID1&amp;5'!K:L,2,FALSE),"-")</f>
        <v>-</v>
      </c>
      <c r="M445" s="79" t="str">
        <f>+IFERROR(VLOOKUP(CONCATENATE(A445,$B$10,B445),'ID1&amp;5'!B:J,9,FALSE),"-")</f>
        <v>-</v>
      </c>
      <c r="N445" s="79" t="str">
        <f>+IFERROR(VLOOKUP(CONCATENATE(A445,$C$10,C445),'ID1&amp;5'!B:J,8,FALSE),"-")</f>
        <v>-</v>
      </c>
      <c r="O445" s="78" t="str">
        <f>+IFERROR(VLOOKUP(C445,'ID1&amp;5'!K:L,2,FALSE),"-")</f>
        <v>-</v>
      </c>
      <c r="P445" s="79" t="str">
        <f>+IFERROR(VLOOKUP(CONCATENATE(A445,$C$10,C445),'ID1&amp;5'!B:J,9,FALSE),"-")</f>
        <v>-</v>
      </c>
      <c r="Q445" s="78" t="str">
        <f>+IFERROR(VLOOKUP(D445,'ID1&amp;5'!K:L,2,FALSE),"-")</f>
        <v>-</v>
      </c>
      <c r="R445" s="26" t="str">
        <f>+IFERROR(VLOOKUP(CONCATENATE(A445,$D$10,D445),'ID1&amp;5'!B:J,9,FALSE),"-")</f>
        <v>-</v>
      </c>
      <c r="S445" s="78" t="str">
        <f>+IFERROR(VLOOKUP(E445,'ID1&amp;5'!K:L,2,FALSE),"-")</f>
        <v>-</v>
      </c>
      <c r="T445" s="79" t="str">
        <f>+IFERROR(VLOOKUP(CONCATENATE(A445,$E$10,E445),'ID1&amp;5'!B:J,9,FALSE),"-")</f>
        <v>-</v>
      </c>
      <c r="U445" s="78" t="str">
        <f>+IFERROR(VLOOKUP(F445,'ID1&amp;5'!K:L,2,FALSE),"-")</f>
        <v>-</v>
      </c>
      <c r="V445" s="79" t="str">
        <f>+IFERROR(VLOOKUP(CONCATENATE(A445,$F$10,F445),'ID1&amp;5'!B:J,9,FALSE),"-")</f>
        <v>-</v>
      </c>
      <c r="W445" s="26" t="str">
        <f>+IFERROR(VLOOKUP(A445,'ID6&amp;7'!A:I,9,FALSE),"-")</f>
        <v>-</v>
      </c>
      <c r="X445" s="26" t="str">
        <f>+IFERROR(VLOOKUP(A445,'ID6&amp;7'!A:J,10,FALSE),"-")</f>
        <v>-</v>
      </c>
      <c r="Y445" s="26"/>
      <c r="Z445" s="27" t="str">
        <f t="shared" si="7"/>
        <v>Por iniciar</v>
      </c>
      <c r="AA445" s="65"/>
    </row>
    <row r="446" spans="1:27">
      <c r="A446" s="20"/>
      <c r="B446" s="60"/>
      <c r="C446" s="60"/>
      <c r="D446" s="60"/>
      <c r="E446" s="60"/>
      <c r="F446" s="60"/>
      <c r="G446" s="60"/>
      <c r="H446" s="65" t="s">
        <v>114</v>
      </c>
      <c r="I446" s="21" t="s">
        <v>1452</v>
      </c>
      <c r="J446" s="26">
        <f>+COUNTIF('ID1&amp;5'!G:G,'1. Status'!I446)</f>
        <v>0</v>
      </c>
      <c r="K446" s="79" t="str">
        <f>+IFERROR(VLOOKUP(CONCATENATE(A446,$B$10,B446),'ID1&amp;5'!B:J,8,FALSE),"-")</f>
        <v>-</v>
      </c>
      <c r="L446" s="78" t="str">
        <f>+IFERROR(VLOOKUP(B446,'ID1&amp;5'!K:L,2,FALSE),"-")</f>
        <v>-</v>
      </c>
      <c r="M446" s="79" t="str">
        <f>+IFERROR(VLOOKUP(CONCATENATE(A446,$B$10,B446),'ID1&amp;5'!B:J,9,FALSE),"-")</f>
        <v>-</v>
      </c>
      <c r="N446" s="79" t="str">
        <f>+IFERROR(VLOOKUP(CONCATENATE(A446,$C$10,C446),'ID1&amp;5'!B:J,8,FALSE),"-")</f>
        <v>-</v>
      </c>
      <c r="O446" s="78" t="str">
        <f>+IFERROR(VLOOKUP(C446,'ID1&amp;5'!K:L,2,FALSE),"-")</f>
        <v>-</v>
      </c>
      <c r="P446" s="79" t="str">
        <f>+IFERROR(VLOOKUP(CONCATENATE(A446,$C$10,C446),'ID1&amp;5'!B:J,9,FALSE),"-")</f>
        <v>-</v>
      </c>
      <c r="Q446" s="78" t="str">
        <f>+IFERROR(VLOOKUP(D446,'ID1&amp;5'!K:L,2,FALSE),"-")</f>
        <v>-</v>
      </c>
      <c r="R446" s="26" t="str">
        <f>+IFERROR(VLOOKUP(CONCATENATE(A446,$D$10,D446),'ID1&amp;5'!B:J,9,FALSE),"-")</f>
        <v>-</v>
      </c>
      <c r="S446" s="78" t="str">
        <f>+IFERROR(VLOOKUP(E446,'ID1&amp;5'!K:L,2,FALSE),"-")</f>
        <v>-</v>
      </c>
      <c r="T446" s="79" t="str">
        <f>+IFERROR(VLOOKUP(CONCATENATE(A446,$E$10,E446),'ID1&amp;5'!B:J,9,FALSE),"-")</f>
        <v>-</v>
      </c>
      <c r="U446" s="78" t="str">
        <f>+IFERROR(VLOOKUP(F446,'ID1&amp;5'!K:L,2,FALSE),"-")</f>
        <v>-</v>
      </c>
      <c r="V446" s="79" t="str">
        <f>+IFERROR(VLOOKUP(CONCATENATE(A446,$F$10,F446),'ID1&amp;5'!B:J,9,FALSE),"-")</f>
        <v>-</v>
      </c>
      <c r="W446" s="26" t="str">
        <f>+IFERROR(VLOOKUP(A446,'ID6&amp;7'!A:I,9,FALSE),"-")</f>
        <v>-</v>
      </c>
      <c r="X446" s="26" t="str">
        <f>+IFERROR(VLOOKUP(A446,'ID6&amp;7'!A:J,10,FALSE),"-")</f>
        <v>-</v>
      </c>
      <c r="Y446" s="26"/>
      <c r="Z446" s="27" t="str">
        <f t="shared" si="7"/>
        <v>Por iniciar</v>
      </c>
      <c r="AA446" s="65"/>
    </row>
    <row r="447" spans="1:27">
      <c r="A447" s="20"/>
      <c r="B447" s="60"/>
      <c r="C447" s="60"/>
      <c r="D447" s="60"/>
      <c r="E447" s="60"/>
      <c r="F447" s="60"/>
      <c r="G447" s="60"/>
      <c r="H447" s="65" t="s">
        <v>114</v>
      </c>
      <c r="I447" s="21" t="s">
        <v>663</v>
      </c>
      <c r="J447" s="26">
        <f>+COUNTIF('ID1&amp;5'!G:G,'1. Status'!I447)</f>
        <v>0</v>
      </c>
      <c r="K447" s="79" t="str">
        <f>+IFERROR(VLOOKUP(CONCATENATE(A447,$B$10,B447),'ID1&amp;5'!B:J,8,FALSE),"-")</f>
        <v>-</v>
      </c>
      <c r="L447" s="78" t="str">
        <f>+IFERROR(VLOOKUP(B447,'ID1&amp;5'!K:L,2,FALSE),"-")</f>
        <v>-</v>
      </c>
      <c r="M447" s="79" t="str">
        <f>+IFERROR(VLOOKUP(CONCATENATE(A447,$B$10,B447),'ID1&amp;5'!B:J,9,FALSE),"-")</f>
        <v>-</v>
      </c>
      <c r="N447" s="79" t="str">
        <f>+IFERROR(VLOOKUP(CONCATENATE(A447,$C$10,C447),'ID1&amp;5'!B:J,8,FALSE),"-")</f>
        <v>-</v>
      </c>
      <c r="O447" s="78" t="str">
        <f>+IFERROR(VLOOKUP(C447,'ID1&amp;5'!K:L,2,FALSE),"-")</f>
        <v>-</v>
      </c>
      <c r="P447" s="79" t="str">
        <f>+IFERROR(VLOOKUP(CONCATENATE(A447,$C$10,C447),'ID1&amp;5'!B:J,9,FALSE),"-")</f>
        <v>-</v>
      </c>
      <c r="Q447" s="78" t="str">
        <f>+IFERROR(VLOOKUP(D447,'ID1&amp;5'!K:L,2,FALSE),"-")</f>
        <v>-</v>
      </c>
      <c r="R447" s="26" t="str">
        <f>+IFERROR(VLOOKUP(CONCATENATE(A447,$D$10,D447),'ID1&amp;5'!B:J,9,FALSE),"-")</f>
        <v>-</v>
      </c>
      <c r="S447" s="78" t="str">
        <f>+IFERROR(VLOOKUP(E447,'ID1&amp;5'!K:L,2,FALSE),"-")</f>
        <v>-</v>
      </c>
      <c r="T447" s="79" t="str">
        <f>+IFERROR(VLOOKUP(CONCATENATE(A447,$E$10,E447),'ID1&amp;5'!B:J,9,FALSE),"-")</f>
        <v>-</v>
      </c>
      <c r="U447" s="78" t="str">
        <f>+IFERROR(VLOOKUP(F447,'ID1&amp;5'!K:L,2,FALSE),"-")</f>
        <v>-</v>
      </c>
      <c r="V447" s="79" t="str">
        <f>+IFERROR(VLOOKUP(CONCATENATE(A447,$F$10,F447),'ID1&amp;5'!B:J,9,FALSE),"-")</f>
        <v>-</v>
      </c>
      <c r="W447" s="26" t="str">
        <f>+IFERROR(VLOOKUP(A447,'ID6&amp;7'!A:I,9,FALSE),"-")</f>
        <v>-</v>
      </c>
      <c r="X447" s="26" t="str">
        <f>+IFERROR(VLOOKUP(A447,'ID6&amp;7'!A:J,10,FALSE),"-")</f>
        <v>-</v>
      </c>
      <c r="Y447" s="26"/>
      <c r="Z447" s="27" t="str">
        <f t="shared" si="7"/>
        <v>Por iniciar</v>
      </c>
      <c r="AA447" s="65"/>
    </row>
    <row r="448" spans="1:27">
      <c r="A448" s="20"/>
      <c r="B448" s="60"/>
      <c r="C448" s="60"/>
      <c r="D448" s="60"/>
      <c r="E448" s="60"/>
      <c r="F448" s="60"/>
      <c r="G448" s="60"/>
      <c r="H448" s="65" t="s">
        <v>114</v>
      </c>
      <c r="I448" s="21" t="s">
        <v>1453</v>
      </c>
      <c r="J448" s="26">
        <f>+COUNTIF('ID1&amp;5'!G:G,'1. Status'!I448)</f>
        <v>0</v>
      </c>
      <c r="K448" s="79" t="str">
        <f>+IFERROR(VLOOKUP(CONCATENATE(A448,$B$10,B448),'ID1&amp;5'!B:J,8,FALSE),"-")</f>
        <v>-</v>
      </c>
      <c r="L448" s="78" t="str">
        <f>+IFERROR(VLOOKUP(B448,'ID1&amp;5'!K:L,2,FALSE),"-")</f>
        <v>-</v>
      </c>
      <c r="M448" s="79" t="str">
        <f>+IFERROR(VLOOKUP(CONCATENATE(A448,$B$10,B448),'ID1&amp;5'!B:J,9,FALSE),"-")</f>
        <v>-</v>
      </c>
      <c r="N448" s="79" t="str">
        <f>+IFERROR(VLOOKUP(CONCATENATE(A448,$C$10,C448),'ID1&amp;5'!B:J,8,FALSE),"-")</f>
        <v>-</v>
      </c>
      <c r="O448" s="78" t="str">
        <f>+IFERROR(VLOOKUP(C448,'ID1&amp;5'!K:L,2,FALSE),"-")</f>
        <v>-</v>
      </c>
      <c r="P448" s="79" t="str">
        <f>+IFERROR(VLOOKUP(CONCATENATE(A448,$C$10,C448),'ID1&amp;5'!B:J,9,FALSE),"-")</f>
        <v>-</v>
      </c>
      <c r="Q448" s="78" t="str">
        <f>+IFERROR(VLOOKUP(D448,'ID1&amp;5'!K:L,2,FALSE),"-")</f>
        <v>-</v>
      </c>
      <c r="R448" s="26" t="str">
        <f>+IFERROR(VLOOKUP(CONCATENATE(A448,$D$10,D448),'ID1&amp;5'!B:J,9,FALSE),"-")</f>
        <v>-</v>
      </c>
      <c r="S448" s="78" t="str">
        <f>+IFERROR(VLOOKUP(E448,'ID1&amp;5'!K:L,2,FALSE),"-")</f>
        <v>-</v>
      </c>
      <c r="T448" s="79" t="str">
        <f>+IFERROR(VLOOKUP(CONCATENATE(A448,$E$10,E448),'ID1&amp;5'!B:J,9,FALSE),"-")</f>
        <v>-</v>
      </c>
      <c r="U448" s="78" t="str">
        <f>+IFERROR(VLOOKUP(F448,'ID1&amp;5'!K:L,2,FALSE),"-")</f>
        <v>-</v>
      </c>
      <c r="V448" s="79" t="str">
        <f>+IFERROR(VLOOKUP(CONCATENATE(A448,$F$10,F448),'ID1&amp;5'!B:J,9,FALSE),"-")</f>
        <v>-</v>
      </c>
      <c r="W448" s="26" t="str">
        <f>+IFERROR(VLOOKUP(A448,'ID6&amp;7'!A:I,9,FALSE),"-")</f>
        <v>-</v>
      </c>
      <c r="X448" s="26" t="str">
        <f>+IFERROR(VLOOKUP(A448,'ID6&amp;7'!A:J,10,FALSE),"-")</f>
        <v>-</v>
      </c>
      <c r="Y448" s="26"/>
      <c r="Z448" s="27" t="str">
        <f t="shared" ref="Z448:Z511" si="8">+IF(J448=0,"Por iniciar",IF(OR(K448="-",M448="-",P448="-",R448="-",T448="-",V448="-"),"Em testes",IF(AND(M448=0,P448=0,R448=0,T448&lt;&gt;K448,V448&lt;&gt;K448),"OK","NOK")))</f>
        <v>Por iniciar</v>
      </c>
      <c r="AA448" s="65"/>
    </row>
    <row r="449" spans="1:27">
      <c r="A449" s="20"/>
      <c r="B449" s="60"/>
      <c r="C449" s="60"/>
      <c r="D449" s="60"/>
      <c r="E449" s="60"/>
      <c r="F449" s="60"/>
      <c r="G449" s="60"/>
      <c r="H449" s="65" t="s">
        <v>114</v>
      </c>
      <c r="I449" s="21" t="s">
        <v>1454</v>
      </c>
      <c r="J449" s="26">
        <f>+COUNTIF('ID1&amp;5'!G:G,'1. Status'!I449)</f>
        <v>0</v>
      </c>
      <c r="K449" s="79" t="str">
        <f>+IFERROR(VLOOKUP(CONCATENATE(A449,$B$10,B449),'ID1&amp;5'!B:J,8,FALSE),"-")</f>
        <v>-</v>
      </c>
      <c r="L449" s="78" t="str">
        <f>+IFERROR(VLOOKUP(B449,'ID1&amp;5'!K:L,2,FALSE),"-")</f>
        <v>-</v>
      </c>
      <c r="M449" s="79" t="str">
        <f>+IFERROR(VLOOKUP(CONCATENATE(A449,$B$10,B449),'ID1&amp;5'!B:J,9,FALSE),"-")</f>
        <v>-</v>
      </c>
      <c r="N449" s="79" t="str">
        <f>+IFERROR(VLOOKUP(CONCATENATE(A449,$C$10,C449),'ID1&amp;5'!B:J,8,FALSE),"-")</f>
        <v>-</v>
      </c>
      <c r="O449" s="78" t="str">
        <f>+IFERROR(VLOOKUP(C449,'ID1&amp;5'!K:L,2,FALSE),"-")</f>
        <v>-</v>
      </c>
      <c r="P449" s="79" t="str">
        <f>+IFERROR(VLOOKUP(CONCATENATE(A449,$C$10,C449),'ID1&amp;5'!B:J,9,FALSE),"-")</f>
        <v>-</v>
      </c>
      <c r="Q449" s="78" t="str">
        <f>+IFERROR(VLOOKUP(D449,'ID1&amp;5'!K:L,2,FALSE),"-")</f>
        <v>-</v>
      </c>
      <c r="R449" s="26" t="str">
        <f>+IFERROR(VLOOKUP(CONCATENATE(A449,$D$10,D449),'ID1&amp;5'!B:J,9,FALSE),"-")</f>
        <v>-</v>
      </c>
      <c r="S449" s="78" t="str">
        <f>+IFERROR(VLOOKUP(E449,'ID1&amp;5'!K:L,2,FALSE),"-")</f>
        <v>-</v>
      </c>
      <c r="T449" s="79" t="str">
        <f>+IFERROR(VLOOKUP(CONCATENATE(A449,$E$10,E449),'ID1&amp;5'!B:J,9,FALSE),"-")</f>
        <v>-</v>
      </c>
      <c r="U449" s="78" t="str">
        <f>+IFERROR(VLOOKUP(F449,'ID1&amp;5'!K:L,2,FALSE),"-")</f>
        <v>-</v>
      </c>
      <c r="V449" s="79" t="str">
        <f>+IFERROR(VLOOKUP(CONCATENATE(A449,$F$10,F449),'ID1&amp;5'!B:J,9,FALSE),"-")</f>
        <v>-</v>
      </c>
      <c r="W449" s="26" t="str">
        <f>+IFERROR(VLOOKUP(A449,'ID6&amp;7'!A:I,9,FALSE),"-")</f>
        <v>-</v>
      </c>
      <c r="X449" s="26" t="str">
        <f>+IFERROR(VLOOKUP(A449,'ID6&amp;7'!A:J,10,FALSE),"-")</f>
        <v>-</v>
      </c>
      <c r="Y449" s="26"/>
      <c r="Z449" s="27" t="str">
        <f t="shared" si="8"/>
        <v>Por iniciar</v>
      </c>
      <c r="AA449" s="65"/>
    </row>
    <row r="450" spans="1:27">
      <c r="A450" s="20"/>
      <c r="B450" s="60"/>
      <c r="C450" s="60"/>
      <c r="D450" s="60"/>
      <c r="E450" s="60"/>
      <c r="F450" s="60"/>
      <c r="G450" s="60"/>
      <c r="H450" s="65" t="s">
        <v>114</v>
      </c>
      <c r="I450" s="21" t="s">
        <v>1455</v>
      </c>
      <c r="J450" s="26">
        <f>+COUNTIF('ID1&amp;5'!G:G,'1. Status'!I450)</f>
        <v>0</v>
      </c>
      <c r="K450" s="79" t="str">
        <f>+IFERROR(VLOOKUP(CONCATENATE(A450,$B$10,B450),'ID1&amp;5'!B:J,8,FALSE),"-")</f>
        <v>-</v>
      </c>
      <c r="L450" s="78" t="str">
        <f>+IFERROR(VLOOKUP(B450,'ID1&amp;5'!K:L,2,FALSE),"-")</f>
        <v>-</v>
      </c>
      <c r="M450" s="79" t="str">
        <f>+IFERROR(VLOOKUP(CONCATENATE(A450,$B$10,B450),'ID1&amp;5'!B:J,9,FALSE),"-")</f>
        <v>-</v>
      </c>
      <c r="N450" s="79" t="str">
        <f>+IFERROR(VLOOKUP(CONCATENATE(A450,$C$10,C450),'ID1&amp;5'!B:J,8,FALSE),"-")</f>
        <v>-</v>
      </c>
      <c r="O450" s="78" t="str">
        <f>+IFERROR(VLOOKUP(C450,'ID1&amp;5'!K:L,2,FALSE),"-")</f>
        <v>-</v>
      </c>
      <c r="P450" s="79" t="str">
        <f>+IFERROR(VLOOKUP(CONCATENATE(A450,$C$10,C450),'ID1&amp;5'!B:J,9,FALSE),"-")</f>
        <v>-</v>
      </c>
      <c r="Q450" s="78" t="str">
        <f>+IFERROR(VLOOKUP(D450,'ID1&amp;5'!K:L,2,FALSE),"-")</f>
        <v>-</v>
      </c>
      <c r="R450" s="26" t="str">
        <f>+IFERROR(VLOOKUP(CONCATENATE(A450,$D$10,D450),'ID1&amp;5'!B:J,9,FALSE),"-")</f>
        <v>-</v>
      </c>
      <c r="S450" s="78" t="str">
        <f>+IFERROR(VLOOKUP(E450,'ID1&amp;5'!K:L,2,FALSE),"-")</f>
        <v>-</v>
      </c>
      <c r="T450" s="79" t="str">
        <f>+IFERROR(VLOOKUP(CONCATENATE(A450,$E$10,E450),'ID1&amp;5'!B:J,9,FALSE),"-")</f>
        <v>-</v>
      </c>
      <c r="U450" s="78" t="str">
        <f>+IFERROR(VLOOKUP(F450,'ID1&amp;5'!K:L,2,FALSE),"-")</f>
        <v>-</v>
      </c>
      <c r="V450" s="79" t="str">
        <f>+IFERROR(VLOOKUP(CONCATENATE(A450,$F$10,F450),'ID1&amp;5'!B:J,9,FALSE),"-")</f>
        <v>-</v>
      </c>
      <c r="W450" s="26" t="str">
        <f>+IFERROR(VLOOKUP(A450,'ID6&amp;7'!A:I,9,FALSE),"-")</f>
        <v>-</v>
      </c>
      <c r="X450" s="26" t="str">
        <f>+IFERROR(VLOOKUP(A450,'ID6&amp;7'!A:J,10,FALSE),"-")</f>
        <v>-</v>
      </c>
      <c r="Y450" s="26"/>
      <c r="Z450" s="27" t="str">
        <f t="shared" si="8"/>
        <v>Por iniciar</v>
      </c>
      <c r="AA450" s="65"/>
    </row>
    <row r="451" spans="1:27">
      <c r="A451" s="20"/>
      <c r="B451" s="60"/>
      <c r="C451" s="60"/>
      <c r="D451" s="60"/>
      <c r="E451" s="60"/>
      <c r="F451" s="60"/>
      <c r="G451" s="60"/>
      <c r="H451" s="65" t="s">
        <v>114</v>
      </c>
      <c r="I451" s="21" t="s">
        <v>1456</v>
      </c>
      <c r="J451" s="26">
        <f>+COUNTIF('ID1&amp;5'!G:G,'1. Status'!I451)</f>
        <v>0</v>
      </c>
      <c r="K451" s="79" t="str">
        <f>+IFERROR(VLOOKUP(CONCATENATE(A451,$B$10,B451),'ID1&amp;5'!B:J,8,FALSE),"-")</f>
        <v>-</v>
      </c>
      <c r="L451" s="78" t="str">
        <f>+IFERROR(VLOOKUP(B451,'ID1&amp;5'!K:L,2,FALSE),"-")</f>
        <v>-</v>
      </c>
      <c r="M451" s="79" t="str">
        <f>+IFERROR(VLOOKUP(CONCATENATE(A451,$B$10,B451),'ID1&amp;5'!B:J,9,FALSE),"-")</f>
        <v>-</v>
      </c>
      <c r="N451" s="79" t="str">
        <f>+IFERROR(VLOOKUP(CONCATENATE(A451,$C$10,C451),'ID1&amp;5'!B:J,8,FALSE),"-")</f>
        <v>-</v>
      </c>
      <c r="O451" s="78" t="str">
        <f>+IFERROR(VLOOKUP(C451,'ID1&amp;5'!K:L,2,FALSE),"-")</f>
        <v>-</v>
      </c>
      <c r="P451" s="79" t="str">
        <f>+IFERROR(VLOOKUP(CONCATENATE(A451,$C$10,C451),'ID1&amp;5'!B:J,9,FALSE),"-")</f>
        <v>-</v>
      </c>
      <c r="Q451" s="78" t="str">
        <f>+IFERROR(VLOOKUP(D451,'ID1&amp;5'!K:L,2,FALSE),"-")</f>
        <v>-</v>
      </c>
      <c r="R451" s="26" t="str">
        <f>+IFERROR(VLOOKUP(CONCATENATE(A451,$D$10,D451),'ID1&amp;5'!B:J,9,FALSE),"-")</f>
        <v>-</v>
      </c>
      <c r="S451" s="78" t="str">
        <f>+IFERROR(VLOOKUP(E451,'ID1&amp;5'!K:L,2,FALSE),"-")</f>
        <v>-</v>
      </c>
      <c r="T451" s="79" t="str">
        <f>+IFERROR(VLOOKUP(CONCATENATE(A451,$E$10,E451),'ID1&amp;5'!B:J,9,FALSE),"-")</f>
        <v>-</v>
      </c>
      <c r="U451" s="78" t="str">
        <f>+IFERROR(VLOOKUP(F451,'ID1&amp;5'!K:L,2,FALSE),"-")</f>
        <v>-</v>
      </c>
      <c r="V451" s="79" t="str">
        <f>+IFERROR(VLOOKUP(CONCATENATE(A451,$F$10,F451),'ID1&amp;5'!B:J,9,FALSE),"-")</f>
        <v>-</v>
      </c>
      <c r="W451" s="26" t="str">
        <f>+IFERROR(VLOOKUP(A451,'ID6&amp;7'!A:I,9,FALSE),"-")</f>
        <v>-</v>
      </c>
      <c r="X451" s="26" t="str">
        <f>+IFERROR(VLOOKUP(A451,'ID6&amp;7'!A:J,10,FALSE),"-")</f>
        <v>-</v>
      </c>
      <c r="Y451" s="26"/>
      <c r="Z451" s="27" t="str">
        <f t="shared" si="8"/>
        <v>Por iniciar</v>
      </c>
      <c r="AA451" s="65"/>
    </row>
    <row r="452" spans="1:27">
      <c r="A452" s="20"/>
      <c r="B452" s="60"/>
      <c r="C452" s="60"/>
      <c r="D452" s="60"/>
      <c r="E452" s="60"/>
      <c r="F452" s="60"/>
      <c r="G452" s="60"/>
      <c r="H452" s="65" t="s">
        <v>114</v>
      </c>
      <c r="I452" s="21" t="s">
        <v>1457</v>
      </c>
      <c r="J452" s="26">
        <f>+COUNTIF('ID1&amp;5'!G:G,'1. Status'!I452)</f>
        <v>0</v>
      </c>
      <c r="K452" s="79" t="str">
        <f>+IFERROR(VLOOKUP(CONCATENATE(A452,$B$10,B452),'ID1&amp;5'!B:J,8,FALSE),"-")</f>
        <v>-</v>
      </c>
      <c r="L452" s="78" t="str">
        <f>+IFERROR(VLOOKUP(B452,'ID1&amp;5'!K:L,2,FALSE),"-")</f>
        <v>-</v>
      </c>
      <c r="M452" s="79" t="str">
        <f>+IFERROR(VLOOKUP(CONCATENATE(A452,$B$10,B452),'ID1&amp;5'!B:J,9,FALSE),"-")</f>
        <v>-</v>
      </c>
      <c r="N452" s="79" t="str">
        <f>+IFERROR(VLOOKUP(CONCATENATE(A452,$C$10,C452),'ID1&amp;5'!B:J,8,FALSE),"-")</f>
        <v>-</v>
      </c>
      <c r="O452" s="78" t="str">
        <f>+IFERROR(VLOOKUP(C452,'ID1&amp;5'!K:L,2,FALSE),"-")</f>
        <v>-</v>
      </c>
      <c r="P452" s="79" t="str">
        <f>+IFERROR(VLOOKUP(CONCATENATE(A452,$C$10,C452),'ID1&amp;5'!B:J,9,FALSE),"-")</f>
        <v>-</v>
      </c>
      <c r="Q452" s="78" t="str">
        <f>+IFERROR(VLOOKUP(D452,'ID1&amp;5'!K:L,2,FALSE),"-")</f>
        <v>-</v>
      </c>
      <c r="R452" s="26" t="str">
        <f>+IFERROR(VLOOKUP(CONCATENATE(A452,$D$10,D452),'ID1&amp;5'!B:J,9,FALSE),"-")</f>
        <v>-</v>
      </c>
      <c r="S452" s="78" t="str">
        <f>+IFERROR(VLOOKUP(E452,'ID1&amp;5'!K:L,2,FALSE),"-")</f>
        <v>-</v>
      </c>
      <c r="T452" s="79" t="str">
        <f>+IFERROR(VLOOKUP(CONCATENATE(A452,$E$10,E452),'ID1&amp;5'!B:J,9,FALSE),"-")</f>
        <v>-</v>
      </c>
      <c r="U452" s="78" t="str">
        <f>+IFERROR(VLOOKUP(F452,'ID1&amp;5'!K:L,2,FALSE),"-")</f>
        <v>-</v>
      </c>
      <c r="V452" s="79" t="str">
        <f>+IFERROR(VLOOKUP(CONCATENATE(A452,$F$10,F452),'ID1&amp;5'!B:J,9,FALSE),"-")</f>
        <v>-</v>
      </c>
      <c r="W452" s="26" t="str">
        <f>+IFERROR(VLOOKUP(A452,'ID6&amp;7'!A:I,9,FALSE),"-")</f>
        <v>-</v>
      </c>
      <c r="X452" s="26" t="str">
        <f>+IFERROR(VLOOKUP(A452,'ID6&amp;7'!A:J,10,FALSE),"-")</f>
        <v>-</v>
      </c>
      <c r="Y452" s="26"/>
      <c r="Z452" s="27" t="str">
        <f t="shared" si="8"/>
        <v>Por iniciar</v>
      </c>
      <c r="AA452" s="65"/>
    </row>
    <row r="453" spans="1:27">
      <c r="A453" s="20"/>
      <c r="B453" s="60"/>
      <c r="C453" s="60"/>
      <c r="D453" s="60"/>
      <c r="E453" s="60"/>
      <c r="F453" s="60"/>
      <c r="G453" s="60"/>
      <c r="H453" s="65" t="s">
        <v>114</v>
      </c>
      <c r="I453" s="21" t="s">
        <v>1458</v>
      </c>
      <c r="J453" s="26">
        <f>+COUNTIF('ID1&amp;5'!G:G,'1. Status'!I453)</f>
        <v>0</v>
      </c>
      <c r="K453" s="79" t="str">
        <f>+IFERROR(VLOOKUP(CONCATENATE(A453,$B$10,B453),'ID1&amp;5'!B:J,8,FALSE),"-")</f>
        <v>-</v>
      </c>
      <c r="L453" s="78" t="str">
        <f>+IFERROR(VLOOKUP(B453,'ID1&amp;5'!K:L,2,FALSE),"-")</f>
        <v>-</v>
      </c>
      <c r="M453" s="79" t="str">
        <f>+IFERROR(VLOOKUP(CONCATENATE(A453,$B$10,B453),'ID1&amp;5'!B:J,9,FALSE),"-")</f>
        <v>-</v>
      </c>
      <c r="N453" s="79" t="str">
        <f>+IFERROR(VLOOKUP(CONCATENATE(A453,$C$10,C453),'ID1&amp;5'!B:J,8,FALSE),"-")</f>
        <v>-</v>
      </c>
      <c r="O453" s="78" t="str">
        <f>+IFERROR(VLOOKUP(C453,'ID1&amp;5'!K:L,2,FALSE),"-")</f>
        <v>-</v>
      </c>
      <c r="P453" s="79" t="str">
        <f>+IFERROR(VLOOKUP(CONCATENATE(A453,$C$10,C453),'ID1&amp;5'!B:J,9,FALSE),"-")</f>
        <v>-</v>
      </c>
      <c r="Q453" s="78" t="str">
        <f>+IFERROR(VLOOKUP(D453,'ID1&amp;5'!K:L,2,FALSE),"-")</f>
        <v>-</v>
      </c>
      <c r="R453" s="26" t="str">
        <f>+IFERROR(VLOOKUP(CONCATENATE(A453,$D$10,D453),'ID1&amp;5'!B:J,9,FALSE),"-")</f>
        <v>-</v>
      </c>
      <c r="S453" s="78" t="str">
        <f>+IFERROR(VLOOKUP(E453,'ID1&amp;5'!K:L,2,FALSE),"-")</f>
        <v>-</v>
      </c>
      <c r="T453" s="79" t="str">
        <f>+IFERROR(VLOOKUP(CONCATENATE(A453,$E$10,E453),'ID1&amp;5'!B:J,9,FALSE),"-")</f>
        <v>-</v>
      </c>
      <c r="U453" s="78" t="str">
        <f>+IFERROR(VLOOKUP(F453,'ID1&amp;5'!K:L,2,FALSE),"-")</f>
        <v>-</v>
      </c>
      <c r="V453" s="79" t="str">
        <f>+IFERROR(VLOOKUP(CONCATENATE(A453,$F$10,F453),'ID1&amp;5'!B:J,9,FALSE),"-")</f>
        <v>-</v>
      </c>
      <c r="W453" s="26" t="str">
        <f>+IFERROR(VLOOKUP(A453,'ID6&amp;7'!A:I,9,FALSE),"-")</f>
        <v>-</v>
      </c>
      <c r="X453" s="26" t="str">
        <f>+IFERROR(VLOOKUP(A453,'ID6&amp;7'!A:J,10,FALSE),"-")</f>
        <v>-</v>
      </c>
      <c r="Y453" s="26"/>
      <c r="Z453" s="27" t="str">
        <f t="shared" si="8"/>
        <v>Por iniciar</v>
      </c>
      <c r="AA453" s="65"/>
    </row>
    <row r="454" spans="1:27">
      <c r="A454" s="20"/>
      <c r="B454" s="60"/>
      <c r="C454" s="60"/>
      <c r="D454" s="60"/>
      <c r="E454" s="60"/>
      <c r="F454" s="60"/>
      <c r="G454" s="60"/>
      <c r="H454" s="65" t="s">
        <v>114</v>
      </c>
      <c r="I454" s="21" t="s">
        <v>1459</v>
      </c>
      <c r="J454" s="26">
        <f>+COUNTIF('ID1&amp;5'!G:G,'1. Status'!I454)</f>
        <v>0</v>
      </c>
      <c r="K454" s="79" t="str">
        <f>+IFERROR(VLOOKUP(CONCATENATE(A454,$B$10,B454),'ID1&amp;5'!B:J,8,FALSE),"-")</f>
        <v>-</v>
      </c>
      <c r="L454" s="78" t="str">
        <f>+IFERROR(VLOOKUP(B454,'ID1&amp;5'!K:L,2,FALSE),"-")</f>
        <v>-</v>
      </c>
      <c r="M454" s="79" t="str">
        <f>+IFERROR(VLOOKUP(CONCATENATE(A454,$B$10,B454),'ID1&amp;5'!B:J,9,FALSE),"-")</f>
        <v>-</v>
      </c>
      <c r="N454" s="79" t="str">
        <f>+IFERROR(VLOOKUP(CONCATENATE(A454,$C$10,C454),'ID1&amp;5'!B:J,8,FALSE),"-")</f>
        <v>-</v>
      </c>
      <c r="O454" s="78" t="str">
        <f>+IFERROR(VLOOKUP(C454,'ID1&amp;5'!K:L,2,FALSE),"-")</f>
        <v>-</v>
      </c>
      <c r="P454" s="79" t="str">
        <f>+IFERROR(VLOOKUP(CONCATENATE(A454,$C$10,C454),'ID1&amp;5'!B:J,9,FALSE),"-")</f>
        <v>-</v>
      </c>
      <c r="Q454" s="78" t="str">
        <f>+IFERROR(VLOOKUP(D454,'ID1&amp;5'!K:L,2,FALSE),"-")</f>
        <v>-</v>
      </c>
      <c r="R454" s="26" t="str">
        <f>+IFERROR(VLOOKUP(CONCATENATE(A454,$D$10,D454),'ID1&amp;5'!B:J,9,FALSE),"-")</f>
        <v>-</v>
      </c>
      <c r="S454" s="78" t="str">
        <f>+IFERROR(VLOOKUP(E454,'ID1&amp;5'!K:L,2,FALSE),"-")</f>
        <v>-</v>
      </c>
      <c r="T454" s="79" t="str">
        <f>+IFERROR(VLOOKUP(CONCATENATE(A454,$E$10,E454),'ID1&amp;5'!B:J,9,FALSE),"-")</f>
        <v>-</v>
      </c>
      <c r="U454" s="78" t="str">
        <f>+IFERROR(VLOOKUP(F454,'ID1&amp;5'!K:L,2,FALSE),"-")</f>
        <v>-</v>
      </c>
      <c r="V454" s="79" t="str">
        <f>+IFERROR(VLOOKUP(CONCATENATE(A454,$F$10,F454),'ID1&amp;5'!B:J,9,FALSE),"-")</f>
        <v>-</v>
      </c>
      <c r="W454" s="26" t="str">
        <f>+IFERROR(VLOOKUP(A454,'ID6&amp;7'!A:I,9,FALSE),"-")</f>
        <v>-</v>
      </c>
      <c r="X454" s="26" t="str">
        <f>+IFERROR(VLOOKUP(A454,'ID6&amp;7'!A:J,10,FALSE),"-")</f>
        <v>-</v>
      </c>
      <c r="Y454" s="26"/>
      <c r="Z454" s="27" t="str">
        <f t="shared" si="8"/>
        <v>Por iniciar</v>
      </c>
      <c r="AA454" s="65"/>
    </row>
    <row r="455" spans="1:27">
      <c r="A455" s="20"/>
      <c r="B455" s="60"/>
      <c r="C455" s="60"/>
      <c r="D455" s="60"/>
      <c r="E455" s="60"/>
      <c r="F455" s="60"/>
      <c r="G455" s="60"/>
      <c r="H455" s="65" t="s">
        <v>114</v>
      </c>
      <c r="I455" s="21" t="s">
        <v>1460</v>
      </c>
      <c r="J455" s="26">
        <f>+COUNTIF('ID1&amp;5'!G:G,'1. Status'!I455)</f>
        <v>0</v>
      </c>
      <c r="K455" s="79" t="str">
        <f>+IFERROR(VLOOKUP(CONCATENATE(A455,$B$10,B455),'ID1&amp;5'!B:J,8,FALSE),"-")</f>
        <v>-</v>
      </c>
      <c r="L455" s="78" t="str">
        <f>+IFERROR(VLOOKUP(B455,'ID1&amp;5'!K:L,2,FALSE),"-")</f>
        <v>-</v>
      </c>
      <c r="M455" s="79" t="str">
        <f>+IFERROR(VLOOKUP(CONCATENATE(A455,$B$10,B455),'ID1&amp;5'!B:J,9,FALSE),"-")</f>
        <v>-</v>
      </c>
      <c r="N455" s="79" t="str">
        <f>+IFERROR(VLOOKUP(CONCATENATE(A455,$C$10,C455),'ID1&amp;5'!B:J,8,FALSE),"-")</f>
        <v>-</v>
      </c>
      <c r="O455" s="78" t="str">
        <f>+IFERROR(VLOOKUP(C455,'ID1&amp;5'!K:L,2,FALSE),"-")</f>
        <v>-</v>
      </c>
      <c r="P455" s="79" t="str">
        <f>+IFERROR(VLOOKUP(CONCATENATE(A455,$C$10,C455),'ID1&amp;5'!B:J,9,FALSE),"-")</f>
        <v>-</v>
      </c>
      <c r="Q455" s="78" t="str">
        <f>+IFERROR(VLOOKUP(D455,'ID1&amp;5'!K:L,2,FALSE),"-")</f>
        <v>-</v>
      </c>
      <c r="R455" s="26" t="str">
        <f>+IFERROR(VLOOKUP(CONCATENATE(A455,$D$10,D455),'ID1&amp;5'!B:J,9,FALSE),"-")</f>
        <v>-</v>
      </c>
      <c r="S455" s="78" t="str">
        <f>+IFERROR(VLOOKUP(E455,'ID1&amp;5'!K:L,2,FALSE),"-")</f>
        <v>-</v>
      </c>
      <c r="T455" s="79" t="str">
        <f>+IFERROR(VLOOKUP(CONCATENATE(A455,$E$10,E455),'ID1&amp;5'!B:J,9,FALSE),"-")</f>
        <v>-</v>
      </c>
      <c r="U455" s="78" t="str">
        <f>+IFERROR(VLOOKUP(F455,'ID1&amp;5'!K:L,2,FALSE),"-")</f>
        <v>-</v>
      </c>
      <c r="V455" s="79" t="str">
        <f>+IFERROR(VLOOKUP(CONCATENATE(A455,$F$10,F455),'ID1&amp;5'!B:J,9,FALSE),"-")</f>
        <v>-</v>
      </c>
      <c r="W455" s="26" t="str">
        <f>+IFERROR(VLOOKUP(A455,'ID6&amp;7'!A:I,9,FALSE),"-")</f>
        <v>-</v>
      </c>
      <c r="X455" s="26" t="str">
        <f>+IFERROR(VLOOKUP(A455,'ID6&amp;7'!A:J,10,FALSE),"-")</f>
        <v>-</v>
      </c>
      <c r="Y455" s="26"/>
      <c r="Z455" s="27" t="str">
        <f t="shared" si="8"/>
        <v>Por iniciar</v>
      </c>
      <c r="AA455" s="65"/>
    </row>
    <row r="456" spans="1:27">
      <c r="A456" s="20"/>
      <c r="B456" s="60"/>
      <c r="C456" s="60"/>
      <c r="D456" s="60"/>
      <c r="E456" s="60"/>
      <c r="F456" s="60"/>
      <c r="G456" s="60"/>
      <c r="H456" s="65" t="s">
        <v>114</v>
      </c>
      <c r="I456" s="21" t="s">
        <v>1216</v>
      </c>
      <c r="J456" s="26">
        <f>+COUNTIF('ID1&amp;5'!G:G,'1. Status'!I456)</f>
        <v>0</v>
      </c>
      <c r="K456" s="79" t="str">
        <f>+IFERROR(VLOOKUP(CONCATENATE(A456,$B$10,B456),'ID1&amp;5'!B:J,8,FALSE),"-")</f>
        <v>-</v>
      </c>
      <c r="L456" s="78" t="str">
        <f>+IFERROR(VLOOKUP(B456,'ID1&amp;5'!K:L,2,FALSE),"-")</f>
        <v>-</v>
      </c>
      <c r="M456" s="79" t="str">
        <f>+IFERROR(VLOOKUP(CONCATENATE(A456,$B$10,B456),'ID1&amp;5'!B:J,9,FALSE),"-")</f>
        <v>-</v>
      </c>
      <c r="N456" s="79" t="str">
        <f>+IFERROR(VLOOKUP(CONCATENATE(A456,$C$10,C456),'ID1&amp;5'!B:J,8,FALSE),"-")</f>
        <v>-</v>
      </c>
      <c r="O456" s="78" t="str">
        <f>+IFERROR(VLOOKUP(C456,'ID1&amp;5'!K:L,2,FALSE),"-")</f>
        <v>-</v>
      </c>
      <c r="P456" s="79" t="str">
        <f>+IFERROR(VLOOKUP(CONCATENATE(A456,$C$10,C456),'ID1&amp;5'!B:J,9,FALSE),"-")</f>
        <v>-</v>
      </c>
      <c r="Q456" s="78" t="str">
        <f>+IFERROR(VLOOKUP(D456,'ID1&amp;5'!K:L,2,FALSE),"-")</f>
        <v>-</v>
      </c>
      <c r="R456" s="26" t="str">
        <f>+IFERROR(VLOOKUP(CONCATENATE(A456,$D$10,D456),'ID1&amp;5'!B:J,9,FALSE),"-")</f>
        <v>-</v>
      </c>
      <c r="S456" s="78" t="str">
        <f>+IFERROR(VLOOKUP(E456,'ID1&amp;5'!K:L,2,FALSE),"-")</f>
        <v>-</v>
      </c>
      <c r="T456" s="79" t="str">
        <f>+IFERROR(VLOOKUP(CONCATENATE(A456,$E$10,E456),'ID1&amp;5'!B:J,9,FALSE),"-")</f>
        <v>-</v>
      </c>
      <c r="U456" s="78" t="str">
        <f>+IFERROR(VLOOKUP(F456,'ID1&amp;5'!K:L,2,FALSE),"-")</f>
        <v>-</v>
      </c>
      <c r="V456" s="79" t="str">
        <f>+IFERROR(VLOOKUP(CONCATENATE(A456,$F$10,F456),'ID1&amp;5'!B:J,9,FALSE),"-")</f>
        <v>-</v>
      </c>
      <c r="W456" s="26" t="str">
        <f>+IFERROR(VLOOKUP(A456,'ID6&amp;7'!A:I,9,FALSE),"-")</f>
        <v>-</v>
      </c>
      <c r="X456" s="26" t="str">
        <f>+IFERROR(VLOOKUP(A456,'ID6&amp;7'!A:J,10,FALSE),"-")</f>
        <v>-</v>
      </c>
      <c r="Y456" s="26"/>
      <c r="Z456" s="27" t="str">
        <f t="shared" si="8"/>
        <v>Por iniciar</v>
      </c>
      <c r="AA456" s="65"/>
    </row>
    <row r="457" spans="1:27">
      <c r="A457" s="20"/>
      <c r="B457" s="60"/>
      <c r="C457" s="60"/>
      <c r="D457" s="60"/>
      <c r="E457" s="60"/>
      <c r="F457" s="60"/>
      <c r="G457" s="60"/>
      <c r="H457" s="65" t="s">
        <v>114</v>
      </c>
      <c r="I457" s="21" t="s">
        <v>1219</v>
      </c>
      <c r="J457" s="26">
        <f>+COUNTIF('ID1&amp;5'!G:G,'1. Status'!I457)</f>
        <v>0</v>
      </c>
      <c r="K457" s="79" t="str">
        <f>+IFERROR(VLOOKUP(CONCATENATE(A457,$B$10,B457),'ID1&amp;5'!B:J,8,FALSE),"-")</f>
        <v>-</v>
      </c>
      <c r="L457" s="78" t="str">
        <f>+IFERROR(VLOOKUP(B457,'ID1&amp;5'!K:L,2,FALSE),"-")</f>
        <v>-</v>
      </c>
      <c r="M457" s="79" t="str">
        <f>+IFERROR(VLOOKUP(CONCATENATE(A457,$B$10,B457),'ID1&amp;5'!B:J,9,FALSE),"-")</f>
        <v>-</v>
      </c>
      <c r="N457" s="79" t="str">
        <f>+IFERROR(VLOOKUP(CONCATENATE(A457,$C$10,C457),'ID1&amp;5'!B:J,8,FALSE),"-")</f>
        <v>-</v>
      </c>
      <c r="O457" s="78" t="str">
        <f>+IFERROR(VLOOKUP(C457,'ID1&amp;5'!K:L,2,FALSE),"-")</f>
        <v>-</v>
      </c>
      <c r="P457" s="79" t="str">
        <f>+IFERROR(VLOOKUP(CONCATENATE(A457,$C$10,C457),'ID1&amp;5'!B:J,9,FALSE),"-")</f>
        <v>-</v>
      </c>
      <c r="Q457" s="78" t="str">
        <f>+IFERROR(VLOOKUP(D457,'ID1&amp;5'!K:L,2,FALSE),"-")</f>
        <v>-</v>
      </c>
      <c r="R457" s="26" t="str">
        <f>+IFERROR(VLOOKUP(CONCATENATE(A457,$D$10,D457),'ID1&amp;5'!B:J,9,FALSE),"-")</f>
        <v>-</v>
      </c>
      <c r="S457" s="78" t="str">
        <f>+IFERROR(VLOOKUP(E457,'ID1&amp;5'!K:L,2,FALSE),"-")</f>
        <v>-</v>
      </c>
      <c r="T457" s="79" t="str">
        <f>+IFERROR(VLOOKUP(CONCATENATE(A457,$E$10,E457),'ID1&amp;5'!B:J,9,FALSE),"-")</f>
        <v>-</v>
      </c>
      <c r="U457" s="78" t="str">
        <f>+IFERROR(VLOOKUP(F457,'ID1&amp;5'!K:L,2,FALSE),"-")</f>
        <v>-</v>
      </c>
      <c r="V457" s="79" t="str">
        <f>+IFERROR(VLOOKUP(CONCATENATE(A457,$F$10,F457),'ID1&amp;5'!B:J,9,FALSE),"-")</f>
        <v>-</v>
      </c>
      <c r="W457" s="26" t="str">
        <f>+IFERROR(VLOOKUP(A457,'ID6&amp;7'!A:I,9,FALSE),"-")</f>
        <v>-</v>
      </c>
      <c r="X457" s="26" t="str">
        <f>+IFERROR(VLOOKUP(A457,'ID6&amp;7'!A:J,10,FALSE),"-")</f>
        <v>-</v>
      </c>
      <c r="Y457" s="26"/>
      <c r="Z457" s="27" t="str">
        <f t="shared" si="8"/>
        <v>Por iniciar</v>
      </c>
      <c r="AA457" s="65"/>
    </row>
    <row r="458" spans="1:27">
      <c r="A458" s="20"/>
      <c r="B458" s="60"/>
      <c r="C458" s="60"/>
      <c r="D458" s="60"/>
      <c r="E458" s="60"/>
      <c r="F458" s="60"/>
      <c r="G458" s="60"/>
      <c r="H458" s="65" t="s">
        <v>114</v>
      </c>
      <c r="I458" s="21" t="s">
        <v>1220</v>
      </c>
      <c r="J458" s="26">
        <f>+COUNTIF('ID1&amp;5'!G:G,'1. Status'!I458)</f>
        <v>0</v>
      </c>
      <c r="K458" s="79" t="str">
        <f>+IFERROR(VLOOKUP(CONCATENATE(A458,$B$10,B458),'ID1&amp;5'!B:J,8,FALSE),"-")</f>
        <v>-</v>
      </c>
      <c r="L458" s="78" t="str">
        <f>+IFERROR(VLOOKUP(B458,'ID1&amp;5'!K:L,2,FALSE),"-")</f>
        <v>-</v>
      </c>
      <c r="M458" s="79" t="str">
        <f>+IFERROR(VLOOKUP(CONCATENATE(A458,$B$10,B458),'ID1&amp;5'!B:J,9,FALSE),"-")</f>
        <v>-</v>
      </c>
      <c r="N458" s="79" t="str">
        <f>+IFERROR(VLOOKUP(CONCATENATE(A458,$C$10,C458),'ID1&amp;5'!B:J,8,FALSE),"-")</f>
        <v>-</v>
      </c>
      <c r="O458" s="78" t="str">
        <f>+IFERROR(VLOOKUP(C458,'ID1&amp;5'!K:L,2,FALSE),"-")</f>
        <v>-</v>
      </c>
      <c r="P458" s="79" t="str">
        <f>+IFERROR(VLOOKUP(CONCATENATE(A458,$C$10,C458),'ID1&amp;5'!B:J,9,FALSE),"-")</f>
        <v>-</v>
      </c>
      <c r="Q458" s="78" t="str">
        <f>+IFERROR(VLOOKUP(D458,'ID1&amp;5'!K:L,2,FALSE),"-")</f>
        <v>-</v>
      </c>
      <c r="R458" s="26" t="str">
        <f>+IFERROR(VLOOKUP(CONCATENATE(A458,$D$10,D458),'ID1&amp;5'!B:J,9,FALSE),"-")</f>
        <v>-</v>
      </c>
      <c r="S458" s="78" t="str">
        <f>+IFERROR(VLOOKUP(E458,'ID1&amp;5'!K:L,2,FALSE),"-")</f>
        <v>-</v>
      </c>
      <c r="T458" s="79" t="str">
        <f>+IFERROR(VLOOKUP(CONCATENATE(A458,$E$10,E458),'ID1&amp;5'!B:J,9,FALSE),"-")</f>
        <v>-</v>
      </c>
      <c r="U458" s="78" t="str">
        <f>+IFERROR(VLOOKUP(F458,'ID1&amp;5'!K:L,2,FALSE),"-")</f>
        <v>-</v>
      </c>
      <c r="V458" s="79" t="str">
        <f>+IFERROR(VLOOKUP(CONCATENATE(A458,$F$10,F458),'ID1&amp;5'!B:J,9,FALSE),"-")</f>
        <v>-</v>
      </c>
      <c r="W458" s="26" t="str">
        <f>+IFERROR(VLOOKUP(A458,'ID6&amp;7'!A:I,9,FALSE),"-")</f>
        <v>-</v>
      </c>
      <c r="X458" s="26" t="str">
        <f>+IFERROR(VLOOKUP(A458,'ID6&amp;7'!A:J,10,FALSE),"-")</f>
        <v>-</v>
      </c>
      <c r="Y458" s="26"/>
      <c r="Z458" s="27" t="str">
        <f t="shared" si="8"/>
        <v>Por iniciar</v>
      </c>
      <c r="AA458" s="65"/>
    </row>
    <row r="459" spans="1:27">
      <c r="A459" s="20"/>
      <c r="B459" s="60"/>
      <c r="C459" s="60"/>
      <c r="D459" s="60"/>
      <c r="E459" s="60"/>
      <c r="F459" s="60"/>
      <c r="G459" s="60"/>
      <c r="H459" s="65" t="s">
        <v>114</v>
      </c>
      <c r="I459" s="21" t="s">
        <v>1231</v>
      </c>
      <c r="J459" s="26">
        <f>+COUNTIF('ID1&amp;5'!G:G,'1. Status'!I459)</f>
        <v>0</v>
      </c>
      <c r="K459" s="79" t="str">
        <f>+IFERROR(VLOOKUP(CONCATENATE(A459,$B$10,B459),'ID1&amp;5'!B:J,8,FALSE),"-")</f>
        <v>-</v>
      </c>
      <c r="L459" s="78" t="str">
        <f>+IFERROR(VLOOKUP(B459,'ID1&amp;5'!K:L,2,FALSE),"-")</f>
        <v>-</v>
      </c>
      <c r="M459" s="79" t="str">
        <f>+IFERROR(VLOOKUP(CONCATENATE(A459,$B$10,B459),'ID1&amp;5'!B:J,9,FALSE),"-")</f>
        <v>-</v>
      </c>
      <c r="N459" s="79" t="str">
        <f>+IFERROR(VLOOKUP(CONCATENATE(A459,$C$10,C459),'ID1&amp;5'!B:J,8,FALSE),"-")</f>
        <v>-</v>
      </c>
      <c r="O459" s="78" t="str">
        <f>+IFERROR(VLOOKUP(C459,'ID1&amp;5'!K:L,2,FALSE),"-")</f>
        <v>-</v>
      </c>
      <c r="P459" s="79" t="str">
        <f>+IFERROR(VLOOKUP(CONCATENATE(A459,$C$10,C459),'ID1&amp;5'!B:J,9,FALSE),"-")</f>
        <v>-</v>
      </c>
      <c r="Q459" s="78" t="str">
        <f>+IFERROR(VLOOKUP(D459,'ID1&amp;5'!K:L,2,FALSE),"-")</f>
        <v>-</v>
      </c>
      <c r="R459" s="26" t="str">
        <f>+IFERROR(VLOOKUP(CONCATENATE(A459,$D$10,D459),'ID1&amp;5'!B:J,9,FALSE),"-")</f>
        <v>-</v>
      </c>
      <c r="S459" s="78" t="str">
        <f>+IFERROR(VLOOKUP(E459,'ID1&amp;5'!K:L,2,FALSE),"-")</f>
        <v>-</v>
      </c>
      <c r="T459" s="79" t="str">
        <f>+IFERROR(VLOOKUP(CONCATENATE(A459,$E$10,E459),'ID1&amp;5'!B:J,9,FALSE),"-")</f>
        <v>-</v>
      </c>
      <c r="U459" s="78" t="str">
        <f>+IFERROR(VLOOKUP(F459,'ID1&amp;5'!K:L,2,FALSE),"-")</f>
        <v>-</v>
      </c>
      <c r="V459" s="79" t="str">
        <f>+IFERROR(VLOOKUP(CONCATENATE(A459,$F$10,F459),'ID1&amp;5'!B:J,9,FALSE),"-")</f>
        <v>-</v>
      </c>
      <c r="W459" s="26" t="str">
        <f>+IFERROR(VLOOKUP(A459,'ID6&amp;7'!A:I,9,FALSE),"-")</f>
        <v>-</v>
      </c>
      <c r="X459" s="26" t="str">
        <f>+IFERROR(VLOOKUP(A459,'ID6&amp;7'!A:J,10,FALSE),"-")</f>
        <v>-</v>
      </c>
      <c r="Y459" s="26"/>
      <c r="Z459" s="27" t="str">
        <f t="shared" si="8"/>
        <v>Por iniciar</v>
      </c>
      <c r="AA459" s="65"/>
    </row>
    <row r="460" spans="1:27">
      <c r="A460" s="20"/>
      <c r="B460" s="60"/>
      <c r="C460" s="60"/>
      <c r="D460" s="60"/>
      <c r="E460" s="60"/>
      <c r="F460" s="60"/>
      <c r="G460" s="60"/>
      <c r="H460" s="65" t="s">
        <v>114</v>
      </c>
      <c r="I460" s="21" t="s">
        <v>1232</v>
      </c>
      <c r="J460" s="26">
        <f>+COUNTIF('ID1&amp;5'!G:G,'1. Status'!I460)</f>
        <v>0</v>
      </c>
      <c r="K460" s="79" t="str">
        <f>+IFERROR(VLOOKUP(CONCATENATE(A460,$B$10,B460),'ID1&amp;5'!B:J,8,FALSE),"-")</f>
        <v>-</v>
      </c>
      <c r="L460" s="78" t="str">
        <f>+IFERROR(VLOOKUP(B460,'ID1&amp;5'!K:L,2,FALSE),"-")</f>
        <v>-</v>
      </c>
      <c r="M460" s="79" t="str">
        <f>+IFERROR(VLOOKUP(CONCATENATE(A460,$B$10,B460),'ID1&amp;5'!B:J,9,FALSE),"-")</f>
        <v>-</v>
      </c>
      <c r="N460" s="79" t="str">
        <f>+IFERROR(VLOOKUP(CONCATENATE(A460,$C$10,C460),'ID1&amp;5'!B:J,8,FALSE),"-")</f>
        <v>-</v>
      </c>
      <c r="O460" s="78" t="str">
        <f>+IFERROR(VLOOKUP(C460,'ID1&amp;5'!K:L,2,FALSE),"-")</f>
        <v>-</v>
      </c>
      <c r="P460" s="79" t="str">
        <f>+IFERROR(VLOOKUP(CONCATENATE(A460,$C$10,C460),'ID1&amp;5'!B:J,9,FALSE),"-")</f>
        <v>-</v>
      </c>
      <c r="Q460" s="78" t="str">
        <f>+IFERROR(VLOOKUP(D460,'ID1&amp;5'!K:L,2,FALSE),"-")</f>
        <v>-</v>
      </c>
      <c r="R460" s="26" t="str">
        <f>+IFERROR(VLOOKUP(CONCATENATE(A460,$D$10,D460),'ID1&amp;5'!B:J,9,FALSE),"-")</f>
        <v>-</v>
      </c>
      <c r="S460" s="78" t="str">
        <f>+IFERROR(VLOOKUP(E460,'ID1&amp;5'!K:L,2,FALSE),"-")</f>
        <v>-</v>
      </c>
      <c r="T460" s="79" t="str">
        <f>+IFERROR(VLOOKUP(CONCATENATE(A460,$E$10,E460),'ID1&amp;5'!B:J,9,FALSE),"-")</f>
        <v>-</v>
      </c>
      <c r="U460" s="78" t="str">
        <f>+IFERROR(VLOOKUP(F460,'ID1&amp;5'!K:L,2,FALSE),"-")</f>
        <v>-</v>
      </c>
      <c r="V460" s="79" t="str">
        <f>+IFERROR(VLOOKUP(CONCATENATE(A460,$F$10,F460),'ID1&amp;5'!B:J,9,FALSE),"-")</f>
        <v>-</v>
      </c>
      <c r="W460" s="26" t="str">
        <f>+IFERROR(VLOOKUP(A460,'ID6&amp;7'!A:I,9,FALSE),"-")</f>
        <v>-</v>
      </c>
      <c r="X460" s="26" t="str">
        <f>+IFERROR(VLOOKUP(A460,'ID6&amp;7'!A:J,10,FALSE),"-")</f>
        <v>-</v>
      </c>
      <c r="Y460" s="26"/>
      <c r="Z460" s="27" t="str">
        <f t="shared" si="8"/>
        <v>Por iniciar</v>
      </c>
      <c r="AA460" s="65"/>
    </row>
    <row r="461" spans="1:27">
      <c r="A461" s="20"/>
      <c r="B461" s="60"/>
      <c r="C461" s="60"/>
      <c r="D461" s="60"/>
      <c r="E461" s="60"/>
      <c r="F461" s="60"/>
      <c r="G461" s="60"/>
      <c r="H461" s="65" t="s">
        <v>114</v>
      </c>
      <c r="I461" s="21" t="s">
        <v>1233</v>
      </c>
      <c r="J461" s="26">
        <f>+COUNTIF('ID1&amp;5'!G:G,'1. Status'!I461)</f>
        <v>0</v>
      </c>
      <c r="K461" s="79" t="str">
        <f>+IFERROR(VLOOKUP(CONCATENATE(A461,$B$10,B461),'ID1&amp;5'!B:J,8,FALSE),"-")</f>
        <v>-</v>
      </c>
      <c r="L461" s="78" t="str">
        <f>+IFERROR(VLOOKUP(B461,'ID1&amp;5'!K:L,2,FALSE),"-")</f>
        <v>-</v>
      </c>
      <c r="M461" s="79" t="str">
        <f>+IFERROR(VLOOKUP(CONCATENATE(A461,$B$10,B461),'ID1&amp;5'!B:J,9,FALSE),"-")</f>
        <v>-</v>
      </c>
      <c r="N461" s="79" t="str">
        <f>+IFERROR(VLOOKUP(CONCATENATE(A461,$C$10,C461),'ID1&amp;5'!B:J,8,FALSE),"-")</f>
        <v>-</v>
      </c>
      <c r="O461" s="78" t="str">
        <f>+IFERROR(VLOOKUP(C461,'ID1&amp;5'!K:L,2,FALSE),"-")</f>
        <v>-</v>
      </c>
      <c r="P461" s="79" t="str">
        <f>+IFERROR(VLOOKUP(CONCATENATE(A461,$C$10,C461),'ID1&amp;5'!B:J,9,FALSE),"-")</f>
        <v>-</v>
      </c>
      <c r="Q461" s="78" t="str">
        <f>+IFERROR(VLOOKUP(D461,'ID1&amp;5'!K:L,2,FALSE),"-")</f>
        <v>-</v>
      </c>
      <c r="R461" s="26" t="str">
        <f>+IFERROR(VLOOKUP(CONCATENATE(A461,$D$10,D461),'ID1&amp;5'!B:J,9,FALSE),"-")</f>
        <v>-</v>
      </c>
      <c r="S461" s="78" t="str">
        <f>+IFERROR(VLOOKUP(E461,'ID1&amp;5'!K:L,2,FALSE),"-")</f>
        <v>-</v>
      </c>
      <c r="T461" s="79" t="str">
        <f>+IFERROR(VLOOKUP(CONCATENATE(A461,$E$10,E461),'ID1&amp;5'!B:J,9,FALSE),"-")</f>
        <v>-</v>
      </c>
      <c r="U461" s="78" t="str">
        <f>+IFERROR(VLOOKUP(F461,'ID1&amp;5'!K:L,2,FALSE),"-")</f>
        <v>-</v>
      </c>
      <c r="V461" s="79" t="str">
        <f>+IFERROR(VLOOKUP(CONCATENATE(A461,$F$10,F461),'ID1&amp;5'!B:J,9,FALSE),"-")</f>
        <v>-</v>
      </c>
      <c r="W461" s="26" t="str">
        <f>+IFERROR(VLOOKUP(A461,'ID6&amp;7'!A:I,9,FALSE),"-")</f>
        <v>-</v>
      </c>
      <c r="X461" s="26" t="str">
        <f>+IFERROR(VLOOKUP(A461,'ID6&amp;7'!A:J,10,FALSE),"-")</f>
        <v>-</v>
      </c>
      <c r="Y461" s="26"/>
      <c r="Z461" s="27" t="str">
        <f t="shared" si="8"/>
        <v>Por iniciar</v>
      </c>
      <c r="AA461" s="65"/>
    </row>
    <row r="462" spans="1:27">
      <c r="A462" s="20"/>
      <c r="B462" s="60"/>
      <c r="C462" s="60"/>
      <c r="D462" s="60"/>
      <c r="E462" s="60"/>
      <c r="F462" s="60"/>
      <c r="G462" s="60"/>
      <c r="H462" s="65" t="s">
        <v>114</v>
      </c>
      <c r="I462" s="21" t="s">
        <v>1234</v>
      </c>
      <c r="J462" s="26">
        <f>+COUNTIF('ID1&amp;5'!G:G,'1. Status'!I462)</f>
        <v>0</v>
      </c>
      <c r="K462" s="79" t="str">
        <f>+IFERROR(VLOOKUP(CONCATENATE(A462,$B$10,B462),'ID1&amp;5'!B:J,8,FALSE),"-")</f>
        <v>-</v>
      </c>
      <c r="L462" s="78" t="str">
        <f>+IFERROR(VLOOKUP(B462,'ID1&amp;5'!K:L,2,FALSE),"-")</f>
        <v>-</v>
      </c>
      <c r="M462" s="79" t="str">
        <f>+IFERROR(VLOOKUP(CONCATENATE(A462,$B$10,B462),'ID1&amp;5'!B:J,9,FALSE),"-")</f>
        <v>-</v>
      </c>
      <c r="N462" s="79" t="str">
        <f>+IFERROR(VLOOKUP(CONCATENATE(A462,$C$10,C462),'ID1&amp;5'!B:J,8,FALSE),"-")</f>
        <v>-</v>
      </c>
      <c r="O462" s="78" t="str">
        <f>+IFERROR(VLOOKUP(C462,'ID1&amp;5'!K:L,2,FALSE),"-")</f>
        <v>-</v>
      </c>
      <c r="P462" s="79" t="str">
        <f>+IFERROR(VLOOKUP(CONCATENATE(A462,$C$10,C462),'ID1&amp;5'!B:J,9,FALSE),"-")</f>
        <v>-</v>
      </c>
      <c r="Q462" s="78" t="str">
        <f>+IFERROR(VLOOKUP(D462,'ID1&amp;5'!K:L,2,FALSE),"-")</f>
        <v>-</v>
      </c>
      <c r="R462" s="26" t="str">
        <f>+IFERROR(VLOOKUP(CONCATENATE(A462,$D$10,D462),'ID1&amp;5'!B:J,9,FALSE),"-")</f>
        <v>-</v>
      </c>
      <c r="S462" s="78" t="str">
        <f>+IFERROR(VLOOKUP(E462,'ID1&amp;5'!K:L,2,FALSE),"-")</f>
        <v>-</v>
      </c>
      <c r="T462" s="79" t="str">
        <f>+IFERROR(VLOOKUP(CONCATENATE(A462,$E$10,E462),'ID1&amp;5'!B:J,9,FALSE),"-")</f>
        <v>-</v>
      </c>
      <c r="U462" s="78" t="str">
        <f>+IFERROR(VLOOKUP(F462,'ID1&amp;5'!K:L,2,FALSE),"-")</f>
        <v>-</v>
      </c>
      <c r="V462" s="79" t="str">
        <f>+IFERROR(VLOOKUP(CONCATENATE(A462,$F$10,F462),'ID1&amp;5'!B:J,9,FALSE),"-")</f>
        <v>-</v>
      </c>
      <c r="W462" s="26" t="str">
        <f>+IFERROR(VLOOKUP(A462,'ID6&amp;7'!A:I,9,FALSE),"-")</f>
        <v>-</v>
      </c>
      <c r="X462" s="26" t="str">
        <f>+IFERROR(VLOOKUP(A462,'ID6&amp;7'!A:J,10,FALSE),"-")</f>
        <v>-</v>
      </c>
      <c r="Y462" s="26"/>
      <c r="Z462" s="27" t="str">
        <f t="shared" si="8"/>
        <v>Por iniciar</v>
      </c>
      <c r="AA462" s="65"/>
    </row>
    <row r="463" spans="1:27">
      <c r="A463" s="20"/>
      <c r="B463" s="60"/>
      <c r="C463" s="60"/>
      <c r="D463" s="60"/>
      <c r="E463" s="60"/>
      <c r="F463" s="60"/>
      <c r="G463" s="60"/>
      <c r="H463" s="65" t="s">
        <v>114</v>
      </c>
      <c r="I463" s="21" t="s">
        <v>1235</v>
      </c>
      <c r="J463" s="26">
        <f>+COUNTIF('ID1&amp;5'!G:G,'1. Status'!I463)</f>
        <v>0</v>
      </c>
      <c r="K463" s="79" t="str">
        <f>+IFERROR(VLOOKUP(CONCATENATE(A463,$B$10,B463),'ID1&amp;5'!B:J,8,FALSE),"-")</f>
        <v>-</v>
      </c>
      <c r="L463" s="78" t="str">
        <f>+IFERROR(VLOOKUP(B463,'ID1&amp;5'!K:L,2,FALSE),"-")</f>
        <v>-</v>
      </c>
      <c r="M463" s="79" t="str">
        <f>+IFERROR(VLOOKUP(CONCATENATE(A463,$B$10,B463),'ID1&amp;5'!B:J,9,FALSE),"-")</f>
        <v>-</v>
      </c>
      <c r="N463" s="79" t="str">
        <f>+IFERROR(VLOOKUP(CONCATENATE(A463,$C$10,C463),'ID1&amp;5'!B:J,8,FALSE),"-")</f>
        <v>-</v>
      </c>
      <c r="O463" s="78" t="str">
        <f>+IFERROR(VLOOKUP(C463,'ID1&amp;5'!K:L,2,FALSE),"-")</f>
        <v>-</v>
      </c>
      <c r="P463" s="79" t="str">
        <f>+IFERROR(VLOOKUP(CONCATENATE(A463,$C$10,C463),'ID1&amp;5'!B:J,9,FALSE),"-")</f>
        <v>-</v>
      </c>
      <c r="Q463" s="78" t="str">
        <f>+IFERROR(VLOOKUP(D463,'ID1&amp;5'!K:L,2,FALSE),"-")</f>
        <v>-</v>
      </c>
      <c r="R463" s="26" t="str">
        <f>+IFERROR(VLOOKUP(CONCATENATE(A463,$D$10,D463),'ID1&amp;5'!B:J,9,FALSE),"-")</f>
        <v>-</v>
      </c>
      <c r="S463" s="78" t="str">
        <f>+IFERROR(VLOOKUP(E463,'ID1&amp;5'!K:L,2,FALSE),"-")</f>
        <v>-</v>
      </c>
      <c r="T463" s="79" t="str">
        <f>+IFERROR(VLOOKUP(CONCATENATE(A463,$E$10,E463),'ID1&amp;5'!B:J,9,FALSE),"-")</f>
        <v>-</v>
      </c>
      <c r="U463" s="78" t="str">
        <f>+IFERROR(VLOOKUP(F463,'ID1&amp;5'!K:L,2,FALSE),"-")</f>
        <v>-</v>
      </c>
      <c r="V463" s="79" t="str">
        <f>+IFERROR(VLOOKUP(CONCATENATE(A463,$F$10,F463),'ID1&amp;5'!B:J,9,FALSE),"-")</f>
        <v>-</v>
      </c>
      <c r="W463" s="26" t="str">
        <f>+IFERROR(VLOOKUP(A463,'ID6&amp;7'!A:I,9,FALSE),"-")</f>
        <v>-</v>
      </c>
      <c r="X463" s="26" t="str">
        <f>+IFERROR(VLOOKUP(A463,'ID6&amp;7'!A:J,10,FALSE),"-")</f>
        <v>-</v>
      </c>
      <c r="Y463" s="26"/>
      <c r="Z463" s="27" t="str">
        <f t="shared" si="8"/>
        <v>Por iniciar</v>
      </c>
      <c r="AA463" s="65"/>
    </row>
    <row r="464" spans="1:27">
      <c r="A464" s="20"/>
      <c r="B464" s="60"/>
      <c r="C464" s="60"/>
      <c r="D464" s="60"/>
      <c r="E464" s="60"/>
      <c r="F464" s="60"/>
      <c r="G464" s="60"/>
      <c r="H464" s="65" t="s">
        <v>114</v>
      </c>
      <c r="I464" s="21" t="s">
        <v>1236</v>
      </c>
      <c r="J464" s="26">
        <f>+COUNTIF('ID1&amp;5'!G:G,'1. Status'!I464)</f>
        <v>0</v>
      </c>
      <c r="K464" s="79" t="str">
        <f>+IFERROR(VLOOKUP(CONCATENATE(A464,$B$10,B464),'ID1&amp;5'!B:J,8,FALSE),"-")</f>
        <v>-</v>
      </c>
      <c r="L464" s="78" t="str">
        <f>+IFERROR(VLOOKUP(B464,'ID1&amp;5'!K:L,2,FALSE),"-")</f>
        <v>-</v>
      </c>
      <c r="M464" s="79" t="str">
        <f>+IFERROR(VLOOKUP(CONCATENATE(A464,$B$10,B464),'ID1&amp;5'!B:J,9,FALSE),"-")</f>
        <v>-</v>
      </c>
      <c r="N464" s="79" t="str">
        <f>+IFERROR(VLOOKUP(CONCATENATE(A464,$C$10,C464),'ID1&amp;5'!B:J,8,FALSE),"-")</f>
        <v>-</v>
      </c>
      <c r="O464" s="78" t="str">
        <f>+IFERROR(VLOOKUP(C464,'ID1&amp;5'!K:L,2,FALSE),"-")</f>
        <v>-</v>
      </c>
      <c r="P464" s="79" t="str">
        <f>+IFERROR(VLOOKUP(CONCATENATE(A464,$C$10,C464),'ID1&amp;5'!B:J,9,FALSE),"-")</f>
        <v>-</v>
      </c>
      <c r="Q464" s="78" t="str">
        <f>+IFERROR(VLOOKUP(D464,'ID1&amp;5'!K:L,2,FALSE),"-")</f>
        <v>-</v>
      </c>
      <c r="R464" s="26" t="str">
        <f>+IFERROR(VLOOKUP(CONCATENATE(A464,$D$10,D464),'ID1&amp;5'!B:J,9,FALSE),"-")</f>
        <v>-</v>
      </c>
      <c r="S464" s="78" t="str">
        <f>+IFERROR(VLOOKUP(E464,'ID1&amp;5'!K:L,2,FALSE),"-")</f>
        <v>-</v>
      </c>
      <c r="T464" s="79" t="str">
        <f>+IFERROR(VLOOKUP(CONCATENATE(A464,$E$10,E464),'ID1&amp;5'!B:J,9,FALSE),"-")</f>
        <v>-</v>
      </c>
      <c r="U464" s="78" t="str">
        <f>+IFERROR(VLOOKUP(F464,'ID1&amp;5'!K:L,2,FALSE),"-")</f>
        <v>-</v>
      </c>
      <c r="V464" s="79" t="str">
        <f>+IFERROR(VLOOKUP(CONCATENATE(A464,$F$10,F464),'ID1&amp;5'!B:J,9,FALSE),"-")</f>
        <v>-</v>
      </c>
      <c r="W464" s="26" t="str">
        <f>+IFERROR(VLOOKUP(A464,'ID6&amp;7'!A:I,9,FALSE),"-")</f>
        <v>-</v>
      </c>
      <c r="X464" s="26" t="str">
        <f>+IFERROR(VLOOKUP(A464,'ID6&amp;7'!A:J,10,FALSE),"-")</f>
        <v>-</v>
      </c>
      <c r="Y464" s="26"/>
      <c r="Z464" s="27" t="str">
        <f t="shared" si="8"/>
        <v>Por iniciar</v>
      </c>
      <c r="AA464" s="65"/>
    </row>
    <row r="465" spans="1:27">
      <c r="A465" s="20"/>
      <c r="B465" s="60"/>
      <c r="C465" s="60"/>
      <c r="D465" s="60"/>
      <c r="E465" s="60"/>
      <c r="F465" s="60"/>
      <c r="G465" s="60"/>
      <c r="H465" s="65" t="s">
        <v>114</v>
      </c>
      <c r="I465" s="21" t="s">
        <v>1237</v>
      </c>
      <c r="J465" s="26">
        <f>+COUNTIF('ID1&amp;5'!G:G,'1. Status'!I465)</f>
        <v>0</v>
      </c>
      <c r="K465" s="79" t="str">
        <f>+IFERROR(VLOOKUP(CONCATENATE(A465,$B$10,B465),'ID1&amp;5'!B:J,8,FALSE),"-")</f>
        <v>-</v>
      </c>
      <c r="L465" s="78" t="str">
        <f>+IFERROR(VLOOKUP(B465,'ID1&amp;5'!K:L,2,FALSE),"-")</f>
        <v>-</v>
      </c>
      <c r="M465" s="79" t="str">
        <f>+IFERROR(VLOOKUP(CONCATENATE(A465,$B$10,B465),'ID1&amp;5'!B:J,9,FALSE),"-")</f>
        <v>-</v>
      </c>
      <c r="N465" s="79" t="str">
        <f>+IFERROR(VLOOKUP(CONCATENATE(A465,$C$10,C465),'ID1&amp;5'!B:J,8,FALSE),"-")</f>
        <v>-</v>
      </c>
      <c r="O465" s="78" t="str">
        <f>+IFERROR(VLOOKUP(C465,'ID1&amp;5'!K:L,2,FALSE),"-")</f>
        <v>-</v>
      </c>
      <c r="P465" s="79" t="str">
        <f>+IFERROR(VLOOKUP(CONCATENATE(A465,$C$10,C465),'ID1&amp;5'!B:J,9,FALSE),"-")</f>
        <v>-</v>
      </c>
      <c r="Q465" s="78" t="str">
        <f>+IFERROR(VLOOKUP(D465,'ID1&amp;5'!K:L,2,FALSE),"-")</f>
        <v>-</v>
      </c>
      <c r="R465" s="26" t="str">
        <f>+IFERROR(VLOOKUP(CONCATENATE(A465,$D$10,D465),'ID1&amp;5'!B:J,9,FALSE),"-")</f>
        <v>-</v>
      </c>
      <c r="S465" s="78" t="str">
        <f>+IFERROR(VLOOKUP(E465,'ID1&amp;5'!K:L,2,FALSE),"-")</f>
        <v>-</v>
      </c>
      <c r="T465" s="79" t="str">
        <f>+IFERROR(VLOOKUP(CONCATENATE(A465,$E$10,E465),'ID1&amp;5'!B:J,9,FALSE),"-")</f>
        <v>-</v>
      </c>
      <c r="U465" s="78" t="str">
        <f>+IFERROR(VLOOKUP(F465,'ID1&amp;5'!K:L,2,FALSE),"-")</f>
        <v>-</v>
      </c>
      <c r="V465" s="79" t="str">
        <f>+IFERROR(VLOOKUP(CONCATENATE(A465,$F$10,F465),'ID1&amp;5'!B:J,9,FALSE),"-")</f>
        <v>-</v>
      </c>
      <c r="W465" s="26" t="str">
        <f>+IFERROR(VLOOKUP(A465,'ID6&amp;7'!A:I,9,FALSE),"-")</f>
        <v>-</v>
      </c>
      <c r="X465" s="26" t="str">
        <f>+IFERROR(VLOOKUP(A465,'ID6&amp;7'!A:J,10,FALSE),"-")</f>
        <v>-</v>
      </c>
      <c r="Y465" s="26"/>
      <c r="Z465" s="27" t="str">
        <f t="shared" si="8"/>
        <v>Por iniciar</v>
      </c>
      <c r="AA465" s="65"/>
    </row>
    <row r="466" spans="1:27">
      <c r="A466" s="20"/>
      <c r="B466" s="60"/>
      <c r="C466" s="60"/>
      <c r="D466" s="60"/>
      <c r="E466" s="60"/>
      <c r="F466" s="60"/>
      <c r="G466" s="60"/>
      <c r="H466" s="65" t="s">
        <v>114</v>
      </c>
      <c r="I466" s="21" t="s">
        <v>1238</v>
      </c>
      <c r="J466" s="26">
        <f>+COUNTIF('ID1&amp;5'!G:G,'1. Status'!I466)</f>
        <v>0</v>
      </c>
      <c r="K466" s="79" t="str">
        <f>+IFERROR(VLOOKUP(CONCATENATE(A466,$B$10,B466),'ID1&amp;5'!B:J,8,FALSE),"-")</f>
        <v>-</v>
      </c>
      <c r="L466" s="78" t="str">
        <f>+IFERROR(VLOOKUP(B466,'ID1&amp;5'!K:L,2,FALSE),"-")</f>
        <v>-</v>
      </c>
      <c r="M466" s="79" t="str">
        <f>+IFERROR(VLOOKUP(CONCATENATE(A466,$B$10,B466),'ID1&amp;5'!B:J,9,FALSE),"-")</f>
        <v>-</v>
      </c>
      <c r="N466" s="79" t="str">
        <f>+IFERROR(VLOOKUP(CONCATENATE(A466,$C$10,C466),'ID1&amp;5'!B:J,8,FALSE),"-")</f>
        <v>-</v>
      </c>
      <c r="O466" s="78" t="str">
        <f>+IFERROR(VLOOKUP(C466,'ID1&amp;5'!K:L,2,FALSE),"-")</f>
        <v>-</v>
      </c>
      <c r="P466" s="79" t="str">
        <f>+IFERROR(VLOOKUP(CONCATENATE(A466,$C$10,C466),'ID1&amp;5'!B:J,9,FALSE),"-")</f>
        <v>-</v>
      </c>
      <c r="Q466" s="78" t="str">
        <f>+IFERROR(VLOOKUP(D466,'ID1&amp;5'!K:L,2,FALSE),"-")</f>
        <v>-</v>
      </c>
      <c r="R466" s="26" t="str">
        <f>+IFERROR(VLOOKUP(CONCATENATE(A466,$D$10,D466),'ID1&amp;5'!B:J,9,FALSE),"-")</f>
        <v>-</v>
      </c>
      <c r="S466" s="78" t="str">
        <f>+IFERROR(VLOOKUP(E466,'ID1&amp;5'!K:L,2,FALSE),"-")</f>
        <v>-</v>
      </c>
      <c r="T466" s="79" t="str">
        <f>+IFERROR(VLOOKUP(CONCATENATE(A466,$E$10,E466),'ID1&amp;5'!B:J,9,FALSE),"-")</f>
        <v>-</v>
      </c>
      <c r="U466" s="78" t="str">
        <f>+IFERROR(VLOOKUP(F466,'ID1&amp;5'!K:L,2,FALSE),"-")</f>
        <v>-</v>
      </c>
      <c r="V466" s="79" t="str">
        <f>+IFERROR(VLOOKUP(CONCATENATE(A466,$F$10,F466),'ID1&amp;5'!B:J,9,FALSE),"-")</f>
        <v>-</v>
      </c>
      <c r="W466" s="26" t="str">
        <f>+IFERROR(VLOOKUP(A466,'ID6&amp;7'!A:I,9,FALSE),"-")</f>
        <v>-</v>
      </c>
      <c r="X466" s="26" t="str">
        <f>+IFERROR(VLOOKUP(A466,'ID6&amp;7'!A:J,10,FALSE),"-")</f>
        <v>-</v>
      </c>
      <c r="Y466" s="26"/>
      <c r="Z466" s="27" t="str">
        <f t="shared" si="8"/>
        <v>Por iniciar</v>
      </c>
      <c r="AA466" s="65"/>
    </row>
    <row r="467" spans="1:27">
      <c r="A467" s="20"/>
      <c r="B467" s="60"/>
      <c r="C467" s="60"/>
      <c r="D467" s="60"/>
      <c r="E467" s="60"/>
      <c r="F467" s="60"/>
      <c r="G467" s="60"/>
      <c r="H467" s="65" t="s">
        <v>114</v>
      </c>
      <c r="I467" s="21" t="s">
        <v>1239</v>
      </c>
      <c r="J467" s="26">
        <f>+COUNTIF('ID1&amp;5'!G:G,'1. Status'!I467)</f>
        <v>0</v>
      </c>
      <c r="K467" s="79" t="str">
        <f>+IFERROR(VLOOKUP(CONCATENATE(A467,$B$10,B467),'ID1&amp;5'!B:J,8,FALSE),"-")</f>
        <v>-</v>
      </c>
      <c r="L467" s="78" t="str">
        <f>+IFERROR(VLOOKUP(B467,'ID1&amp;5'!K:L,2,FALSE),"-")</f>
        <v>-</v>
      </c>
      <c r="M467" s="79" t="str">
        <f>+IFERROR(VLOOKUP(CONCATENATE(A467,$B$10,B467),'ID1&amp;5'!B:J,9,FALSE),"-")</f>
        <v>-</v>
      </c>
      <c r="N467" s="79" t="str">
        <f>+IFERROR(VLOOKUP(CONCATENATE(A467,$C$10,C467),'ID1&amp;5'!B:J,8,FALSE),"-")</f>
        <v>-</v>
      </c>
      <c r="O467" s="78" t="str">
        <f>+IFERROR(VLOOKUP(C467,'ID1&amp;5'!K:L,2,FALSE),"-")</f>
        <v>-</v>
      </c>
      <c r="P467" s="79" t="str">
        <f>+IFERROR(VLOOKUP(CONCATENATE(A467,$C$10,C467),'ID1&amp;5'!B:J,9,FALSE),"-")</f>
        <v>-</v>
      </c>
      <c r="Q467" s="78" t="str">
        <f>+IFERROR(VLOOKUP(D467,'ID1&amp;5'!K:L,2,FALSE),"-")</f>
        <v>-</v>
      </c>
      <c r="R467" s="26" t="str">
        <f>+IFERROR(VLOOKUP(CONCATENATE(A467,$D$10,D467),'ID1&amp;5'!B:J,9,FALSE),"-")</f>
        <v>-</v>
      </c>
      <c r="S467" s="78" t="str">
        <f>+IFERROR(VLOOKUP(E467,'ID1&amp;5'!K:L,2,FALSE),"-")</f>
        <v>-</v>
      </c>
      <c r="T467" s="79" t="str">
        <f>+IFERROR(VLOOKUP(CONCATENATE(A467,$E$10,E467),'ID1&amp;5'!B:J,9,FALSE),"-")</f>
        <v>-</v>
      </c>
      <c r="U467" s="78" t="str">
        <f>+IFERROR(VLOOKUP(F467,'ID1&amp;5'!K:L,2,FALSE),"-")</f>
        <v>-</v>
      </c>
      <c r="V467" s="79" t="str">
        <f>+IFERROR(VLOOKUP(CONCATENATE(A467,$F$10,F467),'ID1&amp;5'!B:J,9,FALSE),"-")</f>
        <v>-</v>
      </c>
      <c r="W467" s="26" t="str">
        <f>+IFERROR(VLOOKUP(A467,'ID6&amp;7'!A:I,9,FALSE),"-")</f>
        <v>-</v>
      </c>
      <c r="X467" s="26" t="str">
        <f>+IFERROR(VLOOKUP(A467,'ID6&amp;7'!A:J,10,FALSE),"-")</f>
        <v>-</v>
      </c>
      <c r="Y467" s="26"/>
      <c r="Z467" s="27" t="str">
        <f t="shared" si="8"/>
        <v>Por iniciar</v>
      </c>
      <c r="AA467" s="65"/>
    </row>
    <row r="468" spans="1:27">
      <c r="A468" s="20"/>
      <c r="B468" s="60"/>
      <c r="C468" s="60"/>
      <c r="D468" s="60"/>
      <c r="E468" s="60"/>
      <c r="F468" s="60"/>
      <c r="G468" s="60"/>
      <c r="H468" s="65" t="s">
        <v>114</v>
      </c>
      <c r="I468" s="21" t="s">
        <v>1240</v>
      </c>
      <c r="J468" s="26">
        <f>+COUNTIF('ID1&amp;5'!G:G,'1. Status'!I468)</f>
        <v>0</v>
      </c>
      <c r="K468" s="79" t="str">
        <f>+IFERROR(VLOOKUP(CONCATENATE(A468,$B$10,B468),'ID1&amp;5'!B:J,8,FALSE),"-")</f>
        <v>-</v>
      </c>
      <c r="L468" s="78" t="str">
        <f>+IFERROR(VLOOKUP(B468,'ID1&amp;5'!K:L,2,FALSE),"-")</f>
        <v>-</v>
      </c>
      <c r="M468" s="79" t="str">
        <f>+IFERROR(VLOOKUP(CONCATENATE(A468,$B$10,B468),'ID1&amp;5'!B:J,9,FALSE),"-")</f>
        <v>-</v>
      </c>
      <c r="N468" s="79" t="str">
        <f>+IFERROR(VLOOKUP(CONCATENATE(A468,$C$10,C468),'ID1&amp;5'!B:J,8,FALSE),"-")</f>
        <v>-</v>
      </c>
      <c r="O468" s="78" t="str">
        <f>+IFERROR(VLOOKUP(C468,'ID1&amp;5'!K:L,2,FALSE),"-")</f>
        <v>-</v>
      </c>
      <c r="P468" s="79" t="str">
        <f>+IFERROR(VLOOKUP(CONCATENATE(A468,$C$10,C468),'ID1&amp;5'!B:J,9,FALSE),"-")</f>
        <v>-</v>
      </c>
      <c r="Q468" s="78" t="str">
        <f>+IFERROR(VLOOKUP(D468,'ID1&amp;5'!K:L,2,FALSE),"-")</f>
        <v>-</v>
      </c>
      <c r="R468" s="26" t="str">
        <f>+IFERROR(VLOOKUP(CONCATENATE(A468,$D$10,D468),'ID1&amp;5'!B:J,9,FALSE),"-")</f>
        <v>-</v>
      </c>
      <c r="S468" s="78" t="str">
        <f>+IFERROR(VLOOKUP(E468,'ID1&amp;5'!K:L,2,FALSE),"-")</f>
        <v>-</v>
      </c>
      <c r="T468" s="79" t="str">
        <f>+IFERROR(VLOOKUP(CONCATENATE(A468,$E$10,E468),'ID1&amp;5'!B:J,9,FALSE),"-")</f>
        <v>-</v>
      </c>
      <c r="U468" s="78" t="str">
        <f>+IFERROR(VLOOKUP(F468,'ID1&amp;5'!K:L,2,FALSE),"-")</f>
        <v>-</v>
      </c>
      <c r="V468" s="79" t="str">
        <f>+IFERROR(VLOOKUP(CONCATENATE(A468,$F$10,F468),'ID1&amp;5'!B:J,9,FALSE),"-")</f>
        <v>-</v>
      </c>
      <c r="W468" s="26" t="str">
        <f>+IFERROR(VLOOKUP(A468,'ID6&amp;7'!A:I,9,FALSE),"-")</f>
        <v>-</v>
      </c>
      <c r="X468" s="26" t="str">
        <f>+IFERROR(VLOOKUP(A468,'ID6&amp;7'!A:J,10,FALSE),"-")</f>
        <v>-</v>
      </c>
      <c r="Y468" s="26"/>
      <c r="Z468" s="27" t="str">
        <f t="shared" si="8"/>
        <v>Por iniciar</v>
      </c>
      <c r="AA468" s="65"/>
    </row>
    <row r="469" spans="1:27">
      <c r="A469" s="20"/>
      <c r="B469" s="60"/>
      <c r="C469" s="60"/>
      <c r="D469" s="60"/>
      <c r="E469" s="60"/>
      <c r="F469" s="60"/>
      <c r="G469" s="60"/>
      <c r="H469" s="65" t="s">
        <v>114</v>
      </c>
      <c r="I469" s="21" t="s">
        <v>1461</v>
      </c>
      <c r="J469" s="26">
        <f>+COUNTIF('ID1&amp;5'!G:G,'1. Status'!I469)</f>
        <v>0</v>
      </c>
      <c r="K469" s="79" t="str">
        <f>+IFERROR(VLOOKUP(CONCATENATE(A469,$B$10,B469),'ID1&amp;5'!B:J,8,FALSE),"-")</f>
        <v>-</v>
      </c>
      <c r="L469" s="78" t="str">
        <f>+IFERROR(VLOOKUP(B469,'ID1&amp;5'!K:L,2,FALSE),"-")</f>
        <v>-</v>
      </c>
      <c r="M469" s="79" t="str">
        <f>+IFERROR(VLOOKUP(CONCATENATE(A469,$B$10,B469),'ID1&amp;5'!B:J,9,FALSE),"-")</f>
        <v>-</v>
      </c>
      <c r="N469" s="79" t="str">
        <f>+IFERROR(VLOOKUP(CONCATENATE(A469,$C$10,C469),'ID1&amp;5'!B:J,8,FALSE),"-")</f>
        <v>-</v>
      </c>
      <c r="O469" s="78" t="str">
        <f>+IFERROR(VLOOKUP(C469,'ID1&amp;5'!K:L,2,FALSE),"-")</f>
        <v>-</v>
      </c>
      <c r="P469" s="79" t="str">
        <f>+IFERROR(VLOOKUP(CONCATENATE(A469,$C$10,C469),'ID1&amp;5'!B:J,9,FALSE),"-")</f>
        <v>-</v>
      </c>
      <c r="Q469" s="78" t="str">
        <f>+IFERROR(VLOOKUP(D469,'ID1&amp;5'!K:L,2,FALSE),"-")</f>
        <v>-</v>
      </c>
      <c r="R469" s="26" t="str">
        <f>+IFERROR(VLOOKUP(CONCATENATE(A469,$D$10,D469),'ID1&amp;5'!B:J,9,FALSE),"-")</f>
        <v>-</v>
      </c>
      <c r="S469" s="78" t="str">
        <f>+IFERROR(VLOOKUP(E469,'ID1&amp;5'!K:L,2,FALSE),"-")</f>
        <v>-</v>
      </c>
      <c r="T469" s="79" t="str">
        <f>+IFERROR(VLOOKUP(CONCATENATE(A469,$E$10,E469),'ID1&amp;5'!B:J,9,FALSE),"-")</f>
        <v>-</v>
      </c>
      <c r="U469" s="78" t="str">
        <f>+IFERROR(VLOOKUP(F469,'ID1&amp;5'!K:L,2,FALSE),"-")</f>
        <v>-</v>
      </c>
      <c r="V469" s="79" t="str">
        <f>+IFERROR(VLOOKUP(CONCATENATE(A469,$F$10,F469),'ID1&amp;5'!B:J,9,FALSE),"-")</f>
        <v>-</v>
      </c>
      <c r="W469" s="26" t="str">
        <f>+IFERROR(VLOOKUP(A469,'ID6&amp;7'!A:I,9,FALSE),"-")</f>
        <v>-</v>
      </c>
      <c r="X469" s="26" t="str">
        <f>+IFERROR(VLOOKUP(A469,'ID6&amp;7'!A:J,10,FALSE),"-")</f>
        <v>-</v>
      </c>
      <c r="Y469" s="26"/>
      <c r="Z469" s="27" t="str">
        <f t="shared" si="8"/>
        <v>Por iniciar</v>
      </c>
      <c r="AA469" s="65"/>
    </row>
    <row r="470" spans="1:27">
      <c r="A470" s="20"/>
      <c r="B470" s="60"/>
      <c r="C470" s="60"/>
      <c r="D470" s="60"/>
      <c r="E470" s="60"/>
      <c r="F470" s="60"/>
      <c r="G470" s="60"/>
      <c r="H470" s="65" t="s">
        <v>114</v>
      </c>
      <c r="I470" s="21" t="s">
        <v>1462</v>
      </c>
      <c r="J470" s="26">
        <f>+COUNTIF('ID1&amp;5'!G:G,'1. Status'!I470)</f>
        <v>0</v>
      </c>
      <c r="K470" s="79" t="str">
        <f>+IFERROR(VLOOKUP(CONCATENATE(A470,$B$10,B470),'ID1&amp;5'!B:J,8,FALSE),"-")</f>
        <v>-</v>
      </c>
      <c r="L470" s="78" t="str">
        <f>+IFERROR(VLOOKUP(B470,'ID1&amp;5'!K:L,2,FALSE),"-")</f>
        <v>-</v>
      </c>
      <c r="M470" s="79" t="str">
        <f>+IFERROR(VLOOKUP(CONCATENATE(A470,$B$10,B470),'ID1&amp;5'!B:J,9,FALSE),"-")</f>
        <v>-</v>
      </c>
      <c r="N470" s="79" t="str">
        <f>+IFERROR(VLOOKUP(CONCATENATE(A470,$C$10,C470),'ID1&amp;5'!B:J,8,FALSE),"-")</f>
        <v>-</v>
      </c>
      <c r="O470" s="78" t="str">
        <f>+IFERROR(VLOOKUP(C470,'ID1&amp;5'!K:L,2,FALSE),"-")</f>
        <v>-</v>
      </c>
      <c r="P470" s="79" t="str">
        <f>+IFERROR(VLOOKUP(CONCATENATE(A470,$C$10,C470),'ID1&amp;5'!B:J,9,FALSE),"-")</f>
        <v>-</v>
      </c>
      <c r="Q470" s="78" t="str">
        <f>+IFERROR(VLOOKUP(D470,'ID1&amp;5'!K:L,2,FALSE),"-")</f>
        <v>-</v>
      </c>
      <c r="R470" s="26" t="str">
        <f>+IFERROR(VLOOKUP(CONCATENATE(A470,$D$10,D470),'ID1&amp;5'!B:J,9,FALSE),"-")</f>
        <v>-</v>
      </c>
      <c r="S470" s="78" t="str">
        <f>+IFERROR(VLOOKUP(E470,'ID1&amp;5'!K:L,2,FALSE),"-")</f>
        <v>-</v>
      </c>
      <c r="T470" s="79" t="str">
        <f>+IFERROR(VLOOKUP(CONCATENATE(A470,$E$10,E470),'ID1&amp;5'!B:J,9,FALSE),"-")</f>
        <v>-</v>
      </c>
      <c r="U470" s="78" t="str">
        <f>+IFERROR(VLOOKUP(F470,'ID1&amp;5'!K:L,2,FALSE),"-")</f>
        <v>-</v>
      </c>
      <c r="V470" s="79" t="str">
        <f>+IFERROR(VLOOKUP(CONCATENATE(A470,$F$10,F470),'ID1&amp;5'!B:J,9,FALSE),"-")</f>
        <v>-</v>
      </c>
      <c r="W470" s="26" t="str">
        <f>+IFERROR(VLOOKUP(A470,'ID6&amp;7'!A:I,9,FALSE),"-")</f>
        <v>-</v>
      </c>
      <c r="X470" s="26" t="str">
        <f>+IFERROR(VLOOKUP(A470,'ID6&amp;7'!A:J,10,FALSE),"-")</f>
        <v>-</v>
      </c>
      <c r="Y470" s="26"/>
      <c r="Z470" s="27" t="str">
        <f t="shared" si="8"/>
        <v>Por iniciar</v>
      </c>
      <c r="AA470" s="65"/>
    </row>
    <row r="471" spans="1:27">
      <c r="A471" s="20"/>
      <c r="B471" s="60"/>
      <c r="C471" s="60"/>
      <c r="D471" s="60"/>
      <c r="E471" s="60"/>
      <c r="F471" s="60"/>
      <c r="G471" s="60"/>
      <c r="H471" s="65" t="s">
        <v>114</v>
      </c>
      <c r="I471" s="21" t="s">
        <v>650</v>
      </c>
      <c r="J471" s="26">
        <f>+COUNTIF('ID1&amp;5'!G:G,'1. Status'!I471)</f>
        <v>4</v>
      </c>
      <c r="K471" s="79" t="str">
        <f>+IFERROR(VLOOKUP(CONCATENATE(A471,$B$10,B471),'ID1&amp;5'!B:J,8,FALSE),"-")</f>
        <v>-</v>
      </c>
      <c r="L471" s="78" t="str">
        <f>+IFERROR(VLOOKUP(B471,'ID1&amp;5'!K:L,2,FALSE),"-")</f>
        <v>-</v>
      </c>
      <c r="M471" s="79" t="str">
        <f>+IFERROR(VLOOKUP(CONCATENATE(A471,$B$10,B471),'ID1&amp;5'!B:J,9,FALSE),"-")</f>
        <v>-</v>
      </c>
      <c r="N471" s="79" t="str">
        <f>+IFERROR(VLOOKUP(CONCATENATE(A471,$C$10,C471),'ID1&amp;5'!B:J,8,FALSE),"-")</f>
        <v>-</v>
      </c>
      <c r="O471" s="78" t="str">
        <f>+IFERROR(VLOOKUP(C471,'ID1&amp;5'!K:L,2,FALSE),"-")</f>
        <v>-</v>
      </c>
      <c r="P471" s="79" t="str">
        <f>+IFERROR(VLOOKUP(CONCATENATE(A471,$C$10,C471),'ID1&amp;5'!B:J,9,FALSE),"-")</f>
        <v>-</v>
      </c>
      <c r="Q471" s="78" t="str">
        <f>+IFERROR(VLOOKUP(D471,'ID1&amp;5'!K:L,2,FALSE),"-")</f>
        <v>-</v>
      </c>
      <c r="R471" s="26" t="str">
        <f>+IFERROR(VLOOKUP(CONCATENATE(A471,$D$10,D471),'ID1&amp;5'!B:J,9,FALSE),"-")</f>
        <v>-</v>
      </c>
      <c r="S471" s="78" t="str">
        <f>+IFERROR(VLOOKUP(E471,'ID1&amp;5'!K:L,2,FALSE),"-")</f>
        <v>-</v>
      </c>
      <c r="T471" s="79" t="str">
        <f>+IFERROR(VLOOKUP(CONCATENATE(A471,$E$10,E471),'ID1&amp;5'!B:J,9,FALSE),"-")</f>
        <v>-</v>
      </c>
      <c r="U471" s="78" t="str">
        <f>+IFERROR(VLOOKUP(F471,'ID1&amp;5'!K:L,2,FALSE),"-")</f>
        <v>-</v>
      </c>
      <c r="V471" s="79" t="str">
        <f>+IFERROR(VLOOKUP(CONCATENATE(A471,$F$10,F471),'ID1&amp;5'!B:J,9,FALSE),"-")</f>
        <v>-</v>
      </c>
      <c r="W471" s="26" t="str">
        <f>+IFERROR(VLOOKUP(A471,'ID6&amp;7'!A:I,9,FALSE),"-")</f>
        <v>-</v>
      </c>
      <c r="X471" s="26" t="str">
        <f>+IFERROR(VLOOKUP(A471,'ID6&amp;7'!A:J,10,FALSE),"-")</f>
        <v>-</v>
      </c>
      <c r="Y471" s="26"/>
      <c r="Z471" s="27" t="str">
        <f t="shared" si="8"/>
        <v>Em testes</v>
      </c>
      <c r="AA471" s="65"/>
    </row>
    <row r="472" spans="1:27">
      <c r="A472" s="20"/>
      <c r="B472" s="60"/>
      <c r="C472" s="60"/>
      <c r="D472" s="60"/>
      <c r="E472" s="60"/>
      <c r="F472" s="60"/>
      <c r="G472" s="60"/>
      <c r="H472" s="65" t="s">
        <v>114</v>
      </c>
      <c r="I472" s="21" t="s">
        <v>1463</v>
      </c>
      <c r="J472" s="26">
        <f>+COUNTIF('ID1&amp;5'!G:G,'1. Status'!I472)</f>
        <v>0</v>
      </c>
      <c r="K472" s="79" t="str">
        <f>+IFERROR(VLOOKUP(CONCATENATE(A472,$B$10,B472),'ID1&amp;5'!B:J,8,FALSE),"-")</f>
        <v>-</v>
      </c>
      <c r="L472" s="78" t="str">
        <f>+IFERROR(VLOOKUP(B472,'ID1&amp;5'!K:L,2,FALSE),"-")</f>
        <v>-</v>
      </c>
      <c r="M472" s="79" t="str">
        <f>+IFERROR(VLOOKUP(CONCATENATE(A472,$B$10,B472),'ID1&amp;5'!B:J,9,FALSE),"-")</f>
        <v>-</v>
      </c>
      <c r="N472" s="79" t="str">
        <f>+IFERROR(VLOOKUP(CONCATENATE(A472,$C$10,C472),'ID1&amp;5'!B:J,8,FALSE),"-")</f>
        <v>-</v>
      </c>
      <c r="O472" s="78" t="str">
        <f>+IFERROR(VLOOKUP(C472,'ID1&amp;5'!K:L,2,FALSE),"-")</f>
        <v>-</v>
      </c>
      <c r="P472" s="79" t="str">
        <f>+IFERROR(VLOOKUP(CONCATENATE(A472,$C$10,C472),'ID1&amp;5'!B:J,9,FALSE),"-")</f>
        <v>-</v>
      </c>
      <c r="Q472" s="78" t="str">
        <f>+IFERROR(VLOOKUP(D472,'ID1&amp;5'!K:L,2,FALSE),"-")</f>
        <v>-</v>
      </c>
      <c r="R472" s="26" t="str">
        <f>+IFERROR(VLOOKUP(CONCATENATE(A472,$D$10,D472),'ID1&amp;5'!B:J,9,FALSE),"-")</f>
        <v>-</v>
      </c>
      <c r="S472" s="78" t="str">
        <f>+IFERROR(VLOOKUP(E472,'ID1&amp;5'!K:L,2,FALSE),"-")</f>
        <v>-</v>
      </c>
      <c r="T472" s="79" t="str">
        <f>+IFERROR(VLOOKUP(CONCATENATE(A472,$E$10,E472),'ID1&amp;5'!B:J,9,FALSE),"-")</f>
        <v>-</v>
      </c>
      <c r="U472" s="78" t="str">
        <f>+IFERROR(VLOOKUP(F472,'ID1&amp;5'!K:L,2,FALSE),"-")</f>
        <v>-</v>
      </c>
      <c r="V472" s="79" t="str">
        <f>+IFERROR(VLOOKUP(CONCATENATE(A472,$F$10,F472),'ID1&amp;5'!B:J,9,FALSE),"-")</f>
        <v>-</v>
      </c>
      <c r="W472" s="26" t="str">
        <f>+IFERROR(VLOOKUP(A472,'ID6&amp;7'!A:I,9,FALSE),"-")</f>
        <v>-</v>
      </c>
      <c r="X472" s="26" t="str">
        <f>+IFERROR(VLOOKUP(A472,'ID6&amp;7'!A:J,10,FALSE),"-")</f>
        <v>-</v>
      </c>
      <c r="Y472" s="26"/>
      <c r="Z472" s="27" t="str">
        <f t="shared" si="8"/>
        <v>Por iniciar</v>
      </c>
      <c r="AA472" s="65"/>
    </row>
    <row r="473" spans="1:27">
      <c r="A473" s="20"/>
      <c r="B473" s="60"/>
      <c r="C473" s="60"/>
      <c r="D473" s="60"/>
      <c r="E473" s="60"/>
      <c r="F473" s="60"/>
      <c r="G473" s="60"/>
      <c r="H473" s="65" t="s">
        <v>114</v>
      </c>
      <c r="I473" s="21" t="s">
        <v>1464</v>
      </c>
      <c r="J473" s="26">
        <f>+COUNTIF('ID1&amp;5'!G:G,'1. Status'!I473)</f>
        <v>0</v>
      </c>
      <c r="K473" s="79" t="str">
        <f>+IFERROR(VLOOKUP(CONCATENATE(A473,$B$10,B473),'ID1&amp;5'!B:J,8,FALSE),"-")</f>
        <v>-</v>
      </c>
      <c r="L473" s="78" t="str">
        <f>+IFERROR(VLOOKUP(B473,'ID1&amp;5'!K:L,2,FALSE),"-")</f>
        <v>-</v>
      </c>
      <c r="M473" s="79" t="str">
        <f>+IFERROR(VLOOKUP(CONCATENATE(A473,$B$10,B473),'ID1&amp;5'!B:J,9,FALSE),"-")</f>
        <v>-</v>
      </c>
      <c r="N473" s="79" t="str">
        <f>+IFERROR(VLOOKUP(CONCATENATE(A473,$C$10,C473),'ID1&amp;5'!B:J,8,FALSE),"-")</f>
        <v>-</v>
      </c>
      <c r="O473" s="78" t="str">
        <f>+IFERROR(VLOOKUP(C473,'ID1&amp;5'!K:L,2,FALSE),"-")</f>
        <v>-</v>
      </c>
      <c r="P473" s="79" t="str">
        <f>+IFERROR(VLOOKUP(CONCATENATE(A473,$C$10,C473),'ID1&amp;5'!B:J,9,FALSE),"-")</f>
        <v>-</v>
      </c>
      <c r="Q473" s="78" t="str">
        <f>+IFERROR(VLOOKUP(D473,'ID1&amp;5'!K:L,2,FALSE),"-")</f>
        <v>-</v>
      </c>
      <c r="R473" s="26" t="str">
        <f>+IFERROR(VLOOKUP(CONCATENATE(A473,$D$10,D473),'ID1&amp;5'!B:J,9,FALSE),"-")</f>
        <v>-</v>
      </c>
      <c r="S473" s="78" t="str">
        <f>+IFERROR(VLOOKUP(E473,'ID1&amp;5'!K:L,2,FALSE),"-")</f>
        <v>-</v>
      </c>
      <c r="T473" s="79" t="str">
        <f>+IFERROR(VLOOKUP(CONCATENATE(A473,$E$10,E473),'ID1&amp;5'!B:J,9,FALSE),"-")</f>
        <v>-</v>
      </c>
      <c r="U473" s="78" t="str">
        <f>+IFERROR(VLOOKUP(F473,'ID1&amp;5'!K:L,2,FALSE),"-")</f>
        <v>-</v>
      </c>
      <c r="V473" s="79" t="str">
        <f>+IFERROR(VLOOKUP(CONCATENATE(A473,$F$10,F473),'ID1&amp;5'!B:J,9,FALSE),"-")</f>
        <v>-</v>
      </c>
      <c r="W473" s="26" t="str">
        <f>+IFERROR(VLOOKUP(A473,'ID6&amp;7'!A:I,9,FALSE),"-")</f>
        <v>-</v>
      </c>
      <c r="X473" s="26" t="str">
        <f>+IFERROR(VLOOKUP(A473,'ID6&amp;7'!A:J,10,FALSE),"-")</f>
        <v>-</v>
      </c>
      <c r="Y473" s="26"/>
      <c r="Z473" s="27" t="str">
        <f t="shared" si="8"/>
        <v>Por iniciar</v>
      </c>
      <c r="AA473" s="65"/>
    </row>
    <row r="474" spans="1:27">
      <c r="A474" s="20"/>
      <c r="B474" s="60"/>
      <c r="C474" s="60"/>
      <c r="D474" s="60"/>
      <c r="E474" s="60"/>
      <c r="F474" s="60"/>
      <c r="G474" s="60"/>
      <c r="H474" s="65" t="s">
        <v>114</v>
      </c>
      <c r="I474" s="21" t="s">
        <v>1465</v>
      </c>
      <c r="J474" s="26">
        <f>+COUNTIF('ID1&amp;5'!G:G,'1. Status'!I474)</f>
        <v>0</v>
      </c>
      <c r="K474" s="79" t="str">
        <f>+IFERROR(VLOOKUP(CONCATENATE(A474,$B$10,B474),'ID1&amp;5'!B:J,8,FALSE),"-")</f>
        <v>-</v>
      </c>
      <c r="L474" s="78" t="str">
        <f>+IFERROR(VLOOKUP(B474,'ID1&amp;5'!K:L,2,FALSE),"-")</f>
        <v>-</v>
      </c>
      <c r="M474" s="79" t="str">
        <f>+IFERROR(VLOOKUP(CONCATENATE(A474,$B$10,B474),'ID1&amp;5'!B:J,9,FALSE),"-")</f>
        <v>-</v>
      </c>
      <c r="N474" s="79" t="str">
        <f>+IFERROR(VLOOKUP(CONCATENATE(A474,$C$10,C474),'ID1&amp;5'!B:J,8,FALSE),"-")</f>
        <v>-</v>
      </c>
      <c r="O474" s="78" t="str">
        <f>+IFERROR(VLOOKUP(C474,'ID1&amp;5'!K:L,2,FALSE),"-")</f>
        <v>-</v>
      </c>
      <c r="P474" s="79" t="str">
        <f>+IFERROR(VLOOKUP(CONCATENATE(A474,$C$10,C474),'ID1&amp;5'!B:J,9,FALSE),"-")</f>
        <v>-</v>
      </c>
      <c r="Q474" s="78" t="str">
        <f>+IFERROR(VLOOKUP(D474,'ID1&amp;5'!K:L,2,FALSE),"-")</f>
        <v>-</v>
      </c>
      <c r="R474" s="26" t="str">
        <f>+IFERROR(VLOOKUP(CONCATENATE(A474,$D$10,D474),'ID1&amp;5'!B:J,9,FALSE),"-")</f>
        <v>-</v>
      </c>
      <c r="S474" s="78" t="str">
        <f>+IFERROR(VLOOKUP(E474,'ID1&amp;5'!K:L,2,FALSE),"-")</f>
        <v>-</v>
      </c>
      <c r="T474" s="79" t="str">
        <f>+IFERROR(VLOOKUP(CONCATENATE(A474,$E$10,E474),'ID1&amp;5'!B:J,9,FALSE),"-")</f>
        <v>-</v>
      </c>
      <c r="U474" s="78" t="str">
        <f>+IFERROR(VLOOKUP(F474,'ID1&amp;5'!K:L,2,FALSE),"-")</f>
        <v>-</v>
      </c>
      <c r="V474" s="79" t="str">
        <f>+IFERROR(VLOOKUP(CONCATENATE(A474,$F$10,F474),'ID1&amp;5'!B:J,9,FALSE),"-")</f>
        <v>-</v>
      </c>
      <c r="W474" s="26" t="str">
        <f>+IFERROR(VLOOKUP(A474,'ID6&amp;7'!A:I,9,FALSE),"-")</f>
        <v>-</v>
      </c>
      <c r="X474" s="26" t="str">
        <f>+IFERROR(VLOOKUP(A474,'ID6&amp;7'!A:J,10,FALSE),"-")</f>
        <v>-</v>
      </c>
      <c r="Y474" s="26"/>
      <c r="Z474" s="27" t="str">
        <f t="shared" si="8"/>
        <v>Por iniciar</v>
      </c>
      <c r="AA474" s="65"/>
    </row>
    <row r="475" spans="1:27">
      <c r="A475" s="20"/>
      <c r="B475" s="60"/>
      <c r="C475" s="60"/>
      <c r="D475" s="60"/>
      <c r="E475" s="60"/>
      <c r="F475" s="60"/>
      <c r="G475" s="60"/>
      <c r="H475" s="65" t="s">
        <v>114</v>
      </c>
      <c r="I475" s="21" t="s">
        <v>1217</v>
      </c>
      <c r="J475" s="26">
        <f>+COUNTIF('ID1&amp;5'!G:G,'1. Status'!I475)</f>
        <v>0</v>
      </c>
      <c r="K475" s="79" t="str">
        <f>+IFERROR(VLOOKUP(CONCATENATE(A475,$B$10,B475),'ID1&amp;5'!B:J,8,FALSE),"-")</f>
        <v>-</v>
      </c>
      <c r="L475" s="78" t="str">
        <f>+IFERROR(VLOOKUP(B475,'ID1&amp;5'!K:L,2,FALSE),"-")</f>
        <v>-</v>
      </c>
      <c r="M475" s="79" t="str">
        <f>+IFERROR(VLOOKUP(CONCATENATE(A475,$B$10,B475),'ID1&amp;5'!B:J,9,FALSE),"-")</f>
        <v>-</v>
      </c>
      <c r="N475" s="79" t="str">
        <f>+IFERROR(VLOOKUP(CONCATENATE(A475,$C$10,C475),'ID1&amp;5'!B:J,8,FALSE),"-")</f>
        <v>-</v>
      </c>
      <c r="O475" s="78" t="str">
        <f>+IFERROR(VLOOKUP(C475,'ID1&amp;5'!K:L,2,FALSE),"-")</f>
        <v>-</v>
      </c>
      <c r="P475" s="79" t="str">
        <f>+IFERROR(VLOOKUP(CONCATENATE(A475,$C$10,C475),'ID1&amp;5'!B:J,9,FALSE),"-")</f>
        <v>-</v>
      </c>
      <c r="Q475" s="78" t="str">
        <f>+IFERROR(VLOOKUP(D475,'ID1&amp;5'!K:L,2,FALSE),"-")</f>
        <v>-</v>
      </c>
      <c r="R475" s="26" t="str">
        <f>+IFERROR(VLOOKUP(CONCATENATE(A475,$D$10,D475),'ID1&amp;5'!B:J,9,FALSE),"-")</f>
        <v>-</v>
      </c>
      <c r="S475" s="78" t="str">
        <f>+IFERROR(VLOOKUP(E475,'ID1&amp;5'!K:L,2,FALSE),"-")</f>
        <v>-</v>
      </c>
      <c r="T475" s="79" t="str">
        <f>+IFERROR(VLOOKUP(CONCATENATE(A475,$E$10,E475),'ID1&amp;5'!B:J,9,FALSE),"-")</f>
        <v>-</v>
      </c>
      <c r="U475" s="78" t="str">
        <f>+IFERROR(VLOOKUP(F475,'ID1&amp;5'!K:L,2,FALSE),"-")</f>
        <v>-</v>
      </c>
      <c r="V475" s="79" t="str">
        <f>+IFERROR(VLOOKUP(CONCATENATE(A475,$F$10,F475),'ID1&amp;5'!B:J,9,FALSE),"-")</f>
        <v>-</v>
      </c>
      <c r="W475" s="26" t="str">
        <f>+IFERROR(VLOOKUP(A475,'ID6&amp;7'!A:I,9,FALSE),"-")</f>
        <v>-</v>
      </c>
      <c r="X475" s="26" t="str">
        <f>+IFERROR(VLOOKUP(A475,'ID6&amp;7'!A:J,10,FALSE),"-")</f>
        <v>-</v>
      </c>
      <c r="Y475" s="26"/>
      <c r="Z475" s="27" t="str">
        <f t="shared" si="8"/>
        <v>Por iniciar</v>
      </c>
      <c r="AA475" s="65"/>
    </row>
    <row r="476" spans="1:27">
      <c r="A476" s="20"/>
      <c r="B476" s="60"/>
      <c r="C476" s="60"/>
      <c r="D476" s="60"/>
      <c r="E476" s="60"/>
      <c r="F476" s="60"/>
      <c r="G476" s="60"/>
      <c r="H476" s="65" t="s">
        <v>114</v>
      </c>
      <c r="I476" s="21" t="s">
        <v>697</v>
      </c>
      <c r="J476" s="26">
        <f>+COUNTIF('ID1&amp;5'!G:G,'1. Status'!I476)</f>
        <v>0</v>
      </c>
      <c r="K476" s="79" t="str">
        <f>+IFERROR(VLOOKUP(CONCATENATE(A476,$B$10,B476),'ID1&amp;5'!B:J,8,FALSE),"-")</f>
        <v>-</v>
      </c>
      <c r="L476" s="78" t="str">
        <f>+IFERROR(VLOOKUP(B476,'ID1&amp;5'!K:L,2,FALSE),"-")</f>
        <v>-</v>
      </c>
      <c r="M476" s="79" t="str">
        <f>+IFERROR(VLOOKUP(CONCATENATE(A476,$B$10,B476),'ID1&amp;5'!B:J,9,FALSE),"-")</f>
        <v>-</v>
      </c>
      <c r="N476" s="79" t="str">
        <f>+IFERROR(VLOOKUP(CONCATENATE(A476,$C$10,C476),'ID1&amp;5'!B:J,8,FALSE),"-")</f>
        <v>-</v>
      </c>
      <c r="O476" s="78" t="str">
        <f>+IFERROR(VLOOKUP(C476,'ID1&amp;5'!K:L,2,FALSE),"-")</f>
        <v>-</v>
      </c>
      <c r="P476" s="79" t="str">
        <f>+IFERROR(VLOOKUP(CONCATENATE(A476,$C$10,C476),'ID1&amp;5'!B:J,9,FALSE),"-")</f>
        <v>-</v>
      </c>
      <c r="Q476" s="78" t="str">
        <f>+IFERROR(VLOOKUP(D476,'ID1&amp;5'!K:L,2,FALSE),"-")</f>
        <v>-</v>
      </c>
      <c r="R476" s="26" t="str">
        <f>+IFERROR(VLOOKUP(CONCATENATE(A476,$D$10,D476),'ID1&amp;5'!B:J,9,FALSE),"-")</f>
        <v>-</v>
      </c>
      <c r="S476" s="78" t="str">
        <f>+IFERROR(VLOOKUP(E476,'ID1&amp;5'!K:L,2,FALSE),"-")</f>
        <v>-</v>
      </c>
      <c r="T476" s="79" t="str">
        <f>+IFERROR(VLOOKUP(CONCATENATE(A476,$E$10,E476),'ID1&amp;5'!B:J,9,FALSE),"-")</f>
        <v>-</v>
      </c>
      <c r="U476" s="78" t="str">
        <f>+IFERROR(VLOOKUP(F476,'ID1&amp;5'!K:L,2,FALSE),"-")</f>
        <v>-</v>
      </c>
      <c r="V476" s="79" t="str">
        <f>+IFERROR(VLOOKUP(CONCATENATE(A476,$F$10,F476),'ID1&amp;5'!B:J,9,FALSE),"-")</f>
        <v>-</v>
      </c>
      <c r="W476" s="26" t="str">
        <f>+IFERROR(VLOOKUP(A476,'ID6&amp;7'!A:I,9,FALSE),"-")</f>
        <v>-</v>
      </c>
      <c r="X476" s="26" t="str">
        <f>+IFERROR(VLOOKUP(A476,'ID6&amp;7'!A:J,10,FALSE),"-")</f>
        <v>-</v>
      </c>
      <c r="Y476" s="26"/>
      <c r="Z476" s="27" t="str">
        <f t="shared" si="8"/>
        <v>Por iniciar</v>
      </c>
      <c r="AA476" s="65"/>
    </row>
    <row r="477" spans="1:27">
      <c r="A477" s="20"/>
      <c r="B477" s="60"/>
      <c r="C477" s="60"/>
      <c r="D477" s="60"/>
      <c r="E477" s="60"/>
      <c r="F477" s="60"/>
      <c r="G477" s="60"/>
      <c r="H477" s="65" t="s">
        <v>114</v>
      </c>
      <c r="I477" s="21" t="s">
        <v>698</v>
      </c>
      <c r="J477" s="26">
        <f>+COUNTIF('ID1&amp;5'!G:G,'1. Status'!I477)</f>
        <v>0</v>
      </c>
      <c r="K477" s="79" t="str">
        <f>+IFERROR(VLOOKUP(CONCATENATE(A477,$B$10,B477),'ID1&amp;5'!B:J,8,FALSE),"-")</f>
        <v>-</v>
      </c>
      <c r="L477" s="78" t="str">
        <f>+IFERROR(VLOOKUP(B477,'ID1&amp;5'!K:L,2,FALSE),"-")</f>
        <v>-</v>
      </c>
      <c r="M477" s="79" t="str">
        <f>+IFERROR(VLOOKUP(CONCATENATE(A477,$B$10,B477),'ID1&amp;5'!B:J,9,FALSE),"-")</f>
        <v>-</v>
      </c>
      <c r="N477" s="79" t="str">
        <f>+IFERROR(VLOOKUP(CONCATENATE(A477,$C$10,C477),'ID1&amp;5'!B:J,8,FALSE),"-")</f>
        <v>-</v>
      </c>
      <c r="O477" s="78" t="str">
        <f>+IFERROR(VLOOKUP(C477,'ID1&amp;5'!K:L,2,FALSE),"-")</f>
        <v>-</v>
      </c>
      <c r="P477" s="79" t="str">
        <f>+IFERROR(VLOOKUP(CONCATENATE(A477,$C$10,C477),'ID1&amp;5'!B:J,9,FALSE),"-")</f>
        <v>-</v>
      </c>
      <c r="Q477" s="78" t="str">
        <f>+IFERROR(VLOOKUP(D477,'ID1&amp;5'!K:L,2,FALSE),"-")</f>
        <v>-</v>
      </c>
      <c r="R477" s="26" t="str">
        <f>+IFERROR(VLOOKUP(CONCATENATE(A477,$D$10,D477),'ID1&amp;5'!B:J,9,FALSE),"-")</f>
        <v>-</v>
      </c>
      <c r="S477" s="78" t="str">
        <f>+IFERROR(VLOOKUP(E477,'ID1&amp;5'!K:L,2,FALSE),"-")</f>
        <v>-</v>
      </c>
      <c r="T477" s="79" t="str">
        <f>+IFERROR(VLOOKUP(CONCATENATE(A477,$E$10,E477),'ID1&amp;5'!B:J,9,FALSE),"-")</f>
        <v>-</v>
      </c>
      <c r="U477" s="78" t="str">
        <f>+IFERROR(VLOOKUP(F477,'ID1&amp;5'!K:L,2,FALSE),"-")</f>
        <v>-</v>
      </c>
      <c r="V477" s="79" t="str">
        <f>+IFERROR(VLOOKUP(CONCATENATE(A477,$F$10,F477),'ID1&amp;5'!B:J,9,FALSE),"-")</f>
        <v>-</v>
      </c>
      <c r="W477" s="26" t="str">
        <f>+IFERROR(VLOOKUP(A477,'ID6&amp;7'!A:I,9,FALSE),"-")</f>
        <v>-</v>
      </c>
      <c r="X477" s="26" t="str">
        <f>+IFERROR(VLOOKUP(A477,'ID6&amp;7'!A:J,10,FALSE),"-")</f>
        <v>-</v>
      </c>
      <c r="Y477" s="26"/>
      <c r="Z477" s="27" t="str">
        <f t="shared" si="8"/>
        <v>Por iniciar</v>
      </c>
      <c r="AA477" s="65"/>
    </row>
    <row r="478" spans="1:27">
      <c r="A478" s="20"/>
      <c r="B478" s="60"/>
      <c r="C478" s="60"/>
      <c r="D478" s="60"/>
      <c r="E478" s="60"/>
      <c r="F478" s="60"/>
      <c r="G478" s="60"/>
      <c r="H478" s="65" t="s">
        <v>114</v>
      </c>
      <c r="I478" s="21" t="s">
        <v>1466</v>
      </c>
      <c r="J478" s="26">
        <f>+COUNTIF('ID1&amp;5'!G:G,'1. Status'!I478)</f>
        <v>1</v>
      </c>
      <c r="K478" s="79" t="str">
        <f>+IFERROR(VLOOKUP(CONCATENATE(A478,$B$10,B478),'ID1&amp;5'!B:J,8,FALSE),"-")</f>
        <v>-</v>
      </c>
      <c r="L478" s="78" t="str">
        <f>+IFERROR(VLOOKUP(B478,'ID1&amp;5'!K:L,2,FALSE),"-")</f>
        <v>-</v>
      </c>
      <c r="M478" s="79" t="str">
        <f>+IFERROR(VLOOKUP(CONCATENATE(A478,$B$10,B478),'ID1&amp;5'!B:J,9,FALSE),"-")</f>
        <v>-</v>
      </c>
      <c r="N478" s="79" t="str">
        <f>+IFERROR(VLOOKUP(CONCATENATE(A478,$C$10,C478),'ID1&amp;5'!B:J,8,FALSE),"-")</f>
        <v>-</v>
      </c>
      <c r="O478" s="78" t="str">
        <f>+IFERROR(VLOOKUP(C478,'ID1&amp;5'!K:L,2,FALSE),"-")</f>
        <v>-</v>
      </c>
      <c r="P478" s="79" t="str">
        <f>+IFERROR(VLOOKUP(CONCATENATE(A478,$C$10,C478),'ID1&amp;5'!B:J,9,FALSE),"-")</f>
        <v>-</v>
      </c>
      <c r="Q478" s="78" t="str">
        <f>+IFERROR(VLOOKUP(D478,'ID1&amp;5'!K:L,2,FALSE),"-")</f>
        <v>-</v>
      </c>
      <c r="R478" s="26" t="str">
        <f>+IFERROR(VLOOKUP(CONCATENATE(A478,$D$10,D478),'ID1&amp;5'!B:J,9,FALSE),"-")</f>
        <v>-</v>
      </c>
      <c r="S478" s="78" t="str">
        <f>+IFERROR(VLOOKUP(E478,'ID1&amp;5'!K:L,2,FALSE),"-")</f>
        <v>-</v>
      </c>
      <c r="T478" s="79" t="str">
        <f>+IFERROR(VLOOKUP(CONCATENATE(A478,$E$10,E478),'ID1&amp;5'!B:J,9,FALSE),"-")</f>
        <v>-</v>
      </c>
      <c r="U478" s="78" t="str">
        <f>+IFERROR(VLOOKUP(F478,'ID1&amp;5'!K:L,2,FALSE),"-")</f>
        <v>-</v>
      </c>
      <c r="V478" s="79" t="str">
        <f>+IFERROR(VLOOKUP(CONCATENATE(A478,$F$10,F478),'ID1&amp;5'!B:J,9,FALSE),"-")</f>
        <v>-</v>
      </c>
      <c r="W478" s="26" t="str">
        <f>+IFERROR(VLOOKUP(A478,'ID6&amp;7'!A:I,9,FALSE),"-")</f>
        <v>-</v>
      </c>
      <c r="X478" s="26" t="str">
        <f>+IFERROR(VLOOKUP(A478,'ID6&amp;7'!A:J,10,FALSE),"-")</f>
        <v>-</v>
      </c>
      <c r="Y478" s="26"/>
      <c r="Z478" s="27" t="str">
        <f t="shared" si="8"/>
        <v>Em testes</v>
      </c>
      <c r="AA478" s="65"/>
    </row>
    <row r="479" spans="1:27">
      <c r="A479" s="20"/>
      <c r="B479" s="60"/>
      <c r="C479" s="60"/>
      <c r="D479" s="60"/>
      <c r="E479" s="60"/>
      <c r="F479" s="60"/>
      <c r="G479" s="60"/>
      <c r="H479" s="65" t="s">
        <v>114</v>
      </c>
      <c r="I479" s="21" t="s">
        <v>1467</v>
      </c>
      <c r="J479" s="26">
        <f>+COUNTIF('ID1&amp;5'!G:G,'1. Status'!I479)</f>
        <v>0</v>
      </c>
      <c r="K479" s="79" t="str">
        <f>+IFERROR(VLOOKUP(CONCATENATE(A479,$B$10,B479),'ID1&amp;5'!B:J,8,FALSE),"-")</f>
        <v>-</v>
      </c>
      <c r="L479" s="78" t="str">
        <f>+IFERROR(VLOOKUP(B479,'ID1&amp;5'!K:L,2,FALSE),"-")</f>
        <v>-</v>
      </c>
      <c r="M479" s="79" t="str">
        <f>+IFERROR(VLOOKUP(CONCATENATE(A479,$B$10,B479),'ID1&amp;5'!B:J,9,FALSE),"-")</f>
        <v>-</v>
      </c>
      <c r="N479" s="79" t="str">
        <f>+IFERROR(VLOOKUP(CONCATENATE(A479,$C$10,C479),'ID1&amp;5'!B:J,8,FALSE),"-")</f>
        <v>-</v>
      </c>
      <c r="O479" s="78" t="str">
        <f>+IFERROR(VLOOKUP(C479,'ID1&amp;5'!K:L,2,FALSE),"-")</f>
        <v>-</v>
      </c>
      <c r="P479" s="79" t="str">
        <f>+IFERROR(VLOOKUP(CONCATENATE(A479,$C$10,C479),'ID1&amp;5'!B:J,9,FALSE),"-")</f>
        <v>-</v>
      </c>
      <c r="Q479" s="78" t="str">
        <f>+IFERROR(VLOOKUP(D479,'ID1&amp;5'!K:L,2,FALSE),"-")</f>
        <v>-</v>
      </c>
      <c r="R479" s="26" t="str">
        <f>+IFERROR(VLOOKUP(CONCATENATE(A479,$D$10,D479),'ID1&amp;5'!B:J,9,FALSE),"-")</f>
        <v>-</v>
      </c>
      <c r="S479" s="78" t="str">
        <f>+IFERROR(VLOOKUP(E479,'ID1&amp;5'!K:L,2,FALSE),"-")</f>
        <v>-</v>
      </c>
      <c r="T479" s="79" t="str">
        <f>+IFERROR(VLOOKUP(CONCATENATE(A479,$E$10,E479),'ID1&amp;5'!B:J,9,FALSE),"-")</f>
        <v>-</v>
      </c>
      <c r="U479" s="78" t="str">
        <f>+IFERROR(VLOOKUP(F479,'ID1&amp;5'!K:L,2,FALSE),"-")</f>
        <v>-</v>
      </c>
      <c r="V479" s="79" t="str">
        <f>+IFERROR(VLOOKUP(CONCATENATE(A479,$F$10,F479),'ID1&amp;5'!B:J,9,FALSE),"-")</f>
        <v>-</v>
      </c>
      <c r="W479" s="26" t="str">
        <f>+IFERROR(VLOOKUP(A479,'ID6&amp;7'!A:I,9,FALSE),"-")</f>
        <v>-</v>
      </c>
      <c r="X479" s="26" t="str">
        <f>+IFERROR(VLOOKUP(A479,'ID6&amp;7'!A:J,10,FALSE),"-")</f>
        <v>-</v>
      </c>
      <c r="Y479" s="26"/>
      <c r="Z479" s="27" t="str">
        <f t="shared" si="8"/>
        <v>Por iniciar</v>
      </c>
      <c r="AA479" s="65"/>
    </row>
    <row r="480" spans="1:27">
      <c r="A480" s="20"/>
      <c r="B480" s="60"/>
      <c r="C480" s="60"/>
      <c r="D480" s="60"/>
      <c r="E480" s="60"/>
      <c r="F480" s="60"/>
      <c r="G480" s="60"/>
      <c r="H480" s="65" t="s">
        <v>114</v>
      </c>
      <c r="I480" s="21" t="s">
        <v>1468</v>
      </c>
      <c r="J480" s="26">
        <f>+COUNTIF('ID1&amp;5'!G:G,'1. Status'!I480)</f>
        <v>0</v>
      </c>
      <c r="K480" s="79" t="str">
        <f>+IFERROR(VLOOKUP(CONCATENATE(A480,$B$10,B480),'ID1&amp;5'!B:J,8,FALSE),"-")</f>
        <v>-</v>
      </c>
      <c r="L480" s="78" t="str">
        <f>+IFERROR(VLOOKUP(B480,'ID1&amp;5'!K:L,2,FALSE),"-")</f>
        <v>-</v>
      </c>
      <c r="M480" s="79" t="str">
        <f>+IFERROR(VLOOKUP(CONCATENATE(A480,$B$10,B480),'ID1&amp;5'!B:J,9,FALSE),"-")</f>
        <v>-</v>
      </c>
      <c r="N480" s="79" t="str">
        <f>+IFERROR(VLOOKUP(CONCATENATE(A480,$C$10,C480),'ID1&amp;5'!B:J,8,FALSE),"-")</f>
        <v>-</v>
      </c>
      <c r="O480" s="78" t="str">
        <f>+IFERROR(VLOOKUP(C480,'ID1&amp;5'!K:L,2,FALSE),"-")</f>
        <v>-</v>
      </c>
      <c r="P480" s="79" t="str">
        <f>+IFERROR(VLOOKUP(CONCATENATE(A480,$C$10,C480),'ID1&amp;5'!B:J,9,FALSE),"-")</f>
        <v>-</v>
      </c>
      <c r="Q480" s="78" t="str">
        <f>+IFERROR(VLOOKUP(D480,'ID1&amp;5'!K:L,2,FALSE),"-")</f>
        <v>-</v>
      </c>
      <c r="R480" s="26" t="str">
        <f>+IFERROR(VLOOKUP(CONCATENATE(A480,$D$10,D480),'ID1&amp;5'!B:J,9,FALSE),"-")</f>
        <v>-</v>
      </c>
      <c r="S480" s="78" t="str">
        <f>+IFERROR(VLOOKUP(E480,'ID1&amp;5'!K:L,2,FALSE),"-")</f>
        <v>-</v>
      </c>
      <c r="T480" s="79" t="str">
        <f>+IFERROR(VLOOKUP(CONCATENATE(A480,$E$10,E480),'ID1&amp;5'!B:J,9,FALSE),"-")</f>
        <v>-</v>
      </c>
      <c r="U480" s="78" t="str">
        <f>+IFERROR(VLOOKUP(F480,'ID1&amp;5'!K:L,2,FALSE),"-")</f>
        <v>-</v>
      </c>
      <c r="V480" s="79" t="str">
        <f>+IFERROR(VLOOKUP(CONCATENATE(A480,$F$10,F480),'ID1&amp;5'!B:J,9,FALSE),"-")</f>
        <v>-</v>
      </c>
      <c r="W480" s="26" t="str">
        <f>+IFERROR(VLOOKUP(A480,'ID6&amp;7'!A:I,9,FALSE),"-")</f>
        <v>-</v>
      </c>
      <c r="X480" s="26" t="str">
        <f>+IFERROR(VLOOKUP(A480,'ID6&amp;7'!A:J,10,FALSE),"-")</f>
        <v>-</v>
      </c>
      <c r="Y480" s="26"/>
      <c r="Z480" s="27" t="str">
        <f t="shared" si="8"/>
        <v>Por iniciar</v>
      </c>
      <c r="AA480" s="65"/>
    </row>
    <row r="481" spans="1:27">
      <c r="A481" s="20"/>
      <c r="B481" s="60"/>
      <c r="C481" s="60"/>
      <c r="D481" s="60"/>
      <c r="E481" s="60"/>
      <c r="F481" s="60"/>
      <c r="G481" s="60"/>
      <c r="H481" s="65" t="s">
        <v>114</v>
      </c>
      <c r="I481" s="21" t="s">
        <v>1469</v>
      </c>
      <c r="J481" s="26">
        <f>+COUNTIF('ID1&amp;5'!G:G,'1. Status'!I481)</f>
        <v>0</v>
      </c>
      <c r="K481" s="79" t="str">
        <f>+IFERROR(VLOOKUP(CONCATENATE(A481,$B$10,B481),'ID1&amp;5'!B:J,8,FALSE),"-")</f>
        <v>-</v>
      </c>
      <c r="L481" s="78" t="str">
        <f>+IFERROR(VLOOKUP(B481,'ID1&amp;5'!K:L,2,FALSE),"-")</f>
        <v>-</v>
      </c>
      <c r="M481" s="79" t="str">
        <f>+IFERROR(VLOOKUP(CONCATENATE(A481,$B$10,B481),'ID1&amp;5'!B:J,9,FALSE),"-")</f>
        <v>-</v>
      </c>
      <c r="N481" s="79" t="str">
        <f>+IFERROR(VLOOKUP(CONCATENATE(A481,$C$10,C481),'ID1&amp;5'!B:J,8,FALSE),"-")</f>
        <v>-</v>
      </c>
      <c r="O481" s="78" t="str">
        <f>+IFERROR(VLOOKUP(C481,'ID1&amp;5'!K:L,2,FALSE),"-")</f>
        <v>-</v>
      </c>
      <c r="P481" s="79" t="str">
        <f>+IFERROR(VLOOKUP(CONCATENATE(A481,$C$10,C481),'ID1&amp;5'!B:J,9,FALSE),"-")</f>
        <v>-</v>
      </c>
      <c r="Q481" s="78" t="str">
        <f>+IFERROR(VLOOKUP(D481,'ID1&amp;5'!K:L,2,FALSE),"-")</f>
        <v>-</v>
      </c>
      <c r="R481" s="26" t="str">
        <f>+IFERROR(VLOOKUP(CONCATENATE(A481,$D$10,D481),'ID1&amp;5'!B:J,9,FALSE),"-")</f>
        <v>-</v>
      </c>
      <c r="S481" s="78" t="str">
        <f>+IFERROR(VLOOKUP(E481,'ID1&amp;5'!K:L,2,FALSE),"-")</f>
        <v>-</v>
      </c>
      <c r="T481" s="79" t="str">
        <f>+IFERROR(VLOOKUP(CONCATENATE(A481,$E$10,E481),'ID1&amp;5'!B:J,9,FALSE),"-")</f>
        <v>-</v>
      </c>
      <c r="U481" s="78" t="str">
        <f>+IFERROR(VLOOKUP(F481,'ID1&amp;5'!K:L,2,FALSE),"-")</f>
        <v>-</v>
      </c>
      <c r="V481" s="79" t="str">
        <f>+IFERROR(VLOOKUP(CONCATENATE(A481,$F$10,F481),'ID1&amp;5'!B:J,9,FALSE),"-")</f>
        <v>-</v>
      </c>
      <c r="W481" s="26" t="str">
        <f>+IFERROR(VLOOKUP(A481,'ID6&amp;7'!A:I,9,FALSE),"-")</f>
        <v>-</v>
      </c>
      <c r="X481" s="26" t="str">
        <f>+IFERROR(VLOOKUP(A481,'ID6&amp;7'!A:J,10,FALSE),"-")</f>
        <v>-</v>
      </c>
      <c r="Y481" s="26"/>
      <c r="Z481" s="27" t="str">
        <f t="shared" si="8"/>
        <v>Por iniciar</v>
      </c>
      <c r="AA481" s="65"/>
    </row>
    <row r="482" spans="1:27">
      <c r="A482" s="20"/>
      <c r="B482" s="60"/>
      <c r="C482" s="60"/>
      <c r="D482" s="60"/>
      <c r="E482" s="60"/>
      <c r="F482" s="60"/>
      <c r="G482" s="60"/>
      <c r="H482" s="65" t="s">
        <v>114</v>
      </c>
      <c r="I482" s="21" t="s">
        <v>1470</v>
      </c>
      <c r="J482" s="26">
        <f>+COUNTIF('ID1&amp;5'!G:G,'1. Status'!I482)</f>
        <v>0</v>
      </c>
      <c r="K482" s="79" t="str">
        <f>+IFERROR(VLOOKUP(CONCATENATE(A482,$B$10,B482),'ID1&amp;5'!B:J,8,FALSE),"-")</f>
        <v>-</v>
      </c>
      <c r="L482" s="78" t="str">
        <f>+IFERROR(VLOOKUP(B482,'ID1&amp;5'!K:L,2,FALSE),"-")</f>
        <v>-</v>
      </c>
      <c r="M482" s="79" t="str">
        <f>+IFERROR(VLOOKUP(CONCATENATE(A482,$B$10,B482),'ID1&amp;5'!B:J,9,FALSE),"-")</f>
        <v>-</v>
      </c>
      <c r="N482" s="79" t="str">
        <f>+IFERROR(VLOOKUP(CONCATENATE(A482,$C$10,C482),'ID1&amp;5'!B:J,8,FALSE),"-")</f>
        <v>-</v>
      </c>
      <c r="O482" s="78" t="str">
        <f>+IFERROR(VLOOKUP(C482,'ID1&amp;5'!K:L,2,FALSE),"-")</f>
        <v>-</v>
      </c>
      <c r="P482" s="79" t="str">
        <f>+IFERROR(VLOOKUP(CONCATENATE(A482,$C$10,C482),'ID1&amp;5'!B:J,9,FALSE),"-")</f>
        <v>-</v>
      </c>
      <c r="Q482" s="78" t="str">
        <f>+IFERROR(VLOOKUP(D482,'ID1&amp;5'!K:L,2,FALSE),"-")</f>
        <v>-</v>
      </c>
      <c r="R482" s="26" t="str">
        <f>+IFERROR(VLOOKUP(CONCATENATE(A482,$D$10,D482),'ID1&amp;5'!B:J,9,FALSE),"-")</f>
        <v>-</v>
      </c>
      <c r="S482" s="78" t="str">
        <f>+IFERROR(VLOOKUP(E482,'ID1&amp;5'!K:L,2,FALSE),"-")</f>
        <v>-</v>
      </c>
      <c r="T482" s="79" t="str">
        <f>+IFERROR(VLOOKUP(CONCATENATE(A482,$E$10,E482),'ID1&amp;5'!B:J,9,FALSE),"-")</f>
        <v>-</v>
      </c>
      <c r="U482" s="78" t="str">
        <f>+IFERROR(VLOOKUP(F482,'ID1&amp;5'!K:L,2,FALSE),"-")</f>
        <v>-</v>
      </c>
      <c r="V482" s="79" t="str">
        <f>+IFERROR(VLOOKUP(CONCATENATE(A482,$F$10,F482),'ID1&amp;5'!B:J,9,FALSE),"-")</f>
        <v>-</v>
      </c>
      <c r="W482" s="26" t="str">
        <f>+IFERROR(VLOOKUP(A482,'ID6&amp;7'!A:I,9,FALSE),"-")</f>
        <v>-</v>
      </c>
      <c r="X482" s="26" t="str">
        <f>+IFERROR(VLOOKUP(A482,'ID6&amp;7'!A:J,10,FALSE),"-")</f>
        <v>-</v>
      </c>
      <c r="Y482" s="26"/>
      <c r="Z482" s="27" t="str">
        <f t="shared" si="8"/>
        <v>Por iniciar</v>
      </c>
      <c r="AA482" s="65"/>
    </row>
    <row r="483" spans="1:27">
      <c r="A483" s="20"/>
      <c r="B483" s="60"/>
      <c r="C483" s="60"/>
      <c r="D483" s="60"/>
      <c r="E483" s="60"/>
      <c r="F483" s="60"/>
      <c r="G483" s="60"/>
      <c r="H483" s="65" t="s">
        <v>114</v>
      </c>
      <c r="I483" s="21" t="s">
        <v>584</v>
      </c>
      <c r="J483" s="26">
        <f>+COUNTIF('ID1&amp;5'!G:G,'1. Status'!I483)</f>
        <v>0</v>
      </c>
      <c r="K483" s="79" t="str">
        <f>+IFERROR(VLOOKUP(CONCATENATE(A483,$B$10,B483),'ID1&amp;5'!B:J,8,FALSE),"-")</f>
        <v>-</v>
      </c>
      <c r="L483" s="78" t="str">
        <f>+IFERROR(VLOOKUP(B483,'ID1&amp;5'!K:L,2,FALSE),"-")</f>
        <v>-</v>
      </c>
      <c r="M483" s="79" t="str">
        <f>+IFERROR(VLOOKUP(CONCATENATE(A483,$B$10,B483),'ID1&amp;5'!B:J,9,FALSE),"-")</f>
        <v>-</v>
      </c>
      <c r="N483" s="79" t="str">
        <f>+IFERROR(VLOOKUP(CONCATENATE(A483,$C$10,C483),'ID1&amp;5'!B:J,8,FALSE),"-")</f>
        <v>-</v>
      </c>
      <c r="O483" s="78" t="str">
        <f>+IFERROR(VLOOKUP(C483,'ID1&amp;5'!K:L,2,FALSE),"-")</f>
        <v>-</v>
      </c>
      <c r="P483" s="79" t="str">
        <f>+IFERROR(VLOOKUP(CONCATENATE(A483,$C$10,C483),'ID1&amp;5'!B:J,9,FALSE),"-")</f>
        <v>-</v>
      </c>
      <c r="Q483" s="78" t="str">
        <f>+IFERROR(VLOOKUP(D483,'ID1&amp;5'!K:L,2,FALSE),"-")</f>
        <v>-</v>
      </c>
      <c r="R483" s="26" t="str">
        <f>+IFERROR(VLOOKUP(CONCATENATE(A483,$D$10,D483),'ID1&amp;5'!B:J,9,FALSE),"-")</f>
        <v>-</v>
      </c>
      <c r="S483" s="78" t="str">
        <f>+IFERROR(VLOOKUP(E483,'ID1&amp;5'!K:L,2,FALSE),"-")</f>
        <v>-</v>
      </c>
      <c r="T483" s="79" t="str">
        <f>+IFERROR(VLOOKUP(CONCATENATE(A483,$E$10,E483),'ID1&amp;5'!B:J,9,FALSE),"-")</f>
        <v>-</v>
      </c>
      <c r="U483" s="78" t="str">
        <f>+IFERROR(VLOOKUP(F483,'ID1&amp;5'!K:L,2,FALSE),"-")</f>
        <v>-</v>
      </c>
      <c r="V483" s="79" t="str">
        <f>+IFERROR(VLOOKUP(CONCATENATE(A483,$F$10,F483),'ID1&amp;5'!B:J,9,FALSE),"-")</f>
        <v>-</v>
      </c>
      <c r="W483" s="26" t="str">
        <f>+IFERROR(VLOOKUP(A483,'ID6&amp;7'!A:I,9,FALSE),"-")</f>
        <v>-</v>
      </c>
      <c r="X483" s="26" t="str">
        <f>+IFERROR(VLOOKUP(A483,'ID6&amp;7'!A:J,10,FALSE),"-")</f>
        <v>-</v>
      </c>
      <c r="Y483" s="26"/>
      <c r="Z483" s="27" t="str">
        <f t="shared" si="8"/>
        <v>Por iniciar</v>
      </c>
      <c r="AA483" s="65"/>
    </row>
    <row r="484" spans="1:27">
      <c r="A484" s="20"/>
      <c r="B484" s="60"/>
      <c r="C484" s="60"/>
      <c r="D484" s="60"/>
      <c r="E484" s="60"/>
      <c r="F484" s="60"/>
      <c r="G484" s="60"/>
      <c r="H484" s="65" t="s">
        <v>114</v>
      </c>
      <c r="I484" s="21" t="s">
        <v>585</v>
      </c>
      <c r="J484" s="26">
        <f>+COUNTIF('ID1&amp;5'!G:G,'1. Status'!I484)</f>
        <v>0</v>
      </c>
      <c r="K484" s="79" t="str">
        <f>+IFERROR(VLOOKUP(CONCATENATE(A484,$B$10,B484),'ID1&amp;5'!B:J,8,FALSE),"-")</f>
        <v>-</v>
      </c>
      <c r="L484" s="78" t="str">
        <f>+IFERROR(VLOOKUP(B484,'ID1&amp;5'!K:L,2,FALSE),"-")</f>
        <v>-</v>
      </c>
      <c r="M484" s="79" t="str">
        <f>+IFERROR(VLOOKUP(CONCATENATE(A484,$B$10,B484),'ID1&amp;5'!B:J,9,FALSE),"-")</f>
        <v>-</v>
      </c>
      <c r="N484" s="79" t="str">
        <f>+IFERROR(VLOOKUP(CONCATENATE(A484,$C$10,C484),'ID1&amp;5'!B:J,8,FALSE),"-")</f>
        <v>-</v>
      </c>
      <c r="O484" s="78" t="str">
        <f>+IFERROR(VLOOKUP(C484,'ID1&amp;5'!K:L,2,FALSE),"-")</f>
        <v>-</v>
      </c>
      <c r="P484" s="79" t="str">
        <f>+IFERROR(VLOOKUP(CONCATENATE(A484,$C$10,C484),'ID1&amp;5'!B:J,9,FALSE),"-")</f>
        <v>-</v>
      </c>
      <c r="Q484" s="78" t="str">
        <f>+IFERROR(VLOOKUP(D484,'ID1&amp;5'!K:L,2,FALSE),"-")</f>
        <v>-</v>
      </c>
      <c r="R484" s="26" t="str">
        <f>+IFERROR(VLOOKUP(CONCATENATE(A484,$D$10,D484),'ID1&amp;5'!B:J,9,FALSE),"-")</f>
        <v>-</v>
      </c>
      <c r="S484" s="78" t="str">
        <f>+IFERROR(VLOOKUP(E484,'ID1&amp;5'!K:L,2,FALSE),"-")</f>
        <v>-</v>
      </c>
      <c r="T484" s="79" t="str">
        <f>+IFERROR(VLOOKUP(CONCATENATE(A484,$E$10,E484),'ID1&amp;5'!B:J,9,FALSE),"-")</f>
        <v>-</v>
      </c>
      <c r="U484" s="78" t="str">
        <f>+IFERROR(VLOOKUP(F484,'ID1&amp;5'!K:L,2,FALSE),"-")</f>
        <v>-</v>
      </c>
      <c r="V484" s="79" t="str">
        <f>+IFERROR(VLOOKUP(CONCATENATE(A484,$F$10,F484),'ID1&amp;5'!B:J,9,FALSE),"-")</f>
        <v>-</v>
      </c>
      <c r="W484" s="26" t="str">
        <f>+IFERROR(VLOOKUP(A484,'ID6&amp;7'!A:I,9,FALSE),"-")</f>
        <v>-</v>
      </c>
      <c r="X484" s="26" t="str">
        <f>+IFERROR(VLOOKUP(A484,'ID6&amp;7'!A:J,10,FALSE),"-")</f>
        <v>-</v>
      </c>
      <c r="Y484" s="26"/>
      <c r="Z484" s="27" t="str">
        <f t="shared" si="8"/>
        <v>Por iniciar</v>
      </c>
      <c r="AA484" s="65"/>
    </row>
    <row r="485" spans="1:27">
      <c r="A485" s="20"/>
      <c r="B485" s="60"/>
      <c r="C485" s="60"/>
      <c r="D485" s="60"/>
      <c r="E485" s="60"/>
      <c r="F485" s="60"/>
      <c r="G485" s="60"/>
      <c r="H485" s="65" t="s">
        <v>114</v>
      </c>
      <c r="I485" s="21" t="s">
        <v>586</v>
      </c>
      <c r="J485" s="26">
        <f>+COUNTIF('ID1&amp;5'!G:G,'1. Status'!I485)</f>
        <v>0</v>
      </c>
      <c r="K485" s="79" t="str">
        <f>+IFERROR(VLOOKUP(CONCATENATE(A485,$B$10,B485),'ID1&amp;5'!B:J,8,FALSE),"-")</f>
        <v>-</v>
      </c>
      <c r="L485" s="78" t="str">
        <f>+IFERROR(VLOOKUP(B485,'ID1&amp;5'!K:L,2,FALSE),"-")</f>
        <v>-</v>
      </c>
      <c r="M485" s="79" t="str">
        <f>+IFERROR(VLOOKUP(CONCATENATE(A485,$B$10,B485),'ID1&amp;5'!B:J,9,FALSE),"-")</f>
        <v>-</v>
      </c>
      <c r="N485" s="79" t="str">
        <f>+IFERROR(VLOOKUP(CONCATENATE(A485,$C$10,C485),'ID1&amp;5'!B:J,8,FALSE),"-")</f>
        <v>-</v>
      </c>
      <c r="O485" s="78" t="str">
        <f>+IFERROR(VLOOKUP(C485,'ID1&amp;5'!K:L,2,FALSE),"-")</f>
        <v>-</v>
      </c>
      <c r="P485" s="79" t="str">
        <f>+IFERROR(VLOOKUP(CONCATENATE(A485,$C$10,C485),'ID1&amp;5'!B:J,9,FALSE),"-")</f>
        <v>-</v>
      </c>
      <c r="Q485" s="78" t="str">
        <f>+IFERROR(VLOOKUP(D485,'ID1&amp;5'!K:L,2,FALSE),"-")</f>
        <v>-</v>
      </c>
      <c r="R485" s="26" t="str">
        <f>+IFERROR(VLOOKUP(CONCATENATE(A485,$D$10,D485),'ID1&amp;5'!B:J,9,FALSE),"-")</f>
        <v>-</v>
      </c>
      <c r="S485" s="78" t="str">
        <f>+IFERROR(VLOOKUP(E485,'ID1&amp;5'!K:L,2,FALSE),"-")</f>
        <v>-</v>
      </c>
      <c r="T485" s="79" t="str">
        <f>+IFERROR(VLOOKUP(CONCATENATE(A485,$E$10,E485),'ID1&amp;5'!B:J,9,FALSE),"-")</f>
        <v>-</v>
      </c>
      <c r="U485" s="78" t="str">
        <f>+IFERROR(VLOOKUP(F485,'ID1&amp;5'!K:L,2,FALSE),"-")</f>
        <v>-</v>
      </c>
      <c r="V485" s="79" t="str">
        <f>+IFERROR(VLOOKUP(CONCATENATE(A485,$F$10,F485),'ID1&amp;5'!B:J,9,FALSE),"-")</f>
        <v>-</v>
      </c>
      <c r="W485" s="26" t="str">
        <f>+IFERROR(VLOOKUP(A485,'ID6&amp;7'!A:I,9,FALSE),"-")</f>
        <v>-</v>
      </c>
      <c r="X485" s="26" t="str">
        <f>+IFERROR(VLOOKUP(A485,'ID6&amp;7'!A:J,10,FALSE),"-")</f>
        <v>-</v>
      </c>
      <c r="Y485" s="26"/>
      <c r="Z485" s="27" t="str">
        <f t="shared" si="8"/>
        <v>Por iniciar</v>
      </c>
      <c r="AA485" s="65"/>
    </row>
    <row r="486" spans="1:27">
      <c r="A486" s="20"/>
      <c r="B486" s="60"/>
      <c r="C486" s="60"/>
      <c r="D486" s="60"/>
      <c r="E486" s="60"/>
      <c r="F486" s="60"/>
      <c r="G486" s="60"/>
      <c r="H486" s="65" t="s">
        <v>114</v>
      </c>
      <c r="I486" s="21" t="s">
        <v>587</v>
      </c>
      <c r="J486" s="26">
        <f>+COUNTIF('ID1&amp;5'!G:G,'1. Status'!I486)</f>
        <v>0</v>
      </c>
      <c r="K486" s="79" t="str">
        <f>+IFERROR(VLOOKUP(CONCATENATE(A486,$B$10,B486),'ID1&amp;5'!B:J,8,FALSE),"-")</f>
        <v>-</v>
      </c>
      <c r="L486" s="78" t="str">
        <f>+IFERROR(VLOOKUP(B486,'ID1&amp;5'!K:L,2,FALSE),"-")</f>
        <v>-</v>
      </c>
      <c r="M486" s="79" t="str">
        <f>+IFERROR(VLOOKUP(CONCATENATE(A486,$B$10,B486),'ID1&amp;5'!B:J,9,FALSE),"-")</f>
        <v>-</v>
      </c>
      <c r="N486" s="79" t="str">
        <f>+IFERROR(VLOOKUP(CONCATENATE(A486,$C$10,C486),'ID1&amp;5'!B:J,8,FALSE),"-")</f>
        <v>-</v>
      </c>
      <c r="O486" s="78" t="str">
        <f>+IFERROR(VLOOKUP(C486,'ID1&amp;5'!K:L,2,FALSE),"-")</f>
        <v>-</v>
      </c>
      <c r="P486" s="79" t="str">
        <f>+IFERROR(VLOOKUP(CONCATENATE(A486,$C$10,C486),'ID1&amp;5'!B:J,9,FALSE),"-")</f>
        <v>-</v>
      </c>
      <c r="Q486" s="78" t="str">
        <f>+IFERROR(VLOOKUP(D486,'ID1&amp;5'!K:L,2,FALSE),"-")</f>
        <v>-</v>
      </c>
      <c r="R486" s="26" t="str">
        <f>+IFERROR(VLOOKUP(CONCATENATE(A486,$D$10,D486),'ID1&amp;5'!B:J,9,FALSE),"-")</f>
        <v>-</v>
      </c>
      <c r="S486" s="78" t="str">
        <f>+IFERROR(VLOOKUP(E486,'ID1&amp;5'!K:L,2,FALSE),"-")</f>
        <v>-</v>
      </c>
      <c r="T486" s="79" t="str">
        <f>+IFERROR(VLOOKUP(CONCATENATE(A486,$E$10,E486),'ID1&amp;5'!B:J,9,FALSE),"-")</f>
        <v>-</v>
      </c>
      <c r="U486" s="78" t="str">
        <f>+IFERROR(VLOOKUP(F486,'ID1&amp;5'!K:L,2,FALSE),"-")</f>
        <v>-</v>
      </c>
      <c r="V486" s="79" t="str">
        <f>+IFERROR(VLOOKUP(CONCATENATE(A486,$F$10,F486),'ID1&amp;5'!B:J,9,FALSE),"-")</f>
        <v>-</v>
      </c>
      <c r="W486" s="26" t="str">
        <f>+IFERROR(VLOOKUP(A486,'ID6&amp;7'!A:I,9,FALSE),"-")</f>
        <v>-</v>
      </c>
      <c r="X486" s="26" t="str">
        <f>+IFERROR(VLOOKUP(A486,'ID6&amp;7'!A:J,10,FALSE),"-")</f>
        <v>-</v>
      </c>
      <c r="Y486" s="26"/>
      <c r="Z486" s="27" t="str">
        <f t="shared" si="8"/>
        <v>Por iniciar</v>
      </c>
      <c r="AA486" s="65"/>
    </row>
    <row r="487" spans="1:27">
      <c r="A487" s="20"/>
      <c r="B487" s="60"/>
      <c r="C487" s="60"/>
      <c r="D487" s="60"/>
      <c r="E487" s="60"/>
      <c r="F487" s="60"/>
      <c r="G487" s="60"/>
      <c r="H487" s="65" t="s">
        <v>114</v>
      </c>
      <c r="I487" s="21" t="s">
        <v>588</v>
      </c>
      <c r="J487" s="26">
        <f>+COUNTIF('ID1&amp;5'!G:G,'1. Status'!I487)</f>
        <v>0</v>
      </c>
      <c r="K487" s="79" t="str">
        <f>+IFERROR(VLOOKUP(CONCATENATE(A487,$B$10,B487),'ID1&amp;5'!B:J,8,FALSE),"-")</f>
        <v>-</v>
      </c>
      <c r="L487" s="78" t="str">
        <f>+IFERROR(VLOOKUP(B487,'ID1&amp;5'!K:L,2,FALSE),"-")</f>
        <v>-</v>
      </c>
      <c r="M487" s="79" t="str">
        <f>+IFERROR(VLOOKUP(CONCATENATE(A487,$B$10,B487),'ID1&amp;5'!B:J,9,FALSE),"-")</f>
        <v>-</v>
      </c>
      <c r="N487" s="79" t="str">
        <f>+IFERROR(VLOOKUP(CONCATENATE(A487,$C$10,C487),'ID1&amp;5'!B:J,8,FALSE),"-")</f>
        <v>-</v>
      </c>
      <c r="O487" s="78" t="str">
        <f>+IFERROR(VLOOKUP(C487,'ID1&amp;5'!K:L,2,FALSE),"-")</f>
        <v>-</v>
      </c>
      <c r="P487" s="79" t="str">
        <f>+IFERROR(VLOOKUP(CONCATENATE(A487,$C$10,C487),'ID1&amp;5'!B:J,9,FALSE),"-")</f>
        <v>-</v>
      </c>
      <c r="Q487" s="78" t="str">
        <f>+IFERROR(VLOOKUP(D487,'ID1&amp;5'!K:L,2,FALSE),"-")</f>
        <v>-</v>
      </c>
      <c r="R487" s="26" t="str">
        <f>+IFERROR(VLOOKUP(CONCATENATE(A487,$D$10,D487),'ID1&amp;5'!B:J,9,FALSE),"-")</f>
        <v>-</v>
      </c>
      <c r="S487" s="78" t="str">
        <f>+IFERROR(VLOOKUP(E487,'ID1&amp;5'!K:L,2,FALSE),"-")</f>
        <v>-</v>
      </c>
      <c r="T487" s="79" t="str">
        <f>+IFERROR(VLOOKUP(CONCATENATE(A487,$E$10,E487),'ID1&amp;5'!B:J,9,FALSE),"-")</f>
        <v>-</v>
      </c>
      <c r="U487" s="78" t="str">
        <f>+IFERROR(VLOOKUP(F487,'ID1&amp;5'!K:L,2,FALSE),"-")</f>
        <v>-</v>
      </c>
      <c r="V487" s="79" t="str">
        <f>+IFERROR(VLOOKUP(CONCATENATE(A487,$F$10,F487),'ID1&amp;5'!B:J,9,FALSE),"-")</f>
        <v>-</v>
      </c>
      <c r="W487" s="26" t="str">
        <f>+IFERROR(VLOOKUP(A487,'ID6&amp;7'!A:I,9,FALSE),"-")</f>
        <v>-</v>
      </c>
      <c r="X487" s="26" t="str">
        <f>+IFERROR(VLOOKUP(A487,'ID6&amp;7'!A:J,10,FALSE),"-")</f>
        <v>-</v>
      </c>
      <c r="Y487" s="26"/>
      <c r="Z487" s="27" t="str">
        <f t="shared" si="8"/>
        <v>Por iniciar</v>
      </c>
      <c r="AA487" s="65"/>
    </row>
    <row r="488" spans="1:27">
      <c r="A488" s="20"/>
      <c r="B488" s="60"/>
      <c r="C488" s="60"/>
      <c r="D488" s="60"/>
      <c r="E488" s="60"/>
      <c r="F488" s="60"/>
      <c r="G488" s="60"/>
      <c r="H488" s="65" t="s">
        <v>114</v>
      </c>
      <c r="I488" s="21" t="s">
        <v>589</v>
      </c>
      <c r="J488" s="26">
        <f>+COUNTIF('ID1&amp;5'!G:G,'1. Status'!I488)</f>
        <v>0</v>
      </c>
      <c r="K488" s="79" t="str">
        <f>+IFERROR(VLOOKUP(CONCATENATE(A488,$B$10,B488),'ID1&amp;5'!B:J,8,FALSE),"-")</f>
        <v>-</v>
      </c>
      <c r="L488" s="78" t="str">
        <f>+IFERROR(VLOOKUP(B488,'ID1&amp;5'!K:L,2,FALSE),"-")</f>
        <v>-</v>
      </c>
      <c r="M488" s="79" t="str">
        <f>+IFERROR(VLOOKUP(CONCATENATE(A488,$B$10,B488),'ID1&amp;5'!B:J,9,FALSE),"-")</f>
        <v>-</v>
      </c>
      <c r="N488" s="79" t="str">
        <f>+IFERROR(VLOOKUP(CONCATENATE(A488,$C$10,C488),'ID1&amp;5'!B:J,8,FALSE),"-")</f>
        <v>-</v>
      </c>
      <c r="O488" s="78" t="str">
        <f>+IFERROR(VLOOKUP(C488,'ID1&amp;5'!K:L,2,FALSE),"-")</f>
        <v>-</v>
      </c>
      <c r="P488" s="79" t="str">
        <f>+IFERROR(VLOOKUP(CONCATENATE(A488,$C$10,C488),'ID1&amp;5'!B:J,9,FALSE),"-")</f>
        <v>-</v>
      </c>
      <c r="Q488" s="78" t="str">
        <f>+IFERROR(VLOOKUP(D488,'ID1&amp;5'!K:L,2,FALSE),"-")</f>
        <v>-</v>
      </c>
      <c r="R488" s="26" t="str">
        <f>+IFERROR(VLOOKUP(CONCATENATE(A488,$D$10,D488),'ID1&amp;5'!B:J,9,FALSE),"-")</f>
        <v>-</v>
      </c>
      <c r="S488" s="78" t="str">
        <f>+IFERROR(VLOOKUP(E488,'ID1&amp;5'!K:L,2,FALSE),"-")</f>
        <v>-</v>
      </c>
      <c r="T488" s="79" t="str">
        <f>+IFERROR(VLOOKUP(CONCATENATE(A488,$E$10,E488),'ID1&amp;5'!B:J,9,FALSE),"-")</f>
        <v>-</v>
      </c>
      <c r="U488" s="78" t="str">
        <f>+IFERROR(VLOOKUP(F488,'ID1&amp;5'!K:L,2,FALSE),"-")</f>
        <v>-</v>
      </c>
      <c r="V488" s="79" t="str">
        <f>+IFERROR(VLOOKUP(CONCATENATE(A488,$F$10,F488),'ID1&amp;5'!B:J,9,FALSE),"-")</f>
        <v>-</v>
      </c>
      <c r="W488" s="26" t="str">
        <f>+IFERROR(VLOOKUP(A488,'ID6&amp;7'!A:I,9,FALSE),"-")</f>
        <v>-</v>
      </c>
      <c r="X488" s="26" t="str">
        <f>+IFERROR(VLOOKUP(A488,'ID6&amp;7'!A:J,10,FALSE),"-")</f>
        <v>-</v>
      </c>
      <c r="Y488" s="26"/>
      <c r="Z488" s="27" t="str">
        <f t="shared" si="8"/>
        <v>Por iniciar</v>
      </c>
      <c r="AA488" s="65"/>
    </row>
    <row r="489" spans="1:27">
      <c r="A489" s="20"/>
      <c r="B489" s="60"/>
      <c r="C489" s="60"/>
      <c r="D489" s="60"/>
      <c r="E489" s="60"/>
      <c r="F489" s="60"/>
      <c r="G489" s="60"/>
      <c r="H489" s="65" t="s">
        <v>114</v>
      </c>
      <c r="I489" s="21" t="s">
        <v>590</v>
      </c>
      <c r="J489" s="26">
        <f>+COUNTIF('ID1&amp;5'!G:G,'1. Status'!I489)</f>
        <v>0</v>
      </c>
      <c r="K489" s="79" t="str">
        <f>+IFERROR(VLOOKUP(CONCATENATE(A489,$B$10,B489),'ID1&amp;5'!B:J,8,FALSE),"-")</f>
        <v>-</v>
      </c>
      <c r="L489" s="78" t="str">
        <f>+IFERROR(VLOOKUP(B489,'ID1&amp;5'!K:L,2,FALSE),"-")</f>
        <v>-</v>
      </c>
      <c r="M489" s="79" t="str">
        <f>+IFERROR(VLOOKUP(CONCATENATE(A489,$B$10,B489),'ID1&amp;5'!B:J,9,FALSE),"-")</f>
        <v>-</v>
      </c>
      <c r="N489" s="79" t="str">
        <f>+IFERROR(VLOOKUP(CONCATENATE(A489,$C$10,C489),'ID1&amp;5'!B:J,8,FALSE),"-")</f>
        <v>-</v>
      </c>
      <c r="O489" s="78" t="str">
        <f>+IFERROR(VLOOKUP(C489,'ID1&amp;5'!K:L,2,FALSE),"-")</f>
        <v>-</v>
      </c>
      <c r="P489" s="79" t="str">
        <f>+IFERROR(VLOOKUP(CONCATENATE(A489,$C$10,C489),'ID1&amp;5'!B:J,9,FALSE),"-")</f>
        <v>-</v>
      </c>
      <c r="Q489" s="78" t="str">
        <f>+IFERROR(VLOOKUP(D489,'ID1&amp;5'!K:L,2,FALSE),"-")</f>
        <v>-</v>
      </c>
      <c r="R489" s="26" t="str">
        <f>+IFERROR(VLOOKUP(CONCATENATE(A489,$D$10,D489),'ID1&amp;5'!B:J,9,FALSE),"-")</f>
        <v>-</v>
      </c>
      <c r="S489" s="78" t="str">
        <f>+IFERROR(VLOOKUP(E489,'ID1&amp;5'!K:L,2,FALSE),"-")</f>
        <v>-</v>
      </c>
      <c r="T489" s="79" t="str">
        <f>+IFERROR(VLOOKUP(CONCATENATE(A489,$E$10,E489),'ID1&amp;5'!B:J,9,FALSE),"-")</f>
        <v>-</v>
      </c>
      <c r="U489" s="78" t="str">
        <f>+IFERROR(VLOOKUP(F489,'ID1&amp;5'!K:L,2,FALSE),"-")</f>
        <v>-</v>
      </c>
      <c r="V489" s="79" t="str">
        <f>+IFERROR(VLOOKUP(CONCATENATE(A489,$F$10,F489),'ID1&amp;5'!B:J,9,FALSE),"-")</f>
        <v>-</v>
      </c>
      <c r="W489" s="26" t="str">
        <f>+IFERROR(VLOOKUP(A489,'ID6&amp;7'!A:I,9,FALSE),"-")</f>
        <v>-</v>
      </c>
      <c r="X489" s="26" t="str">
        <f>+IFERROR(VLOOKUP(A489,'ID6&amp;7'!A:J,10,FALSE),"-")</f>
        <v>-</v>
      </c>
      <c r="Y489" s="26"/>
      <c r="Z489" s="27" t="str">
        <f t="shared" si="8"/>
        <v>Por iniciar</v>
      </c>
      <c r="AA489" s="65"/>
    </row>
    <row r="490" spans="1:27">
      <c r="A490" s="20"/>
      <c r="B490" s="60"/>
      <c r="C490" s="60"/>
      <c r="D490" s="60"/>
      <c r="E490" s="60"/>
      <c r="F490" s="60"/>
      <c r="G490" s="60"/>
      <c r="H490" s="65" t="s">
        <v>114</v>
      </c>
      <c r="I490" s="21" t="s">
        <v>591</v>
      </c>
      <c r="J490" s="26">
        <f>+COUNTIF('ID1&amp;5'!G:G,'1. Status'!I490)</f>
        <v>0</v>
      </c>
      <c r="K490" s="79" t="str">
        <f>+IFERROR(VLOOKUP(CONCATENATE(A490,$B$10,B490),'ID1&amp;5'!B:J,8,FALSE),"-")</f>
        <v>-</v>
      </c>
      <c r="L490" s="78" t="str">
        <f>+IFERROR(VLOOKUP(B490,'ID1&amp;5'!K:L,2,FALSE),"-")</f>
        <v>-</v>
      </c>
      <c r="M490" s="79" t="str">
        <f>+IFERROR(VLOOKUP(CONCATENATE(A490,$B$10,B490),'ID1&amp;5'!B:J,9,FALSE),"-")</f>
        <v>-</v>
      </c>
      <c r="N490" s="79" t="str">
        <f>+IFERROR(VLOOKUP(CONCATENATE(A490,$C$10,C490),'ID1&amp;5'!B:J,8,FALSE),"-")</f>
        <v>-</v>
      </c>
      <c r="O490" s="78" t="str">
        <f>+IFERROR(VLOOKUP(C490,'ID1&amp;5'!K:L,2,FALSE),"-")</f>
        <v>-</v>
      </c>
      <c r="P490" s="79" t="str">
        <f>+IFERROR(VLOOKUP(CONCATENATE(A490,$C$10,C490),'ID1&amp;5'!B:J,9,FALSE),"-")</f>
        <v>-</v>
      </c>
      <c r="Q490" s="78" t="str">
        <f>+IFERROR(VLOOKUP(D490,'ID1&amp;5'!K:L,2,FALSE),"-")</f>
        <v>-</v>
      </c>
      <c r="R490" s="26" t="str">
        <f>+IFERROR(VLOOKUP(CONCATENATE(A490,$D$10,D490),'ID1&amp;5'!B:J,9,FALSE),"-")</f>
        <v>-</v>
      </c>
      <c r="S490" s="78" t="str">
        <f>+IFERROR(VLOOKUP(E490,'ID1&amp;5'!K:L,2,FALSE),"-")</f>
        <v>-</v>
      </c>
      <c r="T490" s="79" t="str">
        <f>+IFERROR(VLOOKUP(CONCATENATE(A490,$E$10,E490),'ID1&amp;5'!B:J,9,FALSE),"-")</f>
        <v>-</v>
      </c>
      <c r="U490" s="78" t="str">
        <f>+IFERROR(VLOOKUP(F490,'ID1&amp;5'!K:L,2,FALSE),"-")</f>
        <v>-</v>
      </c>
      <c r="V490" s="79" t="str">
        <f>+IFERROR(VLOOKUP(CONCATENATE(A490,$F$10,F490),'ID1&amp;5'!B:J,9,FALSE),"-")</f>
        <v>-</v>
      </c>
      <c r="W490" s="26" t="str">
        <f>+IFERROR(VLOOKUP(A490,'ID6&amp;7'!A:I,9,FALSE),"-")</f>
        <v>-</v>
      </c>
      <c r="X490" s="26" t="str">
        <f>+IFERROR(VLOOKUP(A490,'ID6&amp;7'!A:J,10,FALSE),"-")</f>
        <v>-</v>
      </c>
      <c r="Y490" s="26"/>
      <c r="Z490" s="27" t="str">
        <f t="shared" si="8"/>
        <v>Por iniciar</v>
      </c>
      <c r="AA490" s="65"/>
    </row>
    <row r="491" spans="1:27">
      <c r="A491" s="20"/>
      <c r="B491" s="60"/>
      <c r="C491" s="60"/>
      <c r="D491" s="60"/>
      <c r="E491" s="60"/>
      <c r="F491" s="60"/>
      <c r="G491" s="60"/>
      <c r="H491" s="65" t="s">
        <v>114</v>
      </c>
      <c r="I491" s="21" t="s">
        <v>592</v>
      </c>
      <c r="J491" s="26">
        <f>+COUNTIF('ID1&amp;5'!G:G,'1. Status'!I491)</f>
        <v>0</v>
      </c>
      <c r="K491" s="79" t="str">
        <f>+IFERROR(VLOOKUP(CONCATENATE(A491,$B$10,B491),'ID1&amp;5'!B:J,8,FALSE),"-")</f>
        <v>-</v>
      </c>
      <c r="L491" s="78" t="str">
        <f>+IFERROR(VLOOKUP(B491,'ID1&amp;5'!K:L,2,FALSE),"-")</f>
        <v>-</v>
      </c>
      <c r="M491" s="79" t="str">
        <f>+IFERROR(VLOOKUP(CONCATENATE(A491,$B$10,B491),'ID1&amp;5'!B:J,9,FALSE),"-")</f>
        <v>-</v>
      </c>
      <c r="N491" s="79" t="str">
        <f>+IFERROR(VLOOKUP(CONCATENATE(A491,$C$10,C491),'ID1&amp;5'!B:J,8,FALSE),"-")</f>
        <v>-</v>
      </c>
      <c r="O491" s="78" t="str">
        <f>+IFERROR(VLOOKUP(C491,'ID1&amp;5'!K:L,2,FALSE),"-")</f>
        <v>-</v>
      </c>
      <c r="P491" s="79" t="str">
        <f>+IFERROR(VLOOKUP(CONCATENATE(A491,$C$10,C491),'ID1&amp;5'!B:J,9,FALSE),"-")</f>
        <v>-</v>
      </c>
      <c r="Q491" s="78" t="str">
        <f>+IFERROR(VLOOKUP(D491,'ID1&amp;5'!K:L,2,FALSE),"-")</f>
        <v>-</v>
      </c>
      <c r="R491" s="26" t="str">
        <f>+IFERROR(VLOOKUP(CONCATENATE(A491,$D$10,D491),'ID1&amp;5'!B:J,9,FALSE),"-")</f>
        <v>-</v>
      </c>
      <c r="S491" s="78" t="str">
        <f>+IFERROR(VLOOKUP(E491,'ID1&amp;5'!K:L,2,FALSE),"-")</f>
        <v>-</v>
      </c>
      <c r="T491" s="79" t="str">
        <f>+IFERROR(VLOOKUP(CONCATENATE(A491,$E$10,E491),'ID1&amp;5'!B:J,9,FALSE),"-")</f>
        <v>-</v>
      </c>
      <c r="U491" s="78" t="str">
        <f>+IFERROR(VLOOKUP(F491,'ID1&amp;5'!K:L,2,FALSE),"-")</f>
        <v>-</v>
      </c>
      <c r="V491" s="79" t="str">
        <f>+IFERROR(VLOOKUP(CONCATENATE(A491,$F$10,F491),'ID1&amp;5'!B:J,9,FALSE),"-")</f>
        <v>-</v>
      </c>
      <c r="W491" s="26" t="str">
        <f>+IFERROR(VLOOKUP(A491,'ID6&amp;7'!A:I,9,FALSE),"-")</f>
        <v>-</v>
      </c>
      <c r="X491" s="26" t="str">
        <f>+IFERROR(VLOOKUP(A491,'ID6&amp;7'!A:J,10,FALSE),"-")</f>
        <v>-</v>
      </c>
      <c r="Y491" s="26"/>
      <c r="Z491" s="27" t="str">
        <f t="shared" si="8"/>
        <v>Por iniciar</v>
      </c>
      <c r="AA491" s="65"/>
    </row>
    <row r="492" spans="1:27">
      <c r="A492" s="20"/>
      <c r="B492" s="60"/>
      <c r="C492" s="60"/>
      <c r="D492" s="60"/>
      <c r="E492" s="60"/>
      <c r="F492" s="60"/>
      <c r="G492" s="60"/>
      <c r="H492" s="65" t="s">
        <v>114</v>
      </c>
      <c r="I492" s="21" t="s">
        <v>593</v>
      </c>
      <c r="J492" s="26">
        <f>+COUNTIF('ID1&amp;5'!G:G,'1. Status'!I492)</f>
        <v>0</v>
      </c>
      <c r="K492" s="79" t="str">
        <f>+IFERROR(VLOOKUP(CONCATENATE(A492,$B$10,B492),'ID1&amp;5'!B:J,8,FALSE),"-")</f>
        <v>-</v>
      </c>
      <c r="L492" s="78" t="str">
        <f>+IFERROR(VLOOKUP(B492,'ID1&amp;5'!K:L,2,FALSE),"-")</f>
        <v>-</v>
      </c>
      <c r="M492" s="79" t="str">
        <f>+IFERROR(VLOOKUP(CONCATENATE(A492,$B$10,B492),'ID1&amp;5'!B:J,9,FALSE),"-")</f>
        <v>-</v>
      </c>
      <c r="N492" s="79" t="str">
        <f>+IFERROR(VLOOKUP(CONCATENATE(A492,$C$10,C492),'ID1&amp;5'!B:J,8,FALSE),"-")</f>
        <v>-</v>
      </c>
      <c r="O492" s="78" t="str">
        <f>+IFERROR(VLOOKUP(C492,'ID1&amp;5'!K:L,2,FALSE),"-")</f>
        <v>-</v>
      </c>
      <c r="P492" s="79" t="str">
        <f>+IFERROR(VLOOKUP(CONCATENATE(A492,$C$10,C492),'ID1&amp;5'!B:J,9,FALSE),"-")</f>
        <v>-</v>
      </c>
      <c r="Q492" s="78" t="str">
        <f>+IFERROR(VLOOKUP(D492,'ID1&amp;5'!K:L,2,FALSE),"-")</f>
        <v>-</v>
      </c>
      <c r="R492" s="26" t="str">
        <f>+IFERROR(VLOOKUP(CONCATENATE(A492,$D$10,D492),'ID1&amp;5'!B:J,9,FALSE),"-")</f>
        <v>-</v>
      </c>
      <c r="S492" s="78" t="str">
        <f>+IFERROR(VLOOKUP(E492,'ID1&amp;5'!K:L,2,FALSE),"-")</f>
        <v>-</v>
      </c>
      <c r="T492" s="79" t="str">
        <f>+IFERROR(VLOOKUP(CONCATENATE(A492,$E$10,E492),'ID1&amp;5'!B:J,9,FALSE),"-")</f>
        <v>-</v>
      </c>
      <c r="U492" s="78" t="str">
        <f>+IFERROR(VLOOKUP(F492,'ID1&amp;5'!K:L,2,FALSE),"-")</f>
        <v>-</v>
      </c>
      <c r="V492" s="79" t="str">
        <f>+IFERROR(VLOOKUP(CONCATENATE(A492,$F$10,F492),'ID1&amp;5'!B:J,9,FALSE),"-")</f>
        <v>-</v>
      </c>
      <c r="W492" s="26" t="str">
        <f>+IFERROR(VLOOKUP(A492,'ID6&amp;7'!A:I,9,FALSE),"-")</f>
        <v>-</v>
      </c>
      <c r="X492" s="26" t="str">
        <f>+IFERROR(VLOOKUP(A492,'ID6&amp;7'!A:J,10,FALSE),"-")</f>
        <v>-</v>
      </c>
      <c r="Y492" s="26"/>
      <c r="Z492" s="27" t="str">
        <f t="shared" si="8"/>
        <v>Por iniciar</v>
      </c>
      <c r="AA492" s="65"/>
    </row>
    <row r="493" spans="1:27">
      <c r="A493" s="20"/>
      <c r="B493" s="60"/>
      <c r="C493" s="60"/>
      <c r="D493" s="60"/>
      <c r="E493" s="60"/>
      <c r="F493" s="60"/>
      <c r="G493" s="60"/>
      <c r="H493" s="65" t="s">
        <v>114</v>
      </c>
      <c r="I493" s="21" t="s">
        <v>594</v>
      </c>
      <c r="J493" s="26">
        <f>+COUNTIF('ID1&amp;5'!G:G,'1. Status'!I493)</f>
        <v>0</v>
      </c>
      <c r="K493" s="79" t="str">
        <f>+IFERROR(VLOOKUP(CONCATENATE(A493,$B$10,B493),'ID1&amp;5'!B:J,8,FALSE),"-")</f>
        <v>-</v>
      </c>
      <c r="L493" s="78" t="str">
        <f>+IFERROR(VLOOKUP(B493,'ID1&amp;5'!K:L,2,FALSE),"-")</f>
        <v>-</v>
      </c>
      <c r="M493" s="79" t="str">
        <f>+IFERROR(VLOOKUP(CONCATENATE(A493,$B$10,B493),'ID1&amp;5'!B:J,9,FALSE),"-")</f>
        <v>-</v>
      </c>
      <c r="N493" s="79" t="str">
        <f>+IFERROR(VLOOKUP(CONCATENATE(A493,$C$10,C493),'ID1&amp;5'!B:J,8,FALSE),"-")</f>
        <v>-</v>
      </c>
      <c r="O493" s="78" t="str">
        <f>+IFERROR(VLOOKUP(C493,'ID1&amp;5'!K:L,2,FALSE),"-")</f>
        <v>-</v>
      </c>
      <c r="P493" s="79" t="str">
        <f>+IFERROR(VLOOKUP(CONCATENATE(A493,$C$10,C493),'ID1&amp;5'!B:J,9,FALSE),"-")</f>
        <v>-</v>
      </c>
      <c r="Q493" s="78" t="str">
        <f>+IFERROR(VLOOKUP(D493,'ID1&amp;5'!K:L,2,FALSE),"-")</f>
        <v>-</v>
      </c>
      <c r="R493" s="26" t="str">
        <f>+IFERROR(VLOOKUP(CONCATENATE(A493,$D$10,D493),'ID1&amp;5'!B:J,9,FALSE),"-")</f>
        <v>-</v>
      </c>
      <c r="S493" s="78" t="str">
        <f>+IFERROR(VLOOKUP(E493,'ID1&amp;5'!K:L,2,FALSE),"-")</f>
        <v>-</v>
      </c>
      <c r="T493" s="79" t="str">
        <f>+IFERROR(VLOOKUP(CONCATENATE(A493,$E$10,E493),'ID1&amp;5'!B:J,9,FALSE),"-")</f>
        <v>-</v>
      </c>
      <c r="U493" s="78" t="str">
        <f>+IFERROR(VLOOKUP(F493,'ID1&amp;5'!K:L,2,FALSE),"-")</f>
        <v>-</v>
      </c>
      <c r="V493" s="79" t="str">
        <f>+IFERROR(VLOOKUP(CONCATENATE(A493,$F$10,F493),'ID1&amp;5'!B:J,9,FALSE),"-")</f>
        <v>-</v>
      </c>
      <c r="W493" s="26" t="str">
        <f>+IFERROR(VLOOKUP(A493,'ID6&amp;7'!A:I,9,FALSE),"-")</f>
        <v>-</v>
      </c>
      <c r="X493" s="26" t="str">
        <f>+IFERROR(VLOOKUP(A493,'ID6&amp;7'!A:J,10,FALSE),"-")</f>
        <v>-</v>
      </c>
      <c r="Y493" s="26"/>
      <c r="Z493" s="27" t="str">
        <f t="shared" si="8"/>
        <v>Por iniciar</v>
      </c>
      <c r="AA493" s="65"/>
    </row>
    <row r="494" spans="1:27">
      <c r="A494" s="20"/>
      <c r="B494" s="60"/>
      <c r="C494" s="60"/>
      <c r="D494" s="60"/>
      <c r="E494" s="60"/>
      <c r="F494" s="60"/>
      <c r="G494" s="60"/>
      <c r="H494" s="65" t="s">
        <v>114</v>
      </c>
      <c r="I494" s="21" t="s">
        <v>595</v>
      </c>
      <c r="J494" s="26">
        <f>+COUNTIF('ID1&amp;5'!G:G,'1. Status'!I494)</f>
        <v>0</v>
      </c>
      <c r="K494" s="79" t="str">
        <f>+IFERROR(VLOOKUP(CONCATENATE(A494,$B$10,B494),'ID1&amp;5'!B:J,8,FALSE),"-")</f>
        <v>-</v>
      </c>
      <c r="L494" s="78" t="str">
        <f>+IFERROR(VLOOKUP(B494,'ID1&amp;5'!K:L,2,FALSE),"-")</f>
        <v>-</v>
      </c>
      <c r="M494" s="79" t="str">
        <f>+IFERROR(VLOOKUP(CONCATENATE(A494,$B$10,B494),'ID1&amp;5'!B:J,9,FALSE),"-")</f>
        <v>-</v>
      </c>
      <c r="N494" s="79" t="str">
        <f>+IFERROR(VLOOKUP(CONCATENATE(A494,$C$10,C494),'ID1&amp;5'!B:J,8,FALSE),"-")</f>
        <v>-</v>
      </c>
      <c r="O494" s="78" t="str">
        <f>+IFERROR(VLOOKUP(C494,'ID1&amp;5'!K:L,2,FALSE),"-")</f>
        <v>-</v>
      </c>
      <c r="P494" s="79" t="str">
        <f>+IFERROR(VLOOKUP(CONCATENATE(A494,$C$10,C494),'ID1&amp;5'!B:J,9,FALSE),"-")</f>
        <v>-</v>
      </c>
      <c r="Q494" s="78" t="str">
        <f>+IFERROR(VLOOKUP(D494,'ID1&amp;5'!K:L,2,FALSE),"-")</f>
        <v>-</v>
      </c>
      <c r="R494" s="26" t="str">
        <f>+IFERROR(VLOOKUP(CONCATENATE(A494,$D$10,D494),'ID1&amp;5'!B:J,9,FALSE),"-")</f>
        <v>-</v>
      </c>
      <c r="S494" s="78" t="str">
        <f>+IFERROR(VLOOKUP(E494,'ID1&amp;5'!K:L,2,FALSE),"-")</f>
        <v>-</v>
      </c>
      <c r="T494" s="79" t="str">
        <f>+IFERROR(VLOOKUP(CONCATENATE(A494,$E$10,E494),'ID1&amp;5'!B:J,9,FALSE),"-")</f>
        <v>-</v>
      </c>
      <c r="U494" s="78" t="str">
        <f>+IFERROR(VLOOKUP(F494,'ID1&amp;5'!K:L,2,FALSE),"-")</f>
        <v>-</v>
      </c>
      <c r="V494" s="79" t="str">
        <f>+IFERROR(VLOOKUP(CONCATENATE(A494,$F$10,F494),'ID1&amp;5'!B:J,9,FALSE),"-")</f>
        <v>-</v>
      </c>
      <c r="W494" s="26" t="str">
        <f>+IFERROR(VLOOKUP(A494,'ID6&amp;7'!A:I,9,FALSE),"-")</f>
        <v>-</v>
      </c>
      <c r="X494" s="26" t="str">
        <f>+IFERROR(VLOOKUP(A494,'ID6&amp;7'!A:J,10,FALSE),"-")</f>
        <v>-</v>
      </c>
      <c r="Y494" s="26"/>
      <c r="Z494" s="27" t="str">
        <f t="shared" si="8"/>
        <v>Por iniciar</v>
      </c>
      <c r="AA494" s="65"/>
    </row>
    <row r="495" spans="1:27">
      <c r="A495" s="20"/>
      <c r="B495" s="60"/>
      <c r="C495" s="60"/>
      <c r="D495" s="60"/>
      <c r="E495" s="60"/>
      <c r="F495" s="60"/>
      <c r="G495" s="60"/>
      <c r="H495" s="65" t="s">
        <v>114</v>
      </c>
      <c r="I495" s="21" t="s">
        <v>596</v>
      </c>
      <c r="J495" s="26">
        <f>+COUNTIF('ID1&amp;5'!G:G,'1. Status'!I495)</f>
        <v>0</v>
      </c>
      <c r="K495" s="79" t="str">
        <f>+IFERROR(VLOOKUP(CONCATENATE(A495,$B$10,B495),'ID1&amp;5'!B:J,8,FALSE),"-")</f>
        <v>-</v>
      </c>
      <c r="L495" s="78" t="str">
        <f>+IFERROR(VLOOKUP(B495,'ID1&amp;5'!K:L,2,FALSE),"-")</f>
        <v>-</v>
      </c>
      <c r="M495" s="79" t="str">
        <f>+IFERROR(VLOOKUP(CONCATENATE(A495,$B$10,B495),'ID1&amp;5'!B:J,9,FALSE),"-")</f>
        <v>-</v>
      </c>
      <c r="N495" s="79" t="str">
        <f>+IFERROR(VLOOKUP(CONCATENATE(A495,$C$10,C495),'ID1&amp;5'!B:J,8,FALSE),"-")</f>
        <v>-</v>
      </c>
      <c r="O495" s="78" t="str">
        <f>+IFERROR(VLOOKUP(C495,'ID1&amp;5'!K:L,2,FALSE),"-")</f>
        <v>-</v>
      </c>
      <c r="P495" s="79" t="str">
        <f>+IFERROR(VLOOKUP(CONCATENATE(A495,$C$10,C495),'ID1&amp;5'!B:J,9,FALSE),"-")</f>
        <v>-</v>
      </c>
      <c r="Q495" s="78" t="str">
        <f>+IFERROR(VLOOKUP(D495,'ID1&amp;5'!K:L,2,FALSE),"-")</f>
        <v>-</v>
      </c>
      <c r="R495" s="26" t="str">
        <f>+IFERROR(VLOOKUP(CONCATENATE(A495,$D$10,D495),'ID1&amp;5'!B:J,9,FALSE),"-")</f>
        <v>-</v>
      </c>
      <c r="S495" s="78" t="str">
        <f>+IFERROR(VLOOKUP(E495,'ID1&amp;5'!K:L,2,FALSE),"-")</f>
        <v>-</v>
      </c>
      <c r="T495" s="79" t="str">
        <f>+IFERROR(VLOOKUP(CONCATENATE(A495,$E$10,E495),'ID1&amp;5'!B:J,9,FALSE),"-")</f>
        <v>-</v>
      </c>
      <c r="U495" s="78" t="str">
        <f>+IFERROR(VLOOKUP(F495,'ID1&amp;5'!K:L,2,FALSE),"-")</f>
        <v>-</v>
      </c>
      <c r="V495" s="79" t="str">
        <f>+IFERROR(VLOOKUP(CONCATENATE(A495,$F$10,F495),'ID1&amp;5'!B:J,9,FALSE),"-")</f>
        <v>-</v>
      </c>
      <c r="W495" s="26" t="str">
        <f>+IFERROR(VLOOKUP(A495,'ID6&amp;7'!A:I,9,FALSE),"-")</f>
        <v>-</v>
      </c>
      <c r="X495" s="26" t="str">
        <f>+IFERROR(VLOOKUP(A495,'ID6&amp;7'!A:J,10,FALSE),"-")</f>
        <v>-</v>
      </c>
      <c r="Y495" s="26"/>
      <c r="Z495" s="27" t="str">
        <f t="shared" si="8"/>
        <v>Por iniciar</v>
      </c>
      <c r="AA495" s="65"/>
    </row>
    <row r="496" spans="1:27">
      <c r="A496" s="20"/>
      <c r="B496" s="60"/>
      <c r="C496" s="60"/>
      <c r="D496" s="60"/>
      <c r="E496" s="60"/>
      <c r="F496" s="60"/>
      <c r="G496" s="60"/>
      <c r="H496" s="65" t="s">
        <v>114</v>
      </c>
      <c r="I496" s="21" t="s">
        <v>597</v>
      </c>
      <c r="J496" s="26">
        <f>+COUNTIF('ID1&amp;5'!G:G,'1. Status'!I496)</f>
        <v>0</v>
      </c>
      <c r="K496" s="79" t="str">
        <f>+IFERROR(VLOOKUP(CONCATENATE(A496,$B$10,B496),'ID1&amp;5'!B:J,8,FALSE),"-")</f>
        <v>-</v>
      </c>
      <c r="L496" s="78" t="str">
        <f>+IFERROR(VLOOKUP(B496,'ID1&amp;5'!K:L,2,FALSE),"-")</f>
        <v>-</v>
      </c>
      <c r="M496" s="79" t="str">
        <f>+IFERROR(VLOOKUP(CONCATENATE(A496,$B$10,B496),'ID1&amp;5'!B:J,9,FALSE),"-")</f>
        <v>-</v>
      </c>
      <c r="N496" s="79" t="str">
        <f>+IFERROR(VLOOKUP(CONCATENATE(A496,$C$10,C496),'ID1&amp;5'!B:J,8,FALSE),"-")</f>
        <v>-</v>
      </c>
      <c r="O496" s="78" t="str">
        <f>+IFERROR(VLOOKUP(C496,'ID1&amp;5'!K:L,2,FALSE),"-")</f>
        <v>-</v>
      </c>
      <c r="P496" s="79" t="str">
        <f>+IFERROR(VLOOKUP(CONCATENATE(A496,$C$10,C496),'ID1&amp;5'!B:J,9,FALSE),"-")</f>
        <v>-</v>
      </c>
      <c r="Q496" s="78" t="str">
        <f>+IFERROR(VLOOKUP(D496,'ID1&amp;5'!K:L,2,FALSE),"-")</f>
        <v>-</v>
      </c>
      <c r="R496" s="26" t="str">
        <f>+IFERROR(VLOOKUP(CONCATENATE(A496,$D$10,D496),'ID1&amp;5'!B:J,9,FALSE),"-")</f>
        <v>-</v>
      </c>
      <c r="S496" s="78" t="str">
        <f>+IFERROR(VLOOKUP(E496,'ID1&amp;5'!K:L,2,FALSE),"-")</f>
        <v>-</v>
      </c>
      <c r="T496" s="79" t="str">
        <f>+IFERROR(VLOOKUP(CONCATENATE(A496,$E$10,E496),'ID1&amp;5'!B:J,9,FALSE),"-")</f>
        <v>-</v>
      </c>
      <c r="U496" s="78" t="str">
        <f>+IFERROR(VLOOKUP(F496,'ID1&amp;5'!K:L,2,FALSE),"-")</f>
        <v>-</v>
      </c>
      <c r="V496" s="79" t="str">
        <f>+IFERROR(VLOOKUP(CONCATENATE(A496,$F$10,F496),'ID1&amp;5'!B:J,9,FALSE),"-")</f>
        <v>-</v>
      </c>
      <c r="W496" s="26" t="str">
        <f>+IFERROR(VLOOKUP(A496,'ID6&amp;7'!A:I,9,FALSE),"-")</f>
        <v>-</v>
      </c>
      <c r="X496" s="26" t="str">
        <f>+IFERROR(VLOOKUP(A496,'ID6&amp;7'!A:J,10,FALSE),"-")</f>
        <v>-</v>
      </c>
      <c r="Y496" s="26"/>
      <c r="Z496" s="27" t="str">
        <f t="shared" si="8"/>
        <v>Por iniciar</v>
      </c>
      <c r="AA496" s="65"/>
    </row>
    <row r="497" spans="1:27">
      <c r="A497" s="20"/>
      <c r="B497" s="60"/>
      <c r="C497" s="60"/>
      <c r="D497" s="60"/>
      <c r="E497" s="60"/>
      <c r="F497" s="60"/>
      <c r="G497" s="60"/>
      <c r="H497" s="65" t="s">
        <v>114</v>
      </c>
      <c r="I497" s="21" t="s">
        <v>598</v>
      </c>
      <c r="J497" s="26">
        <f>+COUNTIF('ID1&amp;5'!G:G,'1. Status'!I497)</f>
        <v>0</v>
      </c>
      <c r="K497" s="79" t="str">
        <f>+IFERROR(VLOOKUP(CONCATENATE(A497,$B$10,B497),'ID1&amp;5'!B:J,8,FALSE),"-")</f>
        <v>-</v>
      </c>
      <c r="L497" s="78" t="str">
        <f>+IFERROR(VLOOKUP(B497,'ID1&amp;5'!K:L,2,FALSE),"-")</f>
        <v>-</v>
      </c>
      <c r="M497" s="79" t="str">
        <f>+IFERROR(VLOOKUP(CONCATENATE(A497,$B$10,B497),'ID1&amp;5'!B:J,9,FALSE),"-")</f>
        <v>-</v>
      </c>
      <c r="N497" s="79" t="str">
        <f>+IFERROR(VLOOKUP(CONCATENATE(A497,$C$10,C497),'ID1&amp;5'!B:J,8,FALSE),"-")</f>
        <v>-</v>
      </c>
      <c r="O497" s="78" t="str">
        <f>+IFERROR(VLOOKUP(C497,'ID1&amp;5'!K:L,2,FALSE),"-")</f>
        <v>-</v>
      </c>
      <c r="P497" s="79" t="str">
        <f>+IFERROR(VLOOKUP(CONCATENATE(A497,$C$10,C497),'ID1&amp;5'!B:J,9,FALSE),"-")</f>
        <v>-</v>
      </c>
      <c r="Q497" s="78" t="str">
        <f>+IFERROR(VLOOKUP(D497,'ID1&amp;5'!K:L,2,FALSE),"-")</f>
        <v>-</v>
      </c>
      <c r="R497" s="26" t="str">
        <f>+IFERROR(VLOOKUP(CONCATENATE(A497,$D$10,D497),'ID1&amp;5'!B:J,9,FALSE),"-")</f>
        <v>-</v>
      </c>
      <c r="S497" s="78" t="str">
        <f>+IFERROR(VLOOKUP(E497,'ID1&amp;5'!K:L,2,FALSE),"-")</f>
        <v>-</v>
      </c>
      <c r="T497" s="79" t="str">
        <f>+IFERROR(VLOOKUP(CONCATENATE(A497,$E$10,E497),'ID1&amp;5'!B:J,9,FALSE),"-")</f>
        <v>-</v>
      </c>
      <c r="U497" s="78" t="str">
        <f>+IFERROR(VLOOKUP(F497,'ID1&amp;5'!K:L,2,FALSE),"-")</f>
        <v>-</v>
      </c>
      <c r="V497" s="79" t="str">
        <f>+IFERROR(VLOOKUP(CONCATENATE(A497,$F$10,F497),'ID1&amp;5'!B:J,9,FALSE),"-")</f>
        <v>-</v>
      </c>
      <c r="W497" s="26" t="str">
        <f>+IFERROR(VLOOKUP(A497,'ID6&amp;7'!A:I,9,FALSE),"-")</f>
        <v>-</v>
      </c>
      <c r="X497" s="26" t="str">
        <f>+IFERROR(VLOOKUP(A497,'ID6&amp;7'!A:J,10,FALSE),"-")</f>
        <v>-</v>
      </c>
      <c r="Y497" s="26"/>
      <c r="Z497" s="27" t="str">
        <f t="shared" si="8"/>
        <v>Por iniciar</v>
      </c>
      <c r="AA497" s="65"/>
    </row>
    <row r="498" spans="1:27">
      <c r="A498" s="20"/>
      <c r="B498" s="60"/>
      <c r="C498" s="60"/>
      <c r="D498" s="60"/>
      <c r="E498" s="60"/>
      <c r="F498" s="60"/>
      <c r="G498" s="60"/>
      <c r="H498" s="65" t="s">
        <v>114</v>
      </c>
      <c r="I498" s="21" t="s">
        <v>1471</v>
      </c>
      <c r="J498" s="26">
        <f>+COUNTIF('ID1&amp;5'!G:G,'1. Status'!I498)</f>
        <v>0</v>
      </c>
      <c r="K498" s="79" t="str">
        <f>+IFERROR(VLOOKUP(CONCATENATE(A498,$B$10,B498),'ID1&amp;5'!B:J,8,FALSE),"-")</f>
        <v>-</v>
      </c>
      <c r="L498" s="78" t="str">
        <f>+IFERROR(VLOOKUP(B498,'ID1&amp;5'!K:L,2,FALSE),"-")</f>
        <v>-</v>
      </c>
      <c r="M498" s="79" t="str">
        <f>+IFERROR(VLOOKUP(CONCATENATE(A498,$B$10,B498),'ID1&amp;5'!B:J,9,FALSE),"-")</f>
        <v>-</v>
      </c>
      <c r="N498" s="79" t="str">
        <f>+IFERROR(VLOOKUP(CONCATENATE(A498,$C$10,C498),'ID1&amp;5'!B:J,8,FALSE),"-")</f>
        <v>-</v>
      </c>
      <c r="O498" s="78" t="str">
        <f>+IFERROR(VLOOKUP(C498,'ID1&amp;5'!K:L,2,FALSE),"-")</f>
        <v>-</v>
      </c>
      <c r="P498" s="79" t="str">
        <f>+IFERROR(VLOOKUP(CONCATENATE(A498,$C$10,C498),'ID1&amp;5'!B:J,9,FALSE),"-")</f>
        <v>-</v>
      </c>
      <c r="Q498" s="78" t="str">
        <f>+IFERROR(VLOOKUP(D498,'ID1&amp;5'!K:L,2,FALSE),"-")</f>
        <v>-</v>
      </c>
      <c r="R498" s="26" t="str">
        <f>+IFERROR(VLOOKUP(CONCATENATE(A498,$D$10,D498),'ID1&amp;5'!B:J,9,FALSE),"-")</f>
        <v>-</v>
      </c>
      <c r="S498" s="78" t="str">
        <f>+IFERROR(VLOOKUP(E498,'ID1&amp;5'!K:L,2,FALSE),"-")</f>
        <v>-</v>
      </c>
      <c r="T498" s="79" t="str">
        <f>+IFERROR(VLOOKUP(CONCATENATE(A498,$E$10,E498),'ID1&amp;5'!B:J,9,FALSE),"-")</f>
        <v>-</v>
      </c>
      <c r="U498" s="78" t="str">
        <f>+IFERROR(VLOOKUP(F498,'ID1&amp;5'!K:L,2,FALSE),"-")</f>
        <v>-</v>
      </c>
      <c r="V498" s="79" t="str">
        <f>+IFERROR(VLOOKUP(CONCATENATE(A498,$F$10,F498),'ID1&amp;5'!B:J,9,FALSE),"-")</f>
        <v>-</v>
      </c>
      <c r="W498" s="26" t="str">
        <f>+IFERROR(VLOOKUP(A498,'ID6&amp;7'!A:I,9,FALSE),"-")</f>
        <v>-</v>
      </c>
      <c r="X498" s="26" t="str">
        <f>+IFERROR(VLOOKUP(A498,'ID6&amp;7'!A:J,10,FALSE),"-")</f>
        <v>-</v>
      </c>
      <c r="Y498" s="26"/>
      <c r="Z498" s="27" t="str">
        <f t="shared" si="8"/>
        <v>Por iniciar</v>
      </c>
      <c r="AA498" s="65"/>
    </row>
    <row r="499" spans="1:27">
      <c r="A499" s="20"/>
      <c r="B499" s="60"/>
      <c r="C499" s="60"/>
      <c r="D499" s="60"/>
      <c r="E499" s="60"/>
      <c r="F499" s="60"/>
      <c r="G499" s="60"/>
      <c r="H499" s="65" t="s">
        <v>114</v>
      </c>
      <c r="I499" s="21" t="s">
        <v>600</v>
      </c>
      <c r="J499" s="26">
        <f>+COUNTIF('ID1&amp;5'!G:G,'1. Status'!I499)</f>
        <v>0</v>
      </c>
      <c r="K499" s="79" t="str">
        <f>+IFERROR(VLOOKUP(CONCATENATE(A499,$B$10,B499),'ID1&amp;5'!B:J,8,FALSE),"-")</f>
        <v>-</v>
      </c>
      <c r="L499" s="78" t="str">
        <f>+IFERROR(VLOOKUP(B499,'ID1&amp;5'!K:L,2,FALSE),"-")</f>
        <v>-</v>
      </c>
      <c r="M499" s="79" t="str">
        <f>+IFERROR(VLOOKUP(CONCATENATE(A499,$B$10,B499),'ID1&amp;5'!B:J,9,FALSE),"-")</f>
        <v>-</v>
      </c>
      <c r="N499" s="79" t="str">
        <f>+IFERROR(VLOOKUP(CONCATENATE(A499,$C$10,C499),'ID1&amp;5'!B:J,8,FALSE),"-")</f>
        <v>-</v>
      </c>
      <c r="O499" s="78" t="str">
        <f>+IFERROR(VLOOKUP(C499,'ID1&amp;5'!K:L,2,FALSE),"-")</f>
        <v>-</v>
      </c>
      <c r="P499" s="79" t="str">
        <f>+IFERROR(VLOOKUP(CONCATENATE(A499,$C$10,C499),'ID1&amp;5'!B:J,9,FALSE),"-")</f>
        <v>-</v>
      </c>
      <c r="Q499" s="78" t="str">
        <f>+IFERROR(VLOOKUP(D499,'ID1&amp;5'!K:L,2,FALSE),"-")</f>
        <v>-</v>
      </c>
      <c r="R499" s="26" t="str">
        <f>+IFERROR(VLOOKUP(CONCATENATE(A499,$D$10,D499),'ID1&amp;5'!B:J,9,FALSE),"-")</f>
        <v>-</v>
      </c>
      <c r="S499" s="78" t="str">
        <f>+IFERROR(VLOOKUP(E499,'ID1&amp;5'!K:L,2,FALSE),"-")</f>
        <v>-</v>
      </c>
      <c r="T499" s="79" t="str">
        <f>+IFERROR(VLOOKUP(CONCATENATE(A499,$E$10,E499),'ID1&amp;5'!B:J,9,FALSE),"-")</f>
        <v>-</v>
      </c>
      <c r="U499" s="78" t="str">
        <f>+IFERROR(VLOOKUP(F499,'ID1&amp;5'!K:L,2,FALSE),"-")</f>
        <v>-</v>
      </c>
      <c r="V499" s="79" t="str">
        <f>+IFERROR(VLOOKUP(CONCATENATE(A499,$F$10,F499),'ID1&amp;5'!B:J,9,FALSE),"-")</f>
        <v>-</v>
      </c>
      <c r="W499" s="26" t="str">
        <f>+IFERROR(VLOOKUP(A499,'ID6&amp;7'!A:I,9,FALSE),"-")</f>
        <v>-</v>
      </c>
      <c r="X499" s="26" t="str">
        <f>+IFERROR(VLOOKUP(A499,'ID6&amp;7'!A:J,10,FALSE),"-")</f>
        <v>-</v>
      </c>
      <c r="Y499" s="26"/>
      <c r="Z499" s="27" t="str">
        <f t="shared" si="8"/>
        <v>Por iniciar</v>
      </c>
      <c r="AA499" s="65"/>
    </row>
    <row r="500" spans="1:27">
      <c r="A500" s="20"/>
      <c r="B500" s="60"/>
      <c r="C500" s="60"/>
      <c r="D500" s="60"/>
      <c r="E500" s="60"/>
      <c r="F500" s="60"/>
      <c r="G500" s="60"/>
      <c r="H500" s="65" t="s">
        <v>114</v>
      </c>
      <c r="I500" s="21" t="s">
        <v>601</v>
      </c>
      <c r="J500" s="26">
        <f>+COUNTIF('ID1&amp;5'!G:G,'1. Status'!I500)</f>
        <v>0</v>
      </c>
      <c r="K500" s="79" t="str">
        <f>+IFERROR(VLOOKUP(CONCATENATE(A500,$B$10,B500),'ID1&amp;5'!B:J,8,FALSE),"-")</f>
        <v>-</v>
      </c>
      <c r="L500" s="78" t="str">
        <f>+IFERROR(VLOOKUP(B500,'ID1&amp;5'!K:L,2,FALSE),"-")</f>
        <v>-</v>
      </c>
      <c r="M500" s="79" t="str">
        <f>+IFERROR(VLOOKUP(CONCATENATE(A500,$B$10,B500),'ID1&amp;5'!B:J,9,FALSE),"-")</f>
        <v>-</v>
      </c>
      <c r="N500" s="79" t="str">
        <f>+IFERROR(VLOOKUP(CONCATENATE(A500,$C$10,C500),'ID1&amp;5'!B:J,8,FALSE),"-")</f>
        <v>-</v>
      </c>
      <c r="O500" s="78" t="str">
        <f>+IFERROR(VLOOKUP(C500,'ID1&amp;5'!K:L,2,FALSE),"-")</f>
        <v>-</v>
      </c>
      <c r="P500" s="79" t="str">
        <f>+IFERROR(VLOOKUP(CONCATENATE(A500,$C$10,C500),'ID1&amp;5'!B:J,9,FALSE),"-")</f>
        <v>-</v>
      </c>
      <c r="Q500" s="78" t="str">
        <f>+IFERROR(VLOOKUP(D500,'ID1&amp;5'!K:L,2,FALSE),"-")</f>
        <v>-</v>
      </c>
      <c r="R500" s="26" t="str">
        <f>+IFERROR(VLOOKUP(CONCATENATE(A500,$D$10,D500),'ID1&amp;5'!B:J,9,FALSE),"-")</f>
        <v>-</v>
      </c>
      <c r="S500" s="78" t="str">
        <f>+IFERROR(VLOOKUP(E500,'ID1&amp;5'!K:L,2,FALSE),"-")</f>
        <v>-</v>
      </c>
      <c r="T500" s="79" t="str">
        <f>+IFERROR(VLOOKUP(CONCATENATE(A500,$E$10,E500),'ID1&amp;5'!B:J,9,FALSE),"-")</f>
        <v>-</v>
      </c>
      <c r="U500" s="78" t="str">
        <f>+IFERROR(VLOOKUP(F500,'ID1&amp;5'!K:L,2,FALSE),"-")</f>
        <v>-</v>
      </c>
      <c r="V500" s="79" t="str">
        <f>+IFERROR(VLOOKUP(CONCATENATE(A500,$F$10,F500),'ID1&amp;5'!B:J,9,FALSE),"-")</f>
        <v>-</v>
      </c>
      <c r="W500" s="26" t="str">
        <f>+IFERROR(VLOOKUP(A500,'ID6&amp;7'!A:I,9,FALSE),"-")</f>
        <v>-</v>
      </c>
      <c r="X500" s="26" t="str">
        <f>+IFERROR(VLOOKUP(A500,'ID6&amp;7'!A:J,10,FALSE),"-")</f>
        <v>-</v>
      </c>
      <c r="Y500" s="26"/>
      <c r="Z500" s="27" t="str">
        <f t="shared" si="8"/>
        <v>Por iniciar</v>
      </c>
      <c r="AA500" s="65"/>
    </row>
    <row r="501" spans="1:27">
      <c r="A501" s="20"/>
      <c r="B501" s="60"/>
      <c r="C501" s="60"/>
      <c r="D501" s="60"/>
      <c r="E501" s="60"/>
      <c r="F501" s="60"/>
      <c r="G501" s="60"/>
      <c r="H501" s="65" t="s">
        <v>114</v>
      </c>
      <c r="I501" s="21" t="s">
        <v>602</v>
      </c>
      <c r="J501" s="26">
        <f>+COUNTIF('ID1&amp;5'!G:G,'1. Status'!I501)</f>
        <v>0</v>
      </c>
      <c r="K501" s="79" t="str">
        <f>+IFERROR(VLOOKUP(CONCATENATE(A501,$B$10,B501),'ID1&amp;5'!B:J,8,FALSE),"-")</f>
        <v>-</v>
      </c>
      <c r="L501" s="78" t="str">
        <f>+IFERROR(VLOOKUP(B501,'ID1&amp;5'!K:L,2,FALSE),"-")</f>
        <v>-</v>
      </c>
      <c r="M501" s="79" t="str">
        <f>+IFERROR(VLOOKUP(CONCATENATE(A501,$B$10,B501),'ID1&amp;5'!B:J,9,FALSE),"-")</f>
        <v>-</v>
      </c>
      <c r="N501" s="79" t="str">
        <f>+IFERROR(VLOOKUP(CONCATENATE(A501,$C$10,C501),'ID1&amp;5'!B:J,8,FALSE),"-")</f>
        <v>-</v>
      </c>
      <c r="O501" s="78" t="str">
        <f>+IFERROR(VLOOKUP(C501,'ID1&amp;5'!K:L,2,FALSE),"-")</f>
        <v>-</v>
      </c>
      <c r="P501" s="79" t="str">
        <f>+IFERROR(VLOOKUP(CONCATENATE(A501,$C$10,C501),'ID1&amp;5'!B:J,9,FALSE),"-")</f>
        <v>-</v>
      </c>
      <c r="Q501" s="78" t="str">
        <f>+IFERROR(VLOOKUP(D501,'ID1&amp;5'!K:L,2,FALSE),"-")</f>
        <v>-</v>
      </c>
      <c r="R501" s="26" t="str">
        <f>+IFERROR(VLOOKUP(CONCATENATE(A501,$D$10,D501),'ID1&amp;5'!B:J,9,FALSE),"-")</f>
        <v>-</v>
      </c>
      <c r="S501" s="78" t="str">
        <f>+IFERROR(VLOOKUP(E501,'ID1&amp;5'!K:L,2,FALSE),"-")</f>
        <v>-</v>
      </c>
      <c r="T501" s="79" t="str">
        <f>+IFERROR(VLOOKUP(CONCATENATE(A501,$E$10,E501),'ID1&amp;5'!B:J,9,FALSE),"-")</f>
        <v>-</v>
      </c>
      <c r="U501" s="78" t="str">
        <f>+IFERROR(VLOOKUP(F501,'ID1&amp;5'!K:L,2,FALSE),"-")</f>
        <v>-</v>
      </c>
      <c r="V501" s="79" t="str">
        <f>+IFERROR(VLOOKUP(CONCATENATE(A501,$F$10,F501),'ID1&amp;5'!B:J,9,FALSE),"-")</f>
        <v>-</v>
      </c>
      <c r="W501" s="26" t="str">
        <f>+IFERROR(VLOOKUP(A501,'ID6&amp;7'!A:I,9,FALSE),"-")</f>
        <v>-</v>
      </c>
      <c r="X501" s="26" t="str">
        <f>+IFERROR(VLOOKUP(A501,'ID6&amp;7'!A:J,10,FALSE),"-")</f>
        <v>-</v>
      </c>
      <c r="Y501" s="26"/>
      <c r="Z501" s="27" t="str">
        <f t="shared" si="8"/>
        <v>Por iniciar</v>
      </c>
      <c r="AA501" s="65"/>
    </row>
    <row r="502" spans="1:27">
      <c r="A502" s="20"/>
      <c r="B502" s="60"/>
      <c r="C502" s="60"/>
      <c r="D502" s="60"/>
      <c r="E502" s="60"/>
      <c r="F502" s="60"/>
      <c r="G502" s="60"/>
      <c r="H502" s="65" t="s">
        <v>114</v>
      </c>
      <c r="I502" s="21" t="s">
        <v>603</v>
      </c>
      <c r="J502" s="26">
        <f>+COUNTIF('ID1&amp;5'!G:G,'1. Status'!I502)</f>
        <v>0</v>
      </c>
      <c r="K502" s="79" t="str">
        <f>+IFERROR(VLOOKUP(CONCATENATE(A502,$B$10,B502),'ID1&amp;5'!B:J,8,FALSE),"-")</f>
        <v>-</v>
      </c>
      <c r="L502" s="78" t="str">
        <f>+IFERROR(VLOOKUP(B502,'ID1&amp;5'!K:L,2,FALSE),"-")</f>
        <v>-</v>
      </c>
      <c r="M502" s="79" t="str">
        <f>+IFERROR(VLOOKUP(CONCATENATE(A502,$B$10,B502),'ID1&amp;5'!B:J,9,FALSE),"-")</f>
        <v>-</v>
      </c>
      <c r="N502" s="79" t="str">
        <f>+IFERROR(VLOOKUP(CONCATENATE(A502,$C$10,C502),'ID1&amp;5'!B:J,8,FALSE),"-")</f>
        <v>-</v>
      </c>
      <c r="O502" s="78" t="str">
        <f>+IFERROR(VLOOKUP(C502,'ID1&amp;5'!K:L,2,FALSE),"-")</f>
        <v>-</v>
      </c>
      <c r="P502" s="79" t="str">
        <f>+IFERROR(VLOOKUP(CONCATENATE(A502,$C$10,C502),'ID1&amp;5'!B:J,9,FALSE),"-")</f>
        <v>-</v>
      </c>
      <c r="Q502" s="78" t="str">
        <f>+IFERROR(VLOOKUP(D502,'ID1&amp;5'!K:L,2,FALSE),"-")</f>
        <v>-</v>
      </c>
      <c r="R502" s="26" t="str">
        <f>+IFERROR(VLOOKUP(CONCATENATE(A502,$D$10,D502),'ID1&amp;5'!B:J,9,FALSE),"-")</f>
        <v>-</v>
      </c>
      <c r="S502" s="78" t="str">
        <f>+IFERROR(VLOOKUP(E502,'ID1&amp;5'!K:L,2,FALSE),"-")</f>
        <v>-</v>
      </c>
      <c r="T502" s="79" t="str">
        <f>+IFERROR(VLOOKUP(CONCATENATE(A502,$E$10,E502),'ID1&amp;5'!B:J,9,FALSE),"-")</f>
        <v>-</v>
      </c>
      <c r="U502" s="78" t="str">
        <f>+IFERROR(VLOOKUP(F502,'ID1&amp;5'!K:L,2,FALSE),"-")</f>
        <v>-</v>
      </c>
      <c r="V502" s="79" t="str">
        <f>+IFERROR(VLOOKUP(CONCATENATE(A502,$F$10,F502),'ID1&amp;5'!B:J,9,FALSE),"-")</f>
        <v>-</v>
      </c>
      <c r="W502" s="26" t="str">
        <f>+IFERROR(VLOOKUP(A502,'ID6&amp;7'!A:I,9,FALSE),"-")</f>
        <v>-</v>
      </c>
      <c r="X502" s="26" t="str">
        <f>+IFERROR(VLOOKUP(A502,'ID6&amp;7'!A:J,10,FALSE),"-")</f>
        <v>-</v>
      </c>
      <c r="Y502" s="26"/>
      <c r="Z502" s="27" t="str">
        <f t="shared" si="8"/>
        <v>Por iniciar</v>
      </c>
      <c r="AA502" s="65"/>
    </row>
    <row r="503" spans="1:27">
      <c r="A503" s="20"/>
      <c r="B503" s="60"/>
      <c r="C503" s="60"/>
      <c r="D503" s="60"/>
      <c r="E503" s="60"/>
      <c r="F503" s="60"/>
      <c r="G503" s="60"/>
      <c r="H503" s="65" t="s">
        <v>114</v>
      </c>
      <c r="I503" s="21" t="s">
        <v>604</v>
      </c>
      <c r="J503" s="26">
        <f>+COUNTIF('ID1&amp;5'!G:G,'1. Status'!I503)</f>
        <v>0</v>
      </c>
      <c r="K503" s="79" t="str">
        <f>+IFERROR(VLOOKUP(CONCATENATE(A503,$B$10,B503),'ID1&amp;5'!B:J,8,FALSE),"-")</f>
        <v>-</v>
      </c>
      <c r="L503" s="78" t="str">
        <f>+IFERROR(VLOOKUP(B503,'ID1&amp;5'!K:L,2,FALSE),"-")</f>
        <v>-</v>
      </c>
      <c r="M503" s="79" t="str">
        <f>+IFERROR(VLOOKUP(CONCATENATE(A503,$B$10,B503),'ID1&amp;5'!B:J,9,FALSE),"-")</f>
        <v>-</v>
      </c>
      <c r="N503" s="79" t="str">
        <f>+IFERROR(VLOOKUP(CONCATENATE(A503,$C$10,C503),'ID1&amp;5'!B:J,8,FALSE),"-")</f>
        <v>-</v>
      </c>
      <c r="O503" s="78" t="str">
        <f>+IFERROR(VLOOKUP(C503,'ID1&amp;5'!K:L,2,FALSE),"-")</f>
        <v>-</v>
      </c>
      <c r="P503" s="79" t="str">
        <f>+IFERROR(VLOOKUP(CONCATENATE(A503,$C$10,C503),'ID1&amp;5'!B:J,9,FALSE),"-")</f>
        <v>-</v>
      </c>
      <c r="Q503" s="78" t="str">
        <f>+IFERROR(VLOOKUP(D503,'ID1&amp;5'!K:L,2,FALSE),"-")</f>
        <v>-</v>
      </c>
      <c r="R503" s="26" t="str">
        <f>+IFERROR(VLOOKUP(CONCATENATE(A503,$D$10,D503),'ID1&amp;5'!B:J,9,FALSE),"-")</f>
        <v>-</v>
      </c>
      <c r="S503" s="78" t="str">
        <f>+IFERROR(VLOOKUP(E503,'ID1&amp;5'!K:L,2,FALSE),"-")</f>
        <v>-</v>
      </c>
      <c r="T503" s="79" t="str">
        <f>+IFERROR(VLOOKUP(CONCATENATE(A503,$E$10,E503),'ID1&amp;5'!B:J,9,FALSE),"-")</f>
        <v>-</v>
      </c>
      <c r="U503" s="78" t="str">
        <f>+IFERROR(VLOOKUP(F503,'ID1&amp;5'!K:L,2,FALSE),"-")</f>
        <v>-</v>
      </c>
      <c r="V503" s="79" t="str">
        <f>+IFERROR(VLOOKUP(CONCATENATE(A503,$F$10,F503),'ID1&amp;5'!B:J,9,FALSE),"-")</f>
        <v>-</v>
      </c>
      <c r="W503" s="26" t="str">
        <f>+IFERROR(VLOOKUP(A503,'ID6&amp;7'!A:I,9,FALSE),"-")</f>
        <v>-</v>
      </c>
      <c r="X503" s="26" t="str">
        <f>+IFERROR(VLOOKUP(A503,'ID6&amp;7'!A:J,10,FALSE),"-")</f>
        <v>-</v>
      </c>
      <c r="Y503" s="26"/>
      <c r="Z503" s="27" t="str">
        <f t="shared" si="8"/>
        <v>Por iniciar</v>
      </c>
      <c r="AA503" s="65"/>
    </row>
    <row r="504" spans="1:27">
      <c r="A504" s="20"/>
      <c r="B504" s="60"/>
      <c r="C504" s="60"/>
      <c r="D504" s="60"/>
      <c r="E504" s="60"/>
      <c r="F504" s="60"/>
      <c r="G504" s="60"/>
      <c r="H504" s="65" t="s">
        <v>114</v>
      </c>
      <c r="I504" s="21" t="s">
        <v>605</v>
      </c>
      <c r="J504" s="26">
        <f>+COUNTIF('ID1&amp;5'!G:G,'1. Status'!I504)</f>
        <v>0</v>
      </c>
      <c r="K504" s="79" t="str">
        <f>+IFERROR(VLOOKUP(CONCATENATE(A504,$B$10,B504),'ID1&amp;5'!B:J,8,FALSE),"-")</f>
        <v>-</v>
      </c>
      <c r="L504" s="78" t="str">
        <f>+IFERROR(VLOOKUP(B504,'ID1&amp;5'!K:L,2,FALSE),"-")</f>
        <v>-</v>
      </c>
      <c r="M504" s="79" t="str">
        <f>+IFERROR(VLOOKUP(CONCATENATE(A504,$B$10,B504),'ID1&amp;5'!B:J,9,FALSE),"-")</f>
        <v>-</v>
      </c>
      <c r="N504" s="79" t="str">
        <f>+IFERROR(VLOOKUP(CONCATENATE(A504,$C$10,C504),'ID1&amp;5'!B:J,8,FALSE),"-")</f>
        <v>-</v>
      </c>
      <c r="O504" s="78" t="str">
        <f>+IFERROR(VLOOKUP(C504,'ID1&amp;5'!K:L,2,FALSE),"-")</f>
        <v>-</v>
      </c>
      <c r="P504" s="79" t="str">
        <f>+IFERROR(VLOOKUP(CONCATENATE(A504,$C$10,C504),'ID1&amp;5'!B:J,9,FALSE),"-")</f>
        <v>-</v>
      </c>
      <c r="Q504" s="78" t="str">
        <f>+IFERROR(VLOOKUP(D504,'ID1&amp;5'!K:L,2,FALSE),"-")</f>
        <v>-</v>
      </c>
      <c r="R504" s="26" t="str">
        <f>+IFERROR(VLOOKUP(CONCATENATE(A504,$D$10,D504),'ID1&amp;5'!B:J,9,FALSE),"-")</f>
        <v>-</v>
      </c>
      <c r="S504" s="78" t="str">
        <f>+IFERROR(VLOOKUP(E504,'ID1&amp;5'!K:L,2,FALSE),"-")</f>
        <v>-</v>
      </c>
      <c r="T504" s="79" t="str">
        <f>+IFERROR(VLOOKUP(CONCATENATE(A504,$E$10,E504),'ID1&amp;5'!B:J,9,FALSE),"-")</f>
        <v>-</v>
      </c>
      <c r="U504" s="78" t="str">
        <f>+IFERROR(VLOOKUP(F504,'ID1&amp;5'!K:L,2,FALSE),"-")</f>
        <v>-</v>
      </c>
      <c r="V504" s="79" t="str">
        <f>+IFERROR(VLOOKUP(CONCATENATE(A504,$F$10,F504),'ID1&amp;5'!B:J,9,FALSE),"-")</f>
        <v>-</v>
      </c>
      <c r="W504" s="26" t="str">
        <f>+IFERROR(VLOOKUP(A504,'ID6&amp;7'!A:I,9,FALSE),"-")</f>
        <v>-</v>
      </c>
      <c r="X504" s="26" t="str">
        <f>+IFERROR(VLOOKUP(A504,'ID6&amp;7'!A:J,10,FALSE),"-")</f>
        <v>-</v>
      </c>
      <c r="Y504" s="26"/>
      <c r="Z504" s="27" t="str">
        <f t="shared" si="8"/>
        <v>Por iniciar</v>
      </c>
      <c r="AA504" s="65"/>
    </row>
    <row r="505" spans="1:27">
      <c r="A505" s="20"/>
      <c r="B505" s="60"/>
      <c r="C505" s="60"/>
      <c r="D505" s="60"/>
      <c r="E505" s="60"/>
      <c r="F505" s="60"/>
      <c r="G505" s="60"/>
      <c r="H505" s="65" t="s">
        <v>114</v>
      </c>
      <c r="I505" s="21" t="s">
        <v>606</v>
      </c>
      <c r="J505" s="26">
        <f>+COUNTIF('ID1&amp;5'!G:G,'1. Status'!I505)</f>
        <v>0</v>
      </c>
      <c r="K505" s="79" t="str">
        <f>+IFERROR(VLOOKUP(CONCATENATE(A505,$B$10,B505),'ID1&amp;5'!B:J,8,FALSE),"-")</f>
        <v>-</v>
      </c>
      <c r="L505" s="78" t="str">
        <f>+IFERROR(VLOOKUP(B505,'ID1&amp;5'!K:L,2,FALSE),"-")</f>
        <v>-</v>
      </c>
      <c r="M505" s="79" t="str">
        <f>+IFERROR(VLOOKUP(CONCATENATE(A505,$B$10,B505),'ID1&amp;5'!B:J,9,FALSE),"-")</f>
        <v>-</v>
      </c>
      <c r="N505" s="79" t="str">
        <f>+IFERROR(VLOOKUP(CONCATENATE(A505,$C$10,C505),'ID1&amp;5'!B:J,8,FALSE),"-")</f>
        <v>-</v>
      </c>
      <c r="O505" s="78" t="str">
        <f>+IFERROR(VLOOKUP(C505,'ID1&amp;5'!K:L,2,FALSE),"-")</f>
        <v>-</v>
      </c>
      <c r="P505" s="79" t="str">
        <f>+IFERROR(VLOOKUP(CONCATENATE(A505,$C$10,C505),'ID1&amp;5'!B:J,9,FALSE),"-")</f>
        <v>-</v>
      </c>
      <c r="Q505" s="78" t="str">
        <f>+IFERROR(VLOOKUP(D505,'ID1&amp;5'!K:L,2,FALSE),"-")</f>
        <v>-</v>
      </c>
      <c r="R505" s="26" t="str">
        <f>+IFERROR(VLOOKUP(CONCATENATE(A505,$D$10,D505),'ID1&amp;5'!B:J,9,FALSE),"-")</f>
        <v>-</v>
      </c>
      <c r="S505" s="78" t="str">
        <f>+IFERROR(VLOOKUP(E505,'ID1&amp;5'!K:L,2,FALSE),"-")</f>
        <v>-</v>
      </c>
      <c r="T505" s="79" t="str">
        <f>+IFERROR(VLOOKUP(CONCATENATE(A505,$E$10,E505),'ID1&amp;5'!B:J,9,FALSE),"-")</f>
        <v>-</v>
      </c>
      <c r="U505" s="78" t="str">
        <f>+IFERROR(VLOOKUP(F505,'ID1&amp;5'!K:L,2,FALSE),"-")</f>
        <v>-</v>
      </c>
      <c r="V505" s="79" t="str">
        <f>+IFERROR(VLOOKUP(CONCATENATE(A505,$F$10,F505),'ID1&amp;5'!B:J,9,FALSE),"-")</f>
        <v>-</v>
      </c>
      <c r="W505" s="26" t="str">
        <f>+IFERROR(VLOOKUP(A505,'ID6&amp;7'!A:I,9,FALSE),"-")</f>
        <v>-</v>
      </c>
      <c r="X505" s="26" t="str">
        <f>+IFERROR(VLOOKUP(A505,'ID6&amp;7'!A:J,10,FALSE),"-")</f>
        <v>-</v>
      </c>
      <c r="Y505" s="26"/>
      <c r="Z505" s="27" t="str">
        <f t="shared" si="8"/>
        <v>Por iniciar</v>
      </c>
      <c r="AA505" s="65"/>
    </row>
    <row r="506" spans="1:27">
      <c r="A506" s="20"/>
      <c r="B506" s="60"/>
      <c r="C506" s="60"/>
      <c r="D506" s="60"/>
      <c r="E506" s="60"/>
      <c r="F506" s="60"/>
      <c r="G506" s="60"/>
      <c r="H506" s="65" t="s">
        <v>114</v>
      </c>
      <c r="I506" s="21" t="s">
        <v>678</v>
      </c>
      <c r="J506" s="26">
        <f>+COUNTIF('ID1&amp;5'!G:G,'1. Status'!I506)</f>
        <v>0</v>
      </c>
      <c r="K506" s="79" t="str">
        <f>+IFERROR(VLOOKUP(CONCATENATE(A506,$B$10,B506),'ID1&amp;5'!B:J,8,FALSE),"-")</f>
        <v>-</v>
      </c>
      <c r="L506" s="78" t="str">
        <f>+IFERROR(VLOOKUP(B506,'ID1&amp;5'!K:L,2,FALSE),"-")</f>
        <v>-</v>
      </c>
      <c r="M506" s="79" t="str">
        <f>+IFERROR(VLOOKUP(CONCATENATE(A506,$B$10,B506),'ID1&amp;5'!B:J,9,FALSE),"-")</f>
        <v>-</v>
      </c>
      <c r="N506" s="79" t="str">
        <f>+IFERROR(VLOOKUP(CONCATENATE(A506,$C$10,C506),'ID1&amp;5'!B:J,8,FALSE),"-")</f>
        <v>-</v>
      </c>
      <c r="O506" s="78" t="str">
        <f>+IFERROR(VLOOKUP(C506,'ID1&amp;5'!K:L,2,FALSE),"-")</f>
        <v>-</v>
      </c>
      <c r="P506" s="79" t="str">
        <f>+IFERROR(VLOOKUP(CONCATENATE(A506,$C$10,C506),'ID1&amp;5'!B:J,9,FALSE),"-")</f>
        <v>-</v>
      </c>
      <c r="Q506" s="78" t="str">
        <f>+IFERROR(VLOOKUP(D506,'ID1&amp;5'!K:L,2,FALSE),"-")</f>
        <v>-</v>
      </c>
      <c r="R506" s="26" t="str">
        <f>+IFERROR(VLOOKUP(CONCATENATE(A506,$D$10,D506),'ID1&amp;5'!B:J,9,FALSE),"-")</f>
        <v>-</v>
      </c>
      <c r="S506" s="78" t="str">
        <f>+IFERROR(VLOOKUP(E506,'ID1&amp;5'!K:L,2,FALSE),"-")</f>
        <v>-</v>
      </c>
      <c r="T506" s="79" t="str">
        <f>+IFERROR(VLOOKUP(CONCATENATE(A506,$E$10,E506),'ID1&amp;5'!B:J,9,FALSE),"-")</f>
        <v>-</v>
      </c>
      <c r="U506" s="78" t="str">
        <f>+IFERROR(VLOOKUP(F506,'ID1&amp;5'!K:L,2,FALSE),"-")</f>
        <v>-</v>
      </c>
      <c r="V506" s="79" t="str">
        <f>+IFERROR(VLOOKUP(CONCATENATE(A506,$F$10,F506),'ID1&amp;5'!B:J,9,FALSE),"-")</f>
        <v>-</v>
      </c>
      <c r="W506" s="26" t="str">
        <f>+IFERROR(VLOOKUP(A506,'ID6&amp;7'!A:I,9,FALSE),"-")</f>
        <v>-</v>
      </c>
      <c r="X506" s="26" t="str">
        <f>+IFERROR(VLOOKUP(A506,'ID6&amp;7'!A:J,10,FALSE),"-")</f>
        <v>-</v>
      </c>
      <c r="Y506" s="26"/>
      <c r="Z506" s="27" t="str">
        <f t="shared" si="8"/>
        <v>Por iniciar</v>
      </c>
      <c r="AA506" s="65"/>
    </row>
    <row r="507" spans="1:27">
      <c r="A507" s="20"/>
      <c r="B507" s="60"/>
      <c r="C507" s="60"/>
      <c r="D507" s="60"/>
      <c r="E507" s="60"/>
      <c r="F507" s="60"/>
      <c r="G507" s="60"/>
      <c r="H507" s="65" t="s">
        <v>114</v>
      </c>
      <c r="I507" s="21" t="s">
        <v>607</v>
      </c>
      <c r="J507" s="26">
        <f>+COUNTIF('ID1&amp;5'!G:G,'1. Status'!I507)</f>
        <v>0</v>
      </c>
      <c r="K507" s="79" t="str">
        <f>+IFERROR(VLOOKUP(CONCATENATE(A507,$B$10,B507),'ID1&amp;5'!B:J,8,FALSE),"-")</f>
        <v>-</v>
      </c>
      <c r="L507" s="78" t="str">
        <f>+IFERROR(VLOOKUP(B507,'ID1&amp;5'!K:L,2,FALSE),"-")</f>
        <v>-</v>
      </c>
      <c r="M507" s="79" t="str">
        <f>+IFERROR(VLOOKUP(CONCATENATE(A507,$B$10,B507),'ID1&amp;5'!B:J,9,FALSE),"-")</f>
        <v>-</v>
      </c>
      <c r="N507" s="79" t="str">
        <f>+IFERROR(VLOOKUP(CONCATENATE(A507,$C$10,C507),'ID1&amp;5'!B:J,8,FALSE),"-")</f>
        <v>-</v>
      </c>
      <c r="O507" s="78" t="str">
        <f>+IFERROR(VLOOKUP(C507,'ID1&amp;5'!K:L,2,FALSE),"-")</f>
        <v>-</v>
      </c>
      <c r="P507" s="79" t="str">
        <f>+IFERROR(VLOOKUP(CONCATENATE(A507,$C$10,C507),'ID1&amp;5'!B:J,9,FALSE),"-")</f>
        <v>-</v>
      </c>
      <c r="Q507" s="78" t="str">
        <f>+IFERROR(VLOOKUP(D507,'ID1&amp;5'!K:L,2,FALSE),"-")</f>
        <v>-</v>
      </c>
      <c r="R507" s="26" t="str">
        <f>+IFERROR(VLOOKUP(CONCATENATE(A507,$D$10,D507),'ID1&amp;5'!B:J,9,FALSE),"-")</f>
        <v>-</v>
      </c>
      <c r="S507" s="78" t="str">
        <f>+IFERROR(VLOOKUP(E507,'ID1&amp;5'!K:L,2,FALSE),"-")</f>
        <v>-</v>
      </c>
      <c r="T507" s="79" t="str">
        <f>+IFERROR(VLOOKUP(CONCATENATE(A507,$E$10,E507),'ID1&amp;5'!B:J,9,FALSE),"-")</f>
        <v>-</v>
      </c>
      <c r="U507" s="78" t="str">
        <f>+IFERROR(VLOOKUP(F507,'ID1&amp;5'!K:L,2,FALSE),"-")</f>
        <v>-</v>
      </c>
      <c r="V507" s="79" t="str">
        <f>+IFERROR(VLOOKUP(CONCATENATE(A507,$F$10,F507),'ID1&amp;5'!B:J,9,FALSE),"-")</f>
        <v>-</v>
      </c>
      <c r="W507" s="26" t="str">
        <f>+IFERROR(VLOOKUP(A507,'ID6&amp;7'!A:I,9,FALSE),"-")</f>
        <v>-</v>
      </c>
      <c r="X507" s="26" t="str">
        <f>+IFERROR(VLOOKUP(A507,'ID6&amp;7'!A:J,10,FALSE),"-")</f>
        <v>-</v>
      </c>
      <c r="Y507" s="26"/>
      <c r="Z507" s="27" t="str">
        <f t="shared" si="8"/>
        <v>Por iniciar</v>
      </c>
      <c r="AA507" s="65"/>
    </row>
    <row r="508" spans="1:27">
      <c r="A508" s="20"/>
      <c r="B508" s="60"/>
      <c r="C508" s="60"/>
      <c r="D508" s="60"/>
      <c r="E508" s="60"/>
      <c r="F508" s="60"/>
      <c r="G508" s="60"/>
      <c r="H508" s="65" t="s">
        <v>114</v>
      </c>
      <c r="I508" s="21" t="s">
        <v>608</v>
      </c>
      <c r="J508" s="26">
        <f>+COUNTIF('ID1&amp;5'!G:G,'1. Status'!I508)</f>
        <v>1</v>
      </c>
      <c r="K508" s="79" t="str">
        <f>+IFERROR(VLOOKUP(CONCATENATE(A508,$B$10,B508),'ID1&amp;5'!B:J,8,FALSE),"-")</f>
        <v>-</v>
      </c>
      <c r="L508" s="78" t="str">
        <f>+IFERROR(VLOOKUP(B508,'ID1&amp;5'!K:L,2,FALSE),"-")</f>
        <v>-</v>
      </c>
      <c r="M508" s="79" t="str">
        <f>+IFERROR(VLOOKUP(CONCATENATE(A508,$B$10,B508),'ID1&amp;5'!B:J,9,FALSE),"-")</f>
        <v>-</v>
      </c>
      <c r="N508" s="79" t="str">
        <f>+IFERROR(VLOOKUP(CONCATENATE(A508,$C$10,C508),'ID1&amp;5'!B:J,8,FALSE),"-")</f>
        <v>-</v>
      </c>
      <c r="O508" s="78" t="str">
        <f>+IFERROR(VLOOKUP(C508,'ID1&amp;5'!K:L,2,FALSE),"-")</f>
        <v>-</v>
      </c>
      <c r="P508" s="79" t="str">
        <f>+IFERROR(VLOOKUP(CONCATENATE(A508,$C$10,C508),'ID1&amp;5'!B:J,9,FALSE),"-")</f>
        <v>-</v>
      </c>
      <c r="Q508" s="78" t="str">
        <f>+IFERROR(VLOOKUP(D508,'ID1&amp;5'!K:L,2,FALSE),"-")</f>
        <v>-</v>
      </c>
      <c r="R508" s="26" t="str">
        <f>+IFERROR(VLOOKUP(CONCATENATE(A508,$D$10,D508),'ID1&amp;5'!B:J,9,FALSE),"-")</f>
        <v>-</v>
      </c>
      <c r="S508" s="78" t="str">
        <f>+IFERROR(VLOOKUP(E508,'ID1&amp;5'!K:L,2,FALSE),"-")</f>
        <v>-</v>
      </c>
      <c r="T508" s="79" t="str">
        <f>+IFERROR(VLOOKUP(CONCATENATE(A508,$E$10,E508),'ID1&amp;5'!B:J,9,FALSE),"-")</f>
        <v>-</v>
      </c>
      <c r="U508" s="78" t="str">
        <f>+IFERROR(VLOOKUP(F508,'ID1&amp;5'!K:L,2,FALSE),"-")</f>
        <v>-</v>
      </c>
      <c r="V508" s="79" t="str">
        <f>+IFERROR(VLOOKUP(CONCATENATE(A508,$F$10,F508),'ID1&amp;5'!B:J,9,FALSE),"-")</f>
        <v>-</v>
      </c>
      <c r="W508" s="26" t="str">
        <f>+IFERROR(VLOOKUP(A508,'ID6&amp;7'!A:I,9,FALSE),"-")</f>
        <v>-</v>
      </c>
      <c r="X508" s="26" t="str">
        <f>+IFERROR(VLOOKUP(A508,'ID6&amp;7'!A:J,10,FALSE),"-")</f>
        <v>-</v>
      </c>
      <c r="Y508" s="26"/>
      <c r="Z508" s="27" t="str">
        <f t="shared" si="8"/>
        <v>Em testes</v>
      </c>
      <c r="AA508" s="65"/>
    </row>
    <row r="509" spans="1:27">
      <c r="A509" s="20"/>
      <c r="B509" s="60"/>
      <c r="C509" s="60"/>
      <c r="D509" s="60"/>
      <c r="E509" s="60"/>
      <c r="F509" s="60"/>
      <c r="G509" s="60"/>
      <c r="H509" s="65" t="s">
        <v>114</v>
      </c>
      <c r="I509" s="21" t="s">
        <v>609</v>
      </c>
      <c r="J509" s="26">
        <f>+COUNTIF('ID1&amp;5'!G:G,'1. Status'!I509)</f>
        <v>0</v>
      </c>
      <c r="K509" s="79" t="str">
        <f>+IFERROR(VLOOKUP(CONCATENATE(A509,$B$10,B509),'ID1&amp;5'!B:J,8,FALSE),"-")</f>
        <v>-</v>
      </c>
      <c r="L509" s="78" t="str">
        <f>+IFERROR(VLOOKUP(B509,'ID1&amp;5'!K:L,2,FALSE),"-")</f>
        <v>-</v>
      </c>
      <c r="M509" s="79" t="str">
        <f>+IFERROR(VLOOKUP(CONCATENATE(A509,$B$10,B509),'ID1&amp;5'!B:J,9,FALSE),"-")</f>
        <v>-</v>
      </c>
      <c r="N509" s="79" t="str">
        <f>+IFERROR(VLOOKUP(CONCATENATE(A509,$C$10,C509),'ID1&amp;5'!B:J,8,FALSE),"-")</f>
        <v>-</v>
      </c>
      <c r="O509" s="78" t="str">
        <f>+IFERROR(VLOOKUP(C509,'ID1&amp;5'!K:L,2,FALSE),"-")</f>
        <v>-</v>
      </c>
      <c r="P509" s="79" t="str">
        <f>+IFERROR(VLOOKUP(CONCATENATE(A509,$C$10,C509),'ID1&amp;5'!B:J,9,FALSE),"-")</f>
        <v>-</v>
      </c>
      <c r="Q509" s="78" t="str">
        <f>+IFERROR(VLOOKUP(D509,'ID1&amp;5'!K:L,2,FALSE),"-")</f>
        <v>-</v>
      </c>
      <c r="R509" s="26" t="str">
        <f>+IFERROR(VLOOKUP(CONCATENATE(A509,$D$10,D509),'ID1&amp;5'!B:J,9,FALSE),"-")</f>
        <v>-</v>
      </c>
      <c r="S509" s="78" t="str">
        <f>+IFERROR(VLOOKUP(E509,'ID1&amp;5'!K:L,2,FALSE),"-")</f>
        <v>-</v>
      </c>
      <c r="T509" s="79" t="str">
        <f>+IFERROR(VLOOKUP(CONCATENATE(A509,$E$10,E509),'ID1&amp;5'!B:J,9,FALSE),"-")</f>
        <v>-</v>
      </c>
      <c r="U509" s="78" t="str">
        <f>+IFERROR(VLOOKUP(F509,'ID1&amp;5'!K:L,2,FALSE),"-")</f>
        <v>-</v>
      </c>
      <c r="V509" s="79" t="str">
        <f>+IFERROR(VLOOKUP(CONCATENATE(A509,$F$10,F509),'ID1&amp;5'!B:J,9,FALSE),"-")</f>
        <v>-</v>
      </c>
      <c r="W509" s="26" t="str">
        <f>+IFERROR(VLOOKUP(A509,'ID6&amp;7'!A:I,9,FALSE),"-")</f>
        <v>-</v>
      </c>
      <c r="X509" s="26" t="str">
        <f>+IFERROR(VLOOKUP(A509,'ID6&amp;7'!A:J,10,FALSE),"-")</f>
        <v>-</v>
      </c>
      <c r="Y509" s="26"/>
      <c r="Z509" s="27" t="str">
        <f t="shared" si="8"/>
        <v>Por iniciar</v>
      </c>
      <c r="AA509" s="65"/>
    </row>
    <row r="510" spans="1:27">
      <c r="A510" s="20"/>
      <c r="B510" s="60"/>
      <c r="C510" s="60"/>
      <c r="D510" s="60"/>
      <c r="E510" s="60"/>
      <c r="F510" s="60"/>
      <c r="G510" s="60"/>
      <c r="H510" s="65" t="s">
        <v>114</v>
      </c>
      <c r="I510" s="21" t="s">
        <v>610</v>
      </c>
      <c r="J510" s="26">
        <f>+COUNTIF('ID1&amp;5'!G:G,'1. Status'!I510)</f>
        <v>0</v>
      </c>
      <c r="K510" s="79" t="str">
        <f>+IFERROR(VLOOKUP(CONCATENATE(A510,$B$10,B510),'ID1&amp;5'!B:J,8,FALSE),"-")</f>
        <v>-</v>
      </c>
      <c r="L510" s="78" t="str">
        <f>+IFERROR(VLOOKUP(B510,'ID1&amp;5'!K:L,2,FALSE),"-")</f>
        <v>-</v>
      </c>
      <c r="M510" s="79" t="str">
        <f>+IFERROR(VLOOKUP(CONCATENATE(A510,$B$10,B510),'ID1&amp;5'!B:J,9,FALSE),"-")</f>
        <v>-</v>
      </c>
      <c r="N510" s="79" t="str">
        <f>+IFERROR(VLOOKUP(CONCATENATE(A510,$C$10,C510),'ID1&amp;5'!B:J,8,FALSE),"-")</f>
        <v>-</v>
      </c>
      <c r="O510" s="78" t="str">
        <f>+IFERROR(VLOOKUP(C510,'ID1&amp;5'!K:L,2,FALSE),"-")</f>
        <v>-</v>
      </c>
      <c r="P510" s="79" t="str">
        <f>+IFERROR(VLOOKUP(CONCATENATE(A510,$C$10,C510),'ID1&amp;5'!B:J,9,FALSE),"-")</f>
        <v>-</v>
      </c>
      <c r="Q510" s="78" t="str">
        <f>+IFERROR(VLOOKUP(D510,'ID1&amp;5'!K:L,2,FALSE),"-")</f>
        <v>-</v>
      </c>
      <c r="R510" s="26" t="str">
        <f>+IFERROR(VLOOKUP(CONCATENATE(A510,$D$10,D510),'ID1&amp;5'!B:J,9,FALSE),"-")</f>
        <v>-</v>
      </c>
      <c r="S510" s="78" t="str">
        <f>+IFERROR(VLOOKUP(E510,'ID1&amp;5'!K:L,2,FALSE),"-")</f>
        <v>-</v>
      </c>
      <c r="T510" s="79" t="str">
        <f>+IFERROR(VLOOKUP(CONCATENATE(A510,$E$10,E510),'ID1&amp;5'!B:J,9,FALSE),"-")</f>
        <v>-</v>
      </c>
      <c r="U510" s="78" t="str">
        <f>+IFERROR(VLOOKUP(F510,'ID1&amp;5'!K:L,2,FALSE),"-")</f>
        <v>-</v>
      </c>
      <c r="V510" s="79" t="str">
        <f>+IFERROR(VLOOKUP(CONCATENATE(A510,$F$10,F510),'ID1&amp;5'!B:J,9,FALSE),"-")</f>
        <v>-</v>
      </c>
      <c r="W510" s="26" t="str">
        <f>+IFERROR(VLOOKUP(A510,'ID6&amp;7'!A:I,9,FALSE),"-")</f>
        <v>-</v>
      </c>
      <c r="X510" s="26" t="str">
        <f>+IFERROR(VLOOKUP(A510,'ID6&amp;7'!A:J,10,FALSE),"-")</f>
        <v>-</v>
      </c>
      <c r="Y510" s="26"/>
      <c r="Z510" s="27" t="str">
        <f t="shared" si="8"/>
        <v>Por iniciar</v>
      </c>
      <c r="AA510" s="65"/>
    </row>
    <row r="511" spans="1:27">
      <c r="A511" s="20"/>
      <c r="B511" s="60"/>
      <c r="C511" s="60"/>
      <c r="D511" s="60"/>
      <c r="E511" s="60"/>
      <c r="F511" s="60"/>
      <c r="G511" s="60"/>
      <c r="H511" s="65" t="s">
        <v>114</v>
      </c>
      <c r="I511" s="21" t="s">
        <v>1472</v>
      </c>
      <c r="J511" s="26">
        <f>+COUNTIF('ID1&amp;5'!G:G,'1. Status'!I511)</f>
        <v>0</v>
      </c>
      <c r="K511" s="79" t="str">
        <f>+IFERROR(VLOOKUP(CONCATENATE(A511,$B$10,B511),'ID1&amp;5'!B:J,8,FALSE),"-")</f>
        <v>-</v>
      </c>
      <c r="L511" s="78" t="str">
        <f>+IFERROR(VLOOKUP(B511,'ID1&amp;5'!K:L,2,FALSE),"-")</f>
        <v>-</v>
      </c>
      <c r="M511" s="79" t="str">
        <f>+IFERROR(VLOOKUP(CONCATENATE(A511,$B$10,B511),'ID1&amp;5'!B:J,9,FALSE),"-")</f>
        <v>-</v>
      </c>
      <c r="N511" s="79" t="str">
        <f>+IFERROR(VLOOKUP(CONCATENATE(A511,$C$10,C511),'ID1&amp;5'!B:J,8,FALSE),"-")</f>
        <v>-</v>
      </c>
      <c r="O511" s="78" t="str">
        <f>+IFERROR(VLOOKUP(C511,'ID1&amp;5'!K:L,2,FALSE),"-")</f>
        <v>-</v>
      </c>
      <c r="P511" s="79" t="str">
        <f>+IFERROR(VLOOKUP(CONCATENATE(A511,$C$10,C511),'ID1&amp;5'!B:J,9,FALSE),"-")</f>
        <v>-</v>
      </c>
      <c r="Q511" s="78" t="str">
        <f>+IFERROR(VLOOKUP(D511,'ID1&amp;5'!K:L,2,FALSE),"-")</f>
        <v>-</v>
      </c>
      <c r="R511" s="26" t="str">
        <f>+IFERROR(VLOOKUP(CONCATENATE(A511,$D$10,D511),'ID1&amp;5'!B:J,9,FALSE),"-")</f>
        <v>-</v>
      </c>
      <c r="S511" s="78" t="str">
        <f>+IFERROR(VLOOKUP(E511,'ID1&amp;5'!K:L,2,FALSE),"-")</f>
        <v>-</v>
      </c>
      <c r="T511" s="79" t="str">
        <f>+IFERROR(VLOOKUP(CONCATENATE(A511,$E$10,E511),'ID1&amp;5'!B:J,9,FALSE),"-")</f>
        <v>-</v>
      </c>
      <c r="U511" s="78" t="str">
        <f>+IFERROR(VLOOKUP(F511,'ID1&amp;5'!K:L,2,FALSE),"-")</f>
        <v>-</v>
      </c>
      <c r="V511" s="79" t="str">
        <f>+IFERROR(VLOOKUP(CONCATENATE(A511,$F$10,F511),'ID1&amp;5'!B:J,9,FALSE),"-")</f>
        <v>-</v>
      </c>
      <c r="W511" s="26" t="str">
        <f>+IFERROR(VLOOKUP(A511,'ID6&amp;7'!A:I,9,FALSE),"-")</f>
        <v>-</v>
      </c>
      <c r="X511" s="26" t="str">
        <f>+IFERROR(VLOOKUP(A511,'ID6&amp;7'!A:J,10,FALSE),"-")</f>
        <v>-</v>
      </c>
      <c r="Y511" s="26"/>
      <c r="Z511" s="27" t="str">
        <f t="shared" si="8"/>
        <v>Por iniciar</v>
      </c>
      <c r="AA511" s="65"/>
    </row>
    <row r="512" spans="1:27">
      <c r="A512" s="20"/>
      <c r="B512" s="60"/>
      <c r="C512" s="60"/>
      <c r="D512" s="60"/>
      <c r="E512" s="60"/>
      <c r="F512" s="60"/>
      <c r="G512" s="60"/>
      <c r="H512" s="65" t="s">
        <v>114</v>
      </c>
      <c r="I512" s="21" t="s">
        <v>612</v>
      </c>
      <c r="J512" s="26">
        <f>+COUNTIF('ID1&amp;5'!G:G,'1. Status'!I512)</f>
        <v>0</v>
      </c>
      <c r="K512" s="79" t="str">
        <f>+IFERROR(VLOOKUP(CONCATENATE(A512,$B$10,B512),'ID1&amp;5'!B:J,8,FALSE),"-")</f>
        <v>-</v>
      </c>
      <c r="L512" s="78" t="str">
        <f>+IFERROR(VLOOKUP(B512,'ID1&amp;5'!K:L,2,FALSE),"-")</f>
        <v>-</v>
      </c>
      <c r="M512" s="79" t="str">
        <f>+IFERROR(VLOOKUP(CONCATENATE(A512,$B$10,B512),'ID1&amp;5'!B:J,9,FALSE),"-")</f>
        <v>-</v>
      </c>
      <c r="N512" s="79" t="str">
        <f>+IFERROR(VLOOKUP(CONCATENATE(A512,$C$10,C512),'ID1&amp;5'!B:J,8,FALSE),"-")</f>
        <v>-</v>
      </c>
      <c r="O512" s="78" t="str">
        <f>+IFERROR(VLOOKUP(C512,'ID1&amp;5'!K:L,2,FALSE),"-")</f>
        <v>-</v>
      </c>
      <c r="P512" s="79" t="str">
        <f>+IFERROR(VLOOKUP(CONCATENATE(A512,$C$10,C512),'ID1&amp;5'!B:J,9,FALSE),"-")</f>
        <v>-</v>
      </c>
      <c r="Q512" s="78" t="str">
        <f>+IFERROR(VLOOKUP(D512,'ID1&amp;5'!K:L,2,FALSE),"-")</f>
        <v>-</v>
      </c>
      <c r="R512" s="26" t="str">
        <f>+IFERROR(VLOOKUP(CONCATENATE(A512,$D$10,D512),'ID1&amp;5'!B:J,9,FALSE),"-")</f>
        <v>-</v>
      </c>
      <c r="S512" s="78" t="str">
        <f>+IFERROR(VLOOKUP(E512,'ID1&amp;5'!K:L,2,FALSE),"-")</f>
        <v>-</v>
      </c>
      <c r="T512" s="79" t="str">
        <f>+IFERROR(VLOOKUP(CONCATENATE(A512,$E$10,E512),'ID1&amp;5'!B:J,9,FALSE),"-")</f>
        <v>-</v>
      </c>
      <c r="U512" s="78" t="str">
        <f>+IFERROR(VLOOKUP(F512,'ID1&amp;5'!K:L,2,FALSE),"-")</f>
        <v>-</v>
      </c>
      <c r="V512" s="79" t="str">
        <f>+IFERROR(VLOOKUP(CONCATENATE(A512,$F$10,F512),'ID1&amp;5'!B:J,9,FALSE),"-")</f>
        <v>-</v>
      </c>
      <c r="W512" s="26" t="str">
        <f>+IFERROR(VLOOKUP(A512,'ID6&amp;7'!A:I,9,FALSE),"-")</f>
        <v>-</v>
      </c>
      <c r="X512" s="26" t="str">
        <f>+IFERROR(VLOOKUP(A512,'ID6&amp;7'!A:J,10,FALSE),"-")</f>
        <v>-</v>
      </c>
      <c r="Y512" s="26"/>
      <c r="Z512" s="27" t="str">
        <f t="shared" ref="Z512:Z575" si="9">+IF(J512=0,"Por iniciar",IF(OR(K512="-",M512="-",P512="-",R512="-",T512="-",V512="-"),"Em testes",IF(AND(M512=0,P512=0,R512=0,T512&lt;&gt;K512,V512&lt;&gt;K512),"OK","NOK")))</f>
        <v>Por iniciar</v>
      </c>
      <c r="AA512" s="65"/>
    </row>
    <row r="513" spans="1:27">
      <c r="A513" s="20"/>
      <c r="B513" s="60"/>
      <c r="C513" s="60"/>
      <c r="D513" s="60"/>
      <c r="E513" s="60"/>
      <c r="F513" s="60"/>
      <c r="G513" s="60"/>
      <c r="H513" s="65" t="s">
        <v>114</v>
      </c>
      <c r="I513" s="21" t="s">
        <v>613</v>
      </c>
      <c r="J513" s="26">
        <f>+COUNTIF('ID1&amp;5'!G:G,'1. Status'!I513)</f>
        <v>0</v>
      </c>
      <c r="K513" s="79" t="str">
        <f>+IFERROR(VLOOKUP(CONCATENATE(A513,$B$10,B513),'ID1&amp;5'!B:J,8,FALSE),"-")</f>
        <v>-</v>
      </c>
      <c r="L513" s="78" t="str">
        <f>+IFERROR(VLOOKUP(B513,'ID1&amp;5'!K:L,2,FALSE),"-")</f>
        <v>-</v>
      </c>
      <c r="M513" s="79" t="str">
        <f>+IFERROR(VLOOKUP(CONCATENATE(A513,$B$10,B513),'ID1&amp;5'!B:J,9,FALSE),"-")</f>
        <v>-</v>
      </c>
      <c r="N513" s="79" t="str">
        <f>+IFERROR(VLOOKUP(CONCATENATE(A513,$C$10,C513),'ID1&amp;5'!B:J,8,FALSE),"-")</f>
        <v>-</v>
      </c>
      <c r="O513" s="78" t="str">
        <f>+IFERROR(VLOOKUP(C513,'ID1&amp;5'!K:L,2,FALSE),"-")</f>
        <v>-</v>
      </c>
      <c r="P513" s="79" t="str">
        <f>+IFERROR(VLOOKUP(CONCATENATE(A513,$C$10,C513),'ID1&amp;5'!B:J,9,FALSE),"-")</f>
        <v>-</v>
      </c>
      <c r="Q513" s="78" t="str">
        <f>+IFERROR(VLOOKUP(D513,'ID1&amp;5'!K:L,2,FALSE),"-")</f>
        <v>-</v>
      </c>
      <c r="R513" s="26" t="str">
        <f>+IFERROR(VLOOKUP(CONCATENATE(A513,$D$10,D513),'ID1&amp;5'!B:J,9,FALSE),"-")</f>
        <v>-</v>
      </c>
      <c r="S513" s="78" t="str">
        <f>+IFERROR(VLOOKUP(E513,'ID1&amp;5'!K:L,2,FALSE),"-")</f>
        <v>-</v>
      </c>
      <c r="T513" s="79" t="str">
        <f>+IFERROR(VLOOKUP(CONCATENATE(A513,$E$10,E513),'ID1&amp;5'!B:J,9,FALSE),"-")</f>
        <v>-</v>
      </c>
      <c r="U513" s="78" t="str">
        <f>+IFERROR(VLOOKUP(F513,'ID1&amp;5'!K:L,2,FALSE),"-")</f>
        <v>-</v>
      </c>
      <c r="V513" s="79" t="str">
        <f>+IFERROR(VLOOKUP(CONCATENATE(A513,$F$10,F513),'ID1&amp;5'!B:J,9,FALSE),"-")</f>
        <v>-</v>
      </c>
      <c r="W513" s="26" t="str">
        <f>+IFERROR(VLOOKUP(A513,'ID6&amp;7'!A:I,9,FALSE),"-")</f>
        <v>-</v>
      </c>
      <c r="X513" s="26" t="str">
        <f>+IFERROR(VLOOKUP(A513,'ID6&amp;7'!A:J,10,FALSE),"-")</f>
        <v>-</v>
      </c>
      <c r="Y513" s="26"/>
      <c r="Z513" s="27" t="str">
        <f t="shared" si="9"/>
        <v>Por iniciar</v>
      </c>
      <c r="AA513" s="65"/>
    </row>
    <row r="514" spans="1:27">
      <c r="A514" s="20"/>
      <c r="B514" s="60"/>
      <c r="C514" s="60"/>
      <c r="D514" s="60"/>
      <c r="E514" s="60"/>
      <c r="F514" s="60"/>
      <c r="G514" s="60"/>
      <c r="H514" s="65" t="s">
        <v>114</v>
      </c>
      <c r="I514" s="21" t="s">
        <v>614</v>
      </c>
      <c r="J514" s="26">
        <f>+COUNTIF('ID1&amp;5'!G:G,'1. Status'!I514)</f>
        <v>0</v>
      </c>
      <c r="K514" s="79" t="str">
        <f>+IFERROR(VLOOKUP(CONCATENATE(A514,$B$10,B514),'ID1&amp;5'!B:J,8,FALSE),"-")</f>
        <v>-</v>
      </c>
      <c r="L514" s="78" t="str">
        <f>+IFERROR(VLOOKUP(B514,'ID1&amp;5'!K:L,2,FALSE),"-")</f>
        <v>-</v>
      </c>
      <c r="M514" s="79" t="str">
        <f>+IFERROR(VLOOKUP(CONCATENATE(A514,$B$10,B514),'ID1&amp;5'!B:J,9,FALSE),"-")</f>
        <v>-</v>
      </c>
      <c r="N514" s="79" t="str">
        <f>+IFERROR(VLOOKUP(CONCATENATE(A514,$C$10,C514),'ID1&amp;5'!B:J,8,FALSE),"-")</f>
        <v>-</v>
      </c>
      <c r="O514" s="78" t="str">
        <f>+IFERROR(VLOOKUP(C514,'ID1&amp;5'!K:L,2,FALSE),"-")</f>
        <v>-</v>
      </c>
      <c r="P514" s="79" t="str">
        <f>+IFERROR(VLOOKUP(CONCATENATE(A514,$C$10,C514),'ID1&amp;5'!B:J,9,FALSE),"-")</f>
        <v>-</v>
      </c>
      <c r="Q514" s="78" t="str">
        <f>+IFERROR(VLOOKUP(D514,'ID1&amp;5'!K:L,2,FALSE),"-")</f>
        <v>-</v>
      </c>
      <c r="R514" s="26" t="str">
        <f>+IFERROR(VLOOKUP(CONCATENATE(A514,$D$10,D514),'ID1&amp;5'!B:J,9,FALSE),"-")</f>
        <v>-</v>
      </c>
      <c r="S514" s="78" t="str">
        <f>+IFERROR(VLOOKUP(E514,'ID1&amp;5'!K:L,2,FALSE),"-")</f>
        <v>-</v>
      </c>
      <c r="T514" s="79" t="str">
        <f>+IFERROR(VLOOKUP(CONCATENATE(A514,$E$10,E514),'ID1&amp;5'!B:J,9,FALSE),"-")</f>
        <v>-</v>
      </c>
      <c r="U514" s="78" t="str">
        <f>+IFERROR(VLOOKUP(F514,'ID1&amp;5'!K:L,2,FALSE),"-")</f>
        <v>-</v>
      </c>
      <c r="V514" s="79" t="str">
        <f>+IFERROR(VLOOKUP(CONCATENATE(A514,$F$10,F514),'ID1&amp;5'!B:J,9,FALSE),"-")</f>
        <v>-</v>
      </c>
      <c r="W514" s="26" t="str">
        <f>+IFERROR(VLOOKUP(A514,'ID6&amp;7'!A:I,9,FALSE),"-")</f>
        <v>-</v>
      </c>
      <c r="X514" s="26" t="str">
        <f>+IFERROR(VLOOKUP(A514,'ID6&amp;7'!A:J,10,FALSE),"-")</f>
        <v>-</v>
      </c>
      <c r="Y514" s="26"/>
      <c r="Z514" s="27" t="str">
        <f t="shared" si="9"/>
        <v>Por iniciar</v>
      </c>
      <c r="AA514" s="65"/>
    </row>
    <row r="515" spans="1:27">
      <c r="A515" s="20"/>
      <c r="B515" s="60"/>
      <c r="C515" s="60"/>
      <c r="D515" s="60"/>
      <c r="E515" s="60"/>
      <c r="F515" s="60"/>
      <c r="G515" s="60"/>
      <c r="H515" s="65" t="s">
        <v>114</v>
      </c>
      <c r="I515" s="21" t="s">
        <v>1473</v>
      </c>
      <c r="J515" s="26">
        <f>+COUNTIF('ID1&amp;5'!G:G,'1. Status'!I515)</f>
        <v>0</v>
      </c>
      <c r="K515" s="79" t="str">
        <f>+IFERROR(VLOOKUP(CONCATENATE(A515,$B$10,B515),'ID1&amp;5'!B:J,8,FALSE),"-")</f>
        <v>-</v>
      </c>
      <c r="L515" s="78" t="str">
        <f>+IFERROR(VLOOKUP(B515,'ID1&amp;5'!K:L,2,FALSE),"-")</f>
        <v>-</v>
      </c>
      <c r="M515" s="79" t="str">
        <f>+IFERROR(VLOOKUP(CONCATENATE(A515,$B$10,B515),'ID1&amp;5'!B:J,9,FALSE),"-")</f>
        <v>-</v>
      </c>
      <c r="N515" s="79" t="str">
        <f>+IFERROR(VLOOKUP(CONCATENATE(A515,$C$10,C515),'ID1&amp;5'!B:J,8,FALSE),"-")</f>
        <v>-</v>
      </c>
      <c r="O515" s="78" t="str">
        <f>+IFERROR(VLOOKUP(C515,'ID1&amp;5'!K:L,2,FALSE),"-")</f>
        <v>-</v>
      </c>
      <c r="P515" s="79" t="str">
        <f>+IFERROR(VLOOKUP(CONCATENATE(A515,$C$10,C515),'ID1&amp;5'!B:J,9,FALSE),"-")</f>
        <v>-</v>
      </c>
      <c r="Q515" s="78" t="str">
        <f>+IFERROR(VLOOKUP(D515,'ID1&amp;5'!K:L,2,FALSE),"-")</f>
        <v>-</v>
      </c>
      <c r="R515" s="26" t="str">
        <f>+IFERROR(VLOOKUP(CONCATENATE(A515,$D$10,D515),'ID1&amp;5'!B:J,9,FALSE),"-")</f>
        <v>-</v>
      </c>
      <c r="S515" s="78" t="str">
        <f>+IFERROR(VLOOKUP(E515,'ID1&amp;5'!K:L,2,FALSE),"-")</f>
        <v>-</v>
      </c>
      <c r="T515" s="79" t="str">
        <f>+IFERROR(VLOOKUP(CONCATENATE(A515,$E$10,E515),'ID1&amp;5'!B:J,9,FALSE),"-")</f>
        <v>-</v>
      </c>
      <c r="U515" s="78" t="str">
        <f>+IFERROR(VLOOKUP(F515,'ID1&amp;5'!K:L,2,FALSE),"-")</f>
        <v>-</v>
      </c>
      <c r="V515" s="79" t="str">
        <f>+IFERROR(VLOOKUP(CONCATENATE(A515,$F$10,F515),'ID1&amp;5'!B:J,9,FALSE),"-")</f>
        <v>-</v>
      </c>
      <c r="W515" s="26" t="str">
        <f>+IFERROR(VLOOKUP(A515,'ID6&amp;7'!A:I,9,FALSE),"-")</f>
        <v>-</v>
      </c>
      <c r="X515" s="26" t="str">
        <f>+IFERROR(VLOOKUP(A515,'ID6&amp;7'!A:J,10,FALSE),"-")</f>
        <v>-</v>
      </c>
      <c r="Y515" s="26"/>
      <c r="Z515" s="27" t="str">
        <f t="shared" si="9"/>
        <v>Por iniciar</v>
      </c>
      <c r="AA515" s="65"/>
    </row>
    <row r="516" spans="1:27">
      <c r="A516" s="20"/>
      <c r="B516" s="60"/>
      <c r="C516" s="60"/>
      <c r="D516" s="60"/>
      <c r="E516" s="60"/>
      <c r="F516" s="60"/>
      <c r="G516" s="60"/>
      <c r="H516" s="65" t="s">
        <v>114</v>
      </c>
      <c r="I516" s="21" t="s">
        <v>1474</v>
      </c>
      <c r="J516" s="26">
        <f>+COUNTIF('ID1&amp;5'!G:G,'1. Status'!I516)</f>
        <v>0</v>
      </c>
      <c r="K516" s="79" t="str">
        <f>+IFERROR(VLOOKUP(CONCATENATE(A516,$B$10,B516),'ID1&amp;5'!B:J,8,FALSE),"-")</f>
        <v>-</v>
      </c>
      <c r="L516" s="78" t="str">
        <f>+IFERROR(VLOOKUP(B516,'ID1&amp;5'!K:L,2,FALSE),"-")</f>
        <v>-</v>
      </c>
      <c r="M516" s="79" t="str">
        <f>+IFERROR(VLOOKUP(CONCATENATE(A516,$B$10,B516),'ID1&amp;5'!B:J,9,FALSE),"-")</f>
        <v>-</v>
      </c>
      <c r="N516" s="79" t="str">
        <f>+IFERROR(VLOOKUP(CONCATENATE(A516,$C$10,C516),'ID1&amp;5'!B:J,8,FALSE),"-")</f>
        <v>-</v>
      </c>
      <c r="O516" s="78" t="str">
        <f>+IFERROR(VLOOKUP(C516,'ID1&amp;5'!K:L,2,FALSE),"-")</f>
        <v>-</v>
      </c>
      <c r="P516" s="79" t="str">
        <f>+IFERROR(VLOOKUP(CONCATENATE(A516,$C$10,C516),'ID1&amp;5'!B:J,9,FALSE),"-")</f>
        <v>-</v>
      </c>
      <c r="Q516" s="78" t="str">
        <f>+IFERROR(VLOOKUP(D516,'ID1&amp;5'!K:L,2,FALSE),"-")</f>
        <v>-</v>
      </c>
      <c r="R516" s="26" t="str">
        <f>+IFERROR(VLOOKUP(CONCATENATE(A516,$D$10,D516),'ID1&amp;5'!B:J,9,FALSE),"-")</f>
        <v>-</v>
      </c>
      <c r="S516" s="78" t="str">
        <f>+IFERROR(VLOOKUP(E516,'ID1&amp;5'!K:L,2,FALSE),"-")</f>
        <v>-</v>
      </c>
      <c r="T516" s="79" t="str">
        <f>+IFERROR(VLOOKUP(CONCATENATE(A516,$E$10,E516),'ID1&amp;5'!B:J,9,FALSE),"-")</f>
        <v>-</v>
      </c>
      <c r="U516" s="78" t="str">
        <f>+IFERROR(VLOOKUP(F516,'ID1&amp;5'!K:L,2,FALSE),"-")</f>
        <v>-</v>
      </c>
      <c r="V516" s="79" t="str">
        <f>+IFERROR(VLOOKUP(CONCATENATE(A516,$F$10,F516),'ID1&amp;5'!B:J,9,FALSE),"-")</f>
        <v>-</v>
      </c>
      <c r="W516" s="26" t="str">
        <f>+IFERROR(VLOOKUP(A516,'ID6&amp;7'!A:I,9,FALSE),"-")</f>
        <v>-</v>
      </c>
      <c r="X516" s="26" t="str">
        <f>+IFERROR(VLOOKUP(A516,'ID6&amp;7'!A:J,10,FALSE),"-")</f>
        <v>-</v>
      </c>
      <c r="Y516" s="26"/>
      <c r="Z516" s="27" t="str">
        <f t="shared" si="9"/>
        <v>Por iniciar</v>
      </c>
      <c r="AA516" s="65"/>
    </row>
    <row r="517" spans="1:27">
      <c r="A517" s="20"/>
      <c r="B517" s="60"/>
      <c r="C517" s="60"/>
      <c r="D517" s="60"/>
      <c r="E517" s="60"/>
      <c r="F517" s="60"/>
      <c r="G517" s="60"/>
      <c r="H517" s="65" t="s">
        <v>114</v>
      </c>
      <c r="I517" s="21" t="s">
        <v>1475</v>
      </c>
      <c r="J517" s="26">
        <f>+COUNTIF('ID1&amp;5'!G:G,'1. Status'!I517)</f>
        <v>1</v>
      </c>
      <c r="K517" s="79" t="str">
        <f>+IFERROR(VLOOKUP(CONCATENATE(A517,$B$10,B517),'ID1&amp;5'!B:J,8,FALSE),"-")</f>
        <v>-</v>
      </c>
      <c r="L517" s="78" t="str">
        <f>+IFERROR(VLOOKUP(B517,'ID1&amp;5'!K:L,2,FALSE),"-")</f>
        <v>-</v>
      </c>
      <c r="M517" s="79" t="str">
        <f>+IFERROR(VLOOKUP(CONCATENATE(A517,$B$10,B517),'ID1&amp;5'!B:J,9,FALSE),"-")</f>
        <v>-</v>
      </c>
      <c r="N517" s="79" t="str">
        <f>+IFERROR(VLOOKUP(CONCATENATE(A517,$C$10,C517),'ID1&amp;5'!B:J,8,FALSE),"-")</f>
        <v>-</v>
      </c>
      <c r="O517" s="78" t="str">
        <f>+IFERROR(VLOOKUP(C517,'ID1&amp;5'!K:L,2,FALSE),"-")</f>
        <v>-</v>
      </c>
      <c r="P517" s="79" t="str">
        <f>+IFERROR(VLOOKUP(CONCATENATE(A517,$C$10,C517),'ID1&amp;5'!B:J,9,FALSE),"-")</f>
        <v>-</v>
      </c>
      <c r="Q517" s="78" t="str">
        <f>+IFERROR(VLOOKUP(D517,'ID1&amp;5'!K:L,2,FALSE),"-")</f>
        <v>-</v>
      </c>
      <c r="R517" s="26" t="str">
        <f>+IFERROR(VLOOKUP(CONCATENATE(A517,$D$10,D517),'ID1&amp;5'!B:J,9,FALSE),"-")</f>
        <v>-</v>
      </c>
      <c r="S517" s="78" t="str">
        <f>+IFERROR(VLOOKUP(E517,'ID1&amp;5'!K:L,2,FALSE),"-")</f>
        <v>-</v>
      </c>
      <c r="T517" s="79" t="str">
        <f>+IFERROR(VLOOKUP(CONCATENATE(A517,$E$10,E517),'ID1&amp;5'!B:J,9,FALSE),"-")</f>
        <v>-</v>
      </c>
      <c r="U517" s="78" t="str">
        <f>+IFERROR(VLOOKUP(F517,'ID1&amp;5'!K:L,2,FALSE),"-")</f>
        <v>-</v>
      </c>
      <c r="V517" s="79" t="str">
        <f>+IFERROR(VLOOKUP(CONCATENATE(A517,$F$10,F517),'ID1&amp;5'!B:J,9,FALSE),"-")</f>
        <v>-</v>
      </c>
      <c r="W517" s="26" t="str">
        <f>+IFERROR(VLOOKUP(A517,'ID6&amp;7'!A:I,9,FALSE),"-")</f>
        <v>-</v>
      </c>
      <c r="X517" s="26" t="str">
        <f>+IFERROR(VLOOKUP(A517,'ID6&amp;7'!A:J,10,FALSE),"-")</f>
        <v>-</v>
      </c>
      <c r="Y517" s="26"/>
      <c r="Z517" s="27" t="str">
        <f t="shared" si="9"/>
        <v>Em testes</v>
      </c>
      <c r="AA517" s="65"/>
    </row>
    <row r="518" spans="1:27">
      <c r="A518" s="20"/>
      <c r="B518" s="60"/>
      <c r="C518" s="60"/>
      <c r="D518" s="60"/>
      <c r="E518" s="60"/>
      <c r="F518" s="60"/>
      <c r="G518" s="60"/>
      <c r="H518" s="65" t="s">
        <v>114</v>
      </c>
      <c r="I518" s="21" t="s">
        <v>1476</v>
      </c>
      <c r="J518" s="26">
        <f>+COUNTIF('ID1&amp;5'!G:G,'1. Status'!I518)</f>
        <v>0</v>
      </c>
      <c r="K518" s="79" t="str">
        <f>+IFERROR(VLOOKUP(CONCATENATE(A518,$B$10,B518),'ID1&amp;5'!B:J,8,FALSE),"-")</f>
        <v>-</v>
      </c>
      <c r="L518" s="78" t="str">
        <f>+IFERROR(VLOOKUP(B518,'ID1&amp;5'!K:L,2,FALSE),"-")</f>
        <v>-</v>
      </c>
      <c r="M518" s="79" t="str">
        <f>+IFERROR(VLOOKUP(CONCATENATE(A518,$B$10,B518),'ID1&amp;5'!B:J,9,FALSE),"-")</f>
        <v>-</v>
      </c>
      <c r="N518" s="79" t="str">
        <f>+IFERROR(VLOOKUP(CONCATENATE(A518,$C$10,C518),'ID1&amp;5'!B:J,8,FALSE),"-")</f>
        <v>-</v>
      </c>
      <c r="O518" s="78" t="str">
        <f>+IFERROR(VLOOKUP(C518,'ID1&amp;5'!K:L,2,FALSE),"-")</f>
        <v>-</v>
      </c>
      <c r="P518" s="79" t="str">
        <f>+IFERROR(VLOOKUP(CONCATENATE(A518,$C$10,C518),'ID1&amp;5'!B:J,9,FALSE),"-")</f>
        <v>-</v>
      </c>
      <c r="Q518" s="78" t="str">
        <f>+IFERROR(VLOOKUP(D518,'ID1&amp;5'!K:L,2,FALSE),"-")</f>
        <v>-</v>
      </c>
      <c r="R518" s="26" t="str">
        <f>+IFERROR(VLOOKUP(CONCATENATE(A518,$D$10,D518),'ID1&amp;5'!B:J,9,FALSE),"-")</f>
        <v>-</v>
      </c>
      <c r="S518" s="78" t="str">
        <f>+IFERROR(VLOOKUP(E518,'ID1&amp;5'!K:L,2,FALSE),"-")</f>
        <v>-</v>
      </c>
      <c r="T518" s="79" t="str">
        <f>+IFERROR(VLOOKUP(CONCATENATE(A518,$E$10,E518),'ID1&amp;5'!B:J,9,FALSE),"-")</f>
        <v>-</v>
      </c>
      <c r="U518" s="78" t="str">
        <f>+IFERROR(VLOOKUP(F518,'ID1&amp;5'!K:L,2,FALSE),"-")</f>
        <v>-</v>
      </c>
      <c r="V518" s="79" t="str">
        <f>+IFERROR(VLOOKUP(CONCATENATE(A518,$F$10,F518),'ID1&amp;5'!B:J,9,FALSE),"-")</f>
        <v>-</v>
      </c>
      <c r="W518" s="26" t="str">
        <f>+IFERROR(VLOOKUP(A518,'ID6&amp;7'!A:I,9,FALSE),"-")</f>
        <v>-</v>
      </c>
      <c r="X518" s="26" t="str">
        <f>+IFERROR(VLOOKUP(A518,'ID6&amp;7'!A:J,10,FALSE),"-")</f>
        <v>-</v>
      </c>
      <c r="Y518" s="26"/>
      <c r="Z518" s="27" t="str">
        <f t="shared" si="9"/>
        <v>Por iniciar</v>
      </c>
      <c r="AA518" s="65"/>
    </row>
    <row r="519" spans="1:27">
      <c r="A519" s="20"/>
      <c r="B519" s="60"/>
      <c r="C519" s="60"/>
      <c r="D519" s="60"/>
      <c r="E519" s="60"/>
      <c r="F519" s="60"/>
      <c r="G519" s="60"/>
      <c r="H519" s="65" t="s">
        <v>114</v>
      </c>
      <c r="I519" s="21" t="s">
        <v>1477</v>
      </c>
      <c r="J519" s="26">
        <f>+COUNTIF('ID1&amp;5'!G:G,'1. Status'!I519)</f>
        <v>0</v>
      </c>
      <c r="K519" s="79" t="str">
        <f>+IFERROR(VLOOKUP(CONCATENATE(A519,$B$10,B519),'ID1&amp;5'!B:J,8,FALSE),"-")</f>
        <v>-</v>
      </c>
      <c r="L519" s="78" t="str">
        <f>+IFERROR(VLOOKUP(B519,'ID1&amp;5'!K:L,2,FALSE),"-")</f>
        <v>-</v>
      </c>
      <c r="M519" s="79" t="str">
        <f>+IFERROR(VLOOKUP(CONCATENATE(A519,$B$10,B519),'ID1&amp;5'!B:J,9,FALSE),"-")</f>
        <v>-</v>
      </c>
      <c r="N519" s="79" t="str">
        <f>+IFERROR(VLOOKUP(CONCATENATE(A519,$C$10,C519),'ID1&amp;5'!B:J,8,FALSE),"-")</f>
        <v>-</v>
      </c>
      <c r="O519" s="78" t="str">
        <f>+IFERROR(VLOOKUP(C519,'ID1&amp;5'!K:L,2,FALSE),"-")</f>
        <v>-</v>
      </c>
      <c r="P519" s="79" t="str">
        <f>+IFERROR(VLOOKUP(CONCATENATE(A519,$C$10,C519),'ID1&amp;5'!B:J,9,FALSE),"-")</f>
        <v>-</v>
      </c>
      <c r="Q519" s="78" t="str">
        <f>+IFERROR(VLOOKUP(D519,'ID1&amp;5'!K:L,2,FALSE),"-")</f>
        <v>-</v>
      </c>
      <c r="R519" s="26" t="str">
        <f>+IFERROR(VLOOKUP(CONCATENATE(A519,$D$10,D519),'ID1&amp;5'!B:J,9,FALSE),"-")</f>
        <v>-</v>
      </c>
      <c r="S519" s="78" t="str">
        <f>+IFERROR(VLOOKUP(E519,'ID1&amp;5'!K:L,2,FALSE),"-")</f>
        <v>-</v>
      </c>
      <c r="T519" s="79" t="str">
        <f>+IFERROR(VLOOKUP(CONCATENATE(A519,$E$10,E519),'ID1&amp;5'!B:J,9,FALSE),"-")</f>
        <v>-</v>
      </c>
      <c r="U519" s="78" t="str">
        <f>+IFERROR(VLOOKUP(F519,'ID1&amp;5'!K:L,2,FALSE),"-")</f>
        <v>-</v>
      </c>
      <c r="V519" s="79" t="str">
        <f>+IFERROR(VLOOKUP(CONCATENATE(A519,$F$10,F519),'ID1&amp;5'!B:J,9,FALSE),"-")</f>
        <v>-</v>
      </c>
      <c r="W519" s="26" t="str">
        <f>+IFERROR(VLOOKUP(A519,'ID6&amp;7'!A:I,9,FALSE),"-")</f>
        <v>-</v>
      </c>
      <c r="X519" s="26" t="str">
        <f>+IFERROR(VLOOKUP(A519,'ID6&amp;7'!A:J,10,FALSE),"-")</f>
        <v>-</v>
      </c>
      <c r="Y519" s="26"/>
      <c r="Z519" s="27" t="str">
        <f t="shared" si="9"/>
        <v>Por iniciar</v>
      </c>
      <c r="AA519" s="65"/>
    </row>
    <row r="520" spans="1:27">
      <c r="A520" s="20"/>
      <c r="B520" s="60"/>
      <c r="C520" s="60"/>
      <c r="D520" s="60"/>
      <c r="E520" s="60"/>
      <c r="F520" s="60"/>
      <c r="G520" s="60"/>
      <c r="H520" s="65" t="s">
        <v>114</v>
      </c>
      <c r="I520" s="21" t="s">
        <v>1478</v>
      </c>
      <c r="J520" s="26">
        <f>+COUNTIF('ID1&amp;5'!G:G,'1. Status'!I520)</f>
        <v>0</v>
      </c>
      <c r="K520" s="79" t="str">
        <f>+IFERROR(VLOOKUP(CONCATENATE(A520,$B$10,B520),'ID1&amp;5'!B:J,8,FALSE),"-")</f>
        <v>-</v>
      </c>
      <c r="L520" s="78" t="str">
        <f>+IFERROR(VLOOKUP(B520,'ID1&amp;5'!K:L,2,FALSE),"-")</f>
        <v>-</v>
      </c>
      <c r="M520" s="79" t="str">
        <f>+IFERROR(VLOOKUP(CONCATENATE(A520,$B$10,B520),'ID1&amp;5'!B:J,9,FALSE),"-")</f>
        <v>-</v>
      </c>
      <c r="N520" s="79" t="str">
        <f>+IFERROR(VLOOKUP(CONCATENATE(A520,$C$10,C520),'ID1&amp;5'!B:J,8,FALSE),"-")</f>
        <v>-</v>
      </c>
      <c r="O520" s="78" t="str">
        <f>+IFERROR(VLOOKUP(C520,'ID1&amp;5'!K:L,2,FALSE),"-")</f>
        <v>-</v>
      </c>
      <c r="P520" s="79" t="str">
        <f>+IFERROR(VLOOKUP(CONCATENATE(A520,$C$10,C520),'ID1&amp;5'!B:J,9,FALSE),"-")</f>
        <v>-</v>
      </c>
      <c r="Q520" s="78" t="str">
        <f>+IFERROR(VLOOKUP(D520,'ID1&amp;5'!K:L,2,FALSE),"-")</f>
        <v>-</v>
      </c>
      <c r="R520" s="26" t="str">
        <f>+IFERROR(VLOOKUP(CONCATENATE(A520,$D$10,D520),'ID1&amp;5'!B:J,9,FALSE),"-")</f>
        <v>-</v>
      </c>
      <c r="S520" s="78" t="str">
        <f>+IFERROR(VLOOKUP(E520,'ID1&amp;5'!K:L,2,FALSE),"-")</f>
        <v>-</v>
      </c>
      <c r="T520" s="79" t="str">
        <f>+IFERROR(VLOOKUP(CONCATENATE(A520,$E$10,E520),'ID1&amp;5'!B:J,9,FALSE),"-")</f>
        <v>-</v>
      </c>
      <c r="U520" s="78" t="str">
        <f>+IFERROR(VLOOKUP(F520,'ID1&amp;5'!K:L,2,FALSE),"-")</f>
        <v>-</v>
      </c>
      <c r="V520" s="79" t="str">
        <f>+IFERROR(VLOOKUP(CONCATENATE(A520,$F$10,F520),'ID1&amp;5'!B:J,9,FALSE),"-")</f>
        <v>-</v>
      </c>
      <c r="W520" s="26" t="str">
        <f>+IFERROR(VLOOKUP(A520,'ID6&amp;7'!A:I,9,FALSE),"-")</f>
        <v>-</v>
      </c>
      <c r="X520" s="26" t="str">
        <f>+IFERROR(VLOOKUP(A520,'ID6&amp;7'!A:J,10,FALSE),"-")</f>
        <v>-</v>
      </c>
      <c r="Y520" s="26"/>
      <c r="Z520" s="27" t="str">
        <f t="shared" si="9"/>
        <v>Por iniciar</v>
      </c>
      <c r="AA520" s="65"/>
    </row>
    <row r="521" spans="1:27">
      <c r="A521" s="20"/>
      <c r="B521" s="60"/>
      <c r="C521" s="60"/>
      <c r="D521" s="60"/>
      <c r="E521" s="60"/>
      <c r="F521" s="60"/>
      <c r="G521" s="60"/>
      <c r="H521" s="65" t="s">
        <v>114</v>
      </c>
      <c r="I521" s="21" t="s">
        <v>1479</v>
      </c>
      <c r="J521" s="26">
        <f>+COUNTIF('ID1&amp;5'!G:G,'1. Status'!I521)</f>
        <v>0</v>
      </c>
      <c r="K521" s="79" t="str">
        <f>+IFERROR(VLOOKUP(CONCATENATE(A521,$B$10,B521),'ID1&amp;5'!B:J,8,FALSE),"-")</f>
        <v>-</v>
      </c>
      <c r="L521" s="78" t="str">
        <f>+IFERROR(VLOOKUP(B521,'ID1&amp;5'!K:L,2,FALSE),"-")</f>
        <v>-</v>
      </c>
      <c r="M521" s="79" t="str">
        <f>+IFERROR(VLOOKUP(CONCATENATE(A521,$B$10,B521),'ID1&amp;5'!B:J,9,FALSE),"-")</f>
        <v>-</v>
      </c>
      <c r="N521" s="79" t="str">
        <f>+IFERROR(VLOOKUP(CONCATENATE(A521,$C$10,C521),'ID1&amp;5'!B:J,8,FALSE),"-")</f>
        <v>-</v>
      </c>
      <c r="O521" s="78" t="str">
        <f>+IFERROR(VLOOKUP(C521,'ID1&amp;5'!K:L,2,FALSE),"-")</f>
        <v>-</v>
      </c>
      <c r="P521" s="79" t="str">
        <f>+IFERROR(VLOOKUP(CONCATENATE(A521,$C$10,C521),'ID1&amp;5'!B:J,9,FALSE),"-")</f>
        <v>-</v>
      </c>
      <c r="Q521" s="78" t="str">
        <f>+IFERROR(VLOOKUP(D521,'ID1&amp;5'!K:L,2,FALSE),"-")</f>
        <v>-</v>
      </c>
      <c r="R521" s="26" t="str">
        <f>+IFERROR(VLOOKUP(CONCATENATE(A521,$D$10,D521),'ID1&amp;5'!B:J,9,FALSE),"-")</f>
        <v>-</v>
      </c>
      <c r="S521" s="78" t="str">
        <f>+IFERROR(VLOOKUP(E521,'ID1&amp;5'!K:L,2,FALSE),"-")</f>
        <v>-</v>
      </c>
      <c r="T521" s="79" t="str">
        <f>+IFERROR(VLOOKUP(CONCATENATE(A521,$E$10,E521),'ID1&amp;5'!B:J,9,FALSE),"-")</f>
        <v>-</v>
      </c>
      <c r="U521" s="78" t="str">
        <f>+IFERROR(VLOOKUP(F521,'ID1&amp;5'!K:L,2,FALSE),"-")</f>
        <v>-</v>
      </c>
      <c r="V521" s="79" t="str">
        <f>+IFERROR(VLOOKUP(CONCATENATE(A521,$F$10,F521),'ID1&amp;5'!B:J,9,FALSE),"-")</f>
        <v>-</v>
      </c>
      <c r="W521" s="26" t="str">
        <f>+IFERROR(VLOOKUP(A521,'ID6&amp;7'!A:I,9,FALSE),"-")</f>
        <v>-</v>
      </c>
      <c r="X521" s="26" t="str">
        <f>+IFERROR(VLOOKUP(A521,'ID6&amp;7'!A:J,10,FALSE),"-")</f>
        <v>-</v>
      </c>
      <c r="Y521" s="26"/>
      <c r="Z521" s="27" t="str">
        <f t="shared" si="9"/>
        <v>Por iniciar</v>
      </c>
      <c r="AA521" s="65"/>
    </row>
    <row r="522" spans="1:27">
      <c r="A522" s="20"/>
      <c r="B522" s="60"/>
      <c r="C522" s="60"/>
      <c r="D522" s="60"/>
      <c r="E522" s="60"/>
      <c r="F522" s="60"/>
      <c r="G522" s="60"/>
      <c r="H522" s="65" t="s">
        <v>114</v>
      </c>
      <c r="I522" s="21" t="s">
        <v>1480</v>
      </c>
      <c r="J522" s="26">
        <f>+COUNTIF('ID1&amp;5'!G:G,'1. Status'!I522)</f>
        <v>0</v>
      </c>
      <c r="K522" s="79" t="str">
        <f>+IFERROR(VLOOKUP(CONCATENATE(A522,$B$10,B522),'ID1&amp;5'!B:J,8,FALSE),"-")</f>
        <v>-</v>
      </c>
      <c r="L522" s="78" t="str">
        <f>+IFERROR(VLOOKUP(B522,'ID1&amp;5'!K:L,2,FALSE),"-")</f>
        <v>-</v>
      </c>
      <c r="M522" s="79" t="str">
        <f>+IFERROR(VLOOKUP(CONCATENATE(A522,$B$10,B522),'ID1&amp;5'!B:J,9,FALSE),"-")</f>
        <v>-</v>
      </c>
      <c r="N522" s="79" t="str">
        <f>+IFERROR(VLOOKUP(CONCATENATE(A522,$C$10,C522),'ID1&amp;5'!B:J,8,FALSE),"-")</f>
        <v>-</v>
      </c>
      <c r="O522" s="78" t="str">
        <f>+IFERROR(VLOOKUP(C522,'ID1&amp;5'!K:L,2,FALSE),"-")</f>
        <v>-</v>
      </c>
      <c r="P522" s="79" t="str">
        <f>+IFERROR(VLOOKUP(CONCATENATE(A522,$C$10,C522),'ID1&amp;5'!B:J,9,FALSE),"-")</f>
        <v>-</v>
      </c>
      <c r="Q522" s="78" t="str">
        <f>+IFERROR(VLOOKUP(D522,'ID1&amp;5'!K:L,2,FALSE),"-")</f>
        <v>-</v>
      </c>
      <c r="R522" s="26" t="str">
        <f>+IFERROR(VLOOKUP(CONCATENATE(A522,$D$10,D522),'ID1&amp;5'!B:J,9,FALSE),"-")</f>
        <v>-</v>
      </c>
      <c r="S522" s="78" t="str">
        <f>+IFERROR(VLOOKUP(E522,'ID1&amp;5'!K:L,2,FALSE),"-")</f>
        <v>-</v>
      </c>
      <c r="T522" s="79" t="str">
        <f>+IFERROR(VLOOKUP(CONCATENATE(A522,$E$10,E522),'ID1&amp;5'!B:J,9,FALSE),"-")</f>
        <v>-</v>
      </c>
      <c r="U522" s="78" t="str">
        <f>+IFERROR(VLOOKUP(F522,'ID1&amp;5'!K:L,2,FALSE),"-")</f>
        <v>-</v>
      </c>
      <c r="V522" s="79" t="str">
        <f>+IFERROR(VLOOKUP(CONCATENATE(A522,$F$10,F522),'ID1&amp;5'!B:J,9,FALSE),"-")</f>
        <v>-</v>
      </c>
      <c r="W522" s="26" t="str">
        <f>+IFERROR(VLOOKUP(A522,'ID6&amp;7'!A:I,9,FALSE),"-")</f>
        <v>-</v>
      </c>
      <c r="X522" s="26" t="str">
        <f>+IFERROR(VLOOKUP(A522,'ID6&amp;7'!A:J,10,FALSE),"-")</f>
        <v>-</v>
      </c>
      <c r="Y522" s="26"/>
      <c r="Z522" s="27" t="str">
        <f t="shared" si="9"/>
        <v>Por iniciar</v>
      </c>
      <c r="AA522" s="65"/>
    </row>
    <row r="523" spans="1:27">
      <c r="A523" s="20"/>
      <c r="B523" s="60"/>
      <c r="C523" s="60"/>
      <c r="D523" s="60"/>
      <c r="E523" s="60"/>
      <c r="F523" s="60"/>
      <c r="G523" s="60"/>
      <c r="H523" s="65" t="s">
        <v>114</v>
      </c>
      <c r="I523" s="21" t="s">
        <v>1481</v>
      </c>
      <c r="J523" s="26">
        <f>+COUNTIF('ID1&amp;5'!G:G,'1. Status'!I523)</f>
        <v>0</v>
      </c>
      <c r="K523" s="79" t="str">
        <f>+IFERROR(VLOOKUP(CONCATENATE(A523,$B$10,B523),'ID1&amp;5'!B:J,8,FALSE),"-")</f>
        <v>-</v>
      </c>
      <c r="L523" s="78" t="str">
        <f>+IFERROR(VLOOKUP(B523,'ID1&amp;5'!K:L,2,FALSE),"-")</f>
        <v>-</v>
      </c>
      <c r="M523" s="79" t="str">
        <f>+IFERROR(VLOOKUP(CONCATENATE(A523,$B$10,B523),'ID1&amp;5'!B:J,9,FALSE),"-")</f>
        <v>-</v>
      </c>
      <c r="N523" s="79" t="str">
        <f>+IFERROR(VLOOKUP(CONCATENATE(A523,$C$10,C523),'ID1&amp;5'!B:J,8,FALSE),"-")</f>
        <v>-</v>
      </c>
      <c r="O523" s="78" t="str">
        <f>+IFERROR(VLOOKUP(C523,'ID1&amp;5'!K:L,2,FALSE),"-")</f>
        <v>-</v>
      </c>
      <c r="P523" s="79" t="str">
        <f>+IFERROR(VLOOKUP(CONCATENATE(A523,$C$10,C523),'ID1&amp;5'!B:J,9,FALSE),"-")</f>
        <v>-</v>
      </c>
      <c r="Q523" s="78" t="str">
        <f>+IFERROR(VLOOKUP(D523,'ID1&amp;5'!K:L,2,FALSE),"-")</f>
        <v>-</v>
      </c>
      <c r="R523" s="26" t="str">
        <f>+IFERROR(VLOOKUP(CONCATENATE(A523,$D$10,D523),'ID1&amp;5'!B:J,9,FALSE),"-")</f>
        <v>-</v>
      </c>
      <c r="S523" s="78" t="str">
        <f>+IFERROR(VLOOKUP(E523,'ID1&amp;5'!K:L,2,FALSE),"-")</f>
        <v>-</v>
      </c>
      <c r="T523" s="79" t="str">
        <f>+IFERROR(VLOOKUP(CONCATENATE(A523,$E$10,E523),'ID1&amp;5'!B:J,9,FALSE),"-")</f>
        <v>-</v>
      </c>
      <c r="U523" s="78" t="str">
        <f>+IFERROR(VLOOKUP(F523,'ID1&amp;5'!K:L,2,FALSE),"-")</f>
        <v>-</v>
      </c>
      <c r="V523" s="79" t="str">
        <f>+IFERROR(VLOOKUP(CONCATENATE(A523,$F$10,F523),'ID1&amp;5'!B:J,9,FALSE),"-")</f>
        <v>-</v>
      </c>
      <c r="W523" s="26" t="str">
        <f>+IFERROR(VLOOKUP(A523,'ID6&amp;7'!A:I,9,FALSE),"-")</f>
        <v>-</v>
      </c>
      <c r="X523" s="26" t="str">
        <f>+IFERROR(VLOOKUP(A523,'ID6&amp;7'!A:J,10,FALSE),"-")</f>
        <v>-</v>
      </c>
      <c r="Y523" s="26"/>
      <c r="Z523" s="27" t="str">
        <f t="shared" si="9"/>
        <v>Por iniciar</v>
      </c>
      <c r="AA523" s="65"/>
    </row>
    <row r="524" spans="1:27">
      <c r="A524" s="20"/>
      <c r="B524" s="60"/>
      <c r="C524" s="60"/>
      <c r="D524" s="60"/>
      <c r="E524" s="60"/>
      <c r="F524" s="60"/>
      <c r="G524" s="60"/>
      <c r="H524" s="65" t="s">
        <v>114</v>
      </c>
      <c r="I524" s="21" t="s">
        <v>1482</v>
      </c>
      <c r="J524" s="26">
        <f>+COUNTIF('ID1&amp;5'!G:G,'1. Status'!I524)</f>
        <v>0</v>
      </c>
      <c r="K524" s="79" t="str">
        <f>+IFERROR(VLOOKUP(CONCATENATE(A524,$B$10,B524),'ID1&amp;5'!B:J,8,FALSE),"-")</f>
        <v>-</v>
      </c>
      <c r="L524" s="78" t="str">
        <f>+IFERROR(VLOOKUP(B524,'ID1&amp;5'!K:L,2,FALSE),"-")</f>
        <v>-</v>
      </c>
      <c r="M524" s="79" t="str">
        <f>+IFERROR(VLOOKUP(CONCATENATE(A524,$B$10,B524),'ID1&amp;5'!B:J,9,FALSE),"-")</f>
        <v>-</v>
      </c>
      <c r="N524" s="79" t="str">
        <f>+IFERROR(VLOOKUP(CONCATENATE(A524,$C$10,C524),'ID1&amp;5'!B:J,8,FALSE),"-")</f>
        <v>-</v>
      </c>
      <c r="O524" s="78" t="str">
        <f>+IFERROR(VLOOKUP(C524,'ID1&amp;5'!K:L,2,FALSE),"-")</f>
        <v>-</v>
      </c>
      <c r="P524" s="79" t="str">
        <f>+IFERROR(VLOOKUP(CONCATENATE(A524,$C$10,C524),'ID1&amp;5'!B:J,9,FALSE),"-")</f>
        <v>-</v>
      </c>
      <c r="Q524" s="78" t="str">
        <f>+IFERROR(VLOOKUP(D524,'ID1&amp;5'!K:L,2,FALSE),"-")</f>
        <v>-</v>
      </c>
      <c r="R524" s="26" t="str">
        <f>+IFERROR(VLOOKUP(CONCATENATE(A524,$D$10,D524),'ID1&amp;5'!B:J,9,FALSE),"-")</f>
        <v>-</v>
      </c>
      <c r="S524" s="78" t="str">
        <f>+IFERROR(VLOOKUP(E524,'ID1&amp;5'!K:L,2,FALSE),"-")</f>
        <v>-</v>
      </c>
      <c r="T524" s="79" t="str">
        <f>+IFERROR(VLOOKUP(CONCATENATE(A524,$E$10,E524),'ID1&amp;5'!B:J,9,FALSE),"-")</f>
        <v>-</v>
      </c>
      <c r="U524" s="78" t="str">
        <f>+IFERROR(VLOOKUP(F524,'ID1&amp;5'!K:L,2,FALSE),"-")</f>
        <v>-</v>
      </c>
      <c r="V524" s="79" t="str">
        <f>+IFERROR(VLOOKUP(CONCATENATE(A524,$F$10,F524),'ID1&amp;5'!B:J,9,FALSE),"-")</f>
        <v>-</v>
      </c>
      <c r="W524" s="26" t="str">
        <f>+IFERROR(VLOOKUP(A524,'ID6&amp;7'!A:I,9,FALSE),"-")</f>
        <v>-</v>
      </c>
      <c r="X524" s="26" t="str">
        <f>+IFERROR(VLOOKUP(A524,'ID6&amp;7'!A:J,10,FALSE),"-")</f>
        <v>-</v>
      </c>
      <c r="Y524" s="26"/>
      <c r="Z524" s="27" t="str">
        <f t="shared" si="9"/>
        <v>Por iniciar</v>
      </c>
      <c r="AA524" s="65"/>
    </row>
    <row r="525" spans="1:27">
      <c r="A525" s="20"/>
      <c r="B525" s="60"/>
      <c r="C525" s="60"/>
      <c r="D525" s="60"/>
      <c r="E525" s="60"/>
      <c r="F525" s="60"/>
      <c r="G525" s="60"/>
      <c r="H525" s="65" t="s">
        <v>114</v>
      </c>
      <c r="I525" s="21" t="s">
        <v>1483</v>
      </c>
      <c r="J525" s="26">
        <f>+COUNTIF('ID1&amp;5'!G:G,'1. Status'!I525)</f>
        <v>1</v>
      </c>
      <c r="K525" s="79" t="str">
        <f>+IFERROR(VLOOKUP(CONCATENATE(A525,$B$10,B525),'ID1&amp;5'!B:J,8,FALSE),"-")</f>
        <v>-</v>
      </c>
      <c r="L525" s="78" t="str">
        <f>+IFERROR(VLOOKUP(B525,'ID1&amp;5'!K:L,2,FALSE),"-")</f>
        <v>-</v>
      </c>
      <c r="M525" s="79" t="str">
        <f>+IFERROR(VLOOKUP(CONCATENATE(A525,$B$10,B525),'ID1&amp;5'!B:J,9,FALSE),"-")</f>
        <v>-</v>
      </c>
      <c r="N525" s="79" t="str">
        <f>+IFERROR(VLOOKUP(CONCATENATE(A525,$C$10,C525),'ID1&amp;5'!B:J,8,FALSE),"-")</f>
        <v>-</v>
      </c>
      <c r="O525" s="78" t="str">
        <f>+IFERROR(VLOOKUP(C525,'ID1&amp;5'!K:L,2,FALSE),"-")</f>
        <v>-</v>
      </c>
      <c r="P525" s="79" t="str">
        <f>+IFERROR(VLOOKUP(CONCATENATE(A525,$C$10,C525),'ID1&amp;5'!B:J,9,FALSE),"-")</f>
        <v>-</v>
      </c>
      <c r="Q525" s="78" t="str">
        <f>+IFERROR(VLOOKUP(D525,'ID1&amp;5'!K:L,2,FALSE),"-")</f>
        <v>-</v>
      </c>
      <c r="R525" s="26" t="str">
        <f>+IFERROR(VLOOKUP(CONCATENATE(A525,$D$10,D525),'ID1&amp;5'!B:J,9,FALSE),"-")</f>
        <v>-</v>
      </c>
      <c r="S525" s="78" t="str">
        <f>+IFERROR(VLOOKUP(E525,'ID1&amp;5'!K:L,2,FALSE),"-")</f>
        <v>-</v>
      </c>
      <c r="T525" s="79" t="str">
        <f>+IFERROR(VLOOKUP(CONCATENATE(A525,$E$10,E525),'ID1&amp;5'!B:J,9,FALSE),"-")</f>
        <v>-</v>
      </c>
      <c r="U525" s="78" t="str">
        <f>+IFERROR(VLOOKUP(F525,'ID1&amp;5'!K:L,2,FALSE),"-")</f>
        <v>-</v>
      </c>
      <c r="V525" s="79" t="str">
        <f>+IFERROR(VLOOKUP(CONCATENATE(A525,$F$10,F525),'ID1&amp;5'!B:J,9,FALSE),"-")</f>
        <v>-</v>
      </c>
      <c r="W525" s="26" t="str">
        <f>+IFERROR(VLOOKUP(A525,'ID6&amp;7'!A:I,9,FALSE),"-")</f>
        <v>-</v>
      </c>
      <c r="X525" s="26" t="str">
        <f>+IFERROR(VLOOKUP(A525,'ID6&amp;7'!A:J,10,FALSE),"-")</f>
        <v>-</v>
      </c>
      <c r="Y525" s="26"/>
      <c r="Z525" s="27" t="str">
        <f t="shared" si="9"/>
        <v>Em testes</v>
      </c>
      <c r="AA525" s="65"/>
    </row>
    <row r="526" spans="1:27">
      <c r="A526" s="20"/>
      <c r="B526" s="60"/>
      <c r="C526" s="60"/>
      <c r="D526" s="60"/>
      <c r="E526" s="60"/>
      <c r="F526" s="60"/>
      <c r="G526" s="60"/>
      <c r="H526" s="65" t="s">
        <v>114</v>
      </c>
      <c r="I526" s="21" t="s">
        <v>1484</v>
      </c>
      <c r="J526" s="26">
        <f>+COUNTIF('ID1&amp;5'!G:G,'1. Status'!I526)</f>
        <v>0</v>
      </c>
      <c r="K526" s="79" t="str">
        <f>+IFERROR(VLOOKUP(CONCATENATE(A526,$B$10,B526),'ID1&amp;5'!B:J,8,FALSE),"-")</f>
        <v>-</v>
      </c>
      <c r="L526" s="78" t="str">
        <f>+IFERROR(VLOOKUP(B526,'ID1&amp;5'!K:L,2,FALSE),"-")</f>
        <v>-</v>
      </c>
      <c r="M526" s="79" t="str">
        <f>+IFERROR(VLOOKUP(CONCATENATE(A526,$B$10,B526),'ID1&amp;5'!B:J,9,FALSE),"-")</f>
        <v>-</v>
      </c>
      <c r="N526" s="79" t="str">
        <f>+IFERROR(VLOOKUP(CONCATENATE(A526,$C$10,C526),'ID1&amp;5'!B:J,8,FALSE),"-")</f>
        <v>-</v>
      </c>
      <c r="O526" s="78" t="str">
        <f>+IFERROR(VLOOKUP(C526,'ID1&amp;5'!K:L,2,FALSE),"-")</f>
        <v>-</v>
      </c>
      <c r="P526" s="79" t="str">
        <f>+IFERROR(VLOOKUP(CONCATENATE(A526,$C$10,C526),'ID1&amp;5'!B:J,9,FALSE),"-")</f>
        <v>-</v>
      </c>
      <c r="Q526" s="78" t="str">
        <f>+IFERROR(VLOOKUP(D526,'ID1&amp;5'!K:L,2,FALSE),"-")</f>
        <v>-</v>
      </c>
      <c r="R526" s="26" t="str">
        <f>+IFERROR(VLOOKUP(CONCATENATE(A526,$D$10,D526),'ID1&amp;5'!B:J,9,FALSE),"-")</f>
        <v>-</v>
      </c>
      <c r="S526" s="78" t="str">
        <f>+IFERROR(VLOOKUP(E526,'ID1&amp;5'!K:L,2,FALSE),"-")</f>
        <v>-</v>
      </c>
      <c r="T526" s="79" t="str">
        <f>+IFERROR(VLOOKUP(CONCATENATE(A526,$E$10,E526),'ID1&amp;5'!B:J,9,FALSE),"-")</f>
        <v>-</v>
      </c>
      <c r="U526" s="78" t="str">
        <f>+IFERROR(VLOOKUP(F526,'ID1&amp;5'!K:L,2,FALSE),"-")</f>
        <v>-</v>
      </c>
      <c r="V526" s="79" t="str">
        <f>+IFERROR(VLOOKUP(CONCATENATE(A526,$F$10,F526),'ID1&amp;5'!B:J,9,FALSE),"-")</f>
        <v>-</v>
      </c>
      <c r="W526" s="26" t="str">
        <f>+IFERROR(VLOOKUP(A526,'ID6&amp;7'!A:I,9,FALSE),"-")</f>
        <v>-</v>
      </c>
      <c r="X526" s="26" t="str">
        <f>+IFERROR(VLOOKUP(A526,'ID6&amp;7'!A:J,10,FALSE),"-")</f>
        <v>-</v>
      </c>
      <c r="Y526" s="26"/>
      <c r="Z526" s="27" t="str">
        <f t="shared" si="9"/>
        <v>Por iniciar</v>
      </c>
      <c r="AA526" s="65"/>
    </row>
    <row r="527" spans="1:27">
      <c r="A527" s="20"/>
      <c r="B527" s="60"/>
      <c r="C527" s="60"/>
      <c r="D527" s="60"/>
      <c r="E527" s="60"/>
      <c r="F527" s="60"/>
      <c r="G527" s="60"/>
      <c r="H527" s="65" t="s">
        <v>114</v>
      </c>
      <c r="I527" s="21" t="s">
        <v>1485</v>
      </c>
      <c r="J527" s="26">
        <f>+COUNTIF('ID1&amp;5'!G:G,'1. Status'!I527)</f>
        <v>0</v>
      </c>
      <c r="K527" s="79" t="str">
        <f>+IFERROR(VLOOKUP(CONCATENATE(A527,$B$10,B527),'ID1&amp;5'!B:J,8,FALSE),"-")</f>
        <v>-</v>
      </c>
      <c r="L527" s="78" t="str">
        <f>+IFERROR(VLOOKUP(B527,'ID1&amp;5'!K:L,2,FALSE),"-")</f>
        <v>-</v>
      </c>
      <c r="M527" s="79" t="str">
        <f>+IFERROR(VLOOKUP(CONCATENATE(A527,$B$10,B527),'ID1&amp;5'!B:J,9,FALSE),"-")</f>
        <v>-</v>
      </c>
      <c r="N527" s="79" t="str">
        <f>+IFERROR(VLOOKUP(CONCATENATE(A527,$C$10,C527),'ID1&amp;5'!B:J,8,FALSE),"-")</f>
        <v>-</v>
      </c>
      <c r="O527" s="78" t="str">
        <f>+IFERROR(VLOOKUP(C527,'ID1&amp;5'!K:L,2,FALSE),"-")</f>
        <v>-</v>
      </c>
      <c r="P527" s="79" t="str">
        <f>+IFERROR(VLOOKUP(CONCATENATE(A527,$C$10,C527),'ID1&amp;5'!B:J,9,FALSE),"-")</f>
        <v>-</v>
      </c>
      <c r="Q527" s="78" t="str">
        <f>+IFERROR(VLOOKUP(D527,'ID1&amp;5'!K:L,2,FALSE),"-")</f>
        <v>-</v>
      </c>
      <c r="R527" s="26" t="str">
        <f>+IFERROR(VLOOKUP(CONCATENATE(A527,$D$10,D527),'ID1&amp;5'!B:J,9,FALSE),"-")</f>
        <v>-</v>
      </c>
      <c r="S527" s="78" t="str">
        <f>+IFERROR(VLOOKUP(E527,'ID1&amp;5'!K:L,2,FALSE),"-")</f>
        <v>-</v>
      </c>
      <c r="T527" s="79" t="str">
        <f>+IFERROR(VLOOKUP(CONCATENATE(A527,$E$10,E527),'ID1&amp;5'!B:J,9,FALSE),"-")</f>
        <v>-</v>
      </c>
      <c r="U527" s="78" t="str">
        <f>+IFERROR(VLOOKUP(F527,'ID1&amp;5'!K:L,2,FALSE),"-")</f>
        <v>-</v>
      </c>
      <c r="V527" s="79" t="str">
        <f>+IFERROR(VLOOKUP(CONCATENATE(A527,$F$10,F527),'ID1&amp;5'!B:J,9,FALSE),"-")</f>
        <v>-</v>
      </c>
      <c r="W527" s="26" t="str">
        <f>+IFERROR(VLOOKUP(A527,'ID6&amp;7'!A:I,9,FALSE),"-")</f>
        <v>-</v>
      </c>
      <c r="X527" s="26" t="str">
        <f>+IFERROR(VLOOKUP(A527,'ID6&amp;7'!A:J,10,FALSE),"-")</f>
        <v>-</v>
      </c>
      <c r="Y527" s="26"/>
      <c r="Z527" s="27" t="str">
        <f t="shared" si="9"/>
        <v>Por iniciar</v>
      </c>
      <c r="AA527" s="65"/>
    </row>
    <row r="528" spans="1:27">
      <c r="A528" s="20"/>
      <c r="B528" s="60"/>
      <c r="C528" s="60"/>
      <c r="D528" s="60"/>
      <c r="E528" s="60"/>
      <c r="F528" s="60"/>
      <c r="G528" s="60"/>
      <c r="H528" s="65" t="s">
        <v>114</v>
      </c>
      <c r="I528" s="21" t="s">
        <v>1486</v>
      </c>
      <c r="J528" s="26">
        <f>+COUNTIF('ID1&amp;5'!G:G,'1. Status'!I528)</f>
        <v>0</v>
      </c>
      <c r="K528" s="79" t="str">
        <f>+IFERROR(VLOOKUP(CONCATENATE(A528,$B$10,B528),'ID1&amp;5'!B:J,8,FALSE),"-")</f>
        <v>-</v>
      </c>
      <c r="L528" s="78" t="str">
        <f>+IFERROR(VLOOKUP(B528,'ID1&amp;5'!K:L,2,FALSE),"-")</f>
        <v>-</v>
      </c>
      <c r="M528" s="79" t="str">
        <f>+IFERROR(VLOOKUP(CONCATENATE(A528,$B$10,B528),'ID1&amp;5'!B:J,9,FALSE),"-")</f>
        <v>-</v>
      </c>
      <c r="N528" s="79" t="str">
        <f>+IFERROR(VLOOKUP(CONCATENATE(A528,$C$10,C528),'ID1&amp;5'!B:J,8,FALSE),"-")</f>
        <v>-</v>
      </c>
      <c r="O528" s="78" t="str">
        <f>+IFERROR(VLOOKUP(C528,'ID1&amp;5'!K:L,2,FALSE),"-")</f>
        <v>-</v>
      </c>
      <c r="P528" s="79" t="str">
        <f>+IFERROR(VLOOKUP(CONCATENATE(A528,$C$10,C528),'ID1&amp;5'!B:J,9,FALSE),"-")</f>
        <v>-</v>
      </c>
      <c r="Q528" s="78" t="str">
        <f>+IFERROR(VLOOKUP(D528,'ID1&amp;5'!K:L,2,FALSE),"-")</f>
        <v>-</v>
      </c>
      <c r="R528" s="26" t="str">
        <f>+IFERROR(VLOOKUP(CONCATENATE(A528,$D$10,D528),'ID1&amp;5'!B:J,9,FALSE),"-")</f>
        <v>-</v>
      </c>
      <c r="S528" s="78" t="str">
        <f>+IFERROR(VLOOKUP(E528,'ID1&amp;5'!K:L,2,FALSE),"-")</f>
        <v>-</v>
      </c>
      <c r="T528" s="79" t="str">
        <f>+IFERROR(VLOOKUP(CONCATENATE(A528,$E$10,E528),'ID1&amp;5'!B:J,9,FALSE),"-")</f>
        <v>-</v>
      </c>
      <c r="U528" s="78" t="str">
        <f>+IFERROR(VLOOKUP(F528,'ID1&amp;5'!K:L,2,FALSE),"-")</f>
        <v>-</v>
      </c>
      <c r="V528" s="79" t="str">
        <f>+IFERROR(VLOOKUP(CONCATENATE(A528,$F$10,F528),'ID1&amp;5'!B:J,9,FALSE),"-")</f>
        <v>-</v>
      </c>
      <c r="W528" s="26" t="str">
        <f>+IFERROR(VLOOKUP(A528,'ID6&amp;7'!A:I,9,FALSE),"-")</f>
        <v>-</v>
      </c>
      <c r="X528" s="26" t="str">
        <f>+IFERROR(VLOOKUP(A528,'ID6&amp;7'!A:J,10,FALSE),"-")</f>
        <v>-</v>
      </c>
      <c r="Y528" s="26"/>
      <c r="Z528" s="27" t="str">
        <f t="shared" si="9"/>
        <v>Por iniciar</v>
      </c>
      <c r="AA528" s="65"/>
    </row>
    <row r="529" spans="1:27">
      <c r="A529" s="20"/>
      <c r="B529" s="60"/>
      <c r="C529" s="60"/>
      <c r="D529" s="60"/>
      <c r="E529" s="60"/>
      <c r="F529" s="60"/>
      <c r="G529" s="60"/>
      <c r="H529" s="65" t="s">
        <v>114</v>
      </c>
      <c r="I529" s="21" t="s">
        <v>699</v>
      </c>
      <c r="J529" s="26">
        <f>+COUNTIF('ID1&amp;5'!G:G,'1. Status'!I529)</f>
        <v>0</v>
      </c>
      <c r="K529" s="79" t="str">
        <f>+IFERROR(VLOOKUP(CONCATENATE(A529,$B$10,B529),'ID1&amp;5'!B:J,8,FALSE),"-")</f>
        <v>-</v>
      </c>
      <c r="L529" s="78" t="str">
        <f>+IFERROR(VLOOKUP(B529,'ID1&amp;5'!K:L,2,FALSE),"-")</f>
        <v>-</v>
      </c>
      <c r="M529" s="79" t="str">
        <f>+IFERROR(VLOOKUP(CONCATENATE(A529,$B$10,B529),'ID1&amp;5'!B:J,9,FALSE),"-")</f>
        <v>-</v>
      </c>
      <c r="N529" s="79" t="str">
        <f>+IFERROR(VLOOKUP(CONCATENATE(A529,$C$10,C529),'ID1&amp;5'!B:J,8,FALSE),"-")</f>
        <v>-</v>
      </c>
      <c r="O529" s="78" t="str">
        <f>+IFERROR(VLOOKUP(C529,'ID1&amp;5'!K:L,2,FALSE),"-")</f>
        <v>-</v>
      </c>
      <c r="P529" s="79" t="str">
        <f>+IFERROR(VLOOKUP(CONCATENATE(A529,$C$10,C529),'ID1&amp;5'!B:J,9,FALSE),"-")</f>
        <v>-</v>
      </c>
      <c r="Q529" s="78" t="str">
        <f>+IFERROR(VLOOKUP(D529,'ID1&amp;5'!K:L,2,FALSE),"-")</f>
        <v>-</v>
      </c>
      <c r="R529" s="26" t="str">
        <f>+IFERROR(VLOOKUP(CONCATENATE(A529,$D$10,D529),'ID1&amp;5'!B:J,9,FALSE),"-")</f>
        <v>-</v>
      </c>
      <c r="S529" s="78" t="str">
        <f>+IFERROR(VLOOKUP(E529,'ID1&amp;5'!K:L,2,FALSE),"-")</f>
        <v>-</v>
      </c>
      <c r="T529" s="79" t="str">
        <f>+IFERROR(VLOOKUP(CONCATENATE(A529,$E$10,E529),'ID1&amp;5'!B:J,9,FALSE),"-")</f>
        <v>-</v>
      </c>
      <c r="U529" s="78" t="str">
        <f>+IFERROR(VLOOKUP(F529,'ID1&amp;5'!K:L,2,FALSE),"-")</f>
        <v>-</v>
      </c>
      <c r="V529" s="79" t="str">
        <f>+IFERROR(VLOOKUP(CONCATENATE(A529,$F$10,F529),'ID1&amp;5'!B:J,9,FALSE),"-")</f>
        <v>-</v>
      </c>
      <c r="W529" s="26" t="str">
        <f>+IFERROR(VLOOKUP(A529,'ID6&amp;7'!A:I,9,FALSE),"-")</f>
        <v>-</v>
      </c>
      <c r="X529" s="26" t="str">
        <f>+IFERROR(VLOOKUP(A529,'ID6&amp;7'!A:J,10,FALSE),"-")</f>
        <v>-</v>
      </c>
      <c r="Y529" s="26"/>
      <c r="Z529" s="27" t="str">
        <f t="shared" si="9"/>
        <v>Por iniciar</v>
      </c>
      <c r="AA529" s="65"/>
    </row>
    <row r="530" spans="1:27">
      <c r="A530" s="20"/>
      <c r="B530" s="60"/>
      <c r="C530" s="60"/>
      <c r="D530" s="60"/>
      <c r="E530" s="60"/>
      <c r="F530" s="60"/>
      <c r="G530" s="60"/>
      <c r="H530" s="65" t="s">
        <v>114</v>
      </c>
      <c r="I530" s="21" t="s">
        <v>700</v>
      </c>
      <c r="J530" s="26">
        <f>+COUNTIF('ID1&amp;5'!G:G,'1. Status'!I530)</f>
        <v>0</v>
      </c>
      <c r="K530" s="79" t="str">
        <f>+IFERROR(VLOOKUP(CONCATENATE(A530,$B$10,B530),'ID1&amp;5'!B:J,8,FALSE),"-")</f>
        <v>-</v>
      </c>
      <c r="L530" s="78" t="str">
        <f>+IFERROR(VLOOKUP(B530,'ID1&amp;5'!K:L,2,FALSE),"-")</f>
        <v>-</v>
      </c>
      <c r="M530" s="79" t="str">
        <f>+IFERROR(VLOOKUP(CONCATENATE(A530,$B$10,B530),'ID1&amp;5'!B:J,9,FALSE),"-")</f>
        <v>-</v>
      </c>
      <c r="N530" s="79" t="str">
        <f>+IFERROR(VLOOKUP(CONCATENATE(A530,$C$10,C530),'ID1&amp;5'!B:J,8,FALSE),"-")</f>
        <v>-</v>
      </c>
      <c r="O530" s="78" t="str">
        <f>+IFERROR(VLOOKUP(C530,'ID1&amp;5'!K:L,2,FALSE),"-")</f>
        <v>-</v>
      </c>
      <c r="P530" s="79" t="str">
        <f>+IFERROR(VLOOKUP(CONCATENATE(A530,$C$10,C530),'ID1&amp;5'!B:J,9,FALSE),"-")</f>
        <v>-</v>
      </c>
      <c r="Q530" s="78" t="str">
        <f>+IFERROR(VLOOKUP(D530,'ID1&amp;5'!K:L,2,FALSE),"-")</f>
        <v>-</v>
      </c>
      <c r="R530" s="26" t="str">
        <f>+IFERROR(VLOOKUP(CONCATENATE(A530,$D$10,D530),'ID1&amp;5'!B:J,9,FALSE),"-")</f>
        <v>-</v>
      </c>
      <c r="S530" s="78" t="str">
        <f>+IFERROR(VLOOKUP(E530,'ID1&amp;5'!K:L,2,FALSE),"-")</f>
        <v>-</v>
      </c>
      <c r="T530" s="79" t="str">
        <f>+IFERROR(VLOOKUP(CONCATENATE(A530,$E$10,E530),'ID1&amp;5'!B:J,9,FALSE),"-")</f>
        <v>-</v>
      </c>
      <c r="U530" s="78" t="str">
        <f>+IFERROR(VLOOKUP(F530,'ID1&amp;5'!K:L,2,FALSE),"-")</f>
        <v>-</v>
      </c>
      <c r="V530" s="79" t="str">
        <f>+IFERROR(VLOOKUP(CONCATENATE(A530,$F$10,F530),'ID1&amp;5'!B:J,9,FALSE),"-")</f>
        <v>-</v>
      </c>
      <c r="W530" s="26" t="str">
        <f>+IFERROR(VLOOKUP(A530,'ID6&amp;7'!A:I,9,FALSE),"-")</f>
        <v>-</v>
      </c>
      <c r="X530" s="26" t="str">
        <f>+IFERROR(VLOOKUP(A530,'ID6&amp;7'!A:J,10,FALSE),"-")</f>
        <v>-</v>
      </c>
      <c r="Y530" s="26"/>
      <c r="Z530" s="27" t="str">
        <f t="shared" si="9"/>
        <v>Por iniciar</v>
      </c>
      <c r="AA530" s="65"/>
    </row>
    <row r="531" spans="1:27">
      <c r="A531" s="20"/>
      <c r="B531" s="60"/>
      <c r="C531" s="60"/>
      <c r="D531" s="60"/>
      <c r="E531" s="60"/>
      <c r="F531" s="60"/>
      <c r="G531" s="60"/>
      <c r="H531" s="65" t="s">
        <v>114</v>
      </c>
      <c r="I531" s="21" t="s">
        <v>702</v>
      </c>
      <c r="J531" s="26">
        <f>+COUNTIF('ID1&amp;5'!G:G,'1. Status'!I531)</f>
        <v>0</v>
      </c>
      <c r="K531" s="79" t="str">
        <f>+IFERROR(VLOOKUP(CONCATENATE(A531,$B$10,B531),'ID1&amp;5'!B:J,8,FALSE),"-")</f>
        <v>-</v>
      </c>
      <c r="L531" s="78" t="str">
        <f>+IFERROR(VLOOKUP(B531,'ID1&amp;5'!K:L,2,FALSE),"-")</f>
        <v>-</v>
      </c>
      <c r="M531" s="79" t="str">
        <f>+IFERROR(VLOOKUP(CONCATENATE(A531,$B$10,B531),'ID1&amp;5'!B:J,9,FALSE),"-")</f>
        <v>-</v>
      </c>
      <c r="N531" s="79" t="str">
        <f>+IFERROR(VLOOKUP(CONCATENATE(A531,$C$10,C531),'ID1&amp;5'!B:J,8,FALSE),"-")</f>
        <v>-</v>
      </c>
      <c r="O531" s="78" t="str">
        <f>+IFERROR(VLOOKUP(C531,'ID1&amp;5'!K:L,2,FALSE),"-")</f>
        <v>-</v>
      </c>
      <c r="P531" s="79" t="str">
        <f>+IFERROR(VLOOKUP(CONCATENATE(A531,$C$10,C531),'ID1&amp;5'!B:J,9,FALSE),"-")</f>
        <v>-</v>
      </c>
      <c r="Q531" s="78" t="str">
        <f>+IFERROR(VLOOKUP(D531,'ID1&amp;5'!K:L,2,FALSE),"-")</f>
        <v>-</v>
      </c>
      <c r="R531" s="26" t="str">
        <f>+IFERROR(VLOOKUP(CONCATENATE(A531,$D$10,D531),'ID1&amp;5'!B:J,9,FALSE),"-")</f>
        <v>-</v>
      </c>
      <c r="S531" s="78" t="str">
        <f>+IFERROR(VLOOKUP(E531,'ID1&amp;5'!K:L,2,FALSE),"-")</f>
        <v>-</v>
      </c>
      <c r="T531" s="79" t="str">
        <f>+IFERROR(VLOOKUP(CONCATENATE(A531,$E$10,E531),'ID1&amp;5'!B:J,9,FALSE),"-")</f>
        <v>-</v>
      </c>
      <c r="U531" s="78" t="str">
        <f>+IFERROR(VLOOKUP(F531,'ID1&amp;5'!K:L,2,FALSE),"-")</f>
        <v>-</v>
      </c>
      <c r="V531" s="79" t="str">
        <f>+IFERROR(VLOOKUP(CONCATENATE(A531,$F$10,F531),'ID1&amp;5'!B:J,9,FALSE),"-")</f>
        <v>-</v>
      </c>
      <c r="W531" s="26" t="str">
        <f>+IFERROR(VLOOKUP(A531,'ID6&amp;7'!A:I,9,FALSE),"-")</f>
        <v>-</v>
      </c>
      <c r="X531" s="26" t="str">
        <f>+IFERROR(VLOOKUP(A531,'ID6&amp;7'!A:J,10,FALSE),"-")</f>
        <v>-</v>
      </c>
      <c r="Y531" s="26"/>
      <c r="Z531" s="27" t="str">
        <f t="shared" si="9"/>
        <v>Por iniciar</v>
      </c>
      <c r="AA531" s="65"/>
    </row>
    <row r="532" spans="1:27">
      <c r="A532" s="20"/>
      <c r="B532" s="60"/>
      <c r="C532" s="60"/>
      <c r="D532" s="60"/>
      <c r="E532" s="60"/>
      <c r="F532" s="60"/>
      <c r="G532" s="60"/>
      <c r="H532" s="65" t="s">
        <v>114</v>
      </c>
      <c r="I532" s="21" t="s">
        <v>703</v>
      </c>
      <c r="J532" s="26">
        <f>+COUNTIF('ID1&amp;5'!G:G,'1. Status'!I532)</f>
        <v>0</v>
      </c>
      <c r="K532" s="79" t="str">
        <f>+IFERROR(VLOOKUP(CONCATENATE(A532,$B$10,B532),'ID1&amp;5'!B:J,8,FALSE),"-")</f>
        <v>-</v>
      </c>
      <c r="L532" s="78" t="str">
        <f>+IFERROR(VLOOKUP(B532,'ID1&amp;5'!K:L,2,FALSE),"-")</f>
        <v>-</v>
      </c>
      <c r="M532" s="79" t="str">
        <f>+IFERROR(VLOOKUP(CONCATENATE(A532,$B$10,B532),'ID1&amp;5'!B:J,9,FALSE),"-")</f>
        <v>-</v>
      </c>
      <c r="N532" s="79" t="str">
        <f>+IFERROR(VLOOKUP(CONCATENATE(A532,$C$10,C532),'ID1&amp;5'!B:J,8,FALSE),"-")</f>
        <v>-</v>
      </c>
      <c r="O532" s="78" t="str">
        <f>+IFERROR(VLOOKUP(C532,'ID1&amp;5'!K:L,2,FALSE),"-")</f>
        <v>-</v>
      </c>
      <c r="P532" s="79" t="str">
        <f>+IFERROR(VLOOKUP(CONCATENATE(A532,$C$10,C532),'ID1&amp;5'!B:J,9,FALSE),"-")</f>
        <v>-</v>
      </c>
      <c r="Q532" s="78" t="str">
        <f>+IFERROR(VLOOKUP(D532,'ID1&amp;5'!K:L,2,FALSE),"-")</f>
        <v>-</v>
      </c>
      <c r="R532" s="26" t="str">
        <f>+IFERROR(VLOOKUP(CONCATENATE(A532,$D$10,D532),'ID1&amp;5'!B:J,9,FALSE),"-")</f>
        <v>-</v>
      </c>
      <c r="S532" s="78" t="str">
        <f>+IFERROR(VLOOKUP(E532,'ID1&amp;5'!K:L,2,FALSE),"-")</f>
        <v>-</v>
      </c>
      <c r="T532" s="79" t="str">
        <f>+IFERROR(VLOOKUP(CONCATENATE(A532,$E$10,E532),'ID1&amp;5'!B:J,9,FALSE),"-")</f>
        <v>-</v>
      </c>
      <c r="U532" s="78" t="str">
        <f>+IFERROR(VLOOKUP(F532,'ID1&amp;5'!K:L,2,FALSE),"-")</f>
        <v>-</v>
      </c>
      <c r="V532" s="79" t="str">
        <f>+IFERROR(VLOOKUP(CONCATENATE(A532,$F$10,F532),'ID1&amp;5'!B:J,9,FALSE),"-")</f>
        <v>-</v>
      </c>
      <c r="W532" s="26" t="str">
        <f>+IFERROR(VLOOKUP(A532,'ID6&amp;7'!A:I,9,FALSE),"-")</f>
        <v>-</v>
      </c>
      <c r="X532" s="26" t="str">
        <f>+IFERROR(VLOOKUP(A532,'ID6&amp;7'!A:J,10,FALSE),"-")</f>
        <v>-</v>
      </c>
      <c r="Y532" s="26"/>
      <c r="Z532" s="27" t="str">
        <f t="shared" si="9"/>
        <v>Por iniciar</v>
      </c>
      <c r="AA532" s="65"/>
    </row>
    <row r="533" spans="1:27">
      <c r="A533" s="20"/>
      <c r="B533" s="60"/>
      <c r="C533" s="60"/>
      <c r="D533" s="60"/>
      <c r="E533" s="60"/>
      <c r="F533" s="60"/>
      <c r="G533" s="60"/>
      <c r="H533" s="65" t="s">
        <v>114</v>
      </c>
      <c r="I533" s="21" t="s">
        <v>704</v>
      </c>
      <c r="J533" s="26">
        <f>+COUNTIF('ID1&amp;5'!G:G,'1. Status'!I533)</f>
        <v>0</v>
      </c>
      <c r="K533" s="79" t="str">
        <f>+IFERROR(VLOOKUP(CONCATENATE(A533,$B$10,B533),'ID1&amp;5'!B:J,8,FALSE),"-")</f>
        <v>-</v>
      </c>
      <c r="L533" s="78" t="str">
        <f>+IFERROR(VLOOKUP(B533,'ID1&amp;5'!K:L,2,FALSE),"-")</f>
        <v>-</v>
      </c>
      <c r="M533" s="79" t="str">
        <f>+IFERROR(VLOOKUP(CONCATENATE(A533,$B$10,B533),'ID1&amp;5'!B:J,9,FALSE),"-")</f>
        <v>-</v>
      </c>
      <c r="N533" s="79" t="str">
        <f>+IFERROR(VLOOKUP(CONCATENATE(A533,$C$10,C533),'ID1&amp;5'!B:J,8,FALSE),"-")</f>
        <v>-</v>
      </c>
      <c r="O533" s="78" t="str">
        <f>+IFERROR(VLOOKUP(C533,'ID1&amp;5'!K:L,2,FALSE),"-")</f>
        <v>-</v>
      </c>
      <c r="P533" s="79" t="str">
        <f>+IFERROR(VLOOKUP(CONCATENATE(A533,$C$10,C533),'ID1&amp;5'!B:J,9,FALSE),"-")</f>
        <v>-</v>
      </c>
      <c r="Q533" s="78" t="str">
        <f>+IFERROR(VLOOKUP(D533,'ID1&amp;5'!K:L,2,FALSE),"-")</f>
        <v>-</v>
      </c>
      <c r="R533" s="26" t="str">
        <f>+IFERROR(VLOOKUP(CONCATENATE(A533,$D$10,D533),'ID1&amp;5'!B:J,9,FALSE),"-")</f>
        <v>-</v>
      </c>
      <c r="S533" s="78" t="str">
        <f>+IFERROR(VLOOKUP(E533,'ID1&amp;5'!K:L,2,FALSE),"-")</f>
        <v>-</v>
      </c>
      <c r="T533" s="79" t="str">
        <f>+IFERROR(VLOOKUP(CONCATENATE(A533,$E$10,E533),'ID1&amp;5'!B:J,9,FALSE),"-")</f>
        <v>-</v>
      </c>
      <c r="U533" s="78" t="str">
        <f>+IFERROR(VLOOKUP(F533,'ID1&amp;5'!K:L,2,FALSE),"-")</f>
        <v>-</v>
      </c>
      <c r="V533" s="79" t="str">
        <f>+IFERROR(VLOOKUP(CONCATENATE(A533,$F$10,F533),'ID1&amp;5'!B:J,9,FALSE),"-")</f>
        <v>-</v>
      </c>
      <c r="W533" s="26" t="str">
        <f>+IFERROR(VLOOKUP(A533,'ID6&amp;7'!A:I,9,FALSE),"-")</f>
        <v>-</v>
      </c>
      <c r="X533" s="26" t="str">
        <f>+IFERROR(VLOOKUP(A533,'ID6&amp;7'!A:J,10,FALSE),"-")</f>
        <v>-</v>
      </c>
      <c r="Y533" s="26"/>
      <c r="Z533" s="27" t="str">
        <f t="shared" si="9"/>
        <v>Por iniciar</v>
      </c>
      <c r="AA533" s="65"/>
    </row>
    <row r="534" spans="1:27">
      <c r="A534" s="20"/>
      <c r="B534" s="60"/>
      <c r="C534" s="60"/>
      <c r="D534" s="60"/>
      <c r="E534" s="60"/>
      <c r="F534" s="60"/>
      <c r="G534" s="60"/>
      <c r="H534" s="65" t="s">
        <v>114</v>
      </c>
      <c r="I534" s="21" t="s">
        <v>705</v>
      </c>
      <c r="J534" s="26">
        <f>+COUNTIF('ID1&amp;5'!G:G,'1. Status'!I534)</f>
        <v>0</v>
      </c>
      <c r="K534" s="79" t="str">
        <f>+IFERROR(VLOOKUP(CONCATENATE(A534,$B$10,B534),'ID1&amp;5'!B:J,8,FALSE),"-")</f>
        <v>-</v>
      </c>
      <c r="L534" s="78" t="str">
        <f>+IFERROR(VLOOKUP(B534,'ID1&amp;5'!K:L,2,FALSE),"-")</f>
        <v>-</v>
      </c>
      <c r="M534" s="79" t="str">
        <f>+IFERROR(VLOOKUP(CONCATENATE(A534,$B$10,B534),'ID1&amp;5'!B:J,9,FALSE),"-")</f>
        <v>-</v>
      </c>
      <c r="N534" s="79" t="str">
        <f>+IFERROR(VLOOKUP(CONCATENATE(A534,$C$10,C534),'ID1&amp;5'!B:J,8,FALSE),"-")</f>
        <v>-</v>
      </c>
      <c r="O534" s="78" t="str">
        <f>+IFERROR(VLOOKUP(C534,'ID1&amp;5'!K:L,2,FALSE),"-")</f>
        <v>-</v>
      </c>
      <c r="P534" s="79" t="str">
        <f>+IFERROR(VLOOKUP(CONCATENATE(A534,$C$10,C534),'ID1&amp;5'!B:J,9,FALSE),"-")</f>
        <v>-</v>
      </c>
      <c r="Q534" s="78" t="str">
        <f>+IFERROR(VLOOKUP(D534,'ID1&amp;5'!K:L,2,FALSE),"-")</f>
        <v>-</v>
      </c>
      <c r="R534" s="26" t="str">
        <f>+IFERROR(VLOOKUP(CONCATENATE(A534,$D$10,D534),'ID1&amp;5'!B:J,9,FALSE),"-")</f>
        <v>-</v>
      </c>
      <c r="S534" s="78" t="str">
        <f>+IFERROR(VLOOKUP(E534,'ID1&amp;5'!K:L,2,FALSE),"-")</f>
        <v>-</v>
      </c>
      <c r="T534" s="79" t="str">
        <f>+IFERROR(VLOOKUP(CONCATENATE(A534,$E$10,E534),'ID1&amp;5'!B:J,9,FALSE),"-")</f>
        <v>-</v>
      </c>
      <c r="U534" s="78" t="str">
        <f>+IFERROR(VLOOKUP(F534,'ID1&amp;5'!K:L,2,FALSE),"-")</f>
        <v>-</v>
      </c>
      <c r="V534" s="79" t="str">
        <f>+IFERROR(VLOOKUP(CONCATENATE(A534,$F$10,F534),'ID1&amp;5'!B:J,9,FALSE),"-")</f>
        <v>-</v>
      </c>
      <c r="W534" s="26" t="str">
        <f>+IFERROR(VLOOKUP(A534,'ID6&amp;7'!A:I,9,FALSE),"-")</f>
        <v>-</v>
      </c>
      <c r="X534" s="26" t="str">
        <f>+IFERROR(VLOOKUP(A534,'ID6&amp;7'!A:J,10,FALSE),"-")</f>
        <v>-</v>
      </c>
      <c r="Y534" s="26"/>
      <c r="Z534" s="27" t="str">
        <f t="shared" si="9"/>
        <v>Por iniciar</v>
      </c>
      <c r="AA534" s="65"/>
    </row>
    <row r="535" spans="1:27">
      <c r="A535" s="20"/>
      <c r="B535" s="60"/>
      <c r="C535" s="60"/>
      <c r="D535" s="60"/>
      <c r="E535" s="60"/>
      <c r="F535" s="60"/>
      <c r="G535" s="60"/>
      <c r="H535" s="65" t="s">
        <v>114</v>
      </c>
      <c r="I535" s="21" t="s">
        <v>706</v>
      </c>
      <c r="J535" s="26">
        <f>+COUNTIF('ID1&amp;5'!G:G,'1. Status'!I535)</f>
        <v>0</v>
      </c>
      <c r="K535" s="79" t="str">
        <f>+IFERROR(VLOOKUP(CONCATENATE(A535,$B$10,B535),'ID1&amp;5'!B:J,8,FALSE),"-")</f>
        <v>-</v>
      </c>
      <c r="L535" s="78" t="str">
        <f>+IFERROR(VLOOKUP(B535,'ID1&amp;5'!K:L,2,FALSE),"-")</f>
        <v>-</v>
      </c>
      <c r="M535" s="79" t="str">
        <f>+IFERROR(VLOOKUP(CONCATENATE(A535,$B$10,B535),'ID1&amp;5'!B:J,9,FALSE),"-")</f>
        <v>-</v>
      </c>
      <c r="N535" s="79" t="str">
        <f>+IFERROR(VLOOKUP(CONCATENATE(A535,$C$10,C535),'ID1&amp;5'!B:J,8,FALSE),"-")</f>
        <v>-</v>
      </c>
      <c r="O535" s="78" t="str">
        <f>+IFERROR(VLOOKUP(C535,'ID1&amp;5'!K:L,2,FALSE),"-")</f>
        <v>-</v>
      </c>
      <c r="P535" s="79" t="str">
        <f>+IFERROR(VLOOKUP(CONCATENATE(A535,$C$10,C535),'ID1&amp;5'!B:J,9,FALSE),"-")</f>
        <v>-</v>
      </c>
      <c r="Q535" s="78" t="str">
        <f>+IFERROR(VLOOKUP(D535,'ID1&amp;5'!K:L,2,FALSE),"-")</f>
        <v>-</v>
      </c>
      <c r="R535" s="26" t="str">
        <f>+IFERROR(VLOOKUP(CONCATENATE(A535,$D$10,D535),'ID1&amp;5'!B:J,9,FALSE),"-")</f>
        <v>-</v>
      </c>
      <c r="S535" s="78" t="str">
        <f>+IFERROR(VLOOKUP(E535,'ID1&amp;5'!K:L,2,FALSE),"-")</f>
        <v>-</v>
      </c>
      <c r="T535" s="79" t="str">
        <f>+IFERROR(VLOOKUP(CONCATENATE(A535,$E$10,E535),'ID1&amp;5'!B:J,9,FALSE),"-")</f>
        <v>-</v>
      </c>
      <c r="U535" s="78" t="str">
        <f>+IFERROR(VLOOKUP(F535,'ID1&amp;5'!K:L,2,FALSE),"-")</f>
        <v>-</v>
      </c>
      <c r="V535" s="79" t="str">
        <f>+IFERROR(VLOOKUP(CONCATENATE(A535,$F$10,F535),'ID1&amp;5'!B:J,9,FALSE),"-")</f>
        <v>-</v>
      </c>
      <c r="W535" s="26" t="str">
        <f>+IFERROR(VLOOKUP(A535,'ID6&amp;7'!A:I,9,FALSE),"-")</f>
        <v>-</v>
      </c>
      <c r="X535" s="26" t="str">
        <f>+IFERROR(VLOOKUP(A535,'ID6&amp;7'!A:J,10,FALSE),"-")</f>
        <v>-</v>
      </c>
      <c r="Y535" s="26"/>
      <c r="Z535" s="27" t="str">
        <f t="shared" si="9"/>
        <v>Por iniciar</v>
      </c>
      <c r="AA535" s="65"/>
    </row>
    <row r="536" spans="1:27">
      <c r="A536" s="20"/>
      <c r="B536" s="60"/>
      <c r="C536" s="60"/>
      <c r="D536" s="60"/>
      <c r="E536" s="60"/>
      <c r="F536" s="60"/>
      <c r="G536" s="60"/>
      <c r="H536" s="65" t="s">
        <v>114</v>
      </c>
      <c r="I536" s="21" t="s">
        <v>707</v>
      </c>
      <c r="J536" s="26">
        <f>+COUNTIF('ID1&amp;5'!G:G,'1. Status'!I536)</f>
        <v>0</v>
      </c>
      <c r="K536" s="79" t="str">
        <f>+IFERROR(VLOOKUP(CONCATENATE(A536,$B$10,B536),'ID1&amp;5'!B:J,8,FALSE),"-")</f>
        <v>-</v>
      </c>
      <c r="L536" s="78" t="str">
        <f>+IFERROR(VLOOKUP(B536,'ID1&amp;5'!K:L,2,FALSE),"-")</f>
        <v>-</v>
      </c>
      <c r="M536" s="79" t="str">
        <f>+IFERROR(VLOOKUP(CONCATENATE(A536,$B$10,B536),'ID1&amp;5'!B:J,9,FALSE),"-")</f>
        <v>-</v>
      </c>
      <c r="N536" s="79" t="str">
        <f>+IFERROR(VLOOKUP(CONCATENATE(A536,$C$10,C536),'ID1&amp;5'!B:J,8,FALSE),"-")</f>
        <v>-</v>
      </c>
      <c r="O536" s="78" t="str">
        <f>+IFERROR(VLOOKUP(C536,'ID1&amp;5'!K:L,2,FALSE),"-")</f>
        <v>-</v>
      </c>
      <c r="P536" s="79" t="str">
        <f>+IFERROR(VLOOKUP(CONCATENATE(A536,$C$10,C536),'ID1&amp;5'!B:J,9,FALSE),"-")</f>
        <v>-</v>
      </c>
      <c r="Q536" s="78" t="str">
        <f>+IFERROR(VLOOKUP(D536,'ID1&amp;5'!K:L,2,FALSE),"-")</f>
        <v>-</v>
      </c>
      <c r="R536" s="26" t="str">
        <f>+IFERROR(VLOOKUP(CONCATENATE(A536,$D$10,D536),'ID1&amp;5'!B:J,9,FALSE),"-")</f>
        <v>-</v>
      </c>
      <c r="S536" s="78" t="str">
        <f>+IFERROR(VLOOKUP(E536,'ID1&amp;5'!K:L,2,FALSE),"-")</f>
        <v>-</v>
      </c>
      <c r="T536" s="79" t="str">
        <f>+IFERROR(VLOOKUP(CONCATENATE(A536,$E$10,E536),'ID1&amp;5'!B:J,9,FALSE),"-")</f>
        <v>-</v>
      </c>
      <c r="U536" s="78" t="str">
        <f>+IFERROR(VLOOKUP(F536,'ID1&amp;5'!K:L,2,FALSE),"-")</f>
        <v>-</v>
      </c>
      <c r="V536" s="79" t="str">
        <f>+IFERROR(VLOOKUP(CONCATENATE(A536,$F$10,F536),'ID1&amp;5'!B:J,9,FALSE),"-")</f>
        <v>-</v>
      </c>
      <c r="W536" s="26" t="str">
        <f>+IFERROR(VLOOKUP(A536,'ID6&amp;7'!A:I,9,FALSE),"-")</f>
        <v>-</v>
      </c>
      <c r="X536" s="26" t="str">
        <f>+IFERROR(VLOOKUP(A536,'ID6&amp;7'!A:J,10,FALSE),"-")</f>
        <v>-</v>
      </c>
      <c r="Y536" s="26"/>
      <c r="Z536" s="27" t="str">
        <f t="shared" si="9"/>
        <v>Por iniciar</v>
      </c>
      <c r="AA536" s="65"/>
    </row>
    <row r="537" spans="1:27">
      <c r="A537" s="20"/>
      <c r="B537" s="60"/>
      <c r="C537" s="60"/>
      <c r="D537" s="60"/>
      <c r="E537" s="60"/>
      <c r="F537" s="60"/>
      <c r="G537" s="60"/>
      <c r="H537" s="65" t="s">
        <v>114</v>
      </c>
      <c r="I537" s="21" t="s">
        <v>708</v>
      </c>
      <c r="J537" s="26">
        <f>+COUNTIF('ID1&amp;5'!G:G,'1. Status'!I537)</f>
        <v>0</v>
      </c>
      <c r="K537" s="79" t="str">
        <f>+IFERROR(VLOOKUP(CONCATENATE(A537,$B$10,B537),'ID1&amp;5'!B:J,8,FALSE),"-")</f>
        <v>-</v>
      </c>
      <c r="L537" s="78" t="str">
        <f>+IFERROR(VLOOKUP(B537,'ID1&amp;5'!K:L,2,FALSE),"-")</f>
        <v>-</v>
      </c>
      <c r="M537" s="79" t="str">
        <f>+IFERROR(VLOOKUP(CONCATENATE(A537,$B$10,B537),'ID1&amp;5'!B:J,9,FALSE),"-")</f>
        <v>-</v>
      </c>
      <c r="N537" s="79" t="str">
        <f>+IFERROR(VLOOKUP(CONCATENATE(A537,$C$10,C537),'ID1&amp;5'!B:J,8,FALSE),"-")</f>
        <v>-</v>
      </c>
      <c r="O537" s="78" t="str">
        <f>+IFERROR(VLOOKUP(C537,'ID1&amp;5'!K:L,2,FALSE),"-")</f>
        <v>-</v>
      </c>
      <c r="P537" s="79" t="str">
        <f>+IFERROR(VLOOKUP(CONCATENATE(A537,$C$10,C537),'ID1&amp;5'!B:J,9,FALSE),"-")</f>
        <v>-</v>
      </c>
      <c r="Q537" s="78" t="str">
        <f>+IFERROR(VLOOKUP(D537,'ID1&amp;5'!K:L,2,FALSE),"-")</f>
        <v>-</v>
      </c>
      <c r="R537" s="26" t="str">
        <f>+IFERROR(VLOOKUP(CONCATENATE(A537,$D$10,D537),'ID1&amp;5'!B:J,9,FALSE),"-")</f>
        <v>-</v>
      </c>
      <c r="S537" s="78" t="str">
        <f>+IFERROR(VLOOKUP(E537,'ID1&amp;5'!K:L,2,FALSE),"-")</f>
        <v>-</v>
      </c>
      <c r="T537" s="79" t="str">
        <f>+IFERROR(VLOOKUP(CONCATENATE(A537,$E$10,E537),'ID1&amp;5'!B:J,9,FALSE),"-")</f>
        <v>-</v>
      </c>
      <c r="U537" s="78" t="str">
        <f>+IFERROR(VLOOKUP(F537,'ID1&amp;5'!K:L,2,FALSE),"-")</f>
        <v>-</v>
      </c>
      <c r="V537" s="79" t="str">
        <f>+IFERROR(VLOOKUP(CONCATENATE(A537,$F$10,F537),'ID1&amp;5'!B:J,9,FALSE),"-")</f>
        <v>-</v>
      </c>
      <c r="W537" s="26" t="str">
        <f>+IFERROR(VLOOKUP(A537,'ID6&amp;7'!A:I,9,FALSE),"-")</f>
        <v>-</v>
      </c>
      <c r="X537" s="26" t="str">
        <f>+IFERROR(VLOOKUP(A537,'ID6&amp;7'!A:J,10,FALSE),"-")</f>
        <v>-</v>
      </c>
      <c r="Y537" s="26"/>
      <c r="Z537" s="27" t="str">
        <f t="shared" si="9"/>
        <v>Por iniciar</v>
      </c>
      <c r="AA537" s="65"/>
    </row>
    <row r="538" spans="1:27">
      <c r="A538" s="20"/>
      <c r="B538" s="60"/>
      <c r="C538" s="60"/>
      <c r="D538" s="60"/>
      <c r="E538" s="60"/>
      <c r="F538" s="60"/>
      <c r="G538" s="60"/>
      <c r="H538" s="65" t="s">
        <v>114</v>
      </c>
      <c r="I538" s="21" t="s">
        <v>709</v>
      </c>
      <c r="J538" s="26">
        <f>+COUNTIF('ID1&amp;5'!G:G,'1. Status'!I538)</f>
        <v>0</v>
      </c>
      <c r="K538" s="79" t="str">
        <f>+IFERROR(VLOOKUP(CONCATENATE(A538,$B$10,B538),'ID1&amp;5'!B:J,8,FALSE),"-")</f>
        <v>-</v>
      </c>
      <c r="L538" s="78" t="str">
        <f>+IFERROR(VLOOKUP(B538,'ID1&amp;5'!K:L,2,FALSE),"-")</f>
        <v>-</v>
      </c>
      <c r="M538" s="79" t="str">
        <f>+IFERROR(VLOOKUP(CONCATENATE(A538,$B$10,B538),'ID1&amp;5'!B:J,9,FALSE),"-")</f>
        <v>-</v>
      </c>
      <c r="N538" s="79" t="str">
        <f>+IFERROR(VLOOKUP(CONCATENATE(A538,$C$10,C538),'ID1&amp;5'!B:J,8,FALSE),"-")</f>
        <v>-</v>
      </c>
      <c r="O538" s="78" t="str">
        <f>+IFERROR(VLOOKUP(C538,'ID1&amp;5'!K:L,2,FALSE),"-")</f>
        <v>-</v>
      </c>
      <c r="P538" s="79" t="str">
        <f>+IFERROR(VLOOKUP(CONCATENATE(A538,$C$10,C538),'ID1&amp;5'!B:J,9,FALSE),"-")</f>
        <v>-</v>
      </c>
      <c r="Q538" s="78" t="str">
        <f>+IFERROR(VLOOKUP(D538,'ID1&amp;5'!K:L,2,FALSE),"-")</f>
        <v>-</v>
      </c>
      <c r="R538" s="26" t="str">
        <f>+IFERROR(VLOOKUP(CONCATENATE(A538,$D$10,D538),'ID1&amp;5'!B:J,9,FALSE),"-")</f>
        <v>-</v>
      </c>
      <c r="S538" s="78" t="str">
        <f>+IFERROR(VLOOKUP(E538,'ID1&amp;5'!K:L,2,FALSE),"-")</f>
        <v>-</v>
      </c>
      <c r="T538" s="79" t="str">
        <f>+IFERROR(VLOOKUP(CONCATENATE(A538,$E$10,E538),'ID1&amp;5'!B:J,9,FALSE),"-")</f>
        <v>-</v>
      </c>
      <c r="U538" s="78" t="str">
        <f>+IFERROR(VLOOKUP(F538,'ID1&amp;5'!K:L,2,FALSE),"-")</f>
        <v>-</v>
      </c>
      <c r="V538" s="79" t="str">
        <f>+IFERROR(VLOOKUP(CONCATENATE(A538,$F$10,F538),'ID1&amp;5'!B:J,9,FALSE),"-")</f>
        <v>-</v>
      </c>
      <c r="W538" s="26" t="str">
        <f>+IFERROR(VLOOKUP(A538,'ID6&amp;7'!A:I,9,FALSE),"-")</f>
        <v>-</v>
      </c>
      <c r="X538" s="26" t="str">
        <f>+IFERROR(VLOOKUP(A538,'ID6&amp;7'!A:J,10,FALSE),"-")</f>
        <v>-</v>
      </c>
      <c r="Y538" s="26"/>
      <c r="Z538" s="27" t="str">
        <f t="shared" si="9"/>
        <v>Por iniciar</v>
      </c>
      <c r="AA538" s="65"/>
    </row>
    <row r="539" spans="1:27">
      <c r="A539" s="20"/>
      <c r="B539" s="60"/>
      <c r="C539" s="60"/>
      <c r="D539" s="60"/>
      <c r="E539" s="60"/>
      <c r="F539" s="60"/>
      <c r="G539" s="60"/>
      <c r="H539" s="65" t="s">
        <v>114</v>
      </c>
      <c r="I539" s="21" t="s">
        <v>710</v>
      </c>
      <c r="J539" s="26">
        <f>+COUNTIF('ID1&amp;5'!G:G,'1. Status'!I539)</f>
        <v>0</v>
      </c>
      <c r="K539" s="79" t="str">
        <f>+IFERROR(VLOOKUP(CONCATENATE(A539,$B$10,B539),'ID1&amp;5'!B:J,8,FALSE),"-")</f>
        <v>-</v>
      </c>
      <c r="L539" s="78" t="str">
        <f>+IFERROR(VLOOKUP(B539,'ID1&amp;5'!K:L,2,FALSE),"-")</f>
        <v>-</v>
      </c>
      <c r="M539" s="79" t="str">
        <f>+IFERROR(VLOOKUP(CONCATENATE(A539,$B$10,B539),'ID1&amp;5'!B:J,9,FALSE),"-")</f>
        <v>-</v>
      </c>
      <c r="N539" s="79" t="str">
        <f>+IFERROR(VLOOKUP(CONCATENATE(A539,$C$10,C539),'ID1&amp;5'!B:J,8,FALSE),"-")</f>
        <v>-</v>
      </c>
      <c r="O539" s="78" t="str">
        <f>+IFERROR(VLOOKUP(C539,'ID1&amp;5'!K:L,2,FALSE),"-")</f>
        <v>-</v>
      </c>
      <c r="P539" s="79" t="str">
        <f>+IFERROR(VLOOKUP(CONCATENATE(A539,$C$10,C539),'ID1&amp;5'!B:J,9,FALSE),"-")</f>
        <v>-</v>
      </c>
      <c r="Q539" s="78" t="str">
        <f>+IFERROR(VLOOKUP(D539,'ID1&amp;5'!K:L,2,FALSE),"-")</f>
        <v>-</v>
      </c>
      <c r="R539" s="26" t="str">
        <f>+IFERROR(VLOOKUP(CONCATENATE(A539,$D$10,D539),'ID1&amp;5'!B:J,9,FALSE),"-")</f>
        <v>-</v>
      </c>
      <c r="S539" s="78" t="str">
        <f>+IFERROR(VLOOKUP(E539,'ID1&amp;5'!K:L,2,FALSE),"-")</f>
        <v>-</v>
      </c>
      <c r="T539" s="79" t="str">
        <f>+IFERROR(VLOOKUP(CONCATENATE(A539,$E$10,E539),'ID1&amp;5'!B:J,9,FALSE),"-")</f>
        <v>-</v>
      </c>
      <c r="U539" s="78" t="str">
        <f>+IFERROR(VLOOKUP(F539,'ID1&amp;5'!K:L,2,FALSE),"-")</f>
        <v>-</v>
      </c>
      <c r="V539" s="79" t="str">
        <f>+IFERROR(VLOOKUP(CONCATENATE(A539,$F$10,F539),'ID1&amp;5'!B:J,9,FALSE),"-")</f>
        <v>-</v>
      </c>
      <c r="W539" s="26" t="str">
        <f>+IFERROR(VLOOKUP(A539,'ID6&amp;7'!A:I,9,FALSE),"-")</f>
        <v>-</v>
      </c>
      <c r="X539" s="26" t="str">
        <f>+IFERROR(VLOOKUP(A539,'ID6&amp;7'!A:J,10,FALSE),"-")</f>
        <v>-</v>
      </c>
      <c r="Y539" s="26"/>
      <c r="Z539" s="27" t="str">
        <f t="shared" si="9"/>
        <v>Por iniciar</v>
      </c>
      <c r="AA539" s="65"/>
    </row>
    <row r="540" spans="1:27">
      <c r="A540" s="20"/>
      <c r="B540" s="60"/>
      <c r="C540" s="60"/>
      <c r="D540" s="60"/>
      <c r="E540" s="60"/>
      <c r="F540" s="60"/>
      <c r="G540" s="60"/>
      <c r="H540" s="65" t="s">
        <v>114</v>
      </c>
      <c r="I540" s="21" t="s">
        <v>711</v>
      </c>
      <c r="J540" s="26">
        <f>+COUNTIF('ID1&amp;5'!G:G,'1. Status'!I540)</f>
        <v>0</v>
      </c>
      <c r="K540" s="79" t="str">
        <f>+IFERROR(VLOOKUP(CONCATENATE(A540,$B$10,B540),'ID1&amp;5'!B:J,8,FALSE),"-")</f>
        <v>-</v>
      </c>
      <c r="L540" s="78" t="str">
        <f>+IFERROR(VLOOKUP(B540,'ID1&amp;5'!K:L,2,FALSE),"-")</f>
        <v>-</v>
      </c>
      <c r="M540" s="79" t="str">
        <f>+IFERROR(VLOOKUP(CONCATENATE(A540,$B$10,B540),'ID1&amp;5'!B:J,9,FALSE),"-")</f>
        <v>-</v>
      </c>
      <c r="N540" s="79" t="str">
        <f>+IFERROR(VLOOKUP(CONCATENATE(A540,$C$10,C540),'ID1&amp;5'!B:J,8,FALSE),"-")</f>
        <v>-</v>
      </c>
      <c r="O540" s="78" t="str">
        <f>+IFERROR(VLOOKUP(C540,'ID1&amp;5'!K:L,2,FALSE),"-")</f>
        <v>-</v>
      </c>
      <c r="P540" s="79" t="str">
        <f>+IFERROR(VLOOKUP(CONCATENATE(A540,$C$10,C540),'ID1&amp;5'!B:J,9,FALSE),"-")</f>
        <v>-</v>
      </c>
      <c r="Q540" s="78" t="str">
        <f>+IFERROR(VLOOKUP(D540,'ID1&amp;5'!K:L,2,FALSE),"-")</f>
        <v>-</v>
      </c>
      <c r="R540" s="26" t="str">
        <f>+IFERROR(VLOOKUP(CONCATENATE(A540,$D$10,D540),'ID1&amp;5'!B:J,9,FALSE),"-")</f>
        <v>-</v>
      </c>
      <c r="S540" s="78" t="str">
        <f>+IFERROR(VLOOKUP(E540,'ID1&amp;5'!K:L,2,FALSE),"-")</f>
        <v>-</v>
      </c>
      <c r="T540" s="79" t="str">
        <f>+IFERROR(VLOOKUP(CONCATENATE(A540,$E$10,E540),'ID1&amp;5'!B:J,9,FALSE),"-")</f>
        <v>-</v>
      </c>
      <c r="U540" s="78" t="str">
        <f>+IFERROR(VLOOKUP(F540,'ID1&amp;5'!K:L,2,FALSE),"-")</f>
        <v>-</v>
      </c>
      <c r="V540" s="79" t="str">
        <f>+IFERROR(VLOOKUP(CONCATENATE(A540,$F$10,F540),'ID1&amp;5'!B:J,9,FALSE),"-")</f>
        <v>-</v>
      </c>
      <c r="W540" s="26" t="str">
        <f>+IFERROR(VLOOKUP(A540,'ID6&amp;7'!A:I,9,FALSE),"-")</f>
        <v>-</v>
      </c>
      <c r="X540" s="26" t="str">
        <f>+IFERROR(VLOOKUP(A540,'ID6&amp;7'!A:J,10,FALSE),"-")</f>
        <v>-</v>
      </c>
      <c r="Y540" s="26"/>
      <c r="Z540" s="27" t="str">
        <f t="shared" si="9"/>
        <v>Por iniciar</v>
      </c>
      <c r="AA540" s="65"/>
    </row>
    <row r="541" spans="1:27">
      <c r="A541" s="20"/>
      <c r="B541" s="60"/>
      <c r="C541" s="60"/>
      <c r="D541" s="60"/>
      <c r="E541" s="60"/>
      <c r="F541" s="60"/>
      <c r="G541" s="60"/>
      <c r="H541" s="65" t="s">
        <v>114</v>
      </c>
      <c r="I541" s="21" t="s">
        <v>712</v>
      </c>
      <c r="J541" s="26">
        <f>+COUNTIF('ID1&amp;5'!G:G,'1. Status'!I541)</f>
        <v>0</v>
      </c>
      <c r="K541" s="79" t="str">
        <f>+IFERROR(VLOOKUP(CONCATENATE(A541,$B$10,B541),'ID1&amp;5'!B:J,8,FALSE),"-")</f>
        <v>-</v>
      </c>
      <c r="L541" s="78" t="str">
        <f>+IFERROR(VLOOKUP(B541,'ID1&amp;5'!K:L,2,FALSE),"-")</f>
        <v>-</v>
      </c>
      <c r="M541" s="79" t="str">
        <f>+IFERROR(VLOOKUP(CONCATENATE(A541,$B$10,B541),'ID1&amp;5'!B:J,9,FALSE),"-")</f>
        <v>-</v>
      </c>
      <c r="N541" s="79" t="str">
        <f>+IFERROR(VLOOKUP(CONCATENATE(A541,$C$10,C541),'ID1&amp;5'!B:J,8,FALSE),"-")</f>
        <v>-</v>
      </c>
      <c r="O541" s="78" t="str">
        <f>+IFERROR(VLOOKUP(C541,'ID1&amp;5'!K:L,2,FALSE),"-")</f>
        <v>-</v>
      </c>
      <c r="P541" s="79" t="str">
        <f>+IFERROR(VLOOKUP(CONCATENATE(A541,$C$10,C541),'ID1&amp;5'!B:J,9,FALSE),"-")</f>
        <v>-</v>
      </c>
      <c r="Q541" s="78" t="str">
        <f>+IFERROR(VLOOKUP(D541,'ID1&amp;5'!K:L,2,FALSE),"-")</f>
        <v>-</v>
      </c>
      <c r="R541" s="26" t="str">
        <f>+IFERROR(VLOOKUP(CONCATENATE(A541,$D$10,D541),'ID1&amp;5'!B:J,9,FALSE),"-")</f>
        <v>-</v>
      </c>
      <c r="S541" s="78" t="str">
        <f>+IFERROR(VLOOKUP(E541,'ID1&amp;5'!K:L,2,FALSE),"-")</f>
        <v>-</v>
      </c>
      <c r="T541" s="79" t="str">
        <f>+IFERROR(VLOOKUP(CONCATENATE(A541,$E$10,E541),'ID1&amp;5'!B:J,9,FALSE),"-")</f>
        <v>-</v>
      </c>
      <c r="U541" s="78" t="str">
        <f>+IFERROR(VLOOKUP(F541,'ID1&amp;5'!K:L,2,FALSE),"-")</f>
        <v>-</v>
      </c>
      <c r="V541" s="79" t="str">
        <f>+IFERROR(VLOOKUP(CONCATENATE(A541,$F$10,F541),'ID1&amp;5'!B:J,9,FALSE),"-")</f>
        <v>-</v>
      </c>
      <c r="W541" s="26" t="str">
        <f>+IFERROR(VLOOKUP(A541,'ID6&amp;7'!A:I,9,FALSE),"-")</f>
        <v>-</v>
      </c>
      <c r="X541" s="26" t="str">
        <f>+IFERROR(VLOOKUP(A541,'ID6&amp;7'!A:J,10,FALSE),"-")</f>
        <v>-</v>
      </c>
      <c r="Y541" s="26"/>
      <c r="Z541" s="27" t="str">
        <f t="shared" si="9"/>
        <v>Por iniciar</v>
      </c>
      <c r="AA541" s="65"/>
    </row>
    <row r="542" spans="1:27">
      <c r="A542" s="20"/>
      <c r="B542" s="60"/>
      <c r="C542" s="60"/>
      <c r="D542" s="60"/>
      <c r="E542" s="60"/>
      <c r="F542" s="60"/>
      <c r="G542" s="60"/>
      <c r="H542" s="65" t="s">
        <v>114</v>
      </c>
      <c r="I542" s="21" t="s">
        <v>713</v>
      </c>
      <c r="J542" s="26">
        <f>+COUNTIF('ID1&amp;5'!G:G,'1. Status'!I542)</f>
        <v>0</v>
      </c>
      <c r="K542" s="79" t="str">
        <f>+IFERROR(VLOOKUP(CONCATENATE(A542,$B$10,B542),'ID1&amp;5'!B:J,8,FALSE),"-")</f>
        <v>-</v>
      </c>
      <c r="L542" s="78" t="str">
        <f>+IFERROR(VLOOKUP(B542,'ID1&amp;5'!K:L,2,FALSE),"-")</f>
        <v>-</v>
      </c>
      <c r="M542" s="79" t="str">
        <f>+IFERROR(VLOOKUP(CONCATENATE(A542,$B$10,B542),'ID1&amp;5'!B:J,9,FALSE),"-")</f>
        <v>-</v>
      </c>
      <c r="N542" s="79" t="str">
        <f>+IFERROR(VLOOKUP(CONCATENATE(A542,$C$10,C542),'ID1&amp;5'!B:J,8,FALSE),"-")</f>
        <v>-</v>
      </c>
      <c r="O542" s="78" t="str">
        <f>+IFERROR(VLOOKUP(C542,'ID1&amp;5'!K:L,2,FALSE),"-")</f>
        <v>-</v>
      </c>
      <c r="P542" s="79" t="str">
        <f>+IFERROR(VLOOKUP(CONCATENATE(A542,$C$10,C542),'ID1&amp;5'!B:J,9,FALSE),"-")</f>
        <v>-</v>
      </c>
      <c r="Q542" s="78" t="str">
        <f>+IFERROR(VLOOKUP(D542,'ID1&amp;5'!K:L,2,FALSE),"-")</f>
        <v>-</v>
      </c>
      <c r="R542" s="26" t="str">
        <f>+IFERROR(VLOOKUP(CONCATENATE(A542,$D$10,D542),'ID1&amp;5'!B:J,9,FALSE),"-")</f>
        <v>-</v>
      </c>
      <c r="S542" s="78" t="str">
        <f>+IFERROR(VLOOKUP(E542,'ID1&amp;5'!K:L,2,FALSE),"-")</f>
        <v>-</v>
      </c>
      <c r="T542" s="79" t="str">
        <f>+IFERROR(VLOOKUP(CONCATENATE(A542,$E$10,E542),'ID1&amp;5'!B:J,9,FALSE),"-")</f>
        <v>-</v>
      </c>
      <c r="U542" s="78" t="str">
        <f>+IFERROR(VLOOKUP(F542,'ID1&amp;5'!K:L,2,FALSE),"-")</f>
        <v>-</v>
      </c>
      <c r="V542" s="79" t="str">
        <f>+IFERROR(VLOOKUP(CONCATENATE(A542,$F$10,F542),'ID1&amp;5'!B:J,9,FALSE),"-")</f>
        <v>-</v>
      </c>
      <c r="W542" s="26" t="str">
        <f>+IFERROR(VLOOKUP(A542,'ID6&amp;7'!A:I,9,FALSE),"-")</f>
        <v>-</v>
      </c>
      <c r="X542" s="26" t="str">
        <f>+IFERROR(VLOOKUP(A542,'ID6&amp;7'!A:J,10,FALSE),"-")</f>
        <v>-</v>
      </c>
      <c r="Y542" s="26"/>
      <c r="Z542" s="27" t="str">
        <f t="shared" si="9"/>
        <v>Por iniciar</v>
      </c>
      <c r="AA542" s="65"/>
    </row>
    <row r="543" spans="1:27">
      <c r="A543" s="20"/>
      <c r="B543" s="60"/>
      <c r="C543" s="60"/>
      <c r="D543" s="60"/>
      <c r="E543" s="60"/>
      <c r="F543" s="60"/>
      <c r="G543" s="60"/>
      <c r="H543" s="65" t="s">
        <v>114</v>
      </c>
      <c r="I543" s="21" t="s">
        <v>714</v>
      </c>
      <c r="J543" s="26">
        <f>+COUNTIF('ID1&amp;5'!G:G,'1. Status'!I543)</f>
        <v>0</v>
      </c>
      <c r="K543" s="79" t="str">
        <f>+IFERROR(VLOOKUP(CONCATENATE(A543,$B$10,B543),'ID1&amp;5'!B:J,8,FALSE),"-")</f>
        <v>-</v>
      </c>
      <c r="L543" s="78" t="str">
        <f>+IFERROR(VLOOKUP(B543,'ID1&amp;5'!K:L,2,FALSE),"-")</f>
        <v>-</v>
      </c>
      <c r="M543" s="79" t="str">
        <f>+IFERROR(VLOOKUP(CONCATENATE(A543,$B$10,B543),'ID1&amp;5'!B:J,9,FALSE),"-")</f>
        <v>-</v>
      </c>
      <c r="N543" s="79" t="str">
        <f>+IFERROR(VLOOKUP(CONCATENATE(A543,$C$10,C543),'ID1&amp;5'!B:J,8,FALSE),"-")</f>
        <v>-</v>
      </c>
      <c r="O543" s="78" t="str">
        <f>+IFERROR(VLOOKUP(C543,'ID1&amp;5'!K:L,2,FALSE),"-")</f>
        <v>-</v>
      </c>
      <c r="P543" s="79" t="str">
        <f>+IFERROR(VLOOKUP(CONCATENATE(A543,$C$10,C543),'ID1&amp;5'!B:J,9,FALSE),"-")</f>
        <v>-</v>
      </c>
      <c r="Q543" s="78" t="str">
        <f>+IFERROR(VLOOKUP(D543,'ID1&amp;5'!K:L,2,FALSE),"-")</f>
        <v>-</v>
      </c>
      <c r="R543" s="26" t="str">
        <f>+IFERROR(VLOOKUP(CONCATENATE(A543,$D$10,D543),'ID1&amp;5'!B:J,9,FALSE),"-")</f>
        <v>-</v>
      </c>
      <c r="S543" s="78" t="str">
        <f>+IFERROR(VLOOKUP(E543,'ID1&amp;5'!K:L,2,FALSE),"-")</f>
        <v>-</v>
      </c>
      <c r="T543" s="79" t="str">
        <f>+IFERROR(VLOOKUP(CONCATENATE(A543,$E$10,E543),'ID1&amp;5'!B:J,9,FALSE),"-")</f>
        <v>-</v>
      </c>
      <c r="U543" s="78" t="str">
        <f>+IFERROR(VLOOKUP(F543,'ID1&amp;5'!K:L,2,FALSE),"-")</f>
        <v>-</v>
      </c>
      <c r="V543" s="79" t="str">
        <f>+IFERROR(VLOOKUP(CONCATENATE(A543,$F$10,F543),'ID1&amp;5'!B:J,9,FALSE),"-")</f>
        <v>-</v>
      </c>
      <c r="W543" s="26" t="str">
        <f>+IFERROR(VLOOKUP(A543,'ID6&amp;7'!A:I,9,FALSE),"-")</f>
        <v>-</v>
      </c>
      <c r="X543" s="26" t="str">
        <f>+IFERROR(VLOOKUP(A543,'ID6&amp;7'!A:J,10,FALSE),"-")</f>
        <v>-</v>
      </c>
      <c r="Y543" s="26"/>
      <c r="Z543" s="27" t="str">
        <f t="shared" si="9"/>
        <v>Por iniciar</v>
      </c>
      <c r="AA543" s="65"/>
    </row>
    <row r="544" spans="1:27">
      <c r="A544" s="20"/>
      <c r="B544" s="60"/>
      <c r="C544" s="60"/>
      <c r="D544" s="60"/>
      <c r="E544" s="60"/>
      <c r="F544" s="60"/>
      <c r="G544" s="60"/>
      <c r="H544" s="65" t="s">
        <v>114</v>
      </c>
      <c r="I544" s="21" t="s">
        <v>715</v>
      </c>
      <c r="J544" s="26">
        <f>+COUNTIF('ID1&amp;5'!G:G,'1. Status'!I544)</f>
        <v>0</v>
      </c>
      <c r="K544" s="79" t="str">
        <f>+IFERROR(VLOOKUP(CONCATENATE(A544,$B$10,B544),'ID1&amp;5'!B:J,8,FALSE),"-")</f>
        <v>-</v>
      </c>
      <c r="L544" s="78" t="str">
        <f>+IFERROR(VLOOKUP(B544,'ID1&amp;5'!K:L,2,FALSE),"-")</f>
        <v>-</v>
      </c>
      <c r="M544" s="79" t="str">
        <f>+IFERROR(VLOOKUP(CONCATENATE(A544,$B$10,B544),'ID1&amp;5'!B:J,9,FALSE),"-")</f>
        <v>-</v>
      </c>
      <c r="N544" s="79" t="str">
        <f>+IFERROR(VLOOKUP(CONCATENATE(A544,$C$10,C544),'ID1&amp;5'!B:J,8,FALSE),"-")</f>
        <v>-</v>
      </c>
      <c r="O544" s="78" t="str">
        <f>+IFERROR(VLOOKUP(C544,'ID1&amp;5'!K:L,2,FALSE),"-")</f>
        <v>-</v>
      </c>
      <c r="P544" s="79" t="str">
        <f>+IFERROR(VLOOKUP(CONCATENATE(A544,$C$10,C544),'ID1&amp;5'!B:J,9,FALSE),"-")</f>
        <v>-</v>
      </c>
      <c r="Q544" s="78" t="str">
        <f>+IFERROR(VLOOKUP(D544,'ID1&amp;5'!K:L,2,FALSE),"-")</f>
        <v>-</v>
      </c>
      <c r="R544" s="26" t="str">
        <f>+IFERROR(VLOOKUP(CONCATENATE(A544,$D$10,D544),'ID1&amp;5'!B:J,9,FALSE),"-")</f>
        <v>-</v>
      </c>
      <c r="S544" s="78" t="str">
        <f>+IFERROR(VLOOKUP(E544,'ID1&amp;5'!K:L,2,FALSE),"-")</f>
        <v>-</v>
      </c>
      <c r="T544" s="79" t="str">
        <f>+IFERROR(VLOOKUP(CONCATENATE(A544,$E$10,E544),'ID1&amp;5'!B:J,9,FALSE),"-")</f>
        <v>-</v>
      </c>
      <c r="U544" s="78" t="str">
        <f>+IFERROR(VLOOKUP(F544,'ID1&amp;5'!K:L,2,FALSE),"-")</f>
        <v>-</v>
      </c>
      <c r="V544" s="79" t="str">
        <f>+IFERROR(VLOOKUP(CONCATENATE(A544,$F$10,F544),'ID1&amp;5'!B:J,9,FALSE),"-")</f>
        <v>-</v>
      </c>
      <c r="W544" s="26" t="str">
        <f>+IFERROR(VLOOKUP(A544,'ID6&amp;7'!A:I,9,FALSE),"-")</f>
        <v>-</v>
      </c>
      <c r="X544" s="26" t="str">
        <f>+IFERROR(VLOOKUP(A544,'ID6&amp;7'!A:J,10,FALSE),"-")</f>
        <v>-</v>
      </c>
      <c r="Y544" s="26"/>
      <c r="Z544" s="27" t="str">
        <f t="shared" si="9"/>
        <v>Por iniciar</v>
      </c>
      <c r="AA544" s="65"/>
    </row>
    <row r="545" spans="1:27">
      <c r="A545" s="20"/>
      <c r="B545" s="60"/>
      <c r="C545" s="60"/>
      <c r="D545" s="60"/>
      <c r="E545" s="60"/>
      <c r="F545" s="60"/>
      <c r="G545" s="60"/>
      <c r="H545" s="65" t="s">
        <v>114</v>
      </c>
      <c r="I545" s="21" t="s">
        <v>716</v>
      </c>
      <c r="J545" s="26">
        <f>+COUNTIF('ID1&amp;5'!G:G,'1. Status'!I545)</f>
        <v>0</v>
      </c>
      <c r="K545" s="79" t="str">
        <f>+IFERROR(VLOOKUP(CONCATENATE(A545,$B$10,B545),'ID1&amp;5'!B:J,8,FALSE),"-")</f>
        <v>-</v>
      </c>
      <c r="L545" s="78" t="str">
        <f>+IFERROR(VLOOKUP(B545,'ID1&amp;5'!K:L,2,FALSE),"-")</f>
        <v>-</v>
      </c>
      <c r="M545" s="79" t="str">
        <f>+IFERROR(VLOOKUP(CONCATENATE(A545,$B$10,B545),'ID1&amp;5'!B:J,9,FALSE),"-")</f>
        <v>-</v>
      </c>
      <c r="N545" s="79" t="str">
        <f>+IFERROR(VLOOKUP(CONCATENATE(A545,$C$10,C545),'ID1&amp;5'!B:J,8,FALSE),"-")</f>
        <v>-</v>
      </c>
      <c r="O545" s="78" t="str">
        <f>+IFERROR(VLOOKUP(C545,'ID1&amp;5'!K:L,2,FALSE),"-")</f>
        <v>-</v>
      </c>
      <c r="P545" s="79" t="str">
        <f>+IFERROR(VLOOKUP(CONCATENATE(A545,$C$10,C545),'ID1&amp;5'!B:J,9,FALSE),"-")</f>
        <v>-</v>
      </c>
      <c r="Q545" s="78" t="str">
        <f>+IFERROR(VLOOKUP(D545,'ID1&amp;5'!K:L,2,FALSE),"-")</f>
        <v>-</v>
      </c>
      <c r="R545" s="26" t="str">
        <f>+IFERROR(VLOOKUP(CONCATENATE(A545,$D$10,D545),'ID1&amp;5'!B:J,9,FALSE),"-")</f>
        <v>-</v>
      </c>
      <c r="S545" s="78" t="str">
        <f>+IFERROR(VLOOKUP(E545,'ID1&amp;5'!K:L,2,FALSE),"-")</f>
        <v>-</v>
      </c>
      <c r="T545" s="79" t="str">
        <f>+IFERROR(VLOOKUP(CONCATENATE(A545,$E$10,E545),'ID1&amp;5'!B:J,9,FALSE),"-")</f>
        <v>-</v>
      </c>
      <c r="U545" s="78" t="str">
        <f>+IFERROR(VLOOKUP(F545,'ID1&amp;5'!K:L,2,FALSE),"-")</f>
        <v>-</v>
      </c>
      <c r="V545" s="79" t="str">
        <f>+IFERROR(VLOOKUP(CONCATENATE(A545,$F$10,F545),'ID1&amp;5'!B:J,9,FALSE),"-")</f>
        <v>-</v>
      </c>
      <c r="W545" s="26" t="str">
        <f>+IFERROR(VLOOKUP(A545,'ID6&amp;7'!A:I,9,FALSE),"-")</f>
        <v>-</v>
      </c>
      <c r="X545" s="26" t="str">
        <f>+IFERROR(VLOOKUP(A545,'ID6&amp;7'!A:J,10,FALSE),"-")</f>
        <v>-</v>
      </c>
      <c r="Y545" s="26"/>
      <c r="Z545" s="27" t="str">
        <f t="shared" si="9"/>
        <v>Por iniciar</v>
      </c>
      <c r="AA545" s="65"/>
    </row>
    <row r="546" spans="1:27">
      <c r="A546" s="20"/>
      <c r="B546" s="60"/>
      <c r="C546" s="60"/>
      <c r="D546" s="60"/>
      <c r="E546" s="60"/>
      <c r="F546" s="60"/>
      <c r="G546" s="60"/>
      <c r="H546" s="65" t="s">
        <v>114</v>
      </c>
      <c r="I546" s="21" t="s">
        <v>717</v>
      </c>
      <c r="J546" s="26">
        <f>+COUNTIF('ID1&amp;5'!G:G,'1. Status'!I546)</f>
        <v>0</v>
      </c>
      <c r="K546" s="79" t="str">
        <f>+IFERROR(VLOOKUP(CONCATENATE(A546,$B$10,B546),'ID1&amp;5'!B:J,8,FALSE),"-")</f>
        <v>-</v>
      </c>
      <c r="L546" s="78" t="str">
        <f>+IFERROR(VLOOKUP(B546,'ID1&amp;5'!K:L,2,FALSE),"-")</f>
        <v>-</v>
      </c>
      <c r="M546" s="79" t="str">
        <f>+IFERROR(VLOOKUP(CONCATENATE(A546,$B$10,B546),'ID1&amp;5'!B:J,9,FALSE),"-")</f>
        <v>-</v>
      </c>
      <c r="N546" s="79" t="str">
        <f>+IFERROR(VLOOKUP(CONCATENATE(A546,$C$10,C546),'ID1&amp;5'!B:J,8,FALSE),"-")</f>
        <v>-</v>
      </c>
      <c r="O546" s="78" t="str">
        <f>+IFERROR(VLOOKUP(C546,'ID1&amp;5'!K:L,2,FALSE),"-")</f>
        <v>-</v>
      </c>
      <c r="P546" s="79" t="str">
        <f>+IFERROR(VLOOKUP(CONCATENATE(A546,$C$10,C546),'ID1&amp;5'!B:J,9,FALSE),"-")</f>
        <v>-</v>
      </c>
      <c r="Q546" s="78" t="str">
        <f>+IFERROR(VLOOKUP(D546,'ID1&amp;5'!K:L,2,FALSE),"-")</f>
        <v>-</v>
      </c>
      <c r="R546" s="26" t="str">
        <f>+IFERROR(VLOOKUP(CONCATENATE(A546,$D$10,D546),'ID1&amp;5'!B:J,9,FALSE),"-")</f>
        <v>-</v>
      </c>
      <c r="S546" s="78" t="str">
        <f>+IFERROR(VLOOKUP(E546,'ID1&amp;5'!K:L,2,FALSE),"-")</f>
        <v>-</v>
      </c>
      <c r="T546" s="79" t="str">
        <f>+IFERROR(VLOOKUP(CONCATENATE(A546,$E$10,E546),'ID1&amp;5'!B:J,9,FALSE),"-")</f>
        <v>-</v>
      </c>
      <c r="U546" s="78" t="str">
        <f>+IFERROR(VLOOKUP(F546,'ID1&amp;5'!K:L,2,FALSE),"-")</f>
        <v>-</v>
      </c>
      <c r="V546" s="79" t="str">
        <f>+IFERROR(VLOOKUP(CONCATENATE(A546,$F$10,F546),'ID1&amp;5'!B:J,9,FALSE),"-")</f>
        <v>-</v>
      </c>
      <c r="W546" s="26" t="str">
        <f>+IFERROR(VLOOKUP(A546,'ID6&amp;7'!A:I,9,FALSE),"-")</f>
        <v>-</v>
      </c>
      <c r="X546" s="26" t="str">
        <f>+IFERROR(VLOOKUP(A546,'ID6&amp;7'!A:J,10,FALSE),"-")</f>
        <v>-</v>
      </c>
      <c r="Y546" s="26"/>
      <c r="Z546" s="27" t="str">
        <f t="shared" si="9"/>
        <v>Por iniciar</v>
      </c>
      <c r="AA546" s="65"/>
    </row>
    <row r="547" spans="1:27">
      <c r="A547" s="20"/>
      <c r="B547" s="60"/>
      <c r="C547" s="60"/>
      <c r="D547" s="60"/>
      <c r="E547" s="60"/>
      <c r="F547" s="60"/>
      <c r="G547" s="60"/>
      <c r="H547" s="65" t="s">
        <v>114</v>
      </c>
      <c r="I547" s="21" t="s">
        <v>718</v>
      </c>
      <c r="J547" s="26">
        <f>+COUNTIF('ID1&amp;5'!G:G,'1. Status'!I547)</f>
        <v>0</v>
      </c>
      <c r="K547" s="79" t="str">
        <f>+IFERROR(VLOOKUP(CONCATENATE(A547,$B$10,B547),'ID1&amp;5'!B:J,8,FALSE),"-")</f>
        <v>-</v>
      </c>
      <c r="L547" s="78" t="str">
        <f>+IFERROR(VLOOKUP(B547,'ID1&amp;5'!K:L,2,FALSE),"-")</f>
        <v>-</v>
      </c>
      <c r="M547" s="79" t="str">
        <f>+IFERROR(VLOOKUP(CONCATENATE(A547,$B$10,B547),'ID1&amp;5'!B:J,9,FALSE),"-")</f>
        <v>-</v>
      </c>
      <c r="N547" s="79" t="str">
        <f>+IFERROR(VLOOKUP(CONCATENATE(A547,$C$10,C547),'ID1&amp;5'!B:J,8,FALSE),"-")</f>
        <v>-</v>
      </c>
      <c r="O547" s="78" t="str">
        <f>+IFERROR(VLOOKUP(C547,'ID1&amp;5'!K:L,2,FALSE),"-")</f>
        <v>-</v>
      </c>
      <c r="P547" s="79" t="str">
        <f>+IFERROR(VLOOKUP(CONCATENATE(A547,$C$10,C547),'ID1&amp;5'!B:J,9,FALSE),"-")</f>
        <v>-</v>
      </c>
      <c r="Q547" s="78" t="str">
        <f>+IFERROR(VLOOKUP(D547,'ID1&amp;5'!K:L,2,FALSE),"-")</f>
        <v>-</v>
      </c>
      <c r="R547" s="26" t="str">
        <f>+IFERROR(VLOOKUP(CONCATENATE(A547,$D$10,D547),'ID1&amp;5'!B:J,9,FALSE),"-")</f>
        <v>-</v>
      </c>
      <c r="S547" s="78" t="str">
        <f>+IFERROR(VLOOKUP(E547,'ID1&amp;5'!K:L,2,FALSE),"-")</f>
        <v>-</v>
      </c>
      <c r="T547" s="79" t="str">
        <f>+IFERROR(VLOOKUP(CONCATENATE(A547,$E$10,E547),'ID1&amp;5'!B:J,9,FALSE),"-")</f>
        <v>-</v>
      </c>
      <c r="U547" s="78" t="str">
        <f>+IFERROR(VLOOKUP(F547,'ID1&amp;5'!K:L,2,FALSE),"-")</f>
        <v>-</v>
      </c>
      <c r="V547" s="79" t="str">
        <f>+IFERROR(VLOOKUP(CONCATENATE(A547,$F$10,F547),'ID1&amp;5'!B:J,9,FALSE),"-")</f>
        <v>-</v>
      </c>
      <c r="W547" s="26" t="str">
        <f>+IFERROR(VLOOKUP(A547,'ID6&amp;7'!A:I,9,FALSE),"-")</f>
        <v>-</v>
      </c>
      <c r="X547" s="26" t="str">
        <f>+IFERROR(VLOOKUP(A547,'ID6&amp;7'!A:J,10,FALSE),"-")</f>
        <v>-</v>
      </c>
      <c r="Y547" s="26"/>
      <c r="Z547" s="27" t="str">
        <f t="shared" si="9"/>
        <v>Por iniciar</v>
      </c>
      <c r="AA547" s="65"/>
    </row>
    <row r="548" spans="1:27">
      <c r="A548" s="20"/>
      <c r="B548" s="60"/>
      <c r="C548" s="60"/>
      <c r="D548" s="60"/>
      <c r="E548" s="60"/>
      <c r="F548" s="60"/>
      <c r="G548" s="60"/>
      <c r="H548" s="65" t="s">
        <v>114</v>
      </c>
      <c r="I548" s="21" t="s">
        <v>719</v>
      </c>
      <c r="J548" s="26">
        <f>+COUNTIF('ID1&amp;5'!G:G,'1. Status'!I548)</f>
        <v>0</v>
      </c>
      <c r="K548" s="79" t="str">
        <f>+IFERROR(VLOOKUP(CONCATENATE(A548,$B$10,B548),'ID1&amp;5'!B:J,8,FALSE),"-")</f>
        <v>-</v>
      </c>
      <c r="L548" s="78" t="str">
        <f>+IFERROR(VLOOKUP(B548,'ID1&amp;5'!K:L,2,FALSE),"-")</f>
        <v>-</v>
      </c>
      <c r="M548" s="79" t="str">
        <f>+IFERROR(VLOOKUP(CONCATENATE(A548,$B$10,B548),'ID1&amp;5'!B:J,9,FALSE),"-")</f>
        <v>-</v>
      </c>
      <c r="N548" s="79" t="str">
        <f>+IFERROR(VLOOKUP(CONCATENATE(A548,$C$10,C548),'ID1&amp;5'!B:J,8,FALSE),"-")</f>
        <v>-</v>
      </c>
      <c r="O548" s="78" t="str">
        <f>+IFERROR(VLOOKUP(C548,'ID1&amp;5'!K:L,2,FALSE),"-")</f>
        <v>-</v>
      </c>
      <c r="P548" s="79" t="str">
        <f>+IFERROR(VLOOKUP(CONCATENATE(A548,$C$10,C548),'ID1&amp;5'!B:J,9,FALSE),"-")</f>
        <v>-</v>
      </c>
      <c r="Q548" s="78" t="str">
        <f>+IFERROR(VLOOKUP(D548,'ID1&amp;5'!K:L,2,FALSE),"-")</f>
        <v>-</v>
      </c>
      <c r="R548" s="26" t="str">
        <f>+IFERROR(VLOOKUP(CONCATENATE(A548,$D$10,D548),'ID1&amp;5'!B:J,9,FALSE),"-")</f>
        <v>-</v>
      </c>
      <c r="S548" s="78" t="str">
        <f>+IFERROR(VLOOKUP(E548,'ID1&amp;5'!K:L,2,FALSE),"-")</f>
        <v>-</v>
      </c>
      <c r="T548" s="79" t="str">
        <f>+IFERROR(VLOOKUP(CONCATENATE(A548,$E$10,E548),'ID1&amp;5'!B:J,9,FALSE),"-")</f>
        <v>-</v>
      </c>
      <c r="U548" s="78" t="str">
        <f>+IFERROR(VLOOKUP(F548,'ID1&amp;5'!K:L,2,FALSE),"-")</f>
        <v>-</v>
      </c>
      <c r="V548" s="79" t="str">
        <f>+IFERROR(VLOOKUP(CONCATENATE(A548,$F$10,F548),'ID1&amp;5'!B:J,9,FALSE),"-")</f>
        <v>-</v>
      </c>
      <c r="W548" s="26" t="str">
        <f>+IFERROR(VLOOKUP(A548,'ID6&amp;7'!A:I,9,FALSE),"-")</f>
        <v>-</v>
      </c>
      <c r="X548" s="26" t="str">
        <f>+IFERROR(VLOOKUP(A548,'ID6&amp;7'!A:J,10,FALSE),"-")</f>
        <v>-</v>
      </c>
      <c r="Y548" s="26"/>
      <c r="Z548" s="27" t="str">
        <f t="shared" si="9"/>
        <v>Por iniciar</v>
      </c>
      <c r="AA548" s="65"/>
    </row>
    <row r="549" spans="1:27">
      <c r="A549" s="20"/>
      <c r="B549" s="60"/>
      <c r="C549" s="60"/>
      <c r="D549" s="60"/>
      <c r="E549" s="60"/>
      <c r="F549" s="60"/>
      <c r="G549" s="60"/>
      <c r="H549" s="65" t="s">
        <v>114</v>
      </c>
      <c r="I549" s="21" t="s">
        <v>720</v>
      </c>
      <c r="J549" s="26">
        <f>+COUNTIF('ID1&amp;5'!G:G,'1. Status'!I549)</f>
        <v>0</v>
      </c>
      <c r="K549" s="79" t="str">
        <f>+IFERROR(VLOOKUP(CONCATENATE(A549,$B$10,B549),'ID1&amp;5'!B:J,8,FALSE),"-")</f>
        <v>-</v>
      </c>
      <c r="L549" s="78" t="str">
        <f>+IFERROR(VLOOKUP(B549,'ID1&amp;5'!K:L,2,FALSE),"-")</f>
        <v>-</v>
      </c>
      <c r="M549" s="79" t="str">
        <f>+IFERROR(VLOOKUP(CONCATENATE(A549,$B$10,B549),'ID1&amp;5'!B:J,9,FALSE),"-")</f>
        <v>-</v>
      </c>
      <c r="N549" s="79" t="str">
        <f>+IFERROR(VLOOKUP(CONCATENATE(A549,$C$10,C549),'ID1&amp;5'!B:J,8,FALSE),"-")</f>
        <v>-</v>
      </c>
      <c r="O549" s="78" t="str">
        <f>+IFERROR(VLOOKUP(C549,'ID1&amp;5'!K:L,2,FALSE),"-")</f>
        <v>-</v>
      </c>
      <c r="P549" s="79" t="str">
        <f>+IFERROR(VLOOKUP(CONCATENATE(A549,$C$10,C549),'ID1&amp;5'!B:J,9,FALSE),"-")</f>
        <v>-</v>
      </c>
      <c r="Q549" s="78" t="str">
        <f>+IFERROR(VLOOKUP(D549,'ID1&amp;5'!K:L,2,FALSE),"-")</f>
        <v>-</v>
      </c>
      <c r="R549" s="26" t="str">
        <f>+IFERROR(VLOOKUP(CONCATENATE(A549,$D$10,D549),'ID1&amp;5'!B:J,9,FALSE),"-")</f>
        <v>-</v>
      </c>
      <c r="S549" s="78" t="str">
        <f>+IFERROR(VLOOKUP(E549,'ID1&amp;5'!K:L,2,FALSE),"-")</f>
        <v>-</v>
      </c>
      <c r="T549" s="79" t="str">
        <f>+IFERROR(VLOOKUP(CONCATENATE(A549,$E$10,E549),'ID1&amp;5'!B:J,9,FALSE),"-")</f>
        <v>-</v>
      </c>
      <c r="U549" s="78" t="str">
        <f>+IFERROR(VLOOKUP(F549,'ID1&amp;5'!K:L,2,FALSE),"-")</f>
        <v>-</v>
      </c>
      <c r="V549" s="79" t="str">
        <f>+IFERROR(VLOOKUP(CONCATENATE(A549,$F$10,F549),'ID1&amp;5'!B:J,9,FALSE),"-")</f>
        <v>-</v>
      </c>
      <c r="W549" s="26" t="str">
        <f>+IFERROR(VLOOKUP(A549,'ID6&amp;7'!A:I,9,FALSE),"-")</f>
        <v>-</v>
      </c>
      <c r="X549" s="26" t="str">
        <f>+IFERROR(VLOOKUP(A549,'ID6&amp;7'!A:J,10,FALSE),"-")</f>
        <v>-</v>
      </c>
      <c r="Y549" s="26"/>
      <c r="Z549" s="27" t="str">
        <f t="shared" si="9"/>
        <v>Por iniciar</v>
      </c>
      <c r="AA549" s="65"/>
    </row>
    <row r="550" spans="1:27">
      <c r="A550" s="20"/>
      <c r="B550" s="60"/>
      <c r="C550" s="60"/>
      <c r="D550" s="60"/>
      <c r="E550" s="60"/>
      <c r="F550" s="60"/>
      <c r="G550" s="60"/>
      <c r="H550" s="65" t="s">
        <v>114</v>
      </c>
      <c r="I550" s="21" t="s">
        <v>1487</v>
      </c>
      <c r="J550" s="26">
        <f>+COUNTIF('ID1&amp;5'!G:G,'1. Status'!I550)</f>
        <v>0</v>
      </c>
      <c r="K550" s="79" t="str">
        <f>+IFERROR(VLOOKUP(CONCATENATE(A550,$B$10,B550),'ID1&amp;5'!B:J,8,FALSE),"-")</f>
        <v>-</v>
      </c>
      <c r="L550" s="78" t="str">
        <f>+IFERROR(VLOOKUP(B550,'ID1&amp;5'!K:L,2,FALSE),"-")</f>
        <v>-</v>
      </c>
      <c r="M550" s="79" t="str">
        <f>+IFERROR(VLOOKUP(CONCATENATE(A550,$B$10,B550),'ID1&amp;5'!B:J,9,FALSE),"-")</f>
        <v>-</v>
      </c>
      <c r="N550" s="79" t="str">
        <f>+IFERROR(VLOOKUP(CONCATENATE(A550,$C$10,C550),'ID1&amp;5'!B:J,8,FALSE),"-")</f>
        <v>-</v>
      </c>
      <c r="O550" s="78" t="str">
        <f>+IFERROR(VLOOKUP(C550,'ID1&amp;5'!K:L,2,FALSE),"-")</f>
        <v>-</v>
      </c>
      <c r="P550" s="79" t="str">
        <f>+IFERROR(VLOOKUP(CONCATENATE(A550,$C$10,C550),'ID1&amp;5'!B:J,9,FALSE),"-")</f>
        <v>-</v>
      </c>
      <c r="Q550" s="78" t="str">
        <f>+IFERROR(VLOOKUP(D550,'ID1&amp;5'!K:L,2,FALSE),"-")</f>
        <v>-</v>
      </c>
      <c r="R550" s="26" t="str">
        <f>+IFERROR(VLOOKUP(CONCATENATE(A550,$D$10,D550),'ID1&amp;5'!B:J,9,FALSE),"-")</f>
        <v>-</v>
      </c>
      <c r="S550" s="78" t="str">
        <f>+IFERROR(VLOOKUP(E550,'ID1&amp;5'!K:L,2,FALSE),"-")</f>
        <v>-</v>
      </c>
      <c r="T550" s="79" t="str">
        <f>+IFERROR(VLOOKUP(CONCATENATE(A550,$E$10,E550),'ID1&amp;5'!B:J,9,FALSE),"-")</f>
        <v>-</v>
      </c>
      <c r="U550" s="78" t="str">
        <f>+IFERROR(VLOOKUP(F550,'ID1&amp;5'!K:L,2,FALSE),"-")</f>
        <v>-</v>
      </c>
      <c r="V550" s="79" t="str">
        <f>+IFERROR(VLOOKUP(CONCATENATE(A550,$F$10,F550),'ID1&amp;5'!B:J,9,FALSE),"-")</f>
        <v>-</v>
      </c>
      <c r="W550" s="26" t="str">
        <f>+IFERROR(VLOOKUP(A550,'ID6&amp;7'!A:I,9,FALSE),"-")</f>
        <v>-</v>
      </c>
      <c r="X550" s="26" t="str">
        <f>+IFERROR(VLOOKUP(A550,'ID6&amp;7'!A:J,10,FALSE),"-")</f>
        <v>-</v>
      </c>
      <c r="Y550" s="26"/>
      <c r="Z550" s="27" t="str">
        <f t="shared" si="9"/>
        <v>Por iniciar</v>
      </c>
      <c r="AA550" s="65"/>
    </row>
    <row r="551" spans="1:27">
      <c r="A551" s="20"/>
      <c r="B551" s="60"/>
      <c r="C551" s="60"/>
      <c r="D551" s="60"/>
      <c r="E551" s="60"/>
      <c r="F551" s="60"/>
      <c r="G551" s="60"/>
      <c r="H551" s="65" t="s">
        <v>114</v>
      </c>
      <c r="I551" s="21" t="s">
        <v>1488</v>
      </c>
      <c r="J551" s="26">
        <f>+COUNTIF('ID1&amp;5'!G:G,'1. Status'!I551)</f>
        <v>0</v>
      </c>
      <c r="K551" s="79" t="str">
        <f>+IFERROR(VLOOKUP(CONCATENATE(A551,$B$10,B551),'ID1&amp;5'!B:J,8,FALSE),"-")</f>
        <v>-</v>
      </c>
      <c r="L551" s="78" t="str">
        <f>+IFERROR(VLOOKUP(B551,'ID1&amp;5'!K:L,2,FALSE),"-")</f>
        <v>-</v>
      </c>
      <c r="M551" s="79" t="str">
        <f>+IFERROR(VLOOKUP(CONCATENATE(A551,$B$10,B551),'ID1&amp;5'!B:J,9,FALSE),"-")</f>
        <v>-</v>
      </c>
      <c r="N551" s="79" t="str">
        <f>+IFERROR(VLOOKUP(CONCATENATE(A551,$C$10,C551),'ID1&amp;5'!B:J,8,FALSE),"-")</f>
        <v>-</v>
      </c>
      <c r="O551" s="78" t="str">
        <f>+IFERROR(VLOOKUP(C551,'ID1&amp;5'!K:L,2,FALSE),"-")</f>
        <v>-</v>
      </c>
      <c r="P551" s="79" t="str">
        <f>+IFERROR(VLOOKUP(CONCATENATE(A551,$C$10,C551),'ID1&amp;5'!B:J,9,FALSE),"-")</f>
        <v>-</v>
      </c>
      <c r="Q551" s="78" t="str">
        <f>+IFERROR(VLOOKUP(D551,'ID1&amp;5'!K:L,2,FALSE),"-")</f>
        <v>-</v>
      </c>
      <c r="R551" s="26" t="str">
        <f>+IFERROR(VLOOKUP(CONCATENATE(A551,$D$10,D551),'ID1&amp;5'!B:J,9,FALSE),"-")</f>
        <v>-</v>
      </c>
      <c r="S551" s="78" t="str">
        <f>+IFERROR(VLOOKUP(E551,'ID1&amp;5'!K:L,2,FALSE),"-")</f>
        <v>-</v>
      </c>
      <c r="T551" s="79" t="str">
        <f>+IFERROR(VLOOKUP(CONCATENATE(A551,$E$10,E551),'ID1&amp;5'!B:J,9,FALSE),"-")</f>
        <v>-</v>
      </c>
      <c r="U551" s="78" t="str">
        <f>+IFERROR(VLOOKUP(F551,'ID1&amp;5'!K:L,2,FALSE),"-")</f>
        <v>-</v>
      </c>
      <c r="V551" s="79" t="str">
        <f>+IFERROR(VLOOKUP(CONCATENATE(A551,$F$10,F551),'ID1&amp;5'!B:J,9,FALSE),"-")</f>
        <v>-</v>
      </c>
      <c r="W551" s="26" t="str">
        <f>+IFERROR(VLOOKUP(A551,'ID6&amp;7'!A:I,9,FALSE),"-")</f>
        <v>-</v>
      </c>
      <c r="X551" s="26" t="str">
        <f>+IFERROR(VLOOKUP(A551,'ID6&amp;7'!A:J,10,FALSE),"-")</f>
        <v>-</v>
      </c>
      <c r="Y551" s="26"/>
      <c r="Z551" s="27" t="str">
        <f t="shared" si="9"/>
        <v>Por iniciar</v>
      </c>
      <c r="AA551" s="65"/>
    </row>
    <row r="552" spans="1:27">
      <c r="A552" s="20"/>
      <c r="B552" s="60"/>
      <c r="C552" s="60"/>
      <c r="D552" s="60"/>
      <c r="E552" s="60"/>
      <c r="F552" s="60"/>
      <c r="G552" s="60"/>
      <c r="H552" s="65" t="s">
        <v>114</v>
      </c>
      <c r="I552" s="21" t="s">
        <v>1489</v>
      </c>
      <c r="J552" s="26">
        <f>+COUNTIF('ID1&amp;5'!G:G,'1. Status'!I552)</f>
        <v>0</v>
      </c>
      <c r="K552" s="79" t="str">
        <f>+IFERROR(VLOOKUP(CONCATENATE(A552,$B$10,B552),'ID1&amp;5'!B:J,8,FALSE),"-")</f>
        <v>-</v>
      </c>
      <c r="L552" s="78" t="str">
        <f>+IFERROR(VLOOKUP(B552,'ID1&amp;5'!K:L,2,FALSE),"-")</f>
        <v>-</v>
      </c>
      <c r="M552" s="79" t="str">
        <f>+IFERROR(VLOOKUP(CONCATENATE(A552,$B$10,B552),'ID1&amp;5'!B:J,9,FALSE),"-")</f>
        <v>-</v>
      </c>
      <c r="N552" s="79" t="str">
        <f>+IFERROR(VLOOKUP(CONCATENATE(A552,$C$10,C552),'ID1&amp;5'!B:J,8,FALSE),"-")</f>
        <v>-</v>
      </c>
      <c r="O552" s="78" t="str">
        <f>+IFERROR(VLOOKUP(C552,'ID1&amp;5'!K:L,2,FALSE),"-")</f>
        <v>-</v>
      </c>
      <c r="P552" s="79" t="str">
        <f>+IFERROR(VLOOKUP(CONCATENATE(A552,$C$10,C552),'ID1&amp;5'!B:J,9,FALSE),"-")</f>
        <v>-</v>
      </c>
      <c r="Q552" s="78" t="str">
        <f>+IFERROR(VLOOKUP(D552,'ID1&amp;5'!K:L,2,FALSE),"-")</f>
        <v>-</v>
      </c>
      <c r="R552" s="26" t="str">
        <f>+IFERROR(VLOOKUP(CONCATENATE(A552,$D$10,D552),'ID1&amp;5'!B:J,9,FALSE),"-")</f>
        <v>-</v>
      </c>
      <c r="S552" s="78" t="str">
        <f>+IFERROR(VLOOKUP(E552,'ID1&amp;5'!K:L,2,FALSE),"-")</f>
        <v>-</v>
      </c>
      <c r="T552" s="79" t="str">
        <f>+IFERROR(VLOOKUP(CONCATENATE(A552,$E$10,E552),'ID1&amp;5'!B:J,9,FALSE),"-")</f>
        <v>-</v>
      </c>
      <c r="U552" s="78" t="str">
        <f>+IFERROR(VLOOKUP(F552,'ID1&amp;5'!K:L,2,FALSE),"-")</f>
        <v>-</v>
      </c>
      <c r="V552" s="79" t="str">
        <f>+IFERROR(VLOOKUP(CONCATENATE(A552,$F$10,F552),'ID1&amp;5'!B:J,9,FALSE),"-")</f>
        <v>-</v>
      </c>
      <c r="W552" s="26" t="str">
        <f>+IFERROR(VLOOKUP(A552,'ID6&amp;7'!A:I,9,FALSE),"-")</f>
        <v>-</v>
      </c>
      <c r="X552" s="26" t="str">
        <f>+IFERROR(VLOOKUP(A552,'ID6&amp;7'!A:J,10,FALSE),"-")</f>
        <v>-</v>
      </c>
      <c r="Y552" s="26"/>
      <c r="Z552" s="27" t="str">
        <f t="shared" si="9"/>
        <v>Por iniciar</v>
      </c>
      <c r="AA552" s="65"/>
    </row>
    <row r="553" spans="1:27">
      <c r="A553" s="20"/>
      <c r="B553" s="60"/>
      <c r="C553" s="60"/>
      <c r="D553" s="60"/>
      <c r="E553" s="60"/>
      <c r="F553" s="60"/>
      <c r="G553" s="60"/>
      <c r="H553" s="65" t="s">
        <v>114</v>
      </c>
      <c r="I553" s="21" t="s">
        <v>1490</v>
      </c>
      <c r="J553" s="26">
        <f>+COUNTIF('ID1&amp;5'!G:G,'1. Status'!I553)</f>
        <v>0</v>
      </c>
      <c r="K553" s="79" t="str">
        <f>+IFERROR(VLOOKUP(CONCATENATE(A553,$B$10,B553),'ID1&amp;5'!B:J,8,FALSE),"-")</f>
        <v>-</v>
      </c>
      <c r="L553" s="78" t="str">
        <f>+IFERROR(VLOOKUP(B553,'ID1&amp;5'!K:L,2,FALSE),"-")</f>
        <v>-</v>
      </c>
      <c r="M553" s="79" t="str">
        <f>+IFERROR(VLOOKUP(CONCATENATE(A553,$B$10,B553),'ID1&amp;5'!B:J,9,FALSE),"-")</f>
        <v>-</v>
      </c>
      <c r="N553" s="79" t="str">
        <f>+IFERROR(VLOOKUP(CONCATENATE(A553,$C$10,C553),'ID1&amp;5'!B:J,8,FALSE),"-")</f>
        <v>-</v>
      </c>
      <c r="O553" s="78" t="str">
        <f>+IFERROR(VLOOKUP(C553,'ID1&amp;5'!K:L,2,FALSE),"-")</f>
        <v>-</v>
      </c>
      <c r="P553" s="79" t="str">
        <f>+IFERROR(VLOOKUP(CONCATENATE(A553,$C$10,C553),'ID1&amp;5'!B:J,9,FALSE),"-")</f>
        <v>-</v>
      </c>
      <c r="Q553" s="78" t="str">
        <f>+IFERROR(VLOOKUP(D553,'ID1&amp;5'!K:L,2,FALSE),"-")</f>
        <v>-</v>
      </c>
      <c r="R553" s="26" t="str">
        <f>+IFERROR(VLOOKUP(CONCATENATE(A553,$D$10,D553),'ID1&amp;5'!B:J,9,FALSE),"-")</f>
        <v>-</v>
      </c>
      <c r="S553" s="78" t="str">
        <f>+IFERROR(VLOOKUP(E553,'ID1&amp;5'!K:L,2,FALSE),"-")</f>
        <v>-</v>
      </c>
      <c r="T553" s="79" t="str">
        <f>+IFERROR(VLOOKUP(CONCATENATE(A553,$E$10,E553),'ID1&amp;5'!B:J,9,FALSE),"-")</f>
        <v>-</v>
      </c>
      <c r="U553" s="78" t="str">
        <f>+IFERROR(VLOOKUP(F553,'ID1&amp;5'!K:L,2,FALSE),"-")</f>
        <v>-</v>
      </c>
      <c r="V553" s="79" t="str">
        <f>+IFERROR(VLOOKUP(CONCATENATE(A553,$F$10,F553),'ID1&amp;5'!B:J,9,FALSE),"-")</f>
        <v>-</v>
      </c>
      <c r="W553" s="26" t="str">
        <f>+IFERROR(VLOOKUP(A553,'ID6&amp;7'!A:I,9,FALSE),"-")</f>
        <v>-</v>
      </c>
      <c r="X553" s="26" t="str">
        <f>+IFERROR(VLOOKUP(A553,'ID6&amp;7'!A:J,10,FALSE),"-")</f>
        <v>-</v>
      </c>
      <c r="Y553" s="26"/>
      <c r="Z553" s="27" t="str">
        <f t="shared" si="9"/>
        <v>Por iniciar</v>
      </c>
      <c r="AA553" s="65"/>
    </row>
    <row r="554" spans="1:27">
      <c r="A554" s="20"/>
      <c r="B554" s="60"/>
      <c r="C554" s="60"/>
      <c r="D554" s="60"/>
      <c r="E554" s="60"/>
      <c r="F554" s="60"/>
      <c r="G554" s="60"/>
      <c r="H554" s="65" t="s">
        <v>114</v>
      </c>
      <c r="I554" s="21" t="s">
        <v>1379</v>
      </c>
      <c r="J554" s="26">
        <f>+COUNTIF('ID1&amp;5'!G:G,'1. Status'!I554)</f>
        <v>0</v>
      </c>
      <c r="K554" s="79" t="str">
        <f>+IFERROR(VLOOKUP(CONCATENATE(A554,$B$10,B554),'ID1&amp;5'!B:J,8,FALSE),"-")</f>
        <v>-</v>
      </c>
      <c r="L554" s="78" t="str">
        <f>+IFERROR(VLOOKUP(B554,'ID1&amp;5'!K:L,2,FALSE),"-")</f>
        <v>-</v>
      </c>
      <c r="M554" s="79" t="str">
        <f>+IFERROR(VLOOKUP(CONCATENATE(A554,$B$10,B554),'ID1&amp;5'!B:J,9,FALSE),"-")</f>
        <v>-</v>
      </c>
      <c r="N554" s="79" t="str">
        <f>+IFERROR(VLOOKUP(CONCATENATE(A554,$C$10,C554),'ID1&amp;5'!B:J,8,FALSE),"-")</f>
        <v>-</v>
      </c>
      <c r="O554" s="78" t="str">
        <f>+IFERROR(VLOOKUP(C554,'ID1&amp;5'!K:L,2,FALSE),"-")</f>
        <v>-</v>
      </c>
      <c r="P554" s="79" t="str">
        <f>+IFERROR(VLOOKUP(CONCATENATE(A554,$C$10,C554),'ID1&amp;5'!B:J,9,FALSE),"-")</f>
        <v>-</v>
      </c>
      <c r="Q554" s="78" t="str">
        <f>+IFERROR(VLOOKUP(D554,'ID1&amp;5'!K:L,2,FALSE),"-")</f>
        <v>-</v>
      </c>
      <c r="R554" s="26" t="str">
        <f>+IFERROR(VLOOKUP(CONCATENATE(A554,$D$10,D554),'ID1&amp;5'!B:J,9,FALSE),"-")</f>
        <v>-</v>
      </c>
      <c r="S554" s="78" t="str">
        <f>+IFERROR(VLOOKUP(E554,'ID1&amp;5'!K:L,2,FALSE),"-")</f>
        <v>-</v>
      </c>
      <c r="T554" s="79" t="str">
        <f>+IFERROR(VLOOKUP(CONCATENATE(A554,$E$10,E554),'ID1&amp;5'!B:J,9,FALSE),"-")</f>
        <v>-</v>
      </c>
      <c r="U554" s="78" t="str">
        <f>+IFERROR(VLOOKUP(F554,'ID1&amp;5'!K:L,2,FALSE),"-")</f>
        <v>-</v>
      </c>
      <c r="V554" s="79" t="str">
        <f>+IFERROR(VLOOKUP(CONCATENATE(A554,$F$10,F554),'ID1&amp;5'!B:J,9,FALSE),"-")</f>
        <v>-</v>
      </c>
      <c r="W554" s="26" t="str">
        <f>+IFERROR(VLOOKUP(A554,'ID6&amp;7'!A:I,9,FALSE),"-")</f>
        <v>-</v>
      </c>
      <c r="X554" s="26" t="str">
        <f>+IFERROR(VLOOKUP(A554,'ID6&amp;7'!A:J,10,FALSE),"-")</f>
        <v>-</v>
      </c>
      <c r="Y554" s="26"/>
      <c r="Z554" s="27" t="str">
        <f t="shared" si="9"/>
        <v>Por iniciar</v>
      </c>
      <c r="AA554" s="65"/>
    </row>
    <row r="555" spans="1:27">
      <c r="A555" s="20"/>
      <c r="B555" s="60"/>
      <c r="C555" s="60"/>
      <c r="D555" s="60"/>
      <c r="E555" s="60"/>
      <c r="F555" s="60"/>
      <c r="G555" s="60"/>
      <c r="H555" s="65" t="s">
        <v>114</v>
      </c>
      <c r="I555" s="21" t="s">
        <v>1380</v>
      </c>
      <c r="J555" s="26">
        <f>+COUNTIF('ID1&amp;5'!G:G,'1. Status'!I555)</f>
        <v>0</v>
      </c>
      <c r="K555" s="79" t="str">
        <f>+IFERROR(VLOOKUP(CONCATENATE(A555,$B$10,B555),'ID1&amp;5'!B:J,8,FALSE),"-")</f>
        <v>-</v>
      </c>
      <c r="L555" s="78" t="str">
        <f>+IFERROR(VLOOKUP(B555,'ID1&amp;5'!K:L,2,FALSE),"-")</f>
        <v>-</v>
      </c>
      <c r="M555" s="79" t="str">
        <f>+IFERROR(VLOOKUP(CONCATENATE(A555,$B$10,B555),'ID1&amp;5'!B:J,9,FALSE),"-")</f>
        <v>-</v>
      </c>
      <c r="N555" s="79" t="str">
        <f>+IFERROR(VLOOKUP(CONCATENATE(A555,$C$10,C555),'ID1&amp;5'!B:J,8,FALSE),"-")</f>
        <v>-</v>
      </c>
      <c r="O555" s="78" t="str">
        <f>+IFERROR(VLOOKUP(C555,'ID1&amp;5'!K:L,2,FALSE),"-")</f>
        <v>-</v>
      </c>
      <c r="P555" s="79" t="str">
        <f>+IFERROR(VLOOKUP(CONCATENATE(A555,$C$10,C555),'ID1&amp;5'!B:J,9,FALSE),"-")</f>
        <v>-</v>
      </c>
      <c r="Q555" s="78" t="str">
        <f>+IFERROR(VLOOKUP(D555,'ID1&amp;5'!K:L,2,FALSE),"-")</f>
        <v>-</v>
      </c>
      <c r="R555" s="26" t="str">
        <f>+IFERROR(VLOOKUP(CONCATENATE(A555,$D$10,D555),'ID1&amp;5'!B:J,9,FALSE),"-")</f>
        <v>-</v>
      </c>
      <c r="S555" s="78" t="str">
        <f>+IFERROR(VLOOKUP(E555,'ID1&amp;5'!K:L,2,FALSE),"-")</f>
        <v>-</v>
      </c>
      <c r="T555" s="79" t="str">
        <f>+IFERROR(VLOOKUP(CONCATENATE(A555,$E$10,E555),'ID1&amp;5'!B:J,9,FALSE),"-")</f>
        <v>-</v>
      </c>
      <c r="U555" s="78" t="str">
        <f>+IFERROR(VLOOKUP(F555,'ID1&amp;5'!K:L,2,FALSE),"-")</f>
        <v>-</v>
      </c>
      <c r="V555" s="79" t="str">
        <f>+IFERROR(VLOOKUP(CONCATENATE(A555,$F$10,F555),'ID1&amp;5'!B:J,9,FALSE),"-")</f>
        <v>-</v>
      </c>
      <c r="W555" s="26" t="str">
        <f>+IFERROR(VLOOKUP(A555,'ID6&amp;7'!A:I,9,FALSE),"-")</f>
        <v>-</v>
      </c>
      <c r="X555" s="26" t="str">
        <f>+IFERROR(VLOOKUP(A555,'ID6&amp;7'!A:J,10,FALSE),"-")</f>
        <v>-</v>
      </c>
      <c r="Y555" s="26"/>
      <c r="Z555" s="27" t="str">
        <f t="shared" si="9"/>
        <v>Por iniciar</v>
      </c>
      <c r="AA555" s="65"/>
    </row>
    <row r="556" spans="1:27">
      <c r="A556" s="20"/>
      <c r="B556" s="60"/>
      <c r="C556" s="60"/>
      <c r="D556" s="60"/>
      <c r="E556" s="60"/>
      <c r="F556" s="60"/>
      <c r="G556" s="60"/>
      <c r="H556" s="65" t="s">
        <v>114</v>
      </c>
      <c r="I556" s="21" t="s">
        <v>1491</v>
      </c>
      <c r="J556" s="26">
        <f>+COUNTIF('ID1&amp;5'!G:G,'1. Status'!I556)</f>
        <v>0</v>
      </c>
      <c r="K556" s="79" t="str">
        <f>+IFERROR(VLOOKUP(CONCATENATE(A556,$B$10,B556),'ID1&amp;5'!B:J,8,FALSE),"-")</f>
        <v>-</v>
      </c>
      <c r="L556" s="78" t="str">
        <f>+IFERROR(VLOOKUP(B556,'ID1&amp;5'!K:L,2,FALSE),"-")</f>
        <v>-</v>
      </c>
      <c r="M556" s="79" t="str">
        <f>+IFERROR(VLOOKUP(CONCATENATE(A556,$B$10,B556),'ID1&amp;5'!B:J,9,FALSE),"-")</f>
        <v>-</v>
      </c>
      <c r="N556" s="79" t="str">
        <f>+IFERROR(VLOOKUP(CONCATENATE(A556,$C$10,C556),'ID1&amp;5'!B:J,8,FALSE),"-")</f>
        <v>-</v>
      </c>
      <c r="O556" s="78" t="str">
        <f>+IFERROR(VLOOKUP(C556,'ID1&amp;5'!K:L,2,FALSE),"-")</f>
        <v>-</v>
      </c>
      <c r="P556" s="79" t="str">
        <f>+IFERROR(VLOOKUP(CONCATENATE(A556,$C$10,C556),'ID1&amp;5'!B:J,9,FALSE),"-")</f>
        <v>-</v>
      </c>
      <c r="Q556" s="78" t="str">
        <f>+IFERROR(VLOOKUP(D556,'ID1&amp;5'!K:L,2,FALSE),"-")</f>
        <v>-</v>
      </c>
      <c r="R556" s="26" t="str">
        <f>+IFERROR(VLOOKUP(CONCATENATE(A556,$D$10,D556),'ID1&amp;5'!B:J,9,FALSE),"-")</f>
        <v>-</v>
      </c>
      <c r="S556" s="78" t="str">
        <f>+IFERROR(VLOOKUP(E556,'ID1&amp;5'!K:L,2,FALSE),"-")</f>
        <v>-</v>
      </c>
      <c r="T556" s="79" t="str">
        <f>+IFERROR(VLOOKUP(CONCATENATE(A556,$E$10,E556),'ID1&amp;5'!B:J,9,FALSE),"-")</f>
        <v>-</v>
      </c>
      <c r="U556" s="78" t="str">
        <f>+IFERROR(VLOOKUP(F556,'ID1&amp;5'!K:L,2,FALSE),"-")</f>
        <v>-</v>
      </c>
      <c r="V556" s="79" t="str">
        <f>+IFERROR(VLOOKUP(CONCATENATE(A556,$F$10,F556),'ID1&amp;5'!B:J,9,FALSE),"-")</f>
        <v>-</v>
      </c>
      <c r="W556" s="26" t="str">
        <f>+IFERROR(VLOOKUP(A556,'ID6&amp;7'!A:I,9,FALSE),"-")</f>
        <v>-</v>
      </c>
      <c r="X556" s="26" t="str">
        <f>+IFERROR(VLOOKUP(A556,'ID6&amp;7'!A:J,10,FALSE),"-")</f>
        <v>-</v>
      </c>
      <c r="Y556" s="26"/>
      <c r="Z556" s="27" t="str">
        <f t="shared" si="9"/>
        <v>Por iniciar</v>
      </c>
      <c r="AA556" s="65"/>
    </row>
    <row r="557" spans="1:27">
      <c r="A557" s="20"/>
      <c r="B557" s="60"/>
      <c r="C557" s="60"/>
      <c r="D557" s="60"/>
      <c r="E557" s="60"/>
      <c r="F557" s="60"/>
      <c r="G557" s="60"/>
      <c r="H557" s="65" t="s">
        <v>114</v>
      </c>
      <c r="I557" s="21" t="s">
        <v>1492</v>
      </c>
      <c r="J557" s="26">
        <f>+COUNTIF('ID1&amp;5'!G:G,'1. Status'!I557)</f>
        <v>0</v>
      </c>
      <c r="K557" s="79" t="str">
        <f>+IFERROR(VLOOKUP(CONCATENATE(A557,$B$10,B557),'ID1&amp;5'!B:J,8,FALSE),"-")</f>
        <v>-</v>
      </c>
      <c r="L557" s="78" t="str">
        <f>+IFERROR(VLOOKUP(B557,'ID1&amp;5'!K:L,2,FALSE),"-")</f>
        <v>-</v>
      </c>
      <c r="M557" s="79" t="str">
        <f>+IFERROR(VLOOKUP(CONCATENATE(A557,$B$10,B557),'ID1&amp;5'!B:J,9,FALSE),"-")</f>
        <v>-</v>
      </c>
      <c r="N557" s="79" t="str">
        <f>+IFERROR(VLOOKUP(CONCATENATE(A557,$C$10,C557),'ID1&amp;5'!B:J,8,FALSE),"-")</f>
        <v>-</v>
      </c>
      <c r="O557" s="78" t="str">
        <f>+IFERROR(VLOOKUP(C557,'ID1&amp;5'!K:L,2,FALSE),"-")</f>
        <v>-</v>
      </c>
      <c r="P557" s="79" t="str">
        <f>+IFERROR(VLOOKUP(CONCATENATE(A557,$C$10,C557),'ID1&amp;5'!B:J,9,FALSE),"-")</f>
        <v>-</v>
      </c>
      <c r="Q557" s="78" t="str">
        <f>+IFERROR(VLOOKUP(D557,'ID1&amp;5'!K:L,2,FALSE),"-")</f>
        <v>-</v>
      </c>
      <c r="R557" s="26" t="str">
        <f>+IFERROR(VLOOKUP(CONCATENATE(A557,$D$10,D557),'ID1&amp;5'!B:J,9,FALSE),"-")</f>
        <v>-</v>
      </c>
      <c r="S557" s="78" t="str">
        <f>+IFERROR(VLOOKUP(E557,'ID1&amp;5'!K:L,2,FALSE),"-")</f>
        <v>-</v>
      </c>
      <c r="T557" s="79" t="str">
        <f>+IFERROR(VLOOKUP(CONCATENATE(A557,$E$10,E557),'ID1&amp;5'!B:J,9,FALSE),"-")</f>
        <v>-</v>
      </c>
      <c r="U557" s="78" t="str">
        <f>+IFERROR(VLOOKUP(F557,'ID1&amp;5'!K:L,2,FALSE),"-")</f>
        <v>-</v>
      </c>
      <c r="V557" s="79" t="str">
        <f>+IFERROR(VLOOKUP(CONCATENATE(A557,$F$10,F557),'ID1&amp;5'!B:J,9,FALSE),"-")</f>
        <v>-</v>
      </c>
      <c r="W557" s="26" t="str">
        <f>+IFERROR(VLOOKUP(A557,'ID6&amp;7'!A:I,9,FALSE),"-")</f>
        <v>-</v>
      </c>
      <c r="X557" s="26" t="str">
        <f>+IFERROR(VLOOKUP(A557,'ID6&amp;7'!A:J,10,FALSE),"-")</f>
        <v>-</v>
      </c>
      <c r="Y557" s="26"/>
      <c r="Z557" s="27" t="str">
        <f t="shared" si="9"/>
        <v>Por iniciar</v>
      </c>
      <c r="AA557" s="65"/>
    </row>
    <row r="558" spans="1:27">
      <c r="A558" s="20"/>
      <c r="B558" s="60"/>
      <c r="C558" s="60"/>
      <c r="D558" s="60"/>
      <c r="E558" s="60"/>
      <c r="F558" s="60"/>
      <c r="G558" s="60"/>
      <c r="H558" s="65" t="s">
        <v>114</v>
      </c>
      <c r="I558" s="21" t="s">
        <v>1493</v>
      </c>
      <c r="J558" s="26">
        <f>+COUNTIF('ID1&amp;5'!G:G,'1. Status'!I558)</f>
        <v>0</v>
      </c>
      <c r="K558" s="79" t="str">
        <f>+IFERROR(VLOOKUP(CONCATENATE(A558,$B$10,B558),'ID1&amp;5'!B:J,8,FALSE),"-")</f>
        <v>-</v>
      </c>
      <c r="L558" s="78" t="str">
        <f>+IFERROR(VLOOKUP(B558,'ID1&amp;5'!K:L,2,FALSE),"-")</f>
        <v>-</v>
      </c>
      <c r="M558" s="79" t="str">
        <f>+IFERROR(VLOOKUP(CONCATENATE(A558,$B$10,B558),'ID1&amp;5'!B:J,9,FALSE),"-")</f>
        <v>-</v>
      </c>
      <c r="N558" s="79" t="str">
        <f>+IFERROR(VLOOKUP(CONCATENATE(A558,$C$10,C558),'ID1&amp;5'!B:J,8,FALSE),"-")</f>
        <v>-</v>
      </c>
      <c r="O558" s="78" t="str">
        <f>+IFERROR(VLOOKUP(C558,'ID1&amp;5'!K:L,2,FALSE),"-")</f>
        <v>-</v>
      </c>
      <c r="P558" s="79" t="str">
        <f>+IFERROR(VLOOKUP(CONCATENATE(A558,$C$10,C558),'ID1&amp;5'!B:J,9,FALSE),"-")</f>
        <v>-</v>
      </c>
      <c r="Q558" s="78" t="str">
        <f>+IFERROR(VLOOKUP(D558,'ID1&amp;5'!K:L,2,FALSE),"-")</f>
        <v>-</v>
      </c>
      <c r="R558" s="26" t="str">
        <f>+IFERROR(VLOOKUP(CONCATENATE(A558,$D$10,D558),'ID1&amp;5'!B:J,9,FALSE),"-")</f>
        <v>-</v>
      </c>
      <c r="S558" s="78" t="str">
        <f>+IFERROR(VLOOKUP(E558,'ID1&amp;5'!K:L,2,FALSE),"-")</f>
        <v>-</v>
      </c>
      <c r="T558" s="79" t="str">
        <f>+IFERROR(VLOOKUP(CONCATENATE(A558,$E$10,E558),'ID1&amp;5'!B:J,9,FALSE),"-")</f>
        <v>-</v>
      </c>
      <c r="U558" s="78" t="str">
        <f>+IFERROR(VLOOKUP(F558,'ID1&amp;5'!K:L,2,FALSE),"-")</f>
        <v>-</v>
      </c>
      <c r="V558" s="79" t="str">
        <f>+IFERROR(VLOOKUP(CONCATENATE(A558,$F$10,F558),'ID1&amp;5'!B:J,9,FALSE),"-")</f>
        <v>-</v>
      </c>
      <c r="W558" s="26" t="str">
        <f>+IFERROR(VLOOKUP(A558,'ID6&amp;7'!A:I,9,FALSE),"-")</f>
        <v>-</v>
      </c>
      <c r="X558" s="26" t="str">
        <f>+IFERROR(VLOOKUP(A558,'ID6&amp;7'!A:J,10,FALSE),"-")</f>
        <v>-</v>
      </c>
      <c r="Y558" s="26"/>
      <c r="Z558" s="27" t="str">
        <f t="shared" si="9"/>
        <v>Por iniciar</v>
      </c>
      <c r="AA558" s="65"/>
    </row>
    <row r="559" spans="1:27">
      <c r="A559" s="20"/>
      <c r="B559" s="60"/>
      <c r="C559" s="60"/>
      <c r="D559" s="60"/>
      <c r="E559" s="60"/>
      <c r="F559" s="60"/>
      <c r="G559" s="60"/>
      <c r="H559" s="65" t="s">
        <v>114</v>
      </c>
      <c r="I559" s="21" t="s">
        <v>1494</v>
      </c>
      <c r="J559" s="26">
        <f>+COUNTIF('ID1&amp;5'!G:G,'1. Status'!I559)</f>
        <v>0</v>
      </c>
      <c r="K559" s="79" t="str">
        <f>+IFERROR(VLOOKUP(CONCATENATE(A559,$B$10,B559),'ID1&amp;5'!B:J,8,FALSE),"-")</f>
        <v>-</v>
      </c>
      <c r="L559" s="78" t="str">
        <f>+IFERROR(VLOOKUP(B559,'ID1&amp;5'!K:L,2,FALSE),"-")</f>
        <v>-</v>
      </c>
      <c r="M559" s="79" t="str">
        <f>+IFERROR(VLOOKUP(CONCATENATE(A559,$B$10,B559),'ID1&amp;5'!B:J,9,FALSE),"-")</f>
        <v>-</v>
      </c>
      <c r="N559" s="79" t="str">
        <f>+IFERROR(VLOOKUP(CONCATENATE(A559,$C$10,C559),'ID1&amp;5'!B:J,8,FALSE),"-")</f>
        <v>-</v>
      </c>
      <c r="O559" s="78" t="str">
        <f>+IFERROR(VLOOKUP(C559,'ID1&amp;5'!K:L,2,FALSE),"-")</f>
        <v>-</v>
      </c>
      <c r="P559" s="79" t="str">
        <f>+IFERROR(VLOOKUP(CONCATENATE(A559,$C$10,C559),'ID1&amp;5'!B:J,9,FALSE),"-")</f>
        <v>-</v>
      </c>
      <c r="Q559" s="78" t="str">
        <f>+IFERROR(VLOOKUP(D559,'ID1&amp;5'!K:L,2,FALSE),"-")</f>
        <v>-</v>
      </c>
      <c r="R559" s="26" t="str">
        <f>+IFERROR(VLOOKUP(CONCATENATE(A559,$D$10,D559),'ID1&amp;5'!B:J,9,FALSE),"-")</f>
        <v>-</v>
      </c>
      <c r="S559" s="78" t="str">
        <f>+IFERROR(VLOOKUP(E559,'ID1&amp;5'!K:L,2,FALSE),"-")</f>
        <v>-</v>
      </c>
      <c r="T559" s="79" t="str">
        <f>+IFERROR(VLOOKUP(CONCATENATE(A559,$E$10,E559),'ID1&amp;5'!B:J,9,FALSE),"-")</f>
        <v>-</v>
      </c>
      <c r="U559" s="78" t="str">
        <f>+IFERROR(VLOOKUP(F559,'ID1&amp;5'!K:L,2,FALSE),"-")</f>
        <v>-</v>
      </c>
      <c r="V559" s="79" t="str">
        <f>+IFERROR(VLOOKUP(CONCATENATE(A559,$F$10,F559),'ID1&amp;5'!B:J,9,FALSE),"-")</f>
        <v>-</v>
      </c>
      <c r="W559" s="26" t="str">
        <f>+IFERROR(VLOOKUP(A559,'ID6&amp;7'!A:I,9,FALSE),"-")</f>
        <v>-</v>
      </c>
      <c r="X559" s="26" t="str">
        <f>+IFERROR(VLOOKUP(A559,'ID6&amp;7'!A:J,10,FALSE),"-")</f>
        <v>-</v>
      </c>
      <c r="Y559" s="26"/>
      <c r="Z559" s="27" t="str">
        <f t="shared" si="9"/>
        <v>Por iniciar</v>
      </c>
      <c r="AA559" s="65"/>
    </row>
    <row r="560" spans="1:27">
      <c r="A560" s="20"/>
      <c r="B560" s="60"/>
      <c r="C560" s="60"/>
      <c r="D560" s="60"/>
      <c r="E560" s="60"/>
      <c r="F560" s="60"/>
      <c r="G560" s="60"/>
      <c r="H560" s="65" t="s">
        <v>114</v>
      </c>
      <c r="I560" s="21" t="s">
        <v>1495</v>
      </c>
      <c r="J560" s="26">
        <f>+COUNTIF('ID1&amp;5'!G:G,'1. Status'!I560)</f>
        <v>0</v>
      </c>
      <c r="K560" s="79" t="str">
        <f>+IFERROR(VLOOKUP(CONCATENATE(A560,$B$10,B560),'ID1&amp;5'!B:J,8,FALSE),"-")</f>
        <v>-</v>
      </c>
      <c r="L560" s="78" t="str">
        <f>+IFERROR(VLOOKUP(B560,'ID1&amp;5'!K:L,2,FALSE),"-")</f>
        <v>-</v>
      </c>
      <c r="M560" s="79" t="str">
        <f>+IFERROR(VLOOKUP(CONCATENATE(A560,$B$10,B560),'ID1&amp;5'!B:J,9,FALSE),"-")</f>
        <v>-</v>
      </c>
      <c r="N560" s="79" t="str">
        <f>+IFERROR(VLOOKUP(CONCATENATE(A560,$C$10,C560),'ID1&amp;5'!B:J,8,FALSE),"-")</f>
        <v>-</v>
      </c>
      <c r="O560" s="78" t="str">
        <f>+IFERROR(VLOOKUP(C560,'ID1&amp;5'!K:L,2,FALSE),"-")</f>
        <v>-</v>
      </c>
      <c r="P560" s="79" t="str">
        <f>+IFERROR(VLOOKUP(CONCATENATE(A560,$C$10,C560),'ID1&amp;5'!B:J,9,FALSE),"-")</f>
        <v>-</v>
      </c>
      <c r="Q560" s="78" t="str">
        <f>+IFERROR(VLOOKUP(D560,'ID1&amp;5'!K:L,2,FALSE),"-")</f>
        <v>-</v>
      </c>
      <c r="R560" s="26" t="str">
        <f>+IFERROR(VLOOKUP(CONCATENATE(A560,$D$10,D560),'ID1&amp;5'!B:J,9,FALSE),"-")</f>
        <v>-</v>
      </c>
      <c r="S560" s="78" t="str">
        <f>+IFERROR(VLOOKUP(E560,'ID1&amp;5'!K:L,2,FALSE),"-")</f>
        <v>-</v>
      </c>
      <c r="T560" s="79" t="str">
        <f>+IFERROR(VLOOKUP(CONCATENATE(A560,$E$10,E560),'ID1&amp;5'!B:J,9,FALSE),"-")</f>
        <v>-</v>
      </c>
      <c r="U560" s="78" t="str">
        <f>+IFERROR(VLOOKUP(F560,'ID1&amp;5'!K:L,2,FALSE),"-")</f>
        <v>-</v>
      </c>
      <c r="V560" s="79" t="str">
        <f>+IFERROR(VLOOKUP(CONCATENATE(A560,$F$10,F560),'ID1&amp;5'!B:J,9,FALSE),"-")</f>
        <v>-</v>
      </c>
      <c r="W560" s="26" t="str">
        <f>+IFERROR(VLOOKUP(A560,'ID6&amp;7'!A:I,9,FALSE),"-")</f>
        <v>-</v>
      </c>
      <c r="X560" s="26" t="str">
        <f>+IFERROR(VLOOKUP(A560,'ID6&amp;7'!A:J,10,FALSE),"-")</f>
        <v>-</v>
      </c>
      <c r="Y560" s="26"/>
      <c r="Z560" s="27" t="str">
        <f t="shared" si="9"/>
        <v>Por iniciar</v>
      </c>
      <c r="AA560" s="65"/>
    </row>
    <row r="561" spans="1:27">
      <c r="A561" s="20"/>
      <c r="B561" s="60"/>
      <c r="C561" s="60"/>
      <c r="D561" s="60"/>
      <c r="E561" s="60"/>
      <c r="F561" s="60"/>
      <c r="G561" s="60"/>
      <c r="H561" s="65" t="s">
        <v>115</v>
      </c>
      <c r="I561" s="21" t="s">
        <v>1496</v>
      </c>
      <c r="J561" s="26">
        <f>+COUNTIF('ID1&amp;5'!G:G,'1. Status'!I561)</f>
        <v>1</v>
      </c>
      <c r="K561" s="79" t="str">
        <f>+IFERROR(VLOOKUP(CONCATENATE(A561,$B$10,B561),'ID1&amp;5'!B:J,8,FALSE),"-")</f>
        <v>-</v>
      </c>
      <c r="L561" s="78" t="str">
        <f>+IFERROR(VLOOKUP(B561,'ID1&amp;5'!K:L,2,FALSE),"-")</f>
        <v>-</v>
      </c>
      <c r="M561" s="79" t="str">
        <f>+IFERROR(VLOOKUP(CONCATENATE(A561,$B$10,B561),'ID1&amp;5'!B:J,9,FALSE),"-")</f>
        <v>-</v>
      </c>
      <c r="N561" s="79" t="str">
        <f>+IFERROR(VLOOKUP(CONCATENATE(A561,$C$10,C561),'ID1&amp;5'!B:J,8,FALSE),"-")</f>
        <v>-</v>
      </c>
      <c r="O561" s="78" t="str">
        <f>+IFERROR(VLOOKUP(C561,'ID1&amp;5'!K:L,2,FALSE),"-")</f>
        <v>-</v>
      </c>
      <c r="P561" s="79" t="str">
        <f>+IFERROR(VLOOKUP(CONCATENATE(A561,$C$10,C561),'ID1&amp;5'!B:J,9,FALSE),"-")</f>
        <v>-</v>
      </c>
      <c r="Q561" s="78" t="str">
        <f>+IFERROR(VLOOKUP(D561,'ID1&amp;5'!K:L,2,FALSE),"-")</f>
        <v>-</v>
      </c>
      <c r="R561" s="26" t="str">
        <f>+IFERROR(VLOOKUP(CONCATENATE(A561,$D$10,D561),'ID1&amp;5'!B:J,9,FALSE),"-")</f>
        <v>-</v>
      </c>
      <c r="S561" s="78" t="str">
        <f>+IFERROR(VLOOKUP(E561,'ID1&amp;5'!K:L,2,FALSE),"-")</f>
        <v>-</v>
      </c>
      <c r="T561" s="79" t="str">
        <f>+IFERROR(VLOOKUP(CONCATENATE(A561,$E$10,E561),'ID1&amp;5'!B:J,9,FALSE),"-")</f>
        <v>-</v>
      </c>
      <c r="U561" s="78" t="str">
        <f>+IFERROR(VLOOKUP(F561,'ID1&amp;5'!K:L,2,FALSE),"-")</f>
        <v>-</v>
      </c>
      <c r="V561" s="79" t="str">
        <f>+IFERROR(VLOOKUP(CONCATENATE(A561,$F$10,F561),'ID1&amp;5'!B:J,9,FALSE),"-")</f>
        <v>-</v>
      </c>
      <c r="W561" s="26" t="str">
        <f>+IFERROR(VLOOKUP(A561,'ID6&amp;7'!A:I,9,FALSE),"-")</f>
        <v>-</v>
      </c>
      <c r="X561" s="26" t="str">
        <f>+IFERROR(VLOOKUP(A561,'ID6&amp;7'!A:J,10,FALSE),"-")</f>
        <v>-</v>
      </c>
      <c r="Y561" s="26"/>
      <c r="Z561" s="27" t="str">
        <f t="shared" si="9"/>
        <v>Em testes</v>
      </c>
      <c r="AA561" s="65"/>
    </row>
    <row r="562" spans="1:27">
      <c r="A562" s="20"/>
      <c r="B562" s="60"/>
      <c r="C562" s="60"/>
      <c r="D562" s="60"/>
      <c r="E562" s="60"/>
      <c r="F562" s="60"/>
      <c r="G562" s="60"/>
      <c r="H562" s="65" t="s">
        <v>115</v>
      </c>
      <c r="I562" s="21" t="s">
        <v>1497</v>
      </c>
      <c r="J562" s="26">
        <f>+COUNTIF('ID1&amp;5'!G:G,'1. Status'!I562)</f>
        <v>0</v>
      </c>
      <c r="K562" s="79" t="str">
        <f>+IFERROR(VLOOKUP(CONCATENATE(A562,$B$10,B562),'ID1&amp;5'!B:J,8,FALSE),"-")</f>
        <v>-</v>
      </c>
      <c r="L562" s="78" t="str">
        <f>+IFERROR(VLOOKUP(B562,'ID1&amp;5'!K:L,2,FALSE),"-")</f>
        <v>-</v>
      </c>
      <c r="M562" s="79" t="str">
        <f>+IFERROR(VLOOKUP(CONCATENATE(A562,$B$10,B562),'ID1&amp;5'!B:J,9,FALSE),"-")</f>
        <v>-</v>
      </c>
      <c r="N562" s="79" t="str">
        <f>+IFERROR(VLOOKUP(CONCATENATE(A562,$C$10,C562),'ID1&amp;5'!B:J,8,FALSE),"-")</f>
        <v>-</v>
      </c>
      <c r="O562" s="78" t="str">
        <f>+IFERROR(VLOOKUP(C562,'ID1&amp;5'!K:L,2,FALSE),"-")</f>
        <v>-</v>
      </c>
      <c r="P562" s="79" t="str">
        <f>+IFERROR(VLOOKUP(CONCATENATE(A562,$C$10,C562),'ID1&amp;5'!B:J,9,FALSE),"-")</f>
        <v>-</v>
      </c>
      <c r="Q562" s="78" t="str">
        <f>+IFERROR(VLOOKUP(D562,'ID1&amp;5'!K:L,2,FALSE),"-")</f>
        <v>-</v>
      </c>
      <c r="R562" s="26" t="str">
        <f>+IFERROR(VLOOKUP(CONCATENATE(A562,$D$10,D562),'ID1&amp;5'!B:J,9,FALSE),"-")</f>
        <v>-</v>
      </c>
      <c r="S562" s="78" t="str">
        <f>+IFERROR(VLOOKUP(E562,'ID1&amp;5'!K:L,2,FALSE),"-")</f>
        <v>-</v>
      </c>
      <c r="T562" s="79" t="str">
        <f>+IFERROR(VLOOKUP(CONCATENATE(A562,$E$10,E562),'ID1&amp;5'!B:J,9,FALSE),"-")</f>
        <v>-</v>
      </c>
      <c r="U562" s="78" t="str">
        <f>+IFERROR(VLOOKUP(F562,'ID1&amp;5'!K:L,2,FALSE),"-")</f>
        <v>-</v>
      </c>
      <c r="V562" s="79" t="str">
        <f>+IFERROR(VLOOKUP(CONCATENATE(A562,$F$10,F562),'ID1&amp;5'!B:J,9,FALSE),"-")</f>
        <v>-</v>
      </c>
      <c r="W562" s="26" t="str">
        <f>+IFERROR(VLOOKUP(A562,'ID6&amp;7'!A:I,9,FALSE),"-")</f>
        <v>-</v>
      </c>
      <c r="X562" s="26" t="str">
        <f>+IFERROR(VLOOKUP(A562,'ID6&amp;7'!A:J,10,FALSE),"-")</f>
        <v>-</v>
      </c>
      <c r="Y562" s="26"/>
      <c r="Z562" s="27" t="str">
        <f t="shared" si="9"/>
        <v>Por iniciar</v>
      </c>
      <c r="AA562" s="65"/>
    </row>
    <row r="563" spans="1:27">
      <c r="A563" s="20"/>
      <c r="B563" s="60"/>
      <c r="C563" s="60"/>
      <c r="D563" s="60"/>
      <c r="E563" s="60"/>
      <c r="F563" s="60"/>
      <c r="G563" s="60"/>
      <c r="H563" s="65" t="s">
        <v>115</v>
      </c>
      <c r="I563" s="21" t="s">
        <v>28</v>
      </c>
      <c r="J563" s="26">
        <f>+COUNTIF('ID1&amp;5'!G:G,'1. Status'!I563)</f>
        <v>0</v>
      </c>
      <c r="K563" s="79" t="str">
        <f>+IFERROR(VLOOKUP(CONCATENATE(A563,$B$10,B563),'ID1&amp;5'!B:J,8,FALSE),"-")</f>
        <v>-</v>
      </c>
      <c r="L563" s="78" t="str">
        <f>+IFERROR(VLOOKUP(B563,'ID1&amp;5'!K:L,2,FALSE),"-")</f>
        <v>-</v>
      </c>
      <c r="M563" s="79" t="str">
        <f>+IFERROR(VLOOKUP(CONCATENATE(A563,$B$10,B563),'ID1&amp;5'!B:J,9,FALSE),"-")</f>
        <v>-</v>
      </c>
      <c r="N563" s="79" t="str">
        <f>+IFERROR(VLOOKUP(CONCATENATE(A563,$C$10,C563),'ID1&amp;5'!B:J,8,FALSE),"-")</f>
        <v>-</v>
      </c>
      <c r="O563" s="78" t="str">
        <f>+IFERROR(VLOOKUP(C563,'ID1&amp;5'!K:L,2,FALSE),"-")</f>
        <v>-</v>
      </c>
      <c r="P563" s="79" t="str">
        <f>+IFERROR(VLOOKUP(CONCATENATE(A563,$C$10,C563),'ID1&amp;5'!B:J,9,FALSE),"-")</f>
        <v>-</v>
      </c>
      <c r="Q563" s="78" t="str">
        <f>+IFERROR(VLOOKUP(D563,'ID1&amp;5'!K:L,2,FALSE),"-")</f>
        <v>-</v>
      </c>
      <c r="R563" s="26" t="str">
        <f>+IFERROR(VLOOKUP(CONCATENATE(A563,$D$10,D563),'ID1&amp;5'!B:J,9,FALSE),"-")</f>
        <v>-</v>
      </c>
      <c r="S563" s="78" t="str">
        <f>+IFERROR(VLOOKUP(E563,'ID1&amp;5'!K:L,2,FALSE),"-")</f>
        <v>-</v>
      </c>
      <c r="T563" s="79" t="str">
        <f>+IFERROR(VLOOKUP(CONCATENATE(A563,$E$10,E563),'ID1&amp;5'!B:J,9,FALSE),"-")</f>
        <v>-</v>
      </c>
      <c r="U563" s="78" t="str">
        <f>+IFERROR(VLOOKUP(F563,'ID1&amp;5'!K:L,2,FALSE),"-")</f>
        <v>-</v>
      </c>
      <c r="V563" s="79" t="str">
        <f>+IFERROR(VLOOKUP(CONCATENATE(A563,$F$10,F563),'ID1&amp;5'!B:J,9,FALSE),"-")</f>
        <v>-</v>
      </c>
      <c r="W563" s="26" t="str">
        <f>+IFERROR(VLOOKUP(A563,'ID6&amp;7'!A:I,9,FALSE),"-")</f>
        <v>-</v>
      </c>
      <c r="X563" s="26" t="str">
        <f>+IFERROR(VLOOKUP(A563,'ID6&amp;7'!A:J,10,FALSE),"-")</f>
        <v>-</v>
      </c>
      <c r="Y563" s="26"/>
      <c r="Z563" s="27" t="str">
        <f t="shared" si="9"/>
        <v>Por iniciar</v>
      </c>
      <c r="AA563" s="65"/>
    </row>
    <row r="564" spans="1:27">
      <c r="A564" s="20"/>
      <c r="B564" s="60"/>
      <c r="C564" s="60"/>
      <c r="D564" s="60"/>
      <c r="E564" s="60"/>
      <c r="F564" s="60"/>
      <c r="G564" s="60"/>
      <c r="H564" s="65" t="s">
        <v>115</v>
      </c>
      <c r="I564" s="21" t="s">
        <v>1498</v>
      </c>
      <c r="J564" s="26">
        <f>+COUNTIF('ID1&amp;5'!G:G,'1. Status'!I564)</f>
        <v>1</v>
      </c>
      <c r="K564" s="79" t="str">
        <f>+IFERROR(VLOOKUP(CONCATENATE(A564,$B$10,B564),'ID1&amp;5'!B:J,8,FALSE),"-")</f>
        <v>-</v>
      </c>
      <c r="L564" s="78" t="str">
        <f>+IFERROR(VLOOKUP(B564,'ID1&amp;5'!K:L,2,FALSE),"-")</f>
        <v>-</v>
      </c>
      <c r="M564" s="79" t="str">
        <f>+IFERROR(VLOOKUP(CONCATENATE(A564,$B$10,B564),'ID1&amp;5'!B:J,9,FALSE),"-")</f>
        <v>-</v>
      </c>
      <c r="N564" s="79" t="str">
        <f>+IFERROR(VLOOKUP(CONCATENATE(A564,$C$10,C564),'ID1&amp;5'!B:J,8,FALSE),"-")</f>
        <v>-</v>
      </c>
      <c r="O564" s="78" t="str">
        <f>+IFERROR(VLOOKUP(C564,'ID1&amp;5'!K:L,2,FALSE),"-")</f>
        <v>-</v>
      </c>
      <c r="P564" s="79" t="str">
        <f>+IFERROR(VLOOKUP(CONCATENATE(A564,$C$10,C564),'ID1&amp;5'!B:J,9,FALSE),"-")</f>
        <v>-</v>
      </c>
      <c r="Q564" s="78" t="str">
        <f>+IFERROR(VLOOKUP(D564,'ID1&amp;5'!K:L,2,FALSE),"-")</f>
        <v>-</v>
      </c>
      <c r="R564" s="26" t="str">
        <f>+IFERROR(VLOOKUP(CONCATENATE(A564,$D$10,D564),'ID1&amp;5'!B:J,9,FALSE),"-")</f>
        <v>-</v>
      </c>
      <c r="S564" s="78" t="str">
        <f>+IFERROR(VLOOKUP(E564,'ID1&amp;5'!K:L,2,FALSE),"-")</f>
        <v>-</v>
      </c>
      <c r="T564" s="79" t="str">
        <f>+IFERROR(VLOOKUP(CONCATENATE(A564,$E$10,E564),'ID1&amp;5'!B:J,9,FALSE),"-")</f>
        <v>-</v>
      </c>
      <c r="U564" s="78" t="str">
        <f>+IFERROR(VLOOKUP(F564,'ID1&amp;5'!K:L,2,FALSE),"-")</f>
        <v>-</v>
      </c>
      <c r="V564" s="79" t="str">
        <f>+IFERROR(VLOOKUP(CONCATENATE(A564,$F$10,F564),'ID1&amp;5'!B:J,9,FALSE),"-")</f>
        <v>-</v>
      </c>
      <c r="W564" s="26" t="str">
        <f>+IFERROR(VLOOKUP(A564,'ID6&amp;7'!A:I,9,FALSE),"-")</f>
        <v>-</v>
      </c>
      <c r="X564" s="26" t="str">
        <f>+IFERROR(VLOOKUP(A564,'ID6&amp;7'!A:J,10,FALSE),"-")</f>
        <v>-</v>
      </c>
      <c r="Y564" s="26"/>
      <c r="Z564" s="27" t="str">
        <f t="shared" si="9"/>
        <v>Em testes</v>
      </c>
      <c r="AA564" s="65"/>
    </row>
    <row r="565" spans="1:27">
      <c r="A565" s="20"/>
      <c r="B565" s="60"/>
      <c r="C565" s="60"/>
      <c r="D565" s="60"/>
      <c r="E565" s="60"/>
      <c r="F565" s="60"/>
      <c r="G565" s="60"/>
      <c r="H565" s="65" t="s">
        <v>115</v>
      </c>
      <c r="I565" s="21" t="s">
        <v>1499</v>
      </c>
      <c r="J565" s="26">
        <f>+COUNTIF('ID1&amp;5'!G:G,'1. Status'!I565)</f>
        <v>0</v>
      </c>
      <c r="K565" s="79" t="str">
        <f>+IFERROR(VLOOKUP(CONCATENATE(A565,$B$10,B565),'ID1&amp;5'!B:J,8,FALSE),"-")</f>
        <v>-</v>
      </c>
      <c r="L565" s="78" t="str">
        <f>+IFERROR(VLOOKUP(B565,'ID1&amp;5'!K:L,2,FALSE),"-")</f>
        <v>-</v>
      </c>
      <c r="M565" s="79" t="str">
        <f>+IFERROR(VLOOKUP(CONCATENATE(A565,$B$10,B565),'ID1&amp;5'!B:J,9,FALSE),"-")</f>
        <v>-</v>
      </c>
      <c r="N565" s="79" t="str">
        <f>+IFERROR(VLOOKUP(CONCATENATE(A565,$C$10,C565),'ID1&amp;5'!B:J,8,FALSE),"-")</f>
        <v>-</v>
      </c>
      <c r="O565" s="78" t="str">
        <f>+IFERROR(VLOOKUP(C565,'ID1&amp;5'!K:L,2,FALSE),"-")</f>
        <v>-</v>
      </c>
      <c r="P565" s="79" t="str">
        <f>+IFERROR(VLOOKUP(CONCATENATE(A565,$C$10,C565),'ID1&amp;5'!B:J,9,FALSE),"-")</f>
        <v>-</v>
      </c>
      <c r="Q565" s="78" t="str">
        <f>+IFERROR(VLOOKUP(D565,'ID1&amp;5'!K:L,2,FALSE),"-")</f>
        <v>-</v>
      </c>
      <c r="R565" s="26" t="str">
        <f>+IFERROR(VLOOKUP(CONCATENATE(A565,$D$10,D565),'ID1&amp;5'!B:J,9,FALSE),"-")</f>
        <v>-</v>
      </c>
      <c r="S565" s="78" t="str">
        <f>+IFERROR(VLOOKUP(E565,'ID1&amp;5'!K:L,2,FALSE),"-")</f>
        <v>-</v>
      </c>
      <c r="T565" s="79" t="str">
        <f>+IFERROR(VLOOKUP(CONCATENATE(A565,$E$10,E565),'ID1&amp;5'!B:J,9,FALSE),"-")</f>
        <v>-</v>
      </c>
      <c r="U565" s="78" t="str">
        <f>+IFERROR(VLOOKUP(F565,'ID1&amp;5'!K:L,2,FALSE),"-")</f>
        <v>-</v>
      </c>
      <c r="V565" s="79" t="str">
        <f>+IFERROR(VLOOKUP(CONCATENATE(A565,$F$10,F565),'ID1&amp;5'!B:J,9,FALSE),"-")</f>
        <v>-</v>
      </c>
      <c r="W565" s="26" t="str">
        <f>+IFERROR(VLOOKUP(A565,'ID6&amp;7'!A:I,9,FALSE),"-")</f>
        <v>-</v>
      </c>
      <c r="X565" s="26" t="str">
        <f>+IFERROR(VLOOKUP(A565,'ID6&amp;7'!A:J,10,FALSE),"-")</f>
        <v>-</v>
      </c>
      <c r="Y565" s="26"/>
      <c r="Z565" s="27" t="str">
        <f t="shared" si="9"/>
        <v>Por iniciar</v>
      </c>
      <c r="AA565" s="65"/>
    </row>
    <row r="566" spans="1:27">
      <c r="A566" s="20"/>
      <c r="B566" s="60"/>
      <c r="C566" s="60"/>
      <c r="D566" s="60"/>
      <c r="E566" s="60"/>
      <c r="F566" s="60"/>
      <c r="G566" s="60"/>
      <c r="H566" s="65" t="s">
        <v>115</v>
      </c>
      <c r="I566" s="21" t="s">
        <v>664</v>
      </c>
      <c r="J566" s="26">
        <f>+COUNTIF('ID1&amp;5'!G:G,'1. Status'!I566)</f>
        <v>0</v>
      </c>
      <c r="K566" s="79" t="str">
        <f>+IFERROR(VLOOKUP(CONCATENATE(A566,$B$10,B566),'ID1&amp;5'!B:J,8,FALSE),"-")</f>
        <v>-</v>
      </c>
      <c r="L566" s="78" t="str">
        <f>+IFERROR(VLOOKUP(B566,'ID1&amp;5'!K:L,2,FALSE),"-")</f>
        <v>-</v>
      </c>
      <c r="M566" s="79" t="str">
        <f>+IFERROR(VLOOKUP(CONCATENATE(A566,$B$10,B566),'ID1&amp;5'!B:J,9,FALSE),"-")</f>
        <v>-</v>
      </c>
      <c r="N566" s="79" t="str">
        <f>+IFERROR(VLOOKUP(CONCATENATE(A566,$C$10,C566),'ID1&amp;5'!B:J,8,FALSE),"-")</f>
        <v>-</v>
      </c>
      <c r="O566" s="78" t="str">
        <f>+IFERROR(VLOOKUP(C566,'ID1&amp;5'!K:L,2,FALSE),"-")</f>
        <v>-</v>
      </c>
      <c r="P566" s="79" t="str">
        <f>+IFERROR(VLOOKUP(CONCATENATE(A566,$C$10,C566),'ID1&amp;5'!B:J,9,FALSE),"-")</f>
        <v>-</v>
      </c>
      <c r="Q566" s="78" t="str">
        <f>+IFERROR(VLOOKUP(D566,'ID1&amp;5'!K:L,2,FALSE),"-")</f>
        <v>-</v>
      </c>
      <c r="R566" s="26" t="str">
        <f>+IFERROR(VLOOKUP(CONCATENATE(A566,$D$10,D566),'ID1&amp;5'!B:J,9,FALSE),"-")</f>
        <v>-</v>
      </c>
      <c r="S566" s="78" t="str">
        <f>+IFERROR(VLOOKUP(E566,'ID1&amp;5'!K:L,2,FALSE),"-")</f>
        <v>-</v>
      </c>
      <c r="T566" s="79" t="str">
        <f>+IFERROR(VLOOKUP(CONCATENATE(A566,$E$10,E566),'ID1&amp;5'!B:J,9,FALSE),"-")</f>
        <v>-</v>
      </c>
      <c r="U566" s="78" t="str">
        <f>+IFERROR(VLOOKUP(F566,'ID1&amp;5'!K:L,2,FALSE),"-")</f>
        <v>-</v>
      </c>
      <c r="V566" s="79" t="str">
        <f>+IFERROR(VLOOKUP(CONCATENATE(A566,$F$10,F566),'ID1&amp;5'!B:J,9,FALSE),"-")</f>
        <v>-</v>
      </c>
      <c r="W566" s="26" t="str">
        <f>+IFERROR(VLOOKUP(A566,'ID6&amp;7'!A:I,9,FALSE),"-")</f>
        <v>-</v>
      </c>
      <c r="X566" s="26" t="str">
        <f>+IFERROR(VLOOKUP(A566,'ID6&amp;7'!A:J,10,FALSE),"-")</f>
        <v>-</v>
      </c>
      <c r="Y566" s="26"/>
      <c r="Z566" s="27" t="str">
        <f t="shared" si="9"/>
        <v>Por iniciar</v>
      </c>
      <c r="AA566" s="65"/>
    </row>
    <row r="567" spans="1:27">
      <c r="A567" s="20"/>
      <c r="B567" s="60"/>
      <c r="C567" s="60"/>
      <c r="D567" s="60"/>
      <c r="E567" s="60"/>
      <c r="F567" s="60"/>
      <c r="G567" s="60"/>
      <c r="H567" s="65" t="s">
        <v>115</v>
      </c>
      <c r="I567" s="21" t="s">
        <v>1500</v>
      </c>
      <c r="J567" s="26">
        <f>+COUNTIF('ID1&amp;5'!G:G,'1. Status'!I567)</f>
        <v>0</v>
      </c>
      <c r="K567" s="79" t="str">
        <f>+IFERROR(VLOOKUP(CONCATENATE(A567,$B$10,B567),'ID1&amp;5'!B:J,8,FALSE),"-")</f>
        <v>-</v>
      </c>
      <c r="L567" s="78" t="str">
        <f>+IFERROR(VLOOKUP(B567,'ID1&amp;5'!K:L,2,FALSE),"-")</f>
        <v>-</v>
      </c>
      <c r="M567" s="79" t="str">
        <f>+IFERROR(VLOOKUP(CONCATENATE(A567,$B$10,B567),'ID1&amp;5'!B:J,9,FALSE),"-")</f>
        <v>-</v>
      </c>
      <c r="N567" s="79" t="str">
        <f>+IFERROR(VLOOKUP(CONCATENATE(A567,$C$10,C567),'ID1&amp;5'!B:J,8,FALSE),"-")</f>
        <v>-</v>
      </c>
      <c r="O567" s="78" t="str">
        <f>+IFERROR(VLOOKUP(C567,'ID1&amp;5'!K:L,2,FALSE),"-")</f>
        <v>-</v>
      </c>
      <c r="P567" s="79" t="str">
        <f>+IFERROR(VLOOKUP(CONCATENATE(A567,$C$10,C567),'ID1&amp;5'!B:J,9,FALSE),"-")</f>
        <v>-</v>
      </c>
      <c r="Q567" s="78" t="str">
        <f>+IFERROR(VLOOKUP(D567,'ID1&amp;5'!K:L,2,FALSE),"-")</f>
        <v>-</v>
      </c>
      <c r="R567" s="26" t="str">
        <f>+IFERROR(VLOOKUP(CONCATENATE(A567,$D$10,D567),'ID1&amp;5'!B:J,9,FALSE),"-")</f>
        <v>-</v>
      </c>
      <c r="S567" s="78" t="str">
        <f>+IFERROR(VLOOKUP(E567,'ID1&amp;5'!K:L,2,FALSE),"-")</f>
        <v>-</v>
      </c>
      <c r="T567" s="79" t="str">
        <f>+IFERROR(VLOOKUP(CONCATENATE(A567,$E$10,E567),'ID1&amp;5'!B:J,9,FALSE),"-")</f>
        <v>-</v>
      </c>
      <c r="U567" s="78" t="str">
        <f>+IFERROR(VLOOKUP(F567,'ID1&amp;5'!K:L,2,FALSE),"-")</f>
        <v>-</v>
      </c>
      <c r="V567" s="79" t="str">
        <f>+IFERROR(VLOOKUP(CONCATENATE(A567,$F$10,F567),'ID1&amp;5'!B:J,9,FALSE),"-")</f>
        <v>-</v>
      </c>
      <c r="W567" s="26" t="str">
        <f>+IFERROR(VLOOKUP(A567,'ID6&amp;7'!A:I,9,FALSE),"-")</f>
        <v>-</v>
      </c>
      <c r="X567" s="26" t="str">
        <f>+IFERROR(VLOOKUP(A567,'ID6&amp;7'!A:J,10,FALSE),"-")</f>
        <v>-</v>
      </c>
      <c r="Y567" s="26"/>
      <c r="Z567" s="27" t="str">
        <f t="shared" si="9"/>
        <v>Por iniciar</v>
      </c>
      <c r="AA567" s="65"/>
    </row>
    <row r="568" spans="1:27">
      <c r="A568" s="20"/>
      <c r="B568" s="60"/>
      <c r="C568" s="60"/>
      <c r="D568" s="60"/>
      <c r="E568" s="60"/>
      <c r="F568" s="60"/>
      <c r="G568" s="60"/>
      <c r="H568" s="65" t="s">
        <v>115</v>
      </c>
      <c r="I568" s="21" t="s">
        <v>1501</v>
      </c>
      <c r="J568" s="26">
        <f>+COUNTIF('ID1&amp;5'!G:G,'1. Status'!I568)</f>
        <v>0</v>
      </c>
      <c r="K568" s="79" t="str">
        <f>+IFERROR(VLOOKUP(CONCATENATE(A568,$B$10,B568),'ID1&amp;5'!B:J,8,FALSE),"-")</f>
        <v>-</v>
      </c>
      <c r="L568" s="78" t="str">
        <f>+IFERROR(VLOOKUP(B568,'ID1&amp;5'!K:L,2,FALSE),"-")</f>
        <v>-</v>
      </c>
      <c r="M568" s="79" t="str">
        <f>+IFERROR(VLOOKUP(CONCATENATE(A568,$B$10,B568),'ID1&amp;5'!B:J,9,FALSE),"-")</f>
        <v>-</v>
      </c>
      <c r="N568" s="79" t="str">
        <f>+IFERROR(VLOOKUP(CONCATENATE(A568,$C$10,C568),'ID1&amp;5'!B:J,8,FALSE),"-")</f>
        <v>-</v>
      </c>
      <c r="O568" s="78" t="str">
        <f>+IFERROR(VLOOKUP(C568,'ID1&amp;5'!K:L,2,FALSE),"-")</f>
        <v>-</v>
      </c>
      <c r="P568" s="79" t="str">
        <f>+IFERROR(VLOOKUP(CONCATENATE(A568,$C$10,C568),'ID1&amp;5'!B:J,9,FALSE),"-")</f>
        <v>-</v>
      </c>
      <c r="Q568" s="78" t="str">
        <f>+IFERROR(VLOOKUP(D568,'ID1&amp;5'!K:L,2,FALSE),"-")</f>
        <v>-</v>
      </c>
      <c r="R568" s="26" t="str">
        <f>+IFERROR(VLOOKUP(CONCATENATE(A568,$D$10,D568),'ID1&amp;5'!B:J,9,FALSE),"-")</f>
        <v>-</v>
      </c>
      <c r="S568" s="78" t="str">
        <f>+IFERROR(VLOOKUP(E568,'ID1&amp;5'!K:L,2,FALSE),"-")</f>
        <v>-</v>
      </c>
      <c r="T568" s="79" t="str">
        <f>+IFERROR(VLOOKUP(CONCATENATE(A568,$E$10,E568),'ID1&amp;5'!B:J,9,FALSE),"-")</f>
        <v>-</v>
      </c>
      <c r="U568" s="78" t="str">
        <f>+IFERROR(VLOOKUP(F568,'ID1&amp;5'!K:L,2,FALSE),"-")</f>
        <v>-</v>
      </c>
      <c r="V568" s="79" t="str">
        <f>+IFERROR(VLOOKUP(CONCATENATE(A568,$F$10,F568),'ID1&amp;5'!B:J,9,FALSE),"-")</f>
        <v>-</v>
      </c>
      <c r="W568" s="26" t="str">
        <f>+IFERROR(VLOOKUP(A568,'ID6&amp;7'!A:I,9,FALSE),"-")</f>
        <v>-</v>
      </c>
      <c r="X568" s="26" t="str">
        <f>+IFERROR(VLOOKUP(A568,'ID6&amp;7'!A:J,10,FALSE),"-")</f>
        <v>-</v>
      </c>
      <c r="Y568" s="26"/>
      <c r="Z568" s="27" t="str">
        <f t="shared" si="9"/>
        <v>Por iniciar</v>
      </c>
      <c r="AA568" s="65"/>
    </row>
    <row r="569" spans="1:27">
      <c r="A569" s="20"/>
      <c r="B569" s="60"/>
      <c r="C569" s="60"/>
      <c r="D569" s="60"/>
      <c r="E569" s="60"/>
      <c r="F569" s="60"/>
      <c r="G569" s="60"/>
      <c r="H569" s="65" t="s">
        <v>115</v>
      </c>
      <c r="I569" s="21" t="s">
        <v>665</v>
      </c>
      <c r="J569" s="26">
        <f>+COUNTIF('ID1&amp;5'!G:G,'1. Status'!I569)</f>
        <v>0</v>
      </c>
      <c r="K569" s="79" t="str">
        <f>+IFERROR(VLOOKUP(CONCATENATE(A569,$B$10,B569),'ID1&amp;5'!B:J,8,FALSE),"-")</f>
        <v>-</v>
      </c>
      <c r="L569" s="78" t="str">
        <f>+IFERROR(VLOOKUP(B569,'ID1&amp;5'!K:L,2,FALSE),"-")</f>
        <v>-</v>
      </c>
      <c r="M569" s="79" t="str">
        <f>+IFERROR(VLOOKUP(CONCATENATE(A569,$B$10,B569),'ID1&amp;5'!B:J,9,FALSE),"-")</f>
        <v>-</v>
      </c>
      <c r="N569" s="79" t="str">
        <f>+IFERROR(VLOOKUP(CONCATENATE(A569,$C$10,C569),'ID1&amp;5'!B:J,8,FALSE),"-")</f>
        <v>-</v>
      </c>
      <c r="O569" s="78" t="str">
        <f>+IFERROR(VLOOKUP(C569,'ID1&amp;5'!K:L,2,FALSE),"-")</f>
        <v>-</v>
      </c>
      <c r="P569" s="79" t="str">
        <f>+IFERROR(VLOOKUP(CONCATENATE(A569,$C$10,C569),'ID1&amp;5'!B:J,9,FALSE),"-")</f>
        <v>-</v>
      </c>
      <c r="Q569" s="78" t="str">
        <f>+IFERROR(VLOOKUP(D569,'ID1&amp;5'!K:L,2,FALSE),"-")</f>
        <v>-</v>
      </c>
      <c r="R569" s="26" t="str">
        <f>+IFERROR(VLOOKUP(CONCATENATE(A569,$D$10,D569),'ID1&amp;5'!B:J,9,FALSE),"-")</f>
        <v>-</v>
      </c>
      <c r="S569" s="78" t="str">
        <f>+IFERROR(VLOOKUP(E569,'ID1&amp;5'!K:L,2,FALSE),"-")</f>
        <v>-</v>
      </c>
      <c r="T569" s="79" t="str">
        <f>+IFERROR(VLOOKUP(CONCATENATE(A569,$E$10,E569),'ID1&amp;5'!B:J,9,FALSE),"-")</f>
        <v>-</v>
      </c>
      <c r="U569" s="78" t="str">
        <f>+IFERROR(VLOOKUP(F569,'ID1&amp;5'!K:L,2,FALSE),"-")</f>
        <v>-</v>
      </c>
      <c r="V569" s="79" t="str">
        <f>+IFERROR(VLOOKUP(CONCATENATE(A569,$F$10,F569),'ID1&amp;5'!B:J,9,FALSE),"-")</f>
        <v>-</v>
      </c>
      <c r="W569" s="26" t="str">
        <f>+IFERROR(VLOOKUP(A569,'ID6&amp;7'!A:I,9,FALSE),"-")</f>
        <v>-</v>
      </c>
      <c r="X569" s="26" t="str">
        <f>+IFERROR(VLOOKUP(A569,'ID6&amp;7'!A:J,10,FALSE),"-")</f>
        <v>-</v>
      </c>
      <c r="Y569" s="26"/>
      <c r="Z569" s="27" t="str">
        <f t="shared" si="9"/>
        <v>Por iniciar</v>
      </c>
      <c r="AA569" s="65"/>
    </row>
    <row r="570" spans="1:27">
      <c r="A570" s="20"/>
      <c r="B570" s="60"/>
      <c r="C570" s="60"/>
      <c r="D570" s="60"/>
      <c r="E570" s="60"/>
      <c r="F570" s="60"/>
      <c r="G570" s="60"/>
      <c r="H570" s="65" t="s">
        <v>115</v>
      </c>
      <c r="I570" s="21" t="s">
        <v>1502</v>
      </c>
      <c r="J570" s="26">
        <f>+COUNTIF('ID1&amp;5'!G:G,'1. Status'!I570)</f>
        <v>0</v>
      </c>
      <c r="K570" s="79" t="str">
        <f>+IFERROR(VLOOKUP(CONCATENATE(A570,$B$10,B570),'ID1&amp;5'!B:J,8,FALSE),"-")</f>
        <v>-</v>
      </c>
      <c r="L570" s="78" t="str">
        <f>+IFERROR(VLOOKUP(B570,'ID1&amp;5'!K:L,2,FALSE),"-")</f>
        <v>-</v>
      </c>
      <c r="M570" s="79" t="str">
        <f>+IFERROR(VLOOKUP(CONCATENATE(A570,$B$10,B570),'ID1&amp;5'!B:J,9,FALSE),"-")</f>
        <v>-</v>
      </c>
      <c r="N570" s="79" t="str">
        <f>+IFERROR(VLOOKUP(CONCATENATE(A570,$C$10,C570),'ID1&amp;5'!B:J,8,FALSE),"-")</f>
        <v>-</v>
      </c>
      <c r="O570" s="78" t="str">
        <f>+IFERROR(VLOOKUP(C570,'ID1&amp;5'!K:L,2,FALSE),"-")</f>
        <v>-</v>
      </c>
      <c r="P570" s="79" t="str">
        <f>+IFERROR(VLOOKUP(CONCATENATE(A570,$C$10,C570),'ID1&amp;5'!B:J,9,FALSE),"-")</f>
        <v>-</v>
      </c>
      <c r="Q570" s="78" t="str">
        <f>+IFERROR(VLOOKUP(D570,'ID1&amp;5'!K:L,2,FALSE),"-")</f>
        <v>-</v>
      </c>
      <c r="R570" s="26" t="str">
        <f>+IFERROR(VLOOKUP(CONCATENATE(A570,$D$10,D570),'ID1&amp;5'!B:J,9,FALSE),"-")</f>
        <v>-</v>
      </c>
      <c r="S570" s="78" t="str">
        <f>+IFERROR(VLOOKUP(E570,'ID1&amp;5'!K:L,2,FALSE),"-")</f>
        <v>-</v>
      </c>
      <c r="T570" s="79" t="str">
        <f>+IFERROR(VLOOKUP(CONCATENATE(A570,$E$10,E570),'ID1&amp;5'!B:J,9,FALSE),"-")</f>
        <v>-</v>
      </c>
      <c r="U570" s="78" t="str">
        <f>+IFERROR(VLOOKUP(F570,'ID1&amp;5'!K:L,2,FALSE),"-")</f>
        <v>-</v>
      </c>
      <c r="V570" s="79" t="str">
        <f>+IFERROR(VLOOKUP(CONCATENATE(A570,$F$10,F570),'ID1&amp;5'!B:J,9,FALSE),"-")</f>
        <v>-</v>
      </c>
      <c r="W570" s="26" t="str">
        <f>+IFERROR(VLOOKUP(A570,'ID6&amp;7'!A:I,9,FALSE),"-")</f>
        <v>-</v>
      </c>
      <c r="X570" s="26" t="str">
        <f>+IFERROR(VLOOKUP(A570,'ID6&amp;7'!A:J,10,FALSE),"-")</f>
        <v>-</v>
      </c>
      <c r="Y570" s="26"/>
      <c r="Z570" s="27" t="str">
        <f t="shared" si="9"/>
        <v>Por iniciar</v>
      </c>
      <c r="AA570" s="65"/>
    </row>
    <row r="571" spans="1:27">
      <c r="A571" s="20"/>
      <c r="B571" s="60"/>
      <c r="C571" s="60"/>
      <c r="D571" s="60"/>
      <c r="E571" s="60"/>
      <c r="F571" s="60"/>
      <c r="G571" s="60"/>
      <c r="H571" s="65" t="s">
        <v>115</v>
      </c>
      <c r="I571" s="21" t="s">
        <v>1503</v>
      </c>
      <c r="J571" s="26">
        <f>+COUNTIF('ID1&amp;5'!G:G,'1. Status'!I571)</f>
        <v>0</v>
      </c>
      <c r="K571" s="79" t="str">
        <f>+IFERROR(VLOOKUP(CONCATENATE(A571,$B$10,B571),'ID1&amp;5'!B:J,8,FALSE),"-")</f>
        <v>-</v>
      </c>
      <c r="L571" s="78" t="str">
        <f>+IFERROR(VLOOKUP(B571,'ID1&amp;5'!K:L,2,FALSE),"-")</f>
        <v>-</v>
      </c>
      <c r="M571" s="79" t="str">
        <f>+IFERROR(VLOOKUP(CONCATENATE(A571,$B$10,B571),'ID1&amp;5'!B:J,9,FALSE),"-")</f>
        <v>-</v>
      </c>
      <c r="N571" s="79" t="str">
        <f>+IFERROR(VLOOKUP(CONCATENATE(A571,$C$10,C571),'ID1&amp;5'!B:J,8,FALSE),"-")</f>
        <v>-</v>
      </c>
      <c r="O571" s="78" t="str">
        <f>+IFERROR(VLOOKUP(C571,'ID1&amp;5'!K:L,2,FALSE),"-")</f>
        <v>-</v>
      </c>
      <c r="P571" s="79" t="str">
        <f>+IFERROR(VLOOKUP(CONCATENATE(A571,$C$10,C571),'ID1&amp;5'!B:J,9,FALSE),"-")</f>
        <v>-</v>
      </c>
      <c r="Q571" s="78" t="str">
        <f>+IFERROR(VLOOKUP(D571,'ID1&amp;5'!K:L,2,FALSE),"-")</f>
        <v>-</v>
      </c>
      <c r="R571" s="26" t="str">
        <f>+IFERROR(VLOOKUP(CONCATENATE(A571,$D$10,D571),'ID1&amp;5'!B:J,9,FALSE),"-")</f>
        <v>-</v>
      </c>
      <c r="S571" s="78" t="str">
        <f>+IFERROR(VLOOKUP(E571,'ID1&amp;5'!K:L,2,FALSE),"-")</f>
        <v>-</v>
      </c>
      <c r="T571" s="79" t="str">
        <f>+IFERROR(VLOOKUP(CONCATENATE(A571,$E$10,E571),'ID1&amp;5'!B:J,9,FALSE),"-")</f>
        <v>-</v>
      </c>
      <c r="U571" s="78" t="str">
        <f>+IFERROR(VLOOKUP(F571,'ID1&amp;5'!K:L,2,FALSE),"-")</f>
        <v>-</v>
      </c>
      <c r="V571" s="79" t="str">
        <f>+IFERROR(VLOOKUP(CONCATENATE(A571,$F$10,F571),'ID1&amp;5'!B:J,9,FALSE),"-")</f>
        <v>-</v>
      </c>
      <c r="W571" s="26" t="str">
        <f>+IFERROR(VLOOKUP(A571,'ID6&amp;7'!A:I,9,FALSE),"-")</f>
        <v>-</v>
      </c>
      <c r="X571" s="26" t="str">
        <f>+IFERROR(VLOOKUP(A571,'ID6&amp;7'!A:J,10,FALSE),"-")</f>
        <v>-</v>
      </c>
      <c r="Y571" s="26"/>
      <c r="Z571" s="27" t="str">
        <f t="shared" si="9"/>
        <v>Por iniciar</v>
      </c>
      <c r="AA571" s="65"/>
    </row>
    <row r="572" spans="1:27">
      <c r="A572" s="20"/>
      <c r="B572" s="60"/>
      <c r="C572" s="60"/>
      <c r="D572" s="60"/>
      <c r="E572" s="60"/>
      <c r="F572" s="60"/>
      <c r="G572" s="60"/>
      <c r="H572" s="65" t="s">
        <v>115</v>
      </c>
      <c r="I572" s="21" t="s">
        <v>666</v>
      </c>
      <c r="J572" s="26">
        <f>+COUNTIF('ID1&amp;5'!G:G,'1. Status'!I572)</f>
        <v>1</v>
      </c>
      <c r="K572" s="79" t="str">
        <f>+IFERROR(VLOOKUP(CONCATENATE(A572,$B$10,B572),'ID1&amp;5'!B:J,8,FALSE),"-")</f>
        <v>-</v>
      </c>
      <c r="L572" s="78" t="str">
        <f>+IFERROR(VLOOKUP(B572,'ID1&amp;5'!K:L,2,FALSE),"-")</f>
        <v>-</v>
      </c>
      <c r="M572" s="79" t="str">
        <f>+IFERROR(VLOOKUP(CONCATENATE(A572,$B$10,B572),'ID1&amp;5'!B:J,9,FALSE),"-")</f>
        <v>-</v>
      </c>
      <c r="N572" s="79" t="str">
        <f>+IFERROR(VLOOKUP(CONCATENATE(A572,$C$10,C572),'ID1&amp;5'!B:J,8,FALSE),"-")</f>
        <v>-</v>
      </c>
      <c r="O572" s="78" t="str">
        <f>+IFERROR(VLOOKUP(C572,'ID1&amp;5'!K:L,2,FALSE),"-")</f>
        <v>-</v>
      </c>
      <c r="P572" s="79" t="str">
        <f>+IFERROR(VLOOKUP(CONCATENATE(A572,$C$10,C572),'ID1&amp;5'!B:J,9,FALSE),"-")</f>
        <v>-</v>
      </c>
      <c r="Q572" s="78" t="str">
        <f>+IFERROR(VLOOKUP(D572,'ID1&amp;5'!K:L,2,FALSE),"-")</f>
        <v>-</v>
      </c>
      <c r="R572" s="26" t="str">
        <f>+IFERROR(VLOOKUP(CONCATENATE(A572,$D$10,D572),'ID1&amp;5'!B:J,9,FALSE),"-")</f>
        <v>-</v>
      </c>
      <c r="S572" s="78" t="str">
        <f>+IFERROR(VLOOKUP(E572,'ID1&amp;5'!K:L,2,FALSE),"-")</f>
        <v>-</v>
      </c>
      <c r="T572" s="79" t="str">
        <f>+IFERROR(VLOOKUP(CONCATENATE(A572,$E$10,E572),'ID1&amp;5'!B:J,9,FALSE),"-")</f>
        <v>-</v>
      </c>
      <c r="U572" s="78" t="str">
        <f>+IFERROR(VLOOKUP(F572,'ID1&amp;5'!K:L,2,FALSE),"-")</f>
        <v>-</v>
      </c>
      <c r="V572" s="79" t="str">
        <f>+IFERROR(VLOOKUP(CONCATENATE(A572,$F$10,F572),'ID1&amp;5'!B:J,9,FALSE),"-")</f>
        <v>-</v>
      </c>
      <c r="W572" s="26" t="str">
        <f>+IFERROR(VLOOKUP(A572,'ID6&amp;7'!A:I,9,FALSE),"-")</f>
        <v>-</v>
      </c>
      <c r="X572" s="26" t="str">
        <f>+IFERROR(VLOOKUP(A572,'ID6&amp;7'!A:J,10,FALSE),"-")</f>
        <v>-</v>
      </c>
      <c r="Y572" s="26"/>
      <c r="Z572" s="27" t="str">
        <f t="shared" si="9"/>
        <v>Em testes</v>
      </c>
      <c r="AA572" s="65"/>
    </row>
    <row r="573" spans="1:27">
      <c r="A573" s="20"/>
      <c r="B573" s="60"/>
      <c r="C573" s="60"/>
      <c r="D573" s="60"/>
      <c r="E573" s="60"/>
      <c r="F573" s="60"/>
      <c r="G573" s="60"/>
      <c r="H573" s="65" t="s">
        <v>115</v>
      </c>
      <c r="I573" s="21" t="s">
        <v>1504</v>
      </c>
      <c r="J573" s="26">
        <f>+COUNTIF('ID1&amp;5'!G:G,'1. Status'!I573)</f>
        <v>0</v>
      </c>
      <c r="K573" s="79" t="str">
        <f>+IFERROR(VLOOKUP(CONCATENATE(A573,$B$10,B573),'ID1&amp;5'!B:J,8,FALSE),"-")</f>
        <v>-</v>
      </c>
      <c r="L573" s="78" t="str">
        <f>+IFERROR(VLOOKUP(B573,'ID1&amp;5'!K:L,2,FALSE),"-")</f>
        <v>-</v>
      </c>
      <c r="M573" s="79" t="str">
        <f>+IFERROR(VLOOKUP(CONCATENATE(A573,$B$10,B573),'ID1&amp;5'!B:J,9,FALSE),"-")</f>
        <v>-</v>
      </c>
      <c r="N573" s="79" t="str">
        <f>+IFERROR(VLOOKUP(CONCATENATE(A573,$C$10,C573),'ID1&amp;5'!B:J,8,FALSE),"-")</f>
        <v>-</v>
      </c>
      <c r="O573" s="78" t="str">
        <f>+IFERROR(VLOOKUP(C573,'ID1&amp;5'!K:L,2,FALSE),"-")</f>
        <v>-</v>
      </c>
      <c r="P573" s="79" t="str">
        <f>+IFERROR(VLOOKUP(CONCATENATE(A573,$C$10,C573),'ID1&amp;5'!B:J,9,FALSE),"-")</f>
        <v>-</v>
      </c>
      <c r="Q573" s="78" t="str">
        <f>+IFERROR(VLOOKUP(D573,'ID1&amp;5'!K:L,2,FALSE),"-")</f>
        <v>-</v>
      </c>
      <c r="R573" s="26" t="str">
        <f>+IFERROR(VLOOKUP(CONCATENATE(A573,$D$10,D573),'ID1&amp;5'!B:J,9,FALSE),"-")</f>
        <v>-</v>
      </c>
      <c r="S573" s="78" t="str">
        <f>+IFERROR(VLOOKUP(E573,'ID1&amp;5'!K:L,2,FALSE),"-")</f>
        <v>-</v>
      </c>
      <c r="T573" s="79" t="str">
        <f>+IFERROR(VLOOKUP(CONCATENATE(A573,$E$10,E573),'ID1&amp;5'!B:J,9,FALSE),"-")</f>
        <v>-</v>
      </c>
      <c r="U573" s="78" t="str">
        <f>+IFERROR(VLOOKUP(F573,'ID1&amp;5'!K:L,2,FALSE),"-")</f>
        <v>-</v>
      </c>
      <c r="V573" s="79" t="str">
        <f>+IFERROR(VLOOKUP(CONCATENATE(A573,$F$10,F573),'ID1&amp;5'!B:J,9,FALSE),"-")</f>
        <v>-</v>
      </c>
      <c r="W573" s="26" t="str">
        <f>+IFERROR(VLOOKUP(A573,'ID6&amp;7'!A:I,9,FALSE),"-")</f>
        <v>-</v>
      </c>
      <c r="X573" s="26" t="str">
        <f>+IFERROR(VLOOKUP(A573,'ID6&amp;7'!A:J,10,FALSE),"-")</f>
        <v>-</v>
      </c>
      <c r="Y573" s="26"/>
      <c r="Z573" s="27" t="str">
        <f t="shared" si="9"/>
        <v>Por iniciar</v>
      </c>
      <c r="AA573" s="65"/>
    </row>
    <row r="574" spans="1:27">
      <c r="A574" s="20"/>
      <c r="B574" s="60"/>
      <c r="C574" s="60"/>
      <c r="D574" s="60"/>
      <c r="E574" s="60"/>
      <c r="F574" s="60"/>
      <c r="G574" s="60"/>
      <c r="H574" s="65" t="s">
        <v>115</v>
      </c>
      <c r="I574" s="21" t="s">
        <v>1505</v>
      </c>
      <c r="J574" s="26">
        <f>+COUNTIF('ID1&amp;5'!G:G,'1. Status'!I574)</f>
        <v>1</v>
      </c>
      <c r="K574" s="79" t="str">
        <f>+IFERROR(VLOOKUP(CONCATENATE(A574,$B$10,B574),'ID1&amp;5'!B:J,8,FALSE),"-")</f>
        <v>-</v>
      </c>
      <c r="L574" s="78" t="str">
        <f>+IFERROR(VLOOKUP(B574,'ID1&amp;5'!K:L,2,FALSE),"-")</f>
        <v>-</v>
      </c>
      <c r="M574" s="79" t="str">
        <f>+IFERROR(VLOOKUP(CONCATENATE(A574,$B$10,B574),'ID1&amp;5'!B:J,9,FALSE),"-")</f>
        <v>-</v>
      </c>
      <c r="N574" s="79" t="str">
        <f>+IFERROR(VLOOKUP(CONCATENATE(A574,$C$10,C574),'ID1&amp;5'!B:J,8,FALSE),"-")</f>
        <v>-</v>
      </c>
      <c r="O574" s="78" t="str">
        <f>+IFERROR(VLOOKUP(C574,'ID1&amp;5'!K:L,2,FALSE),"-")</f>
        <v>-</v>
      </c>
      <c r="P574" s="79" t="str">
        <f>+IFERROR(VLOOKUP(CONCATENATE(A574,$C$10,C574),'ID1&amp;5'!B:J,9,FALSE),"-")</f>
        <v>-</v>
      </c>
      <c r="Q574" s="78" t="str">
        <f>+IFERROR(VLOOKUP(D574,'ID1&amp;5'!K:L,2,FALSE),"-")</f>
        <v>-</v>
      </c>
      <c r="R574" s="26" t="str">
        <f>+IFERROR(VLOOKUP(CONCATENATE(A574,$D$10,D574),'ID1&amp;5'!B:J,9,FALSE),"-")</f>
        <v>-</v>
      </c>
      <c r="S574" s="78" t="str">
        <f>+IFERROR(VLOOKUP(E574,'ID1&amp;5'!K:L,2,FALSE),"-")</f>
        <v>-</v>
      </c>
      <c r="T574" s="79" t="str">
        <f>+IFERROR(VLOOKUP(CONCATENATE(A574,$E$10,E574),'ID1&amp;5'!B:J,9,FALSE),"-")</f>
        <v>-</v>
      </c>
      <c r="U574" s="78" t="str">
        <f>+IFERROR(VLOOKUP(F574,'ID1&amp;5'!K:L,2,FALSE),"-")</f>
        <v>-</v>
      </c>
      <c r="V574" s="79" t="str">
        <f>+IFERROR(VLOOKUP(CONCATENATE(A574,$F$10,F574),'ID1&amp;5'!B:J,9,FALSE),"-")</f>
        <v>-</v>
      </c>
      <c r="W574" s="26" t="str">
        <f>+IFERROR(VLOOKUP(A574,'ID6&amp;7'!A:I,9,FALSE),"-")</f>
        <v>-</v>
      </c>
      <c r="X574" s="26" t="str">
        <f>+IFERROR(VLOOKUP(A574,'ID6&amp;7'!A:J,10,FALSE),"-")</f>
        <v>-</v>
      </c>
      <c r="Y574" s="26"/>
      <c r="Z574" s="27" t="str">
        <f t="shared" si="9"/>
        <v>Em testes</v>
      </c>
      <c r="AA574" s="65"/>
    </row>
    <row r="575" spans="1:27">
      <c r="A575" s="20"/>
      <c r="B575" s="60"/>
      <c r="C575" s="60"/>
      <c r="D575" s="60"/>
      <c r="E575" s="60"/>
      <c r="F575" s="60"/>
      <c r="G575" s="60"/>
      <c r="H575" s="65" t="s">
        <v>115</v>
      </c>
      <c r="I575" s="21" t="s">
        <v>1506</v>
      </c>
      <c r="J575" s="26">
        <f>+COUNTIF('ID1&amp;5'!G:G,'1. Status'!I575)</f>
        <v>0</v>
      </c>
      <c r="K575" s="79" t="str">
        <f>+IFERROR(VLOOKUP(CONCATENATE(A575,$B$10,B575),'ID1&amp;5'!B:J,8,FALSE),"-")</f>
        <v>-</v>
      </c>
      <c r="L575" s="78" t="str">
        <f>+IFERROR(VLOOKUP(B575,'ID1&amp;5'!K:L,2,FALSE),"-")</f>
        <v>-</v>
      </c>
      <c r="M575" s="79" t="str">
        <f>+IFERROR(VLOOKUP(CONCATENATE(A575,$B$10,B575),'ID1&amp;5'!B:J,9,FALSE),"-")</f>
        <v>-</v>
      </c>
      <c r="N575" s="79" t="str">
        <f>+IFERROR(VLOOKUP(CONCATENATE(A575,$C$10,C575),'ID1&amp;5'!B:J,8,FALSE),"-")</f>
        <v>-</v>
      </c>
      <c r="O575" s="78" t="str">
        <f>+IFERROR(VLOOKUP(C575,'ID1&amp;5'!K:L,2,FALSE),"-")</f>
        <v>-</v>
      </c>
      <c r="P575" s="79" t="str">
        <f>+IFERROR(VLOOKUP(CONCATENATE(A575,$C$10,C575),'ID1&amp;5'!B:J,9,FALSE),"-")</f>
        <v>-</v>
      </c>
      <c r="Q575" s="78" t="str">
        <f>+IFERROR(VLOOKUP(D575,'ID1&amp;5'!K:L,2,FALSE),"-")</f>
        <v>-</v>
      </c>
      <c r="R575" s="26" t="str">
        <f>+IFERROR(VLOOKUP(CONCATENATE(A575,$D$10,D575),'ID1&amp;5'!B:J,9,FALSE),"-")</f>
        <v>-</v>
      </c>
      <c r="S575" s="78" t="str">
        <f>+IFERROR(VLOOKUP(E575,'ID1&amp;5'!K:L,2,FALSE),"-")</f>
        <v>-</v>
      </c>
      <c r="T575" s="79" t="str">
        <f>+IFERROR(VLOOKUP(CONCATENATE(A575,$E$10,E575),'ID1&amp;5'!B:J,9,FALSE),"-")</f>
        <v>-</v>
      </c>
      <c r="U575" s="78" t="str">
        <f>+IFERROR(VLOOKUP(F575,'ID1&amp;5'!K:L,2,FALSE),"-")</f>
        <v>-</v>
      </c>
      <c r="V575" s="79" t="str">
        <f>+IFERROR(VLOOKUP(CONCATENATE(A575,$F$10,F575),'ID1&amp;5'!B:J,9,FALSE),"-")</f>
        <v>-</v>
      </c>
      <c r="W575" s="26" t="str">
        <f>+IFERROR(VLOOKUP(A575,'ID6&amp;7'!A:I,9,FALSE),"-")</f>
        <v>-</v>
      </c>
      <c r="X575" s="26" t="str">
        <f>+IFERROR(VLOOKUP(A575,'ID6&amp;7'!A:J,10,FALSE),"-")</f>
        <v>-</v>
      </c>
      <c r="Y575" s="26"/>
      <c r="Z575" s="27" t="str">
        <f t="shared" si="9"/>
        <v>Por iniciar</v>
      </c>
      <c r="AA575" s="65"/>
    </row>
    <row r="576" spans="1:27">
      <c r="A576" s="20"/>
      <c r="B576" s="60"/>
      <c r="C576" s="60"/>
      <c r="D576" s="60"/>
      <c r="E576" s="60"/>
      <c r="F576" s="60"/>
      <c r="G576" s="60"/>
      <c r="H576" s="65" t="s">
        <v>115</v>
      </c>
      <c r="I576" s="21" t="s">
        <v>1507</v>
      </c>
      <c r="J576" s="26">
        <f>+COUNTIF('ID1&amp;5'!G:G,'1. Status'!I576)</f>
        <v>0</v>
      </c>
      <c r="K576" s="79" t="str">
        <f>+IFERROR(VLOOKUP(CONCATENATE(A576,$B$10,B576),'ID1&amp;5'!B:J,8,FALSE),"-")</f>
        <v>-</v>
      </c>
      <c r="L576" s="78" t="str">
        <f>+IFERROR(VLOOKUP(B576,'ID1&amp;5'!K:L,2,FALSE),"-")</f>
        <v>-</v>
      </c>
      <c r="M576" s="79" t="str">
        <f>+IFERROR(VLOOKUP(CONCATENATE(A576,$B$10,B576),'ID1&amp;5'!B:J,9,FALSE),"-")</f>
        <v>-</v>
      </c>
      <c r="N576" s="79" t="str">
        <f>+IFERROR(VLOOKUP(CONCATENATE(A576,$C$10,C576),'ID1&amp;5'!B:J,8,FALSE),"-")</f>
        <v>-</v>
      </c>
      <c r="O576" s="78" t="str">
        <f>+IFERROR(VLOOKUP(C576,'ID1&amp;5'!K:L,2,FALSE),"-")</f>
        <v>-</v>
      </c>
      <c r="P576" s="79" t="str">
        <f>+IFERROR(VLOOKUP(CONCATENATE(A576,$C$10,C576),'ID1&amp;5'!B:J,9,FALSE),"-")</f>
        <v>-</v>
      </c>
      <c r="Q576" s="78" t="str">
        <f>+IFERROR(VLOOKUP(D576,'ID1&amp;5'!K:L,2,FALSE),"-")</f>
        <v>-</v>
      </c>
      <c r="R576" s="26" t="str">
        <f>+IFERROR(VLOOKUP(CONCATENATE(A576,$D$10,D576),'ID1&amp;5'!B:J,9,FALSE),"-")</f>
        <v>-</v>
      </c>
      <c r="S576" s="78" t="str">
        <f>+IFERROR(VLOOKUP(E576,'ID1&amp;5'!K:L,2,FALSE),"-")</f>
        <v>-</v>
      </c>
      <c r="T576" s="79" t="str">
        <f>+IFERROR(VLOOKUP(CONCATENATE(A576,$E$10,E576),'ID1&amp;5'!B:J,9,FALSE),"-")</f>
        <v>-</v>
      </c>
      <c r="U576" s="78" t="str">
        <f>+IFERROR(VLOOKUP(F576,'ID1&amp;5'!K:L,2,FALSE),"-")</f>
        <v>-</v>
      </c>
      <c r="V576" s="79" t="str">
        <f>+IFERROR(VLOOKUP(CONCATENATE(A576,$F$10,F576),'ID1&amp;5'!B:J,9,FALSE),"-")</f>
        <v>-</v>
      </c>
      <c r="W576" s="26" t="str">
        <f>+IFERROR(VLOOKUP(A576,'ID6&amp;7'!A:I,9,FALSE),"-")</f>
        <v>-</v>
      </c>
      <c r="X576" s="26" t="str">
        <f>+IFERROR(VLOOKUP(A576,'ID6&amp;7'!A:J,10,FALSE),"-")</f>
        <v>-</v>
      </c>
      <c r="Y576" s="26"/>
      <c r="Z576" s="27" t="str">
        <f t="shared" ref="Z576:Z639" si="10">+IF(J576=0,"Por iniciar",IF(OR(K576="-",M576="-",P576="-",R576="-",T576="-",V576="-"),"Em testes",IF(AND(M576=0,P576=0,R576=0,T576&lt;&gt;K576,V576&lt;&gt;K576),"OK","NOK")))</f>
        <v>Por iniciar</v>
      </c>
      <c r="AA576" s="65"/>
    </row>
    <row r="577" spans="1:27">
      <c r="A577" s="20"/>
      <c r="B577" s="60"/>
      <c r="C577" s="60"/>
      <c r="D577" s="60"/>
      <c r="E577" s="60"/>
      <c r="F577" s="60"/>
      <c r="G577" s="60"/>
      <c r="H577" s="65" t="s">
        <v>115</v>
      </c>
      <c r="I577" s="21" t="s">
        <v>1508</v>
      </c>
      <c r="J577" s="26">
        <f>+COUNTIF('ID1&amp;5'!G:G,'1. Status'!I577)</f>
        <v>0</v>
      </c>
      <c r="K577" s="79" t="str">
        <f>+IFERROR(VLOOKUP(CONCATENATE(A577,$B$10,B577),'ID1&amp;5'!B:J,8,FALSE),"-")</f>
        <v>-</v>
      </c>
      <c r="L577" s="78" t="str">
        <f>+IFERROR(VLOOKUP(B577,'ID1&amp;5'!K:L,2,FALSE),"-")</f>
        <v>-</v>
      </c>
      <c r="M577" s="79" t="str">
        <f>+IFERROR(VLOOKUP(CONCATENATE(A577,$B$10,B577),'ID1&amp;5'!B:J,9,FALSE),"-")</f>
        <v>-</v>
      </c>
      <c r="N577" s="79" t="str">
        <f>+IFERROR(VLOOKUP(CONCATENATE(A577,$C$10,C577),'ID1&amp;5'!B:J,8,FALSE),"-")</f>
        <v>-</v>
      </c>
      <c r="O577" s="78" t="str">
        <f>+IFERROR(VLOOKUP(C577,'ID1&amp;5'!K:L,2,FALSE),"-")</f>
        <v>-</v>
      </c>
      <c r="P577" s="79" t="str">
        <f>+IFERROR(VLOOKUP(CONCATENATE(A577,$C$10,C577),'ID1&amp;5'!B:J,9,FALSE),"-")</f>
        <v>-</v>
      </c>
      <c r="Q577" s="78" t="str">
        <f>+IFERROR(VLOOKUP(D577,'ID1&amp;5'!K:L,2,FALSE),"-")</f>
        <v>-</v>
      </c>
      <c r="R577" s="26" t="str">
        <f>+IFERROR(VLOOKUP(CONCATENATE(A577,$D$10,D577),'ID1&amp;5'!B:J,9,FALSE),"-")</f>
        <v>-</v>
      </c>
      <c r="S577" s="78" t="str">
        <f>+IFERROR(VLOOKUP(E577,'ID1&amp;5'!K:L,2,FALSE),"-")</f>
        <v>-</v>
      </c>
      <c r="T577" s="79" t="str">
        <f>+IFERROR(VLOOKUP(CONCATENATE(A577,$E$10,E577),'ID1&amp;5'!B:J,9,FALSE),"-")</f>
        <v>-</v>
      </c>
      <c r="U577" s="78" t="str">
        <f>+IFERROR(VLOOKUP(F577,'ID1&amp;5'!K:L,2,FALSE),"-")</f>
        <v>-</v>
      </c>
      <c r="V577" s="79" t="str">
        <f>+IFERROR(VLOOKUP(CONCATENATE(A577,$F$10,F577),'ID1&amp;5'!B:J,9,FALSE),"-")</f>
        <v>-</v>
      </c>
      <c r="W577" s="26" t="str">
        <f>+IFERROR(VLOOKUP(A577,'ID6&amp;7'!A:I,9,FALSE),"-")</f>
        <v>-</v>
      </c>
      <c r="X577" s="26" t="str">
        <f>+IFERROR(VLOOKUP(A577,'ID6&amp;7'!A:J,10,FALSE),"-")</f>
        <v>-</v>
      </c>
      <c r="Y577" s="26"/>
      <c r="Z577" s="27" t="str">
        <f t="shared" si="10"/>
        <v>Por iniciar</v>
      </c>
      <c r="AA577" s="65"/>
    </row>
    <row r="578" spans="1:27">
      <c r="A578" s="20"/>
      <c r="B578" s="60"/>
      <c r="C578" s="60"/>
      <c r="D578" s="60"/>
      <c r="E578" s="60"/>
      <c r="F578" s="60"/>
      <c r="G578" s="60"/>
      <c r="H578" s="65" t="s">
        <v>115</v>
      </c>
      <c r="I578" s="21" t="s">
        <v>1509</v>
      </c>
      <c r="J578" s="26">
        <f>+COUNTIF('ID1&amp;5'!G:G,'1. Status'!I578)</f>
        <v>0</v>
      </c>
      <c r="K578" s="79" t="str">
        <f>+IFERROR(VLOOKUP(CONCATENATE(A578,$B$10,B578),'ID1&amp;5'!B:J,8,FALSE),"-")</f>
        <v>-</v>
      </c>
      <c r="L578" s="78" t="str">
        <f>+IFERROR(VLOOKUP(B578,'ID1&amp;5'!K:L,2,FALSE),"-")</f>
        <v>-</v>
      </c>
      <c r="M578" s="79" t="str">
        <f>+IFERROR(VLOOKUP(CONCATENATE(A578,$B$10,B578),'ID1&amp;5'!B:J,9,FALSE),"-")</f>
        <v>-</v>
      </c>
      <c r="N578" s="79" t="str">
        <f>+IFERROR(VLOOKUP(CONCATENATE(A578,$C$10,C578),'ID1&amp;5'!B:J,8,FALSE),"-")</f>
        <v>-</v>
      </c>
      <c r="O578" s="78" t="str">
        <f>+IFERROR(VLOOKUP(C578,'ID1&amp;5'!K:L,2,FALSE),"-")</f>
        <v>-</v>
      </c>
      <c r="P578" s="79" t="str">
        <f>+IFERROR(VLOOKUP(CONCATENATE(A578,$C$10,C578),'ID1&amp;5'!B:J,9,FALSE),"-")</f>
        <v>-</v>
      </c>
      <c r="Q578" s="78" t="str">
        <f>+IFERROR(VLOOKUP(D578,'ID1&amp;5'!K:L,2,FALSE),"-")</f>
        <v>-</v>
      </c>
      <c r="R578" s="26" t="str">
        <f>+IFERROR(VLOOKUP(CONCATENATE(A578,$D$10,D578),'ID1&amp;5'!B:J,9,FALSE),"-")</f>
        <v>-</v>
      </c>
      <c r="S578" s="78" t="str">
        <f>+IFERROR(VLOOKUP(E578,'ID1&amp;5'!K:L,2,FALSE),"-")</f>
        <v>-</v>
      </c>
      <c r="T578" s="79" t="str">
        <f>+IFERROR(VLOOKUP(CONCATENATE(A578,$E$10,E578),'ID1&amp;5'!B:J,9,FALSE),"-")</f>
        <v>-</v>
      </c>
      <c r="U578" s="78" t="str">
        <f>+IFERROR(VLOOKUP(F578,'ID1&amp;5'!K:L,2,FALSE),"-")</f>
        <v>-</v>
      </c>
      <c r="V578" s="79" t="str">
        <f>+IFERROR(VLOOKUP(CONCATENATE(A578,$F$10,F578),'ID1&amp;5'!B:J,9,FALSE),"-")</f>
        <v>-</v>
      </c>
      <c r="W578" s="26" t="str">
        <f>+IFERROR(VLOOKUP(A578,'ID6&amp;7'!A:I,9,FALSE),"-")</f>
        <v>-</v>
      </c>
      <c r="X578" s="26" t="str">
        <f>+IFERROR(VLOOKUP(A578,'ID6&amp;7'!A:J,10,FALSE),"-")</f>
        <v>-</v>
      </c>
      <c r="Y578" s="26"/>
      <c r="Z578" s="27" t="str">
        <f t="shared" si="10"/>
        <v>Por iniciar</v>
      </c>
      <c r="AA578" s="65"/>
    </row>
    <row r="579" spans="1:27">
      <c r="A579" s="20"/>
      <c r="B579" s="60"/>
      <c r="C579" s="60"/>
      <c r="D579" s="60"/>
      <c r="E579" s="60"/>
      <c r="F579" s="60"/>
      <c r="G579" s="60"/>
      <c r="H579" s="65" t="s">
        <v>115</v>
      </c>
      <c r="I579" s="21" t="s">
        <v>1510</v>
      </c>
      <c r="J579" s="26">
        <f>+COUNTIF('ID1&amp;5'!G:G,'1. Status'!I579)</f>
        <v>1</v>
      </c>
      <c r="K579" s="79" t="str">
        <f>+IFERROR(VLOOKUP(CONCATENATE(A579,$B$10,B579),'ID1&amp;5'!B:J,8,FALSE),"-")</f>
        <v>-</v>
      </c>
      <c r="L579" s="78" t="str">
        <f>+IFERROR(VLOOKUP(B579,'ID1&amp;5'!K:L,2,FALSE),"-")</f>
        <v>-</v>
      </c>
      <c r="M579" s="79" t="str">
        <f>+IFERROR(VLOOKUP(CONCATENATE(A579,$B$10,B579),'ID1&amp;5'!B:J,9,FALSE),"-")</f>
        <v>-</v>
      </c>
      <c r="N579" s="79" t="str">
        <f>+IFERROR(VLOOKUP(CONCATENATE(A579,$C$10,C579),'ID1&amp;5'!B:J,8,FALSE),"-")</f>
        <v>-</v>
      </c>
      <c r="O579" s="78" t="str">
        <f>+IFERROR(VLOOKUP(C579,'ID1&amp;5'!K:L,2,FALSE),"-")</f>
        <v>-</v>
      </c>
      <c r="P579" s="79" t="str">
        <f>+IFERROR(VLOOKUP(CONCATENATE(A579,$C$10,C579),'ID1&amp;5'!B:J,9,FALSE),"-")</f>
        <v>-</v>
      </c>
      <c r="Q579" s="78" t="str">
        <f>+IFERROR(VLOOKUP(D579,'ID1&amp;5'!K:L,2,FALSE),"-")</f>
        <v>-</v>
      </c>
      <c r="R579" s="26" t="str">
        <f>+IFERROR(VLOOKUP(CONCATENATE(A579,$D$10,D579),'ID1&amp;5'!B:J,9,FALSE),"-")</f>
        <v>-</v>
      </c>
      <c r="S579" s="78" t="str">
        <f>+IFERROR(VLOOKUP(E579,'ID1&amp;5'!K:L,2,FALSE),"-")</f>
        <v>-</v>
      </c>
      <c r="T579" s="79" t="str">
        <f>+IFERROR(VLOOKUP(CONCATENATE(A579,$E$10,E579),'ID1&amp;5'!B:J,9,FALSE),"-")</f>
        <v>-</v>
      </c>
      <c r="U579" s="78" t="str">
        <f>+IFERROR(VLOOKUP(F579,'ID1&amp;5'!K:L,2,FALSE),"-")</f>
        <v>-</v>
      </c>
      <c r="V579" s="79" t="str">
        <f>+IFERROR(VLOOKUP(CONCATENATE(A579,$F$10,F579),'ID1&amp;5'!B:J,9,FALSE),"-")</f>
        <v>-</v>
      </c>
      <c r="W579" s="26" t="str">
        <f>+IFERROR(VLOOKUP(A579,'ID6&amp;7'!A:I,9,FALSE),"-")</f>
        <v>-</v>
      </c>
      <c r="X579" s="26" t="str">
        <f>+IFERROR(VLOOKUP(A579,'ID6&amp;7'!A:J,10,FALSE),"-")</f>
        <v>-</v>
      </c>
      <c r="Y579" s="26"/>
      <c r="Z579" s="27" t="str">
        <f t="shared" si="10"/>
        <v>Em testes</v>
      </c>
      <c r="AA579" s="65"/>
    </row>
    <row r="580" spans="1:27">
      <c r="A580" s="20"/>
      <c r="B580" s="60"/>
      <c r="C580" s="60"/>
      <c r="D580" s="60"/>
      <c r="E580" s="60"/>
      <c r="F580" s="60"/>
      <c r="G580" s="60"/>
      <c r="H580" s="65" t="s">
        <v>115</v>
      </c>
      <c r="I580" s="21" t="s">
        <v>667</v>
      </c>
      <c r="J580" s="26">
        <f>+COUNTIF('ID1&amp;5'!G:G,'1. Status'!I580)</f>
        <v>0</v>
      </c>
      <c r="K580" s="79" t="str">
        <f>+IFERROR(VLOOKUP(CONCATENATE(A580,$B$10,B580),'ID1&amp;5'!B:J,8,FALSE),"-")</f>
        <v>-</v>
      </c>
      <c r="L580" s="78" t="str">
        <f>+IFERROR(VLOOKUP(B580,'ID1&amp;5'!K:L,2,FALSE),"-")</f>
        <v>-</v>
      </c>
      <c r="M580" s="79" t="str">
        <f>+IFERROR(VLOOKUP(CONCATENATE(A580,$B$10,B580),'ID1&amp;5'!B:J,9,FALSE),"-")</f>
        <v>-</v>
      </c>
      <c r="N580" s="79" t="str">
        <f>+IFERROR(VLOOKUP(CONCATENATE(A580,$C$10,C580),'ID1&amp;5'!B:J,8,FALSE),"-")</f>
        <v>-</v>
      </c>
      <c r="O580" s="78" t="str">
        <f>+IFERROR(VLOOKUP(C580,'ID1&amp;5'!K:L,2,FALSE),"-")</f>
        <v>-</v>
      </c>
      <c r="P580" s="79" t="str">
        <f>+IFERROR(VLOOKUP(CONCATENATE(A580,$C$10,C580),'ID1&amp;5'!B:J,9,FALSE),"-")</f>
        <v>-</v>
      </c>
      <c r="Q580" s="78" t="str">
        <f>+IFERROR(VLOOKUP(D580,'ID1&amp;5'!K:L,2,FALSE),"-")</f>
        <v>-</v>
      </c>
      <c r="R580" s="26" t="str">
        <f>+IFERROR(VLOOKUP(CONCATENATE(A580,$D$10,D580),'ID1&amp;5'!B:J,9,FALSE),"-")</f>
        <v>-</v>
      </c>
      <c r="S580" s="78" t="str">
        <f>+IFERROR(VLOOKUP(E580,'ID1&amp;5'!K:L,2,FALSE),"-")</f>
        <v>-</v>
      </c>
      <c r="T580" s="79" t="str">
        <f>+IFERROR(VLOOKUP(CONCATENATE(A580,$E$10,E580),'ID1&amp;5'!B:J,9,FALSE),"-")</f>
        <v>-</v>
      </c>
      <c r="U580" s="78" t="str">
        <f>+IFERROR(VLOOKUP(F580,'ID1&amp;5'!K:L,2,FALSE),"-")</f>
        <v>-</v>
      </c>
      <c r="V580" s="79" t="str">
        <f>+IFERROR(VLOOKUP(CONCATENATE(A580,$F$10,F580),'ID1&amp;5'!B:J,9,FALSE),"-")</f>
        <v>-</v>
      </c>
      <c r="W580" s="26" t="str">
        <f>+IFERROR(VLOOKUP(A580,'ID6&amp;7'!A:I,9,FALSE),"-")</f>
        <v>-</v>
      </c>
      <c r="X580" s="26" t="str">
        <f>+IFERROR(VLOOKUP(A580,'ID6&amp;7'!A:J,10,FALSE),"-")</f>
        <v>-</v>
      </c>
      <c r="Y580" s="26"/>
      <c r="Z580" s="27" t="str">
        <f t="shared" si="10"/>
        <v>Por iniciar</v>
      </c>
      <c r="AA580" s="65"/>
    </row>
    <row r="581" spans="1:27">
      <c r="A581" s="20"/>
      <c r="B581" s="60"/>
      <c r="C581" s="60"/>
      <c r="D581" s="60"/>
      <c r="E581" s="60"/>
      <c r="F581" s="60"/>
      <c r="G581" s="60"/>
      <c r="H581" s="65" t="s">
        <v>115</v>
      </c>
      <c r="I581" s="21" t="s">
        <v>1511</v>
      </c>
      <c r="J581" s="26">
        <f>+COUNTIF('ID1&amp;5'!G:G,'1. Status'!I581)</f>
        <v>0</v>
      </c>
      <c r="K581" s="79" t="str">
        <f>+IFERROR(VLOOKUP(CONCATENATE(A581,$B$10,B581),'ID1&amp;5'!B:J,8,FALSE),"-")</f>
        <v>-</v>
      </c>
      <c r="L581" s="78" t="str">
        <f>+IFERROR(VLOOKUP(B581,'ID1&amp;5'!K:L,2,FALSE),"-")</f>
        <v>-</v>
      </c>
      <c r="M581" s="79" t="str">
        <f>+IFERROR(VLOOKUP(CONCATENATE(A581,$B$10,B581),'ID1&amp;5'!B:J,9,FALSE),"-")</f>
        <v>-</v>
      </c>
      <c r="N581" s="79" t="str">
        <f>+IFERROR(VLOOKUP(CONCATENATE(A581,$C$10,C581),'ID1&amp;5'!B:J,8,FALSE),"-")</f>
        <v>-</v>
      </c>
      <c r="O581" s="78" t="str">
        <f>+IFERROR(VLOOKUP(C581,'ID1&amp;5'!K:L,2,FALSE),"-")</f>
        <v>-</v>
      </c>
      <c r="P581" s="79" t="str">
        <f>+IFERROR(VLOOKUP(CONCATENATE(A581,$C$10,C581),'ID1&amp;5'!B:J,9,FALSE),"-")</f>
        <v>-</v>
      </c>
      <c r="Q581" s="78" t="str">
        <f>+IFERROR(VLOOKUP(D581,'ID1&amp;5'!K:L,2,FALSE),"-")</f>
        <v>-</v>
      </c>
      <c r="R581" s="26" t="str">
        <f>+IFERROR(VLOOKUP(CONCATENATE(A581,$D$10,D581),'ID1&amp;5'!B:J,9,FALSE),"-")</f>
        <v>-</v>
      </c>
      <c r="S581" s="78" t="str">
        <f>+IFERROR(VLOOKUP(E581,'ID1&amp;5'!K:L,2,FALSE),"-")</f>
        <v>-</v>
      </c>
      <c r="T581" s="79" t="str">
        <f>+IFERROR(VLOOKUP(CONCATENATE(A581,$E$10,E581),'ID1&amp;5'!B:J,9,FALSE),"-")</f>
        <v>-</v>
      </c>
      <c r="U581" s="78" t="str">
        <f>+IFERROR(VLOOKUP(F581,'ID1&amp;5'!K:L,2,FALSE),"-")</f>
        <v>-</v>
      </c>
      <c r="V581" s="79" t="str">
        <f>+IFERROR(VLOOKUP(CONCATENATE(A581,$F$10,F581),'ID1&amp;5'!B:J,9,FALSE),"-")</f>
        <v>-</v>
      </c>
      <c r="W581" s="26" t="str">
        <f>+IFERROR(VLOOKUP(A581,'ID6&amp;7'!A:I,9,FALSE),"-")</f>
        <v>-</v>
      </c>
      <c r="X581" s="26" t="str">
        <f>+IFERROR(VLOOKUP(A581,'ID6&amp;7'!A:J,10,FALSE),"-")</f>
        <v>-</v>
      </c>
      <c r="Y581" s="26"/>
      <c r="Z581" s="27" t="str">
        <f t="shared" si="10"/>
        <v>Por iniciar</v>
      </c>
      <c r="AA581" s="65"/>
    </row>
    <row r="582" spans="1:27">
      <c r="A582" s="20"/>
      <c r="B582" s="60"/>
      <c r="C582" s="60"/>
      <c r="D582" s="60"/>
      <c r="E582" s="60"/>
      <c r="F582" s="60"/>
      <c r="G582" s="60"/>
      <c r="H582" s="65" t="s">
        <v>115</v>
      </c>
      <c r="I582" s="21" t="s">
        <v>668</v>
      </c>
      <c r="J582" s="26">
        <f>+COUNTIF('ID1&amp;5'!G:G,'1. Status'!I582)</f>
        <v>1</v>
      </c>
      <c r="K582" s="79" t="str">
        <f>+IFERROR(VLOOKUP(CONCATENATE(A582,$B$10,B582),'ID1&amp;5'!B:J,8,FALSE),"-")</f>
        <v>-</v>
      </c>
      <c r="L582" s="78" t="str">
        <f>+IFERROR(VLOOKUP(B582,'ID1&amp;5'!K:L,2,FALSE),"-")</f>
        <v>-</v>
      </c>
      <c r="M582" s="79" t="str">
        <f>+IFERROR(VLOOKUP(CONCATENATE(A582,$B$10,B582),'ID1&amp;5'!B:J,9,FALSE),"-")</f>
        <v>-</v>
      </c>
      <c r="N582" s="79" t="str">
        <f>+IFERROR(VLOOKUP(CONCATENATE(A582,$C$10,C582),'ID1&amp;5'!B:J,8,FALSE),"-")</f>
        <v>-</v>
      </c>
      <c r="O582" s="78" t="str">
        <f>+IFERROR(VLOOKUP(C582,'ID1&amp;5'!K:L,2,FALSE),"-")</f>
        <v>-</v>
      </c>
      <c r="P582" s="79" t="str">
        <f>+IFERROR(VLOOKUP(CONCATENATE(A582,$C$10,C582),'ID1&amp;5'!B:J,9,FALSE),"-")</f>
        <v>-</v>
      </c>
      <c r="Q582" s="78" t="str">
        <f>+IFERROR(VLOOKUP(D582,'ID1&amp;5'!K:L,2,FALSE),"-")</f>
        <v>-</v>
      </c>
      <c r="R582" s="26" t="str">
        <f>+IFERROR(VLOOKUP(CONCATENATE(A582,$D$10,D582),'ID1&amp;5'!B:J,9,FALSE),"-")</f>
        <v>-</v>
      </c>
      <c r="S582" s="78" t="str">
        <f>+IFERROR(VLOOKUP(E582,'ID1&amp;5'!K:L,2,FALSE),"-")</f>
        <v>-</v>
      </c>
      <c r="T582" s="79" t="str">
        <f>+IFERROR(VLOOKUP(CONCATENATE(A582,$E$10,E582),'ID1&amp;5'!B:J,9,FALSE),"-")</f>
        <v>-</v>
      </c>
      <c r="U582" s="78" t="str">
        <f>+IFERROR(VLOOKUP(F582,'ID1&amp;5'!K:L,2,FALSE),"-")</f>
        <v>-</v>
      </c>
      <c r="V582" s="79" t="str">
        <f>+IFERROR(VLOOKUP(CONCATENATE(A582,$F$10,F582),'ID1&amp;5'!B:J,9,FALSE),"-")</f>
        <v>-</v>
      </c>
      <c r="W582" s="26" t="str">
        <f>+IFERROR(VLOOKUP(A582,'ID6&amp;7'!A:I,9,FALSE),"-")</f>
        <v>-</v>
      </c>
      <c r="X582" s="26" t="str">
        <f>+IFERROR(VLOOKUP(A582,'ID6&amp;7'!A:J,10,FALSE),"-")</f>
        <v>-</v>
      </c>
      <c r="Y582" s="26"/>
      <c r="Z582" s="27" t="str">
        <f t="shared" si="10"/>
        <v>Em testes</v>
      </c>
      <c r="AA582" s="65"/>
    </row>
    <row r="583" spans="1:27">
      <c r="A583" s="20"/>
      <c r="B583" s="60"/>
      <c r="C583" s="60"/>
      <c r="D583" s="60"/>
      <c r="E583" s="60"/>
      <c r="F583" s="60"/>
      <c r="G583" s="60"/>
      <c r="H583" s="65" t="s">
        <v>115</v>
      </c>
      <c r="I583" s="21" t="s">
        <v>1512</v>
      </c>
      <c r="J583" s="26">
        <f>+COUNTIF('ID1&amp;5'!G:G,'1. Status'!I583)</f>
        <v>0</v>
      </c>
      <c r="K583" s="79" t="str">
        <f>+IFERROR(VLOOKUP(CONCATENATE(A583,$B$10,B583),'ID1&amp;5'!B:J,8,FALSE),"-")</f>
        <v>-</v>
      </c>
      <c r="L583" s="78" t="str">
        <f>+IFERROR(VLOOKUP(B583,'ID1&amp;5'!K:L,2,FALSE),"-")</f>
        <v>-</v>
      </c>
      <c r="M583" s="79" t="str">
        <f>+IFERROR(VLOOKUP(CONCATENATE(A583,$B$10,B583),'ID1&amp;5'!B:J,9,FALSE),"-")</f>
        <v>-</v>
      </c>
      <c r="N583" s="79" t="str">
        <f>+IFERROR(VLOOKUP(CONCATENATE(A583,$C$10,C583),'ID1&amp;5'!B:J,8,FALSE),"-")</f>
        <v>-</v>
      </c>
      <c r="O583" s="78" t="str">
        <f>+IFERROR(VLOOKUP(C583,'ID1&amp;5'!K:L,2,FALSE),"-")</f>
        <v>-</v>
      </c>
      <c r="P583" s="79" t="str">
        <f>+IFERROR(VLOOKUP(CONCATENATE(A583,$C$10,C583),'ID1&amp;5'!B:J,9,FALSE),"-")</f>
        <v>-</v>
      </c>
      <c r="Q583" s="78" t="str">
        <f>+IFERROR(VLOOKUP(D583,'ID1&amp;5'!K:L,2,FALSE),"-")</f>
        <v>-</v>
      </c>
      <c r="R583" s="26" t="str">
        <f>+IFERROR(VLOOKUP(CONCATENATE(A583,$D$10,D583),'ID1&amp;5'!B:J,9,FALSE),"-")</f>
        <v>-</v>
      </c>
      <c r="S583" s="78" t="str">
        <f>+IFERROR(VLOOKUP(E583,'ID1&amp;5'!K:L,2,FALSE),"-")</f>
        <v>-</v>
      </c>
      <c r="T583" s="79" t="str">
        <f>+IFERROR(VLOOKUP(CONCATENATE(A583,$E$10,E583),'ID1&amp;5'!B:J,9,FALSE),"-")</f>
        <v>-</v>
      </c>
      <c r="U583" s="78" t="str">
        <f>+IFERROR(VLOOKUP(F583,'ID1&amp;5'!K:L,2,FALSE),"-")</f>
        <v>-</v>
      </c>
      <c r="V583" s="79" t="str">
        <f>+IFERROR(VLOOKUP(CONCATENATE(A583,$F$10,F583),'ID1&amp;5'!B:J,9,FALSE),"-")</f>
        <v>-</v>
      </c>
      <c r="W583" s="26" t="str">
        <f>+IFERROR(VLOOKUP(A583,'ID6&amp;7'!A:I,9,FALSE),"-")</f>
        <v>-</v>
      </c>
      <c r="X583" s="26" t="str">
        <f>+IFERROR(VLOOKUP(A583,'ID6&amp;7'!A:J,10,FALSE),"-")</f>
        <v>-</v>
      </c>
      <c r="Y583" s="26"/>
      <c r="Z583" s="27" t="str">
        <f t="shared" si="10"/>
        <v>Por iniciar</v>
      </c>
      <c r="AA583" s="65"/>
    </row>
    <row r="584" spans="1:27">
      <c r="A584" s="20"/>
      <c r="B584" s="60"/>
      <c r="C584" s="60"/>
      <c r="D584" s="60"/>
      <c r="E584" s="60"/>
      <c r="F584" s="60"/>
      <c r="G584" s="60"/>
      <c r="H584" s="65" t="s">
        <v>115</v>
      </c>
      <c r="I584" s="21" t="s">
        <v>1513</v>
      </c>
      <c r="J584" s="26">
        <f>+COUNTIF('ID1&amp;5'!G:G,'1. Status'!I584)</f>
        <v>1</v>
      </c>
      <c r="K584" s="79" t="str">
        <f>+IFERROR(VLOOKUP(CONCATENATE(A584,$B$10,B584),'ID1&amp;5'!B:J,8,FALSE),"-")</f>
        <v>-</v>
      </c>
      <c r="L584" s="78" t="str">
        <f>+IFERROR(VLOOKUP(B584,'ID1&amp;5'!K:L,2,FALSE),"-")</f>
        <v>-</v>
      </c>
      <c r="M584" s="79" t="str">
        <f>+IFERROR(VLOOKUP(CONCATENATE(A584,$B$10,B584),'ID1&amp;5'!B:J,9,FALSE),"-")</f>
        <v>-</v>
      </c>
      <c r="N584" s="79" t="str">
        <f>+IFERROR(VLOOKUP(CONCATENATE(A584,$C$10,C584),'ID1&amp;5'!B:J,8,FALSE),"-")</f>
        <v>-</v>
      </c>
      <c r="O584" s="78" t="str">
        <f>+IFERROR(VLOOKUP(C584,'ID1&amp;5'!K:L,2,FALSE),"-")</f>
        <v>-</v>
      </c>
      <c r="P584" s="79" t="str">
        <f>+IFERROR(VLOOKUP(CONCATENATE(A584,$C$10,C584),'ID1&amp;5'!B:J,9,FALSE),"-")</f>
        <v>-</v>
      </c>
      <c r="Q584" s="78" t="str">
        <f>+IFERROR(VLOOKUP(D584,'ID1&amp;5'!K:L,2,FALSE),"-")</f>
        <v>-</v>
      </c>
      <c r="R584" s="26" t="str">
        <f>+IFERROR(VLOOKUP(CONCATENATE(A584,$D$10,D584),'ID1&amp;5'!B:J,9,FALSE),"-")</f>
        <v>-</v>
      </c>
      <c r="S584" s="78" t="str">
        <f>+IFERROR(VLOOKUP(E584,'ID1&amp;5'!K:L,2,FALSE),"-")</f>
        <v>-</v>
      </c>
      <c r="T584" s="79" t="str">
        <f>+IFERROR(VLOOKUP(CONCATENATE(A584,$E$10,E584),'ID1&amp;5'!B:J,9,FALSE),"-")</f>
        <v>-</v>
      </c>
      <c r="U584" s="78" t="str">
        <f>+IFERROR(VLOOKUP(F584,'ID1&amp;5'!K:L,2,FALSE),"-")</f>
        <v>-</v>
      </c>
      <c r="V584" s="79" t="str">
        <f>+IFERROR(VLOOKUP(CONCATENATE(A584,$F$10,F584),'ID1&amp;5'!B:J,9,FALSE),"-")</f>
        <v>-</v>
      </c>
      <c r="W584" s="26" t="str">
        <f>+IFERROR(VLOOKUP(A584,'ID6&amp;7'!A:I,9,FALSE),"-")</f>
        <v>-</v>
      </c>
      <c r="X584" s="26" t="str">
        <f>+IFERROR(VLOOKUP(A584,'ID6&amp;7'!A:J,10,FALSE),"-")</f>
        <v>-</v>
      </c>
      <c r="Y584" s="26"/>
      <c r="Z584" s="27" t="str">
        <f t="shared" si="10"/>
        <v>Em testes</v>
      </c>
      <c r="AA584" s="65"/>
    </row>
    <row r="585" spans="1:27">
      <c r="A585" s="20"/>
      <c r="B585" s="60"/>
      <c r="C585" s="60"/>
      <c r="D585" s="60"/>
      <c r="E585" s="60"/>
      <c r="F585" s="60"/>
      <c r="G585" s="60"/>
      <c r="H585" s="65" t="s">
        <v>115</v>
      </c>
      <c r="I585" s="21" t="s">
        <v>1514</v>
      </c>
      <c r="J585" s="26">
        <f>+COUNTIF('ID1&amp;5'!G:G,'1. Status'!I585)</f>
        <v>0</v>
      </c>
      <c r="K585" s="79" t="str">
        <f>+IFERROR(VLOOKUP(CONCATENATE(A585,$B$10,B585),'ID1&amp;5'!B:J,8,FALSE),"-")</f>
        <v>-</v>
      </c>
      <c r="L585" s="78" t="str">
        <f>+IFERROR(VLOOKUP(B585,'ID1&amp;5'!K:L,2,FALSE),"-")</f>
        <v>-</v>
      </c>
      <c r="M585" s="79" t="str">
        <f>+IFERROR(VLOOKUP(CONCATENATE(A585,$B$10,B585),'ID1&amp;5'!B:J,9,FALSE),"-")</f>
        <v>-</v>
      </c>
      <c r="N585" s="79" t="str">
        <f>+IFERROR(VLOOKUP(CONCATENATE(A585,$C$10,C585),'ID1&amp;5'!B:J,8,FALSE),"-")</f>
        <v>-</v>
      </c>
      <c r="O585" s="78" t="str">
        <f>+IFERROR(VLOOKUP(C585,'ID1&amp;5'!K:L,2,FALSE),"-")</f>
        <v>-</v>
      </c>
      <c r="P585" s="79" t="str">
        <f>+IFERROR(VLOOKUP(CONCATENATE(A585,$C$10,C585),'ID1&amp;5'!B:J,9,FALSE),"-")</f>
        <v>-</v>
      </c>
      <c r="Q585" s="78" t="str">
        <f>+IFERROR(VLOOKUP(D585,'ID1&amp;5'!K:L,2,FALSE),"-")</f>
        <v>-</v>
      </c>
      <c r="R585" s="26" t="str">
        <f>+IFERROR(VLOOKUP(CONCATENATE(A585,$D$10,D585),'ID1&amp;5'!B:J,9,FALSE),"-")</f>
        <v>-</v>
      </c>
      <c r="S585" s="78" t="str">
        <f>+IFERROR(VLOOKUP(E585,'ID1&amp;5'!K:L,2,FALSE),"-")</f>
        <v>-</v>
      </c>
      <c r="T585" s="79" t="str">
        <f>+IFERROR(VLOOKUP(CONCATENATE(A585,$E$10,E585),'ID1&amp;5'!B:J,9,FALSE),"-")</f>
        <v>-</v>
      </c>
      <c r="U585" s="78" t="str">
        <f>+IFERROR(VLOOKUP(F585,'ID1&amp;5'!K:L,2,FALSE),"-")</f>
        <v>-</v>
      </c>
      <c r="V585" s="79" t="str">
        <f>+IFERROR(VLOOKUP(CONCATENATE(A585,$F$10,F585),'ID1&amp;5'!B:J,9,FALSE),"-")</f>
        <v>-</v>
      </c>
      <c r="W585" s="26" t="str">
        <f>+IFERROR(VLOOKUP(A585,'ID6&amp;7'!A:I,9,FALSE),"-")</f>
        <v>-</v>
      </c>
      <c r="X585" s="26" t="str">
        <f>+IFERROR(VLOOKUP(A585,'ID6&amp;7'!A:J,10,FALSE),"-")</f>
        <v>-</v>
      </c>
      <c r="Y585" s="26"/>
      <c r="Z585" s="27" t="str">
        <f t="shared" si="10"/>
        <v>Por iniciar</v>
      </c>
      <c r="AA585" s="65"/>
    </row>
    <row r="586" spans="1:27">
      <c r="A586" s="20"/>
      <c r="B586" s="60"/>
      <c r="C586" s="60"/>
      <c r="D586" s="60"/>
      <c r="E586" s="60"/>
      <c r="F586" s="60"/>
      <c r="G586" s="60"/>
      <c r="H586" s="65" t="s">
        <v>115</v>
      </c>
      <c r="I586" s="21" t="s">
        <v>1515</v>
      </c>
      <c r="J586" s="26">
        <f>+COUNTIF('ID1&amp;5'!G:G,'1. Status'!I586)</f>
        <v>0</v>
      </c>
      <c r="K586" s="79" t="str">
        <f>+IFERROR(VLOOKUP(CONCATENATE(A586,$B$10,B586),'ID1&amp;5'!B:J,8,FALSE),"-")</f>
        <v>-</v>
      </c>
      <c r="L586" s="78" t="str">
        <f>+IFERROR(VLOOKUP(B586,'ID1&amp;5'!K:L,2,FALSE),"-")</f>
        <v>-</v>
      </c>
      <c r="M586" s="79" t="str">
        <f>+IFERROR(VLOOKUP(CONCATENATE(A586,$B$10,B586),'ID1&amp;5'!B:J,9,FALSE),"-")</f>
        <v>-</v>
      </c>
      <c r="N586" s="79" t="str">
        <f>+IFERROR(VLOOKUP(CONCATENATE(A586,$C$10,C586),'ID1&amp;5'!B:J,8,FALSE),"-")</f>
        <v>-</v>
      </c>
      <c r="O586" s="78" t="str">
        <f>+IFERROR(VLOOKUP(C586,'ID1&amp;5'!K:L,2,FALSE),"-")</f>
        <v>-</v>
      </c>
      <c r="P586" s="79" t="str">
        <f>+IFERROR(VLOOKUP(CONCATENATE(A586,$C$10,C586),'ID1&amp;5'!B:J,9,FALSE),"-")</f>
        <v>-</v>
      </c>
      <c r="Q586" s="78" t="str">
        <f>+IFERROR(VLOOKUP(D586,'ID1&amp;5'!K:L,2,FALSE),"-")</f>
        <v>-</v>
      </c>
      <c r="R586" s="26" t="str">
        <f>+IFERROR(VLOOKUP(CONCATENATE(A586,$D$10,D586),'ID1&amp;5'!B:J,9,FALSE),"-")</f>
        <v>-</v>
      </c>
      <c r="S586" s="78" t="str">
        <f>+IFERROR(VLOOKUP(E586,'ID1&amp;5'!K:L,2,FALSE),"-")</f>
        <v>-</v>
      </c>
      <c r="T586" s="79" t="str">
        <f>+IFERROR(VLOOKUP(CONCATENATE(A586,$E$10,E586),'ID1&amp;5'!B:J,9,FALSE),"-")</f>
        <v>-</v>
      </c>
      <c r="U586" s="78" t="str">
        <f>+IFERROR(VLOOKUP(F586,'ID1&amp;5'!K:L,2,FALSE),"-")</f>
        <v>-</v>
      </c>
      <c r="V586" s="79" t="str">
        <f>+IFERROR(VLOOKUP(CONCATENATE(A586,$F$10,F586),'ID1&amp;5'!B:J,9,FALSE),"-")</f>
        <v>-</v>
      </c>
      <c r="W586" s="26" t="str">
        <f>+IFERROR(VLOOKUP(A586,'ID6&amp;7'!A:I,9,FALSE),"-")</f>
        <v>-</v>
      </c>
      <c r="X586" s="26" t="str">
        <f>+IFERROR(VLOOKUP(A586,'ID6&amp;7'!A:J,10,FALSE),"-")</f>
        <v>-</v>
      </c>
      <c r="Y586" s="26"/>
      <c r="Z586" s="27" t="str">
        <f t="shared" si="10"/>
        <v>Por iniciar</v>
      </c>
      <c r="AA586" s="65"/>
    </row>
    <row r="587" spans="1:27">
      <c r="A587" s="20"/>
      <c r="B587" s="60"/>
      <c r="C587" s="60"/>
      <c r="D587" s="60"/>
      <c r="E587" s="60"/>
      <c r="F587" s="60"/>
      <c r="G587" s="60"/>
      <c r="H587" s="65" t="s">
        <v>115</v>
      </c>
      <c r="I587" s="21" t="s">
        <v>1516</v>
      </c>
      <c r="J587" s="26">
        <f>+COUNTIF('ID1&amp;5'!G:G,'1. Status'!I587)</f>
        <v>0</v>
      </c>
      <c r="K587" s="79" t="str">
        <f>+IFERROR(VLOOKUP(CONCATENATE(A587,$B$10,B587),'ID1&amp;5'!B:J,8,FALSE),"-")</f>
        <v>-</v>
      </c>
      <c r="L587" s="78" t="str">
        <f>+IFERROR(VLOOKUP(B587,'ID1&amp;5'!K:L,2,FALSE),"-")</f>
        <v>-</v>
      </c>
      <c r="M587" s="79" t="str">
        <f>+IFERROR(VLOOKUP(CONCATENATE(A587,$B$10,B587),'ID1&amp;5'!B:J,9,FALSE),"-")</f>
        <v>-</v>
      </c>
      <c r="N587" s="79" t="str">
        <f>+IFERROR(VLOOKUP(CONCATENATE(A587,$C$10,C587),'ID1&amp;5'!B:J,8,FALSE),"-")</f>
        <v>-</v>
      </c>
      <c r="O587" s="78" t="str">
        <f>+IFERROR(VLOOKUP(C587,'ID1&amp;5'!K:L,2,FALSE),"-")</f>
        <v>-</v>
      </c>
      <c r="P587" s="79" t="str">
        <f>+IFERROR(VLOOKUP(CONCATENATE(A587,$C$10,C587),'ID1&amp;5'!B:J,9,FALSE),"-")</f>
        <v>-</v>
      </c>
      <c r="Q587" s="78" t="str">
        <f>+IFERROR(VLOOKUP(D587,'ID1&amp;5'!K:L,2,FALSE),"-")</f>
        <v>-</v>
      </c>
      <c r="R587" s="26" t="str">
        <f>+IFERROR(VLOOKUP(CONCATENATE(A587,$D$10,D587),'ID1&amp;5'!B:J,9,FALSE),"-")</f>
        <v>-</v>
      </c>
      <c r="S587" s="78" t="str">
        <f>+IFERROR(VLOOKUP(E587,'ID1&amp;5'!K:L,2,FALSE),"-")</f>
        <v>-</v>
      </c>
      <c r="T587" s="79" t="str">
        <f>+IFERROR(VLOOKUP(CONCATENATE(A587,$E$10,E587),'ID1&amp;5'!B:J,9,FALSE),"-")</f>
        <v>-</v>
      </c>
      <c r="U587" s="78" t="str">
        <f>+IFERROR(VLOOKUP(F587,'ID1&amp;5'!K:L,2,FALSE),"-")</f>
        <v>-</v>
      </c>
      <c r="V587" s="79" t="str">
        <f>+IFERROR(VLOOKUP(CONCATENATE(A587,$F$10,F587),'ID1&amp;5'!B:J,9,FALSE),"-")</f>
        <v>-</v>
      </c>
      <c r="W587" s="26" t="str">
        <f>+IFERROR(VLOOKUP(A587,'ID6&amp;7'!A:I,9,FALSE),"-")</f>
        <v>-</v>
      </c>
      <c r="X587" s="26" t="str">
        <f>+IFERROR(VLOOKUP(A587,'ID6&amp;7'!A:J,10,FALSE),"-")</f>
        <v>-</v>
      </c>
      <c r="Y587" s="26"/>
      <c r="Z587" s="27" t="str">
        <f t="shared" si="10"/>
        <v>Por iniciar</v>
      </c>
      <c r="AA587" s="65"/>
    </row>
    <row r="588" spans="1:27">
      <c r="A588" s="20"/>
      <c r="B588" s="60"/>
      <c r="C588" s="60"/>
      <c r="D588" s="60"/>
      <c r="E588" s="60"/>
      <c r="F588" s="60"/>
      <c r="G588" s="60"/>
      <c r="H588" s="65" t="s">
        <v>115</v>
      </c>
      <c r="I588" s="21" t="s">
        <v>1517</v>
      </c>
      <c r="J588" s="26">
        <f>+COUNTIF('ID1&amp;5'!G:G,'1. Status'!I588)</f>
        <v>0</v>
      </c>
      <c r="K588" s="79" t="str">
        <f>+IFERROR(VLOOKUP(CONCATENATE(A588,$B$10,B588),'ID1&amp;5'!B:J,8,FALSE),"-")</f>
        <v>-</v>
      </c>
      <c r="L588" s="78" t="str">
        <f>+IFERROR(VLOOKUP(B588,'ID1&amp;5'!K:L,2,FALSE),"-")</f>
        <v>-</v>
      </c>
      <c r="M588" s="79" t="str">
        <f>+IFERROR(VLOOKUP(CONCATENATE(A588,$B$10,B588),'ID1&amp;5'!B:J,9,FALSE),"-")</f>
        <v>-</v>
      </c>
      <c r="N588" s="79" t="str">
        <f>+IFERROR(VLOOKUP(CONCATENATE(A588,$C$10,C588),'ID1&amp;5'!B:J,8,FALSE),"-")</f>
        <v>-</v>
      </c>
      <c r="O588" s="78" t="str">
        <f>+IFERROR(VLOOKUP(C588,'ID1&amp;5'!K:L,2,FALSE),"-")</f>
        <v>-</v>
      </c>
      <c r="P588" s="79" t="str">
        <f>+IFERROR(VLOOKUP(CONCATENATE(A588,$C$10,C588),'ID1&amp;5'!B:J,9,FALSE),"-")</f>
        <v>-</v>
      </c>
      <c r="Q588" s="78" t="str">
        <f>+IFERROR(VLOOKUP(D588,'ID1&amp;5'!K:L,2,FALSE),"-")</f>
        <v>-</v>
      </c>
      <c r="R588" s="26" t="str">
        <f>+IFERROR(VLOOKUP(CONCATENATE(A588,$D$10,D588),'ID1&amp;5'!B:J,9,FALSE),"-")</f>
        <v>-</v>
      </c>
      <c r="S588" s="78" t="str">
        <f>+IFERROR(VLOOKUP(E588,'ID1&amp;5'!K:L,2,FALSE),"-")</f>
        <v>-</v>
      </c>
      <c r="T588" s="79" t="str">
        <f>+IFERROR(VLOOKUP(CONCATENATE(A588,$E$10,E588),'ID1&amp;5'!B:J,9,FALSE),"-")</f>
        <v>-</v>
      </c>
      <c r="U588" s="78" t="str">
        <f>+IFERROR(VLOOKUP(F588,'ID1&amp;5'!K:L,2,FALSE),"-")</f>
        <v>-</v>
      </c>
      <c r="V588" s="79" t="str">
        <f>+IFERROR(VLOOKUP(CONCATENATE(A588,$F$10,F588),'ID1&amp;5'!B:J,9,FALSE),"-")</f>
        <v>-</v>
      </c>
      <c r="W588" s="26" t="str">
        <f>+IFERROR(VLOOKUP(A588,'ID6&amp;7'!A:I,9,FALSE),"-")</f>
        <v>-</v>
      </c>
      <c r="X588" s="26" t="str">
        <f>+IFERROR(VLOOKUP(A588,'ID6&amp;7'!A:J,10,FALSE),"-")</f>
        <v>-</v>
      </c>
      <c r="Y588" s="26"/>
      <c r="Z588" s="27" t="str">
        <f t="shared" si="10"/>
        <v>Por iniciar</v>
      </c>
      <c r="AA588" s="65"/>
    </row>
    <row r="589" spans="1:27">
      <c r="A589" s="20"/>
      <c r="B589" s="60"/>
      <c r="C589" s="60"/>
      <c r="D589" s="60"/>
      <c r="E589" s="60"/>
      <c r="F589" s="60"/>
      <c r="G589" s="60"/>
      <c r="H589" s="65" t="s">
        <v>115</v>
      </c>
      <c r="I589" s="21" t="s">
        <v>1518</v>
      </c>
      <c r="J589" s="26">
        <f>+COUNTIF('ID1&amp;5'!G:G,'1. Status'!I589)</f>
        <v>0</v>
      </c>
      <c r="K589" s="79" t="str">
        <f>+IFERROR(VLOOKUP(CONCATENATE(A589,$B$10,B589),'ID1&amp;5'!B:J,8,FALSE),"-")</f>
        <v>-</v>
      </c>
      <c r="L589" s="78" t="str">
        <f>+IFERROR(VLOOKUP(B589,'ID1&amp;5'!K:L,2,FALSE),"-")</f>
        <v>-</v>
      </c>
      <c r="M589" s="79" t="str">
        <f>+IFERROR(VLOOKUP(CONCATENATE(A589,$B$10,B589),'ID1&amp;5'!B:J,9,FALSE),"-")</f>
        <v>-</v>
      </c>
      <c r="N589" s="79" t="str">
        <f>+IFERROR(VLOOKUP(CONCATENATE(A589,$C$10,C589),'ID1&amp;5'!B:J,8,FALSE),"-")</f>
        <v>-</v>
      </c>
      <c r="O589" s="78" t="str">
        <f>+IFERROR(VLOOKUP(C589,'ID1&amp;5'!K:L,2,FALSE),"-")</f>
        <v>-</v>
      </c>
      <c r="P589" s="79" t="str">
        <f>+IFERROR(VLOOKUP(CONCATENATE(A589,$C$10,C589),'ID1&amp;5'!B:J,9,FALSE),"-")</f>
        <v>-</v>
      </c>
      <c r="Q589" s="78" t="str">
        <f>+IFERROR(VLOOKUP(D589,'ID1&amp;5'!K:L,2,FALSE),"-")</f>
        <v>-</v>
      </c>
      <c r="R589" s="26" t="str">
        <f>+IFERROR(VLOOKUP(CONCATENATE(A589,$D$10,D589),'ID1&amp;5'!B:J,9,FALSE),"-")</f>
        <v>-</v>
      </c>
      <c r="S589" s="78" t="str">
        <f>+IFERROR(VLOOKUP(E589,'ID1&amp;5'!K:L,2,FALSE),"-")</f>
        <v>-</v>
      </c>
      <c r="T589" s="79" t="str">
        <f>+IFERROR(VLOOKUP(CONCATENATE(A589,$E$10,E589),'ID1&amp;5'!B:J,9,FALSE),"-")</f>
        <v>-</v>
      </c>
      <c r="U589" s="78" t="str">
        <f>+IFERROR(VLOOKUP(F589,'ID1&amp;5'!K:L,2,FALSE),"-")</f>
        <v>-</v>
      </c>
      <c r="V589" s="79" t="str">
        <f>+IFERROR(VLOOKUP(CONCATENATE(A589,$F$10,F589),'ID1&amp;5'!B:J,9,FALSE),"-")</f>
        <v>-</v>
      </c>
      <c r="W589" s="26" t="str">
        <f>+IFERROR(VLOOKUP(A589,'ID6&amp;7'!A:I,9,FALSE),"-")</f>
        <v>-</v>
      </c>
      <c r="X589" s="26" t="str">
        <f>+IFERROR(VLOOKUP(A589,'ID6&amp;7'!A:J,10,FALSE),"-")</f>
        <v>-</v>
      </c>
      <c r="Y589" s="26"/>
      <c r="Z589" s="27" t="str">
        <f t="shared" si="10"/>
        <v>Por iniciar</v>
      </c>
      <c r="AA589" s="65"/>
    </row>
    <row r="590" spans="1:27">
      <c r="A590" s="20"/>
      <c r="B590" s="60"/>
      <c r="C590" s="60"/>
      <c r="D590" s="60"/>
      <c r="E590" s="60"/>
      <c r="F590" s="60"/>
      <c r="G590" s="60"/>
      <c r="H590" s="65" t="s">
        <v>115</v>
      </c>
      <c r="I590" s="21" t="s">
        <v>1519</v>
      </c>
      <c r="J590" s="26">
        <f>+COUNTIF('ID1&amp;5'!G:G,'1. Status'!I590)</f>
        <v>0</v>
      </c>
      <c r="K590" s="79" t="str">
        <f>+IFERROR(VLOOKUP(CONCATENATE(A590,$B$10,B590),'ID1&amp;5'!B:J,8,FALSE),"-")</f>
        <v>-</v>
      </c>
      <c r="L590" s="78" t="str">
        <f>+IFERROR(VLOOKUP(B590,'ID1&amp;5'!K:L,2,FALSE),"-")</f>
        <v>-</v>
      </c>
      <c r="M590" s="79" t="str">
        <f>+IFERROR(VLOOKUP(CONCATENATE(A590,$B$10,B590),'ID1&amp;5'!B:J,9,FALSE),"-")</f>
        <v>-</v>
      </c>
      <c r="N590" s="79" t="str">
        <f>+IFERROR(VLOOKUP(CONCATENATE(A590,$C$10,C590),'ID1&amp;5'!B:J,8,FALSE),"-")</f>
        <v>-</v>
      </c>
      <c r="O590" s="78" t="str">
        <f>+IFERROR(VLOOKUP(C590,'ID1&amp;5'!K:L,2,FALSE),"-")</f>
        <v>-</v>
      </c>
      <c r="P590" s="79" t="str">
        <f>+IFERROR(VLOOKUP(CONCATENATE(A590,$C$10,C590),'ID1&amp;5'!B:J,9,FALSE),"-")</f>
        <v>-</v>
      </c>
      <c r="Q590" s="78" t="str">
        <f>+IFERROR(VLOOKUP(D590,'ID1&amp;5'!K:L,2,FALSE),"-")</f>
        <v>-</v>
      </c>
      <c r="R590" s="26" t="str">
        <f>+IFERROR(VLOOKUP(CONCATENATE(A590,$D$10,D590),'ID1&amp;5'!B:J,9,FALSE),"-")</f>
        <v>-</v>
      </c>
      <c r="S590" s="78" t="str">
        <f>+IFERROR(VLOOKUP(E590,'ID1&amp;5'!K:L,2,FALSE),"-")</f>
        <v>-</v>
      </c>
      <c r="T590" s="79" t="str">
        <f>+IFERROR(VLOOKUP(CONCATENATE(A590,$E$10,E590),'ID1&amp;5'!B:J,9,FALSE),"-")</f>
        <v>-</v>
      </c>
      <c r="U590" s="78" t="str">
        <f>+IFERROR(VLOOKUP(F590,'ID1&amp;5'!K:L,2,FALSE),"-")</f>
        <v>-</v>
      </c>
      <c r="V590" s="79" t="str">
        <f>+IFERROR(VLOOKUP(CONCATENATE(A590,$F$10,F590),'ID1&amp;5'!B:J,9,FALSE),"-")</f>
        <v>-</v>
      </c>
      <c r="W590" s="26" t="str">
        <f>+IFERROR(VLOOKUP(A590,'ID6&amp;7'!A:I,9,FALSE),"-")</f>
        <v>-</v>
      </c>
      <c r="X590" s="26" t="str">
        <f>+IFERROR(VLOOKUP(A590,'ID6&amp;7'!A:J,10,FALSE),"-")</f>
        <v>-</v>
      </c>
      <c r="Y590" s="26"/>
      <c r="Z590" s="27" t="str">
        <f t="shared" si="10"/>
        <v>Por iniciar</v>
      </c>
      <c r="AA590" s="65"/>
    </row>
    <row r="591" spans="1:27">
      <c r="A591" s="20"/>
      <c r="B591" s="60"/>
      <c r="C591" s="60"/>
      <c r="D591" s="60"/>
      <c r="E591" s="60"/>
      <c r="F591" s="60"/>
      <c r="G591" s="60"/>
      <c r="H591" s="65" t="s">
        <v>115</v>
      </c>
      <c r="I591" s="21" t="s">
        <v>1520</v>
      </c>
      <c r="J591" s="26">
        <f>+COUNTIF('ID1&amp;5'!G:G,'1. Status'!I591)</f>
        <v>0</v>
      </c>
      <c r="K591" s="79" t="str">
        <f>+IFERROR(VLOOKUP(CONCATENATE(A591,$B$10,B591),'ID1&amp;5'!B:J,8,FALSE),"-")</f>
        <v>-</v>
      </c>
      <c r="L591" s="78" t="str">
        <f>+IFERROR(VLOOKUP(B591,'ID1&amp;5'!K:L,2,FALSE),"-")</f>
        <v>-</v>
      </c>
      <c r="M591" s="79" t="str">
        <f>+IFERROR(VLOOKUP(CONCATENATE(A591,$B$10,B591),'ID1&amp;5'!B:J,9,FALSE),"-")</f>
        <v>-</v>
      </c>
      <c r="N591" s="79" t="str">
        <f>+IFERROR(VLOOKUP(CONCATENATE(A591,$C$10,C591),'ID1&amp;5'!B:J,8,FALSE),"-")</f>
        <v>-</v>
      </c>
      <c r="O591" s="78" t="str">
        <f>+IFERROR(VLOOKUP(C591,'ID1&amp;5'!K:L,2,FALSE),"-")</f>
        <v>-</v>
      </c>
      <c r="P591" s="79" t="str">
        <f>+IFERROR(VLOOKUP(CONCATENATE(A591,$C$10,C591),'ID1&amp;5'!B:J,9,FALSE),"-")</f>
        <v>-</v>
      </c>
      <c r="Q591" s="78" t="str">
        <f>+IFERROR(VLOOKUP(D591,'ID1&amp;5'!K:L,2,FALSE),"-")</f>
        <v>-</v>
      </c>
      <c r="R591" s="26" t="str">
        <f>+IFERROR(VLOOKUP(CONCATENATE(A591,$D$10,D591),'ID1&amp;5'!B:J,9,FALSE),"-")</f>
        <v>-</v>
      </c>
      <c r="S591" s="78" t="str">
        <f>+IFERROR(VLOOKUP(E591,'ID1&amp;5'!K:L,2,FALSE),"-")</f>
        <v>-</v>
      </c>
      <c r="T591" s="79" t="str">
        <f>+IFERROR(VLOOKUP(CONCATENATE(A591,$E$10,E591),'ID1&amp;5'!B:J,9,FALSE),"-")</f>
        <v>-</v>
      </c>
      <c r="U591" s="78" t="str">
        <f>+IFERROR(VLOOKUP(F591,'ID1&amp;5'!K:L,2,FALSE),"-")</f>
        <v>-</v>
      </c>
      <c r="V591" s="79" t="str">
        <f>+IFERROR(VLOOKUP(CONCATENATE(A591,$F$10,F591),'ID1&amp;5'!B:J,9,FALSE),"-")</f>
        <v>-</v>
      </c>
      <c r="W591" s="26" t="str">
        <f>+IFERROR(VLOOKUP(A591,'ID6&amp;7'!A:I,9,FALSE),"-")</f>
        <v>-</v>
      </c>
      <c r="X591" s="26" t="str">
        <f>+IFERROR(VLOOKUP(A591,'ID6&amp;7'!A:J,10,FALSE),"-")</f>
        <v>-</v>
      </c>
      <c r="Y591" s="26"/>
      <c r="Z591" s="27" t="str">
        <f t="shared" si="10"/>
        <v>Por iniciar</v>
      </c>
      <c r="AA591" s="65"/>
    </row>
    <row r="592" spans="1:27">
      <c r="A592" s="20"/>
      <c r="B592" s="60"/>
      <c r="C592" s="60"/>
      <c r="D592" s="60"/>
      <c r="E592" s="60"/>
      <c r="F592" s="60"/>
      <c r="G592" s="60"/>
      <c r="H592" s="65" t="s">
        <v>115</v>
      </c>
      <c r="I592" s="21" t="s">
        <v>1521</v>
      </c>
      <c r="J592" s="26">
        <f>+COUNTIF('ID1&amp;5'!G:G,'1. Status'!I592)</f>
        <v>0</v>
      </c>
      <c r="K592" s="79" t="str">
        <f>+IFERROR(VLOOKUP(CONCATENATE(A592,$B$10,B592),'ID1&amp;5'!B:J,8,FALSE),"-")</f>
        <v>-</v>
      </c>
      <c r="L592" s="78" t="str">
        <f>+IFERROR(VLOOKUP(B592,'ID1&amp;5'!K:L,2,FALSE),"-")</f>
        <v>-</v>
      </c>
      <c r="M592" s="79" t="str">
        <f>+IFERROR(VLOOKUP(CONCATENATE(A592,$B$10,B592),'ID1&amp;5'!B:J,9,FALSE),"-")</f>
        <v>-</v>
      </c>
      <c r="N592" s="79" t="str">
        <f>+IFERROR(VLOOKUP(CONCATENATE(A592,$C$10,C592),'ID1&amp;5'!B:J,8,FALSE),"-")</f>
        <v>-</v>
      </c>
      <c r="O592" s="78" t="str">
        <f>+IFERROR(VLOOKUP(C592,'ID1&amp;5'!K:L,2,FALSE),"-")</f>
        <v>-</v>
      </c>
      <c r="P592" s="79" t="str">
        <f>+IFERROR(VLOOKUP(CONCATENATE(A592,$C$10,C592),'ID1&amp;5'!B:J,9,FALSE),"-")</f>
        <v>-</v>
      </c>
      <c r="Q592" s="78" t="str">
        <f>+IFERROR(VLOOKUP(D592,'ID1&amp;5'!K:L,2,FALSE),"-")</f>
        <v>-</v>
      </c>
      <c r="R592" s="26" t="str">
        <f>+IFERROR(VLOOKUP(CONCATENATE(A592,$D$10,D592),'ID1&amp;5'!B:J,9,FALSE),"-")</f>
        <v>-</v>
      </c>
      <c r="S592" s="78" t="str">
        <f>+IFERROR(VLOOKUP(E592,'ID1&amp;5'!K:L,2,FALSE),"-")</f>
        <v>-</v>
      </c>
      <c r="T592" s="79" t="str">
        <f>+IFERROR(VLOOKUP(CONCATENATE(A592,$E$10,E592),'ID1&amp;5'!B:J,9,FALSE),"-")</f>
        <v>-</v>
      </c>
      <c r="U592" s="78" t="str">
        <f>+IFERROR(VLOOKUP(F592,'ID1&amp;5'!K:L,2,FALSE),"-")</f>
        <v>-</v>
      </c>
      <c r="V592" s="79" t="str">
        <f>+IFERROR(VLOOKUP(CONCATENATE(A592,$F$10,F592),'ID1&amp;5'!B:J,9,FALSE),"-")</f>
        <v>-</v>
      </c>
      <c r="W592" s="26" t="str">
        <f>+IFERROR(VLOOKUP(A592,'ID6&amp;7'!A:I,9,FALSE),"-")</f>
        <v>-</v>
      </c>
      <c r="X592" s="26" t="str">
        <f>+IFERROR(VLOOKUP(A592,'ID6&amp;7'!A:J,10,FALSE),"-")</f>
        <v>-</v>
      </c>
      <c r="Y592" s="26"/>
      <c r="Z592" s="27" t="str">
        <f t="shared" si="10"/>
        <v>Por iniciar</v>
      </c>
      <c r="AA592" s="65"/>
    </row>
    <row r="593" spans="1:27">
      <c r="A593" s="20"/>
      <c r="B593" s="60"/>
      <c r="C593" s="60"/>
      <c r="D593" s="60"/>
      <c r="E593" s="60"/>
      <c r="F593" s="60"/>
      <c r="G593" s="60"/>
      <c r="H593" s="65" t="s">
        <v>115</v>
      </c>
      <c r="I593" s="21" t="s">
        <v>1522</v>
      </c>
      <c r="J593" s="26">
        <f>+COUNTIF('ID1&amp;5'!G:G,'1. Status'!I593)</f>
        <v>0</v>
      </c>
      <c r="K593" s="79" t="str">
        <f>+IFERROR(VLOOKUP(CONCATENATE(A593,$B$10,B593),'ID1&amp;5'!B:J,8,FALSE),"-")</f>
        <v>-</v>
      </c>
      <c r="L593" s="78" t="str">
        <f>+IFERROR(VLOOKUP(B593,'ID1&amp;5'!K:L,2,FALSE),"-")</f>
        <v>-</v>
      </c>
      <c r="M593" s="79" t="str">
        <f>+IFERROR(VLOOKUP(CONCATENATE(A593,$B$10,B593),'ID1&amp;5'!B:J,9,FALSE),"-")</f>
        <v>-</v>
      </c>
      <c r="N593" s="79" t="str">
        <f>+IFERROR(VLOOKUP(CONCATENATE(A593,$C$10,C593),'ID1&amp;5'!B:J,8,FALSE),"-")</f>
        <v>-</v>
      </c>
      <c r="O593" s="78" t="str">
        <f>+IFERROR(VLOOKUP(C593,'ID1&amp;5'!K:L,2,FALSE),"-")</f>
        <v>-</v>
      </c>
      <c r="P593" s="79" t="str">
        <f>+IFERROR(VLOOKUP(CONCATENATE(A593,$C$10,C593),'ID1&amp;5'!B:J,9,FALSE),"-")</f>
        <v>-</v>
      </c>
      <c r="Q593" s="78" t="str">
        <f>+IFERROR(VLOOKUP(D593,'ID1&amp;5'!K:L,2,FALSE),"-")</f>
        <v>-</v>
      </c>
      <c r="R593" s="26" t="str">
        <f>+IFERROR(VLOOKUP(CONCATENATE(A593,$D$10,D593),'ID1&amp;5'!B:J,9,FALSE),"-")</f>
        <v>-</v>
      </c>
      <c r="S593" s="78" t="str">
        <f>+IFERROR(VLOOKUP(E593,'ID1&amp;5'!K:L,2,FALSE),"-")</f>
        <v>-</v>
      </c>
      <c r="T593" s="79" t="str">
        <f>+IFERROR(VLOOKUP(CONCATENATE(A593,$E$10,E593),'ID1&amp;5'!B:J,9,FALSE),"-")</f>
        <v>-</v>
      </c>
      <c r="U593" s="78" t="str">
        <f>+IFERROR(VLOOKUP(F593,'ID1&amp;5'!K:L,2,FALSE),"-")</f>
        <v>-</v>
      </c>
      <c r="V593" s="79" t="str">
        <f>+IFERROR(VLOOKUP(CONCATENATE(A593,$F$10,F593),'ID1&amp;5'!B:J,9,FALSE),"-")</f>
        <v>-</v>
      </c>
      <c r="W593" s="26" t="str">
        <f>+IFERROR(VLOOKUP(A593,'ID6&amp;7'!A:I,9,FALSE),"-")</f>
        <v>-</v>
      </c>
      <c r="X593" s="26" t="str">
        <f>+IFERROR(VLOOKUP(A593,'ID6&amp;7'!A:J,10,FALSE),"-")</f>
        <v>-</v>
      </c>
      <c r="Y593" s="26"/>
      <c r="Z593" s="27" t="str">
        <f t="shared" si="10"/>
        <v>Por iniciar</v>
      </c>
      <c r="AA593" s="65"/>
    </row>
    <row r="594" spans="1:27">
      <c r="A594" s="20"/>
      <c r="B594" s="60"/>
      <c r="C594" s="60"/>
      <c r="D594" s="60"/>
      <c r="E594" s="60"/>
      <c r="F594" s="60"/>
      <c r="G594" s="60"/>
      <c r="H594" s="65" t="s">
        <v>115</v>
      </c>
      <c r="I594" s="21" t="s">
        <v>1523</v>
      </c>
      <c r="J594" s="26">
        <f>+COUNTIF('ID1&amp;5'!G:G,'1. Status'!I594)</f>
        <v>0</v>
      </c>
      <c r="K594" s="79" t="str">
        <f>+IFERROR(VLOOKUP(CONCATENATE(A594,$B$10,B594),'ID1&amp;5'!B:J,8,FALSE),"-")</f>
        <v>-</v>
      </c>
      <c r="L594" s="78" t="str">
        <f>+IFERROR(VLOOKUP(B594,'ID1&amp;5'!K:L,2,FALSE),"-")</f>
        <v>-</v>
      </c>
      <c r="M594" s="79" t="str">
        <f>+IFERROR(VLOOKUP(CONCATENATE(A594,$B$10,B594),'ID1&amp;5'!B:J,9,FALSE),"-")</f>
        <v>-</v>
      </c>
      <c r="N594" s="79" t="str">
        <f>+IFERROR(VLOOKUP(CONCATENATE(A594,$C$10,C594),'ID1&amp;5'!B:J,8,FALSE),"-")</f>
        <v>-</v>
      </c>
      <c r="O594" s="78" t="str">
        <f>+IFERROR(VLOOKUP(C594,'ID1&amp;5'!K:L,2,FALSE),"-")</f>
        <v>-</v>
      </c>
      <c r="P594" s="79" t="str">
        <f>+IFERROR(VLOOKUP(CONCATENATE(A594,$C$10,C594),'ID1&amp;5'!B:J,9,FALSE),"-")</f>
        <v>-</v>
      </c>
      <c r="Q594" s="78" t="str">
        <f>+IFERROR(VLOOKUP(D594,'ID1&amp;5'!K:L,2,FALSE),"-")</f>
        <v>-</v>
      </c>
      <c r="R594" s="26" t="str">
        <f>+IFERROR(VLOOKUP(CONCATENATE(A594,$D$10,D594),'ID1&amp;5'!B:J,9,FALSE),"-")</f>
        <v>-</v>
      </c>
      <c r="S594" s="78" t="str">
        <f>+IFERROR(VLOOKUP(E594,'ID1&amp;5'!K:L,2,FALSE),"-")</f>
        <v>-</v>
      </c>
      <c r="T594" s="79" t="str">
        <f>+IFERROR(VLOOKUP(CONCATENATE(A594,$E$10,E594),'ID1&amp;5'!B:J,9,FALSE),"-")</f>
        <v>-</v>
      </c>
      <c r="U594" s="78" t="str">
        <f>+IFERROR(VLOOKUP(F594,'ID1&amp;5'!K:L,2,FALSE),"-")</f>
        <v>-</v>
      </c>
      <c r="V594" s="79" t="str">
        <f>+IFERROR(VLOOKUP(CONCATENATE(A594,$F$10,F594),'ID1&amp;5'!B:J,9,FALSE),"-")</f>
        <v>-</v>
      </c>
      <c r="W594" s="26" t="str">
        <f>+IFERROR(VLOOKUP(A594,'ID6&amp;7'!A:I,9,FALSE),"-")</f>
        <v>-</v>
      </c>
      <c r="X594" s="26" t="str">
        <f>+IFERROR(VLOOKUP(A594,'ID6&amp;7'!A:J,10,FALSE),"-")</f>
        <v>-</v>
      </c>
      <c r="Y594" s="26"/>
      <c r="Z594" s="27" t="str">
        <f t="shared" si="10"/>
        <v>Por iniciar</v>
      </c>
      <c r="AA594" s="65"/>
    </row>
    <row r="595" spans="1:27">
      <c r="A595" s="20"/>
      <c r="B595" s="60"/>
      <c r="C595" s="60"/>
      <c r="D595" s="60"/>
      <c r="E595" s="60"/>
      <c r="F595" s="60"/>
      <c r="G595" s="60"/>
      <c r="H595" s="65" t="s">
        <v>115</v>
      </c>
      <c r="I595" s="21" t="s">
        <v>1524</v>
      </c>
      <c r="J595" s="26">
        <f>+COUNTIF('ID1&amp;5'!G:G,'1. Status'!I595)</f>
        <v>0</v>
      </c>
      <c r="K595" s="79" t="str">
        <f>+IFERROR(VLOOKUP(CONCATENATE(A595,$B$10,B595),'ID1&amp;5'!B:J,8,FALSE),"-")</f>
        <v>-</v>
      </c>
      <c r="L595" s="78" t="str">
        <f>+IFERROR(VLOOKUP(B595,'ID1&amp;5'!K:L,2,FALSE),"-")</f>
        <v>-</v>
      </c>
      <c r="M595" s="79" t="str">
        <f>+IFERROR(VLOOKUP(CONCATENATE(A595,$B$10,B595),'ID1&amp;5'!B:J,9,FALSE),"-")</f>
        <v>-</v>
      </c>
      <c r="N595" s="79" t="str">
        <f>+IFERROR(VLOOKUP(CONCATENATE(A595,$C$10,C595),'ID1&amp;5'!B:J,8,FALSE),"-")</f>
        <v>-</v>
      </c>
      <c r="O595" s="78" t="str">
        <f>+IFERROR(VLOOKUP(C595,'ID1&amp;5'!K:L,2,FALSE),"-")</f>
        <v>-</v>
      </c>
      <c r="P595" s="79" t="str">
        <f>+IFERROR(VLOOKUP(CONCATENATE(A595,$C$10,C595),'ID1&amp;5'!B:J,9,FALSE),"-")</f>
        <v>-</v>
      </c>
      <c r="Q595" s="78" t="str">
        <f>+IFERROR(VLOOKUP(D595,'ID1&amp;5'!K:L,2,FALSE),"-")</f>
        <v>-</v>
      </c>
      <c r="R595" s="26" t="str">
        <f>+IFERROR(VLOOKUP(CONCATENATE(A595,$D$10,D595),'ID1&amp;5'!B:J,9,FALSE),"-")</f>
        <v>-</v>
      </c>
      <c r="S595" s="78" t="str">
        <f>+IFERROR(VLOOKUP(E595,'ID1&amp;5'!K:L,2,FALSE),"-")</f>
        <v>-</v>
      </c>
      <c r="T595" s="79" t="str">
        <f>+IFERROR(VLOOKUP(CONCATENATE(A595,$E$10,E595),'ID1&amp;5'!B:J,9,FALSE),"-")</f>
        <v>-</v>
      </c>
      <c r="U595" s="78" t="str">
        <f>+IFERROR(VLOOKUP(F595,'ID1&amp;5'!K:L,2,FALSE),"-")</f>
        <v>-</v>
      </c>
      <c r="V595" s="79" t="str">
        <f>+IFERROR(VLOOKUP(CONCATENATE(A595,$F$10,F595),'ID1&amp;5'!B:J,9,FALSE),"-")</f>
        <v>-</v>
      </c>
      <c r="W595" s="26" t="str">
        <f>+IFERROR(VLOOKUP(A595,'ID6&amp;7'!A:I,9,FALSE),"-")</f>
        <v>-</v>
      </c>
      <c r="X595" s="26" t="str">
        <f>+IFERROR(VLOOKUP(A595,'ID6&amp;7'!A:J,10,FALSE),"-")</f>
        <v>-</v>
      </c>
      <c r="Y595" s="26"/>
      <c r="Z595" s="27" t="str">
        <f t="shared" si="10"/>
        <v>Por iniciar</v>
      </c>
      <c r="AA595" s="65"/>
    </row>
    <row r="596" spans="1:27">
      <c r="A596" s="20"/>
      <c r="B596" s="60"/>
      <c r="C596" s="60"/>
      <c r="D596" s="60"/>
      <c r="E596" s="60"/>
      <c r="F596" s="60"/>
      <c r="G596" s="60"/>
      <c r="H596" s="65" t="s">
        <v>115</v>
      </c>
      <c r="I596" s="21" t="s">
        <v>1525</v>
      </c>
      <c r="J596" s="26">
        <f>+COUNTIF('ID1&amp;5'!G:G,'1. Status'!I596)</f>
        <v>0</v>
      </c>
      <c r="K596" s="79" t="str">
        <f>+IFERROR(VLOOKUP(CONCATENATE(A596,$B$10,B596),'ID1&amp;5'!B:J,8,FALSE),"-")</f>
        <v>-</v>
      </c>
      <c r="L596" s="78" t="str">
        <f>+IFERROR(VLOOKUP(B596,'ID1&amp;5'!K:L,2,FALSE),"-")</f>
        <v>-</v>
      </c>
      <c r="M596" s="79" t="str">
        <f>+IFERROR(VLOOKUP(CONCATENATE(A596,$B$10,B596),'ID1&amp;5'!B:J,9,FALSE),"-")</f>
        <v>-</v>
      </c>
      <c r="N596" s="79" t="str">
        <f>+IFERROR(VLOOKUP(CONCATENATE(A596,$C$10,C596),'ID1&amp;5'!B:J,8,FALSE),"-")</f>
        <v>-</v>
      </c>
      <c r="O596" s="78" t="str">
        <f>+IFERROR(VLOOKUP(C596,'ID1&amp;5'!K:L,2,FALSE),"-")</f>
        <v>-</v>
      </c>
      <c r="P596" s="79" t="str">
        <f>+IFERROR(VLOOKUP(CONCATENATE(A596,$C$10,C596),'ID1&amp;5'!B:J,9,FALSE),"-")</f>
        <v>-</v>
      </c>
      <c r="Q596" s="78" t="str">
        <f>+IFERROR(VLOOKUP(D596,'ID1&amp;5'!K:L,2,FALSE),"-")</f>
        <v>-</v>
      </c>
      <c r="R596" s="26" t="str">
        <f>+IFERROR(VLOOKUP(CONCATENATE(A596,$D$10,D596),'ID1&amp;5'!B:J,9,FALSE),"-")</f>
        <v>-</v>
      </c>
      <c r="S596" s="78" t="str">
        <f>+IFERROR(VLOOKUP(E596,'ID1&amp;5'!K:L,2,FALSE),"-")</f>
        <v>-</v>
      </c>
      <c r="T596" s="79" t="str">
        <f>+IFERROR(VLOOKUP(CONCATENATE(A596,$E$10,E596),'ID1&amp;5'!B:J,9,FALSE),"-")</f>
        <v>-</v>
      </c>
      <c r="U596" s="78" t="str">
        <f>+IFERROR(VLOOKUP(F596,'ID1&amp;5'!K:L,2,FALSE),"-")</f>
        <v>-</v>
      </c>
      <c r="V596" s="79" t="str">
        <f>+IFERROR(VLOOKUP(CONCATENATE(A596,$F$10,F596),'ID1&amp;5'!B:J,9,FALSE),"-")</f>
        <v>-</v>
      </c>
      <c r="W596" s="26" t="str">
        <f>+IFERROR(VLOOKUP(A596,'ID6&amp;7'!A:I,9,FALSE),"-")</f>
        <v>-</v>
      </c>
      <c r="X596" s="26" t="str">
        <f>+IFERROR(VLOOKUP(A596,'ID6&amp;7'!A:J,10,FALSE),"-")</f>
        <v>-</v>
      </c>
      <c r="Y596" s="26"/>
      <c r="Z596" s="27" t="str">
        <f t="shared" si="10"/>
        <v>Por iniciar</v>
      </c>
      <c r="AA596" s="65"/>
    </row>
    <row r="597" spans="1:27">
      <c r="A597" s="20"/>
      <c r="B597" s="60"/>
      <c r="C597" s="60"/>
      <c r="D597" s="60"/>
      <c r="E597" s="60"/>
      <c r="F597" s="60"/>
      <c r="G597" s="60"/>
      <c r="H597" s="65" t="s">
        <v>115</v>
      </c>
      <c r="I597" s="21" t="s">
        <v>1231</v>
      </c>
      <c r="J597" s="26">
        <f>+COUNTIF('ID1&amp;5'!G:G,'1. Status'!I597)</f>
        <v>0</v>
      </c>
      <c r="K597" s="79" t="str">
        <f>+IFERROR(VLOOKUP(CONCATENATE(A597,$B$10,B597),'ID1&amp;5'!B:J,8,FALSE),"-")</f>
        <v>-</v>
      </c>
      <c r="L597" s="78" t="str">
        <f>+IFERROR(VLOOKUP(B597,'ID1&amp;5'!K:L,2,FALSE),"-")</f>
        <v>-</v>
      </c>
      <c r="M597" s="79" t="str">
        <f>+IFERROR(VLOOKUP(CONCATENATE(A597,$B$10,B597),'ID1&amp;5'!B:J,9,FALSE),"-")</f>
        <v>-</v>
      </c>
      <c r="N597" s="79" t="str">
        <f>+IFERROR(VLOOKUP(CONCATENATE(A597,$C$10,C597),'ID1&amp;5'!B:J,8,FALSE),"-")</f>
        <v>-</v>
      </c>
      <c r="O597" s="78" t="str">
        <f>+IFERROR(VLOOKUP(C597,'ID1&amp;5'!K:L,2,FALSE),"-")</f>
        <v>-</v>
      </c>
      <c r="P597" s="79" t="str">
        <f>+IFERROR(VLOOKUP(CONCATENATE(A597,$C$10,C597),'ID1&amp;5'!B:J,9,FALSE),"-")</f>
        <v>-</v>
      </c>
      <c r="Q597" s="78" t="str">
        <f>+IFERROR(VLOOKUP(D597,'ID1&amp;5'!K:L,2,FALSE),"-")</f>
        <v>-</v>
      </c>
      <c r="R597" s="26" t="str">
        <f>+IFERROR(VLOOKUP(CONCATENATE(A597,$D$10,D597),'ID1&amp;5'!B:J,9,FALSE),"-")</f>
        <v>-</v>
      </c>
      <c r="S597" s="78" t="str">
        <f>+IFERROR(VLOOKUP(E597,'ID1&amp;5'!K:L,2,FALSE),"-")</f>
        <v>-</v>
      </c>
      <c r="T597" s="79" t="str">
        <f>+IFERROR(VLOOKUP(CONCATENATE(A597,$E$10,E597),'ID1&amp;5'!B:J,9,FALSE),"-")</f>
        <v>-</v>
      </c>
      <c r="U597" s="78" t="str">
        <f>+IFERROR(VLOOKUP(F597,'ID1&amp;5'!K:L,2,FALSE),"-")</f>
        <v>-</v>
      </c>
      <c r="V597" s="79" t="str">
        <f>+IFERROR(VLOOKUP(CONCATENATE(A597,$F$10,F597),'ID1&amp;5'!B:J,9,FALSE),"-")</f>
        <v>-</v>
      </c>
      <c r="W597" s="26" t="str">
        <f>+IFERROR(VLOOKUP(A597,'ID6&amp;7'!A:I,9,FALSE),"-")</f>
        <v>-</v>
      </c>
      <c r="X597" s="26" t="str">
        <f>+IFERROR(VLOOKUP(A597,'ID6&amp;7'!A:J,10,FALSE),"-")</f>
        <v>-</v>
      </c>
      <c r="Y597" s="26"/>
      <c r="Z597" s="27" t="str">
        <f t="shared" si="10"/>
        <v>Por iniciar</v>
      </c>
      <c r="AA597" s="65"/>
    </row>
    <row r="598" spans="1:27">
      <c r="A598" s="20"/>
      <c r="B598" s="60"/>
      <c r="C598" s="60"/>
      <c r="D598" s="60"/>
      <c r="E598" s="60"/>
      <c r="F598" s="60"/>
      <c r="G598" s="60"/>
      <c r="H598" s="65" t="s">
        <v>115</v>
      </c>
      <c r="I598" s="21" t="s">
        <v>1232</v>
      </c>
      <c r="J598" s="26">
        <f>+COUNTIF('ID1&amp;5'!G:G,'1. Status'!I598)</f>
        <v>0</v>
      </c>
      <c r="K598" s="79" t="str">
        <f>+IFERROR(VLOOKUP(CONCATENATE(A598,$B$10,B598),'ID1&amp;5'!B:J,8,FALSE),"-")</f>
        <v>-</v>
      </c>
      <c r="L598" s="78" t="str">
        <f>+IFERROR(VLOOKUP(B598,'ID1&amp;5'!K:L,2,FALSE),"-")</f>
        <v>-</v>
      </c>
      <c r="M598" s="79" t="str">
        <f>+IFERROR(VLOOKUP(CONCATENATE(A598,$B$10,B598),'ID1&amp;5'!B:J,9,FALSE),"-")</f>
        <v>-</v>
      </c>
      <c r="N598" s="79" t="str">
        <f>+IFERROR(VLOOKUP(CONCATENATE(A598,$C$10,C598),'ID1&amp;5'!B:J,8,FALSE),"-")</f>
        <v>-</v>
      </c>
      <c r="O598" s="78" t="str">
        <f>+IFERROR(VLOOKUP(C598,'ID1&amp;5'!K:L,2,FALSE),"-")</f>
        <v>-</v>
      </c>
      <c r="P598" s="79" t="str">
        <f>+IFERROR(VLOOKUP(CONCATENATE(A598,$C$10,C598),'ID1&amp;5'!B:J,9,FALSE),"-")</f>
        <v>-</v>
      </c>
      <c r="Q598" s="78" t="str">
        <f>+IFERROR(VLOOKUP(D598,'ID1&amp;5'!K:L,2,FALSE),"-")</f>
        <v>-</v>
      </c>
      <c r="R598" s="26" t="str">
        <f>+IFERROR(VLOOKUP(CONCATENATE(A598,$D$10,D598),'ID1&amp;5'!B:J,9,FALSE),"-")</f>
        <v>-</v>
      </c>
      <c r="S598" s="78" t="str">
        <f>+IFERROR(VLOOKUP(E598,'ID1&amp;5'!K:L,2,FALSE),"-")</f>
        <v>-</v>
      </c>
      <c r="T598" s="79" t="str">
        <f>+IFERROR(VLOOKUP(CONCATENATE(A598,$E$10,E598),'ID1&amp;5'!B:J,9,FALSE),"-")</f>
        <v>-</v>
      </c>
      <c r="U598" s="78" t="str">
        <f>+IFERROR(VLOOKUP(F598,'ID1&amp;5'!K:L,2,FALSE),"-")</f>
        <v>-</v>
      </c>
      <c r="V598" s="79" t="str">
        <f>+IFERROR(VLOOKUP(CONCATENATE(A598,$F$10,F598),'ID1&amp;5'!B:J,9,FALSE),"-")</f>
        <v>-</v>
      </c>
      <c r="W598" s="26" t="str">
        <f>+IFERROR(VLOOKUP(A598,'ID6&amp;7'!A:I,9,FALSE),"-")</f>
        <v>-</v>
      </c>
      <c r="X598" s="26" t="str">
        <f>+IFERROR(VLOOKUP(A598,'ID6&amp;7'!A:J,10,FALSE),"-")</f>
        <v>-</v>
      </c>
      <c r="Y598" s="26"/>
      <c r="Z598" s="27" t="str">
        <f t="shared" si="10"/>
        <v>Por iniciar</v>
      </c>
      <c r="AA598" s="65"/>
    </row>
    <row r="599" spans="1:27">
      <c r="A599" s="20"/>
      <c r="B599" s="60"/>
      <c r="C599" s="60"/>
      <c r="D599" s="60"/>
      <c r="E599" s="60"/>
      <c r="F599" s="60"/>
      <c r="G599" s="60"/>
      <c r="H599" s="65" t="s">
        <v>115</v>
      </c>
      <c r="I599" s="21" t="s">
        <v>1233</v>
      </c>
      <c r="J599" s="26">
        <f>+COUNTIF('ID1&amp;5'!G:G,'1. Status'!I599)</f>
        <v>0</v>
      </c>
      <c r="K599" s="79" t="str">
        <f>+IFERROR(VLOOKUP(CONCATENATE(A599,$B$10,B599),'ID1&amp;5'!B:J,8,FALSE),"-")</f>
        <v>-</v>
      </c>
      <c r="L599" s="78" t="str">
        <f>+IFERROR(VLOOKUP(B599,'ID1&amp;5'!K:L,2,FALSE),"-")</f>
        <v>-</v>
      </c>
      <c r="M599" s="79" t="str">
        <f>+IFERROR(VLOOKUP(CONCATENATE(A599,$B$10,B599),'ID1&amp;5'!B:J,9,FALSE),"-")</f>
        <v>-</v>
      </c>
      <c r="N599" s="79" t="str">
        <f>+IFERROR(VLOOKUP(CONCATENATE(A599,$C$10,C599),'ID1&amp;5'!B:J,8,FALSE),"-")</f>
        <v>-</v>
      </c>
      <c r="O599" s="78" t="str">
        <f>+IFERROR(VLOOKUP(C599,'ID1&amp;5'!K:L,2,FALSE),"-")</f>
        <v>-</v>
      </c>
      <c r="P599" s="79" t="str">
        <f>+IFERROR(VLOOKUP(CONCATENATE(A599,$C$10,C599),'ID1&amp;5'!B:J,9,FALSE),"-")</f>
        <v>-</v>
      </c>
      <c r="Q599" s="78" t="str">
        <f>+IFERROR(VLOOKUP(D599,'ID1&amp;5'!K:L,2,FALSE),"-")</f>
        <v>-</v>
      </c>
      <c r="R599" s="26" t="str">
        <f>+IFERROR(VLOOKUP(CONCATENATE(A599,$D$10,D599),'ID1&amp;5'!B:J,9,FALSE),"-")</f>
        <v>-</v>
      </c>
      <c r="S599" s="78" t="str">
        <f>+IFERROR(VLOOKUP(E599,'ID1&amp;5'!K:L,2,FALSE),"-")</f>
        <v>-</v>
      </c>
      <c r="T599" s="79" t="str">
        <f>+IFERROR(VLOOKUP(CONCATENATE(A599,$E$10,E599),'ID1&amp;5'!B:J,9,FALSE),"-")</f>
        <v>-</v>
      </c>
      <c r="U599" s="78" t="str">
        <f>+IFERROR(VLOOKUP(F599,'ID1&amp;5'!K:L,2,FALSE),"-")</f>
        <v>-</v>
      </c>
      <c r="V599" s="79" t="str">
        <f>+IFERROR(VLOOKUP(CONCATENATE(A599,$F$10,F599),'ID1&amp;5'!B:J,9,FALSE),"-")</f>
        <v>-</v>
      </c>
      <c r="W599" s="26" t="str">
        <f>+IFERROR(VLOOKUP(A599,'ID6&amp;7'!A:I,9,FALSE),"-")</f>
        <v>-</v>
      </c>
      <c r="X599" s="26" t="str">
        <f>+IFERROR(VLOOKUP(A599,'ID6&amp;7'!A:J,10,FALSE),"-")</f>
        <v>-</v>
      </c>
      <c r="Y599" s="26"/>
      <c r="Z599" s="27" t="str">
        <f t="shared" si="10"/>
        <v>Por iniciar</v>
      </c>
      <c r="AA599" s="65"/>
    </row>
    <row r="600" spans="1:27">
      <c r="A600" s="20"/>
      <c r="B600" s="60"/>
      <c r="C600" s="60"/>
      <c r="D600" s="60"/>
      <c r="E600" s="60"/>
      <c r="F600" s="60"/>
      <c r="G600" s="60"/>
      <c r="H600" s="65" t="s">
        <v>115</v>
      </c>
      <c r="I600" s="21" t="s">
        <v>1234</v>
      </c>
      <c r="J600" s="26">
        <f>+COUNTIF('ID1&amp;5'!G:G,'1. Status'!I600)</f>
        <v>0</v>
      </c>
      <c r="K600" s="79" t="str">
        <f>+IFERROR(VLOOKUP(CONCATENATE(A600,$B$10,B600),'ID1&amp;5'!B:J,8,FALSE),"-")</f>
        <v>-</v>
      </c>
      <c r="L600" s="78" t="str">
        <f>+IFERROR(VLOOKUP(B600,'ID1&amp;5'!K:L,2,FALSE),"-")</f>
        <v>-</v>
      </c>
      <c r="M600" s="79" t="str">
        <f>+IFERROR(VLOOKUP(CONCATENATE(A600,$B$10,B600),'ID1&amp;5'!B:J,9,FALSE),"-")</f>
        <v>-</v>
      </c>
      <c r="N600" s="79" t="str">
        <f>+IFERROR(VLOOKUP(CONCATENATE(A600,$C$10,C600),'ID1&amp;5'!B:J,8,FALSE),"-")</f>
        <v>-</v>
      </c>
      <c r="O600" s="78" t="str">
        <f>+IFERROR(VLOOKUP(C600,'ID1&amp;5'!K:L,2,FALSE),"-")</f>
        <v>-</v>
      </c>
      <c r="P600" s="79" t="str">
        <f>+IFERROR(VLOOKUP(CONCATENATE(A600,$C$10,C600),'ID1&amp;5'!B:J,9,FALSE),"-")</f>
        <v>-</v>
      </c>
      <c r="Q600" s="78" t="str">
        <f>+IFERROR(VLOOKUP(D600,'ID1&amp;5'!K:L,2,FALSE),"-")</f>
        <v>-</v>
      </c>
      <c r="R600" s="26" t="str">
        <f>+IFERROR(VLOOKUP(CONCATENATE(A600,$D$10,D600),'ID1&amp;5'!B:J,9,FALSE),"-")</f>
        <v>-</v>
      </c>
      <c r="S600" s="78" t="str">
        <f>+IFERROR(VLOOKUP(E600,'ID1&amp;5'!K:L,2,FALSE),"-")</f>
        <v>-</v>
      </c>
      <c r="T600" s="79" t="str">
        <f>+IFERROR(VLOOKUP(CONCATENATE(A600,$E$10,E600),'ID1&amp;5'!B:J,9,FALSE),"-")</f>
        <v>-</v>
      </c>
      <c r="U600" s="78" t="str">
        <f>+IFERROR(VLOOKUP(F600,'ID1&amp;5'!K:L,2,FALSE),"-")</f>
        <v>-</v>
      </c>
      <c r="V600" s="79" t="str">
        <f>+IFERROR(VLOOKUP(CONCATENATE(A600,$F$10,F600),'ID1&amp;5'!B:J,9,FALSE),"-")</f>
        <v>-</v>
      </c>
      <c r="W600" s="26" t="str">
        <f>+IFERROR(VLOOKUP(A600,'ID6&amp;7'!A:I,9,FALSE),"-")</f>
        <v>-</v>
      </c>
      <c r="X600" s="26" t="str">
        <f>+IFERROR(VLOOKUP(A600,'ID6&amp;7'!A:J,10,FALSE),"-")</f>
        <v>-</v>
      </c>
      <c r="Y600" s="26"/>
      <c r="Z600" s="27" t="str">
        <f t="shared" si="10"/>
        <v>Por iniciar</v>
      </c>
      <c r="AA600" s="65"/>
    </row>
    <row r="601" spans="1:27">
      <c r="A601" s="20"/>
      <c r="B601" s="60"/>
      <c r="C601" s="60"/>
      <c r="D601" s="60"/>
      <c r="E601" s="60"/>
      <c r="F601" s="60"/>
      <c r="G601" s="60"/>
      <c r="H601" s="65" t="s">
        <v>115</v>
      </c>
      <c r="I601" s="21" t="s">
        <v>1235</v>
      </c>
      <c r="J601" s="26">
        <f>+COUNTIF('ID1&amp;5'!G:G,'1. Status'!I601)</f>
        <v>0</v>
      </c>
      <c r="K601" s="79" t="str">
        <f>+IFERROR(VLOOKUP(CONCATENATE(A601,$B$10,B601),'ID1&amp;5'!B:J,8,FALSE),"-")</f>
        <v>-</v>
      </c>
      <c r="L601" s="78" t="str">
        <f>+IFERROR(VLOOKUP(B601,'ID1&amp;5'!K:L,2,FALSE),"-")</f>
        <v>-</v>
      </c>
      <c r="M601" s="79" t="str">
        <f>+IFERROR(VLOOKUP(CONCATENATE(A601,$B$10,B601),'ID1&amp;5'!B:J,9,FALSE),"-")</f>
        <v>-</v>
      </c>
      <c r="N601" s="79" t="str">
        <f>+IFERROR(VLOOKUP(CONCATENATE(A601,$C$10,C601),'ID1&amp;5'!B:J,8,FALSE),"-")</f>
        <v>-</v>
      </c>
      <c r="O601" s="78" t="str">
        <f>+IFERROR(VLOOKUP(C601,'ID1&amp;5'!K:L,2,FALSE),"-")</f>
        <v>-</v>
      </c>
      <c r="P601" s="79" t="str">
        <f>+IFERROR(VLOOKUP(CONCATENATE(A601,$C$10,C601),'ID1&amp;5'!B:J,9,FALSE),"-")</f>
        <v>-</v>
      </c>
      <c r="Q601" s="78" t="str">
        <f>+IFERROR(VLOOKUP(D601,'ID1&amp;5'!K:L,2,FALSE),"-")</f>
        <v>-</v>
      </c>
      <c r="R601" s="26" t="str">
        <f>+IFERROR(VLOOKUP(CONCATENATE(A601,$D$10,D601),'ID1&amp;5'!B:J,9,FALSE),"-")</f>
        <v>-</v>
      </c>
      <c r="S601" s="78" t="str">
        <f>+IFERROR(VLOOKUP(E601,'ID1&amp;5'!K:L,2,FALSE),"-")</f>
        <v>-</v>
      </c>
      <c r="T601" s="79" t="str">
        <f>+IFERROR(VLOOKUP(CONCATENATE(A601,$E$10,E601),'ID1&amp;5'!B:J,9,FALSE),"-")</f>
        <v>-</v>
      </c>
      <c r="U601" s="78" t="str">
        <f>+IFERROR(VLOOKUP(F601,'ID1&amp;5'!K:L,2,FALSE),"-")</f>
        <v>-</v>
      </c>
      <c r="V601" s="79" t="str">
        <f>+IFERROR(VLOOKUP(CONCATENATE(A601,$F$10,F601),'ID1&amp;5'!B:J,9,FALSE),"-")</f>
        <v>-</v>
      </c>
      <c r="W601" s="26" t="str">
        <f>+IFERROR(VLOOKUP(A601,'ID6&amp;7'!A:I,9,FALSE),"-")</f>
        <v>-</v>
      </c>
      <c r="X601" s="26" t="str">
        <f>+IFERROR(VLOOKUP(A601,'ID6&amp;7'!A:J,10,FALSE),"-")</f>
        <v>-</v>
      </c>
      <c r="Y601" s="26"/>
      <c r="Z601" s="27" t="str">
        <f t="shared" si="10"/>
        <v>Por iniciar</v>
      </c>
      <c r="AA601" s="65"/>
    </row>
    <row r="602" spans="1:27">
      <c r="A602" s="20"/>
      <c r="B602" s="60"/>
      <c r="C602" s="60"/>
      <c r="D602" s="60"/>
      <c r="E602" s="60"/>
      <c r="F602" s="60"/>
      <c r="G602" s="60"/>
      <c r="H602" s="65" t="s">
        <v>115</v>
      </c>
      <c r="I602" s="21" t="s">
        <v>1236</v>
      </c>
      <c r="J602" s="26">
        <f>+COUNTIF('ID1&amp;5'!G:G,'1. Status'!I602)</f>
        <v>0</v>
      </c>
      <c r="K602" s="79" t="str">
        <f>+IFERROR(VLOOKUP(CONCATENATE(A602,$B$10,B602),'ID1&amp;5'!B:J,8,FALSE),"-")</f>
        <v>-</v>
      </c>
      <c r="L602" s="78" t="str">
        <f>+IFERROR(VLOOKUP(B602,'ID1&amp;5'!K:L,2,FALSE),"-")</f>
        <v>-</v>
      </c>
      <c r="M602" s="79" t="str">
        <f>+IFERROR(VLOOKUP(CONCATENATE(A602,$B$10,B602),'ID1&amp;5'!B:J,9,FALSE),"-")</f>
        <v>-</v>
      </c>
      <c r="N602" s="79" t="str">
        <f>+IFERROR(VLOOKUP(CONCATENATE(A602,$C$10,C602),'ID1&amp;5'!B:J,8,FALSE),"-")</f>
        <v>-</v>
      </c>
      <c r="O602" s="78" t="str">
        <f>+IFERROR(VLOOKUP(C602,'ID1&amp;5'!K:L,2,FALSE),"-")</f>
        <v>-</v>
      </c>
      <c r="P602" s="79" t="str">
        <f>+IFERROR(VLOOKUP(CONCATENATE(A602,$C$10,C602),'ID1&amp;5'!B:J,9,FALSE),"-")</f>
        <v>-</v>
      </c>
      <c r="Q602" s="78" t="str">
        <f>+IFERROR(VLOOKUP(D602,'ID1&amp;5'!K:L,2,FALSE),"-")</f>
        <v>-</v>
      </c>
      <c r="R602" s="26" t="str">
        <f>+IFERROR(VLOOKUP(CONCATENATE(A602,$D$10,D602),'ID1&amp;5'!B:J,9,FALSE),"-")</f>
        <v>-</v>
      </c>
      <c r="S602" s="78" t="str">
        <f>+IFERROR(VLOOKUP(E602,'ID1&amp;5'!K:L,2,FALSE),"-")</f>
        <v>-</v>
      </c>
      <c r="T602" s="79" t="str">
        <f>+IFERROR(VLOOKUP(CONCATENATE(A602,$E$10,E602),'ID1&amp;5'!B:J,9,FALSE),"-")</f>
        <v>-</v>
      </c>
      <c r="U602" s="78" t="str">
        <f>+IFERROR(VLOOKUP(F602,'ID1&amp;5'!K:L,2,FALSE),"-")</f>
        <v>-</v>
      </c>
      <c r="V602" s="79" t="str">
        <f>+IFERROR(VLOOKUP(CONCATENATE(A602,$F$10,F602),'ID1&amp;5'!B:J,9,FALSE),"-")</f>
        <v>-</v>
      </c>
      <c r="W602" s="26" t="str">
        <f>+IFERROR(VLOOKUP(A602,'ID6&amp;7'!A:I,9,FALSE),"-")</f>
        <v>-</v>
      </c>
      <c r="X602" s="26" t="str">
        <f>+IFERROR(VLOOKUP(A602,'ID6&amp;7'!A:J,10,FALSE),"-")</f>
        <v>-</v>
      </c>
      <c r="Y602" s="26"/>
      <c r="Z602" s="27" t="str">
        <f t="shared" si="10"/>
        <v>Por iniciar</v>
      </c>
      <c r="AA602" s="65"/>
    </row>
    <row r="603" spans="1:27">
      <c r="A603" s="20"/>
      <c r="B603" s="60"/>
      <c r="C603" s="60"/>
      <c r="D603" s="60"/>
      <c r="E603" s="60"/>
      <c r="F603" s="60"/>
      <c r="G603" s="60"/>
      <c r="H603" s="65" t="s">
        <v>115</v>
      </c>
      <c r="I603" s="21" t="s">
        <v>1237</v>
      </c>
      <c r="J603" s="26">
        <f>+COUNTIF('ID1&amp;5'!G:G,'1. Status'!I603)</f>
        <v>0</v>
      </c>
      <c r="K603" s="79" t="str">
        <f>+IFERROR(VLOOKUP(CONCATENATE(A603,$B$10,B603),'ID1&amp;5'!B:J,8,FALSE),"-")</f>
        <v>-</v>
      </c>
      <c r="L603" s="78" t="str">
        <f>+IFERROR(VLOOKUP(B603,'ID1&amp;5'!K:L,2,FALSE),"-")</f>
        <v>-</v>
      </c>
      <c r="M603" s="79" t="str">
        <f>+IFERROR(VLOOKUP(CONCATENATE(A603,$B$10,B603),'ID1&amp;5'!B:J,9,FALSE),"-")</f>
        <v>-</v>
      </c>
      <c r="N603" s="79" t="str">
        <f>+IFERROR(VLOOKUP(CONCATENATE(A603,$C$10,C603),'ID1&amp;5'!B:J,8,FALSE),"-")</f>
        <v>-</v>
      </c>
      <c r="O603" s="78" t="str">
        <f>+IFERROR(VLOOKUP(C603,'ID1&amp;5'!K:L,2,FALSE),"-")</f>
        <v>-</v>
      </c>
      <c r="P603" s="79" t="str">
        <f>+IFERROR(VLOOKUP(CONCATENATE(A603,$C$10,C603),'ID1&amp;5'!B:J,9,FALSE),"-")</f>
        <v>-</v>
      </c>
      <c r="Q603" s="78" t="str">
        <f>+IFERROR(VLOOKUP(D603,'ID1&amp;5'!K:L,2,FALSE),"-")</f>
        <v>-</v>
      </c>
      <c r="R603" s="26" t="str">
        <f>+IFERROR(VLOOKUP(CONCATENATE(A603,$D$10,D603),'ID1&amp;5'!B:J,9,FALSE),"-")</f>
        <v>-</v>
      </c>
      <c r="S603" s="78" t="str">
        <f>+IFERROR(VLOOKUP(E603,'ID1&amp;5'!K:L,2,FALSE),"-")</f>
        <v>-</v>
      </c>
      <c r="T603" s="79" t="str">
        <f>+IFERROR(VLOOKUP(CONCATENATE(A603,$E$10,E603),'ID1&amp;5'!B:J,9,FALSE),"-")</f>
        <v>-</v>
      </c>
      <c r="U603" s="78" t="str">
        <f>+IFERROR(VLOOKUP(F603,'ID1&amp;5'!K:L,2,FALSE),"-")</f>
        <v>-</v>
      </c>
      <c r="V603" s="79" t="str">
        <f>+IFERROR(VLOOKUP(CONCATENATE(A603,$F$10,F603),'ID1&amp;5'!B:J,9,FALSE),"-")</f>
        <v>-</v>
      </c>
      <c r="W603" s="26" t="str">
        <f>+IFERROR(VLOOKUP(A603,'ID6&amp;7'!A:I,9,FALSE),"-")</f>
        <v>-</v>
      </c>
      <c r="X603" s="26" t="str">
        <f>+IFERROR(VLOOKUP(A603,'ID6&amp;7'!A:J,10,FALSE),"-")</f>
        <v>-</v>
      </c>
      <c r="Y603" s="26"/>
      <c r="Z603" s="27" t="str">
        <f t="shared" si="10"/>
        <v>Por iniciar</v>
      </c>
      <c r="AA603" s="65"/>
    </row>
    <row r="604" spans="1:27">
      <c r="A604" s="20"/>
      <c r="B604" s="60"/>
      <c r="C604" s="60"/>
      <c r="D604" s="60"/>
      <c r="E604" s="60"/>
      <c r="F604" s="60"/>
      <c r="G604" s="60"/>
      <c r="H604" s="65" t="s">
        <v>115</v>
      </c>
      <c r="I604" s="21" t="s">
        <v>1238</v>
      </c>
      <c r="J604" s="26">
        <f>+COUNTIF('ID1&amp;5'!G:G,'1. Status'!I604)</f>
        <v>0</v>
      </c>
      <c r="K604" s="79" t="str">
        <f>+IFERROR(VLOOKUP(CONCATENATE(A604,$B$10,B604),'ID1&amp;5'!B:J,8,FALSE),"-")</f>
        <v>-</v>
      </c>
      <c r="L604" s="78" t="str">
        <f>+IFERROR(VLOOKUP(B604,'ID1&amp;5'!K:L,2,FALSE),"-")</f>
        <v>-</v>
      </c>
      <c r="M604" s="79" t="str">
        <f>+IFERROR(VLOOKUP(CONCATENATE(A604,$B$10,B604),'ID1&amp;5'!B:J,9,FALSE),"-")</f>
        <v>-</v>
      </c>
      <c r="N604" s="79" t="str">
        <f>+IFERROR(VLOOKUP(CONCATENATE(A604,$C$10,C604),'ID1&amp;5'!B:J,8,FALSE),"-")</f>
        <v>-</v>
      </c>
      <c r="O604" s="78" t="str">
        <f>+IFERROR(VLOOKUP(C604,'ID1&amp;5'!K:L,2,FALSE),"-")</f>
        <v>-</v>
      </c>
      <c r="P604" s="79" t="str">
        <f>+IFERROR(VLOOKUP(CONCATENATE(A604,$C$10,C604),'ID1&amp;5'!B:J,9,FALSE),"-")</f>
        <v>-</v>
      </c>
      <c r="Q604" s="78" t="str">
        <f>+IFERROR(VLOOKUP(D604,'ID1&amp;5'!K:L,2,FALSE),"-")</f>
        <v>-</v>
      </c>
      <c r="R604" s="26" t="str">
        <f>+IFERROR(VLOOKUP(CONCATENATE(A604,$D$10,D604),'ID1&amp;5'!B:J,9,FALSE),"-")</f>
        <v>-</v>
      </c>
      <c r="S604" s="78" t="str">
        <f>+IFERROR(VLOOKUP(E604,'ID1&amp;5'!K:L,2,FALSE),"-")</f>
        <v>-</v>
      </c>
      <c r="T604" s="79" t="str">
        <f>+IFERROR(VLOOKUP(CONCATENATE(A604,$E$10,E604),'ID1&amp;5'!B:J,9,FALSE),"-")</f>
        <v>-</v>
      </c>
      <c r="U604" s="78" t="str">
        <f>+IFERROR(VLOOKUP(F604,'ID1&amp;5'!K:L,2,FALSE),"-")</f>
        <v>-</v>
      </c>
      <c r="V604" s="79" t="str">
        <f>+IFERROR(VLOOKUP(CONCATENATE(A604,$F$10,F604),'ID1&amp;5'!B:J,9,FALSE),"-")</f>
        <v>-</v>
      </c>
      <c r="W604" s="26" t="str">
        <f>+IFERROR(VLOOKUP(A604,'ID6&amp;7'!A:I,9,FALSE),"-")</f>
        <v>-</v>
      </c>
      <c r="X604" s="26" t="str">
        <f>+IFERROR(VLOOKUP(A604,'ID6&amp;7'!A:J,10,FALSE),"-")</f>
        <v>-</v>
      </c>
      <c r="Y604" s="26"/>
      <c r="Z604" s="27" t="str">
        <f t="shared" si="10"/>
        <v>Por iniciar</v>
      </c>
      <c r="AA604" s="65"/>
    </row>
    <row r="605" spans="1:27">
      <c r="A605" s="20"/>
      <c r="B605" s="60"/>
      <c r="C605" s="60"/>
      <c r="D605" s="60"/>
      <c r="E605" s="60"/>
      <c r="F605" s="60"/>
      <c r="G605" s="60"/>
      <c r="H605" s="65" t="s">
        <v>115</v>
      </c>
      <c r="I605" s="21" t="s">
        <v>1239</v>
      </c>
      <c r="J605" s="26">
        <f>+COUNTIF('ID1&amp;5'!G:G,'1. Status'!I605)</f>
        <v>0</v>
      </c>
      <c r="K605" s="79" t="str">
        <f>+IFERROR(VLOOKUP(CONCATENATE(A605,$B$10,B605),'ID1&amp;5'!B:J,8,FALSE),"-")</f>
        <v>-</v>
      </c>
      <c r="L605" s="78" t="str">
        <f>+IFERROR(VLOOKUP(B605,'ID1&amp;5'!K:L,2,FALSE),"-")</f>
        <v>-</v>
      </c>
      <c r="M605" s="79" t="str">
        <f>+IFERROR(VLOOKUP(CONCATENATE(A605,$B$10,B605),'ID1&amp;5'!B:J,9,FALSE),"-")</f>
        <v>-</v>
      </c>
      <c r="N605" s="79" t="str">
        <f>+IFERROR(VLOOKUP(CONCATENATE(A605,$C$10,C605),'ID1&amp;5'!B:J,8,FALSE),"-")</f>
        <v>-</v>
      </c>
      <c r="O605" s="78" t="str">
        <f>+IFERROR(VLOOKUP(C605,'ID1&amp;5'!K:L,2,FALSE),"-")</f>
        <v>-</v>
      </c>
      <c r="P605" s="79" t="str">
        <f>+IFERROR(VLOOKUP(CONCATENATE(A605,$C$10,C605),'ID1&amp;5'!B:J,9,FALSE),"-")</f>
        <v>-</v>
      </c>
      <c r="Q605" s="78" t="str">
        <f>+IFERROR(VLOOKUP(D605,'ID1&amp;5'!K:L,2,FALSE),"-")</f>
        <v>-</v>
      </c>
      <c r="R605" s="26" t="str">
        <f>+IFERROR(VLOOKUP(CONCATENATE(A605,$D$10,D605),'ID1&amp;5'!B:J,9,FALSE),"-")</f>
        <v>-</v>
      </c>
      <c r="S605" s="78" t="str">
        <f>+IFERROR(VLOOKUP(E605,'ID1&amp;5'!K:L,2,FALSE),"-")</f>
        <v>-</v>
      </c>
      <c r="T605" s="79" t="str">
        <f>+IFERROR(VLOOKUP(CONCATENATE(A605,$E$10,E605),'ID1&amp;5'!B:J,9,FALSE),"-")</f>
        <v>-</v>
      </c>
      <c r="U605" s="78" t="str">
        <f>+IFERROR(VLOOKUP(F605,'ID1&amp;5'!K:L,2,FALSE),"-")</f>
        <v>-</v>
      </c>
      <c r="V605" s="79" t="str">
        <f>+IFERROR(VLOOKUP(CONCATENATE(A605,$F$10,F605),'ID1&amp;5'!B:J,9,FALSE),"-")</f>
        <v>-</v>
      </c>
      <c r="W605" s="26" t="str">
        <f>+IFERROR(VLOOKUP(A605,'ID6&amp;7'!A:I,9,FALSE),"-")</f>
        <v>-</v>
      </c>
      <c r="X605" s="26" t="str">
        <f>+IFERROR(VLOOKUP(A605,'ID6&amp;7'!A:J,10,FALSE),"-")</f>
        <v>-</v>
      </c>
      <c r="Y605" s="26"/>
      <c r="Z605" s="27" t="str">
        <f t="shared" si="10"/>
        <v>Por iniciar</v>
      </c>
      <c r="AA605" s="65"/>
    </row>
    <row r="606" spans="1:27">
      <c r="A606" s="20"/>
      <c r="B606" s="60"/>
      <c r="C606" s="60"/>
      <c r="D606" s="60"/>
      <c r="E606" s="60"/>
      <c r="F606" s="60"/>
      <c r="G606" s="60"/>
      <c r="H606" s="65" t="s">
        <v>115</v>
      </c>
      <c r="I606" s="21" t="s">
        <v>1240</v>
      </c>
      <c r="J606" s="26">
        <f>+COUNTIF('ID1&amp;5'!G:G,'1. Status'!I606)</f>
        <v>0</v>
      </c>
      <c r="K606" s="79" t="str">
        <f>+IFERROR(VLOOKUP(CONCATENATE(A606,$B$10,B606),'ID1&amp;5'!B:J,8,FALSE),"-")</f>
        <v>-</v>
      </c>
      <c r="L606" s="78" t="str">
        <f>+IFERROR(VLOOKUP(B606,'ID1&amp;5'!K:L,2,FALSE),"-")</f>
        <v>-</v>
      </c>
      <c r="M606" s="79" t="str">
        <f>+IFERROR(VLOOKUP(CONCATENATE(A606,$B$10,B606),'ID1&amp;5'!B:J,9,FALSE),"-")</f>
        <v>-</v>
      </c>
      <c r="N606" s="79" t="str">
        <f>+IFERROR(VLOOKUP(CONCATENATE(A606,$C$10,C606),'ID1&amp;5'!B:J,8,FALSE),"-")</f>
        <v>-</v>
      </c>
      <c r="O606" s="78" t="str">
        <f>+IFERROR(VLOOKUP(C606,'ID1&amp;5'!K:L,2,FALSE),"-")</f>
        <v>-</v>
      </c>
      <c r="P606" s="79" t="str">
        <f>+IFERROR(VLOOKUP(CONCATENATE(A606,$C$10,C606),'ID1&amp;5'!B:J,9,FALSE),"-")</f>
        <v>-</v>
      </c>
      <c r="Q606" s="78" t="str">
        <f>+IFERROR(VLOOKUP(D606,'ID1&amp;5'!K:L,2,FALSE),"-")</f>
        <v>-</v>
      </c>
      <c r="R606" s="26" t="str">
        <f>+IFERROR(VLOOKUP(CONCATENATE(A606,$D$10,D606),'ID1&amp;5'!B:J,9,FALSE),"-")</f>
        <v>-</v>
      </c>
      <c r="S606" s="78" t="str">
        <f>+IFERROR(VLOOKUP(E606,'ID1&amp;5'!K:L,2,FALSE),"-")</f>
        <v>-</v>
      </c>
      <c r="T606" s="79" t="str">
        <f>+IFERROR(VLOOKUP(CONCATENATE(A606,$E$10,E606),'ID1&amp;5'!B:J,9,FALSE),"-")</f>
        <v>-</v>
      </c>
      <c r="U606" s="78" t="str">
        <f>+IFERROR(VLOOKUP(F606,'ID1&amp;5'!K:L,2,FALSE),"-")</f>
        <v>-</v>
      </c>
      <c r="V606" s="79" t="str">
        <f>+IFERROR(VLOOKUP(CONCATENATE(A606,$F$10,F606),'ID1&amp;5'!B:J,9,FALSE),"-")</f>
        <v>-</v>
      </c>
      <c r="W606" s="26" t="str">
        <f>+IFERROR(VLOOKUP(A606,'ID6&amp;7'!A:I,9,FALSE),"-")</f>
        <v>-</v>
      </c>
      <c r="X606" s="26" t="str">
        <f>+IFERROR(VLOOKUP(A606,'ID6&amp;7'!A:J,10,FALSE),"-")</f>
        <v>-</v>
      </c>
      <c r="Y606" s="26"/>
      <c r="Z606" s="27" t="str">
        <f t="shared" si="10"/>
        <v>Por iniciar</v>
      </c>
      <c r="AA606" s="65"/>
    </row>
    <row r="607" spans="1:27">
      <c r="A607" s="20"/>
      <c r="B607" s="60"/>
      <c r="C607" s="60"/>
      <c r="D607" s="60"/>
      <c r="E607" s="60"/>
      <c r="F607" s="60"/>
      <c r="G607" s="60"/>
      <c r="H607" s="65" t="s">
        <v>115</v>
      </c>
      <c r="I607" s="21" t="s">
        <v>1462</v>
      </c>
      <c r="J607" s="26">
        <f>+COUNTIF('ID1&amp;5'!G:G,'1. Status'!I607)</f>
        <v>0</v>
      </c>
      <c r="K607" s="79" t="str">
        <f>+IFERROR(VLOOKUP(CONCATENATE(A607,$B$10,B607),'ID1&amp;5'!B:J,8,FALSE),"-")</f>
        <v>-</v>
      </c>
      <c r="L607" s="78" t="str">
        <f>+IFERROR(VLOOKUP(B607,'ID1&amp;5'!K:L,2,FALSE),"-")</f>
        <v>-</v>
      </c>
      <c r="M607" s="79" t="str">
        <f>+IFERROR(VLOOKUP(CONCATENATE(A607,$B$10,B607),'ID1&amp;5'!B:J,9,FALSE),"-")</f>
        <v>-</v>
      </c>
      <c r="N607" s="79" t="str">
        <f>+IFERROR(VLOOKUP(CONCATENATE(A607,$C$10,C607),'ID1&amp;5'!B:J,8,FALSE),"-")</f>
        <v>-</v>
      </c>
      <c r="O607" s="78" t="str">
        <f>+IFERROR(VLOOKUP(C607,'ID1&amp;5'!K:L,2,FALSE),"-")</f>
        <v>-</v>
      </c>
      <c r="P607" s="79" t="str">
        <f>+IFERROR(VLOOKUP(CONCATENATE(A607,$C$10,C607),'ID1&amp;5'!B:J,9,FALSE),"-")</f>
        <v>-</v>
      </c>
      <c r="Q607" s="78" t="str">
        <f>+IFERROR(VLOOKUP(D607,'ID1&amp;5'!K:L,2,FALSE),"-")</f>
        <v>-</v>
      </c>
      <c r="R607" s="26" t="str">
        <f>+IFERROR(VLOOKUP(CONCATENATE(A607,$D$10,D607),'ID1&amp;5'!B:J,9,FALSE),"-")</f>
        <v>-</v>
      </c>
      <c r="S607" s="78" t="str">
        <f>+IFERROR(VLOOKUP(E607,'ID1&amp;5'!K:L,2,FALSE),"-")</f>
        <v>-</v>
      </c>
      <c r="T607" s="79" t="str">
        <f>+IFERROR(VLOOKUP(CONCATENATE(A607,$E$10,E607),'ID1&amp;5'!B:J,9,FALSE),"-")</f>
        <v>-</v>
      </c>
      <c r="U607" s="78" t="str">
        <f>+IFERROR(VLOOKUP(F607,'ID1&amp;5'!K:L,2,FALSE),"-")</f>
        <v>-</v>
      </c>
      <c r="V607" s="79" t="str">
        <f>+IFERROR(VLOOKUP(CONCATENATE(A607,$F$10,F607),'ID1&amp;5'!B:J,9,FALSE),"-")</f>
        <v>-</v>
      </c>
      <c r="W607" s="26" t="str">
        <f>+IFERROR(VLOOKUP(A607,'ID6&amp;7'!A:I,9,FALSE),"-")</f>
        <v>-</v>
      </c>
      <c r="X607" s="26" t="str">
        <f>+IFERROR(VLOOKUP(A607,'ID6&amp;7'!A:J,10,FALSE),"-")</f>
        <v>-</v>
      </c>
      <c r="Y607" s="26"/>
      <c r="Z607" s="27" t="str">
        <f t="shared" si="10"/>
        <v>Por iniciar</v>
      </c>
      <c r="AA607" s="65"/>
    </row>
    <row r="608" spans="1:27">
      <c r="A608" s="20"/>
      <c r="B608" s="60"/>
      <c r="C608" s="60"/>
      <c r="D608" s="60"/>
      <c r="E608" s="60"/>
      <c r="F608" s="60"/>
      <c r="G608" s="60"/>
      <c r="H608" s="65" t="s">
        <v>115</v>
      </c>
      <c r="I608" s="21" t="s">
        <v>650</v>
      </c>
      <c r="J608" s="26">
        <f>+COUNTIF('ID1&amp;5'!G:G,'1. Status'!I608)</f>
        <v>4</v>
      </c>
      <c r="K608" s="79" t="str">
        <f>+IFERROR(VLOOKUP(CONCATENATE(A608,$B$10,B608),'ID1&amp;5'!B:J,8,FALSE),"-")</f>
        <v>-</v>
      </c>
      <c r="L608" s="78" t="str">
        <f>+IFERROR(VLOOKUP(B608,'ID1&amp;5'!K:L,2,FALSE),"-")</f>
        <v>-</v>
      </c>
      <c r="M608" s="79" t="str">
        <f>+IFERROR(VLOOKUP(CONCATENATE(A608,$B$10,B608),'ID1&amp;5'!B:J,9,FALSE),"-")</f>
        <v>-</v>
      </c>
      <c r="N608" s="79" t="str">
        <f>+IFERROR(VLOOKUP(CONCATENATE(A608,$C$10,C608),'ID1&amp;5'!B:J,8,FALSE),"-")</f>
        <v>-</v>
      </c>
      <c r="O608" s="78" t="str">
        <f>+IFERROR(VLOOKUP(C608,'ID1&amp;5'!K:L,2,FALSE),"-")</f>
        <v>-</v>
      </c>
      <c r="P608" s="79" t="str">
        <f>+IFERROR(VLOOKUP(CONCATENATE(A608,$C$10,C608),'ID1&amp;5'!B:J,9,FALSE),"-")</f>
        <v>-</v>
      </c>
      <c r="Q608" s="78" t="str">
        <f>+IFERROR(VLOOKUP(D608,'ID1&amp;5'!K:L,2,FALSE),"-")</f>
        <v>-</v>
      </c>
      <c r="R608" s="26" t="str">
        <f>+IFERROR(VLOOKUP(CONCATENATE(A608,$D$10,D608),'ID1&amp;5'!B:J,9,FALSE),"-")</f>
        <v>-</v>
      </c>
      <c r="S608" s="78" t="str">
        <f>+IFERROR(VLOOKUP(E608,'ID1&amp;5'!K:L,2,FALSE),"-")</f>
        <v>-</v>
      </c>
      <c r="T608" s="79" t="str">
        <f>+IFERROR(VLOOKUP(CONCATENATE(A608,$E$10,E608),'ID1&amp;5'!B:J,9,FALSE),"-")</f>
        <v>-</v>
      </c>
      <c r="U608" s="78" t="str">
        <f>+IFERROR(VLOOKUP(F608,'ID1&amp;5'!K:L,2,FALSE),"-")</f>
        <v>-</v>
      </c>
      <c r="V608" s="79" t="str">
        <f>+IFERROR(VLOOKUP(CONCATENATE(A608,$F$10,F608),'ID1&amp;5'!B:J,9,FALSE),"-")</f>
        <v>-</v>
      </c>
      <c r="W608" s="26" t="str">
        <f>+IFERROR(VLOOKUP(A608,'ID6&amp;7'!A:I,9,FALSE),"-")</f>
        <v>-</v>
      </c>
      <c r="X608" s="26" t="str">
        <f>+IFERROR(VLOOKUP(A608,'ID6&amp;7'!A:J,10,FALSE),"-")</f>
        <v>-</v>
      </c>
      <c r="Y608" s="26"/>
      <c r="Z608" s="27" t="str">
        <f t="shared" si="10"/>
        <v>Em testes</v>
      </c>
      <c r="AA608" s="65"/>
    </row>
    <row r="609" spans="1:27">
      <c r="A609" s="20"/>
      <c r="B609" s="60"/>
      <c r="C609" s="60"/>
      <c r="D609" s="60"/>
      <c r="E609" s="60"/>
      <c r="F609" s="60"/>
      <c r="G609" s="60"/>
      <c r="H609" s="65" t="s">
        <v>115</v>
      </c>
      <c r="I609" s="21" t="s">
        <v>1526</v>
      </c>
      <c r="J609" s="26">
        <f>+COUNTIF('ID1&amp;5'!G:G,'1. Status'!I609)</f>
        <v>0</v>
      </c>
      <c r="K609" s="79" t="str">
        <f>+IFERROR(VLOOKUP(CONCATENATE(A609,$B$10,B609),'ID1&amp;5'!B:J,8,FALSE),"-")</f>
        <v>-</v>
      </c>
      <c r="L609" s="78" t="str">
        <f>+IFERROR(VLOOKUP(B609,'ID1&amp;5'!K:L,2,FALSE),"-")</f>
        <v>-</v>
      </c>
      <c r="M609" s="79" t="str">
        <f>+IFERROR(VLOOKUP(CONCATENATE(A609,$B$10,B609),'ID1&amp;5'!B:J,9,FALSE),"-")</f>
        <v>-</v>
      </c>
      <c r="N609" s="79" t="str">
        <f>+IFERROR(VLOOKUP(CONCATENATE(A609,$C$10,C609),'ID1&amp;5'!B:J,8,FALSE),"-")</f>
        <v>-</v>
      </c>
      <c r="O609" s="78" t="str">
        <f>+IFERROR(VLOOKUP(C609,'ID1&amp;5'!K:L,2,FALSE),"-")</f>
        <v>-</v>
      </c>
      <c r="P609" s="79" t="str">
        <f>+IFERROR(VLOOKUP(CONCATENATE(A609,$C$10,C609),'ID1&amp;5'!B:J,9,FALSE),"-")</f>
        <v>-</v>
      </c>
      <c r="Q609" s="78" t="str">
        <f>+IFERROR(VLOOKUP(D609,'ID1&amp;5'!K:L,2,FALSE),"-")</f>
        <v>-</v>
      </c>
      <c r="R609" s="26" t="str">
        <f>+IFERROR(VLOOKUP(CONCATENATE(A609,$D$10,D609),'ID1&amp;5'!B:J,9,FALSE),"-")</f>
        <v>-</v>
      </c>
      <c r="S609" s="78" t="str">
        <f>+IFERROR(VLOOKUP(E609,'ID1&amp;5'!K:L,2,FALSE),"-")</f>
        <v>-</v>
      </c>
      <c r="T609" s="79" t="str">
        <f>+IFERROR(VLOOKUP(CONCATENATE(A609,$E$10,E609),'ID1&amp;5'!B:J,9,FALSE),"-")</f>
        <v>-</v>
      </c>
      <c r="U609" s="78" t="str">
        <f>+IFERROR(VLOOKUP(F609,'ID1&amp;5'!K:L,2,FALSE),"-")</f>
        <v>-</v>
      </c>
      <c r="V609" s="79" t="str">
        <f>+IFERROR(VLOOKUP(CONCATENATE(A609,$F$10,F609),'ID1&amp;5'!B:J,9,FALSE),"-")</f>
        <v>-</v>
      </c>
      <c r="W609" s="26" t="str">
        <f>+IFERROR(VLOOKUP(A609,'ID6&amp;7'!A:I,9,FALSE),"-")</f>
        <v>-</v>
      </c>
      <c r="X609" s="26" t="str">
        <f>+IFERROR(VLOOKUP(A609,'ID6&amp;7'!A:J,10,FALSE),"-")</f>
        <v>-</v>
      </c>
      <c r="Y609" s="26"/>
      <c r="Z609" s="27" t="str">
        <f t="shared" si="10"/>
        <v>Por iniciar</v>
      </c>
      <c r="AA609" s="65"/>
    </row>
    <row r="610" spans="1:27">
      <c r="A610" s="20"/>
      <c r="B610" s="60"/>
      <c r="C610" s="60"/>
      <c r="D610" s="60"/>
      <c r="E610" s="60"/>
      <c r="F610" s="60"/>
      <c r="G610" s="60"/>
      <c r="H610" s="65" t="s">
        <v>115</v>
      </c>
      <c r="I610" s="21" t="s">
        <v>615</v>
      </c>
      <c r="J610" s="26">
        <f>+COUNTIF('ID1&amp;5'!G:G,'1. Status'!I610)</f>
        <v>0</v>
      </c>
      <c r="K610" s="79" t="str">
        <f>+IFERROR(VLOOKUP(CONCATENATE(A610,$B$10,B610),'ID1&amp;5'!B:J,8,FALSE),"-")</f>
        <v>-</v>
      </c>
      <c r="L610" s="78" t="str">
        <f>+IFERROR(VLOOKUP(B610,'ID1&amp;5'!K:L,2,FALSE),"-")</f>
        <v>-</v>
      </c>
      <c r="M610" s="79" t="str">
        <f>+IFERROR(VLOOKUP(CONCATENATE(A610,$B$10,B610),'ID1&amp;5'!B:J,9,FALSE),"-")</f>
        <v>-</v>
      </c>
      <c r="N610" s="79" t="str">
        <f>+IFERROR(VLOOKUP(CONCATENATE(A610,$C$10,C610),'ID1&amp;5'!B:J,8,FALSE),"-")</f>
        <v>-</v>
      </c>
      <c r="O610" s="78" t="str">
        <f>+IFERROR(VLOOKUP(C610,'ID1&amp;5'!K:L,2,FALSE),"-")</f>
        <v>-</v>
      </c>
      <c r="P610" s="79" t="str">
        <f>+IFERROR(VLOOKUP(CONCATENATE(A610,$C$10,C610),'ID1&amp;5'!B:J,9,FALSE),"-")</f>
        <v>-</v>
      </c>
      <c r="Q610" s="78" t="str">
        <f>+IFERROR(VLOOKUP(D610,'ID1&amp;5'!K:L,2,FALSE),"-")</f>
        <v>-</v>
      </c>
      <c r="R610" s="26" t="str">
        <f>+IFERROR(VLOOKUP(CONCATENATE(A610,$D$10,D610),'ID1&amp;5'!B:J,9,FALSE),"-")</f>
        <v>-</v>
      </c>
      <c r="S610" s="78" t="str">
        <f>+IFERROR(VLOOKUP(E610,'ID1&amp;5'!K:L,2,FALSE),"-")</f>
        <v>-</v>
      </c>
      <c r="T610" s="79" t="str">
        <f>+IFERROR(VLOOKUP(CONCATENATE(A610,$E$10,E610),'ID1&amp;5'!B:J,9,FALSE),"-")</f>
        <v>-</v>
      </c>
      <c r="U610" s="78" t="str">
        <f>+IFERROR(VLOOKUP(F610,'ID1&amp;5'!K:L,2,FALSE),"-")</f>
        <v>-</v>
      </c>
      <c r="V610" s="79" t="str">
        <f>+IFERROR(VLOOKUP(CONCATENATE(A610,$F$10,F610),'ID1&amp;5'!B:J,9,FALSE),"-")</f>
        <v>-</v>
      </c>
      <c r="W610" s="26" t="str">
        <f>+IFERROR(VLOOKUP(A610,'ID6&amp;7'!A:I,9,FALSE),"-")</f>
        <v>-</v>
      </c>
      <c r="X610" s="26" t="str">
        <f>+IFERROR(VLOOKUP(A610,'ID6&amp;7'!A:J,10,FALSE),"-")</f>
        <v>-</v>
      </c>
      <c r="Y610" s="26"/>
      <c r="Z610" s="27" t="str">
        <f t="shared" si="10"/>
        <v>Por iniciar</v>
      </c>
      <c r="AA610" s="65"/>
    </row>
    <row r="611" spans="1:27">
      <c r="A611" s="20"/>
      <c r="B611" s="60"/>
      <c r="C611" s="60"/>
      <c r="D611" s="60"/>
      <c r="E611" s="60"/>
      <c r="F611" s="60"/>
      <c r="G611" s="60"/>
      <c r="H611" s="65" t="s">
        <v>115</v>
      </c>
      <c r="I611" s="21" t="s">
        <v>616</v>
      </c>
      <c r="J611" s="26">
        <f>+COUNTIF('ID1&amp;5'!G:G,'1. Status'!I611)</f>
        <v>0</v>
      </c>
      <c r="K611" s="79" t="str">
        <f>+IFERROR(VLOOKUP(CONCATENATE(A611,$B$10,B611),'ID1&amp;5'!B:J,8,FALSE),"-")</f>
        <v>-</v>
      </c>
      <c r="L611" s="78" t="str">
        <f>+IFERROR(VLOOKUP(B611,'ID1&amp;5'!K:L,2,FALSE),"-")</f>
        <v>-</v>
      </c>
      <c r="M611" s="79" t="str">
        <f>+IFERROR(VLOOKUP(CONCATENATE(A611,$B$10,B611),'ID1&amp;5'!B:J,9,FALSE),"-")</f>
        <v>-</v>
      </c>
      <c r="N611" s="79" t="str">
        <f>+IFERROR(VLOOKUP(CONCATENATE(A611,$C$10,C611),'ID1&amp;5'!B:J,8,FALSE),"-")</f>
        <v>-</v>
      </c>
      <c r="O611" s="78" t="str">
        <f>+IFERROR(VLOOKUP(C611,'ID1&amp;5'!K:L,2,FALSE),"-")</f>
        <v>-</v>
      </c>
      <c r="P611" s="79" t="str">
        <f>+IFERROR(VLOOKUP(CONCATENATE(A611,$C$10,C611),'ID1&amp;5'!B:J,9,FALSE),"-")</f>
        <v>-</v>
      </c>
      <c r="Q611" s="78" t="str">
        <f>+IFERROR(VLOOKUP(D611,'ID1&amp;5'!K:L,2,FALSE),"-")</f>
        <v>-</v>
      </c>
      <c r="R611" s="26" t="str">
        <f>+IFERROR(VLOOKUP(CONCATENATE(A611,$D$10,D611),'ID1&amp;5'!B:J,9,FALSE),"-")</f>
        <v>-</v>
      </c>
      <c r="S611" s="78" t="str">
        <f>+IFERROR(VLOOKUP(E611,'ID1&amp;5'!K:L,2,FALSE),"-")</f>
        <v>-</v>
      </c>
      <c r="T611" s="79" t="str">
        <f>+IFERROR(VLOOKUP(CONCATENATE(A611,$E$10,E611),'ID1&amp;5'!B:J,9,FALSE),"-")</f>
        <v>-</v>
      </c>
      <c r="U611" s="78" t="str">
        <f>+IFERROR(VLOOKUP(F611,'ID1&amp;5'!K:L,2,FALSE),"-")</f>
        <v>-</v>
      </c>
      <c r="V611" s="79" t="str">
        <f>+IFERROR(VLOOKUP(CONCATENATE(A611,$F$10,F611),'ID1&amp;5'!B:J,9,FALSE),"-")</f>
        <v>-</v>
      </c>
      <c r="W611" s="26" t="str">
        <f>+IFERROR(VLOOKUP(A611,'ID6&amp;7'!A:I,9,FALSE),"-")</f>
        <v>-</v>
      </c>
      <c r="X611" s="26" t="str">
        <f>+IFERROR(VLOOKUP(A611,'ID6&amp;7'!A:J,10,FALSE),"-")</f>
        <v>-</v>
      </c>
      <c r="Y611" s="26"/>
      <c r="Z611" s="27" t="str">
        <f t="shared" si="10"/>
        <v>Por iniciar</v>
      </c>
      <c r="AA611" s="65"/>
    </row>
    <row r="612" spans="1:27">
      <c r="A612" s="20"/>
      <c r="B612" s="60"/>
      <c r="C612" s="60"/>
      <c r="D612" s="60"/>
      <c r="E612" s="60"/>
      <c r="F612" s="60"/>
      <c r="G612" s="60"/>
      <c r="H612" s="65" t="s">
        <v>115</v>
      </c>
      <c r="I612" s="21" t="s">
        <v>617</v>
      </c>
      <c r="J612" s="26">
        <f>+COUNTIF('ID1&amp;5'!G:G,'1. Status'!I612)</f>
        <v>0</v>
      </c>
      <c r="K612" s="79" t="str">
        <f>+IFERROR(VLOOKUP(CONCATENATE(A612,$B$10,B612),'ID1&amp;5'!B:J,8,FALSE),"-")</f>
        <v>-</v>
      </c>
      <c r="L612" s="78" t="str">
        <f>+IFERROR(VLOOKUP(B612,'ID1&amp;5'!K:L,2,FALSE),"-")</f>
        <v>-</v>
      </c>
      <c r="M612" s="79" t="str">
        <f>+IFERROR(VLOOKUP(CONCATENATE(A612,$B$10,B612),'ID1&amp;5'!B:J,9,FALSE),"-")</f>
        <v>-</v>
      </c>
      <c r="N612" s="79" t="str">
        <f>+IFERROR(VLOOKUP(CONCATENATE(A612,$C$10,C612),'ID1&amp;5'!B:J,8,FALSE),"-")</f>
        <v>-</v>
      </c>
      <c r="O612" s="78" t="str">
        <f>+IFERROR(VLOOKUP(C612,'ID1&amp;5'!K:L,2,FALSE),"-")</f>
        <v>-</v>
      </c>
      <c r="P612" s="79" t="str">
        <f>+IFERROR(VLOOKUP(CONCATENATE(A612,$C$10,C612),'ID1&amp;5'!B:J,9,FALSE),"-")</f>
        <v>-</v>
      </c>
      <c r="Q612" s="78" t="str">
        <f>+IFERROR(VLOOKUP(D612,'ID1&amp;5'!K:L,2,FALSE),"-")</f>
        <v>-</v>
      </c>
      <c r="R612" s="26" t="str">
        <f>+IFERROR(VLOOKUP(CONCATENATE(A612,$D$10,D612),'ID1&amp;5'!B:J,9,FALSE),"-")</f>
        <v>-</v>
      </c>
      <c r="S612" s="78" t="str">
        <f>+IFERROR(VLOOKUP(E612,'ID1&amp;5'!K:L,2,FALSE),"-")</f>
        <v>-</v>
      </c>
      <c r="T612" s="79" t="str">
        <f>+IFERROR(VLOOKUP(CONCATENATE(A612,$E$10,E612),'ID1&amp;5'!B:J,9,FALSE),"-")</f>
        <v>-</v>
      </c>
      <c r="U612" s="78" t="str">
        <f>+IFERROR(VLOOKUP(F612,'ID1&amp;5'!K:L,2,FALSE),"-")</f>
        <v>-</v>
      </c>
      <c r="V612" s="79" t="str">
        <f>+IFERROR(VLOOKUP(CONCATENATE(A612,$F$10,F612),'ID1&amp;5'!B:J,9,FALSE),"-")</f>
        <v>-</v>
      </c>
      <c r="W612" s="26" t="str">
        <f>+IFERROR(VLOOKUP(A612,'ID6&amp;7'!A:I,9,FALSE),"-")</f>
        <v>-</v>
      </c>
      <c r="X612" s="26" t="str">
        <f>+IFERROR(VLOOKUP(A612,'ID6&amp;7'!A:J,10,FALSE),"-")</f>
        <v>-</v>
      </c>
      <c r="Y612" s="26"/>
      <c r="Z612" s="27" t="str">
        <f t="shared" si="10"/>
        <v>Por iniciar</v>
      </c>
      <c r="AA612" s="65"/>
    </row>
    <row r="613" spans="1:27">
      <c r="A613" s="20"/>
      <c r="B613" s="60"/>
      <c r="C613" s="60"/>
      <c r="D613" s="60"/>
      <c r="E613" s="60"/>
      <c r="F613" s="60"/>
      <c r="G613" s="60"/>
      <c r="H613" s="65" t="s">
        <v>115</v>
      </c>
      <c r="I613" s="21" t="s">
        <v>618</v>
      </c>
      <c r="J613" s="26">
        <f>+COUNTIF('ID1&amp;5'!G:G,'1. Status'!I613)</f>
        <v>0</v>
      </c>
      <c r="K613" s="79" t="str">
        <f>+IFERROR(VLOOKUP(CONCATENATE(A613,$B$10,B613),'ID1&amp;5'!B:J,8,FALSE),"-")</f>
        <v>-</v>
      </c>
      <c r="L613" s="78" t="str">
        <f>+IFERROR(VLOOKUP(B613,'ID1&amp;5'!K:L,2,FALSE),"-")</f>
        <v>-</v>
      </c>
      <c r="M613" s="79" t="str">
        <f>+IFERROR(VLOOKUP(CONCATENATE(A613,$B$10,B613),'ID1&amp;5'!B:J,9,FALSE),"-")</f>
        <v>-</v>
      </c>
      <c r="N613" s="79" t="str">
        <f>+IFERROR(VLOOKUP(CONCATENATE(A613,$C$10,C613),'ID1&amp;5'!B:J,8,FALSE),"-")</f>
        <v>-</v>
      </c>
      <c r="O613" s="78" t="str">
        <f>+IFERROR(VLOOKUP(C613,'ID1&amp;5'!K:L,2,FALSE),"-")</f>
        <v>-</v>
      </c>
      <c r="P613" s="79" t="str">
        <f>+IFERROR(VLOOKUP(CONCATENATE(A613,$C$10,C613),'ID1&amp;5'!B:J,9,FALSE),"-")</f>
        <v>-</v>
      </c>
      <c r="Q613" s="78" t="str">
        <f>+IFERROR(VLOOKUP(D613,'ID1&amp;5'!K:L,2,FALSE),"-")</f>
        <v>-</v>
      </c>
      <c r="R613" s="26" t="str">
        <f>+IFERROR(VLOOKUP(CONCATENATE(A613,$D$10,D613),'ID1&amp;5'!B:J,9,FALSE),"-")</f>
        <v>-</v>
      </c>
      <c r="S613" s="78" t="str">
        <f>+IFERROR(VLOOKUP(E613,'ID1&amp;5'!K:L,2,FALSE),"-")</f>
        <v>-</v>
      </c>
      <c r="T613" s="79" t="str">
        <f>+IFERROR(VLOOKUP(CONCATENATE(A613,$E$10,E613),'ID1&amp;5'!B:J,9,FALSE),"-")</f>
        <v>-</v>
      </c>
      <c r="U613" s="78" t="str">
        <f>+IFERROR(VLOOKUP(F613,'ID1&amp;5'!K:L,2,FALSE),"-")</f>
        <v>-</v>
      </c>
      <c r="V613" s="79" t="str">
        <f>+IFERROR(VLOOKUP(CONCATENATE(A613,$F$10,F613),'ID1&amp;5'!B:J,9,FALSE),"-")</f>
        <v>-</v>
      </c>
      <c r="W613" s="26" t="str">
        <f>+IFERROR(VLOOKUP(A613,'ID6&amp;7'!A:I,9,FALSE),"-")</f>
        <v>-</v>
      </c>
      <c r="X613" s="26" t="str">
        <f>+IFERROR(VLOOKUP(A613,'ID6&amp;7'!A:J,10,FALSE),"-")</f>
        <v>-</v>
      </c>
      <c r="Y613" s="26"/>
      <c r="Z613" s="27" t="str">
        <f t="shared" si="10"/>
        <v>Por iniciar</v>
      </c>
      <c r="AA613" s="65"/>
    </row>
    <row r="614" spans="1:27">
      <c r="A614" s="20"/>
      <c r="B614" s="60"/>
      <c r="C614" s="60"/>
      <c r="D614" s="60"/>
      <c r="E614" s="60"/>
      <c r="F614" s="60"/>
      <c r="G614" s="60"/>
      <c r="H614" s="65" t="s">
        <v>115</v>
      </c>
      <c r="I614" s="21" t="s">
        <v>619</v>
      </c>
      <c r="J614" s="26">
        <f>+COUNTIF('ID1&amp;5'!G:G,'1. Status'!I614)</f>
        <v>0</v>
      </c>
      <c r="K614" s="79" t="str">
        <f>+IFERROR(VLOOKUP(CONCATENATE(A614,$B$10,B614),'ID1&amp;5'!B:J,8,FALSE),"-")</f>
        <v>-</v>
      </c>
      <c r="L614" s="78" t="str">
        <f>+IFERROR(VLOOKUP(B614,'ID1&amp;5'!K:L,2,FALSE),"-")</f>
        <v>-</v>
      </c>
      <c r="M614" s="79" t="str">
        <f>+IFERROR(VLOOKUP(CONCATENATE(A614,$B$10,B614),'ID1&amp;5'!B:J,9,FALSE),"-")</f>
        <v>-</v>
      </c>
      <c r="N614" s="79" t="str">
        <f>+IFERROR(VLOOKUP(CONCATENATE(A614,$C$10,C614),'ID1&amp;5'!B:J,8,FALSE),"-")</f>
        <v>-</v>
      </c>
      <c r="O614" s="78" t="str">
        <f>+IFERROR(VLOOKUP(C614,'ID1&amp;5'!K:L,2,FALSE),"-")</f>
        <v>-</v>
      </c>
      <c r="P614" s="79" t="str">
        <f>+IFERROR(VLOOKUP(CONCATENATE(A614,$C$10,C614),'ID1&amp;5'!B:J,9,FALSE),"-")</f>
        <v>-</v>
      </c>
      <c r="Q614" s="78" t="str">
        <f>+IFERROR(VLOOKUP(D614,'ID1&amp;5'!K:L,2,FALSE),"-")</f>
        <v>-</v>
      </c>
      <c r="R614" s="26" t="str">
        <f>+IFERROR(VLOOKUP(CONCATENATE(A614,$D$10,D614),'ID1&amp;5'!B:J,9,FALSE),"-")</f>
        <v>-</v>
      </c>
      <c r="S614" s="78" t="str">
        <f>+IFERROR(VLOOKUP(E614,'ID1&amp;5'!K:L,2,FALSE),"-")</f>
        <v>-</v>
      </c>
      <c r="T614" s="79" t="str">
        <f>+IFERROR(VLOOKUP(CONCATENATE(A614,$E$10,E614),'ID1&amp;5'!B:J,9,FALSE),"-")</f>
        <v>-</v>
      </c>
      <c r="U614" s="78" t="str">
        <f>+IFERROR(VLOOKUP(F614,'ID1&amp;5'!K:L,2,FALSE),"-")</f>
        <v>-</v>
      </c>
      <c r="V614" s="79" t="str">
        <f>+IFERROR(VLOOKUP(CONCATENATE(A614,$F$10,F614),'ID1&amp;5'!B:J,9,FALSE),"-")</f>
        <v>-</v>
      </c>
      <c r="W614" s="26" t="str">
        <f>+IFERROR(VLOOKUP(A614,'ID6&amp;7'!A:I,9,FALSE),"-")</f>
        <v>-</v>
      </c>
      <c r="X614" s="26" t="str">
        <f>+IFERROR(VLOOKUP(A614,'ID6&amp;7'!A:J,10,FALSE),"-")</f>
        <v>-</v>
      </c>
      <c r="Y614" s="26"/>
      <c r="Z614" s="27" t="str">
        <f t="shared" si="10"/>
        <v>Por iniciar</v>
      </c>
      <c r="AA614" s="65"/>
    </row>
    <row r="615" spans="1:27">
      <c r="A615" s="20"/>
      <c r="B615" s="60"/>
      <c r="C615" s="60"/>
      <c r="D615" s="60"/>
      <c r="E615" s="60"/>
      <c r="F615" s="60"/>
      <c r="G615" s="60"/>
      <c r="H615" s="65" t="s">
        <v>115</v>
      </c>
      <c r="I615" s="21" t="s">
        <v>620</v>
      </c>
      <c r="J615" s="26">
        <f>+COUNTIF('ID1&amp;5'!G:G,'1. Status'!I615)</f>
        <v>0</v>
      </c>
      <c r="K615" s="79" t="str">
        <f>+IFERROR(VLOOKUP(CONCATENATE(A615,$B$10,B615),'ID1&amp;5'!B:J,8,FALSE),"-")</f>
        <v>-</v>
      </c>
      <c r="L615" s="78" t="str">
        <f>+IFERROR(VLOOKUP(B615,'ID1&amp;5'!K:L,2,FALSE),"-")</f>
        <v>-</v>
      </c>
      <c r="M615" s="79" t="str">
        <f>+IFERROR(VLOOKUP(CONCATENATE(A615,$B$10,B615),'ID1&amp;5'!B:J,9,FALSE),"-")</f>
        <v>-</v>
      </c>
      <c r="N615" s="79" t="str">
        <f>+IFERROR(VLOOKUP(CONCATENATE(A615,$C$10,C615),'ID1&amp;5'!B:J,8,FALSE),"-")</f>
        <v>-</v>
      </c>
      <c r="O615" s="78" t="str">
        <f>+IFERROR(VLOOKUP(C615,'ID1&amp;5'!K:L,2,FALSE),"-")</f>
        <v>-</v>
      </c>
      <c r="P615" s="79" t="str">
        <f>+IFERROR(VLOOKUP(CONCATENATE(A615,$C$10,C615),'ID1&amp;5'!B:J,9,FALSE),"-")</f>
        <v>-</v>
      </c>
      <c r="Q615" s="78" t="str">
        <f>+IFERROR(VLOOKUP(D615,'ID1&amp;5'!K:L,2,FALSE),"-")</f>
        <v>-</v>
      </c>
      <c r="R615" s="26" t="str">
        <f>+IFERROR(VLOOKUP(CONCATENATE(A615,$D$10,D615),'ID1&amp;5'!B:J,9,FALSE),"-")</f>
        <v>-</v>
      </c>
      <c r="S615" s="78" t="str">
        <f>+IFERROR(VLOOKUP(E615,'ID1&amp;5'!K:L,2,FALSE),"-")</f>
        <v>-</v>
      </c>
      <c r="T615" s="79" t="str">
        <f>+IFERROR(VLOOKUP(CONCATENATE(A615,$E$10,E615),'ID1&amp;5'!B:J,9,FALSE),"-")</f>
        <v>-</v>
      </c>
      <c r="U615" s="78" t="str">
        <f>+IFERROR(VLOOKUP(F615,'ID1&amp;5'!K:L,2,FALSE),"-")</f>
        <v>-</v>
      </c>
      <c r="V615" s="79" t="str">
        <f>+IFERROR(VLOOKUP(CONCATENATE(A615,$F$10,F615),'ID1&amp;5'!B:J,9,FALSE),"-")</f>
        <v>-</v>
      </c>
      <c r="W615" s="26" t="str">
        <f>+IFERROR(VLOOKUP(A615,'ID6&amp;7'!A:I,9,FALSE),"-")</f>
        <v>-</v>
      </c>
      <c r="X615" s="26" t="str">
        <f>+IFERROR(VLOOKUP(A615,'ID6&amp;7'!A:J,10,FALSE),"-")</f>
        <v>-</v>
      </c>
      <c r="Y615" s="26"/>
      <c r="Z615" s="27" t="str">
        <f t="shared" si="10"/>
        <v>Por iniciar</v>
      </c>
      <c r="AA615" s="65"/>
    </row>
    <row r="616" spans="1:27">
      <c r="A616" s="20"/>
      <c r="B616" s="60"/>
      <c r="C616" s="60"/>
      <c r="D616" s="60"/>
      <c r="E616" s="60"/>
      <c r="F616" s="60"/>
      <c r="G616" s="60"/>
      <c r="H616" s="65" t="s">
        <v>115</v>
      </c>
      <c r="I616" s="21" t="s">
        <v>621</v>
      </c>
      <c r="J616" s="26">
        <f>+COUNTIF('ID1&amp;5'!G:G,'1. Status'!I616)</f>
        <v>0</v>
      </c>
      <c r="K616" s="79" t="str">
        <f>+IFERROR(VLOOKUP(CONCATENATE(A616,$B$10,B616),'ID1&amp;5'!B:J,8,FALSE),"-")</f>
        <v>-</v>
      </c>
      <c r="L616" s="78" t="str">
        <f>+IFERROR(VLOOKUP(B616,'ID1&amp;5'!K:L,2,FALSE),"-")</f>
        <v>-</v>
      </c>
      <c r="M616" s="79" t="str">
        <f>+IFERROR(VLOOKUP(CONCATENATE(A616,$B$10,B616),'ID1&amp;5'!B:J,9,FALSE),"-")</f>
        <v>-</v>
      </c>
      <c r="N616" s="79" t="str">
        <f>+IFERROR(VLOOKUP(CONCATENATE(A616,$C$10,C616),'ID1&amp;5'!B:J,8,FALSE),"-")</f>
        <v>-</v>
      </c>
      <c r="O616" s="78" t="str">
        <f>+IFERROR(VLOOKUP(C616,'ID1&amp;5'!K:L,2,FALSE),"-")</f>
        <v>-</v>
      </c>
      <c r="P616" s="79" t="str">
        <f>+IFERROR(VLOOKUP(CONCATENATE(A616,$C$10,C616),'ID1&amp;5'!B:J,9,FALSE),"-")</f>
        <v>-</v>
      </c>
      <c r="Q616" s="78" t="str">
        <f>+IFERROR(VLOOKUP(D616,'ID1&amp;5'!K:L,2,FALSE),"-")</f>
        <v>-</v>
      </c>
      <c r="R616" s="26" t="str">
        <f>+IFERROR(VLOOKUP(CONCATENATE(A616,$D$10,D616),'ID1&amp;5'!B:J,9,FALSE),"-")</f>
        <v>-</v>
      </c>
      <c r="S616" s="78" t="str">
        <f>+IFERROR(VLOOKUP(E616,'ID1&amp;5'!K:L,2,FALSE),"-")</f>
        <v>-</v>
      </c>
      <c r="T616" s="79" t="str">
        <f>+IFERROR(VLOOKUP(CONCATENATE(A616,$E$10,E616),'ID1&amp;5'!B:J,9,FALSE),"-")</f>
        <v>-</v>
      </c>
      <c r="U616" s="78" t="str">
        <f>+IFERROR(VLOOKUP(F616,'ID1&amp;5'!K:L,2,FALSE),"-")</f>
        <v>-</v>
      </c>
      <c r="V616" s="79" t="str">
        <f>+IFERROR(VLOOKUP(CONCATENATE(A616,$F$10,F616),'ID1&amp;5'!B:J,9,FALSE),"-")</f>
        <v>-</v>
      </c>
      <c r="W616" s="26" t="str">
        <f>+IFERROR(VLOOKUP(A616,'ID6&amp;7'!A:I,9,FALSE),"-")</f>
        <v>-</v>
      </c>
      <c r="X616" s="26" t="str">
        <f>+IFERROR(VLOOKUP(A616,'ID6&amp;7'!A:J,10,FALSE),"-")</f>
        <v>-</v>
      </c>
      <c r="Y616" s="26"/>
      <c r="Z616" s="27" t="str">
        <f t="shared" si="10"/>
        <v>Por iniciar</v>
      </c>
      <c r="AA616" s="65"/>
    </row>
    <row r="617" spans="1:27">
      <c r="A617" s="20"/>
      <c r="B617" s="60"/>
      <c r="C617" s="60"/>
      <c r="D617" s="60"/>
      <c r="E617" s="60"/>
      <c r="F617" s="60"/>
      <c r="G617" s="60"/>
      <c r="H617" s="65" t="s">
        <v>115</v>
      </c>
      <c r="I617" s="21" t="s">
        <v>622</v>
      </c>
      <c r="J617" s="26">
        <f>+COUNTIF('ID1&amp;5'!G:G,'1. Status'!I617)</f>
        <v>0</v>
      </c>
      <c r="K617" s="79" t="str">
        <f>+IFERROR(VLOOKUP(CONCATENATE(A617,$B$10,B617),'ID1&amp;5'!B:J,8,FALSE),"-")</f>
        <v>-</v>
      </c>
      <c r="L617" s="78" t="str">
        <f>+IFERROR(VLOOKUP(B617,'ID1&amp;5'!K:L,2,FALSE),"-")</f>
        <v>-</v>
      </c>
      <c r="M617" s="79" t="str">
        <f>+IFERROR(VLOOKUP(CONCATENATE(A617,$B$10,B617),'ID1&amp;5'!B:J,9,FALSE),"-")</f>
        <v>-</v>
      </c>
      <c r="N617" s="79" t="str">
        <f>+IFERROR(VLOOKUP(CONCATENATE(A617,$C$10,C617),'ID1&amp;5'!B:J,8,FALSE),"-")</f>
        <v>-</v>
      </c>
      <c r="O617" s="78" t="str">
        <f>+IFERROR(VLOOKUP(C617,'ID1&amp;5'!K:L,2,FALSE),"-")</f>
        <v>-</v>
      </c>
      <c r="P617" s="79" t="str">
        <f>+IFERROR(VLOOKUP(CONCATENATE(A617,$C$10,C617),'ID1&amp;5'!B:J,9,FALSE),"-")</f>
        <v>-</v>
      </c>
      <c r="Q617" s="78" t="str">
        <f>+IFERROR(VLOOKUP(D617,'ID1&amp;5'!K:L,2,FALSE),"-")</f>
        <v>-</v>
      </c>
      <c r="R617" s="26" t="str">
        <f>+IFERROR(VLOOKUP(CONCATENATE(A617,$D$10,D617),'ID1&amp;5'!B:J,9,FALSE),"-")</f>
        <v>-</v>
      </c>
      <c r="S617" s="78" t="str">
        <f>+IFERROR(VLOOKUP(E617,'ID1&amp;5'!K:L,2,FALSE),"-")</f>
        <v>-</v>
      </c>
      <c r="T617" s="79" t="str">
        <f>+IFERROR(VLOOKUP(CONCATENATE(A617,$E$10,E617),'ID1&amp;5'!B:J,9,FALSE),"-")</f>
        <v>-</v>
      </c>
      <c r="U617" s="78" t="str">
        <f>+IFERROR(VLOOKUP(F617,'ID1&amp;5'!K:L,2,FALSE),"-")</f>
        <v>-</v>
      </c>
      <c r="V617" s="79" t="str">
        <f>+IFERROR(VLOOKUP(CONCATENATE(A617,$F$10,F617),'ID1&amp;5'!B:J,9,FALSE),"-")</f>
        <v>-</v>
      </c>
      <c r="W617" s="26" t="str">
        <f>+IFERROR(VLOOKUP(A617,'ID6&amp;7'!A:I,9,FALSE),"-")</f>
        <v>-</v>
      </c>
      <c r="X617" s="26" t="str">
        <f>+IFERROR(VLOOKUP(A617,'ID6&amp;7'!A:J,10,FALSE),"-")</f>
        <v>-</v>
      </c>
      <c r="Y617" s="26"/>
      <c r="Z617" s="27" t="str">
        <f t="shared" si="10"/>
        <v>Por iniciar</v>
      </c>
      <c r="AA617" s="65"/>
    </row>
    <row r="618" spans="1:27">
      <c r="A618" s="20"/>
      <c r="B618" s="60"/>
      <c r="C618" s="60"/>
      <c r="D618" s="60"/>
      <c r="E618" s="60"/>
      <c r="F618" s="60"/>
      <c r="G618" s="60"/>
      <c r="H618" s="65" t="s">
        <v>115</v>
      </c>
      <c r="I618" s="21" t="s">
        <v>623</v>
      </c>
      <c r="J618" s="26">
        <f>+COUNTIF('ID1&amp;5'!G:G,'1. Status'!I618)</f>
        <v>0</v>
      </c>
      <c r="K618" s="79" t="str">
        <f>+IFERROR(VLOOKUP(CONCATENATE(A618,$B$10,B618),'ID1&amp;5'!B:J,8,FALSE),"-")</f>
        <v>-</v>
      </c>
      <c r="L618" s="78" t="str">
        <f>+IFERROR(VLOOKUP(B618,'ID1&amp;5'!K:L,2,FALSE),"-")</f>
        <v>-</v>
      </c>
      <c r="M618" s="79" t="str">
        <f>+IFERROR(VLOOKUP(CONCATENATE(A618,$B$10,B618),'ID1&amp;5'!B:J,9,FALSE),"-")</f>
        <v>-</v>
      </c>
      <c r="N618" s="79" t="str">
        <f>+IFERROR(VLOOKUP(CONCATENATE(A618,$C$10,C618),'ID1&amp;5'!B:J,8,FALSE),"-")</f>
        <v>-</v>
      </c>
      <c r="O618" s="78" t="str">
        <f>+IFERROR(VLOOKUP(C618,'ID1&amp;5'!K:L,2,FALSE),"-")</f>
        <v>-</v>
      </c>
      <c r="P618" s="79" t="str">
        <f>+IFERROR(VLOOKUP(CONCATENATE(A618,$C$10,C618),'ID1&amp;5'!B:J,9,FALSE),"-")</f>
        <v>-</v>
      </c>
      <c r="Q618" s="78" t="str">
        <f>+IFERROR(VLOOKUP(D618,'ID1&amp;5'!K:L,2,FALSE),"-")</f>
        <v>-</v>
      </c>
      <c r="R618" s="26" t="str">
        <f>+IFERROR(VLOOKUP(CONCATENATE(A618,$D$10,D618),'ID1&amp;5'!B:J,9,FALSE),"-")</f>
        <v>-</v>
      </c>
      <c r="S618" s="78" t="str">
        <f>+IFERROR(VLOOKUP(E618,'ID1&amp;5'!K:L,2,FALSE),"-")</f>
        <v>-</v>
      </c>
      <c r="T618" s="79" t="str">
        <f>+IFERROR(VLOOKUP(CONCATENATE(A618,$E$10,E618),'ID1&amp;5'!B:J,9,FALSE),"-")</f>
        <v>-</v>
      </c>
      <c r="U618" s="78" t="str">
        <f>+IFERROR(VLOOKUP(F618,'ID1&amp;5'!K:L,2,FALSE),"-")</f>
        <v>-</v>
      </c>
      <c r="V618" s="79" t="str">
        <f>+IFERROR(VLOOKUP(CONCATENATE(A618,$F$10,F618),'ID1&amp;5'!B:J,9,FALSE),"-")</f>
        <v>-</v>
      </c>
      <c r="W618" s="26" t="str">
        <f>+IFERROR(VLOOKUP(A618,'ID6&amp;7'!A:I,9,FALSE),"-")</f>
        <v>-</v>
      </c>
      <c r="X618" s="26" t="str">
        <f>+IFERROR(VLOOKUP(A618,'ID6&amp;7'!A:J,10,FALSE),"-")</f>
        <v>-</v>
      </c>
      <c r="Y618" s="26"/>
      <c r="Z618" s="27" t="str">
        <f t="shared" si="10"/>
        <v>Por iniciar</v>
      </c>
      <c r="AA618" s="65"/>
    </row>
    <row r="619" spans="1:27">
      <c r="A619" s="20"/>
      <c r="B619" s="60"/>
      <c r="C619" s="60"/>
      <c r="D619" s="60"/>
      <c r="E619" s="60"/>
      <c r="F619" s="60"/>
      <c r="G619" s="60"/>
      <c r="H619" s="65" t="s">
        <v>115</v>
      </c>
      <c r="I619" s="21" t="s">
        <v>624</v>
      </c>
      <c r="J619" s="26">
        <f>+COUNTIF('ID1&amp;5'!G:G,'1. Status'!I619)</f>
        <v>0</v>
      </c>
      <c r="K619" s="79" t="str">
        <f>+IFERROR(VLOOKUP(CONCATENATE(A619,$B$10,B619),'ID1&amp;5'!B:J,8,FALSE),"-")</f>
        <v>-</v>
      </c>
      <c r="L619" s="78" t="str">
        <f>+IFERROR(VLOOKUP(B619,'ID1&amp;5'!K:L,2,FALSE),"-")</f>
        <v>-</v>
      </c>
      <c r="M619" s="79" t="str">
        <f>+IFERROR(VLOOKUP(CONCATENATE(A619,$B$10,B619),'ID1&amp;5'!B:J,9,FALSE),"-")</f>
        <v>-</v>
      </c>
      <c r="N619" s="79" t="str">
        <f>+IFERROR(VLOOKUP(CONCATENATE(A619,$C$10,C619),'ID1&amp;5'!B:J,8,FALSE),"-")</f>
        <v>-</v>
      </c>
      <c r="O619" s="78" t="str">
        <f>+IFERROR(VLOOKUP(C619,'ID1&amp;5'!K:L,2,FALSE),"-")</f>
        <v>-</v>
      </c>
      <c r="P619" s="79" t="str">
        <f>+IFERROR(VLOOKUP(CONCATENATE(A619,$C$10,C619),'ID1&amp;5'!B:J,9,FALSE),"-")</f>
        <v>-</v>
      </c>
      <c r="Q619" s="78" t="str">
        <f>+IFERROR(VLOOKUP(D619,'ID1&amp;5'!K:L,2,FALSE),"-")</f>
        <v>-</v>
      </c>
      <c r="R619" s="26" t="str">
        <f>+IFERROR(VLOOKUP(CONCATENATE(A619,$D$10,D619),'ID1&amp;5'!B:J,9,FALSE),"-")</f>
        <v>-</v>
      </c>
      <c r="S619" s="78" t="str">
        <f>+IFERROR(VLOOKUP(E619,'ID1&amp;5'!K:L,2,FALSE),"-")</f>
        <v>-</v>
      </c>
      <c r="T619" s="79" t="str">
        <f>+IFERROR(VLOOKUP(CONCATENATE(A619,$E$10,E619),'ID1&amp;5'!B:J,9,FALSE),"-")</f>
        <v>-</v>
      </c>
      <c r="U619" s="78" t="str">
        <f>+IFERROR(VLOOKUP(F619,'ID1&amp;5'!K:L,2,FALSE),"-")</f>
        <v>-</v>
      </c>
      <c r="V619" s="79" t="str">
        <f>+IFERROR(VLOOKUP(CONCATENATE(A619,$F$10,F619),'ID1&amp;5'!B:J,9,FALSE),"-")</f>
        <v>-</v>
      </c>
      <c r="W619" s="26" t="str">
        <f>+IFERROR(VLOOKUP(A619,'ID6&amp;7'!A:I,9,FALSE),"-")</f>
        <v>-</v>
      </c>
      <c r="X619" s="26" t="str">
        <f>+IFERROR(VLOOKUP(A619,'ID6&amp;7'!A:J,10,FALSE),"-")</f>
        <v>-</v>
      </c>
      <c r="Y619" s="26"/>
      <c r="Z619" s="27" t="str">
        <f t="shared" si="10"/>
        <v>Por iniciar</v>
      </c>
      <c r="AA619" s="65"/>
    </row>
    <row r="620" spans="1:27">
      <c r="A620" s="20"/>
      <c r="B620" s="60"/>
      <c r="C620" s="60"/>
      <c r="D620" s="60"/>
      <c r="E620" s="60"/>
      <c r="F620" s="60"/>
      <c r="G620" s="60"/>
      <c r="H620" s="65" t="s">
        <v>115</v>
      </c>
      <c r="I620" s="21" t="s">
        <v>604</v>
      </c>
      <c r="J620" s="26">
        <f>+COUNTIF('ID1&amp;5'!G:G,'1. Status'!I620)</f>
        <v>0</v>
      </c>
      <c r="K620" s="79" t="str">
        <f>+IFERROR(VLOOKUP(CONCATENATE(A620,$B$10,B620),'ID1&amp;5'!B:J,8,FALSE),"-")</f>
        <v>-</v>
      </c>
      <c r="L620" s="78" t="str">
        <f>+IFERROR(VLOOKUP(B620,'ID1&amp;5'!K:L,2,FALSE),"-")</f>
        <v>-</v>
      </c>
      <c r="M620" s="79" t="str">
        <f>+IFERROR(VLOOKUP(CONCATENATE(A620,$B$10,B620),'ID1&amp;5'!B:J,9,FALSE),"-")</f>
        <v>-</v>
      </c>
      <c r="N620" s="79" t="str">
        <f>+IFERROR(VLOOKUP(CONCATENATE(A620,$C$10,C620),'ID1&amp;5'!B:J,8,FALSE),"-")</f>
        <v>-</v>
      </c>
      <c r="O620" s="78" t="str">
        <f>+IFERROR(VLOOKUP(C620,'ID1&amp;5'!K:L,2,FALSE),"-")</f>
        <v>-</v>
      </c>
      <c r="P620" s="79" t="str">
        <f>+IFERROR(VLOOKUP(CONCATENATE(A620,$C$10,C620),'ID1&amp;5'!B:J,9,FALSE),"-")</f>
        <v>-</v>
      </c>
      <c r="Q620" s="78" t="str">
        <f>+IFERROR(VLOOKUP(D620,'ID1&amp;5'!K:L,2,FALSE),"-")</f>
        <v>-</v>
      </c>
      <c r="R620" s="26" t="str">
        <f>+IFERROR(VLOOKUP(CONCATENATE(A620,$D$10,D620),'ID1&amp;5'!B:J,9,FALSE),"-")</f>
        <v>-</v>
      </c>
      <c r="S620" s="78" t="str">
        <f>+IFERROR(VLOOKUP(E620,'ID1&amp;5'!K:L,2,FALSE),"-")</f>
        <v>-</v>
      </c>
      <c r="T620" s="79" t="str">
        <f>+IFERROR(VLOOKUP(CONCATENATE(A620,$E$10,E620),'ID1&amp;5'!B:J,9,FALSE),"-")</f>
        <v>-</v>
      </c>
      <c r="U620" s="78" t="str">
        <f>+IFERROR(VLOOKUP(F620,'ID1&amp;5'!K:L,2,FALSE),"-")</f>
        <v>-</v>
      </c>
      <c r="V620" s="79" t="str">
        <f>+IFERROR(VLOOKUP(CONCATENATE(A620,$F$10,F620),'ID1&amp;5'!B:J,9,FALSE),"-")</f>
        <v>-</v>
      </c>
      <c r="W620" s="26" t="str">
        <f>+IFERROR(VLOOKUP(A620,'ID6&amp;7'!A:I,9,FALSE),"-")</f>
        <v>-</v>
      </c>
      <c r="X620" s="26" t="str">
        <f>+IFERROR(VLOOKUP(A620,'ID6&amp;7'!A:J,10,FALSE),"-")</f>
        <v>-</v>
      </c>
      <c r="Y620" s="26"/>
      <c r="Z620" s="27" t="str">
        <f t="shared" si="10"/>
        <v>Por iniciar</v>
      </c>
      <c r="AA620" s="65"/>
    </row>
    <row r="621" spans="1:27">
      <c r="A621" s="20"/>
      <c r="B621" s="60"/>
      <c r="C621" s="60"/>
      <c r="D621" s="60"/>
      <c r="E621" s="60"/>
      <c r="F621" s="60"/>
      <c r="G621" s="60"/>
      <c r="H621" s="65" t="s">
        <v>115</v>
      </c>
      <c r="I621" s="21" t="s">
        <v>605</v>
      </c>
      <c r="J621" s="26">
        <f>+COUNTIF('ID1&amp;5'!G:G,'1. Status'!I621)</f>
        <v>0</v>
      </c>
      <c r="K621" s="79" t="str">
        <f>+IFERROR(VLOOKUP(CONCATENATE(A621,$B$10,B621),'ID1&amp;5'!B:J,8,FALSE),"-")</f>
        <v>-</v>
      </c>
      <c r="L621" s="78" t="str">
        <f>+IFERROR(VLOOKUP(B621,'ID1&amp;5'!K:L,2,FALSE),"-")</f>
        <v>-</v>
      </c>
      <c r="M621" s="79" t="str">
        <f>+IFERROR(VLOOKUP(CONCATENATE(A621,$B$10,B621),'ID1&amp;5'!B:J,9,FALSE),"-")</f>
        <v>-</v>
      </c>
      <c r="N621" s="79" t="str">
        <f>+IFERROR(VLOOKUP(CONCATENATE(A621,$C$10,C621),'ID1&amp;5'!B:J,8,FALSE),"-")</f>
        <v>-</v>
      </c>
      <c r="O621" s="78" t="str">
        <f>+IFERROR(VLOOKUP(C621,'ID1&amp;5'!K:L,2,FALSE),"-")</f>
        <v>-</v>
      </c>
      <c r="P621" s="79" t="str">
        <f>+IFERROR(VLOOKUP(CONCATENATE(A621,$C$10,C621),'ID1&amp;5'!B:J,9,FALSE),"-")</f>
        <v>-</v>
      </c>
      <c r="Q621" s="78" t="str">
        <f>+IFERROR(VLOOKUP(D621,'ID1&amp;5'!K:L,2,FALSE),"-")</f>
        <v>-</v>
      </c>
      <c r="R621" s="26" t="str">
        <f>+IFERROR(VLOOKUP(CONCATENATE(A621,$D$10,D621),'ID1&amp;5'!B:J,9,FALSE),"-")</f>
        <v>-</v>
      </c>
      <c r="S621" s="78" t="str">
        <f>+IFERROR(VLOOKUP(E621,'ID1&amp;5'!K:L,2,FALSE),"-")</f>
        <v>-</v>
      </c>
      <c r="T621" s="79" t="str">
        <f>+IFERROR(VLOOKUP(CONCATENATE(A621,$E$10,E621),'ID1&amp;5'!B:J,9,FALSE),"-")</f>
        <v>-</v>
      </c>
      <c r="U621" s="78" t="str">
        <f>+IFERROR(VLOOKUP(F621,'ID1&amp;5'!K:L,2,FALSE),"-")</f>
        <v>-</v>
      </c>
      <c r="V621" s="79" t="str">
        <f>+IFERROR(VLOOKUP(CONCATENATE(A621,$F$10,F621),'ID1&amp;5'!B:J,9,FALSE),"-")</f>
        <v>-</v>
      </c>
      <c r="W621" s="26" t="str">
        <f>+IFERROR(VLOOKUP(A621,'ID6&amp;7'!A:I,9,FALSE),"-")</f>
        <v>-</v>
      </c>
      <c r="X621" s="26" t="str">
        <f>+IFERROR(VLOOKUP(A621,'ID6&amp;7'!A:J,10,FALSE),"-")</f>
        <v>-</v>
      </c>
      <c r="Y621" s="26"/>
      <c r="Z621" s="27" t="str">
        <f t="shared" si="10"/>
        <v>Por iniciar</v>
      </c>
      <c r="AA621" s="65"/>
    </row>
    <row r="622" spans="1:27">
      <c r="A622" s="20"/>
      <c r="B622" s="60"/>
      <c r="C622" s="60"/>
      <c r="D622" s="60"/>
      <c r="E622" s="60"/>
      <c r="F622" s="60"/>
      <c r="G622" s="60"/>
      <c r="H622" s="65" t="s">
        <v>115</v>
      </c>
      <c r="I622" s="21" t="s">
        <v>669</v>
      </c>
      <c r="J622" s="26">
        <f>+COUNTIF('ID1&amp;5'!G:G,'1. Status'!I622)</f>
        <v>0</v>
      </c>
      <c r="K622" s="79" t="str">
        <f>+IFERROR(VLOOKUP(CONCATENATE(A622,$B$10,B622),'ID1&amp;5'!B:J,8,FALSE),"-")</f>
        <v>-</v>
      </c>
      <c r="L622" s="78" t="str">
        <f>+IFERROR(VLOOKUP(B622,'ID1&amp;5'!K:L,2,FALSE),"-")</f>
        <v>-</v>
      </c>
      <c r="M622" s="79" t="str">
        <f>+IFERROR(VLOOKUP(CONCATENATE(A622,$B$10,B622),'ID1&amp;5'!B:J,9,FALSE),"-")</f>
        <v>-</v>
      </c>
      <c r="N622" s="79" t="str">
        <f>+IFERROR(VLOOKUP(CONCATENATE(A622,$C$10,C622),'ID1&amp;5'!B:J,8,FALSE),"-")</f>
        <v>-</v>
      </c>
      <c r="O622" s="78" t="str">
        <f>+IFERROR(VLOOKUP(C622,'ID1&amp;5'!K:L,2,FALSE),"-")</f>
        <v>-</v>
      </c>
      <c r="P622" s="79" t="str">
        <f>+IFERROR(VLOOKUP(CONCATENATE(A622,$C$10,C622),'ID1&amp;5'!B:J,9,FALSE),"-")</f>
        <v>-</v>
      </c>
      <c r="Q622" s="78" t="str">
        <f>+IFERROR(VLOOKUP(D622,'ID1&amp;5'!K:L,2,FALSE),"-")</f>
        <v>-</v>
      </c>
      <c r="R622" s="26" t="str">
        <f>+IFERROR(VLOOKUP(CONCATENATE(A622,$D$10,D622),'ID1&amp;5'!B:J,9,FALSE),"-")</f>
        <v>-</v>
      </c>
      <c r="S622" s="78" t="str">
        <f>+IFERROR(VLOOKUP(E622,'ID1&amp;5'!K:L,2,FALSE),"-")</f>
        <v>-</v>
      </c>
      <c r="T622" s="79" t="str">
        <f>+IFERROR(VLOOKUP(CONCATENATE(A622,$E$10,E622),'ID1&amp;5'!B:J,9,FALSE),"-")</f>
        <v>-</v>
      </c>
      <c r="U622" s="78" t="str">
        <f>+IFERROR(VLOOKUP(F622,'ID1&amp;5'!K:L,2,FALSE),"-")</f>
        <v>-</v>
      </c>
      <c r="V622" s="79" t="str">
        <f>+IFERROR(VLOOKUP(CONCATENATE(A622,$F$10,F622),'ID1&amp;5'!B:J,9,FALSE),"-")</f>
        <v>-</v>
      </c>
      <c r="W622" s="26" t="str">
        <f>+IFERROR(VLOOKUP(A622,'ID6&amp;7'!A:I,9,FALSE),"-")</f>
        <v>-</v>
      </c>
      <c r="X622" s="26" t="str">
        <f>+IFERROR(VLOOKUP(A622,'ID6&amp;7'!A:J,10,FALSE),"-")</f>
        <v>-</v>
      </c>
      <c r="Y622" s="26"/>
      <c r="Z622" s="27" t="str">
        <f t="shared" si="10"/>
        <v>Por iniciar</v>
      </c>
      <c r="AA622" s="65"/>
    </row>
    <row r="623" spans="1:27">
      <c r="A623" s="20"/>
      <c r="B623" s="60"/>
      <c r="C623" s="60"/>
      <c r="D623" s="60"/>
      <c r="E623" s="60"/>
      <c r="F623" s="60"/>
      <c r="G623" s="60"/>
      <c r="H623" s="65" t="s">
        <v>115</v>
      </c>
      <c r="I623" s="21" t="s">
        <v>670</v>
      </c>
      <c r="J623" s="26">
        <f>+COUNTIF('ID1&amp;5'!G:G,'1. Status'!I623)</f>
        <v>0</v>
      </c>
      <c r="K623" s="79" t="str">
        <f>+IFERROR(VLOOKUP(CONCATENATE(A623,$B$10,B623),'ID1&amp;5'!B:J,8,FALSE),"-")</f>
        <v>-</v>
      </c>
      <c r="L623" s="78" t="str">
        <f>+IFERROR(VLOOKUP(B623,'ID1&amp;5'!K:L,2,FALSE),"-")</f>
        <v>-</v>
      </c>
      <c r="M623" s="79" t="str">
        <f>+IFERROR(VLOOKUP(CONCATENATE(A623,$B$10,B623),'ID1&amp;5'!B:J,9,FALSE),"-")</f>
        <v>-</v>
      </c>
      <c r="N623" s="79" t="str">
        <f>+IFERROR(VLOOKUP(CONCATENATE(A623,$C$10,C623),'ID1&amp;5'!B:J,8,FALSE),"-")</f>
        <v>-</v>
      </c>
      <c r="O623" s="78" t="str">
        <f>+IFERROR(VLOOKUP(C623,'ID1&amp;5'!K:L,2,FALSE),"-")</f>
        <v>-</v>
      </c>
      <c r="P623" s="79" t="str">
        <f>+IFERROR(VLOOKUP(CONCATENATE(A623,$C$10,C623),'ID1&amp;5'!B:J,9,FALSE),"-")</f>
        <v>-</v>
      </c>
      <c r="Q623" s="78" t="str">
        <f>+IFERROR(VLOOKUP(D623,'ID1&amp;5'!K:L,2,FALSE),"-")</f>
        <v>-</v>
      </c>
      <c r="R623" s="26" t="str">
        <f>+IFERROR(VLOOKUP(CONCATENATE(A623,$D$10,D623),'ID1&amp;5'!B:J,9,FALSE),"-")</f>
        <v>-</v>
      </c>
      <c r="S623" s="78" t="str">
        <f>+IFERROR(VLOOKUP(E623,'ID1&amp;5'!K:L,2,FALSE),"-")</f>
        <v>-</v>
      </c>
      <c r="T623" s="79" t="str">
        <f>+IFERROR(VLOOKUP(CONCATENATE(A623,$E$10,E623),'ID1&amp;5'!B:J,9,FALSE),"-")</f>
        <v>-</v>
      </c>
      <c r="U623" s="78" t="str">
        <f>+IFERROR(VLOOKUP(F623,'ID1&amp;5'!K:L,2,FALSE),"-")</f>
        <v>-</v>
      </c>
      <c r="V623" s="79" t="str">
        <f>+IFERROR(VLOOKUP(CONCATENATE(A623,$F$10,F623),'ID1&amp;5'!B:J,9,FALSE),"-")</f>
        <v>-</v>
      </c>
      <c r="W623" s="26" t="str">
        <f>+IFERROR(VLOOKUP(A623,'ID6&amp;7'!A:I,9,FALSE),"-")</f>
        <v>-</v>
      </c>
      <c r="X623" s="26" t="str">
        <f>+IFERROR(VLOOKUP(A623,'ID6&amp;7'!A:J,10,FALSE),"-")</f>
        <v>-</v>
      </c>
      <c r="Y623" s="26"/>
      <c r="Z623" s="27" t="str">
        <f t="shared" si="10"/>
        <v>Por iniciar</v>
      </c>
      <c r="AA623" s="65"/>
    </row>
    <row r="624" spans="1:27">
      <c r="A624" s="20"/>
      <c r="B624" s="60"/>
      <c r="C624" s="60"/>
      <c r="D624" s="60"/>
      <c r="E624" s="60"/>
      <c r="F624" s="60"/>
      <c r="G624" s="60"/>
      <c r="H624" s="65" t="s">
        <v>115</v>
      </c>
      <c r="I624" s="21" t="s">
        <v>671</v>
      </c>
      <c r="J624" s="26">
        <f>+COUNTIF('ID1&amp;5'!G:G,'1. Status'!I624)</f>
        <v>0</v>
      </c>
      <c r="K624" s="79" t="str">
        <f>+IFERROR(VLOOKUP(CONCATENATE(A624,$B$10,B624),'ID1&amp;5'!B:J,8,FALSE),"-")</f>
        <v>-</v>
      </c>
      <c r="L624" s="78" t="str">
        <f>+IFERROR(VLOOKUP(B624,'ID1&amp;5'!K:L,2,FALSE),"-")</f>
        <v>-</v>
      </c>
      <c r="M624" s="79" t="str">
        <f>+IFERROR(VLOOKUP(CONCATENATE(A624,$B$10,B624),'ID1&amp;5'!B:J,9,FALSE),"-")</f>
        <v>-</v>
      </c>
      <c r="N624" s="79" t="str">
        <f>+IFERROR(VLOOKUP(CONCATENATE(A624,$C$10,C624),'ID1&amp;5'!B:J,8,FALSE),"-")</f>
        <v>-</v>
      </c>
      <c r="O624" s="78" t="str">
        <f>+IFERROR(VLOOKUP(C624,'ID1&amp;5'!K:L,2,FALSE),"-")</f>
        <v>-</v>
      </c>
      <c r="P624" s="79" t="str">
        <f>+IFERROR(VLOOKUP(CONCATENATE(A624,$C$10,C624),'ID1&amp;5'!B:J,9,FALSE),"-")</f>
        <v>-</v>
      </c>
      <c r="Q624" s="78" t="str">
        <f>+IFERROR(VLOOKUP(D624,'ID1&amp;5'!K:L,2,FALSE),"-")</f>
        <v>-</v>
      </c>
      <c r="R624" s="26" t="str">
        <f>+IFERROR(VLOOKUP(CONCATENATE(A624,$D$10,D624),'ID1&amp;5'!B:J,9,FALSE),"-")</f>
        <v>-</v>
      </c>
      <c r="S624" s="78" t="str">
        <f>+IFERROR(VLOOKUP(E624,'ID1&amp;5'!K:L,2,FALSE),"-")</f>
        <v>-</v>
      </c>
      <c r="T624" s="79" t="str">
        <f>+IFERROR(VLOOKUP(CONCATENATE(A624,$E$10,E624),'ID1&amp;5'!B:J,9,FALSE),"-")</f>
        <v>-</v>
      </c>
      <c r="U624" s="78" t="str">
        <f>+IFERROR(VLOOKUP(F624,'ID1&amp;5'!K:L,2,FALSE),"-")</f>
        <v>-</v>
      </c>
      <c r="V624" s="79" t="str">
        <f>+IFERROR(VLOOKUP(CONCATENATE(A624,$F$10,F624),'ID1&amp;5'!B:J,9,FALSE),"-")</f>
        <v>-</v>
      </c>
      <c r="W624" s="26" t="str">
        <f>+IFERROR(VLOOKUP(A624,'ID6&amp;7'!A:I,9,FALSE),"-")</f>
        <v>-</v>
      </c>
      <c r="X624" s="26" t="str">
        <f>+IFERROR(VLOOKUP(A624,'ID6&amp;7'!A:J,10,FALSE),"-")</f>
        <v>-</v>
      </c>
      <c r="Y624" s="26"/>
      <c r="Z624" s="27" t="str">
        <f t="shared" si="10"/>
        <v>Por iniciar</v>
      </c>
      <c r="AA624" s="65"/>
    </row>
    <row r="625" spans="1:27">
      <c r="A625" s="20"/>
      <c r="B625" s="60"/>
      <c r="C625" s="60"/>
      <c r="D625" s="60"/>
      <c r="E625" s="60"/>
      <c r="F625" s="60"/>
      <c r="G625" s="60"/>
      <c r="H625" s="65" t="s">
        <v>115</v>
      </c>
      <c r="I625" s="21" t="s">
        <v>672</v>
      </c>
      <c r="J625" s="26">
        <f>+COUNTIF('ID1&amp;5'!G:G,'1. Status'!I625)</f>
        <v>0</v>
      </c>
      <c r="K625" s="79" t="str">
        <f>+IFERROR(VLOOKUP(CONCATENATE(A625,$B$10,B625),'ID1&amp;5'!B:J,8,FALSE),"-")</f>
        <v>-</v>
      </c>
      <c r="L625" s="78" t="str">
        <f>+IFERROR(VLOOKUP(B625,'ID1&amp;5'!K:L,2,FALSE),"-")</f>
        <v>-</v>
      </c>
      <c r="M625" s="79" t="str">
        <f>+IFERROR(VLOOKUP(CONCATENATE(A625,$B$10,B625),'ID1&amp;5'!B:J,9,FALSE),"-")</f>
        <v>-</v>
      </c>
      <c r="N625" s="79" t="str">
        <f>+IFERROR(VLOOKUP(CONCATENATE(A625,$C$10,C625),'ID1&amp;5'!B:J,8,FALSE),"-")</f>
        <v>-</v>
      </c>
      <c r="O625" s="78" t="str">
        <f>+IFERROR(VLOOKUP(C625,'ID1&amp;5'!K:L,2,FALSE),"-")</f>
        <v>-</v>
      </c>
      <c r="P625" s="79" t="str">
        <f>+IFERROR(VLOOKUP(CONCATENATE(A625,$C$10,C625),'ID1&amp;5'!B:J,9,FALSE),"-")</f>
        <v>-</v>
      </c>
      <c r="Q625" s="78" t="str">
        <f>+IFERROR(VLOOKUP(D625,'ID1&amp;5'!K:L,2,FALSE),"-")</f>
        <v>-</v>
      </c>
      <c r="R625" s="26" t="str">
        <f>+IFERROR(VLOOKUP(CONCATENATE(A625,$D$10,D625),'ID1&amp;5'!B:J,9,FALSE),"-")</f>
        <v>-</v>
      </c>
      <c r="S625" s="78" t="str">
        <f>+IFERROR(VLOOKUP(E625,'ID1&amp;5'!K:L,2,FALSE),"-")</f>
        <v>-</v>
      </c>
      <c r="T625" s="79" t="str">
        <f>+IFERROR(VLOOKUP(CONCATENATE(A625,$E$10,E625),'ID1&amp;5'!B:J,9,FALSE),"-")</f>
        <v>-</v>
      </c>
      <c r="U625" s="78" t="str">
        <f>+IFERROR(VLOOKUP(F625,'ID1&amp;5'!K:L,2,FALSE),"-")</f>
        <v>-</v>
      </c>
      <c r="V625" s="79" t="str">
        <f>+IFERROR(VLOOKUP(CONCATENATE(A625,$F$10,F625),'ID1&amp;5'!B:J,9,FALSE),"-")</f>
        <v>-</v>
      </c>
      <c r="W625" s="26" t="str">
        <f>+IFERROR(VLOOKUP(A625,'ID6&amp;7'!A:I,9,FALSE),"-")</f>
        <v>-</v>
      </c>
      <c r="X625" s="26" t="str">
        <f>+IFERROR(VLOOKUP(A625,'ID6&amp;7'!A:J,10,FALSE),"-")</f>
        <v>-</v>
      </c>
      <c r="Y625" s="26"/>
      <c r="Z625" s="27" t="str">
        <f t="shared" si="10"/>
        <v>Por iniciar</v>
      </c>
      <c r="AA625" s="65"/>
    </row>
    <row r="626" spans="1:27">
      <c r="A626" s="20"/>
      <c r="B626" s="60"/>
      <c r="C626" s="60"/>
      <c r="D626" s="60"/>
      <c r="E626" s="60"/>
      <c r="F626" s="60"/>
      <c r="G626" s="60"/>
      <c r="H626" s="65" t="s">
        <v>115</v>
      </c>
      <c r="I626" s="21" t="s">
        <v>1527</v>
      </c>
      <c r="J626" s="26">
        <f>+COUNTIF('ID1&amp;5'!G:G,'1. Status'!I626)</f>
        <v>0</v>
      </c>
      <c r="K626" s="79" t="str">
        <f>+IFERROR(VLOOKUP(CONCATENATE(A626,$B$10,B626),'ID1&amp;5'!B:J,8,FALSE),"-")</f>
        <v>-</v>
      </c>
      <c r="L626" s="78" t="str">
        <f>+IFERROR(VLOOKUP(B626,'ID1&amp;5'!K:L,2,FALSE),"-")</f>
        <v>-</v>
      </c>
      <c r="M626" s="79" t="str">
        <f>+IFERROR(VLOOKUP(CONCATENATE(A626,$B$10,B626),'ID1&amp;5'!B:J,9,FALSE),"-")</f>
        <v>-</v>
      </c>
      <c r="N626" s="79" t="str">
        <f>+IFERROR(VLOOKUP(CONCATENATE(A626,$C$10,C626),'ID1&amp;5'!B:J,8,FALSE),"-")</f>
        <v>-</v>
      </c>
      <c r="O626" s="78" t="str">
        <f>+IFERROR(VLOOKUP(C626,'ID1&amp;5'!K:L,2,FALSE),"-")</f>
        <v>-</v>
      </c>
      <c r="P626" s="79" t="str">
        <f>+IFERROR(VLOOKUP(CONCATENATE(A626,$C$10,C626),'ID1&amp;5'!B:J,9,FALSE),"-")</f>
        <v>-</v>
      </c>
      <c r="Q626" s="78" t="str">
        <f>+IFERROR(VLOOKUP(D626,'ID1&amp;5'!K:L,2,FALSE),"-")</f>
        <v>-</v>
      </c>
      <c r="R626" s="26" t="str">
        <f>+IFERROR(VLOOKUP(CONCATENATE(A626,$D$10,D626),'ID1&amp;5'!B:J,9,FALSE),"-")</f>
        <v>-</v>
      </c>
      <c r="S626" s="78" t="str">
        <f>+IFERROR(VLOOKUP(E626,'ID1&amp;5'!K:L,2,FALSE),"-")</f>
        <v>-</v>
      </c>
      <c r="T626" s="79" t="str">
        <f>+IFERROR(VLOOKUP(CONCATENATE(A626,$E$10,E626),'ID1&amp;5'!B:J,9,FALSE),"-")</f>
        <v>-</v>
      </c>
      <c r="U626" s="78" t="str">
        <f>+IFERROR(VLOOKUP(F626,'ID1&amp;5'!K:L,2,FALSE),"-")</f>
        <v>-</v>
      </c>
      <c r="V626" s="79" t="str">
        <f>+IFERROR(VLOOKUP(CONCATENATE(A626,$F$10,F626),'ID1&amp;5'!B:J,9,FALSE),"-")</f>
        <v>-</v>
      </c>
      <c r="W626" s="26" t="str">
        <f>+IFERROR(VLOOKUP(A626,'ID6&amp;7'!A:I,9,FALSE),"-")</f>
        <v>-</v>
      </c>
      <c r="X626" s="26" t="str">
        <f>+IFERROR(VLOOKUP(A626,'ID6&amp;7'!A:J,10,FALSE),"-")</f>
        <v>-</v>
      </c>
      <c r="Y626" s="26"/>
      <c r="Z626" s="27" t="str">
        <f t="shared" si="10"/>
        <v>Por iniciar</v>
      </c>
      <c r="AA626" s="65"/>
    </row>
    <row r="627" spans="1:27">
      <c r="A627" s="20"/>
      <c r="B627" s="60"/>
      <c r="C627" s="60"/>
      <c r="D627" s="60"/>
      <c r="E627" s="60"/>
      <c r="F627" s="60"/>
      <c r="G627" s="60"/>
      <c r="H627" s="65" t="s">
        <v>115</v>
      </c>
      <c r="I627" s="21" t="s">
        <v>1528</v>
      </c>
      <c r="J627" s="26">
        <f>+COUNTIF('ID1&amp;5'!G:G,'1. Status'!I627)</f>
        <v>0</v>
      </c>
      <c r="K627" s="79" t="str">
        <f>+IFERROR(VLOOKUP(CONCATENATE(A627,$B$10,B627),'ID1&amp;5'!B:J,8,FALSE),"-")</f>
        <v>-</v>
      </c>
      <c r="L627" s="78" t="str">
        <f>+IFERROR(VLOOKUP(B627,'ID1&amp;5'!K:L,2,FALSE),"-")</f>
        <v>-</v>
      </c>
      <c r="M627" s="79" t="str">
        <f>+IFERROR(VLOOKUP(CONCATENATE(A627,$B$10,B627),'ID1&amp;5'!B:J,9,FALSE),"-")</f>
        <v>-</v>
      </c>
      <c r="N627" s="79" t="str">
        <f>+IFERROR(VLOOKUP(CONCATENATE(A627,$C$10,C627),'ID1&amp;5'!B:J,8,FALSE),"-")</f>
        <v>-</v>
      </c>
      <c r="O627" s="78" t="str">
        <f>+IFERROR(VLOOKUP(C627,'ID1&amp;5'!K:L,2,FALSE),"-")</f>
        <v>-</v>
      </c>
      <c r="P627" s="79" t="str">
        <f>+IFERROR(VLOOKUP(CONCATENATE(A627,$C$10,C627),'ID1&amp;5'!B:J,9,FALSE),"-")</f>
        <v>-</v>
      </c>
      <c r="Q627" s="78" t="str">
        <f>+IFERROR(VLOOKUP(D627,'ID1&amp;5'!K:L,2,FALSE),"-")</f>
        <v>-</v>
      </c>
      <c r="R627" s="26" t="str">
        <f>+IFERROR(VLOOKUP(CONCATENATE(A627,$D$10,D627),'ID1&amp;5'!B:J,9,FALSE),"-")</f>
        <v>-</v>
      </c>
      <c r="S627" s="78" t="str">
        <f>+IFERROR(VLOOKUP(E627,'ID1&amp;5'!K:L,2,FALSE),"-")</f>
        <v>-</v>
      </c>
      <c r="T627" s="79" t="str">
        <f>+IFERROR(VLOOKUP(CONCATENATE(A627,$E$10,E627),'ID1&amp;5'!B:J,9,FALSE),"-")</f>
        <v>-</v>
      </c>
      <c r="U627" s="78" t="str">
        <f>+IFERROR(VLOOKUP(F627,'ID1&amp;5'!K:L,2,FALSE),"-")</f>
        <v>-</v>
      </c>
      <c r="V627" s="79" t="str">
        <f>+IFERROR(VLOOKUP(CONCATENATE(A627,$F$10,F627),'ID1&amp;5'!B:J,9,FALSE),"-")</f>
        <v>-</v>
      </c>
      <c r="W627" s="26" t="str">
        <f>+IFERROR(VLOOKUP(A627,'ID6&amp;7'!A:I,9,FALSE),"-")</f>
        <v>-</v>
      </c>
      <c r="X627" s="26" t="str">
        <f>+IFERROR(VLOOKUP(A627,'ID6&amp;7'!A:J,10,FALSE),"-")</f>
        <v>-</v>
      </c>
      <c r="Y627" s="26"/>
      <c r="Z627" s="27" t="str">
        <f t="shared" si="10"/>
        <v>Por iniciar</v>
      </c>
      <c r="AA627" s="65"/>
    </row>
    <row r="628" spans="1:27">
      <c r="A628" s="20"/>
      <c r="B628" s="60"/>
      <c r="C628" s="60"/>
      <c r="D628" s="60"/>
      <c r="E628" s="60"/>
      <c r="F628" s="60"/>
      <c r="G628" s="60"/>
      <c r="H628" s="65" t="s">
        <v>115</v>
      </c>
      <c r="I628" s="21" t="s">
        <v>1529</v>
      </c>
      <c r="J628" s="26">
        <f>+COUNTIF('ID1&amp;5'!G:G,'1. Status'!I628)</f>
        <v>0</v>
      </c>
      <c r="K628" s="79" t="str">
        <f>+IFERROR(VLOOKUP(CONCATENATE(A628,$B$10,B628),'ID1&amp;5'!B:J,8,FALSE),"-")</f>
        <v>-</v>
      </c>
      <c r="L628" s="78" t="str">
        <f>+IFERROR(VLOOKUP(B628,'ID1&amp;5'!K:L,2,FALSE),"-")</f>
        <v>-</v>
      </c>
      <c r="M628" s="79" t="str">
        <f>+IFERROR(VLOOKUP(CONCATENATE(A628,$B$10,B628),'ID1&amp;5'!B:J,9,FALSE),"-")</f>
        <v>-</v>
      </c>
      <c r="N628" s="79" t="str">
        <f>+IFERROR(VLOOKUP(CONCATENATE(A628,$C$10,C628),'ID1&amp;5'!B:J,8,FALSE),"-")</f>
        <v>-</v>
      </c>
      <c r="O628" s="78" t="str">
        <f>+IFERROR(VLOOKUP(C628,'ID1&amp;5'!K:L,2,FALSE),"-")</f>
        <v>-</v>
      </c>
      <c r="P628" s="79" t="str">
        <f>+IFERROR(VLOOKUP(CONCATENATE(A628,$C$10,C628),'ID1&amp;5'!B:J,9,FALSE),"-")</f>
        <v>-</v>
      </c>
      <c r="Q628" s="78" t="str">
        <f>+IFERROR(VLOOKUP(D628,'ID1&amp;5'!K:L,2,FALSE),"-")</f>
        <v>-</v>
      </c>
      <c r="R628" s="26" t="str">
        <f>+IFERROR(VLOOKUP(CONCATENATE(A628,$D$10,D628),'ID1&amp;5'!B:J,9,FALSE),"-")</f>
        <v>-</v>
      </c>
      <c r="S628" s="78" t="str">
        <f>+IFERROR(VLOOKUP(E628,'ID1&amp;5'!K:L,2,FALSE),"-")</f>
        <v>-</v>
      </c>
      <c r="T628" s="79" t="str">
        <f>+IFERROR(VLOOKUP(CONCATENATE(A628,$E$10,E628),'ID1&amp;5'!B:J,9,FALSE),"-")</f>
        <v>-</v>
      </c>
      <c r="U628" s="78" t="str">
        <f>+IFERROR(VLOOKUP(F628,'ID1&amp;5'!K:L,2,FALSE),"-")</f>
        <v>-</v>
      </c>
      <c r="V628" s="79" t="str">
        <f>+IFERROR(VLOOKUP(CONCATENATE(A628,$F$10,F628),'ID1&amp;5'!B:J,9,FALSE),"-")</f>
        <v>-</v>
      </c>
      <c r="W628" s="26" t="str">
        <f>+IFERROR(VLOOKUP(A628,'ID6&amp;7'!A:I,9,FALSE),"-")</f>
        <v>-</v>
      </c>
      <c r="X628" s="26" t="str">
        <f>+IFERROR(VLOOKUP(A628,'ID6&amp;7'!A:J,10,FALSE),"-")</f>
        <v>-</v>
      </c>
      <c r="Y628" s="26"/>
      <c r="Z628" s="27" t="str">
        <f t="shared" si="10"/>
        <v>Por iniciar</v>
      </c>
      <c r="AA628" s="65"/>
    </row>
    <row r="629" spans="1:27">
      <c r="A629" s="20"/>
      <c r="B629" s="60"/>
      <c r="C629" s="60"/>
      <c r="D629" s="60"/>
      <c r="E629" s="60"/>
      <c r="F629" s="60"/>
      <c r="G629" s="60"/>
      <c r="H629" s="65" t="s">
        <v>115</v>
      </c>
      <c r="I629" s="21" t="s">
        <v>1530</v>
      </c>
      <c r="J629" s="26">
        <f>+COUNTIF('ID1&amp;5'!G:G,'1. Status'!I629)</f>
        <v>0</v>
      </c>
      <c r="K629" s="79" t="str">
        <f>+IFERROR(VLOOKUP(CONCATENATE(A629,$B$10,B629),'ID1&amp;5'!B:J,8,FALSE),"-")</f>
        <v>-</v>
      </c>
      <c r="L629" s="78" t="str">
        <f>+IFERROR(VLOOKUP(B629,'ID1&amp;5'!K:L,2,FALSE),"-")</f>
        <v>-</v>
      </c>
      <c r="M629" s="79" t="str">
        <f>+IFERROR(VLOOKUP(CONCATENATE(A629,$B$10,B629),'ID1&amp;5'!B:J,9,FALSE),"-")</f>
        <v>-</v>
      </c>
      <c r="N629" s="79" t="str">
        <f>+IFERROR(VLOOKUP(CONCATENATE(A629,$C$10,C629),'ID1&amp;5'!B:J,8,FALSE),"-")</f>
        <v>-</v>
      </c>
      <c r="O629" s="78" t="str">
        <f>+IFERROR(VLOOKUP(C629,'ID1&amp;5'!K:L,2,FALSE),"-")</f>
        <v>-</v>
      </c>
      <c r="P629" s="79" t="str">
        <f>+IFERROR(VLOOKUP(CONCATENATE(A629,$C$10,C629),'ID1&amp;5'!B:J,9,FALSE),"-")</f>
        <v>-</v>
      </c>
      <c r="Q629" s="78" t="str">
        <f>+IFERROR(VLOOKUP(D629,'ID1&amp;5'!K:L,2,FALSE),"-")</f>
        <v>-</v>
      </c>
      <c r="R629" s="26" t="str">
        <f>+IFERROR(VLOOKUP(CONCATENATE(A629,$D$10,D629),'ID1&amp;5'!B:J,9,FALSE),"-")</f>
        <v>-</v>
      </c>
      <c r="S629" s="78" t="str">
        <f>+IFERROR(VLOOKUP(E629,'ID1&amp;5'!K:L,2,FALSE),"-")</f>
        <v>-</v>
      </c>
      <c r="T629" s="79" t="str">
        <f>+IFERROR(VLOOKUP(CONCATENATE(A629,$E$10,E629),'ID1&amp;5'!B:J,9,FALSE),"-")</f>
        <v>-</v>
      </c>
      <c r="U629" s="78" t="str">
        <f>+IFERROR(VLOOKUP(F629,'ID1&amp;5'!K:L,2,FALSE),"-")</f>
        <v>-</v>
      </c>
      <c r="V629" s="79" t="str">
        <f>+IFERROR(VLOOKUP(CONCATENATE(A629,$F$10,F629),'ID1&amp;5'!B:J,9,FALSE),"-")</f>
        <v>-</v>
      </c>
      <c r="W629" s="26" t="str">
        <f>+IFERROR(VLOOKUP(A629,'ID6&amp;7'!A:I,9,FALSE),"-")</f>
        <v>-</v>
      </c>
      <c r="X629" s="26" t="str">
        <f>+IFERROR(VLOOKUP(A629,'ID6&amp;7'!A:J,10,FALSE),"-")</f>
        <v>-</v>
      </c>
      <c r="Y629" s="26"/>
      <c r="Z629" s="27" t="str">
        <f t="shared" si="10"/>
        <v>Por iniciar</v>
      </c>
      <c r="AA629" s="65"/>
    </row>
    <row r="630" spans="1:27">
      <c r="A630" s="20"/>
      <c r="B630" s="60"/>
      <c r="C630" s="60"/>
      <c r="D630" s="60"/>
      <c r="E630" s="60"/>
      <c r="F630" s="60"/>
      <c r="G630" s="60"/>
      <c r="H630" s="65" t="s">
        <v>115</v>
      </c>
      <c r="I630" s="21" t="s">
        <v>1531</v>
      </c>
      <c r="J630" s="26">
        <f>+COUNTIF('ID1&amp;5'!G:G,'1. Status'!I630)</f>
        <v>0</v>
      </c>
      <c r="K630" s="79" t="str">
        <f>+IFERROR(VLOOKUP(CONCATENATE(A630,$B$10,B630),'ID1&amp;5'!B:J,8,FALSE),"-")</f>
        <v>-</v>
      </c>
      <c r="L630" s="78" t="str">
        <f>+IFERROR(VLOOKUP(B630,'ID1&amp;5'!K:L,2,FALSE),"-")</f>
        <v>-</v>
      </c>
      <c r="M630" s="79" t="str">
        <f>+IFERROR(VLOOKUP(CONCATENATE(A630,$B$10,B630),'ID1&amp;5'!B:J,9,FALSE),"-")</f>
        <v>-</v>
      </c>
      <c r="N630" s="79" t="str">
        <f>+IFERROR(VLOOKUP(CONCATENATE(A630,$C$10,C630),'ID1&amp;5'!B:J,8,FALSE),"-")</f>
        <v>-</v>
      </c>
      <c r="O630" s="78" t="str">
        <f>+IFERROR(VLOOKUP(C630,'ID1&amp;5'!K:L,2,FALSE),"-")</f>
        <v>-</v>
      </c>
      <c r="P630" s="79" t="str">
        <f>+IFERROR(VLOOKUP(CONCATENATE(A630,$C$10,C630),'ID1&amp;5'!B:J,9,FALSE),"-")</f>
        <v>-</v>
      </c>
      <c r="Q630" s="78" t="str">
        <f>+IFERROR(VLOOKUP(D630,'ID1&amp;5'!K:L,2,FALSE),"-")</f>
        <v>-</v>
      </c>
      <c r="R630" s="26" t="str">
        <f>+IFERROR(VLOOKUP(CONCATENATE(A630,$D$10,D630),'ID1&amp;5'!B:J,9,FALSE),"-")</f>
        <v>-</v>
      </c>
      <c r="S630" s="78" t="str">
        <f>+IFERROR(VLOOKUP(E630,'ID1&amp;5'!K:L,2,FALSE),"-")</f>
        <v>-</v>
      </c>
      <c r="T630" s="79" t="str">
        <f>+IFERROR(VLOOKUP(CONCATENATE(A630,$E$10,E630),'ID1&amp;5'!B:J,9,FALSE),"-")</f>
        <v>-</v>
      </c>
      <c r="U630" s="78" t="str">
        <f>+IFERROR(VLOOKUP(F630,'ID1&amp;5'!K:L,2,FALSE),"-")</f>
        <v>-</v>
      </c>
      <c r="V630" s="79" t="str">
        <f>+IFERROR(VLOOKUP(CONCATENATE(A630,$F$10,F630),'ID1&amp;5'!B:J,9,FALSE),"-")</f>
        <v>-</v>
      </c>
      <c r="W630" s="26" t="str">
        <f>+IFERROR(VLOOKUP(A630,'ID6&amp;7'!A:I,9,FALSE),"-")</f>
        <v>-</v>
      </c>
      <c r="X630" s="26" t="str">
        <f>+IFERROR(VLOOKUP(A630,'ID6&amp;7'!A:J,10,FALSE),"-")</f>
        <v>-</v>
      </c>
      <c r="Y630" s="26"/>
      <c r="Z630" s="27" t="str">
        <f t="shared" si="10"/>
        <v>Por iniciar</v>
      </c>
      <c r="AA630" s="65"/>
    </row>
    <row r="631" spans="1:27">
      <c r="A631" s="20"/>
      <c r="B631" s="60"/>
      <c r="C631" s="60"/>
      <c r="D631" s="60"/>
      <c r="E631" s="60"/>
      <c r="F631" s="60"/>
      <c r="G631" s="60"/>
      <c r="H631" s="65" t="s">
        <v>115</v>
      </c>
      <c r="I631" s="21" t="s">
        <v>1532</v>
      </c>
      <c r="J631" s="26">
        <f>+COUNTIF('ID1&amp;5'!G:G,'1. Status'!I631)</f>
        <v>0</v>
      </c>
      <c r="K631" s="79" t="str">
        <f>+IFERROR(VLOOKUP(CONCATENATE(A631,$B$10,B631),'ID1&amp;5'!B:J,8,FALSE),"-")</f>
        <v>-</v>
      </c>
      <c r="L631" s="78" t="str">
        <f>+IFERROR(VLOOKUP(B631,'ID1&amp;5'!K:L,2,FALSE),"-")</f>
        <v>-</v>
      </c>
      <c r="M631" s="79" t="str">
        <f>+IFERROR(VLOOKUP(CONCATENATE(A631,$B$10,B631),'ID1&amp;5'!B:J,9,FALSE),"-")</f>
        <v>-</v>
      </c>
      <c r="N631" s="79" t="str">
        <f>+IFERROR(VLOOKUP(CONCATENATE(A631,$C$10,C631),'ID1&amp;5'!B:J,8,FALSE),"-")</f>
        <v>-</v>
      </c>
      <c r="O631" s="78" t="str">
        <f>+IFERROR(VLOOKUP(C631,'ID1&amp;5'!K:L,2,FALSE),"-")</f>
        <v>-</v>
      </c>
      <c r="P631" s="79" t="str">
        <f>+IFERROR(VLOOKUP(CONCATENATE(A631,$C$10,C631),'ID1&amp;5'!B:J,9,FALSE),"-")</f>
        <v>-</v>
      </c>
      <c r="Q631" s="78" t="str">
        <f>+IFERROR(VLOOKUP(D631,'ID1&amp;5'!K:L,2,FALSE),"-")</f>
        <v>-</v>
      </c>
      <c r="R631" s="26" t="str">
        <f>+IFERROR(VLOOKUP(CONCATENATE(A631,$D$10,D631),'ID1&amp;5'!B:J,9,FALSE),"-")</f>
        <v>-</v>
      </c>
      <c r="S631" s="78" t="str">
        <f>+IFERROR(VLOOKUP(E631,'ID1&amp;5'!K:L,2,FALSE),"-")</f>
        <v>-</v>
      </c>
      <c r="T631" s="79" t="str">
        <f>+IFERROR(VLOOKUP(CONCATENATE(A631,$E$10,E631),'ID1&amp;5'!B:J,9,FALSE),"-")</f>
        <v>-</v>
      </c>
      <c r="U631" s="78" t="str">
        <f>+IFERROR(VLOOKUP(F631,'ID1&amp;5'!K:L,2,FALSE),"-")</f>
        <v>-</v>
      </c>
      <c r="V631" s="79" t="str">
        <f>+IFERROR(VLOOKUP(CONCATENATE(A631,$F$10,F631),'ID1&amp;5'!B:J,9,FALSE),"-")</f>
        <v>-</v>
      </c>
      <c r="W631" s="26" t="str">
        <f>+IFERROR(VLOOKUP(A631,'ID6&amp;7'!A:I,9,FALSE),"-")</f>
        <v>-</v>
      </c>
      <c r="X631" s="26" t="str">
        <f>+IFERROR(VLOOKUP(A631,'ID6&amp;7'!A:J,10,FALSE),"-")</f>
        <v>-</v>
      </c>
      <c r="Y631" s="26"/>
      <c r="Z631" s="27" t="str">
        <f t="shared" si="10"/>
        <v>Por iniciar</v>
      </c>
      <c r="AA631" s="65"/>
    </row>
    <row r="632" spans="1:27">
      <c r="A632" s="20"/>
      <c r="B632" s="60"/>
      <c r="C632" s="60"/>
      <c r="D632" s="60"/>
      <c r="E632" s="60"/>
      <c r="F632" s="60"/>
      <c r="G632" s="60"/>
      <c r="H632" s="65" t="s">
        <v>115</v>
      </c>
      <c r="I632" s="21" t="s">
        <v>1533</v>
      </c>
      <c r="J632" s="26">
        <f>+COUNTIF('ID1&amp;5'!G:G,'1. Status'!I632)</f>
        <v>0</v>
      </c>
      <c r="K632" s="79" t="str">
        <f>+IFERROR(VLOOKUP(CONCATENATE(A632,$B$10,B632),'ID1&amp;5'!B:J,8,FALSE),"-")</f>
        <v>-</v>
      </c>
      <c r="L632" s="78" t="str">
        <f>+IFERROR(VLOOKUP(B632,'ID1&amp;5'!K:L,2,FALSE),"-")</f>
        <v>-</v>
      </c>
      <c r="M632" s="79" t="str">
        <f>+IFERROR(VLOOKUP(CONCATENATE(A632,$B$10,B632),'ID1&amp;5'!B:J,9,FALSE),"-")</f>
        <v>-</v>
      </c>
      <c r="N632" s="79" t="str">
        <f>+IFERROR(VLOOKUP(CONCATENATE(A632,$C$10,C632),'ID1&amp;5'!B:J,8,FALSE),"-")</f>
        <v>-</v>
      </c>
      <c r="O632" s="78" t="str">
        <f>+IFERROR(VLOOKUP(C632,'ID1&amp;5'!K:L,2,FALSE),"-")</f>
        <v>-</v>
      </c>
      <c r="P632" s="79" t="str">
        <f>+IFERROR(VLOOKUP(CONCATENATE(A632,$C$10,C632),'ID1&amp;5'!B:J,9,FALSE),"-")</f>
        <v>-</v>
      </c>
      <c r="Q632" s="78" t="str">
        <f>+IFERROR(VLOOKUP(D632,'ID1&amp;5'!K:L,2,FALSE),"-")</f>
        <v>-</v>
      </c>
      <c r="R632" s="26" t="str">
        <f>+IFERROR(VLOOKUP(CONCATENATE(A632,$D$10,D632),'ID1&amp;5'!B:J,9,FALSE),"-")</f>
        <v>-</v>
      </c>
      <c r="S632" s="78" t="str">
        <f>+IFERROR(VLOOKUP(E632,'ID1&amp;5'!K:L,2,FALSE),"-")</f>
        <v>-</v>
      </c>
      <c r="T632" s="79" t="str">
        <f>+IFERROR(VLOOKUP(CONCATENATE(A632,$E$10,E632),'ID1&amp;5'!B:J,9,FALSE),"-")</f>
        <v>-</v>
      </c>
      <c r="U632" s="78" t="str">
        <f>+IFERROR(VLOOKUP(F632,'ID1&amp;5'!K:L,2,FALSE),"-")</f>
        <v>-</v>
      </c>
      <c r="V632" s="79" t="str">
        <f>+IFERROR(VLOOKUP(CONCATENATE(A632,$F$10,F632),'ID1&amp;5'!B:J,9,FALSE),"-")</f>
        <v>-</v>
      </c>
      <c r="W632" s="26" t="str">
        <f>+IFERROR(VLOOKUP(A632,'ID6&amp;7'!A:I,9,FALSE),"-")</f>
        <v>-</v>
      </c>
      <c r="X632" s="26" t="str">
        <f>+IFERROR(VLOOKUP(A632,'ID6&amp;7'!A:J,10,FALSE),"-")</f>
        <v>-</v>
      </c>
      <c r="Y632" s="26"/>
      <c r="Z632" s="27" t="str">
        <f t="shared" si="10"/>
        <v>Por iniciar</v>
      </c>
      <c r="AA632" s="65"/>
    </row>
    <row r="633" spans="1:27">
      <c r="A633" s="20"/>
      <c r="B633" s="60"/>
      <c r="C633" s="60"/>
      <c r="D633" s="60"/>
      <c r="E633" s="60"/>
      <c r="F633" s="60"/>
      <c r="G633" s="60"/>
      <c r="H633" s="65" t="s">
        <v>115</v>
      </c>
      <c r="I633" s="21" t="s">
        <v>1534</v>
      </c>
      <c r="J633" s="26">
        <f>+COUNTIF('ID1&amp;5'!G:G,'1. Status'!I633)</f>
        <v>0</v>
      </c>
      <c r="K633" s="79" t="str">
        <f>+IFERROR(VLOOKUP(CONCATENATE(A633,$B$10,B633),'ID1&amp;5'!B:J,8,FALSE),"-")</f>
        <v>-</v>
      </c>
      <c r="L633" s="78" t="str">
        <f>+IFERROR(VLOOKUP(B633,'ID1&amp;5'!K:L,2,FALSE),"-")</f>
        <v>-</v>
      </c>
      <c r="M633" s="79" t="str">
        <f>+IFERROR(VLOOKUP(CONCATENATE(A633,$B$10,B633),'ID1&amp;5'!B:J,9,FALSE),"-")</f>
        <v>-</v>
      </c>
      <c r="N633" s="79" t="str">
        <f>+IFERROR(VLOOKUP(CONCATENATE(A633,$C$10,C633),'ID1&amp;5'!B:J,8,FALSE),"-")</f>
        <v>-</v>
      </c>
      <c r="O633" s="78" t="str">
        <f>+IFERROR(VLOOKUP(C633,'ID1&amp;5'!K:L,2,FALSE),"-")</f>
        <v>-</v>
      </c>
      <c r="P633" s="79" t="str">
        <f>+IFERROR(VLOOKUP(CONCATENATE(A633,$C$10,C633),'ID1&amp;5'!B:J,9,FALSE),"-")</f>
        <v>-</v>
      </c>
      <c r="Q633" s="78" t="str">
        <f>+IFERROR(VLOOKUP(D633,'ID1&amp;5'!K:L,2,FALSE),"-")</f>
        <v>-</v>
      </c>
      <c r="R633" s="26" t="str">
        <f>+IFERROR(VLOOKUP(CONCATENATE(A633,$D$10,D633),'ID1&amp;5'!B:J,9,FALSE),"-")</f>
        <v>-</v>
      </c>
      <c r="S633" s="78" t="str">
        <f>+IFERROR(VLOOKUP(E633,'ID1&amp;5'!K:L,2,FALSE),"-")</f>
        <v>-</v>
      </c>
      <c r="T633" s="79" t="str">
        <f>+IFERROR(VLOOKUP(CONCATENATE(A633,$E$10,E633),'ID1&amp;5'!B:J,9,FALSE),"-")</f>
        <v>-</v>
      </c>
      <c r="U633" s="78" t="str">
        <f>+IFERROR(VLOOKUP(F633,'ID1&amp;5'!K:L,2,FALSE),"-")</f>
        <v>-</v>
      </c>
      <c r="V633" s="79" t="str">
        <f>+IFERROR(VLOOKUP(CONCATENATE(A633,$F$10,F633),'ID1&amp;5'!B:J,9,FALSE),"-")</f>
        <v>-</v>
      </c>
      <c r="W633" s="26" t="str">
        <f>+IFERROR(VLOOKUP(A633,'ID6&amp;7'!A:I,9,FALSE),"-")</f>
        <v>-</v>
      </c>
      <c r="X633" s="26" t="str">
        <f>+IFERROR(VLOOKUP(A633,'ID6&amp;7'!A:J,10,FALSE),"-")</f>
        <v>-</v>
      </c>
      <c r="Y633" s="26"/>
      <c r="Z633" s="27" t="str">
        <f t="shared" si="10"/>
        <v>Por iniciar</v>
      </c>
      <c r="AA633" s="65"/>
    </row>
    <row r="634" spans="1:27">
      <c r="A634" s="20"/>
      <c r="B634" s="60"/>
      <c r="C634" s="60"/>
      <c r="D634" s="60"/>
      <c r="E634" s="60"/>
      <c r="F634" s="60"/>
      <c r="G634" s="60"/>
      <c r="H634" s="65" t="s">
        <v>115</v>
      </c>
      <c r="I634" s="21" t="s">
        <v>1535</v>
      </c>
      <c r="J634" s="26">
        <f>+COUNTIF('ID1&amp;5'!G:G,'1. Status'!I634)</f>
        <v>0</v>
      </c>
      <c r="K634" s="79" t="str">
        <f>+IFERROR(VLOOKUP(CONCATENATE(A634,$B$10,B634),'ID1&amp;5'!B:J,8,FALSE),"-")</f>
        <v>-</v>
      </c>
      <c r="L634" s="78" t="str">
        <f>+IFERROR(VLOOKUP(B634,'ID1&amp;5'!K:L,2,FALSE),"-")</f>
        <v>-</v>
      </c>
      <c r="M634" s="79" t="str">
        <f>+IFERROR(VLOOKUP(CONCATENATE(A634,$B$10,B634),'ID1&amp;5'!B:J,9,FALSE),"-")</f>
        <v>-</v>
      </c>
      <c r="N634" s="79" t="str">
        <f>+IFERROR(VLOOKUP(CONCATENATE(A634,$C$10,C634),'ID1&amp;5'!B:J,8,FALSE),"-")</f>
        <v>-</v>
      </c>
      <c r="O634" s="78" t="str">
        <f>+IFERROR(VLOOKUP(C634,'ID1&amp;5'!K:L,2,FALSE),"-")</f>
        <v>-</v>
      </c>
      <c r="P634" s="79" t="str">
        <f>+IFERROR(VLOOKUP(CONCATENATE(A634,$C$10,C634),'ID1&amp;5'!B:J,9,FALSE),"-")</f>
        <v>-</v>
      </c>
      <c r="Q634" s="78" t="str">
        <f>+IFERROR(VLOOKUP(D634,'ID1&amp;5'!K:L,2,FALSE),"-")</f>
        <v>-</v>
      </c>
      <c r="R634" s="26" t="str">
        <f>+IFERROR(VLOOKUP(CONCATENATE(A634,$D$10,D634),'ID1&amp;5'!B:J,9,FALSE),"-")</f>
        <v>-</v>
      </c>
      <c r="S634" s="78" t="str">
        <f>+IFERROR(VLOOKUP(E634,'ID1&amp;5'!K:L,2,FALSE),"-")</f>
        <v>-</v>
      </c>
      <c r="T634" s="79" t="str">
        <f>+IFERROR(VLOOKUP(CONCATENATE(A634,$E$10,E634),'ID1&amp;5'!B:J,9,FALSE),"-")</f>
        <v>-</v>
      </c>
      <c r="U634" s="78" t="str">
        <f>+IFERROR(VLOOKUP(F634,'ID1&amp;5'!K:L,2,FALSE),"-")</f>
        <v>-</v>
      </c>
      <c r="V634" s="79" t="str">
        <f>+IFERROR(VLOOKUP(CONCATENATE(A634,$F$10,F634),'ID1&amp;5'!B:J,9,FALSE),"-")</f>
        <v>-</v>
      </c>
      <c r="W634" s="26" t="str">
        <f>+IFERROR(VLOOKUP(A634,'ID6&amp;7'!A:I,9,FALSE),"-")</f>
        <v>-</v>
      </c>
      <c r="X634" s="26" t="str">
        <f>+IFERROR(VLOOKUP(A634,'ID6&amp;7'!A:J,10,FALSE),"-")</f>
        <v>-</v>
      </c>
      <c r="Y634" s="26"/>
      <c r="Z634" s="27" t="str">
        <f t="shared" si="10"/>
        <v>Por iniciar</v>
      </c>
      <c r="AA634" s="65"/>
    </row>
    <row r="635" spans="1:27">
      <c r="A635" s="20"/>
      <c r="B635" s="60"/>
      <c r="C635" s="60"/>
      <c r="D635" s="60"/>
      <c r="E635" s="60"/>
      <c r="F635" s="60"/>
      <c r="G635" s="60"/>
      <c r="H635" s="65" t="s">
        <v>115</v>
      </c>
      <c r="I635" s="21" t="s">
        <v>1536</v>
      </c>
      <c r="J635" s="26">
        <f>+COUNTIF('ID1&amp;5'!G:G,'1. Status'!I635)</f>
        <v>0</v>
      </c>
      <c r="K635" s="79" t="str">
        <f>+IFERROR(VLOOKUP(CONCATENATE(A635,$B$10,B635),'ID1&amp;5'!B:J,8,FALSE),"-")</f>
        <v>-</v>
      </c>
      <c r="L635" s="78" t="str">
        <f>+IFERROR(VLOOKUP(B635,'ID1&amp;5'!K:L,2,FALSE),"-")</f>
        <v>-</v>
      </c>
      <c r="M635" s="79" t="str">
        <f>+IFERROR(VLOOKUP(CONCATENATE(A635,$B$10,B635),'ID1&amp;5'!B:J,9,FALSE),"-")</f>
        <v>-</v>
      </c>
      <c r="N635" s="79" t="str">
        <f>+IFERROR(VLOOKUP(CONCATENATE(A635,$C$10,C635),'ID1&amp;5'!B:J,8,FALSE),"-")</f>
        <v>-</v>
      </c>
      <c r="O635" s="78" t="str">
        <f>+IFERROR(VLOOKUP(C635,'ID1&amp;5'!K:L,2,FALSE),"-")</f>
        <v>-</v>
      </c>
      <c r="P635" s="79" t="str">
        <f>+IFERROR(VLOOKUP(CONCATENATE(A635,$C$10,C635),'ID1&amp;5'!B:J,9,FALSE),"-")</f>
        <v>-</v>
      </c>
      <c r="Q635" s="78" t="str">
        <f>+IFERROR(VLOOKUP(D635,'ID1&amp;5'!K:L,2,FALSE),"-")</f>
        <v>-</v>
      </c>
      <c r="R635" s="26" t="str">
        <f>+IFERROR(VLOOKUP(CONCATENATE(A635,$D$10,D635),'ID1&amp;5'!B:J,9,FALSE),"-")</f>
        <v>-</v>
      </c>
      <c r="S635" s="78" t="str">
        <f>+IFERROR(VLOOKUP(E635,'ID1&amp;5'!K:L,2,FALSE),"-")</f>
        <v>-</v>
      </c>
      <c r="T635" s="79" t="str">
        <f>+IFERROR(VLOOKUP(CONCATENATE(A635,$E$10,E635),'ID1&amp;5'!B:J,9,FALSE),"-")</f>
        <v>-</v>
      </c>
      <c r="U635" s="78" t="str">
        <f>+IFERROR(VLOOKUP(F635,'ID1&amp;5'!K:L,2,FALSE),"-")</f>
        <v>-</v>
      </c>
      <c r="V635" s="79" t="str">
        <f>+IFERROR(VLOOKUP(CONCATENATE(A635,$F$10,F635),'ID1&amp;5'!B:J,9,FALSE),"-")</f>
        <v>-</v>
      </c>
      <c r="W635" s="26" t="str">
        <f>+IFERROR(VLOOKUP(A635,'ID6&amp;7'!A:I,9,FALSE),"-")</f>
        <v>-</v>
      </c>
      <c r="X635" s="26" t="str">
        <f>+IFERROR(VLOOKUP(A635,'ID6&amp;7'!A:J,10,FALSE),"-")</f>
        <v>-</v>
      </c>
      <c r="Y635" s="26"/>
      <c r="Z635" s="27" t="str">
        <f t="shared" si="10"/>
        <v>Por iniciar</v>
      </c>
      <c r="AA635" s="65"/>
    </row>
    <row r="636" spans="1:27">
      <c r="A636" s="20"/>
      <c r="B636" s="60"/>
      <c r="C636" s="60"/>
      <c r="D636" s="60"/>
      <c r="E636" s="60"/>
      <c r="F636" s="60"/>
      <c r="G636" s="60"/>
      <c r="H636" s="65" t="s">
        <v>115</v>
      </c>
      <c r="I636" s="21" t="s">
        <v>1537</v>
      </c>
      <c r="J636" s="26">
        <f>+COUNTIF('ID1&amp;5'!G:G,'1. Status'!I636)</f>
        <v>0</v>
      </c>
      <c r="K636" s="79" t="str">
        <f>+IFERROR(VLOOKUP(CONCATENATE(A636,$B$10,B636),'ID1&amp;5'!B:J,8,FALSE),"-")</f>
        <v>-</v>
      </c>
      <c r="L636" s="78" t="str">
        <f>+IFERROR(VLOOKUP(B636,'ID1&amp;5'!K:L,2,FALSE),"-")</f>
        <v>-</v>
      </c>
      <c r="M636" s="79" t="str">
        <f>+IFERROR(VLOOKUP(CONCATENATE(A636,$B$10,B636),'ID1&amp;5'!B:J,9,FALSE),"-")</f>
        <v>-</v>
      </c>
      <c r="N636" s="79" t="str">
        <f>+IFERROR(VLOOKUP(CONCATENATE(A636,$C$10,C636),'ID1&amp;5'!B:J,8,FALSE),"-")</f>
        <v>-</v>
      </c>
      <c r="O636" s="78" t="str">
        <f>+IFERROR(VLOOKUP(C636,'ID1&amp;5'!K:L,2,FALSE),"-")</f>
        <v>-</v>
      </c>
      <c r="P636" s="79" t="str">
        <f>+IFERROR(VLOOKUP(CONCATENATE(A636,$C$10,C636),'ID1&amp;5'!B:J,9,FALSE),"-")</f>
        <v>-</v>
      </c>
      <c r="Q636" s="78" t="str">
        <f>+IFERROR(VLOOKUP(D636,'ID1&amp;5'!K:L,2,FALSE),"-")</f>
        <v>-</v>
      </c>
      <c r="R636" s="26" t="str">
        <f>+IFERROR(VLOOKUP(CONCATENATE(A636,$D$10,D636),'ID1&amp;5'!B:J,9,FALSE),"-")</f>
        <v>-</v>
      </c>
      <c r="S636" s="78" t="str">
        <f>+IFERROR(VLOOKUP(E636,'ID1&amp;5'!K:L,2,FALSE),"-")</f>
        <v>-</v>
      </c>
      <c r="T636" s="79" t="str">
        <f>+IFERROR(VLOOKUP(CONCATENATE(A636,$E$10,E636),'ID1&amp;5'!B:J,9,FALSE),"-")</f>
        <v>-</v>
      </c>
      <c r="U636" s="78" t="str">
        <f>+IFERROR(VLOOKUP(F636,'ID1&amp;5'!K:L,2,FALSE),"-")</f>
        <v>-</v>
      </c>
      <c r="V636" s="79" t="str">
        <f>+IFERROR(VLOOKUP(CONCATENATE(A636,$F$10,F636),'ID1&amp;5'!B:J,9,FALSE),"-")</f>
        <v>-</v>
      </c>
      <c r="W636" s="26" t="str">
        <f>+IFERROR(VLOOKUP(A636,'ID6&amp;7'!A:I,9,FALSE),"-")</f>
        <v>-</v>
      </c>
      <c r="X636" s="26" t="str">
        <f>+IFERROR(VLOOKUP(A636,'ID6&amp;7'!A:J,10,FALSE),"-")</f>
        <v>-</v>
      </c>
      <c r="Y636" s="26"/>
      <c r="Z636" s="27" t="str">
        <f t="shared" si="10"/>
        <v>Por iniciar</v>
      </c>
      <c r="AA636" s="65"/>
    </row>
    <row r="637" spans="1:27">
      <c r="A637" s="20"/>
      <c r="B637" s="60"/>
      <c r="C637" s="60"/>
      <c r="D637" s="60"/>
      <c r="E637" s="60"/>
      <c r="F637" s="60"/>
      <c r="G637" s="60"/>
      <c r="H637" s="65" t="s">
        <v>115</v>
      </c>
      <c r="I637" s="21" t="s">
        <v>1538</v>
      </c>
      <c r="J637" s="26">
        <f>+COUNTIF('ID1&amp;5'!G:G,'1. Status'!I637)</f>
        <v>0</v>
      </c>
      <c r="K637" s="79" t="str">
        <f>+IFERROR(VLOOKUP(CONCATENATE(A637,$B$10,B637),'ID1&amp;5'!B:J,8,FALSE),"-")</f>
        <v>-</v>
      </c>
      <c r="L637" s="78" t="str">
        <f>+IFERROR(VLOOKUP(B637,'ID1&amp;5'!K:L,2,FALSE),"-")</f>
        <v>-</v>
      </c>
      <c r="M637" s="79" t="str">
        <f>+IFERROR(VLOOKUP(CONCATENATE(A637,$B$10,B637),'ID1&amp;5'!B:J,9,FALSE),"-")</f>
        <v>-</v>
      </c>
      <c r="N637" s="79" t="str">
        <f>+IFERROR(VLOOKUP(CONCATENATE(A637,$C$10,C637),'ID1&amp;5'!B:J,8,FALSE),"-")</f>
        <v>-</v>
      </c>
      <c r="O637" s="78" t="str">
        <f>+IFERROR(VLOOKUP(C637,'ID1&amp;5'!K:L,2,FALSE),"-")</f>
        <v>-</v>
      </c>
      <c r="P637" s="79" t="str">
        <f>+IFERROR(VLOOKUP(CONCATENATE(A637,$C$10,C637),'ID1&amp;5'!B:J,9,FALSE),"-")</f>
        <v>-</v>
      </c>
      <c r="Q637" s="78" t="str">
        <f>+IFERROR(VLOOKUP(D637,'ID1&amp;5'!K:L,2,FALSE),"-")</f>
        <v>-</v>
      </c>
      <c r="R637" s="26" t="str">
        <f>+IFERROR(VLOOKUP(CONCATENATE(A637,$D$10,D637),'ID1&amp;5'!B:J,9,FALSE),"-")</f>
        <v>-</v>
      </c>
      <c r="S637" s="78" t="str">
        <f>+IFERROR(VLOOKUP(E637,'ID1&amp;5'!K:L,2,FALSE),"-")</f>
        <v>-</v>
      </c>
      <c r="T637" s="79" t="str">
        <f>+IFERROR(VLOOKUP(CONCATENATE(A637,$E$10,E637),'ID1&amp;5'!B:J,9,FALSE),"-")</f>
        <v>-</v>
      </c>
      <c r="U637" s="78" t="str">
        <f>+IFERROR(VLOOKUP(F637,'ID1&amp;5'!K:L,2,FALSE),"-")</f>
        <v>-</v>
      </c>
      <c r="V637" s="79" t="str">
        <f>+IFERROR(VLOOKUP(CONCATENATE(A637,$F$10,F637),'ID1&amp;5'!B:J,9,FALSE),"-")</f>
        <v>-</v>
      </c>
      <c r="W637" s="26" t="str">
        <f>+IFERROR(VLOOKUP(A637,'ID6&amp;7'!A:I,9,FALSE),"-")</f>
        <v>-</v>
      </c>
      <c r="X637" s="26" t="str">
        <f>+IFERROR(VLOOKUP(A637,'ID6&amp;7'!A:J,10,FALSE),"-")</f>
        <v>-</v>
      </c>
      <c r="Y637" s="26"/>
      <c r="Z637" s="27" t="str">
        <f t="shared" si="10"/>
        <v>Por iniciar</v>
      </c>
      <c r="AA637" s="65"/>
    </row>
    <row r="638" spans="1:27">
      <c r="A638" s="20"/>
      <c r="B638" s="60"/>
      <c r="C638" s="60"/>
      <c r="D638" s="60"/>
      <c r="E638" s="60"/>
      <c r="F638" s="60"/>
      <c r="G638" s="60"/>
      <c r="H638" s="65" t="s">
        <v>115</v>
      </c>
      <c r="I638" s="21" t="s">
        <v>1539</v>
      </c>
      <c r="J638" s="26">
        <f>+COUNTIF('ID1&amp;5'!G:G,'1. Status'!I638)</f>
        <v>0</v>
      </c>
      <c r="K638" s="79" t="str">
        <f>+IFERROR(VLOOKUP(CONCATENATE(A638,$B$10,B638),'ID1&amp;5'!B:J,8,FALSE),"-")</f>
        <v>-</v>
      </c>
      <c r="L638" s="78" t="str">
        <f>+IFERROR(VLOOKUP(B638,'ID1&amp;5'!K:L,2,FALSE),"-")</f>
        <v>-</v>
      </c>
      <c r="M638" s="79" t="str">
        <f>+IFERROR(VLOOKUP(CONCATENATE(A638,$B$10,B638),'ID1&amp;5'!B:J,9,FALSE),"-")</f>
        <v>-</v>
      </c>
      <c r="N638" s="79" t="str">
        <f>+IFERROR(VLOOKUP(CONCATENATE(A638,$C$10,C638),'ID1&amp;5'!B:J,8,FALSE),"-")</f>
        <v>-</v>
      </c>
      <c r="O638" s="78" t="str">
        <f>+IFERROR(VLOOKUP(C638,'ID1&amp;5'!K:L,2,FALSE),"-")</f>
        <v>-</v>
      </c>
      <c r="P638" s="79" t="str">
        <f>+IFERROR(VLOOKUP(CONCATENATE(A638,$C$10,C638),'ID1&amp;5'!B:J,9,FALSE),"-")</f>
        <v>-</v>
      </c>
      <c r="Q638" s="78" t="str">
        <f>+IFERROR(VLOOKUP(D638,'ID1&amp;5'!K:L,2,FALSE),"-")</f>
        <v>-</v>
      </c>
      <c r="R638" s="26" t="str">
        <f>+IFERROR(VLOOKUP(CONCATENATE(A638,$D$10,D638),'ID1&amp;5'!B:J,9,FALSE),"-")</f>
        <v>-</v>
      </c>
      <c r="S638" s="78" t="str">
        <f>+IFERROR(VLOOKUP(E638,'ID1&amp;5'!K:L,2,FALSE),"-")</f>
        <v>-</v>
      </c>
      <c r="T638" s="79" t="str">
        <f>+IFERROR(VLOOKUP(CONCATENATE(A638,$E$10,E638),'ID1&amp;5'!B:J,9,FALSE),"-")</f>
        <v>-</v>
      </c>
      <c r="U638" s="78" t="str">
        <f>+IFERROR(VLOOKUP(F638,'ID1&amp;5'!K:L,2,FALSE),"-")</f>
        <v>-</v>
      </c>
      <c r="V638" s="79" t="str">
        <f>+IFERROR(VLOOKUP(CONCATENATE(A638,$F$10,F638),'ID1&amp;5'!B:J,9,FALSE),"-")</f>
        <v>-</v>
      </c>
      <c r="W638" s="26" t="str">
        <f>+IFERROR(VLOOKUP(A638,'ID6&amp;7'!A:I,9,FALSE),"-")</f>
        <v>-</v>
      </c>
      <c r="X638" s="26" t="str">
        <f>+IFERROR(VLOOKUP(A638,'ID6&amp;7'!A:J,10,FALSE),"-")</f>
        <v>-</v>
      </c>
      <c r="Y638" s="26"/>
      <c r="Z638" s="27" t="str">
        <f t="shared" si="10"/>
        <v>Por iniciar</v>
      </c>
      <c r="AA638" s="65"/>
    </row>
    <row r="639" spans="1:27">
      <c r="A639" s="20"/>
      <c r="B639" s="60"/>
      <c r="C639" s="60"/>
      <c r="D639" s="60"/>
      <c r="E639" s="60"/>
      <c r="F639" s="60"/>
      <c r="G639" s="60"/>
      <c r="H639" s="65" t="s">
        <v>115</v>
      </c>
      <c r="I639" s="21" t="s">
        <v>1540</v>
      </c>
      <c r="J639" s="26">
        <f>+COUNTIF('ID1&amp;5'!G:G,'1. Status'!I639)</f>
        <v>0</v>
      </c>
      <c r="K639" s="79" t="str">
        <f>+IFERROR(VLOOKUP(CONCATENATE(A639,$B$10,B639),'ID1&amp;5'!B:J,8,FALSE),"-")</f>
        <v>-</v>
      </c>
      <c r="L639" s="78" t="str">
        <f>+IFERROR(VLOOKUP(B639,'ID1&amp;5'!K:L,2,FALSE),"-")</f>
        <v>-</v>
      </c>
      <c r="M639" s="79" t="str">
        <f>+IFERROR(VLOOKUP(CONCATENATE(A639,$B$10,B639),'ID1&amp;5'!B:J,9,FALSE),"-")</f>
        <v>-</v>
      </c>
      <c r="N639" s="79" t="str">
        <f>+IFERROR(VLOOKUP(CONCATENATE(A639,$C$10,C639),'ID1&amp;5'!B:J,8,FALSE),"-")</f>
        <v>-</v>
      </c>
      <c r="O639" s="78" t="str">
        <f>+IFERROR(VLOOKUP(C639,'ID1&amp;5'!K:L,2,FALSE),"-")</f>
        <v>-</v>
      </c>
      <c r="P639" s="79" t="str">
        <f>+IFERROR(VLOOKUP(CONCATENATE(A639,$C$10,C639),'ID1&amp;5'!B:J,9,FALSE),"-")</f>
        <v>-</v>
      </c>
      <c r="Q639" s="78" t="str">
        <f>+IFERROR(VLOOKUP(D639,'ID1&amp;5'!K:L,2,FALSE),"-")</f>
        <v>-</v>
      </c>
      <c r="R639" s="26" t="str">
        <f>+IFERROR(VLOOKUP(CONCATENATE(A639,$D$10,D639),'ID1&amp;5'!B:J,9,FALSE),"-")</f>
        <v>-</v>
      </c>
      <c r="S639" s="78" t="str">
        <f>+IFERROR(VLOOKUP(E639,'ID1&amp;5'!K:L,2,FALSE),"-")</f>
        <v>-</v>
      </c>
      <c r="T639" s="79" t="str">
        <f>+IFERROR(VLOOKUP(CONCATENATE(A639,$E$10,E639),'ID1&amp;5'!B:J,9,FALSE),"-")</f>
        <v>-</v>
      </c>
      <c r="U639" s="78" t="str">
        <f>+IFERROR(VLOOKUP(F639,'ID1&amp;5'!K:L,2,FALSE),"-")</f>
        <v>-</v>
      </c>
      <c r="V639" s="79" t="str">
        <f>+IFERROR(VLOOKUP(CONCATENATE(A639,$F$10,F639),'ID1&amp;5'!B:J,9,FALSE),"-")</f>
        <v>-</v>
      </c>
      <c r="W639" s="26" t="str">
        <f>+IFERROR(VLOOKUP(A639,'ID6&amp;7'!A:I,9,FALSE),"-")</f>
        <v>-</v>
      </c>
      <c r="X639" s="26" t="str">
        <f>+IFERROR(VLOOKUP(A639,'ID6&amp;7'!A:J,10,FALSE),"-")</f>
        <v>-</v>
      </c>
      <c r="Y639" s="26"/>
      <c r="Z639" s="27" t="str">
        <f t="shared" si="10"/>
        <v>Por iniciar</v>
      </c>
      <c r="AA639" s="65"/>
    </row>
    <row r="640" spans="1:27">
      <c r="A640" s="20"/>
      <c r="B640" s="60"/>
      <c r="C640" s="60"/>
      <c r="D640" s="60"/>
      <c r="E640" s="60"/>
      <c r="F640" s="60"/>
      <c r="G640" s="60"/>
      <c r="H640" s="65" t="s">
        <v>115</v>
      </c>
      <c r="I640" s="21" t="s">
        <v>1541</v>
      </c>
      <c r="J640" s="26">
        <f>+COUNTIF('ID1&amp;5'!G:G,'1. Status'!I640)</f>
        <v>0</v>
      </c>
      <c r="K640" s="79" t="str">
        <f>+IFERROR(VLOOKUP(CONCATENATE(A640,$B$10,B640),'ID1&amp;5'!B:J,8,FALSE),"-")</f>
        <v>-</v>
      </c>
      <c r="L640" s="78" t="str">
        <f>+IFERROR(VLOOKUP(B640,'ID1&amp;5'!K:L,2,FALSE),"-")</f>
        <v>-</v>
      </c>
      <c r="M640" s="79" t="str">
        <f>+IFERROR(VLOOKUP(CONCATENATE(A640,$B$10,B640),'ID1&amp;5'!B:J,9,FALSE),"-")</f>
        <v>-</v>
      </c>
      <c r="N640" s="79" t="str">
        <f>+IFERROR(VLOOKUP(CONCATENATE(A640,$C$10,C640),'ID1&amp;5'!B:J,8,FALSE),"-")</f>
        <v>-</v>
      </c>
      <c r="O640" s="78" t="str">
        <f>+IFERROR(VLOOKUP(C640,'ID1&amp;5'!K:L,2,FALSE),"-")</f>
        <v>-</v>
      </c>
      <c r="P640" s="79" t="str">
        <f>+IFERROR(VLOOKUP(CONCATENATE(A640,$C$10,C640),'ID1&amp;5'!B:J,9,FALSE),"-")</f>
        <v>-</v>
      </c>
      <c r="Q640" s="78" t="str">
        <f>+IFERROR(VLOOKUP(D640,'ID1&amp;5'!K:L,2,FALSE),"-")</f>
        <v>-</v>
      </c>
      <c r="R640" s="26" t="str">
        <f>+IFERROR(VLOOKUP(CONCATENATE(A640,$D$10,D640),'ID1&amp;5'!B:J,9,FALSE),"-")</f>
        <v>-</v>
      </c>
      <c r="S640" s="78" t="str">
        <f>+IFERROR(VLOOKUP(E640,'ID1&amp;5'!K:L,2,FALSE),"-")</f>
        <v>-</v>
      </c>
      <c r="T640" s="79" t="str">
        <f>+IFERROR(VLOOKUP(CONCATENATE(A640,$E$10,E640),'ID1&amp;5'!B:J,9,FALSE),"-")</f>
        <v>-</v>
      </c>
      <c r="U640" s="78" t="str">
        <f>+IFERROR(VLOOKUP(F640,'ID1&amp;5'!K:L,2,FALSE),"-")</f>
        <v>-</v>
      </c>
      <c r="V640" s="79" t="str">
        <f>+IFERROR(VLOOKUP(CONCATENATE(A640,$F$10,F640),'ID1&amp;5'!B:J,9,FALSE),"-")</f>
        <v>-</v>
      </c>
      <c r="W640" s="26" t="str">
        <f>+IFERROR(VLOOKUP(A640,'ID6&amp;7'!A:I,9,FALSE),"-")</f>
        <v>-</v>
      </c>
      <c r="X640" s="26" t="str">
        <f>+IFERROR(VLOOKUP(A640,'ID6&amp;7'!A:J,10,FALSE),"-")</f>
        <v>-</v>
      </c>
      <c r="Y640" s="26"/>
      <c r="Z640" s="27" t="str">
        <f t="shared" ref="Z640:Z687" si="11">+IF(J640=0,"Por iniciar",IF(OR(K640="-",M640="-",P640="-",R640="-",T640="-",V640="-"),"Em testes",IF(AND(M640=0,P640=0,R640=0,T640&lt;&gt;K640,V640&lt;&gt;K640),"OK","NOK")))</f>
        <v>Por iniciar</v>
      </c>
      <c r="AA640" s="65"/>
    </row>
    <row r="641" spans="1:27">
      <c r="A641" s="20"/>
      <c r="B641" s="60"/>
      <c r="C641" s="60"/>
      <c r="D641" s="60"/>
      <c r="E641" s="60"/>
      <c r="F641" s="60"/>
      <c r="G641" s="60"/>
      <c r="H641" s="65" t="s">
        <v>115</v>
      </c>
      <c r="I641" s="21" t="s">
        <v>1542</v>
      </c>
      <c r="J641" s="26">
        <f>+COUNTIF('ID1&amp;5'!G:G,'1. Status'!I641)</f>
        <v>0</v>
      </c>
      <c r="K641" s="79" t="str">
        <f>+IFERROR(VLOOKUP(CONCATENATE(A641,$B$10,B641),'ID1&amp;5'!B:J,8,FALSE),"-")</f>
        <v>-</v>
      </c>
      <c r="L641" s="78" t="str">
        <f>+IFERROR(VLOOKUP(B641,'ID1&amp;5'!K:L,2,FALSE),"-")</f>
        <v>-</v>
      </c>
      <c r="M641" s="79" t="str">
        <f>+IFERROR(VLOOKUP(CONCATENATE(A641,$B$10,B641),'ID1&amp;5'!B:J,9,FALSE),"-")</f>
        <v>-</v>
      </c>
      <c r="N641" s="79" t="str">
        <f>+IFERROR(VLOOKUP(CONCATENATE(A641,$C$10,C641),'ID1&amp;5'!B:J,8,FALSE),"-")</f>
        <v>-</v>
      </c>
      <c r="O641" s="78" t="str">
        <f>+IFERROR(VLOOKUP(C641,'ID1&amp;5'!K:L,2,FALSE),"-")</f>
        <v>-</v>
      </c>
      <c r="P641" s="79" t="str">
        <f>+IFERROR(VLOOKUP(CONCATENATE(A641,$C$10,C641),'ID1&amp;5'!B:J,9,FALSE),"-")</f>
        <v>-</v>
      </c>
      <c r="Q641" s="78" t="str">
        <f>+IFERROR(VLOOKUP(D641,'ID1&amp;5'!K:L,2,FALSE),"-")</f>
        <v>-</v>
      </c>
      <c r="R641" s="26" t="str">
        <f>+IFERROR(VLOOKUP(CONCATENATE(A641,$D$10,D641),'ID1&amp;5'!B:J,9,FALSE),"-")</f>
        <v>-</v>
      </c>
      <c r="S641" s="78" t="str">
        <f>+IFERROR(VLOOKUP(E641,'ID1&amp;5'!K:L,2,FALSE),"-")</f>
        <v>-</v>
      </c>
      <c r="T641" s="79" t="str">
        <f>+IFERROR(VLOOKUP(CONCATENATE(A641,$E$10,E641),'ID1&amp;5'!B:J,9,FALSE),"-")</f>
        <v>-</v>
      </c>
      <c r="U641" s="78" t="str">
        <f>+IFERROR(VLOOKUP(F641,'ID1&amp;5'!K:L,2,FALSE),"-")</f>
        <v>-</v>
      </c>
      <c r="V641" s="79" t="str">
        <f>+IFERROR(VLOOKUP(CONCATENATE(A641,$F$10,F641),'ID1&amp;5'!B:J,9,FALSE),"-")</f>
        <v>-</v>
      </c>
      <c r="W641" s="26" t="str">
        <f>+IFERROR(VLOOKUP(A641,'ID6&amp;7'!A:I,9,FALSE),"-")</f>
        <v>-</v>
      </c>
      <c r="X641" s="26" t="str">
        <f>+IFERROR(VLOOKUP(A641,'ID6&amp;7'!A:J,10,FALSE),"-")</f>
        <v>-</v>
      </c>
      <c r="Y641" s="26"/>
      <c r="Z641" s="27" t="str">
        <f t="shared" si="11"/>
        <v>Por iniciar</v>
      </c>
      <c r="AA641" s="65"/>
    </row>
    <row r="642" spans="1:27">
      <c r="A642" s="20"/>
      <c r="B642" s="60"/>
      <c r="C642" s="60"/>
      <c r="D642" s="60"/>
      <c r="E642" s="60"/>
      <c r="F642" s="60"/>
      <c r="G642" s="60"/>
      <c r="H642" s="65" t="s">
        <v>115</v>
      </c>
      <c r="I642" s="21" t="s">
        <v>1543</v>
      </c>
      <c r="J642" s="26">
        <f>+COUNTIF('ID1&amp;5'!G:G,'1. Status'!I642)</f>
        <v>0</v>
      </c>
      <c r="K642" s="79" t="str">
        <f>+IFERROR(VLOOKUP(CONCATENATE(A642,$B$10,B642),'ID1&amp;5'!B:J,8,FALSE),"-")</f>
        <v>-</v>
      </c>
      <c r="L642" s="78" t="str">
        <f>+IFERROR(VLOOKUP(B642,'ID1&amp;5'!K:L,2,FALSE),"-")</f>
        <v>-</v>
      </c>
      <c r="M642" s="79" t="str">
        <f>+IFERROR(VLOOKUP(CONCATENATE(A642,$B$10,B642),'ID1&amp;5'!B:J,9,FALSE),"-")</f>
        <v>-</v>
      </c>
      <c r="N642" s="79" t="str">
        <f>+IFERROR(VLOOKUP(CONCATENATE(A642,$C$10,C642),'ID1&amp;5'!B:J,8,FALSE),"-")</f>
        <v>-</v>
      </c>
      <c r="O642" s="78" t="str">
        <f>+IFERROR(VLOOKUP(C642,'ID1&amp;5'!K:L,2,FALSE),"-")</f>
        <v>-</v>
      </c>
      <c r="P642" s="79" t="str">
        <f>+IFERROR(VLOOKUP(CONCATENATE(A642,$C$10,C642),'ID1&amp;5'!B:J,9,FALSE),"-")</f>
        <v>-</v>
      </c>
      <c r="Q642" s="78" t="str">
        <f>+IFERROR(VLOOKUP(D642,'ID1&amp;5'!K:L,2,FALSE),"-")</f>
        <v>-</v>
      </c>
      <c r="R642" s="26" t="str">
        <f>+IFERROR(VLOOKUP(CONCATENATE(A642,$D$10,D642),'ID1&amp;5'!B:J,9,FALSE),"-")</f>
        <v>-</v>
      </c>
      <c r="S642" s="78" t="str">
        <f>+IFERROR(VLOOKUP(E642,'ID1&amp;5'!K:L,2,FALSE),"-")</f>
        <v>-</v>
      </c>
      <c r="T642" s="79" t="str">
        <f>+IFERROR(VLOOKUP(CONCATENATE(A642,$E$10,E642),'ID1&amp;5'!B:J,9,FALSE),"-")</f>
        <v>-</v>
      </c>
      <c r="U642" s="78" t="str">
        <f>+IFERROR(VLOOKUP(F642,'ID1&amp;5'!K:L,2,FALSE),"-")</f>
        <v>-</v>
      </c>
      <c r="V642" s="79" t="str">
        <f>+IFERROR(VLOOKUP(CONCATENATE(A642,$F$10,F642),'ID1&amp;5'!B:J,9,FALSE),"-")</f>
        <v>-</v>
      </c>
      <c r="W642" s="26" t="str">
        <f>+IFERROR(VLOOKUP(A642,'ID6&amp;7'!A:I,9,FALSE),"-")</f>
        <v>-</v>
      </c>
      <c r="X642" s="26" t="str">
        <f>+IFERROR(VLOOKUP(A642,'ID6&amp;7'!A:J,10,FALSE),"-")</f>
        <v>-</v>
      </c>
      <c r="Y642" s="26"/>
      <c r="Z642" s="27" t="str">
        <f t="shared" si="11"/>
        <v>Por iniciar</v>
      </c>
      <c r="AA642" s="65"/>
    </row>
    <row r="643" spans="1:27">
      <c r="A643" s="20"/>
      <c r="B643" s="60"/>
      <c r="C643" s="60"/>
      <c r="D643" s="60"/>
      <c r="E643" s="60"/>
      <c r="F643" s="60"/>
      <c r="G643" s="60"/>
      <c r="H643" s="65" t="s">
        <v>115</v>
      </c>
      <c r="I643" s="21" t="s">
        <v>1544</v>
      </c>
      <c r="J643" s="26">
        <f>+COUNTIF('ID1&amp;5'!G:G,'1. Status'!I643)</f>
        <v>0</v>
      </c>
      <c r="K643" s="79" t="str">
        <f>+IFERROR(VLOOKUP(CONCATENATE(A643,$B$10,B643),'ID1&amp;5'!B:J,8,FALSE),"-")</f>
        <v>-</v>
      </c>
      <c r="L643" s="78" t="str">
        <f>+IFERROR(VLOOKUP(B643,'ID1&amp;5'!K:L,2,FALSE),"-")</f>
        <v>-</v>
      </c>
      <c r="M643" s="79" t="str">
        <f>+IFERROR(VLOOKUP(CONCATENATE(A643,$B$10,B643),'ID1&amp;5'!B:J,9,FALSE),"-")</f>
        <v>-</v>
      </c>
      <c r="N643" s="79" t="str">
        <f>+IFERROR(VLOOKUP(CONCATENATE(A643,$C$10,C643),'ID1&amp;5'!B:J,8,FALSE),"-")</f>
        <v>-</v>
      </c>
      <c r="O643" s="78" t="str">
        <f>+IFERROR(VLOOKUP(C643,'ID1&amp;5'!K:L,2,FALSE),"-")</f>
        <v>-</v>
      </c>
      <c r="P643" s="79" t="str">
        <f>+IFERROR(VLOOKUP(CONCATENATE(A643,$C$10,C643),'ID1&amp;5'!B:J,9,FALSE),"-")</f>
        <v>-</v>
      </c>
      <c r="Q643" s="78" t="str">
        <f>+IFERROR(VLOOKUP(D643,'ID1&amp;5'!K:L,2,FALSE),"-")</f>
        <v>-</v>
      </c>
      <c r="R643" s="26" t="str">
        <f>+IFERROR(VLOOKUP(CONCATENATE(A643,$D$10,D643),'ID1&amp;5'!B:J,9,FALSE),"-")</f>
        <v>-</v>
      </c>
      <c r="S643" s="78" t="str">
        <f>+IFERROR(VLOOKUP(E643,'ID1&amp;5'!K:L,2,FALSE),"-")</f>
        <v>-</v>
      </c>
      <c r="T643" s="79" t="str">
        <f>+IFERROR(VLOOKUP(CONCATENATE(A643,$E$10,E643),'ID1&amp;5'!B:J,9,FALSE),"-")</f>
        <v>-</v>
      </c>
      <c r="U643" s="78" t="str">
        <f>+IFERROR(VLOOKUP(F643,'ID1&amp;5'!K:L,2,FALSE),"-")</f>
        <v>-</v>
      </c>
      <c r="V643" s="79" t="str">
        <f>+IFERROR(VLOOKUP(CONCATENATE(A643,$F$10,F643),'ID1&amp;5'!B:J,9,FALSE),"-")</f>
        <v>-</v>
      </c>
      <c r="W643" s="26" t="str">
        <f>+IFERROR(VLOOKUP(A643,'ID6&amp;7'!A:I,9,FALSE),"-")</f>
        <v>-</v>
      </c>
      <c r="X643" s="26" t="str">
        <f>+IFERROR(VLOOKUP(A643,'ID6&amp;7'!A:J,10,FALSE),"-")</f>
        <v>-</v>
      </c>
      <c r="Y643" s="26"/>
      <c r="Z643" s="27" t="str">
        <f t="shared" si="11"/>
        <v>Por iniciar</v>
      </c>
      <c r="AA643" s="65"/>
    </row>
    <row r="644" spans="1:27">
      <c r="A644" s="20"/>
      <c r="B644" s="60"/>
      <c r="C644" s="60"/>
      <c r="D644" s="60"/>
      <c r="E644" s="60"/>
      <c r="F644" s="60"/>
      <c r="G644" s="60"/>
      <c r="H644" s="65" t="s">
        <v>115</v>
      </c>
      <c r="I644" s="21" t="s">
        <v>1545</v>
      </c>
      <c r="J644" s="26">
        <f>+COUNTIF('ID1&amp;5'!G:G,'1. Status'!I644)</f>
        <v>0</v>
      </c>
      <c r="K644" s="79" t="str">
        <f>+IFERROR(VLOOKUP(CONCATENATE(A644,$B$10,B644),'ID1&amp;5'!B:J,8,FALSE),"-")</f>
        <v>-</v>
      </c>
      <c r="L644" s="78" t="str">
        <f>+IFERROR(VLOOKUP(B644,'ID1&amp;5'!K:L,2,FALSE),"-")</f>
        <v>-</v>
      </c>
      <c r="M644" s="79" t="str">
        <f>+IFERROR(VLOOKUP(CONCATENATE(A644,$B$10,B644),'ID1&amp;5'!B:J,9,FALSE),"-")</f>
        <v>-</v>
      </c>
      <c r="N644" s="79" t="str">
        <f>+IFERROR(VLOOKUP(CONCATENATE(A644,$C$10,C644),'ID1&amp;5'!B:J,8,FALSE),"-")</f>
        <v>-</v>
      </c>
      <c r="O644" s="78" t="str">
        <f>+IFERROR(VLOOKUP(C644,'ID1&amp;5'!K:L,2,FALSE),"-")</f>
        <v>-</v>
      </c>
      <c r="P644" s="79" t="str">
        <f>+IFERROR(VLOOKUP(CONCATENATE(A644,$C$10,C644),'ID1&amp;5'!B:J,9,FALSE),"-")</f>
        <v>-</v>
      </c>
      <c r="Q644" s="78" t="str">
        <f>+IFERROR(VLOOKUP(D644,'ID1&amp;5'!K:L,2,FALSE),"-")</f>
        <v>-</v>
      </c>
      <c r="R644" s="26" t="str">
        <f>+IFERROR(VLOOKUP(CONCATENATE(A644,$D$10,D644),'ID1&amp;5'!B:J,9,FALSE),"-")</f>
        <v>-</v>
      </c>
      <c r="S644" s="78" t="str">
        <f>+IFERROR(VLOOKUP(E644,'ID1&amp;5'!K:L,2,FALSE),"-")</f>
        <v>-</v>
      </c>
      <c r="T644" s="79" t="str">
        <f>+IFERROR(VLOOKUP(CONCATENATE(A644,$E$10,E644),'ID1&amp;5'!B:J,9,FALSE),"-")</f>
        <v>-</v>
      </c>
      <c r="U644" s="78" t="str">
        <f>+IFERROR(VLOOKUP(F644,'ID1&amp;5'!K:L,2,FALSE),"-")</f>
        <v>-</v>
      </c>
      <c r="V644" s="79" t="str">
        <f>+IFERROR(VLOOKUP(CONCATENATE(A644,$F$10,F644),'ID1&amp;5'!B:J,9,FALSE),"-")</f>
        <v>-</v>
      </c>
      <c r="W644" s="26" t="str">
        <f>+IFERROR(VLOOKUP(A644,'ID6&amp;7'!A:I,9,FALSE),"-")</f>
        <v>-</v>
      </c>
      <c r="X644" s="26" t="str">
        <f>+IFERROR(VLOOKUP(A644,'ID6&amp;7'!A:J,10,FALSE),"-")</f>
        <v>-</v>
      </c>
      <c r="Y644" s="26"/>
      <c r="Z644" s="27" t="str">
        <f t="shared" si="11"/>
        <v>Por iniciar</v>
      </c>
      <c r="AA644" s="65"/>
    </row>
    <row r="645" spans="1:27">
      <c r="A645" s="20"/>
      <c r="B645" s="60"/>
      <c r="C645" s="60"/>
      <c r="D645" s="60"/>
      <c r="E645" s="60"/>
      <c r="F645" s="60"/>
      <c r="G645" s="60"/>
      <c r="H645" s="65" t="s">
        <v>115</v>
      </c>
      <c r="I645" s="21" t="s">
        <v>1546</v>
      </c>
      <c r="J645" s="26">
        <f>+COUNTIF('ID1&amp;5'!G:G,'1. Status'!I645)</f>
        <v>0</v>
      </c>
      <c r="K645" s="79" t="str">
        <f>+IFERROR(VLOOKUP(CONCATENATE(A645,$B$10,B645),'ID1&amp;5'!B:J,8,FALSE),"-")</f>
        <v>-</v>
      </c>
      <c r="L645" s="78" t="str">
        <f>+IFERROR(VLOOKUP(B645,'ID1&amp;5'!K:L,2,FALSE),"-")</f>
        <v>-</v>
      </c>
      <c r="M645" s="79" t="str">
        <f>+IFERROR(VLOOKUP(CONCATENATE(A645,$B$10,B645),'ID1&amp;5'!B:J,9,FALSE),"-")</f>
        <v>-</v>
      </c>
      <c r="N645" s="79" t="str">
        <f>+IFERROR(VLOOKUP(CONCATENATE(A645,$C$10,C645),'ID1&amp;5'!B:J,8,FALSE),"-")</f>
        <v>-</v>
      </c>
      <c r="O645" s="78" t="str">
        <f>+IFERROR(VLOOKUP(C645,'ID1&amp;5'!K:L,2,FALSE),"-")</f>
        <v>-</v>
      </c>
      <c r="P645" s="79" t="str">
        <f>+IFERROR(VLOOKUP(CONCATENATE(A645,$C$10,C645),'ID1&amp;5'!B:J,9,FALSE),"-")</f>
        <v>-</v>
      </c>
      <c r="Q645" s="78" t="str">
        <f>+IFERROR(VLOOKUP(D645,'ID1&amp;5'!K:L,2,FALSE),"-")</f>
        <v>-</v>
      </c>
      <c r="R645" s="26" t="str">
        <f>+IFERROR(VLOOKUP(CONCATENATE(A645,$D$10,D645),'ID1&amp;5'!B:J,9,FALSE),"-")</f>
        <v>-</v>
      </c>
      <c r="S645" s="78" t="str">
        <f>+IFERROR(VLOOKUP(E645,'ID1&amp;5'!K:L,2,FALSE),"-")</f>
        <v>-</v>
      </c>
      <c r="T645" s="79" t="str">
        <f>+IFERROR(VLOOKUP(CONCATENATE(A645,$E$10,E645),'ID1&amp;5'!B:J,9,FALSE),"-")</f>
        <v>-</v>
      </c>
      <c r="U645" s="78" t="str">
        <f>+IFERROR(VLOOKUP(F645,'ID1&amp;5'!K:L,2,FALSE),"-")</f>
        <v>-</v>
      </c>
      <c r="V645" s="79" t="str">
        <f>+IFERROR(VLOOKUP(CONCATENATE(A645,$F$10,F645),'ID1&amp;5'!B:J,9,FALSE),"-")</f>
        <v>-</v>
      </c>
      <c r="W645" s="26" t="str">
        <f>+IFERROR(VLOOKUP(A645,'ID6&amp;7'!A:I,9,FALSE),"-")</f>
        <v>-</v>
      </c>
      <c r="X645" s="26" t="str">
        <f>+IFERROR(VLOOKUP(A645,'ID6&amp;7'!A:J,10,FALSE),"-")</f>
        <v>-</v>
      </c>
      <c r="Y645" s="26"/>
      <c r="Z645" s="27" t="str">
        <f t="shared" si="11"/>
        <v>Por iniciar</v>
      </c>
      <c r="AA645" s="65"/>
    </row>
    <row r="646" spans="1:27">
      <c r="A646" s="20"/>
      <c r="B646" s="60"/>
      <c r="C646" s="60"/>
      <c r="D646" s="60"/>
      <c r="E646" s="60"/>
      <c r="F646" s="60"/>
      <c r="G646" s="60"/>
      <c r="H646" s="65" t="s">
        <v>115</v>
      </c>
      <c r="I646" s="21" t="s">
        <v>1547</v>
      </c>
      <c r="J646" s="26">
        <f>+COUNTIF('ID1&amp;5'!G:G,'1. Status'!I646)</f>
        <v>0</v>
      </c>
      <c r="K646" s="79" t="str">
        <f>+IFERROR(VLOOKUP(CONCATENATE(A646,$B$10,B646),'ID1&amp;5'!B:J,8,FALSE),"-")</f>
        <v>-</v>
      </c>
      <c r="L646" s="78" t="str">
        <f>+IFERROR(VLOOKUP(B646,'ID1&amp;5'!K:L,2,FALSE),"-")</f>
        <v>-</v>
      </c>
      <c r="M646" s="79" t="str">
        <f>+IFERROR(VLOOKUP(CONCATENATE(A646,$B$10,B646),'ID1&amp;5'!B:J,9,FALSE),"-")</f>
        <v>-</v>
      </c>
      <c r="N646" s="79" t="str">
        <f>+IFERROR(VLOOKUP(CONCATENATE(A646,$C$10,C646),'ID1&amp;5'!B:J,8,FALSE),"-")</f>
        <v>-</v>
      </c>
      <c r="O646" s="78" t="str">
        <f>+IFERROR(VLOOKUP(C646,'ID1&amp;5'!K:L,2,FALSE),"-")</f>
        <v>-</v>
      </c>
      <c r="P646" s="79" t="str">
        <f>+IFERROR(VLOOKUP(CONCATENATE(A646,$C$10,C646),'ID1&amp;5'!B:J,9,FALSE),"-")</f>
        <v>-</v>
      </c>
      <c r="Q646" s="78" t="str">
        <f>+IFERROR(VLOOKUP(D646,'ID1&amp;5'!K:L,2,FALSE),"-")</f>
        <v>-</v>
      </c>
      <c r="R646" s="26" t="str">
        <f>+IFERROR(VLOOKUP(CONCATENATE(A646,$D$10,D646),'ID1&amp;5'!B:J,9,FALSE),"-")</f>
        <v>-</v>
      </c>
      <c r="S646" s="78" t="str">
        <f>+IFERROR(VLOOKUP(E646,'ID1&amp;5'!K:L,2,FALSE),"-")</f>
        <v>-</v>
      </c>
      <c r="T646" s="79" t="str">
        <f>+IFERROR(VLOOKUP(CONCATENATE(A646,$E$10,E646),'ID1&amp;5'!B:J,9,FALSE),"-")</f>
        <v>-</v>
      </c>
      <c r="U646" s="78" t="str">
        <f>+IFERROR(VLOOKUP(F646,'ID1&amp;5'!K:L,2,FALSE),"-")</f>
        <v>-</v>
      </c>
      <c r="V646" s="79" t="str">
        <f>+IFERROR(VLOOKUP(CONCATENATE(A646,$F$10,F646),'ID1&amp;5'!B:J,9,FALSE),"-")</f>
        <v>-</v>
      </c>
      <c r="W646" s="26" t="str">
        <f>+IFERROR(VLOOKUP(A646,'ID6&amp;7'!A:I,9,FALSE),"-")</f>
        <v>-</v>
      </c>
      <c r="X646" s="26" t="str">
        <f>+IFERROR(VLOOKUP(A646,'ID6&amp;7'!A:J,10,FALSE),"-")</f>
        <v>-</v>
      </c>
      <c r="Y646" s="26"/>
      <c r="Z646" s="27" t="str">
        <f t="shared" si="11"/>
        <v>Por iniciar</v>
      </c>
      <c r="AA646" s="65"/>
    </row>
    <row r="647" spans="1:27">
      <c r="A647" s="20"/>
      <c r="B647" s="60"/>
      <c r="C647" s="60"/>
      <c r="D647" s="60"/>
      <c r="E647" s="60"/>
      <c r="F647" s="60"/>
      <c r="G647" s="60"/>
      <c r="H647" s="65" t="s">
        <v>115</v>
      </c>
      <c r="I647" s="21" t="s">
        <v>1548</v>
      </c>
      <c r="J647" s="26">
        <f>+COUNTIF('ID1&amp;5'!G:G,'1. Status'!I647)</f>
        <v>0</v>
      </c>
      <c r="K647" s="79" t="str">
        <f>+IFERROR(VLOOKUP(CONCATENATE(A647,$B$10,B647),'ID1&amp;5'!B:J,8,FALSE),"-")</f>
        <v>-</v>
      </c>
      <c r="L647" s="78" t="str">
        <f>+IFERROR(VLOOKUP(B647,'ID1&amp;5'!K:L,2,FALSE),"-")</f>
        <v>-</v>
      </c>
      <c r="M647" s="79" t="str">
        <f>+IFERROR(VLOOKUP(CONCATENATE(A647,$B$10,B647),'ID1&amp;5'!B:J,9,FALSE),"-")</f>
        <v>-</v>
      </c>
      <c r="N647" s="79" t="str">
        <f>+IFERROR(VLOOKUP(CONCATENATE(A647,$C$10,C647),'ID1&amp;5'!B:J,8,FALSE),"-")</f>
        <v>-</v>
      </c>
      <c r="O647" s="78" t="str">
        <f>+IFERROR(VLOOKUP(C647,'ID1&amp;5'!K:L,2,FALSE),"-")</f>
        <v>-</v>
      </c>
      <c r="P647" s="79" t="str">
        <f>+IFERROR(VLOOKUP(CONCATENATE(A647,$C$10,C647),'ID1&amp;5'!B:J,9,FALSE),"-")</f>
        <v>-</v>
      </c>
      <c r="Q647" s="78" t="str">
        <f>+IFERROR(VLOOKUP(D647,'ID1&amp;5'!K:L,2,FALSE),"-")</f>
        <v>-</v>
      </c>
      <c r="R647" s="26" t="str">
        <f>+IFERROR(VLOOKUP(CONCATENATE(A647,$D$10,D647),'ID1&amp;5'!B:J,9,FALSE),"-")</f>
        <v>-</v>
      </c>
      <c r="S647" s="78" t="str">
        <f>+IFERROR(VLOOKUP(E647,'ID1&amp;5'!K:L,2,FALSE),"-")</f>
        <v>-</v>
      </c>
      <c r="T647" s="79" t="str">
        <f>+IFERROR(VLOOKUP(CONCATENATE(A647,$E$10,E647),'ID1&amp;5'!B:J,9,FALSE),"-")</f>
        <v>-</v>
      </c>
      <c r="U647" s="78" t="str">
        <f>+IFERROR(VLOOKUP(F647,'ID1&amp;5'!K:L,2,FALSE),"-")</f>
        <v>-</v>
      </c>
      <c r="V647" s="79" t="str">
        <f>+IFERROR(VLOOKUP(CONCATENATE(A647,$F$10,F647),'ID1&amp;5'!B:J,9,FALSE),"-")</f>
        <v>-</v>
      </c>
      <c r="W647" s="26" t="str">
        <f>+IFERROR(VLOOKUP(A647,'ID6&amp;7'!A:I,9,FALSE),"-")</f>
        <v>-</v>
      </c>
      <c r="X647" s="26" t="str">
        <f>+IFERROR(VLOOKUP(A647,'ID6&amp;7'!A:J,10,FALSE),"-")</f>
        <v>-</v>
      </c>
      <c r="Y647" s="26"/>
      <c r="Z647" s="27" t="str">
        <f t="shared" si="11"/>
        <v>Por iniciar</v>
      </c>
      <c r="AA647" s="65"/>
    </row>
    <row r="648" spans="1:27">
      <c r="A648" s="20"/>
      <c r="B648" s="60"/>
      <c r="C648" s="60"/>
      <c r="D648" s="60"/>
      <c r="E648" s="60"/>
      <c r="F648" s="60"/>
      <c r="G648" s="60"/>
      <c r="H648" s="65" t="s">
        <v>115</v>
      </c>
      <c r="I648" s="21" t="s">
        <v>1549</v>
      </c>
      <c r="J648" s="26">
        <f>+COUNTIF('ID1&amp;5'!G:G,'1. Status'!I648)</f>
        <v>0</v>
      </c>
      <c r="K648" s="79" t="str">
        <f>+IFERROR(VLOOKUP(CONCATENATE(A648,$B$10,B648),'ID1&amp;5'!B:J,8,FALSE),"-")</f>
        <v>-</v>
      </c>
      <c r="L648" s="78" t="str">
        <f>+IFERROR(VLOOKUP(B648,'ID1&amp;5'!K:L,2,FALSE),"-")</f>
        <v>-</v>
      </c>
      <c r="M648" s="79" t="str">
        <f>+IFERROR(VLOOKUP(CONCATENATE(A648,$B$10,B648),'ID1&amp;5'!B:J,9,FALSE),"-")</f>
        <v>-</v>
      </c>
      <c r="N648" s="79" t="str">
        <f>+IFERROR(VLOOKUP(CONCATENATE(A648,$C$10,C648),'ID1&amp;5'!B:J,8,FALSE),"-")</f>
        <v>-</v>
      </c>
      <c r="O648" s="78" t="str">
        <f>+IFERROR(VLOOKUP(C648,'ID1&amp;5'!K:L,2,FALSE),"-")</f>
        <v>-</v>
      </c>
      <c r="P648" s="79" t="str">
        <f>+IFERROR(VLOOKUP(CONCATENATE(A648,$C$10,C648),'ID1&amp;5'!B:J,9,FALSE),"-")</f>
        <v>-</v>
      </c>
      <c r="Q648" s="78" t="str">
        <f>+IFERROR(VLOOKUP(D648,'ID1&amp;5'!K:L,2,FALSE),"-")</f>
        <v>-</v>
      </c>
      <c r="R648" s="26" t="str">
        <f>+IFERROR(VLOOKUP(CONCATENATE(A648,$D$10,D648),'ID1&amp;5'!B:J,9,FALSE),"-")</f>
        <v>-</v>
      </c>
      <c r="S648" s="78" t="str">
        <f>+IFERROR(VLOOKUP(E648,'ID1&amp;5'!K:L,2,FALSE),"-")</f>
        <v>-</v>
      </c>
      <c r="T648" s="79" t="str">
        <f>+IFERROR(VLOOKUP(CONCATENATE(A648,$E$10,E648),'ID1&amp;5'!B:J,9,FALSE),"-")</f>
        <v>-</v>
      </c>
      <c r="U648" s="78" t="str">
        <f>+IFERROR(VLOOKUP(F648,'ID1&amp;5'!K:L,2,FALSE),"-")</f>
        <v>-</v>
      </c>
      <c r="V648" s="79" t="str">
        <f>+IFERROR(VLOOKUP(CONCATENATE(A648,$F$10,F648),'ID1&amp;5'!B:J,9,FALSE),"-")</f>
        <v>-</v>
      </c>
      <c r="W648" s="26" t="str">
        <f>+IFERROR(VLOOKUP(A648,'ID6&amp;7'!A:I,9,FALSE),"-")</f>
        <v>-</v>
      </c>
      <c r="X648" s="26" t="str">
        <f>+IFERROR(VLOOKUP(A648,'ID6&amp;7'!A:J,10,FALSE),"-")</f>
        <v>-</v>
      </c>
      <c r="Y648" s="26"/>
      <c r="Z648" s="27" t="str">
        <f t="shared" si="11"/>
        <v>Por iniciar</v>
      </c>
      <c r="AA648" s="65"/>
    </row>
    <row r="649" spans="1:27">
      <c r="A649" s="20"/>
      <c r="B649" s="60"/>
      <c r="C649" s="60"/>
      <c r="D649" s="60"/>
      <c r="E649" s="60"/>
      <c r="F649" s="60"/>
      <c r="G649" s="60"/>
      <c r="H649" s="65" t="s">
        <v>115</v>
      </c>
      <c r="I649" s="21" t="s">
        <v>1550</v>
      </c>
      <c r="J649" s="26">
        <f>+COUNTIF('ID1&amp;5'!G:G,'1. Status'!I649)</f>
        <v>0</v>
      </c>
      <c r="K649" s="79" t="str">
        <f>+IFERROR(VLOOKUP(CONCATENATE(A649,$B$10,B649),'ID1&amp;5'!B:J,8,FALSE),"-")</f>
        <v>-</v>
      </c>
      <c r="L649" s="78" t="str">
        <f>+IFERROR(VLOOKUP(B649,'ID1&amp;5'!K:L,2,FALSE),"-")</f>
        <v>-</v>
      </c>
      <c r="M649" s="79" t="str">
        <f>+IFERROR(VLOOKUP(CONCATENATE(A649,$B$10,B649),'ID1&amp;5'!B:J,9,FALSE),"-")</f>
        <v>-</v>
      </c>
      <c r="N649" s="79" t="str">
        <f>+IFERROR(VLOOKUP(CONCATENATE(A649,$C$10,C649),'ID1&amp;5'!B:J,8,FALSE),"-")</f>
        <v>-</v>
      </c>
      <c r="O649" s="78" t="str">
        <f>+IFERROR(VLOOKUP(C649,'ID1&amp;5'!K:L,2,FALSE),"-")</f>
        <v>-</v>
      </c>
      <c r="P649" s="79" t="str">
        <f>+IFERROR(VLOOKUP(CONCATENATE(A649,$C$10,C649),'ID1&amp;5'!B:J,9,FALSE),"-")</f>
        <v>-</v>
      </c>
      <c r="Q649" s="78" t="str">
        <f>+IFERROR(VLOOKUP(D649,'ID1&amp;5'!K:L,2,FALSE),"-")</f>
        <v>-</v>
      </c>
      <c r="R649" s="26" t="str">
        <f>+IFERROR(VLOOKUP(CONCATENATE(A649,$D$10,D649),'ID1&amp;5'!B:J,9,FALSE),"-")</f>
        <v>-</v>
      </c>
      <c r="S649" s="78" t="str">
        <f>+IFERROR(VLOOKUP(E649,'ID1&amp;5'!K:L,2,FALSE),"-")</f>
        <v>-</v>
      </c>
      <c r="T649" s="79" t="str">
        <f>+IFERROR(VLOOKUP(CONCATENATE(A649,$E$10,E649),'ID1&amp;5'!B:J,9,FALSE),"-")</f>
        <v>-</v>
      </c>
      <c r="U649" s="78" t="str">
        <f>+IFERROR(VLOOKUP(F649,'ID1&amp;5'!K:L,2,FALSE),"-")</f>
        <v>-</v>
      </c>
      <c r="V649" s="79" t="str">
        <f>+IFERROR(VLOOKUP(CONCATENATE(A649,$F$10,F649),'ID1&amp;5'!B:J,9,FALSE),"-")</f>
        <v>-</v>
      </c>
      <c r="W649" s="26" t="str">
        <f>+IFERROR(VLOOKUP(A649,'ID6&amp;7'!A:I,9,FALSE),"-")</f>
        <v>-</v>
      </c>
      <c r="X649" s="26" t="str">
        <f>+IFERROR(VLOOKUP(A649,'ID6&amp;7'!A:J,10,FALSE),"-")</f>
        <v>-</v>
      </c>
      <c r="Y649" s="26"/>
      <c r="Z649" s="27" t="str">
        <f t="shared" si="11"/>
        <v>Por iniciar</v>
      </c>
      <c r="AA649" s="65"/>
    </row>
    <row r="650" spans="1:27">
      <c r="A650" s="20"/>
      <c r="B650" s="60"/>
      <c r="C650" s="60"/>
      <c r="D650" s="60"/>
      <c r="E650" s="60"/>
      <c r="F650" s="60"/>
      <c r="G650" s="60"/>
      <c r="H650" s="65" t="s">
        <v>115</v>
      </c>
      <c r="I650" s="21" t="s">
        <v>1551</v>
      </c>
      <c r="J650" s="26">
        <f>+COUNTIF('ID1&amp;5'!G:G,'1. Status'!I650)</f>
        <v>0</v>
      </c>
      <c r="K650" s="79" t="str">
        <f>+IFERROR(VLOOKUP(CONCATENATE(A650,$B$10,B650),'ID1&amp;5'!B:J,8,FALSE),"-")</f>
        <v>-</v>
      </c>
      <c r="L650" s="78" t="str">
        <f>+IFERROR(VLOOKUP(B650,'ID1&amp;5'!K:L,2,FALSE),"-")</f>
        <v>-</v>
      </c>
      <c r="M650" s="79" t="str">
        <f>+IFERROR(VLOOKUP(CONCATENATE(A650,$B$10,B650),'ID1&amp;5'!B:J,9,FALSE),"-")</f>
        <v>-</v>
      </c>
      <c r="N650" s="79" t="str">
        <f>+IFERROR(VLOOKUP(CONCATENATE(A650,$C$10,C650),'ID1&amp;5'!B:J,8,FALSE),"-")</f>
        <v>-</v>
      </c>
      <c r="O650" s="78" t="str">
        <f>+IFERROR(VLOOKUP(C650,'ID1&amp;5'!K:L,2,FALSE),"-")</f>
        <v>-</v>
      </c>
      <c r="P650" s="79" t="str">
        <f>+IFERROR(VLOOKUP(CONCATENATE(A650,$C$10,C650),'ID1&amp;5'!B:J,9,FALSE),"-")</f>
        <v>-</v>
      </c>
      <c r="Q650" s="78" t="str">
        <f>+IFERROR(VLOOKUP(D650,'ID1&amp;5'!K:L,2,FALSE),"-")</f>
        <v>-</v>
      </c>
      <c r="R650" s="26" t="str">
        <f>+IFERROR(VLOOKUP(CONCATENATE(A650,$D$10,D650),'ID1&amp;5'!B:J,9,FALSE),"-")</f>
        <v>-</v>
      </c>
      <c r="S650" s="78" t="str">
        <f>+IFERROR(VLOOKUP(E650,'ID1&amp;5'!K:L,2,FALSE),"-")</f>
        <v>-</v>
      </c>
      <c r="T650" s="79" t="str">
        <f>+IFERROR(VLOOKUP(CONCATENATE(A650,$E$10,E650),'ID1&amp;5'!B:J,9,FALSE),"-")</f>
        <v>-</v>
      </c>
      <c r="U650" s="78" t="str">
        <f>+IFERROR(VLOOKUP(F650,'ID1&amp;5'!K:L,2,FALSE),"-")</f>
        <v>-</v>
      </c>
      <c r="V650" s="79" t="str">
        <f>+IFERROR(VLOOKUP(CONCATENATE(A650,$F$10,F650),'ID1&amp;5'!B:J,9,FALSE),"-")</f>
        <v>-</v>
      </c>
      <c r="W650" s="26" t="str">
        <f>+IFERROR(VLOOKUP(A650,'ID6&amp;7'!A:I,9,FALSE),"-")</f>
        <v>-</v>
      </c>
      <c r="X650" s="26" t="str">
        <f>+IFERROR(VLOOKUP(A650,'ID6&amp;7'!A:J,10,FALSE),"-")</f>
        <v>-</v>
      </c>
      <c r="Y650" s="26"/>
      <c r="Z650" s="27" t="str">
        <f t="shared" si="11"/>
        <v>Por iniciar</v>
      </c>
      <c r="AA650" s="65"/>
    </row>
    <row r="651" spans="1:27">
      <c r="A651" s="20"/>
      <c r="B651" s="60"/>
      <c r="C651" s="60"/>
      <c r="D651" s="60"/>
      <c r="E651" s="60"/>
      <c r="F651" s="60"/>
      <c r="G651" s="60"/>
      <c r="H651" s="65" t="s">
        <v>115</v>
      </c>
      <c r="I651" s="21" t="s">
        <v>1552</v>
      </c>
      <c r="J651" s="26">
        <f>+COUNTIF('ID1&amp;5'!G:G,'1. Status'!I651)</f>
        <v>0</v>
      </c>
      <c r="K651" s="79" t="str">
        <f>+IFERROR(VLOOKUP(CONCATENATE(A651,$B$10,B651),'ID1&amp;5'!B:J,8,FALSE),"-")</f>
        <v>-</v>
      </c>
      <c r="L651" s="78" t="str">
        <f>+IFERROR(VLOOKUP(B651,'ID1&amp;5'!K:L,2,FALSE),"-")</f>
        <v>-</v>
      </c>
      <c r="M651" s="79" t="str">
        <f>+IFERROR(VLOOKUP(CONCATENATE(A651,$B$10,B651),'ID1&amp;5'!B:J,9,FALSE),"-")</f>
        <v>-</v>
      </c>
      <c r="N651" s="79" t="str">
        <f>+IFERROR(VLOOKUP(CONCATENATE(A651,$C$10,C651),'ID1&amp;5'!B:J,8,FALSE),"-")</f>
        <v>-</v>
      </c>
      <c r="O651" s="78" t="str">
        <f>+IFERROR(VLOOKUP(C651,'ID1&amp;5'!K:L,2,FALSE),"-")</f>
        <v>-</v>
      </c>
      <c r="P651" s="79" t="str">
        <f>+IFERROR(VLOOKUP(CONCATENATE(A651,$C$10,C651),'ID1&amp;5'!B:J,9,FALSE),"-")</f>
        <v>-</v>
      </c>
      <c r="Q651" s="78" t="str">
        <f>+IFERROR(VLOOKUP(D651,'ID1&amp;5'!K:L,2,FALSE),"-")</f>
        <v>-</v>
      </c>
      <c r="R651" s="26" t="str">
        <f>+IFERROR(VLOOKUP(CONCATENATE(A651,$D$10,D651),'ID1&amp;5'!B:J,9,FALSE),"-")</f>
        <v>-</v>
      </c>
      <c r="S651" s="78" t="str">
        <f>+IFERROR(VLOOKUP(E651,'ID1&amp;5'!K:L,2,FALSE),"-")</f>
        <v>-</v>
      </c>
      <c r="T651" s="79" t="str">
        <f>+IFERROR(VLOOKUP(CONCATENATE(A651,$E$10,E651),'ID1&amp;5'!B:J,9,FALSE),"-")</f>
        <v>-</v>
      </c>
      <c r="U651" s="78" t="str">
        <f>+IFERROR(VLOOKUP(F651,'ID1&amp;5'!K:L,2,FALSE),"-")</f>
        <v>-</v>
      </c>
      <c r="V651" s="79" t="str">
        <f>+IFERROR(VLOOKUP(CONCATENATE(A651,$F$10,F651),'ID1&amp;5'!B:J,9,FALSE),"-")</f>
        <v>-</v>
      </c>
      <c r="W651" s="26" t="str">
        <f>+IFERROR(VLOOKUP(A651,'ID6&amp;7'!A:I,9,FALSE),"-")</f>
        <v>-</v>
      </c>
      <c r="X651" s="26" t="str">
        <f>+IFERROR(VLOOKUP(A651,'ID6&amp;7'!A:J,10,FALSE),"-")</f>
        <v>-</v>
      </c>
      <c r="Y651" s="26"/>
      <c r="Z651" s="27" t="str">
        <f t="shared" si="11"/>
        <v>Por iniciar</v>
      </c>
      <c r="AA651" s="65"/>
    </row>
    <row r="652" spans="1:27">
      <c r="A652" s="20"/>
      <c r="B652" s="60"/>
      <c r="C652" s="60"/>
      <c r="D652" s="60"/>
      <c r="E652" s="60"/>
      <c r="F652" s="60"/>
      <c r="G652" s="60"/>
      <c r="H652" s="65" t="s">
        <v>115</v>
      </c>
      <c r="I652" s="21" t="s">
        <v>1553</v>
      </c>
      <c r="J652" s="26">
        <f>+COUNTIF('ID1&amp;5'!G:G,'1. Status'!I652)</f>
        <v>0</v>
      </c>
      <c r="K652" s="79" t="str">
        <f>+IFERROR(VLOOKUP(CONCATENATE(A652,$B$10,B652),'ID1&amp;5'!B:J,8,FALSE),"-")</f>
        <v>-</v>
      </c>
      <c r="L652" s="78" t="str">
        <f>+IFERROR(VLOOKUP(B652,'ID1&amp;5'!K:L,2,FALSE),"-")</f>
        <v>-</v>
      </c>
      <c r="M652" s="79" t="str">
        <f>+IFERROR(VLOOKUP(CONCATENATE(A652,$B$10,B652),'ID1&amp;5'!B:J,9,FALSE),"-")</f>
        <v>-</v>
      </c>
      <c r="N652" s="79" t="str">
        <f>+IFERROR(VLOOKUP(CONCATENATE(A652,$C$10,C652),'ID1&amp;5'!B:J,8,FALSE),"-")</f>
        <v>-</v>
      </c>
      <c r="O652" s="78" t="str">
        <f>+IFERROR(VLOOKUP(C652,'ID1&amp;5'!K:L,2,FALSE),"-")</f>
        <v>-</v>
      </c>
      <c r="P652" s="79" t="str">
        <f>+IFERROR(VLOOKUP(CONCATENATE(A652,$C$10,C652),'ID1&amp;5'!B:J,9,FALSE),"-")</f>
        <v>-</v>
      </c>
      <c r="Q652" s="78" t="str">
        <f>+IFERROR(VLOOKUP(D652,'ID1&amp;5'!K:L,2,FALSE),"-")</f>
        <v>-</v>
      </c>
      <c r="R652" s="26" t="str">
        <f>+IFERROR(VLOOKUP(CONCATENATE(A652,$D$10,D652),'ID1&amp;5'!B:J,9,FALSE),"-")</f>
        <v>-</v>
      </c>
      <c r="S652" s="78" t="str">
        <f>+IFERROR(VLOOKUP(E652,'ID1&amp;5'!K:L,2,FALSE),"-")</f>
        <v>-</v>
      </c>
      <c r="T652" s="79" t="str">
        <f>+IFERROR(VLOOKUP(CONCATENATE(A652,$E$10,E652),'ID1&amp;5'!B:J,9,FALSE),"-")</f>
        <v>-</v>
      </c>
      <c r="U652" s="78" t="str">
        <f>+IFERROR(VLOOKUP(F652,'ID1&amp;5'!K:L,2,FALSE),"-")</f>
        <v>-</v>
      </c>
      <c r="V652" s="79" t="str">
        <f>+IFERROR(VLOOKUP(CONCATENATE(A652,$F$10,F652),'ID1&amp;5'!B:J,9,FALSE),"-")</f>
        <v>-</v>
      </c>
      <c r="W652" s="26" t="str">
        <f>+IFERROR(VLOOKUP(A652,'ID6&amp;7'!A:I,9,FALSE),"-")</f>
        <v>-</v>
      </c>
      <c r="X652" s="26" t="str">
        <f>+IFERROR(VLOOKUP(A652,'ID6&amp;7'!A:J,10,FALSE),"-")</f>
        <v>-</v>
      </c>
      <c r="Y652" s="26"/>
      <c r="Z652" s="27" t="str">
        <f t="shared" si="11"/>
        <v>Por iniciar</v>
      </c>
      <c r="AA652" s="65"/>
    </row>
    <row r="653" spans="1:27">
      <c r="A653" s="20"/>
      <c r="B653" s="60"/>
      <c r="C653" s="60"/>
      <c r="D653" s="60"/>
      <c r="E653" s="60"/>
      <c r="F653" s="60"/>
      <c r="G653" s="60"/>
      <c r="H653" s="65" t="s">
        <v>115</v>
      </c>
      <c r="I653" s="21" t="s">
        <v>1554</v>
      </c>
      <c r="J653" s="26">
        <f>+COUNTIF('ID1&amp;5'!G:G,'1. Status'!I653)</f>
        <v>0</v>
      </c>
      <c r="K653" s="79" t="str">
        <f>+IFERROR(VLOOKUP(CONCATENATE(A653,$B$10,B653),'ID1&amp;5'!B:J,8,FALSE),"-")</f>
        <v>-</v>
      </c>
      <c r="L653" s="78" t="str">
        <f>+IFERROR(VLOOKUP(B653,'ID1&amp;5'!K:L,2,FALSE),"-")</f>
        <v>-</v>
      </c>
      <c r="M653" s="79" t="str">
        <f>+IFERROR(VLOOKUP(CONCATENATE(A653,$B$10,B653),'ID1&amp;5'!B:J,9,FALSE),"-")</f>
        <v>-</v>
      </c>
      <c r="N653" s="79" t="str">
        <f>+IFERROR(VLOOKUP(CONCATENATE(A653,$C$10,C653),'ID1&amp;5'!B:J,8,FALSE),"-")</f>
        <v>-</v>
      </c>
      <c r="O653" s="78" t="str">
        <f>+IFERROR(VLOOKUP(C653,'ID1&amp;5'!K:L,2,FALSE),"-")</f>
        <v>-</v>
      </c>
      <c r="P653" s="79" t="str">
        <f>+IFERROR(VLOOKUP(CONCATENATE(A653,$C$10,C653),'ID1&amp;5'!B:J,9,FALSE),"-")</f>
        <v>-</v>
      </c>
      <c r="Q653" s="78" t="str">
        <f>+IFERROR(VLOOKUP(D653,'ID1&amp;5'!K:L,2,FALSE),"-")</f>
        <v>-</v>
      </c>
      <c r="R653" s="26" t="str">
        <f>+IFERROR(VLOOKUP(CONCATENATE(A653,$D$10,D653),'ID1&amp;5'!B:J,9,FALSE),"-")</f>
        <v>-</v>
      </c>
      <c r="S653" s="78" t="str">
        <f>+IFERROR(VLOOKUP(E653,'ID1&amp;5'!K:L,2,FALSE),"-")</f>
        <v>-</v>
      </c>
      <c r="T653" s="79" t="str">
        <f>+IFERROR(VLOOKUP(CONCATENATE(A653,$E$10,E653),'ID1&amp;5'!B:J,9,FALSE),"-")</f>
        <v>-</v>
      </c>
      <c r="U653" s="78" t="str">
        <f>+IFERROR(VLOOKUP(F653,'ID1&amp;5'!K:L,2,FALSE),"-")</f>
        <v>-</v>
      </c>
      <c r="V653" s="79" t="str">
        <f>+IFERROR(VLOOKUP(CONCATENATE(A653,$F$10,F653),'ID1&amp;5'!B:J,9,FALSE),"-")</f>
        <v>-</v>
      </c>
      <c r="W653" s="26" t="str">
        <f>+IFERROR(VLOOKUP(A653,'ID6&amp;7'!A:I,9,FALSE),"-")</f>
        <v>-</v>
      </c>
      <c r="X653" s="26" t="str">
        <f>+IFERROR(VLOOKUP(A653,'ID6&amp;7'!A:J,10,FALSE),"-")</f>
        <v>-</v>
      </c>
      <c r="Y653" s="26"/>
      <c r="Z653" s="27" t="str">
        <f t="shared" si="11"/>
        <v>Por iniciar</v>
      </c>
      <c r="AA653" s="65"/>
    </row>
    <row r="654" spans="1:27">
      <c r="A654" s="20"/>
      <c r="B654" s="60"/>
      <c r="C654" s="60"/>
      <c r="D654" s="60"/>
      <c r="E654" s="60"/>
      <c r="F654" s="60"/>
      <c r="G654" s="60"/>
      <c r="H654" s="65" t="s">
        <v>304</v>
      </c>
      <c r="I654" s="21" t="s">
        <v>24</v>
      </c>
      <c r="J654" s="26">
        <f>+COUNTIF('ID1&amp;5'!G:G,'1. Status'!I654)</f>
        <v>0</v>
      </c>
      <c r="K654" s="79" t="str">
        <f>+IFERROR(VLOOKUP(CONCATENATE(A654,$B$10,B654),'ID1&amp;5'!B:J,8,FALSE),"-")</f>
        <v>-</v>
      </c>
      <c r="L654" s="78" t="str">
        <f>+IFERROR(VLOOKUP(B654,'ID1&amp;5'!K:L,2,FALSE),"-")</f>
        <v>-</v>
      </c>
      <c r="M654" s="79" t="str">
        <f>+IFERROR(VLOOKUP(CONCATENATE(A654,$B$10,B654),'ID1&amp;5'!B:J,9,FALSE),"-")</f>
        <v>-</v>
      </c>
      <c r="N654" s="79" t="str">
        <f>+IFERROR(VLOOKUP(CONCATENATE(A654,$C$10,C654),'ID1&amp;5'!B:J,8,FALSE),"-")</f>
        <v>-</v>
      </c>
      <c r="O654" s="78" t="str">
        <f>+IFERROR(VLOOKUP(C654,'ID1&amp;5'!K:L,2,FALSE),"-")</f>
        <v>-</v>
      </c>
      <c r="P654" s="79" t="str">
        <f>+IFERROR(VLOOKUP(CONCATENATE(A654,$C$10,C654),'ID1&amp;5'!B:J,9,FALSE),"-")</f>
        <v>-</v>
      </c>
      <c r="Q654" s="78" t="str">
        <f>+IFERROR(VLOOKUP(D654,'ID1&amp;5'!K:L,2,FALSE),"-")</f>
        <v>-</v>
      </c>
      <c r="R654" s="26" t="str">
        <f>+IFERROR(VLOOKUP(CONCATENATE(A654,$D$10,D654),'ID1&amp;5'!B:J,9,FALSE),"-")</f>
        <v>-</v>
      </c>
      <c r="S654" s="78" t="str">
        <f>+IFERROR(VLOOKUP(E654,'ID1&amp;5'!K:L,2,FALSE),"-")</f>
        <v>-</v>
      </c>
      <c r="T654" s="79" t="str">
        <f>+IFERROR(VLOOKUP(CONCATENATE(A654,$E$10,E654),'ID1&amp;5'!B:J,9,FALSE),"-")</f>
        <v>-</v>
      </c>
      <c r="U654" s="78" t="str">
        <f>+IFERROR(VLOOKUP(F654,'ID1&amp;5'!K:L,2,FALSE),"-")</f>
        <v>-</v>
      </c>
      <c r="V654" s="79" t="str">
        <f>+IFERROR(VLOOKUP(CONCATENATE(A654,$F$10,F654),'ID1&amp;5'!B:J,9,FALSE),"-")</f>
        <v>-</v>
      </c>
      <c r="W654" s="26" t="str">
        <f>+IFERROR(VLOOKUP(A654,'ID6&amp;7'!A:I,9,FALSE),"-")</f>
        <v>-</v>
      </c>
      <c r="X654" s="26" t="str">
        <f>+IFERROR(VLOOKUP(A654,'ID6&amp;7'!A:J,10,FALSE),"-")</f>
        <v>-</v>
      </c>
      <c r="Y654" s="26"/>
      <c r="Z654" s="27" t="str">
        <f t="shared" si="11"/>
        <v>Por iniciar</v>
      </c>
      <c r="AA654" s="65"/>
    </row>
    <row r="655" spans="1:27">
      <c r="A655" s="20"/>
      <c r="B655" s="60"/>
      <c r="C655" s="60"/>
      <c r="D655" s="60"/>
      <c r="E655" s="60"/>
      <c r="F655" s="60"/>
      <c r="G655" s="60"/>
      <c r="H655" s="65" t="s">
        <v>304</v>
      </c>
      <c r="I655" s="21" t="s">
        <v>26</v>
      </c>
      <c r="J655" s="26">
        <f>+COUNTIF('ID1&amp;5'!G:G,'1. Status'!I655)</f>
        <v>0</v>
      </c>
      <c r="K655" s="79" t="str">
        <f>+IFERROR(VLOOKUP(CONCATENATE(A655,$B$10,B655),'ID1&amp;5'!B:J,8,FALSE),"-")</f>
        <v>-</v>
      </c>
      <c r="L655" s="78" t="str">
        <f>+IFERROR(VLOOKUP(B655,'ID1&amp;5'!K:L,2,FALSE),"-")</f>
        <v>-</v>
      </c>
      <c r="M655" s="79" t="str">
        <f>+IFERROR(VLOOKUP(CONCATENATE(A655,$B$10,B655),'ID1&amp;5'!B:J,9,FALSE),"-")</f>
        <v>-</v>
      </c>
      <c r="N655" s="79" t="str">
        <f>+IFERROR(VLOOKUP(CONCATENATE(A655,$C$10,C655),'ID1&amp;5'!B:J,8,FALSE),"-")</f>
        <v>-</v>
      </c>
      <c r="O655" s="78" t="str">
        <f>+IFERROR(VLOOKUP(C655,'ID1&amp;5'!K:L,2,FALSE),"-")</f>
        <v>-</v>
      </c>
      <c r="P655" s="79" t="str">
        <f>+IFERROR(VLOOKUP(CONCATENATE(A655,$C$10,C655),'ID1&amp;5'!B:J,9,FALSE),"-")</f>
        <v>-</v>
      </c>
      <c r="Q655" s="78" t="str">
        <f>+IFERROR(VLOOKUP(D655,'ID1&amp;5'!K:L,2,FALSE),"-")</f>
        <v>-</v>
      </c>
      <c r="R655" s="26" t="str">
        <f>+IFERROR(VLOOKUP(CONCATENATE(A655,$D$10,D655),'ID1&amp;5'!B:J,9,FALSE),"-")</f>
        <v>-</v>
      </c>
      <c r="S655" s="78" t="str">
        <f>+IFERROR(VLOOKUP(E655,'ID1&amp;5'!K:L,2,FALSE),"-")</f>
        <v>-</v>
      </c>
      <c r="T655" s="79" t="str">
        <f>+IFERROR(VLOOKUP(CONCATENATE(A655,$E$10,E655),'ID1&amp;5'!B:J,9,FALSE),"-")</f>
        <v>-</v>
      </c>
      <c r="U655" s="78" t="str">
        <f>+IFERROR(VLOOKUP(F655,'ID1&amp;5'!K:L,2,FALSE),"-")</f>
        <v>-</v>
      </c>
      <c r="V655" s="79" t="str">
        <f>+IFERROR(VLOOKUP(CONCATENATE(A655,$F$10,F655),'ID1&amp;5'!B:J,9,FALSE),"-")</f>
        <v>-</v>
      </c>
      <c r="W655" s="26" t="str">
        <f>+IFERROR(VLOOKUP(A655,'ID6&amp;7'!A:I,9,FALSE),"-")</f>
        <v>-</v>
      </c>
      <c r="X655" s="26" t="str">
        <f>+IFERROR(VLOOKUP(A655,'ID6&amp;7'!A:J,10,FALSE),"-")</f>
        <v>-</v>
      </c>
      <c r="Y655" s="26"/>
      <c r="Z655" s="27" t="str">
        <f t="shared" si="11"/>
        <v>Por iniciar</v>
      </c>
      <c r="AA655" s="65"/>
    </row>
    <row r="656" spans="1:27">
      <c r="A656" s="20"/>
      <c r="B656" s="60"/>
      <c r="C656" s="60"/>
      <c r="D656" s="60"/>
      <c r="E656" s="60"/>
      <c r="F656" s="60"/>
      <c r="G656" s="60"/>
      <c r="H656" s="65" t="s">
        <v>304</v>
      </c>
      <c r="I656" s="21" t="s">
        <v>1555</v>
      </c>
      <c r="J656" s="26">
        <f>+COUNTIF('ID1&amp;5'!G:G,'1. Status'!I656)</f>
        <v>1</v>
      </c>
      <c r="K656" s="79" t="str">
        <f>+IFERROR(VLOOKUP(CONCATENATE(A656,$B$10,B656),'ID1&amp;5'!B:J,8,FALSE),"-")</f>
        <v>-</v>
      </c>
      <c r="L656" s="78" t="str">
        <f>+IFERROR(VLOOKUP(B656,'ID1&amp;5'!K:L,2,FALSE),"-")</f>
        <v>-</v>
      </c>
      <c r="M656" s="79" t="str">
        <f>+IFERROR(VLOOKUP(CONCATENATE(A656,$B$10,B656),'ID1&amp;5'!B:J,9,FALSE),"-")</f>
        <v>-</v>
      </c>
      <c r="N656" s="79" t="str">
        <f>+IFERROR(VLOOKUP(CONCATENATE(A656,$C$10,C656),'ID1&amp;5'!B:J,8,FALSE),"-")</f>
        <v>-</v>
      </c>
      <c r="O656" s="78" t="str">
        <f>+IFERROR(VLOOKUP(C656,'ID1&amp;5'!K:L,2,FALSE),"-")</f>
        <v>-</v>
      </c>
      <c r="P656" s="79" t="str">
        <f>+IFERROR(VLOOKUP(CONCATENATE(A656,$C$10,C656),'ID1&amp;5'!B:J,9,FALSE),"-")</f>
        <v>-</v>
      </c>
      <c r="Q656" s="78" t="str">
        <f>+IFERROR(VLOOKUP(D656,'ID1&amp;5'!K:L,2,FALSE),"-")</f>
        <v>-</v>
      </c>
      <c r="R656" s="26" t="str">
        <f>+IFERROR(VLOOKUP(CONCATENATE(A656,$D$10,D656),'ID1&amp;5'!B:J,9,FALSE),"-")</f>
        <v>-</v>
      </c>
      <c r="S656" s="78" t="str">
        <f>+IFERROR(VLOOKUP(E656,'ID1&amp;5'!K:L,2,FALSE),"-")</f>
        <v>-</v>
      </c>
      <c r="T656" s="79" t="str">
        <f>+IFERROR(VLOOKUP(CONCATENATE(A656,$E$10,E656),'ID1&amp;5'!B:J,9,FALSE),"-")</f>
        <v>-</v>
      </c>
      <c r="U656" s="78" t="str">
        <f>+IFERROR(VLOOKUP(F656,'ID1&amp;5'!K:L,2,FALSE),"-")</f>
        <v>-</v>
      </c>
      <c r="V656" s="79" t="str">
        <f>+IFERROR(VLOOKUP(CONCATENATE(A656,$F$10,F656),'ID1&amp;5'!B:J,9,FALSE),"-")</f>
        <v>-</v>
      </c>
      <c r="W656" s="26" t="str">
        <f>+IFERROR(VLOOKUP(A656,'ID6&amp;7'!A:I,9,FALSE),"-")</f>
        <v>-</v>
      </c>
      <c r="X656" s="26" t="str">
        <f>+IFERROR(VLOOKUP(A656,'ID6&amp;7'!A:J,10,FALSE),"-")</f>
        <v>-</v>
      </c>
      <c r="Y656" s="26"/>
      <c r="Z656" s="27" t="str">
        <f t="shared" si="11"/>
        <v>Em testes</v>
      </c>
      <c r="AA656" s="65"/>
    </row>
    <row r="657" spans="1:27">
      <c r="A657" s="20"/>
      <c r="B657" s="60"/>
      <c r="C657" s="60"/>
      <c r="D657" s="60"/>
      <c r="E657" s="60"/>
      <c r="F657" s="60"/>
      <c r="G657" s="60"/>
      <c r="H657" s="65" t="s">
        <v>304</v>
      </c>
      <c r="I657" s="21" t="s">
        <v>1231</v>
      </c>
      <c r="J657" s="26">
        <f>+COUNTIF('ID1&amp;5'!G:G,'1. Status'!I657)</f>
        <v>0</v>
      </c>
      <c r="K657" s="79" t="str">
        <f>+IFERROR(VLOOKUP(CONCATENATE(A657,$B$10,B657),'ID1&amp;5'!B:J,8,FALSE),"-")</f>
        <v>-</v>
      </c>
      <c r="L657" s="78" t="str">
        <f>+IFERROR(VLOOKUP(B657,'ID1&amp;5'!K:L,2,FALSE),"-")</f>
        <v>-</v>
      </c>
      <c r="M657" s="79" t="str">
        <f>+IFERROR(VLOOKUP(CONCATENATE(A657,$B$10,B657),'ID1&amp;5'!B:J,9,FALSE),"-")</f>
        <v>-</v>
      </c>
      <c r="N657" s="79" t="str">
        <f>+IFERROR(VLOOKUP(CONCATENATE(A657,$C$10,C657),'ID1&amp;5'!B:J,8,FALSE),"-")</f>
        <v>-</v>
      </c>
      <c r="O657" s="78" t="str">
        <f>+IFERROR(VLOOKUP(C657,'ID1&amp;5'!K:L,2,FALSE),"-")</f>
        <v>-</v>
      </c>
      <c r="P657" s="79" t="str">
        <f>+IFERROR(VLOOKUP(CONCATENATE(A657,$C$10,C657),'ID1&amp;5'!B:J,9,FALSE),"-")</f>
        <v>-</v>
      </c>
      <c r="Q657" s="78" t="str">
        <f>+IFERROR(VLOOKUP(D657,'ID1&amp;5'!K:L,2,FALSE),"-")</f>
        <v>-</v>
      </c>
      <c r="R657" s="26" t="str">
        <f>+IFERROR(VLOOKUP(CONCATENATE(A657,$D$10,D657),'ID1&amp;5'!B:J,9,FALSE),"-")</f>
        <v>-</v>
      </c>
      <c r="S657" s="78" t="str">
        <f>+IFERROR(VLOOKUP(E657,'ID1&amp;5'!K:L,2,FALSE),"-")</f>
        <v>-</v>
      </c>
      <c r="T657" s="79" t="str">
        <f>+IFERROR(VLOOKUP(CONCATENATE(A657,$E$10,E657),'ID1&amp;5'!B:J,9,FALSE),"-")</f>
        <v>-</v>
      </c>
      <c r="U657" s="78" t="str">
        <f>+IFERROR(VLOOKUP(F657,'ID1&amp;5'!K:L,2,FALSE),"-")</f>
        <v>-</v>
      </c>
      <c r="V657" s="79" t="str">
        <f>+IFERROR(VLOOKUP(CONCATENATE(A657,$F$10,F657),'ID1&amp;5'!B:J,9,FALSE),"-")</f>
        <v>-</v>
      </c>
      <c r="W657" s="26" t="str">
        <f>+IFERROR(VLOOKUP(A657,'ID6&amp;7'!A:I,9,FALSE),"-")</f>
        <v>-</v>
      </c>
      <c r="X657" s="26" t="str">
        <f>+IFERROR(VLOOKUP(A657,'ID6&amp;7'!A:J,10,FALSE),"-")</f>
        <v>-</v>
      </c>
      <c r="Y657" s="26"/>
      <c r="Z657" s="27" t="str">
        <f t="shared" si="11"/>
        <v>Por iniciar</v>
      </c>
      <c r="AA657" s="65"/>
    </row>
    <row r="658" spans="1:27">
      <c r="A658" s="20"/>
      <c r="B658" s="60"/>
      <c r="C658" s="60"/>
      <c r="D658" s="60"/>
      <c r="E658" s="60"/>
      <c r="F658" s="60"/>
      <c r="G658" s="60"/>
      <c r="H658" s="65" t="s">
        <v>304</v>
      </c>
      <c r="I658" s="21" t="s">
        <v>1232</v>
      </c>
      <c r="J658" s="26">
        <f>+COUNTIF('ID1&amp;5'!G:G,'1. Status'!I658)</f>
        <v>0</v>
      </c>
      <c r="K658" s="79" t="str">
        <f>+IFERROR(VLOOKUP(CONCATENATE(A658,$B$10,B658),'ID1&amp;5'!B:J,8,FALSE),"-")</f>
        <v>-</v>
      </c>
      <c r="L658" s="78" t="str">
        <f>+IFERROR(VLOOKUP(B658,'ID1&amp;5'!K:L,2,FALSE),"-")</f>
        <v>-</v>
      </c>
      <c r="M658" s="79" t="str">
        <f>+IFERROR(VLOOKUP(CONCATENATE(A658,$B$10,B658),'ID1&amp;5'!B:J,9,FALSE),"-")</f>
        <v>-</v>
      </c>
      <c r="N658" s="79" t="str">
        <f>+IFERROR(VLOOKUP(CONCATENATE(A658,$C$10,C658),'ID1&amp;5'!B:J,8,FALSE),"-")</f>
        <v>-</v>
      </c>
      <c r="O658" s="78" t="str">
        <f>+IFERROR(VLOOKUP(C658,'ID1&amp;5'!K:L,2,FALSE),"-")</f>
        <v>-</v>
      </c>
      <c r="P658" s="79" t="str">
        <f>+IFERROR(VLOOKUP(CONCATENATE(A658,$C$10,C658),'ID1&amp;5'!B:J,9,FALSE),"-")</f>
        <v>-</v>
      </c>
      <c r="Q658" s="78" t="str">
        <f>+IFERROR(VLOOKUP(D658,'ID1&amp;5'!K:L,2,FALSE),"-")</f>
        <v>-</v>
      </c>
      <c r="R658" s="26" t="str">
        <f>+IFERROR(VLOOKUP(CONCATENATE(A658,$D$10,D658),'ID1&amp;5'!B:J,9,FALSE),"-")</f>
        <v>-</v>
      </c>
      <c r="S658" s="78" t="str">
        <f>+IFERROR(VLOOKUP(E658,'ID1&amp;5'!K:L,2,FALSE),"-")</f>
        <v>-</v>
      </c>
      <c r="T658" s="79" t="str">
        <f>+IFERROR(VLOOKUP(CONCATENATE(A658,$E$10,E658),'ID1&amp;5'!B:J,9,FALSE),"-")</f>
        <v>-</v>
      </c>
      <c r="U658" s="78" t="str">
        <f>+IFERROR(VLOOKUP(F658,'ID1&amp;5'!K:L,2,FALSE),"-")</f>
        <v>-</v>
      </c>
      <c r="V658" s="79" t="str">
        <f>+IFERROR(VLOOKUP(CONCATENATE(A658,$F$10,F658),'ID1&amp;5'!B:J,9,FALSE),"-")</f>
        <v>-</v>
      </c>
      <c r="W658" s="26" t="str">
        <f>+IFERROR(VLOOKUP(A658,'ID6&amp;7'!A:I,9,FALSE),"-")</f>
        <v>-</v>
      </c>
      <c r="X658" s="26" t="str">
        <f>+IFERROR(VLOOKUP(A658,'ID6&amp;7'!A:J,10,FALSE),"-")</f>
        <v>-</v>
      </c>
      <c r="Y658" s="26"/>
      <c r="Z658" s="27" t="str">
        <f t="shared" si="11"/>
        <v>Por iniciar</v>
      </c>
      <c r="AA658" s="65"/>
    </row>
    <row r="659" spans="1:27">
      <c r="A659" s="20"/>
      <c r="B659" s="60"/>
      <c r="C659" s="60"/>
      <c r="D659" s="60"/>
      <c r="E659" s="60"/>
      <c r="F659" s="60"/>
      <c r="G659" s="60"/>
      <c r="H659" s="65" t="s">
        <v>304</v>
      </c>
      <c r="I659" s="21" t="s">
        <v>1233</v>
      </c>
      <c r="J659" s="26">
        <f>+COUNTIF('ID1&amp;5'!G:G,'1. Status'!I659)</f>
        <v>0</v>
      </c>
      <c r="K659" s="79" t="str">
        <f>+IFERROR(VLOOKUP(CONCATENATE(A659,$B$10,B659),'ID1&amp;5'!B:J,8,FALSE),"-")</f>
        <v>-</v>
      </c>
      <c r="L659" s="78" t="str">
        <f>+IFERROR(VLOOKUP(B659,'ID1&amp;5'!K:L,2,FALSE),"-")</f>
        <v>-</v>
      </c>
      <c r="M659" s="79" t="str">
        <f>+IFERROR(VLOOKUP(CONCATENATE(A659,$B$10,B659),'ID1&amp;5'!B:J,9,FALSE),"-")</f>
        <v>-</v>
      </c>
      <c r="N659" s="79" t="str">
        <f>+IFERROR(VLOOKUP(CONCATENATE(A659,$C$10,C659),'ID1&amp;5'!B:J,8,FALSE),"-")</f>
        <v>-</v>
      </c>
      <c r="O659" s="78" t="str">
        <f>+IFERROR(VLOOKUP(C659,'ID1&amp;5'!K:L,2,FALSE),"-")</f>
        <v>-</v>
      </c>
      <c r="P659" s="79" t="str">
        <f>+IFERROR(VLOOKUP(CONCATENATE(A659,$C$10,C659),'ID1&amp;5'!B:J,9,FALSE),"-")</f>
        <v>-</v>
      </c>
      <c r="Q659" s="78" t="str">
        <f>+IFERROR(VLOOKUP(D659,'ID1&amp;5'!K:L,2,FALSE),"-")</f>
        <v>-</v>
      </c>
      <c r="R659" s="26" t="str">
        <f>+IFERROR(VLOOKUP(CONCATENATE(A659,$D$10,D659),'ID1&amp;5'!B:J,9,FALSE),"-")</f>
        <v>-</v>
      </c>
      <c r="S659" s="78" t="str">
        <f>+IFERROR(VLOOKUP(E659,'ID1&amp;5'!K:L,2,FALSE),"-")</f>
        <v>-</v>
      </c>
      <c r="T659" s="79" t="str">
        <f>+IFERROR(VLOOKUP(CONCATENATE(A659,$E$10,E659),'ID1&amp;5'!B:J,9,FALSE),"-")</f>
        <v>-</v>
      </c>
      <c r="U659" s="78" t="str">
        <f>+IFERROR(VLOOKUP(F659,'ID1&amp;5'!K:L,2,FALSE),"-")</f>
        <v>-</v>
      </c>
      <c r="V659" s="79" t="str">
        <f>+IFERROR(VLOOKUP(CONCATENATE(A659,$F$10,F659),'ID1&amp;5'!B:J,9,FALSE),"-")</f>
        <v>-</v>
      </c>
      <c r="W659" s="26" t="str">
        <f>+IFERROR(VLOOKUP(A659,'ID6&amp;7'!A:I,9,FALSE),"-")</f>
        <v>-</v>
      </c>
      <c r="X659" s="26" t="str">
        <f>+IFERROR(VLOOKUP(A659,'ID6&amp;7'!A:J,10,FALSE),"-")</f>
        <v>-</v>
      </c>
      <c r="Y659" s="26"/>
      <c r="Z659" s="27" t="str">
        <f t="shared" si="11"/>
        <v>Por iniciar</v>
      </c>
      <c r="AA659" s="65"/>
    </row>
    <row r="660" spans="1:27">
      <c r="A660" s="20"/>
      <c r="B660" s="60"/>
      <c r="C660" s="60"/>
      <c r="D660" s="60"/>
      <c r="E660" s="60"/>
      <c r="F660" s="60"/>
      <c r="G660" s="60"/>
      <c r="H660" s="65" t="s">
        <v>304</v>
      </c>
      <c r="I660" s="21" t="s">
        <v>1234</v>
      </c>
      <c r="J660" s="26">
        <f>+COUNTIF('ID1&amp;5'!G:G,'1. Status'!I660)</f>
        <v>0</v>
      </c>
      <c r="K660" s="79" t="str">
        <f>+IFERROR(VLOOKUP(CONCATENATE(A660,$B$10,B660),'ID1&amp;5'!B:J,8,FALSE),"-")</f>
        <v>-</v>
      </c>
      <c r="L660" s="78" t="str">
        <f>+IFERROR(VLOOKUP(B660,'ID1&amp;5'!K:L,2,FALSE),"-")</f>
        <v>-</v>
      </c>
      <c r="M660" s="79" t="str">
        <f>+IFERROR(VLOOKUP(CONCATENATE(A660,$B$10,B660),'ID1&amp;5'!B:J,9,FALSE),"-")</f>
        <v>-</v>
      </c>
      <c r="N660" s="79" t="str">
        <f>+IFERROR(VLOOKUP(CONCATENATE(A660,$C$10,C660),'ID1&amp;5'!B:J,8,FALSE),"-")</f>
        <v>-</v>
      </c>
      <c r="O660" s="78" t="str">
        <f>+IFERROR(VLOOKUP(C660,'ID1&amp;5'!K:L,2,FALSE),"-")</f>
        <v>-</v>
      </c>
      <c r="P660" s="79" t="str">
        <f>+IFERROR(VLOOKUP(CONCATENATE(A660,$C$10,C660),'ID1&amp;5'!B:J,9,FALSE),"-")</f>
        <v>-</v>
      </c>
      <c r="Q660" s="78" t="str">
        <f>+IFERROR(VLOOKUP(D660,'ID1&amp;5'!K:L,2,FALSE),"-")</f>
        <v>-</v>
      </c>
      <c r="R660" s="26" t="str">
        <f>+IFERROR(VLOOKUP(CONCATENATE(A660,$D$10,D660),'ID1&amp;5'!B:J,9,FALSE),"-")</f>
        <v>-</v>
      </c>
      <c r="S660" s="78" t="str">
        <f>+IFERROR(VLOOKUP(E660,'ID1&amp;5'!K:L,2,FALSE),"-")</f>
        <v>-</v>
      </c>
      <c r="T660" s="79" t="str">
        <f>+IFERROR(VLOOKUP(CONCATENATE(A660,$E$10,E660),'ID1&amp;5'!B:J,9,FALSE),"-")</f>
        <v>-</v>
      </c>
      <c r="U660" s="78" t="str">
        <f>+IFERROR(VLOOKUP(F660,'ID1&amp;5'!K:L,2,FALSE),"-")</f>
        <v>-</v>
      </c>
      <c r="V660" s="79" t="str">
        <f>+IFERROR(VLOOKUP(CONCATENATE(A660,$F$10,F660),'ID1&amp;5'!B:J,9,FALSE),"-")</f>
        <v>-</v>
      </c>
      <c r="W660" s="26" t="str">
        <f>+IFERROR(VLOOKUP(A660,'ID6&amp;7'!A:I,9,FALSE),"-")</f>
        <v>-</v>
      </c>
      <c r="X660" s="26" t="str">
        <f>+IFERROR(VLOOKUP(A660,'ID6&amp;7'!A:J,10,FALSE),"-")</f>
        <v>-</v>
      </c>
      <c r="Y660" s="26"/>
      <c r="Z660" s="27" t="str">
        <f t="shared" si="11"/>
        <v>Por iniciar</v>
      </c>
      <c r="AA660" s="65"/>
    </row>
    <row r="661" spans="1:27">
      <c r="A661" s="20"/>
      <c r="B661" s="60"/>
      <c r="C661" s="60"/>
      <c r="D661" s="60"/>
      <c r="E661" s="60"/>
      <c r="F661" s="60"/>
      <c r="G661" s="60"/>
      <c r="H661" s="65" t="s">
        <v>304</v>
      </c>
      <c r="I661" s="21" t="s">
        <v>1235</v>
      </c>
      <c r="J661" s="26">
        <f>+COUNTIF('ID1&amp;5'!G:G,'1. Status'!I661)</f>
        <v>0</v>
      </c>
      <c r="K661" s="79" t="str">
        <f>+IFERROR(VLOOKUP(CONCATENATE(A661,$B$10,B661),'ID1&amp;5'!B:J,8,FALSE),"-")</f>
        <v>-</v>
      </c>
      <c r="L661" s="78" t="str">
        <f>+IFERROR(VLOOKUP(B661,'ID1&amp;5'!K:L,2,FALSE),"-")</f>
        <v>-</v>
      </c>
      <c r="M661" s="79" t="str">
        <f>+IFERROR(VLOOKUP(CONCATENATE(A661,$B$10,B661),'ID1&amp;5'!B:J,9,FALSE),"-")</f>
        <v>-</v>
      </c>
      <c r="N661" s="79" t="str">
        <f>+IFERROR(VLOOKUP(CONCATENATE(A661,$C$10,C661),'ID1&amp;5'!B:J,8,FALSE),"-")</f>
        <v>-</v>
      </c>
      <c r="O661" s="78" t="str">
        <f>+IFERROR(VLOOKUP(C661,'ID1&amp;5'!K:L,2,FALSE),"-")</f>
        <v>-</v>
      </c>
      <c r="P661" s="79" t="str">
        <f>+IFERROR(VLOOKUP(CONCATENATE(A661,$C$10,C661),'ID1&amp;5'!B:J,9,FALSE),"-")</f>
        <v>-</v>
      </c>
      <c r="Q661" s="78" t="str">
        <f>+IFERROR(VLOOKUP(D661,'ID1&amp;5'!K:L,2,FALSE),"-")</f>
        <v>-</v>
      </c>
      <c r="R661" s="26" t="str">
        <f>+IFERROR(VLOOKUP(CONCATENATE(A661,$D$10,D661),'ID1&amp;5'!B:J,9,FALSE),"-")</f>
        <v>-</v>
      </c>
      <c r="S661" s="78" t="str">
        <f>+IFERROR(VLOOKUP(E661,'ID1&amp;5'!K:L,2,FALSE),"-")</f>
        <v>-</v>
      </c>
      <c r="T661" s="79" t="str">
        <f>+IFERROR(VLOOKUP(CONCATENATE(A661,$E$10,E661),'ID1&amp;5'!B:J,9,FALSE),"-")</f>
        <v>-</v>
      </c>
      <c r="U661" s="78" t="str">
        <f>+IFERROR(VLOOKUP(F661,'ID1&amp;5'!K:L,2,FALSE),"-")</f>
        <v>-</v>
      </c>
      <c r="V661" s="79" t="str">
        <f>+IFERROR(VLOOKUP(CONCATENATE(A661,$F$10,F661),'ID1&amp;5'!B:J,9,FALSE),"-")</f>
        <v>-</v>
      </c>
      <c r="W661" s="26" t="str">
        <f>+IFERROR(VLOOKUP(A661,'ID6&amp;7'!A:I,9,FALSE),"-")</f>
        <v>-</v>
      </c>
      <c r="X661" s="26" t="str">
        <f>+IFERROR(VLOOKUP(A661,'ID6&amp;7'!A:J,10,FALSE),"-")</f>
        <v>-</v>
      </c>
      <c r="Y661" s="26"/>
      <c r="Z661" s="27" t="str">
        <f t="shared" si="11"/>
        <v>Por iniciar</v>
      </c>
      <c r="AA661" s="65"/>
    </row>
    <row r="662" spans="1:27">
      <c r="A662" s="20"/>
      <c r="B662" s="60"/>
      <c r="C662" s="60"/>
      <c r="D662" s="60"/>
      <c r="E662" s="60"/>
      <c r="F662" s="60"/>
      <c r="G662" s="60"/>
      <c r="H662" s="65" t="s">
        <v>304</v>
      </c>
      <c r="I662" s="21" t="s">
        <v>650</v>
      </c>
      <c r="J662" s="26">
        <f>+COUNTIF('ID1&amp;5'!G:G,'1. Status'!I662)</f>
        <v>4</v>
      </c>
      <c r="K662" s="79" t="str">
        <f>+IFERROR(VLOOKUP(CONCATENATE(A662,$B$10,B662),'ID1&amp;5'!B:J,8,FALSE),"-")</f>
        <v>-</v>
      </c>
      <c r="L662" s="78" t="str">
        <f>+IFERROR(VLOOKUP(B662,'ID1&amp;5'!K:L,2,FALSE),"-")</f>
        <v>-</v>
      </c>
      <c r="M662" s="79" t="str">
        <f>+IFERROR(VLOOKUP(CONCATENATE(A662,$B$10,B662),'ID1&amp;5'!B:J,9,FALSE),"-")</f>
        <v>-</v>
      </c>
      <c r="N662" s="79" t="str">
        <f>+IFERROR(VLOOKUP(CONCATENATE(A662,$C$10,C662),'ID1&amp;5'!B:J,8,FALSE),"-")</f>
        <v>-</v>
      </c>
      <c r="O662" s="78" t="str">
        <f>+IFERROR(VLOOKUP(C662,'ID1&amp;5'!K:L,2,FALSE),"-")</f>
        <v>-</v>
      </c>
      <c r="P662" s="79" t="str">
        <f>+IFERROR(VLOOKUP(CONCATENATE(A662,$C$10,C662),'ID1&amp;5'!B:J,9,FALSE),"-")</f>
        <v>-</v>
      </c>
      <c r="Q662" s="78" t="str">
        <f>+IFERROR(VLOOKUP(D662,'ID1&amp;5'!K:L,2,FALSE),"-")</f>
        <v>-</v>
      </c>
      <c r="R662" s="26" t="str">
        <f>+IFERROR(VLOOKUP(CONCATENATE(A662,$D$10,D662),'ID1&amp;5'!B:J,9,FALSE),"-")</f>
        <v>-</v>
      </c>
      <c r="S662" s="78" t="str">
        <f>+IFERROR(VLOOKUP(E662,'ID1&amp;5'!K:L,2,FALSE),"-")</f>
        <v>-</v>
      </c>
      <c r="T662" s="79" t="str">
        <f>+IFERROR(VLOOKUP(CONCATENATE(A662,$E$10,E662),'ID1&amp;5'!B:J,9,FALSE),"-")</f>
        <v>-</v>
      </c>
      <c r="U662" s="78" t="str">
        <f>+IFERROR(VLOOKUP(F662,'ID1&amp;5'!K:L,2,FALSE),"-")</f>
        <v>-</v>
      </c>
      <c r="V662" s="79" t="str">
        <f>+IFERROR(VLOOKUP(CONCATENATE(A662,$F$10,F662),'ID1&amp;5'!B:J,9,FALSE),"-")</f>
        <v>-</v>
      </c>
      <c r="W662" s="26" t="str">
        <f>+IFERROR(VLOOKUP(A662,'ID6&amp;7'!A:I,9,FALSE),"-")</f>
        <v>-</v>
      </c>
      <c r="X662" s="26" t="str">
        <f>+IFERROR(VLOOKUP(A662,'ID6&amp;7'!A:J,10,FALSE),"-")</f>
        <v>-</v>
      </c>
      <c r="Y662" s="26"/>
      <c r="Z662" s="27" t="str">
        <f t="shared" si="11"/>
        <v>Em testes</v>
      </c>
      <c r="AA662" s="65"/>
    </row>
    <row r="663" spans="1:27">
      <c r="A663" s="20"/>
      <c r="B663" s="60"/>
      <c r="C663" s="60"/>
      <c r="D663" s="60"/>
      <c r="E663" s="60"/>
      <c r="F663" s="60"/>
      <c r="G663" s="60"/>
      <c r="H663" s="65" t="s">
        <v>304</v>
      </c>
      <c r="I663" s="21" t="s">
        <v>1556</v>
      </c>
      <c r="J663" s="26">
        <f>+COUNTIF('ID1&amp;5'!G:G,'1. Status'!I663)</f>
        <v>1</v>
      </c>
      <c r="K663" s="79" t="str">
        <f>+IFERROR(VLOOKUP(CONCATENATE(A663,$B$10,B663),'ID1&amp;5'!B:J,8,FALSE),"-")</f>
        <v>-</v>
      </c>
      <c r="L663" s="78" t="str">
        <f>+IFERROR(VLOOKUP(B663,'ID1&amp;5'!K:L,2,FALSE),"-")</f>
        <v>-</v>
      </c>
      <c r="M663" s="79" t="str">
        <f>+IFERROR(VLOOKUP(CONCATENATE(A663,$B$10,B663),'ID1&amp;5'!B:J,9,FALSE),"-")</f>
        <v>-</v>
      </c>
      <c r="N663" s="79" t="str">
        <f>+IFERROR(VLOOKUP(CONCATENATE(A663,$C$10,C663),'ID1&amp;5'!B:J,8,FALSE),"-")</f>
        <v>-</v>
      </c>
      <c r="O663" s="78" t="str">
        <f>+IFERROR(VLOOKUP(C663,'ID1&amp;5'!K:L,2,FALSE),"-")</f>
        <v>-</v>
      </c>
      <c r="P663" s="79" t="str">
        <f>+IFERROR(VLOOKUP(CONCATENATE(A663,$C$10,C663),'ID1&amp;5'!B:J,9,FALSE),"-")</f>
        <v>-</v>
      </c>
      <c r="Q663" s="78" t="str">
        <f>+IFERROR(VLOOKUP(D663,'ID1&amp;5'!K:L,2,FALSE),"-")</f>
        <v>-</v>
      </c>
      <c r="R663" s="26" t="str">
        <f>+IFERROR(VLOOKUP(CONCATENATE(A663,$D$10,D663),'ID1&amp;5'!B:J,9,FALSE),"-")</f>
        <v>-</v>
      </c>
      <c r="S663" s="78" t="str">
        <f>+IFERROR(VLOOKUP(E663,'ID1&amp;5'!K:L,2,FALSE),"-")</f>
        <v>-</v>
      </c>
      <c r="T663" s="79" t="str">
        <f>+IFERROR(VLOOKUP(CONCATENATE(A663,$E$10,E663),'ID1&amp;5'!B:J,9,FALSE),"-")</f>
        <v>-</v>
      </c>
      <c r="U663" s="78" t="str">
        <f>+IFERROR(VLOOKUP(F663,'ID1&amp;5'!K:L,2,FALSE),"-")</f>
        <v>-</v>
      </c>
      <c r="V663" s="79" t="str">
        <f>+IFERROR(VLOOKUP(CONCATENATE(A663,$F$10,F663),'ID1&amp;5'!B:J,9,FALSE),"-")</f>
        <v>-</v>
      </c>
      <c r="W663" s="26" t="str">
        <f>+IFERROR(VLOOKUP(A663,'ID6&amp;7'!A:I,9,FALSE),"-")</f>
        <v>-</v>
      </c>
      <c r="X663" s="26" t="str">
        <f>+IFERROR(VLOOKUP(A663,'ID6&amp;7'!A:J,10,FALSE),"-")</f>
        <v>-</v>
      </c>
      <c r="Y663" s="26"/>
      <c r="Z663" s="27" t="str">
        <f t="shared" si="11"/>
        <v>Em testes</v>
      </c>
      <c r="AA663" s="65"/>
    </row>
    <row r="664" spans="1:27">
      <c r="A664" s="20"/>
      <c r="B664" s="60"/>
      <c r="C664" s="60"/>
      <c r="D664" s="60"/>
      <c r="E664" s="60"/>
      <c r="F664" s="60"/>
      <c r="G664" s="60"/>
      <c r="H664" s="65" t="s">
        <v>304</v>
      </c>
      <c r="I664" s="21" t="s">
        <v>1557</v>
      </c>
      <c r="J664" s="26">
        <f>+COUNTIF('ID1&amp;5'!G:G,'1. Status'!I664)</f>
        <v>0</v>
      </c>
      <c r="K664" s="79" t="str">
        <f>+IFERROR(VLOOKUP(CONCATENATE(A664,$B$10,B664),'ID1&amp;5'!B:J,8,FALSE),"-")</f>
        <v>-</v>
      </c>
      <c r="L664" s="78" t="str">
        <f>+IFERROR(VLOOKUP(B664,'ID1&amp;5'!K:L,2,FALSE),"-")</f>
        <v>-</v>
      </c>
      <c r="M664" s="79" t="str">
        <f>+IFERROR(VLOOKUP(CONCATENATE(A664,$B$10,B664),'ID1&amp;5'!B:J,9,FALSE),"-")</f>
        <v>-</v>
      </c>
      <c r="N664" s="79" t="str">
        <f>+IFERROR(VLOOKUP(CONCATENATE(A664,$C$10,C664),'ID1&amp;5'!B:J,8,FALSE),"-")</f>
        <v>-</v>
      </c>
      <c r="O664" s="78" t="str">
        <f>+IFERROR(VLOOKUP(C664,'ID1&amp;5'!K:L,2,FALSE),"-")</f>
        <v>-</v>
      </c>
      <c r="P664" s="79" t="str">
        <f>+IFERROR(VLOOKUP(CONCATENATE(A664,$C$10,C664),'ID1&amp;5'!B:J,9,FALSE),"-")</f>
        <v>-</v>
      </c>
      <c r="Q664" s="78" t="str">
        <f>+IFERROR(VLOOKUP(D664,'ID1&amp;5'!K:L,2,FALSE),"-")</f>
        <v>-</v>
      </c>
      <c r="R664" s="26" t="str">
        <f>+IFERROR(VLOOKUP(CONCATENATE(A664,$D$10,D664),'ID1&amp;5'!B:J,9,FALSE),"-")</f>
        <v>-</v>
      </c>
      <c r="S664" s="78" t="str">
        <f>+IFERROR(VLOOKUP(E664,'ID1&amp;5'!K:L,2,FALSE),"-")</f>
        <v>-</v>
      </c>
      <c r="T664" s="79" t="str">
        <f>+IFERROR(VLOOKUP(CONCATENATE(A664,$E$10,E664),'ID1&amp;5'!B:J,9,FALSE),"-")</f>
        <v>-</v>
      </c>
      <c r="U664" s="78" t="str">
        <f>+IFERROR(VLOOKUP(F664,'ID1&amp;5'!K:L,2,FALSE),"-")</f>
        <v>-</v>
      </c>
      <c r="V664" s="79" t="str">
        <f>+IFERROR(VLOOKUP(CONCATENATE(A664,$F$10,F664),'ID1&amp;5'!B:J,9,FALSE),"-")</f>
        <v>-</v>
      </c>
      <c r="W664" s="26" t="str">
        <f>+IFERROR(VLOOKUP(A664,'ID6&amp;7'!A:I,9,FALSE),"-")</f>
        <v>-</v>
      </c>
      <c r="X664" s="26" t="str">
        <f>+IFERROR(VLOOKUP(A664,'ID6&amp;7'!A:J,10,FALSE),"-")</f>
        <v>-</v>
      </c>
      <c r="Y664" s="26"/>
      <c r="Z664" s="27" t="str">
        <f t="shared" si="11"/>
        <v>Por iniciar</v>
      </c>
      <c r="AA664" s="65"/>
    </row>
    <row r="665" spans="1:27">
      <c r="A665" s="20"/>
      <c r="B665" s="60"/>
      <c r="C665" s="60"/>
      <c r="D665" s="60"/>
      <c r="E665" s="60"/>
      <c r="F665" s="60"/>
      <c r="G665" s="60"/>
      <c r="H665" s="65" t="s">
        <v>304</v>
      </c>
      <c r="I665" s="21" t="s">
        <v>1558</v>
      </c>
      <c r="J665" s="26">
        <f>+COUNTIF('ID1&amp;5'!G:G,'1. Status'!I665)</f>
        <v>1</v>
      </c>
      <c r="K665" s="79" t="str">
        <f>+IFERROR(VLOOKUP(CONCATENATE(A665,$B$10,B665),'ID1&amp;5'!B:J,8,FALSE),"-")</f>
        <v>-</v>
      </c>
      <c r="L665" s="78" t="str">
        <f>+IFERROR(VLOOKUP(B665,'ID1&amp;5'!K:L,2,FALSE),"-")</f>
        <v>-</v>
      </c>
      <c r="M665" s="79" t="str">
        <f>+IFERROR(VLOOKUP(CONCATENATE(A665,$B$10,B665),'ID1&amp;5'!B:J,9,FALSE),"-")</f>
        <v>-</v>
      </c>
      <c r="N665" s="79" t="str">
        <f>+IFERROR(VLOOKUP(CONCATENATE(A665,$C$10,C665),'ID1&amp;5'!B:J,8,FALSE),"-")</f>
        <v>-</v>
      </c>
      <c r="O665" s="78" t="str">
        <f>+IFERROR(VLOOKUP(C665,'ID1&amp;5'!K:L,2,FALSE),"-")</f>
        <v>-</v>
      </c>
      <c r="P665" s="79" t="str">
        <f>+IFERROR(VLOOKUP(CONCATENATE(A665,$C$10,C665),'ID1&amp;5'!B:J,9,FALSE),"-")</f>
        <v>-</v>
      </c>
      <c r="Q665" s="78" t="str">
        <f>+IFERROR(VLOOKUP(D665,'ID1&amp;5'!K:L,2,FALSE),"-")</f>
        <v>-</v>
      </c>
      <c r="R665" s="26" t="str">
        <f>+IFERROR(VLOOKUP(CONCATENATE(A665,$D$10,D665),'ID1&amp;5'!B:J,9,FALSE),"-")</f>
        <v>-</v>
      </c>
      <c r="S665" s="78" t="str">
        <f>+IFERROR(VLOOKUP(E665,'ID1&amp;5'!K:L,2,FALSE),"-")</f>
        <v>-</v>
      </c>
      <c r="T665" s="79" t="str">
        <f>+IFERROR(VLOOKUP(CONCATENATE(A665,$E$10,E665),'ID1&amp;5'!B:J,9,FALSE),"-")</f>
        <v>-</v>
      </c>
      <c r="U665" s="78" t="str">
        <f>+IFERROR(VLOOKUP(F665,'ID1&amp;5'!K:L,2,FALSE),"-")</f>
        <v>-</v>
      </c>
      <c r="V665" s="79" t="str">
        <f>+IFERROR(VLOOKUP(CONCATENATE(A665,$F$10,F665),'ID1&amp;5'!B:J,9,FALSE),"-")</f>
        <v>-</v>
      </c>
      <c r="W665" s="26" t="str">
        <f>+IFERROR(VLOOKUP(A665,'ID6&amp;7'!A:I,9,FALSE),"-")</f>
        <v>-</v>
      </c>
      <c r="X665" s="26" t="str">
        <f>+IFERROR(VLOOKUP(A665,'ID6&amp;7'!A:J,10,FALSE),"-")</f>
        <v>-</v>
      </c>
      <c r="Y665" s="26"/>
      <c r="Z665" s="27" t="str">
        <f t="shared" si="11"/>
        <v>Em testes</v>
      </c>
      <c r="AA665" s="65"/>
    </row>
    <row r="666" spans="1:27">
      <c r="A666" s="20"/>
      <c r="B666" s="60"/>
      <c r="C666" s="60"/>
      <c r="D666" s="60"/>
      <c r="E666" s="60"/>
      <c r="F666" s="60"/>
      <c r="G666" s="60"/>
      <c r="H666" s="65" t="s">
        <v>304</v>
      </c>
      <c r="I666" s="21" t="s">
        <v>285</v>
      </c>
      <c r="J666" s="26">
        <f>+COUNTIF('ID1&amp;5'!G:G,'1. Status'!I666)</f>
        <v>1</v>
      </c>
      <c r="K666" s="79" t="str">
        <f>+IFERROR(VLOOKUP(CONCATENATE(A666,$B$10,B666),'ID1&amp;5'!B:J,8,FALSE),"-")</f>
        <v>-</v>
      </c>
      <c r="L666" s="78" t="str">
        <f>+IFERROR(VLOOKUP(B666,'ID1&amp;5'!K:L,2,FALSE),"-")</f>
        <v>-</v>
      </c>
      <c r="M666" s="79" t="str">
        <f>+IFERROR(VLOOKUP(CONCATENATE(A666,$B$10,B666),'ID1&amp;5'!B:J,9,FALSE),"-")</f>
        <v>-</v>
      </c>
      <c r="N666" s="79" t="str">
        <f>+IFERROR(VLOOKUP(CONCATENATE(A666,$C$10,C666),'ID1&amp;5'!B:J,8,FALSE),"-")</f>
        <v>-</v>
      </c>
      <c r="O666" s="78" t="str">
        <f>+IFERROR(VLOOKUP(C666,'ID1&amp;5'!K:L,2,FALSE),"-")</f>
        <v>-</v>
      </c>
      <c r="P666" s="79" t="str">
        <f>+IFERROR(VLOOKUP(CONCATENATE(A666,$C$10,C666),'ID1&amp;5'!B:J,9,FALSE),"-")</f>
        <v>-</v>
      </c>
      <c r="Q666" s="78" t="str">
        <f>+IFERROR(VLOOKUP(D666,'ID1&amp;5'!K:L,2,FALSE),"-")</f>
        <v>-</v>
      </c>
      <c r="R666" s="26" t="str">
        <f>+IFERROR(VLOOKUP(CONCATENATE(A666,$D$10,D666),'ID1&amp;5'!B:J,9,FALSE),"-")</f>
        <v>-</v>
      </c>
      <c r="S666" s="78" t="str">
        <f>+IFERROR(VLOOKUP(E666,'ID1&amp;5'!K:L,2,FALSE),"-")</f>
        <v>-</v>
      </c>
      <c r="T666" s="79" t="str">
        <f>+IFERROR(VLOOKUP(CONCATENATE(A666,$E$10,E666),'ID1&amp;5'!B:J,9,FALSE),"-")</f>
        <v>-</v>
      </c>
      <c r="U666" s="78" t="str">
        <f>+IFERROR(VLOOKUP(F666,'ID1&amp;5'!K:L,2,FALSE),"-")</f>
        <v>-</v>
      </c>
      <c r="V666" s="79" t="str">
        <f>+IFERROR(VLOOKUP(CONCATENATE(A666,$F$10,F666),'ID1&amp;5'!B:J,9,FALSE),"-")</f>
        <v>-</v>
      </c>
      <c r="W666" s="26" t="str">
        <f>+IFERROR(VLOOKUP(A666,'ID6&amp;7'!A:I,9,FALSE),"-")</f>
        <v>-</v>
      </c>
      <c r="X666" s="26" t="str">
        <f>+IFERROR(VLOOKUP(A666,'ID6&amp;7'!A:J,10,FALSE),"-")</f>
        <v>-</v>
      </c>
      <c r="Y666" s="26"/>
      <c r="Z666" s="27" t="str">
        <f t="shared" si="11"/>
        <v>Em testes</v>
      </c>
      <c r="AA666" s="65"/>
    </row>
    <row r="667" spans="1:27">
      <c r="A667" s="20"/>
      <c r="B667" s="60"/>
      <c r="C667" s="60"/>
      <c r="D667" s="60"/>
      <c r="E667" s="60"/>
      <c r="F667" s="60"/>
      <c r="G667" s="60"/>
      <c r="H667" s="65" t="s">
        <v>304</v>
      </c>
      <c r="I667" s="21" t="s">
        <v>1475</v>
      </c>
      <c r="J667" s="26">
        <f>+COUNTIF('ID1&amp;5'!G:G,'1. Status'!I667)</f>
        <v>1</v>
      </c>
      <c r="K667" s="79" t="str">
        <f>+IFERROR(VLOOKUP(CONCATENATE(A667,$B$10,B667),'ID1&amp;5'!B:J,8,FALSE),"-")</f>
        <v>-</v>
      </c>
      <c r="L667" s="78" t="str">
        <f>+IFERROR(VLOOKUP(B667,'ID1&amp;5'!K:L,2,FALSE),"-")</f>
        <v>-</v>
      </c>
      <c r="M667" s="79" t="str">
        <f>+IFERROR(VLOOKUP(CONCATENATE(A667,$B$10,B667),'ID1&amp;5'!B:J,9,FALSE),"-")</f>
        <v>-</v>
      </c>
      <c r="N667" s="79" t="str">
        <f>+IFERROR(VLOOKUP(CONCATENATE(A667,$C$10,C667),'ID1&amp;5'!B:J,8,FALSE),"-")</f>
        <v>-</v>
      </c>
      <c r="O667" s="78" t="str">
        <f>+IFERROR(VLOOKUP(C667,'ID1&amp;5'!K:L,2,FALSE),"-")</f>
        <v>-</v>
      </c>
      <c r="P667" s="79" t="str">
        <f>+IFERROR(VLOOKUP(CONCATENATE(A667,$C$10,C667),'ID1&amp;5'!B:J,9,FALSE),"-")</f>
        <v>-</v>
      </c>
      <c r="Q667" s="78" t="str">
        <f>+IFERROR(VLOOKUP(D667,'ID1&amp;5'!K:L,2,FALSE),"-")</f>
        <v>-</v>
      </c>
      <c r="R667" s="26" t="str">
        <f>+IFERROR(VLOOKUP(CONCATENATE(A667,$D$10,D667),'ID1&amp;5'!B:J,9,FALSE),"-")</f>
        <v>-</v>
      </c>
      <c r="S667" s="78" t="str">
        <f>+IFERROR(VLOOKUP(E667,'ID1&amp;5'!K:L,2,FALSE),"-")</f>
        <v>-</v>
      </c>
      <c r="T667" s="79" t="str">
        <f>+IFERROR(VLOOKUP(CONCATENATE(A667,$E$10,E667),'ID1&amp;5'!B:J,9,FALSE),"-")</f>
        <v>-</v>
      </c>
      <c r="U667" s="78" t="str">
        <f>+IFERROR(VLOOKUP(F667,'ID1&amp;5'!K:L,2,FALSE),"-")</f>
        <v>-</v>
      </c>
      <c r="V667" s="79" t="str">
        <f>+IFERROR(VLOOKUP(CONCATENATE(A667,$F$10,F667),'ID1&amp;5'!B:J,9,FALSE),"-")</f>
        <v>-</v>
      </c>
      <c r="W667" s="26" t="str">
        <f>+IFERROR(VLOOKUP(A667,'ID6&amp;7'!A:I,9,FALSE),"-")</f>
        <v>-</v>
      </c>
      <c r="X667" s="26" t="str">
        <f>+IFERROR(VLOOKUP(A667,'ID6&amp;7'!A:J,10,FALSE),"-")</f>
        <v>-</v>
      </c>
      <c r="Y667" s="26"/>
      <c r="Z667" s="27" t="str">
        <f t="shared" si="11"/>
        <v>Em testes</v>
      </c>
      <c r="AA667" s="65"/>
    </row>
    <row r="668" spans="1:27">
      <c r="A668" s="20"/>
      <c r="B668" s="60"/>
      <c r="C668" s="60"/>
      <c r="D668" s="60"/>
      <c r="E668" s="60"/>
      <c r="F668" s="60"/>
      <c r="G668" s="60"/>
      <c r="H668" s="65" t="s">
        <v>304</v>
      </c>
      <c r="I668" s="21" t="s">
        <v>1174</v>
      </c>
      <c r="J668" s="26">
        <f>+COUNTIF('ID1&amp;5'!G:G,'1. Status'!I668)</f>
        <v>1</v>
      </c>
      <c r="K668" s="79" t="str">
        <f>+IFERROR(VLOOKUP(CONCATENATE(A668,$B$10,B668),'ID1&amp;5'!B:J,8,FALSE),"-")</f>
        <v>-</v>
      </c>
      <c r="L668" s="78" t="str">
        <f>+IFERROR(VLOOKUP(B668,'ID1&amp;5'!K:L,2,FALSE),"-")</f>
        <v>-</v>
      </c>
      <c r="M668" s="79" t="str">
        <f>+IFERROR(VLOOKUP(CONCATENATE(A668,$B$10,B668),'ID1&amp;5'!B:J,9,FALSE),"-")</f>
        <v>-</v>
      </c>
      <c r="N668" s="79" t="str">
        <f>+IFERROR(VLOOKUP(CONCATENATE(A668,$C$10,C668),'ID1&amp;5'!B:J,8,FALSE),"-")</f>
        <v>-</v>
      </c>
      <c r="O668" s="78" t="str">
        <f>+IFERROR(VLOOKUP(C668,'ID1&amp;5'!K:L,2,FALSE),"-")</f>
        <v>-</v>
      </c>
      <c r="P668" s="79" t="str">
        <f>+IFERROR(VLOOKUP(CONCATENATE(A668,$C$10,C668),'ID1&amp;5'!B:J,9,FALSE),"-")</f>
        <v>-</v>
      </c>
      <c r="Q668" s="78" t="str">
        <f>+IFERROR(VLOOKUP(D668,'ID1&amp;5'!K:L,2,FALSE),"-")</f>
        <v>-</v>
      </c>
      <c r="R668" s="26" t="str">
        <f>+IFERROR(VLOOKUP(CONCATENATE(A668,$D$10,D668),'ID1&amp;5'!B:J,9,FALSE),"-")</f>
        <v>-</v>
      </c>
      <c r="S668" s="78" t="str">
        <f>+IFERROR(VLOOKUP(E668,'ID1&amp;5'!K:L,2,FALSE),"-")</f>
        <v>-</v>
      </c>
      <c r="T668" s="79" t="str">
        <f>+IFERROR(VLOOKUP(CONCATENATE(A668,$E$10,E668),'ID1&amp;5'!B:J,9,FALSE),"-")</f>
        <v>-</v>
      </c>
      <c r="U668" s="78" t="str">
        <f>+IFERROR(VLOOKUP(F668,'ID1&amp;5'!K:L,2,FALSE),"-")</f>
        <v>-</v>
      </c>
      <c r="V668" s="79" t="str">
        <f>+IFERROR(VLOOKUP(CONCATENATE(A668,$F$10,F668),'ID1&amp;5'!B:J,9,FALSE),"-")</f>
        <v>-</v>
      </c>
      <c r="W668" s="26" t="str">
        <f>+IFERROR(VLOOKUP(A668,'ID6&amp;7'!A:I,9,FALSE),"-")</f>
        <v>-</v>
      </c>
      <c r="X668" s="26" t="str">
        <f>+IFERROR(VLOOKUP(A668,'ID6&amp;7'!A:J,10,FALSE),"-")</f>
        <v>-</v>
      </c>
      <c r="Y668" s="26"/>
      <c r="Z668" s="27" t="str">
        <f t="shared" si="11"/>
        <v>Em testes</v>
      </c>
      <c r="AA668" s="65"/>
    </row>
    <row r="669" spans="1:27">
      <c r="A669" s="20"/>
      <c r="B669" s="60"/>
      <c r="C669" s="60"/>
      <c r="D669" s="60"/>
      <c r="E669" s="60"/>
      <c r="F669" s="60"/>
      <c r="G669" s="60"/>
      <c r="H669" s="65" t="s">
        <v>304</v>
      </c>
      <c r="I669" s="21" t="s">
        <v>1559</v>
      </c>
      <c r="J669" s="26">
        <f>+COUNTIF('ID1&amp;5'!G:G,'1. Status'!I669)</f>
        <v>0</v>
      </c>
      <c r="K669" s="79" t="str">
        <f>+IFERROR(VLOOKUP(CONCATENATE(A669,$B$10,B669),'ID1&amp;5'!B:J,8,FALSE),"-")</f>
        <v>-</v>
      </c>
      <c r="L669" s="78" t="str">
        <f>+IFERROR(VLOOKUP(B669,'ID1&amp;5'!K:L,2,FALSE),"-")</f>
        <v>-</v>
      </c>
      <c r="M669" s="79" t="str">
        <f>+IFERROR(VLOOKUP(CONCATENATE(A669,$B$10,B669),'ID1&amp;5'!B:J,9,FALSE),"-")</f>
        <v>-</v>
      </c>
      <c r="N669" s="79" t="str">
        <f>+IFERROR(VLOOKUP(CONCATENATE(A669,$C$10,C669),'ID1&amp;5'!B:J,8,FALSE),"-")</f>
        <v>-</v>
      </c>
      <c r="O669" s="78" t="str">
        <f>+IFERROR(VLOOKUP(C669,'ID1&amp;5'!K:L,2,FALSE),"-")</f>
        <v>-</v>
      </c>
      <c r="P669" s="79" t="str">
        <f>+IFERROR(VLOOKUP(CONCATENATE(A669,$C$10,C669),'ID1&amp;5'!B:J,9,FALSE),"-")</f>
        <v>-</v>
      </c>
      <c r="Q669" s="78" t="str">
        <f>+IFERROR(VLOOKUP(D669,'ID1&amp;5'!K:L,2,FALSE),"-")</f>
        <v>-</v>
      </c>
      <c r="R669" s="26" t="str">
        <f>+IFERROR(VLOOKUP(CONCATENATE(A669,$D$10,D669),'ID1&amp;5'!B:J,9,FALSE),"-")</f>
        <v>-</v>
      </c>
      <c r="S669" s="78" t="str">
        <f>+IFERROR(VLOOKUP(E669,'ID1&amp;5'!K:L,2,FALSE),"-")</f>
        <v>-</v>
      </c>
      <c r="T669" s="79" t="str">
        <f>+IFERROR(VLOOKUP(CONCATENATE(A669,$E$10,E669),'ID1&amp;5'!B:J,9,FALSE),"-")</f>
        <v>-</v>
      </c>
      <c r="U669" s="78" t="str">
        <f>+IFERROR(VLOOKUP(F669,'ID1&amp;5'!K:L,2,FALSE),"-")</f>
        <v>-</v>
      </c>
      <c r="V669" s="79" t="str">
        <f>+IFERROR(VLOOKUP(CONCATENATE(A669,$F$10,F669),'ID1&amp;5'!B:J,9,FALSE),"-")</f>
        <v>-</v>
      </c>
      <c r="W669" s="26" t="str">
        <f>+IFERROR(VLOOKUP(A669,'ID6&amp;7'!A:I,9,FALSE),"-")</f>
        <v>-</v>
      </c>
      <c r="X669" s="26" t="str">
        <f>+IFERROR(VLOOKUP(A669,'ID6&amp;7'!A:J,10,FALSE),"-")</f>
        <v>-</v>
      </c>
      <c r="Y669" s="26"/>
      <c r="Z669" s="27" t="str">
        <f t="shared" si="11"/>
        <v>Por iniciar</v>
      </c>
      <c r="AA669" s="65"/>
    </row>
    <row r="670" spans="1:27">
      <c r="A670" s="20"/>
      <c r="B670" s="60"/>
      <c r="C670" s="60"/>
      <c r="D670" s="60"/>
      <c r="E670" s="60"/>
      <c r="F670" s="60"/>
      <c r="G670" s="60"/>
      <c r="H670" s="65" t="s">
        <v>304</v>
      </c>
      <c r="I670" s="21" t="s">
        <v>1560</v>
      </c>
      <c r="J670" s="26">
        <f>+COUNTIF('ID1&amp;5'!G:G,'1. Status'!I670)</f>
        <v>0</v>
      </c>
      <c r="K670" s="79" t="str">
        <f>+IFERROR(VLOOKUP(CONCATENATE(A670,$B$10,B670),'ID1&amp;5'!B:J,8,FALSE),"-")</f>
        <v>-</v>
      </c>
      <c r="L670" s="78" t="str">
        <f>+IFERROR(VLOOKUP(B670,'ID1&amp;5'!K:L,2,FALSE),"-")</f>
        <v>-</v>
      </c>
      <c r="M670" s="79" t="str">
        <f>+IFERROR(VLOOKUP(CONCATENATE(A670,$B$10,B670),'ID1&amp;5'!B:J,9,FALSE),"-")</f>
        <v>-</v>
      </c>
      <c r="N670" s="79" t="str">
        <f>+IFERROR(VLOOKUP(CONCATENATE(A670,$C$10,C670),'ID1&amp;5'!B:J,8,FALSE),"-")</f>
        <v>-</v>
      </c>
      <c r="O670" s="78" t="str">
        <f>+IFERROR(VLOOKUP(C670,'ID1&amp;5'!K:L,2,FALSE),"-")</f>
        <v>-</v>
      </c>
      <c r="P670" s="79" t="str">
        <f>+IFERROR(VLOOKUP(CONCATENATE(A670,$C$10,C670),'ID1&amp;5'!B:J,9,FALSE),"-")</f>
        <v>-</v>
      </c>
      <c r="Q670" s="78" t="str">
        <f>+IFERROR(VLOOKUP(D670,'ID1&amp;5'!K:L,2,FALSE),"-")</f>
        <v>-</v>
      </c>
      <c r="R670" s="26" t="str">
        <f>+IFERROR(VLOOKUP(CONCATENATE(A670,$D$10,D670),'ID1&amp;5'!B:J,9,FALSE),"-")</f>
        <v>-</v>
      </c>
      <c r="S670" s="78" t="str">
        <f>+IFERROR(VLOOKUP(E670,'ID1&amp;5'!K:L,2,FALSE),"-")</f>
        <v>-</v>
      </c>
      <c r="T670" s="79" t="str">
        <f>+IFERROR(VLOOKUP(CONCATENATE(A670,$E$10,E670),'ID1&amp;5'!B:J,9,FALSE),"-")</f>
        <v>-</v>
      </c>
      <c r="U670" s="78" t="str">
        <f>+IFERROR(VLOOKUP(F670,'ID1&amp;5'!K:L,2,FALSE),"-")</f>
        <v>-</v>
      </c>
      <c r="V670" s="79" t="str">
        <f>+IFERROR(VLOOKUP(CONCATENATE(A670,$F$10,F670),'ID1&amp;5'!B:J,9,FALSE),"-")</f>
        <v>-</v>
      </c>
      <c r="W670" s="26" t="str">
        <f>+IFERROR(VLOOKUP(A670,'ID6&amp;7'!A:I,9,FALSE),"-")</f>
        <v>-</v>
      </c>
      <c r="X670" s="26" t="str">
        <f>+IFERROR(VLOOKUP(A670,'ID6&amp;7'!A:J,10,FALSE),"-")</f>
        <v>-</v>
      </c>
      <c r="Y670" s="26"/>
      <c r="Z670" s="27" t="str">
        <f t="shared" si="11"/>
        <v>Por iniciar</v>
      </c>
      <c r="AA670" s="65"/>
    </row>
    <row r="671" spans="1:27">
      <c r="A671" s="20"/>
      <c r="B671" s="60"/>
      <c r="C671" s="60"/>
      <c r="D671" s="60"/>
      <c r="E671" s="60"/>
      <c r="F671" s="60"/>
      <c r="G671" s="60"/>
      <c r="H671" s="65" t="s">
        <v>305</v>
      </c>
      <c r="I671" s="21" t="s">
        <v>26</v>
      </c>
      <c r="J671" s="26">
        <f>+COUNTIF('ID1&amp;5'!G:G,'1. Status'!I671)</f>
        <v>0</v>
      </c>
      <c r="K671" s="79" t="str">
        <f>+IFERROR(VLOOKUP(CONCATENATE(A671,$B$10,B671),'ID1&amp;5'!B:J,8,FALSE),"-")</f>
        <v>-</v>
      </c>
      <c r="L671" s="78" t="str">
        <f>+IFERROR(VLOOKUP(B671,'ID1&amp;5'!K:L,2,FALSE),"-")</f>
        <v>-</v>
      </c>
      <c r="M671" s="79" t="str">
        <f>+IFERROR(VLOOKUP(CONCATENATE(A671,$B$10,B671),'ID1&amp;5'!B:J,9,FALSE),"-")</f>
        <v>-</v>
      </c>
      <c r="N671" s="79" t="str">
        <f>+IFERROR(VLOOKUP(CONCATENATE(A671,$C$10,C671),'ID1&amp;5'!B:J,8,FALSE),"-")</f>
        <v>-</v>
      </c>
      <c r="O671" s="78" t="str">
        <f>+IFERROR(VLOOKUP(C671,'ID1&amp;5'!K:L,2,FALSE),"-")</f>
        <v>-</v>
      </c>
      <c r="P671" s="79" t="str">
        <f>+IFERROR(VLOOKUP(CONCATENATE(A671,$C$10,C671),'ID1&amp;5'!B:J,9,FALSE),"-")</f>
        <v>-</v>
      </c>
      <c r="Q671" s="78" t="str">
        <f>+IFERROR(VLOOKUP(D671,'ID1&amp;5'!K:L,2,FALSE),"-")</f>
        <v>-</v>
      </c>
      <c r="R671" s="26" t="str">
        <f>+IFERROR(VLOOKUP(CONCATENATE(A671,$D$10,D671),'ID1&amp;5'!B:J,9,FALSE),"-")</f>
        <v>-</v>
      </c>
      <c r="S671" s="78" t="str">
        <f>+IFERROR(VLOOKUP(E671,'ID1&amp;5'!K:L,2,FALSE),"-")</f>
        <v>-</v>
      </c>
      <c r="T671" s="79" t="str">
        <f>+IFERROR(VLOOKUP(CONCATENATE(A671,$E$10,E671),'ID1&amp;5'!B:J,9,FALSE),"-")</f>
        <v>-</v>
      </c>
      <c r="U671" s="78" t="str">
        <f>+IFERROR(VLOOKUP(F671,'ID1&amp;5'!K:L,2,FALSE),"-")</f>
        <v>-</v>
      </c>
      <c r="V671" s="79" t="str">
        <f>+IFERROR(VLOOKUP(CONCATENATE(A671,$F$10,F671),'ID1&amp;5'!B:J,9,FALSE),"-")</f>
        <v>-</v>
      </c>
      <c r="W671" s="26" t="str">
        <f>+IFERROR(VLOOKUP(A671,'ID6&amp;7'!A:I,9,FALSE),"-")</f>
        <v>-</v>
      </c>
      <c r="X671" s="26" t="str">
        <f>+IFERROR(VLOOKUP(A671,'ID6&amp;7'!A:J,10,FALSE),"-")</f>
        <v>-</v>
      </c>
      <c r="Y671" s="26"/>
      <c r="Z671" s="27" t="str">
        <f t="shared" si="11"/>
        <v>Por iniciar</v>
      </c>
      <c r="AA671" s="65"/>
    </row>
    <row r="672" spans="1:27">
      <c r="A672" s="20"/>
      <c r="B672" s="60"/>
      <c r="C672" s="60"/>
      <c r="D672" s="60"/>
      <c r="E672" s="60"/>
      <c r="F672" s="60"/>
      <c r="G672" s="60"/>
      <c r="H672" s="65" t="s">
        <v>305</v>
      </c>
      <c r="I672" s="21" t="s">
        <v>28</v>
      </c>
      <c r="J672" s="26">
        <f>+COUNTIF('ID1&amp;5'!G:G,'1. Status'!I672)</f>
        <v>0</v>
      </c>
      <c r="K672" s="79" t="str">
        <f>+IFERROR(VLOOKUP(CONCATENATE(A672,$B$10,B672),'ID1&amp;5'!B:J,8,FALSE),"-")</f>
        <v>-</v>
      </c>
      <c r="L672" s="78" t="str">
        <f>+IFERROR(VLOOKUP(B672,'ID1&amp;5'!K:L,2,FALSE),"-")</f>
        <v>-</v>
      </c>
      <c r="M672" s="79" t="str">
        <f>+IFERROR(VLOOKUP(CONCATENATE(A672,$B$10,B672),'ID1&amp;5'!B:J,9,FALSE),"-")</f>
        <v>-</v>
      </c>
      <c r="N672" s="79" t="str">
        <f>+IFERROR(VLOOKUP(CONCATENATE(A672,$C$10,C672),'ID1&amp;5'!B:J,8,FALSE),"-")</f>
        <v>-</v>
      </c>
      <c r="O672" s="78" t="str">
        <f>+IFERROR(VLOOKUP(C672,'ID1&amp;5'!K:L,2,FALSE),"-")</f>
        <v>-</v>
      </c>
      <c r="P672" s="79" t="str">
        <f>+IFERROR(VLOOKUP(CONCATENATE(A672,$C$10,C672),'ID1&amp;5'!B:J,9,FALSE),"-")</f>
        <v>-</v>
      </c>
      <c r="Q672" s="78" t="str">
        <f>+IFERROR(VLOOKUP(D672,'ID1&amp;5'!K:L,2,FALSE),"-")</f>
        <v>-</v>
      </c>
      <c r="R672" s="26" t="str">
        <f>+IFERROR(VLOOKUP(CONCATENATE(A672,$D$10,D672),'ID1&amp;5'!B:J,9,FALSE),"-")</f>
        <v>-</v>
      </c>
      <c r="S672" s="78" t="str">
        <f>+IFERROR(VLOOKUP(E672,'ID1&amp;5'!K:L,2,FALSE),"-")</f>
        <v>-</v>
      </c>
      <c r="T672" s="79" t="str">
        <f>+IFERROR(VLOOKUP(CONCATENATE(A672,$E$10,E672),'ID1&amp;5'!B:J,9,FALSE),"-")</f>
        <v>-</v>
      </c>
      <c r="U672" s="78" t="str">
        <f>+IFERROR(VLOOKUP(F672,'ID1&amp;5'!K:L,2,FALSE),"-")</f>
        <v>-</v>
      </c>
      <c r="V672" s="79" t="str">
        <f>+IFERROR(VLOOKUP(CONCATENATE(A672,$F$10,F672),'ID1&amp;5'!B:J,9,FALSE),"-")</f>
        <v>-</v>
      </c>
      <c r="W672" s="26" t="str">
        <f>+IFERROR(VLOOKUP(A672,'ID6&amp;7'!A:I,9,FALSE),"-")</f>
        <v>-</v>
      </c>
      <c r="X672" s="26" t="str">
        <f>+IFERROR(VLOOKUP(A672,'ID6&amp;7'!A:J,10,FALSE),"-")</f>
        <v>-</v>
      </c>
      <c r="Y672" s="26"/>
      <c r="Z672" s="27" t="str">
        <f t="shared" si="11"/>
        <v>Por iniciar</v>
      </c>
      <c r="AA672" s="65"/>
    </row>
    <row r="673" spans="1:27">
      <c r="A673" s="20"/>
      <c r="B673" s="60"/>
      <c r="C673" s="60"/>
      <c r="D673" s="60"/>
      <c r="E673" s="60"/>
      <c r="F673" s="60"/>
      <c r="G673" s="60"/>
      <c r="H673" s="65" t="s">
        <v>305</v>
      </c>
      <c r="I673" s="21" t="s">
        <v>721</v>
      </c>
      <c r="J673" s="26">
        <f>+COUNTIF('ID1&amp;5'!G:G,'1. Status'!I673)</f>
        <v>1</v>
      </c>
      <c r="K673" s="79" t="str">
        <f>+IFERROR(VLOOKUP(CONCATENATE(A673,$B$10,B673),'ID1&amp;5'!B:J,8,FALSE),"-")</f>
        <v>-</v>
      </c>
      <c r="L673" s="78" t="str">
        <f>+IFERROR(VLOOKUP(B673,'ID1&amp;5'!K:L,2,FALSE),"-")</f>
        <v>-</v>
      </c>
      <c r="M673" s="79" t="str">
        <f>+IFERROR(VLOOKUP(CONCATENATE(A673,$B$10,B673),'ID1&amp;5'!B:J,9,FALSE),"-")</f>
        <v>-</v>
      </c>
      <c r="N673" s="79" t="str">
        <f>+IFERROR(VLOOKUP(CONCATENATE(A673,$C$10,C673),'ID1&amp;5'!B:J,8,FALSE),"-")</f>
        <v>-</v>
      </c>
      <c r="O673" s="78" t="str">
        <f>+IFERROR(VLOOKUP(C673,'ID1&amp;5'!K:L,2,FALSE),"-")</f>
        <v>-</v>
      </c>
      <c r="P673" s="79" t="str">
        <f>+IFERROR(VLOOKUP(CONCATENATE(A673,$C$10,C673),'ID1&amp;5'!B:J,9,FALSE),"-")</f>
        <v>-</v>
      </c>
      <c r="Q673" s="78" t="str">
        <f>+IFERROR(VLOOKUP(D673,'ID1&amp;5'!K:L,2,FALSE),"-")</f>
        <v>-</v>
      </c>
      <c r="R673" s="26" t="str">
        <f>+IFERROR(VLOOKUP(CONCATENATE(A673,$D$10,D673),'ID1&amp;5'!B:J,9,FALSE),"-")</f>
        <v>-</v>
      </c>
      <c r="S673" s="78" t="str">
        <f>+IFERROR(VLOOKUP(E673,'ID1&amp;5'!K:L,2,FALSE),"-")</f>
        <v>-</v>
      </c>
      <c r="T673" s="79" t="str">
        <f>+IFERROR(VLOOKUP(CONCATENATE(A673,$E$10,E673),'ID1&amp;5'!B:J,9,FALSE),"-")</f>
        <v>-</v>
      </c>
      <c r="U673" s="78" t="str">
        <f>+IFERROR(VLOOKUP(F673,'ID1&amp;5'!K:L,2,FALSE),"-")</f>
        <v>-</v>
      </c>
      <c r="V673" s="79" t="str">
        <f>+IFERROR(VLOOKUP(CONCATENATE(A673,$F$10,F673),'ID1&amp;5'!B:J,9,FALSE),"-")</f>
        <v>-</v>
      </c>
      <c r="W673" s="26" t="str">
        <f>+IFERROR(VLOOKUP(A673,'ID6&amp;7'!A:I,9,FALSE),"-")</f>
        <v>-</v>
      </c>
      <c r="X673" s="26" t="str">
        <f>+IFERROR(VLOOKUP(A673,'ID6&amp;7'!A:J,10,FALSE),"-")</f>
        <v>-</v>
      </c>
      <c r="Y673" s="26"/>
      <c r="Z673" s="27" t="str">
        <f t="shared" si="11"/>
        <v>Em testes</v>
      </c>
      <c r="AA673" s="65"/>
    </row>
    <row r="674" spans="1:27">
      <c r="A674" s="20"/>
      <c r="B674" s="60"/>
      <c r="C674" s="60"/>
      <c r="D674" s="60"/>
      <c r="E674" s="60"/>
      <c r="F674" s="60"/>
      <c r="G674" s="60"/>
      <c r="H674" s="65" t="s">
        <v>305</v>
      </c>
      <c r="I674" s="21" t="s">
        <v>1561</v>
      </c>
      <c r="J674" s="26">
        <f>+COUNTIF('ID1&amp;5'!G:G,'1. Status'!I674)</f>
        <v>0</v>
      </c>
      <c r="K674" s="79" t="str">
        <f>+IFERROR(VLOOKUP(CONCATENATE(A674,$B$10,B674),'ID1&amp;5'!B:J,8,FALSE),"-")</f>
        <v>-</v>
      </c>
      <c r="L674" s="78" t="str">
        <f>+IFERROR(VLOOKUP(B674,'ID1&amp;5'!K:L,2,FALSE),"-")</f>
        <v>-</v>
      </c>
      <c r="M674" s="79" t="str">
        <f>+IFERROR(VLOOKUP(CONCATENATE(A674,$B$10,B674),'ID1&amp;5'!B:J,9,FALSE),"-")</f>
        <v>-</v>
      </c>
      <c r="N674" s="79" t="str">
        <f>+IFERROR(VLOOKUP(CONCATENATE(A674,$C$10,C674),'ID1&amp;5'!B:J,8,FALSE),"-")</f>
        <v>-</v>
      </c>
      <c r="O674" s="78" t="str">
        <f>+IFERROR(VLOOKUP(C674,'ID1&amp;5'!K:L,2,FALSE),"-")</f>
        <v>-</v>
      </c>
      <c r="P674" s="79" t="str">
        <f>+IFERROR(VLOOKUP(CONCATENATE(A674,$C$10,C674),'ID1&amp;5'!B:J,9,FALSE),"-")</f>
        <v>-</v>
      </c>
      <c r="Q674" s="78" t="str">
        <f>+IFERROR(VLOOKUP(D674,'ID1&amp;5'!K:L,2,FALSE),"-")</f>
        <v>-</v>
      </c>
      <c r="R674" s="26" t="str">
        <f>+IFERROR(VLOOKUP(CONCATENATE(A674,$D$10,D674),'ID1&amp;5'!B:J,9,FALSE),"-")</f>
        <v>-</v>
      </c>
      <c r="S674" s="78" t="str">
        <f>+IFERROR(VLOOKUP(E674,'ID1&amp;5'!K:L,2,FALSE),"-")</f>
        <v>-</v>
      </c>
      <c r="T674" s="79" t="str">
        <f>+IFERROR(VLOOKUP(CONCATENATE(A674,$E$10,E674),'ID1&amp;5'!B:J,9,FALSE),"-")</f>
        <v>-</v>
      </c>
      <c r="U674" s="78" t="str">
        <f>+IFERROR(VLOOKUP(F674,'ID1&amp;5'!K:L,2,FALSE),"-")</f>
        <v>-</v>
      </c>
      <c r="V674" s="79" t="str">
        <f>+IFERROR(VLOOKUP(CONCATENATE(A674,$F$10,F674),'ID1&amp;5'!B:J,9,FALSE),"-")</f>
        <v>-</v>
      </c>
      <c r="W674" s="26" t="str">
        <f>+IFERROR(VLOOKUP(A674,'ID6&amp;7'!A:I,9,FALSE),"-")</f>
        <v>-</v>
      </c>
      <c r="X674" s="26" t="str">
        <f>+IFERROR(VLOOKUP(A674,'ID6&amp;7'!A:J,10,FALSE),"-")</f>
        <v>-</v>
      </c>
      <c r="Y674" s="26"/>
      <c r="Z674" s="27" t="str">
        <f t="shared" si="11"/>
        <v>Por iniciar</v>
      </c>
      <c r="AA674" s="65"/>
    </row>
    <row r="675" spans="1:27">
      <c r="A675" s="20"/>
      <c r="B675" s="60"/>
      <c r="C675" s="60"/>
      <c r="D675" s="60"/>
      <c r="E675" s="60"/>
      <c r="F675" s="60"/>
      <c r="G675" s="60"/>
      <c r="H675" s="65" t="s">
        <v>305</v>
      </c>
      <c r="I675" s="21" t="s">
        <v>1562</v>
      </c>
      <c r="J675" s="26">
        <f>+COUNTIF('ID1&amp;5'!G:G,'1. Status'!I675)</f>
        <v>0</v>
      </c>
      <c r="K675" s="79" t="str">
        <f>+IFERROR(VLOOKUP(CONCATENATE(A675,$B$10,B675),'ID1&amp;5'!B:J,8,FALSE),"-")</f>
        <v>-</v>
      </c>
      <c r="L675" s="78" t="str">
        <f>+IFERROR(VLOOKUP(B675,'ID1&amp;5'!K:L,2,FALSE),"-")</f>
        <v>-</v>
      </c>
      <c r="M675" s="79" t="str">
        <f>+IFERROR(VLOOKUP(CONCATENATE(A675,$B$10,B675),'ID1&amp;5'!B:J,9,FALSE),"-")</f>
        <v>-</v>
      </c>
      <c r="N675" s="79" t="str">
        <f>+IFERROR(VLOOKUP(CONCATENATE(A675,$C$10,C675),'ID1&amp;5'!B:J,8,FALSE),"-")</f>
        <v>-</v>
      </c>
      <c r="O675" s="78" t="str">
        <f>+IFERROR(VLOOKUP(C675,'ID1&amp;5'!K:L,2,FALSE),"-")</f>
        <v>-</v>
      </c>
      <c r="P675" s="79" t="str">
        <f>+IFERROR(VLOOKUP(CONCATENATE(A675,$C$10,C675),'ID1&amp;5'!B:J,9,FALSE),"-")</f>
        <v>-</v>
      </c>
      <c r="Q675" s="78" t="str">
        <f>+IFERROR(VLOOKUP(D675,'ID1&amp;5'!K:L,2,FALSE),"-")</f>
        <v>-</v>
      </c>
      <c r="R675" s="26" t="str">
        <f>+IFERROR(VLOOKUP(CONCATENATE(A675,$D$10,D675),'ID1&amp;5'!B:J,9,FALSE),"-")</f>
        <v>-</v>
      </c>
      <c r="S675" s="78" t="str">
        <f>+IFERROR(VLOOKUP(E675,'ID1&amp;5'!K:L,2,FALSE),"-")</f>
        <v>-</v>
      </c>
      <c r="T675" s="79" t="str">
        <f>+IFERROR(VLOOKUP(CONCATENATE(A675,$E$10,E675),'ID1&amp;5'!B:J,9,FALSE),"-")</f>
        <v>-</v>
      </c>
      <c r="U675" s="78" t="str">
        <f>+IFERROR(VLOOKUP(F675,'ID1&amp;5'!K:L,2,FALSE),"-")</f>
        <v>-</v>
      </c>
      <c r="V675" s="79" t="str">
        <f>+IFERROR(VLOOKUP(CONCATENATE(A675,$F$10,F675),'ID1&amp;5'!B:J,9,FALSE),"-")</f>
        <v>-</v>
      </c>
      <c r="W675" s="26" t="str">
        <f>+IFERROR(VLOOKUP(A675,'ID6&amp;7'!A:I,9,FALSE),"-")</f>
        <v>-</v>
      </c>
      <c r="X675" s="26" t="str">
        <f>+IFERROR(VLOOKUP(A675,'ID6&amp;7'!A:J,10,FALSE),"-")</f>
        <v>-</v>
      </c>
      <c r="Y675" s="26"/>
      <c r="Z675" s="27" t="str">
        <f t="shared" si="11"/>
        <v>Por iniciar</v>
      </c>
      <c r="AA675" s="65"/>
    </row>
    <row r="676" spans="1:27">
      <c r="A676" s="20"/>
      <c r="B676" s="60"/>
      <c r="C676" s="60"/>
      <c r="D676" s="60"/>
      <c r="E676" s="60"/>
      <c r="F676" s="60"/>
      <c r="G676" s="60"/>
      <c r="H676" s="65" t="s">
        <v>305</v>
      </c>
      <c r="I676" s="21" t="s">
        <v>1563</v>
      </c>
      <c r="J676" s="26">
        <f>+COUNTIF('ID1&amp;5'!G:G,'1. Status'!I676)</f>
        <v>0</v>
      </c>
      <c r="K676" s="79" t="str">
        <f>+IFERROR(VLOOKUP(CONCATENATE(A676,$B$10,B676),'ID1&amp;5'!B:J,8,FALSE),"-")</f>
        <v>-</v>
      </c>
      <c r="L676" s="78" t="str">
        <f>+IFERROR(VLOOKUP(B676,'ID1&amp;5'!K:L,2,FALSE),"-")</f>
        <v>-</v>
      </c>
      <c r="M676" s="79" t="str">
        <f>+IFERROR(VLOOKUP(CONCATENATE(A676,$B$10,B676),'ID1&amp;5'!B:J,9,FALSE),"-")</f>
        <v>-</v>
      </c>
      <c r="N676" s="79" t="str">
        <f>+IFERROR(VLOOKUP(CONCATENATE(A676,$C$10,C676),'ID1&amp;5'!B:J,8,FALSE),"-")</f>
        <v>-</v>
      </c>
      <c r="O676" s="78" t="str">
        <f>+IFERROR(VLOOKUP(C676,'ID1&amp;5'!K:L,2,FALSE),"-")</f>
        <v>-</v>
      </c>
      <c r="P676" s="79" t="str">
        <f>+IFERROR(VLOOKUP(CONCATENATE(A676,$C$10,C676),'ID1&amp;5'!B:J,9,FALSE),"-")</f>
        <v>-</v>
      </c>
      <c r="Q676" s="78" t="str">
        <f>+IFERROR(VLOOKUP(D676,'ID1&amp;5'!K:L,2,FALSE),"-")</f>
        <v>-</v>
      </c>
      <c r="R676" s="26" t="str">
        <f>+IFERROR(VLOOKUP(CONCATENATE(A676,$D$10,D676),'ID1&amp;5'!B:J,9,FALSE),"-")</f>
        <v>-</v>
      </c>
      <c r="S676" s="78" t="str">
        <f>+IFERROR(VLOOKUP(E676,'ID1&amp;5'!K:L,2,FALSE),"-")</f>
        <v>-</v>
      </c>
      <c r="T676" s="79" t="str">
        <f>+IFERROR(VLOOKUP(CONCATENATE(A676,$E$10,E676),'ID1&amp;5'!B:J,9,FALSE),"-")</f>
        <v>-</v>
      </c>
      <c r="U676" s="78" t="str">
        <f>+IFERROR(VLOOKUP(F676,'ID1&amp;5'!K:L,2,FALSE),"-")</f>
        <v>-</v>
      </c>
      <c r="V676" s="79" t="str">
        <f>+IFERROR(VLOOKUP(CONCATENATE(A676,$F$10,F676),'ID1&amp;5'!B:J,9,FALSE),"-")</f>
        <v>-</v>
      </c>
      <c r="W676" s="26" t="str">
        <f>+IFERROR(VLOOKUP(A676,'ID6&amp;7'!A:I,9,FALSE),"-")</f>
        <v>-</v>
      </c>
      <c r="X676" s="26" t="str">
        <f>+IFERROR(VLOOKUP(A676,'ID6&amp;7'!A:J,10,FALSE),"-")</f>
        <v>-</v>
      </c>
      <c r="Y676" s="26"/>
      <c r="Z676" s="27" t="str">
        <f t="shared" si="11"/>
        <v>Por iniciar</v>
      </c>
      <c r="AA676" s="65"/>
    </row>
    <row r="677" spans="1:27">
      <c r="A677" s="20"/>
      <c r="B677" s="60"/>
      <c r="C677" s="60"/>
      <c r="D677" s="60"/>
      <c r="E677" s="60"/>
      <c r="F677" s="60"/>
      <c r="G677" s="60"/>
      <c r="H677" s="65" t="s">
        <v>305</v>
      </c>
      <c r="I677" s="21" t="s">
        <v>1231</v>
      </c>
      <c r="J677" s="26">
        <f>+COUNTIF('ID1&amp;5'!G:G,'1. Status'!I677)</f>
        <v>0</v>
      </c>
      <c r="K677" s="79" t="str">
        <f>+IFERROR(VLOOKUP(CONCATENATE(A677,$B$10,B677),'ID1&amp;5'!B:J,8,FALSE),"-")</f>
        <v>-</v>
      </c>
      <c r="L677" s="78" t="str">
        <f>+IFERROR(VLOOKUP(B677,'ID1&amp;5'!K:L,2,FALSE),"-")</f>
        <v>-</v>
      </c>
      <c r="M677" s="79" t="str">
        <f>+IFERROR(VLOOKUP(CONCATENATE(A677,$B$10,B677),'ID1&amp;5'!B:J,9,FALSE),"-")</f>
        <v>-</v>
      </c>
      <c r="N677" s="79" t="str">
        <f>+IFERROR(VLOOKUP(CONCATENATE(A677,$C$10,C677),'ID1&amp;5'!B:J,8,FALSE),"-")</f>
        <v>-</v>
      </c>
      <c r="O677" s="78" t="str">
        <f>+IFERROR(VLOOKUP(C677,'ID1&amp;5'!K:L,2,FALSE),"-")</f>
        <v>-</v>
      </c>
      <c r="P677" s="79" t="str">
        <f>+IFERROR(VLOOKUP(CONCATENATE(A677,$C$10,C677),'ID1&amp;5'!B:J,9,FALSE),"-")</f>
        <v>-</v>
      </c>
      <c r="Q677" s="78" t="str">
        <f>+IFERROR(VLOOKUP(D677,'ID1&amp;5'!K:L,2,FALSE),"-")</f>
        <v>-</v>
      </c>
      <c r="R677" s="26" t="str">
        <f>+IFERROR(VLOOKUP(CONCATENATE(A677,$D$10,D677),'ID1&amp;5'!B:J,9,FALSE),"-")</f>
        <v>-</v>
      </c>
      <c r="S677" s="78" t="str">
        <f>+IFERROR(VLOOKUP(E677,'ID1&amp;5'!K:L,2,FALSE),"-")</f>
        <v>-</v>
      </c>
      <c r="T677" s="79" t="str">
        <f>+IFERROR(VLOOKUP(CONCATENATE(A677,$E$10,E677),'ID1&amp;5'!B:J,9,FALSE),"-")</f>
        <v>-</v>
      </c>
      <c r="U677" s="78" t="str">
        <f>+IFERROR(VLOOKUP(F677,'ID1&amp;5'!K:L,2,FALSE),"-")</f>
        <v>-</v>
      </c>
      <c r="V677" s="79" t="str">
        <f>+IFERROR(VLOOKUP(CONCATENATE(A677,$F$10,F677),'ID1&amp;5'!B:J,9,FALSE),"-")</f>
        <v>-</v>
      </c>
      <c r="W677" s="26" t="str">
        <f>+IFERROR(VLOOKUP(A677,'ID6&amp;7'!A:I,9,FALSE),"-")</f>
        <v>-</v>
      </c>
      <c r="X677" s="26" t="str">
        <f>+IFERROR(VLOOKUP(A677,'ID6&amp;7'!A:J,10,FALSE),"-")</f>
        <v>-</v>
      </c>
      <c r="Y677" s="26"/>
      <c r="Z677" s="27" t="str">
        <f t="shared" si="11"/>
        <v>Por iniciar</v>
      </c>
      <c r="AA677" s="65"/>
    </row>
    <row r="678" spans="1:27">
      <c r="A678" s="20"/>
      <c r="B678" s="60"/>
      <c r="C678" s="60"/>
      <c r="D678" s="60"/>
      <c r="E678" s="60"/>
      <c r="F678" s="60"/>
      <c r="G678" s="60"/>
      <c r="H678" s="65" t="s">
        <v>305</v>
      </c>
      <c r="I678" s="21" t="s">
        <v>1232</v>
      </c>
      <c r="J678" s="26">
        <f>+COUNTIF('ID1&amp;5'!G:G,'1. Status'!I678)</f>
        <v>0</v>
      </c>
      <c r="K678" s="79" t="str">
        <f>+IFERROR(VLOOKUP(CONCATENATE(A678,$B$10,B678),'ID1&amp;5'!B:J,8,FALSE),"-")</f>
        <v>-</v>
      </c>
      <c r="L678" s="78" t="str">
        <f>+IFERROR(VLOOKUP(B678,'ID1&amp;5'!K:L,2,FALSE),"-")</f>
        <v>-</v>
      </c>
      <c r="M678" s="79" t="str">
        <f>+IFERROR(VLOOKUP(CONCATENATE(A678,$B$10,B678),'ID1&amp;5'!B:J,9,FALSE),"-")</f>
        <v>-</v>
      </c>
      <c r="N678" s="79" t="str">
        <f>+IFERROR(VLOOKUP(CONCATENATE(A678,$C$10,C678),'ID1&amp;5'!B:J,8,FALSE),"-")</f>
        <v>-</v>
      </c>
      <c r="O678" s="78" t="str">
        <f>+IFERROR(VLOOKUP(C678,'ID1&amp;5'!K:L,2,FALSE),"-")</f>
        <v>-</v>
      </c>
      <c r="P678" s="79" t="str">
        <f>+IFERROR(VLOOKUP(CONCATENATE(A678,$C$10,C678),'ID1&amp;5'!B:J,9,FALSE),"-")</f>
        <v>-</v>
      </c>
      <c r="Q678" s="78" t="str">
        <f>+IFERROR(VLOOKUP(D678,'ID1&amp;5'!K:L,2,FALSE),"-")</f>
        <v>-</v>
      </c>
      <c r="R678" s="26" t="str">
        <f>+IFERROR(VLOOKUP(CONCATENATE(A678,$D$10,D678),'ID1&amp;5'!B:J,9,FALSE),"-")</f>
        <v>-</v>
      </c>
      <c r="S678" s="78" t="str">
        <f>+IFERROR(VLOOKUP(E678,'ID1&amp;5'!K:L,2,FALSE),"-")</f>
        <v>-</v>
      </c>
      <c r="T678" s="79" t="str">
        <f>+IFERROR(VLOOKUP(CONCATENATE(A678,$E$10,E678),'ID1&amp;5'!B:J,9,FALSE),"-")</f>
        <v>-</v>
      </c>
      <c r="U678" s="78" t="str">
        <f>+IFERROR(VLOOKUP(F678,'ID1&amp;5'!K:L,2,FALSE),"-")</f>
        <v>-</v>
      </c>
      <c r="V678" s="79" t="str">
        <f>+IFERROR(VLOOKUP(CONCATENATE(A678,$F$10,F678),'ID1&amp;5'!B:J,9,FALSE),"-")</f>
        <v>-</v>
      </c>
      <c r="W678" s="26" t="str">
        <f>+IFERROR(VLOOKUP(A678,'ID6&amp;7'!A:I,9,FALSE),"-")</f>
        <v>-</v>
      </c>
      <c r="X678" s="26" t="str">
        <f>+IFERROR(VLOOKUP(A678,'ID6&amp;7'!A:J,10,FALSE),"-")</f>
        <v>-</v>
      </c>
      <c r="Y678" s="26"/>
      <c r="Z678" s="27" t="str">
        <f t="shared" si="11"/>
        <v>Por iniciar</v>
      </c>
      <c r="AA678" s="65"/>
    </row>
    <row r="679" spans="1:27">
      <c r="A679" s="20"/>
      <c r="B679" s="60"/>
      <c r="C679" s="60"/>
      <c r="D679" s="60"/>
      <c r="E679" s="60"/>
      <c r="F679" s="60"/>
      <c r="G679" s="60"/>
      <c r="H679" s="65" t="s">
        <v>305</v>
      </c>
      <c r="I679" s="21" t="s">
        <v>1233</v>
      </c>
      <c r="J679" s="26">
        <f>+COUNTIF('ID1&amp;5'!G:G,'1. Status'!I679)</f>
        <v>0</v>
      </c>
      <c r="K679" s="79" t="str">
        <f>+IFERROR(VLOOKUP(CONCATENATE(A679,$B$10,B679),'ID1&amp;5'!B:J,8,FALSE),"-")</f>
        <v>-</v>
      </c>
      <c r="L679" s="78" t="str">
        <f>+IFERROR(VLOOKUP(B679,'ID1&amp;5'!K:L,2,FALSE),"-")</f>
        <v>-</v>
      </c>
      <c r="M679" s="79" t="str">
        <f>+IFERROR(VLOOKUP(CONCATENATE(A679,$B$10,B679),'ID1&amp;5'!B:J,9,FALSE),"-")</f>
        <v>-</v>
      </c>
      <c r="N679" s="79" t="str">
        <f>+IFERROR(VLOOKUP(CONCATENATE(A679,$C$10,C679),'ID1&amp;5'!B:J,8,FALSE),"-")</f>
        <v>-</v>
      </c>
      <c r="O679" s="78" t="str">
        <f>+IFERROR(VLOOKUP(C679,'ID1&amp;5'!K:L,2,FALSE),"-")</f>
        <v>-</v>
      </c>
      <c r="P679" s="79" t="str">
        <f>+IFERROR(VLOOKUP(CONCATENATE(A679,$C$10,C679),'ID1&amp;5'!B:J,9,FALSE),"-")</f>
        <v>-</v>
      </c>
      <c r="Q679" s="78" t="str">
        <f>+IFERROR(VLOOKUP(D679,'ID1&amp;5'!K:L,2,FALSE),"-")</f>
        <v>-</v>
      </c>
      <c r="R679" s="26" t="str">
        <f>+IFERROR(VLOOKUP(CONCATENATE(A679,$D$10,D679),'ID1&amp;5'!B:J,9,FALSE),"-")</f>
        <v>-</v>
      </c>
      <c r="S679" s="78" t="str">
        <f>+IFERROR(VLOOKUP(E679,'ID1&amp;5'!K:L,2,FALSE),"-")</f>
        <v>-</v>
      </c>
      <c r="T679" s="79" t="str">
        <f>+IFERROR(VLOOKUP(CONCATENATE(A679,$E$10,E679),'ID1&amp;5'!B:J,9,FALSE),"-")</f>
        <v>-</v>
      </c>
      <c r="U679" s="78" t="str">
        <f>+IFERROR(VLOOKUP(F679,'ID1&amp;5'!K:L,2,FALSE),"-")</f>
        <v>-</v>
      </c>
      <c r="V679" s="79" t="str">
        <f>+IFERROR(VLOOKUP(CONCATENATE(A679,$F$10,F679),'ID1&amp;5'!B:J,9,FALSE),"-")</f>
        <v>-</v>
      </c>
      <c r="W679" s="26" t="str">
        <f>+IFERROR(VLOOKUP(A679,'ID6&amp;7'!A:I,9,FALSE),"-")</f>
        <v>-</v>
      </c>
      <c r="X679" s="26" t="str">
        <f>+IFERROR(VLOOKUP(A679,'ID6&amp;7'!A:J,10,FALSE),"-")</f>
        <v>-</v>
      </c>
      <c r="Y679" s="26"/>
      <c r="Z679" s="27" t="str">
        <f t="shared" si="11"/>
        <v>Por iniciar</v>
      </c>
      <c r="AA679" s="65"/>
    </row>
    <row r="680" spans="1:27">
      <c r="A680" s="20"/>
      <c r="B680" s="60"/>
      <c r="C680" s="60"/>
      <c r="D680" s="60"/>
      <c r="E680" s="60"/>
      <c r="F680" s="60"/>
      <c r="G680" s="60"/>
      <c r="H680" s="65" t="s">
        <v>305</v>
      </c>
      <c r="I680" s="21" t="s">
        <v>1234</v>
      </c>
      <c r="J680" s="26">
        <f>+COUNTIF('ID1&amp;5'!G:G,'1. Status'!I680)</f>
        <v>0</v>
      </c>
      <c r="K680" s="79" t="str">
        <f>+IFERROR(VLOOKUP(CONCATENATE(A680,$B$10,B680),'ID1&amp;5'!B:J,8,FALSE),"-")</f>
        <v>-</v>
      </c>
      <c r="L680" s="78" t="str">
        <f>+IFERROR(VLOOKUP(B680,'ID1&amp;5'!K:L,2,FALSE),"-")</f>
        <v>-</v>
      </c>
      <c r="M680" s="79" t="str">
        <f>+IFERROR(VLOOKUP(CONCATENATE(A680,$B$10,B680),'ID1&amp;5'!B:J,9,FALSE),"-")</f>
        <v>-</v>
      </c>
      <c r="N680" s="79" t="str">
        <f>+IFERROR(VLOOKUP(CONCATENATE(A680,$C$10,C680),'ID1&amp;5'!B:J,8,FALSE),"-")</f>
        <v>-</v>
      </c>
      <c r="O680" s="78" t="str">
        <f>+IFERROR(VLOOKUP(C680,'ID1&amp;5'!K:L,2,FALSE),"-")</f>
        <v>-</v>
      </c>
      <c r="P680" s="79" t="str">
        <f>+IFERROR(VLOOKUP(CONCATENATE(A680,$C$10,C680),'ID1&amp;5'!B:J,9,FALSE),"-")</f>
        <v>-</v>
      </c>
      <c r="Q680" s="78" t="str">
        <f>+IFERROR(VLOOKUP(D680,'ID1&amp;5'!K:L,2,FALSE),"-")</f>
        <v>-</v>
      </c>
      <c r="R680" s="26" t="str">
        <f>+IFERROR(VLOOKUP(CONCATENATE(A680,$D$10,D680),'ID1&amp;5'!B:J,9,FALSE),"-")</f>
        <v>-</v>
      </c>
      <c r="S680" s="78" t="str">
        <f>+IFERROR(VLOOKUP(E680,'ID1&amp;5'!K:L,2,FALSE),"-")</f>
        <v>-</v>
      </c>
      <c r="T680" s="79" t="str">
        <f>+IFERROR(VLOOKUP(CONCATENATE(A680,$E$10,E680),'ID1&amp;5'!B:J,9,FALSE),"-")</f>
        <v>-</v>
      </c>
      <c r="U680" s="78" t="str">
        <f>+IFERROR(VLOOKUP(F680,'ID1&amp;5'!K:L,2,FALSE),"-")</f>
        <v>-</v>
      </c>
      <c r="V680" s="79" t="str">
        <f>+IFERROR(VLOOKUP(CONCATENATE(A680,$F$10,F680),'ID1&amp;5'!B:J,9,FALSE),"-")</f>
        <v>-</v>
      </c>
      <c r="W680" s="26" t="str">
        <f>+IFERROR(VLOOKUP(A680,'ID6&amp;7'!A:I,9,FALSE),"-")</f>
        <v>-</v>
      </c>
      <c r="X680" s="26" t="str">
        <f>+IFERROR(VLOOKUP(A680,'ID6&amp;7'!A:J,10,FALSE),"-")</f>
        <v>-</v>
      </c>
      <c r="Y680" s="26"/>
      <c r="Z680" s="27" t="str">
        <f t="shared" si="11"/>
        <v>Por iniciar</v>
      </c>
      <c r="AA680" s="65"/>
    </row>
    <row r="681" spans="1:27">
      <c r="A681" s="20"/>
      <c r="B681" s="60"/>
      <c r="C681" s="60"/>
      <c r="D681" s="60"/>
      <c r="E681" s="60"/>
      <c r="F681" s="60"/>
      <c r="G681" s="60"/>
      <c r="H681" s="65" t="s">
        <v>305</v>
      </c>
      <c r="I681" s="21" t="s">
        <v>1235</v>
      </c>
      <c r="J681" s="26">
        <f>+COUNTIF('ID1&amp;5'!G:G,'1. Status'!I681)</f>
        <v>0</v>
      </c>
      <c r="K681" s="79" t="str">
        <f>+IFERROR(VLOOKUP(CONCATENATE(A681,$B$10,B681),'ID1&amp;5'!B:J,8,FALSE),"-")</f>
        <v>-</v>
      </c>
      <c r="L681" s="78" t="str">
        <f>+IFERROR(VLOOKUP(B681,'ID1&amp;5'!K:L,2,FALSE),"-")</f>
        <v>-</v>
      </c>
      <c r="M681" s="79" t="str">
        <f>+IFERROR(VLOOKUP(CONCATENATE(A681,$B$10,B681),'ID1&amp;5'!B:J,9,FALSE),"-")</f>
        <v>-</v>
      </c>
      <c r="N681" s="79" t="str">
        <f>+IFERROR(VLOOKUP(CONCATENATE(A681,$C$10,C681),'ID1&amp;5'!B:J,8,FALSE),"-")</f>
        <v>-</v>
      </c>
      <c r="O681" s="78" t="str">
        <f>+IFERROR(VLOOKUP(C681,'ID1&amp;5'!K:L,2,FALSE),"-")</f>
        <v>-</v>
      </c>
      <c r="P681" s="79" t="str">
        <f>+IFERROR(VLOOKUP(CONCATENATE(A681,$C$10,C681),'ID1&amp;5'!B:J,9,FALSE),"-")</f>
        <v>-</v>
      </c>
      <c r="Q681" s="78" t="str">
        <f>+IFERROR(VLOOKUP(D681,'ID1&amp;5'!K:L,2,FALSE),"-")</f>
        <v>-</v>
      </c>
      <c r="R681" s="26" t="str">
        <f>+IFERROR(VLOOKUP(CONCATENATE(A681,$D$10,D681),'ID1&amp;5'!B:J,9,FALSE),"-")</f>
        <v>-</v>
      </c>
      <c r="S681" s="78" t="str">
        <f>+IFERROR(VLOOKUP(E681,'ID1&amp;5'!K:L,2,FALSE),"-")</f>
        <v>-</v>
      </c>
      <c r="T681" s="79" t="str">
        <f>+IFERROR(VLOOKUP(CONCATENATE(A681,$E$10,E681),'ID1&amp;5'!B:J,9,FALSE),"-")</f>
        <v>-</v>
      </c>
      <c r="U681" s="78" t="str">
        <f>+IFERROR(VLOOKUP(F681,'ID1&amp;5'!K:L,2,FALSE),"-")</f>
        <v>-</v>
      </c>
      <c r="V681" s="79" t="str">
        <f>+IFERROR(VLOOKUP(CONCATENATE(A681,$F$10,F681),'ID1&amp;5'!B:J,9,FALSE),"-")</f>
        <v>-</v>
      </c>
      <c r="W681" s="26" t="str">
        <f>+IFERROR(VLOOKUP(A681,'ID6&amp;7'!A:I,9,FALSE),"-")</f>
        <v>-</v>
      </c>
      <c r="X681" s="26" t="str">
        <f>+IFERROR(VLOOKUP(A681,'ID6&amp;7'!A:J,10,FALSE),"-")</f>
        <v>-</v>
      </c>
      <c r="Y681" s="26"/>
      <c r="Z681" s="27" t="str">
        <f t="shared" si="11"/>
        <v>Por iniciar</v>
      </c>
      <c r="AA681" s="65"/>
    </row>
    <row r="682" spans="1:27">
      <c r="A682" s="20"/>
      <c r="B682" s="60"/>
      <c r="C682" s="60"/>
      <c r="D682" s="60"/>
      <c r="E682" s="60"/>
      <c r="F682" s="60"/>
      <c r="G682" s="60"/>
      <c r="H682" s="65" t="s">
        <v>305</v>
      </c>
      <c r="I682" s="21" t="s">
        <v>650</v>
      </c>
      <c r="J682" s="26">
        <f>+COUNTIF('ID1&amp;5'!G:G,'1. Status'!I682)</f>
        <v>4</v>
      </c>
      <c r="K682" s="79" t="str">
        <f>+IFERROR(VLOOKUP(CONCATENATE(A682,$B$10,B682),'ID1&amp;5'!B:J,8,FALSE),"-")</f>
        <v>-</v>
      </c>
      <c r="L682" s="78" t="str">
        <f>+IFERROR(VLOOKUP(B682,'ID1&amp;5'!K:L,2,FALSE),"-")</f>
        <v>-</v>
      </c>
      <c r="M682" s="79" t="str">
        <f>+IFERROR(VLOOKUP(CONCATENATE(A682,$B$10,B682),'ID1&amp;5'!B:J,9,FALSE),"-")</f>
        <v>-</v>
      </c>
      <c r="N682" s="79" t="str">
        <f>+IFERROR(VLOOKUP(CONCATENATE(A682,$C$10,C682),'ID1&amp;5'!B:J,8,FALSE),"-")</f>
        <v>-</v>
      </c>
      <c r="O682" s="78" t="str">
        <f>+IFERROR(VLOOKUP(C682,'ID1&amp;5'!K:L,2,FALSE),"-")</f>
        <v>-</v>
      </c>
      <c r="P682" s="79" t="str">
        <f>+IFERROR(VLOOKUP(CONCATENATE(A682,$C$10,C682),'ID1&amp;5'!B:J,9,FALSE),"-")</f>
        <v>-</v>
      </c>
      <c r="Q682" s="78" t="str">
        <f>+IFERROR(VLOOKUP(D682,'ID1&amp;5'!K:L,2,FALSE),"-")</f>
        <v>-</v>
      </c>
      <c r="R682" s="26" t="str">
        <f>+IFERROR(VLOOKUP(CONCATENATE(A682,$D$10,D682),'ID1&amp;5'!B:J,9,FALSE),"-")</f>
        <v>-</v>
      </c>
      <c r="S682" s="78" t="str">
        <f>+IFERROR(VLOOKUP(E682,'ID1&amp;5'!K:L,2,FALSE),"-")</f>
        <v>-</v>
      </c>
      <c r="T682" s="79" t="str">
        <f>+IFERROR(VLOOKUP(CONCATENATE(A682,$E$10,E682),'ID1&amp;5'!B:J,9,FALSE),"-")</f>
        <v>-</v>
      </c>
      <c r="U682" s="78" t="str">
        <f>+IFERROR(VLOOKUP(F682,'ID1&amp;5'!K:L,2,FALSE),"-")</f>
        <v>-</v>
      </c>
      <c r="V682" s="79" t="str">
        <f>+IFERROR(VLOOKUP(CONCATENATE(A682,$F$10,F682),'ID1&amp;5'!B:J,9,FALSE),"-")</f>
        <v>-</v>
      </c>
      <c r="W682" s="26" t="str">
        <f>+IFERROR(VLOOKUP(A682,'ID6&amp;7'!A:I,9,FALSE),"-")</f>
        <v>-</v>
      </c>
      <c r="X682" s="26" t="str">
        <f>+IFERROR(VLOOKUP(A682,'ID6&amp;7'!A:J,10,FALSE),"-")</f>
        <v>-</v>
      </c>
      <c r="Y682" s="26"/>
      <c r="Z682" s="27" t="str">
        <f t="shared" si="11"/>
        <v>Em testes</v>
      </c>
      <c r="AA682" s="65"/>
    </row>
    <row r="683" spans="1:27">
      <c r="A683" s="20"/>
      <c r="B683" s="60"/>
      <c r="C683" s="60"/>
      <c r="D683" s="60"/>
      <c r="E683" s="60"/>
      <c r="F683" s="60"/>
      <c r="G683" s="60"/>
      <c r="H683" s="100"/>
      <c r="I683" s="100"/>
      <c r="J683" s="101">
        <f>+COUNTIF('ID1&amp;5'!G:G,'1. Status'!I683)</f>
        <v>0</v>
      </c>
      <c r="K683" s="102" t="str">
        <f>+IFERROR(VLOOKUP(CONCATENATE(A683,$B$10,B683),'ID1&amp;5'!B:J,8,FALSE),"-")</f>
        <v>-</v>
      </c>
      <c r="L683" s="103" t="str">
        <f>+IFERROR(VLOOKUP(B683,'ID1&amp;5'!K:L,2,FALSE),"-")</f>
        <v>-</v>
      </c>
      <c r="M683" s="102" t="str">
        <f>+IFERROR(VLOOKUP(CONCATENATE(A683,$B$10,B683),'ID1&amp;5'!B:J,9,FALSE),"-")</f>
        <v>-</v>
      </c>
      <c r="N683" s="102" t="str">
        <f>+IFERROR(VLOOKUP(CONCATENATE(A683,$C$10,C683),'ID1&amp;5'!B:J,8,FALSE),"-")</f>
        <v>-</v>
      </c>
      <c r="O683" s="103" t="str">
        <f>+IFERROR(VLOOKUP(C683,'ID1&amp;5'!K:L,2,FALSE),"-")</f>
        <v>-</v>
      </c>
      <c r="P683" s="102" t="str">
        <f>+IFERROR(VLOOKUP(CONCATENATE(A683,$C$10,C683),'ID1&amp;5'!B:J,9,FALSE),"-")</f>
        <v>-</v>
      </c>
      <c r="Q683" s="103" t="str">
        <f>+IFERROR(VLOOKUP(D683,'ID1&amp;5'!K:L,2,FALSE),"-")</f>
        <v>-</v>
      </c>
      <c r="R683" s="101" t="str">
        <f>+IFERROR(VLOOKUP(CONCATENATE(A683,$D$10,D683),'ID1&amp;5'!B:J,9,FALSE),"-")</f>
        <v>-</v>
      </c>
      <c r="S683" s="103" t="str">
        <f>+IFERROR(VLOOKUP(E683,'ID1&amp;5'!K:L,2,FALSE),"-")</f>
        <v>-</v>
      </c>
      <c r="T683" s="102" t="str">
        <f>+IFERROR(VLOOKUP(CONCATENATE(A683,$E$10,E683),'ID1&amp;5'!B:J,9,FALSE),"-")</f>
        <v>-</v>
      </c>
      <c r="U683" s="103" t="str">
        <f>+IFERROR(VLOOKUP(F683,'ID1&amp;5'!K:L,2,FALSE),"-")</f>
        <v>-</v>
      </c>
      <c r="V683" s="102" t="str">
        <f>+IFERROR(VLOOKUP(CONCATENATE(A683,$F$10,F683),'ID1&amp;5'!B:J,9,FALSE),"-")</f>
        <v>-</v>
      </c>
      <c r="W683" s="101" t="str">
        <f>+IFERROR(VLOOKUP(A683,'ID6&amp;7'!A:I,9,FALSE),"-")</f>
        <v>-</v>
      </c>
      <c r="X683" s="101" t="str">
        <f>+IFERROR(VLOOKUP(A683,'ID6&amp;7'!A:J,10,FALSE),"-")</f>
        <v>-</v>
      </c>
      <c r="Y683" s="101"/>
      <c r="Z683" s="104" t="str">
        <f t="shared" si="11"/>
        <v>Por iniciar</v>
      </c>
    </row>
    <row r="684" spans="1:27">
      <c r="A684" s="20"/>
      <c r="B684" s="60"/>
      <c r="C684" s="60"/>
      <c r="D684" s="60"/>
      <c r="E684" s="60"/>
      <c r="F684" s="60"/>
      <c r="G684" s="60"/>
      <c r="H684" s="100"/>
      <c r="I684" s="100"/>
      <c r="J684" s="101">
        <f>+COUNTIF('ID1&amp;5'!G:G,'1. Status'!I684)</f>
        <v>0</v>
      </c>
      <c r="K684" s="102" t="str">
        <f>+IFERROR(VLOOKUP(CONCATENATE(A684,$B$10,B684),'ID1&amp;5'!B:J,8,FALSE),"-")</f>
        <v>-</v>
      </c>
      <c r="L684" s="103" t="str">
        <f>+IFERROR(VLOOKUP(B684,'ID1&amp;5'!K:L,2,FALSE),"-")</f>
        <v>-</v>
      </c>
      <c r="M684" s="102" t="str">
        <f>+IFERROR(VLOOKUP(CONCATENATE(A684,$B$10,B684),'ID1&amp;5'!B:J,9,FALSE),"-")</f>
        <v>-</v>
      </c>
      <c r="N684" s="102" t="str">
        <f>+IFERROR(VLOOKUP(CONCATENATE(A684,$C$10,C684),'ID1&amp;5'!B:J,8,FALSE),"-")</f>
        <v>-</v>
      </c>
      <c r="O684" s="103" t="str">
        <f>+IFERROR(VLOOKUP(C684,'ID1&amp;5'!K:L,2,FALSE),"-")</f>
        <v>-</v>
      </c>
      <c r="P684" s="102" t="str">
        <f>+IFERROR(VLOOKUP(CONCATENATE(A684,$C$10,C684),'ID1&amp;5'!B:J,9,FALSE),"-")</f>
        <v>-</v>
      </c>
      <c r="Q684" s="103" t="str">
        <f>+IFERROR(VLOOKUP(D684,'ID1&amp;5'!K:L,2,FALSE),"-")</f>
        <v>-</v>
      </c>
      <c r="R684" s="101" t="str">
        <f>+IFERROR(VLOOKUP(CONCATENATE(A684,$D$10,D684),'ID1&amp;5'!B:J,9,FALSE),"-")</f>
        <v>-</v>
      </c>
      <c r="S684" s="103" t="str">
        <f>+IFERROR(VLOOKUP(E684,'ID1&amp;5'!K:L,2,FALSE),"-")</f>
        <v>-</v>
      </c>
      <c r="T684" s="102" t="str">
        <f>+IFERROR(VLOOKUP(CONCATENATE(A684,$E$10,E684),'ID1&amp;5'!B:J,9,FALSE),"-")</f>
        <v>-</v>
      </c>
      <c r="U684" s="103" t="str">
        <f>+IFERROR(VLOOKUP(F684,'ID1&amp;5'!K:L,2,FALSE),"-")</f>
        <v>-</v>
      </c>
      <c r="V684" s="102" t="str">
        <f>+IFERROR(VLOOKUP(CONCATENATE(A684,$F$10,F684),'ID1&amp;5'!B:J,9,FALSE),"-")</f>
        <v>-</v>
      </c>
      <c r="W684" s="101" t="str">
        <f>+IFERROR(VLOOKUP(A684,'ID6&amp;7'!A:I,9,FALSE),"-")</f>
        <v>-</v>
      </c>
      <c r="X684" s="101" t="str">
        <f>+IFERROR(VLOOKUP(A684,'ID6&amp;7'!A:J,10,FALSE),"-")</f>
        <v>-</v>
      </c>
      <c r="Y684" s="101"/>
      <c r="Z684" s="104" t="str">
        <f t="shared" si="11"/>
        <v>Por iniciar</v>
      </c>
    </row>
    <row r="685" spans="1:27">
      <c r="A685" s="20"/>
      <c r="B685" s="60"/>
      <c r="C685" s="60"/>
      <c r="D685" s="60"/>
      <c r="E685" s="60"/>
      <c r="F685" s="60"/>
      <c r="G685" s="60"/>
      <c r="H685" s="100"/>
      <c r="I685" s="100"/>
      <c r="J685" s="101">
        <f>+COUNTIF('ID1&amp;5'!G:G,'1. Status'!I685)</f>
        <v>0</v>
      </c>
      <c r="K685" s="102" t="str">
        <f>+IFERROR(VLOOKUP(CONCATENATE(A685,$B$10,B685),'ID1&amp;5'!B:J,8,FALSE),"-")</f>
        <v>-</v>
      </c>
      <c r="L685" s="103" t="str">
        <f>+IFERROR(VLOOKUP(B685,'ID1&amp;5'!K:L,2,FALSE),"-")</f>
        <v>-</v>
      </c>
      <c r="M685" s="102" t="str">
        <f>+IFERROR(VLOOKUP(CONCATENATE(A685,$B$10,B685),'ID1&amp;5'!B:J,9,FALSE),"-")</f>
        <v>-</v>
      </c>
      <c r="N685" s="102" t="str">
        <f>+IFERROR(VLOOKUP(CONCATENATE(A685,$C$10,C685),'ID1&amp;5'!B:J,8,FALSE),"-")</f>
        <v>-</v>
      </c>
      <c r="O685" s="103" t="str">
        <f>+IFERROR(VLOOKUP(C685,'ID1&amp;5'!K:L,2,FALSE),"-")</f>
        <v>-</v>
      </c>
      <c r="P685" s="102" t="str">
        <f>+IFERROR(VLOOKUP(CONCATENATE(A685,$C$10,C685),'ID1&amp;5'!B:J,9,FALSE),"-")</f>
        <v>-</v>
      </c>
      <c r="Q685" s="103" t="str">
        <f>+IFERROR(VLOOKUP(D685,'ID1&amp;5'!K:L,2,FALSE),"-")</f>
        <v>-</v>
      </c>
      <c r="R685" s="101" t="str">
        <f>+IFERROR(VLOOKUP(CONCATENATE(A685,$D$10,D685),'ID1&amp;5'!B:J,9,FALSE),"-")</f>
        <v>-</v>
      </c>
      <c r="S685" s="103" t="str">
        <f>+IFERROR(VLOOKUP(E685,'ID1&amp;5'!K:L,2,FALSE),"-")</f>
        <v>-</v>
      </c>
      <c r="T685" s="102" t="str">
        <f>+IFERROR(VLOOKUP(CONCATENATE(A685,$E$10,E685),'ID1&amp;5'!B:J,9,FALSE),"-")</f>
        <v>-</v>
      </c>
      <c r="U685" s="103" t="str">
        <f>+IFERROR(VLOOKUP(F685,'ID1&amp;5'!K:L,2,FALSE),"-")</f>
        <v>-</v>
      </c>
      <c r="V685" s="102" t="str">
        <f>+IFERROR(VLOOKUP(CONCATENATE(A685,$F$10,F685),'ID1&amp;5'!B:J,9,FALSE),"-")</f>
        <v>-</v>
      </c>
      <c r="W685" s="101" t="str">
        <f>+IFERROR(VLOOKUP(A685,'ID6&amp;7'!A:I,9,FALSE),"-")</f>
        <v>-</v>
      </c>
      <c r="X685" s="101" t="str">
        <f>+IFERROR(VLOOKUP(A685,'ID6&amp;7'!A:J,10,FALSE),"-")</f>
        <v>-</v>
      </c>
      <c r="Y685" s="101"/>
      <c r="Z685" s="104" t="str">
        <f t="shared" si="11"/>
        <v>Por iniciar</v>
      </c>
    </row>
    <row r="686" spans="1:27">
      <c r="A686" s="20"/>
      <c r="B686" s="60"/>
      <c r="C686" s="60"/>
      <c r="D686" s="60"/>
      <c r="E686" s="60"/>
      <c r="F686" s="60"/>
      <c r="G686" s="60"/>
      <c r="H686" s="100"/>
      <c r="I686" s="100"/>
      <c r="J686" s="101">
        <f>+COUNTIF('ID1&amp;5'!G:G,'1. Status'!I686)</f>
        <v>0</v>
      </c>
      <c r="K686" s="102" t="str">
        <f>+IFERROR(VLOOKUP(CONCATENATE(A686,$B$10,B686),'ID1&amp;5'!B:J,8,FALSE),"-")</f>
        <v>-</v>
      </c>
      <c r="L686" s="103" t="str">
        <f>+IFERROR(VLOOKUP(B686,'ID1&amp;5'!K:L,2,FALSE),"-")</f>
        <v>-</v>
      </c>
      <c r="M686" s="102" t="str">
        <f>+IFERROR(VLOOKUP(CONCATENATE(A686,$B$10,B686),'ID1&amp;5'!B:J,9,FALSE),"-")</f>
        <v>-</v>
      </c>
      <c r="N686" s="102" t="str">
        <f>+IFERROR(VLOOKUP(CONCATENATE(A686,$C$10,C686),'ID1&amp;5'!B:J,8,FALSE),"-")</f>
        <v>-</v>
      </c>
      <c r="O686" s="103" t="str">
        <f>+IFERROR(VLOOKUP(C686,'ID1&amp;5'!K:L,2,FALSE),"-")</f>
        <v>-</v>
      </c>
      <c r="P686" s="102" t="str">
        <f>+IFERROR(VLOOKUP(CONCATENATE(A686,$C$10,C686),'ID1&amp;5'!B:J,9,FALSE),"-")</f>
        <v>-</v>
      </c>
      <c r="Q686" s="103" t="str">
        <f>+IFERROR(VLOOKUP(D686,'ID1&amp;5'!K:L,2,FALSE),"-")</f>
        <v>-</v>
      </c>
      <c r="R686" s="101" t="str">
        <f>+IFERROR(VLOOKUP(CONCATENATE(A686,$D$10,D686),'ID1&amp;5'!B:J,9,FALSE),"-")</f>
        <v>-</v>
      </c>
      <c r="S686" s="103" t="str">
        <f>+IFERROR(VLOOKUP(E686,'ID1&amp;5'!K:L,2,FALSE),"-")</f>
        <v>-</v>
      </c>
      <c r="T686" s="102" t="str">
        <f>+IFERROR(VLOOKUP(CONCATENATE(A686,$E$10,E686),'ID1&amp;5'!B:J,9,FALSE),"-")</f>
        <v>-</v>
      </c>
      <c r="U686" s="103" t="str">
        <f>+IFERROR(VLOOKUP(F686,'ID1&amp;5'!K:L,2,FALSE),"-")</f>
        <v>-</v>
      </c>
      <c r="V686" s="102" t="str">
        <f>+IFERROR(VLOOKUP(CONCATENATE(A686,$F$10,F686),'ID1&amp;5'!B:J,9,FALSE),"-")</f>
        <v>-</v>
      </c>
      <c r="W686" s="101" t="str">
        <f>+IFERROR(VLOOKUP(A686,'ID6&amp;7'!A:I,9,FALSE),"-")</f>
        <v>-</v>
      </c>
      <c r="X686" s="101" t="str">
        <f>+IFERROR(VLOOKUP(A686,'ID6&amp;7'!A:J,10,FALSE),"-")</f>
        <v>-</v>
      </c>
      <c r="Y686" s="101"/>
      <c r="Z686" s="104" t="str">
        <f t="shared" si="11"/>
        <v>Por iniciar</v>
      </c>
    </row>
    <row r="687" spans="1:27">
      <c r="A687" s="20"/>
      <c r="B687" s="60"/>
      <c r="C687" s="60"/>
      <c r="D687" s="60"/>
      <c r="E687" s="60"/>
      <c r="F687" s="60"/>
      <c r="G687" s="60"/>
      <c r="H687" s="100"/>
      <c r="I687" s="100"/>
      <c r="J687" s="101">
        <f>+COUNTIF('ID1&amp;5'!G:G,'1. Status'!I687)</f>
        <v>0</v>
      </c>
      <c r="K687" s="102" t="str">
        <f>+IFERROR(VLOOKUP(CONCATENATE(A687,$B$10,B687),'ID1&amp;5'!B:J,8,FALSE),"-")</f>
        <v>-</v>
      </c>
      <c r="L687" s="103" t="str">
        <f>+IFERROR(VLOOKUP(B687,'ID1&amp;5'!K:L,2,FALSE),"-")</f>
        <v>-</v>
      </c>
      <c r="M687" s="102" t="str">
        <f>+IFERROR(VLOOKUP(CONCATENATE(A687,$B$10,B687),'ID1&amp;5'!B:J,9,FALSE),"-")</f>
        <v>-</v>
      </c>
      <c r="N687" s="102" t="str">
        <f>+IFERROR(VLOOKUP(CONCATENATE(A687,$C$10,C687),'ID1&amp;5'!B:J,8,FALSE),"-")</f>
        <v>-</v>
      </c>
      <c r="O687" s="103" t="str">
        <f>+IFERROR(VLOOKUP(C687,'ID1&amp;5'!K:L,2,FALSE),"-")</f>
        <v>-</v>
      </c>
      <c r="P687" s="102" t="str">
        <f>+IFERROR(VLOOKUP(CONCATENATE(A687,$C$10,C687),'ID1&amp;5'!B:J,9,FALSE),"-")</f>
        <v>-</v>
      </c>
      <c r="Q687" s="103" t="str">
        <f>+IFERROR(VLOOKUP(D687,'ID1&amp;5'!K:L,2,FALSE),"-")</f>
        <v>-</v>
      </c>
      <c r="R687" s="101" t="str">
        <f>+IFERROR(VLOOKUP(CONCATENATE(A687,$D$10,D687),'ID1&amp;5'!B:J,9,FALSE),"-")</f>
        <v>-</v>
      </c>
      <c r="S687" s="103" t="str">
        <f>+IFERROR(VLOOKUP(E687,'ID1&amp;5'!K:L,2,FALSE),"-")</f>
        <v>-</v>
      </c>
      <c r="T687" s="102" t="str">
        <f>+IFERROR(VLOOKUP(CONCATENATE(A687,$E$10,E687),'ID1&amp;5'!B:J,9,FALSE),"-")</f>
        <v>-</v>
      </c>
      <c r="U687" s="103" t="str">
        <f>+IFERROR(VLOOKUP(F687,'ID1&amp;5'!K:L,2,FALSE),"-")</f>
        <v>-</v>
      </c>
      <c r="V687" s="102" t="str">
        <f>+IFERROR(VLOOKUP(CONCATENATE(A687,$F$10,F687),'ID1&amp;5'!B:J,9,FALSE),"-")</f>
        <v>-</v>
      </c>
      <c r="W687" s="101" t="str">
        <f>+IFERROR(VLOOKUP(A687,'ID6&amp;7'!A:I,9,FALSE),"-")</f>
        <v>-</v>
      </c>
      <c r="X687" s="101" t="str">
        <f>+IFERROR(VLOOKUP(A687,'ID6&amp;7'!A:J,10,FALSE),"-")</f>
        <v>-</v>
      </c>
      <c r="Y687" s="101"/>
      <c r="Z687" s="104" t="str">
        <f t="shared" si="11"/>
        <v>Por iniciar</v>
      </c>
    </row>
    <row r="688" spans="1:27"/>
  </sheetData>
  <autoFilter ref="H10:Z10" xr:uid="{00000000-0001-0000-0100-000000000000}"/>
  <mergeCells count="1">
    <mergeCell ref="B9:F9"/>
  </mergeCells>
  <conditionalFormatting sqref="Z11:Z687">
    <cfRule type="cellIs" dxfId="19" priority="5" operator="equal">
      <formula>"Por iniciar"</formula>
    </cfRule>
    <cfRule type="cellIs" dxfId="18" priority="6" operator="equal">
      <formula>"EM TESTES"</formula>
    </cfRule>
    <cfRule type="cellIs" dxfId="17" priority="7" operator="equal">
      <formula>"NOK"</formula>
    </cfRule>
    <cfRule type="cellIs" dxfId="16" priority="8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C784"/>
  <sheetViews>
    <sheetView showGridLines="0" tabSelected="1" zoomScaleNormal="100" workbookViewId="0">
      <pane xSplit="3" ySplit="8" topLeftCell="D27" activePane="bottomRight" state="frozen"/>
      <selection pane="topRight" activeCell="D1" sqref="D1"/>
      <selection pane="bottomLeft" activeCell="A9" sqref="A9"/>
      <selection pane="bottomRight" activeCell="F42" sqref="F42"/>
    </sheetView>
  </sheetViews>
  <sheetFormatPr defaultColWidth="0" defaultRowHeight="14" zeroHeight="1"/>
  <cols>
    <col min="1" max="1" width="3.6328125" style="2" customWidth="1"/>
    <col min="2" max="3" width="32.36328125" style="2" customWidth="1"/>
    <col min="4" max="5" width="25" style="2" customWidth="1"/>
    <col min="6" max="6" width="33.1796875" style="2" bestFit="1" customWidth="1"/>
    <col min="7" max="13" width="25" style="2" customWidth="1"/>
    <col min="14" max="14" width="3.6328125" style="2" customWidth="1"/>
    <col min="15" max="29" width="0" style="2" hidden="1" customWidth="1"/>
    <col min="30" max="16384" width="9.08984375" style="2" hidden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/>
    <row r="6" spans="1:28" ht="14.5" thickBot="1">
      <c r="B6" s="28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</row>
    <row r="7" spans="1:28"/>
    <row r="8" spans="1:28">
      <c r="B8" s="33" t="s">
        <v>0</v>
      </c>
      <c r="C8" s="33" t="s">
        <v>3</v>
      </c>
      <c r="D8" s="37" t="s">
        <v>7</v>
      </c>
      <c r="E8" s="37" t="s">
        <v>2</v>
      </c>
      <c r="F8" s="37" t="s">
        <v>6</v>
      </c>
      <c r="G8" s="37" t="s">
        <v>37</v>
      </c>
      <c r="H8" s="37" t="s">
        <v>116</v>
      </c>
      <c r="I8" s="37" t="s">
        <v>1584</v>
      </c>
      <c r="J8" s="37" t="s">
        <v>8</v>
      </c>
      <c r="K8" s="37" t="s">
        <v>9</v>
      </c>
      <c r="L8" s="64" t="s">
        <v>68</v>
      </c>
      <c r="M8" s="64" t="s">
        <v>69</v>
      </c>
    </row>
    <row r="9" spans="1:28" hidden="1">
      <c r="A9" s="60" t="str">
        <f t="shared" ref="A9:A42" si="0">+B9&amp;F9</f>
        <v>ENTITYPRSN_TYP</v>
      </c>
      <c r="B9" s="34" t="s">
        <v>114</v>
      </c>
      <c r="C9" s="34" t="s">
        <v>5</v>
      </c>
      <c r="D9" s="34" t="str">
        <f>+UPPER('0. Instruções'!$D$35&amp;"."&amp;VLOOKUP(B9,'0. Instruções'!$C$27:$D$32,2,FALSE))</f>
        <v>CD_LOAN_TAPES_BCE.LT003_ENTITY</v>
      </c>
      <c r="E9" s="34" t="str">
        <f>+UPPER('0. Instruções'!$D$36&amp;"."&amp;VLOOKUP(B9,'0. Instruções'!$C$27:$E$32,3,FALSE))</f>
        <v>BU_LOANTAPE_WORK.LT003_ENTITY</v>
      </c>
      <c r="F9" s="34" t="s">
        <v>387</v>
      </c>
      <c r="G9" s="34"/>
      <c r="H9" s="34"/>
      <c r="I9" s="34" t="str">
        <f>"(SELECT "&amp;VLOOKUP(B9,'0. Instruções'!$C$27:$G$32,4,FALSE)&amp;", "&amp;F9&amp;" FROM "&amp;D9&amp;" WHERE "&amp;'0. Instruções'!$D$42&amp;")X"</f>
        <v>(SELECT entty_id, PRSN_TYP FROM CD_LOAN_TAPES_BCE.LT003_ENTITY WHERE ref_date='${ref_date}' AND nome_perimetro='Individual Local' AND segmento='ESTR' AND ambito='SRB_MBDT' AND entidade='00100')X</v>
      </c>
      <c r="J9" s="34" t="str">
        <f>"(SELECT "&amp;VLOOKUP(B9,'0. Instruções'!$C$27:$G$32,4,FALSE)&amp;" AS "&amp;VLOOKUP(B9,'0. Instruções'!$C$27:$G$32,4,FALSE)&amp;"_SIMUL, "&amp;F9&amp;" AS "&amp;F9&amp;"_SIMUL FROM "&amp;E9&amp;" WHERE "&amp;'0. Instruções'!$D$43&amp;")Y"</f>
        <v>(SELECT entty_id AS entty_id_SIMUL, PRSN_TYP AS PRSN_TYP_SIMUL FROM BU_LOANTAPE_WORK.LT003_ENTITY WHERE ref_date='${ref_date}' AND nome_perimetro='Individual Local' AND segmento='ESTR' AND ambito='PM' AND entidade='00100')Y</v>
      </c>
      <c r="K9" s="35" t="str">
        <f>+UPPER("ON X."&amp;VLOOKUP(B9,'0. Instruções'!$C$27:$G$32,4,FALSE)&amp;"=Y."&amp;VLOOKUP(B9,'0. Instruções'!$C$27:$G$32,4,FALSE)&amp;"_SIMUL")</f>
        <v>ON X.ENTTY_ID=Y.ENTTY_ID_SIMUL</v>
      </c>
      <c r="L9" s="35" t="str">
        <f>+IF(C9="Coerência", +IF(LEFT(G9,5)="FLOAT","SELECT '"&amp;UPPER(B9)&amp;"' AS TABELA, '"&amp;UPPER(C9)&amp;"' AS TIPOLOGIA_TESTE,'"&amp;D9&amp;"' AS TABELA_LT,'"&amp;E9&amp;"' AS TABELA_SIMUL,'"&amp;F9&amp;"' AS CAMPO, "&amp;"'${ref_date}' AS REF_DATE, COUNT(*) AS NUM_REG, SUM(IF((ABS(COALESCE(CAST(X."&amp;F9&amp;" AS DECIMAL(18,6)),0)-COALESCE(CAST(Y."&amp;F9&amp;"_SIMUL AS DECIMAL(18,6)),0))&gt;0.000001) OR (X."&amp;F9&amp;" IS NULL AND Y."&amp;F9&amp;"_SIMUL IS NOT NULL ) OR (X."&amp;F9&amp;" IS NOT NULL AND Y."&amp;F9&amp;"_SIMUL IS NULL),1,0)) AS NUM_REG_DIF,'"&amp;MAX('ID1&amp;5'!K:K)+1&amp;"' AS ID_EXEC, CURRENT_TIMESTAMP() AS TIME_EXEC FROM "&amp;I9&amp;" INNER JOIN "&amp;J9&amp;" "&amp;K9,"SELECT '"&amp;UPPER(B9)&amp;"' AS TABELA, '"&amp;UPPER(C9)&amp;"' AS TIPOLOGIA_TESTE,'"&amp;D9&amp;"' AS TABELA_LT,'"&amp;E9&amp;"' AS TABELA_SIMUL,'"&amp;F9&amp;"' AS CAMPO, "&amp;"'${ref_date}' AS REF_DATE, COUNT(*) AS NUM_REG, SUM(IF(COALESCE(CAST(X."&amp;F9&amp;" AS STRING),'')&lt;&gt;COALESCE(CAST(Y."&amp;F9&amp;"_SIMUL AS STRING),'') OR (X."&amp;F9&amp;" IS NULL AND Y."&amp;F9&amp;"_SIMUL IS NOT NULL ) OR (X."&amp;F9&amp;" IS NOT NULL AND Y."&amp;F9&amp;"_SIMUL IS NULL),1,0)) AS NUM_REG_DIF,'"&amp;MAX('ID1&amp;5'!L:L)+1&amp;"' AS ID_EXEC, CURRENT_TIMESTAMP() AS TIME_EXEC FROM "&amp;I9&amp;" INNER JOIN "&amp;J9&amp;" "&amp;K9),
IF(C9="Validade",+IF(G9="Code List","SELECT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 OR CAST(X."&amp;F9&amp;" AS STRING) NOT "&amp;H9&amp;",1,0)) AS NUM_REG_DIF,'"&amp;MAX('ID1&amp;5'!K:K)+1&amp;"' AS ID_EXEC, CURRENT_TIMESTAMP() AS TIME_EXEC FROM "&amp;I9,"SELECT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NULL,1,0)) AS NUM_REG_DIF,'"&amp;MAX('ID1&amp;5'!K:K)+1&amp;"' AS ID_EXEC, CURRENT_TIMESTAMP() AS TIME_EXEC FROM "&amp;I9),
IF(C9="Caracteres Especiais",+"SELECT '"&amp;UPPER(B9)&amp;"' AS TABELA, '"&amp;UPPER(C9)&amp;"' AS TIPOLOGIA_TESTE,'"&amp;D9&amp;"' AS TABELA_LT,'N/A' AS TABELA_SIMUL,'"&amp;F9&amp;"' AS CAMPO, "&amp;"'${ref_date}' AS REF_DATE, COUNT(*) AS NUM_REG, SUM(IF(REGEXP_REPLACE(TRIM(CAST(X."&amp;F9&amp;" AS STRING)),'[^a-zA-Z0-9_\\s]','') &lt;&gt;TRIM(CAST(X."&amp;F9&amp;" AS STRING)),1,0)) AS NUM_REG_DIF,'"&amp;MAX('ID1&amp;5'!K:K)+1&amp;"' AS ID_EXEC, CURRENT_TIMESTAMP() AS TIME_EXEC FROM "&amp;I9,
IF(C9="Missings",+"SELECT '"&amp;UPPER(B9)&amp;"' AS TABELA, '"&amp;UPPER(C9)&amp;"' AS TIPOLOGIA_TESTE,'"&amp;D9&amp;"' AS TABELA_LT,'N/A' AS TABELA_SIMUL,'"&amp;F9&amp;"' AS CAMPO, "&amp;"'${ref_date}' AS REF_DATE, COUNT(*) AS NUM_REG, SUM(IF(TRIM(CAST(X."&amp;F9&amp;" AS STRING)) IN ('0000-00-00','0001-01-01','9999-12-31','MISS','00000','99999999999','99999999999.00','99999999999.000000'),1,0)) AS NUM_REG_DIF,'"&amp;MAX('ID1&amp;5'!K:K)+1&amp;"' AS ID_EXEC, CURRENT_TIMESTAMP() AS TIME_EXEC FROM "&amp;I9,
IF(C9="Not applicable",+"SELECT '"&amp;UPPER(B9)&amp;"' AS TABELA, '"&amp;UPPER(C9)&amp;"' AS TIPOLOGIA_TESTE,'"&amp;D9&amp;"' AS TABELA_LT,'N/A' AS TABELA_SIMUL,'"&amp;F9&amp;"' AS CAMPO, "&amp;"'${ref_date}' AS REF_DATE, COUNT(*) AS NUM_REG, SUM(IF(TRIM(CAST(X."&amp;F9&amp;" AS STRING)) IN ('N/A','11111111111','11111111111.00','11111111111.000000','1111-11-11'),1,0)) AS NUM_REG_DIF,'"&amp;MAX('ID1&amp;5'!K:K)+1&amp;"' AS ID_EXEC, CURRENT_TIMESTAMP() AS TIME_EXEC FROM "&amp;I9,
IF(C9="Valores extremos",+"SELECT '"&amp;UPPER(B9)&amp;"' AS TABELA, '"&amp;UPPER(C9)&amp;"' AS TIPOLOGIA_TESTE,'"&amp;D9&amp;"' AS TABELA_LT,'N/A' AS TABELA_SIMUL,'"&amp;F9&amp;"' AS CAMPO, "&amp;"'${ref_date}' AS REF_DATE, CAST(MIN("&amp;F9&amp;") AS STRING) AS VALOR_MIN, CAST(MAX("&amp;F9&amp;") AS STRING) AS VALOR_MAX,'"&amp;MAX('ID1&amp;5'!K:K)+1&amp;"' AS ID_EXEC, CURRENT_TIMESTAMP() AS TIME_EXEC FROM "&amp;MID(I9,1,LEN(I9)-2)&amp;" AND CAST("&amp;F9&amp;"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TABELA_SIMUL,'PRSN_TYP' AS CAMPO, '${ref_date}' AS REF_DATE, COUNT(*) AS NUM_REG, SUM(IF(COALESCE(CAST(X.PRSN_TYP AS STRING),'')&lt;&gt;COALESCE(CAST(Y.PRSN_TYP_SIMUL AS STRING),'') OR (X.PRSN_TYP IS NULL AND Y.PRSN_TYP_SIMUL IS NOT NULL ) OR (X.PRSN_TYP IS NOT NULL AND Y.PRSN_TYP_SIMUL IS NULL),1,0)) AS NUM_REG_DIF,'1' AS ID_EXEC, CURRENT_TIMESTAMP() AS TIME_EXEC FROM (SELECT entty_id, PRSN_TYP FROM CD_LOAN_TAPES_BCE.LT003_ENTITY WHERE ref_date='${ref_date}' AND nome_perimetro='Individual Local' AND segmento='ESTR' AND ambito='SRB_MBDT' AND entidade='00100')X INNER JOIN (SELECT entty_id AS entty_id_SIMUL, PRSN_TYP AS PRSN_TYP_SIMUL FROM BU_LOANTAPE_WORK.LT003_ENTITY WHERE ref_date='${ref_date}' AND nome_perimetro='Individual Local' AND segmento='ESTR' AND ambito='PM' AND entidade='00100')Y ON X.ENTTY_ID=Y.ENTTY_ID_SIMUL</v>
      </c>
      <c r="M9" s="36" t="str">
        <f t="shared" ref="M9:M23" si="1">+"UNION ALL "&amp;L9</f>
        <v>UNION ALL SELECT 'ENTITY' AS TABELA, 'COERÊNCIA' AS TIPOLOGIA_TESTE,'CD_LOAN_TAPES_BCE.LT003_ENTITY' AS TABELA_LT,'BU_LOANTAPE_WORK.LT003_ENTITY' AS TABELA_SIMUL,'PRSN_TYP' AS CAMPO, '${ref_date}' AS REF_DATE, COUNT(*) AS NUM_REG, SUM(IF(COALESCE(CAST(X.PRSN_TYP AS STRING),'')&lt;&gt;COALESCE(CAST(Y.PRSN_TYP_SIMUL AS STRING),'') OR (X.PRSN_TYP IS NULL AND Y.PRSN_TYP_SIMUL IS NOT NULL ) OR (X.PRSN_TYP IS NOT NULL AND Y.PRSN_TYP_SIMUL IS NULL),1,0)) AS NUM_REG_DIF,'1' AS ID_EXEC, CURRENT_TIMESTAMP() AS TIME_EXEC FROM (SELECT entty_id, PRSN_TYP FROM CD_LOAN_TAPES_BCE.LT003_ENTITY WHERE ref_date='${ref_date}' AND nome_perimetro='Individual Local' AND segmento='ESTR' AND ambito='SRB_MBDT' AND entidade='00100')X INNER JOIN (SELECT entty_id AS entty_id_SIMUL, PRSN_TYP AS PRSN_TYP_SIMUL FROM BU_LOANTAPE_WORK.LT003_ENTITY WHERE ref_date='${ref_date}' AND nome_perimetro='Individual Local' AND segmento='ESTR' AND ambito='PM' AND entidade='00100')Y ON X.ENTTY_ID=Y.ENTTY_ID_SIMUL</v>
      </c>
      <c r="N9" s="38" t="s">
        <v>36</v>
      </c>
    </row>
    <row r="10" spans="1:28" hidden="1">
      <c r="A10" s="60" t="str">
        <f t="shared" si="0"/>
        <v>ENTITYENTTY_NM</v>
      </c>
      <c r="B10" s="34" t="s">
        <v>114</v>
      </c>
      <c r="C10" s="34" t="s">
        <v>5</v>
      </c>
      <c r="D10" s="34" t="str">
        <f>+UPPER('0. Instruções'!$D$35&amp;"."&amp;VLOOKUP(B10,'0. Instruções'!$C$27:$D$32,2,FALSE))</f>
        <v>CD_LOAN_TAPES_BCE.LT003_ENTITY</v>
      </c>
      <c r="E10" s="34" t="str">
        <f>+UPPER('0. Instruções'!$D$36&amp;"."&amp;VLOOKUP(B10,'0. Instruções'!$C$27:$E$32,3,FALSE))</f>
        <v>BU_LOANTAPE_WORK.LT003_ENTITY</v>
      </c>
      <c r="F10" s="34" t="s">
        <v>317</v>
      </c>
      <c r="G10" s="34"/>
      <c r="H10" s="34"/>
      <c r="I10" s="34" t="str">
        <f>"(SELECT "&amp;VLOOKUP(B10,'0. Instruções'!$C$27:$G$32,4,FALSE)&amp;", "&amp;F10&amp;" FROM "&amp;D10&amp;" WHERE "&amp;'0. Instruções'!$D$42&amp;")X"</f>
        <v>(SELECT entty_id, ENTTY_NM FROM CD_LOAN_TAPES_BCE.LT003_ENTITY WHERE ref_date='${ref_date}' AND nome_perimetro='Individual Local' AND segmento='ESTR' AND ambito='SRB_MBDT' AND entidade='00100')X</v>
      </c>
      <c r="J10" s="34" t="str">
        <f>"(SELECT "&amp;VLOOKUP(B10,'0. Instruções'!$C$27:$G$32,4,FALSE)&amp;" AS "&amp;VLOOKUP(B10,'0. Instruções'!$C$27:$G$32,4,FALSE)&amp;"_SIMUL, "&amp;F10&amp;" AS "&amp;F10&amp;"_SIMUL FROM "&amp;E10&amp;" WHERE "&amp;'0. Instruções'!$D$43&amp;")Y"</f>
        <v>(SELECT entty_id AS entty_id_SIMUL, ENTTY_NM AS ENTTY_NM_SIMUL FROM BU_LOANTAPE_WORK.LT003_ENTITY WHERE ref_date='${ref_date}' AND nome_perimetro='Individual Local' AND segmento='ESTR' AND ambito='PM' AND entidade='00100')Y</v>
      </c>
      <c r="K10" s="35" t="str">
        <f>+UPPER("ON X."&amp;VLOOKUP(B10,'0. Instruções'!$C$27:$G$32,4,FALSE)&amp;"=Y."&amp;VLOOKUP(B10,'0. Instruções'!$C$27:$G$32,4,FALSE)&amp;"_SIMUL")</f>
        <v>ON X.ENTTY_ID=Y.ENTTY_ID_SIMUL</v>
      </c>
      <c r="L10" s="35" t="str">
        <f>+IF(C10="Coerência", +IF(LEFT(G10,5)="FLOAT","SELECT '"&amp;UPPER(B10)&amp;"' AS TABELA, '"&amp;UPPER(C10)&amp;"' AS TIPOLOGIA_TESTE,'"&amp;D10&amp;"' AS TABELA_LT,'"&amp;E10&amp;"' AS TABELA_SIMUL,'"&amp;F10&amp;"' AS CAMPO, "&amp;"'${ref_date}' AS REF_DATE, COUNT(*) AS NUM_REG, SUM(IF((ABS(COALESCE(CAST(X."&amp;F10&amp;" AS DECIMAL(18,6)),0)-COALESCE(CAST(Y."&amp;F10&amp;"_SIMUL AS DECIMAL(18,6)),0))&gt;0.000001) OR (X."&amp;F10&amp;" IS NULL AND Y."&amp;F10&amp;"_SIMUL IS NOT NULL ) OR (X."&amp;F10&amp;" IS NOT NULL AND Y."&amp;F10&amp;"_SIMUL IS NULL),1,0)) AS NUM_REG_DIF,'"&amp;MAX('ID1&amp;5'!K:K)+1&amp;"' AS ID_EXEC, CURRENT_TIMESTAMP() AS TIME_EXEC FROM "&amp;I10&amp;" INNER JOIN "&amp;J10&amp;" "&amp;K10,"SELECT '"&amp;UPPER(B10)&amp;"' AS TABELA, '"&amp;UPPER(C10)&amp;"' AS TIPOLOGIA_TESTE,'"&amp;D10&amp;"' AS TABELA_LT,'"&amp;E10&amp;"' AS TABELA_SIMUL,'"&amp;F10&amp;"' AS CAMPO, "&amp;"'${ref_date}' AS REF_DATE, COUNT(*) AS NUM_REG, SUM(IF(COALESCE(CAST(X."&amp;F10&amp;" AS STRING),'')&lt;&gt;COALESCE(CAST(Y."&amp;F10&amp;"_SIMUL AS STRING),'') OR (X."&amp;F10&amp;" IS NULL AND Y."&amp;F10&amp;"_SIMUL IS NOT NULL ) OR (X."&amp;F10&amp;" IS NOT NULL AND Y."&amp;F10&amp;"_SIMUL IS NULL),1,0)) AS NUM_REG_DIF,'"&amp;MAX('ID1&amp;5'!L:L)+1&amp;"' AS ID_EXEC, CURRENT_TIMESTAMP() AS TIME_EXEC FROM "&amp;I10&amp;" INNER JOIN "&amp;J10&amp;" "&amp;K10),
IF(C10="Validade",+IF(G10="Code List","SELECT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 OR CAST(X."&amp;F10&amp;" AS STRING) NOT "&amp;H10&amp;",1,0)) AS NUM_REG_DIF,'"&amp;MAX('ID1&amp;5'!K:K)+1&amp;"' AS ID_EXEC, CURRENT_TIMESTAMP() AS TIME_EXEC FROM "&amp;I10,"SELECT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NULL,1,0)) AS NUM_REG_DIF,'"&amp;MAX('ID1&amp;5'!K:K)+1&amp;"' AS ID_EXEC, CURRENT_TIMESTAMP() AS TIME_EXEC FROM "&amp;I10),
IF(C10="Caracteres Especiais",+"SELECT '"&amp;UPPER(B10)&amp;"' AS TABELA, '"&amp;UPPER(C10)&amp;"' AS TIPOLOGIA_TESTE,'"&amp;D10&amp;"' AS TABELA_LT,'N/A' AS TABELA_SIMUL,'"&amp;F10&amp;"' AS CAMPO, "&amp;"'${ref_date}' AS REF_DATE, COUNT(*) AS NUM_REG, SUM(IF(REGEXP_REPLACE(TRIM(CAST(X."&amp;F10&amp;" AS STRING)),'[^a-zA-Z0-9_\\s]','') &lt;&gt;TRIM(CAST(X."&amp;F10&amp;" AS STRING)),1,0)) AS NUM_REG_DIF,'"&amp;MAX('ID1&amp;5'!K:K)+1&amp;"' AS ID_EXEC, CURRENT_TIMESTAMP() AS TIME_EXEC FROM "&amp;I10,
IF(C10="Missings",+"SELECT '"&amp;UPPER(B10)&amp;"' AS TABELA, '"&amp;UPPER(C10)&amp;"' AS TIPOLOGIA_TESTE,'"&amp;D10&amp;"' AS TABELA_LT,'N/A' AS TABELA_SIMUL,'"&amp;F10&amp;"' AS CAMPO, "&amp;"'${ref_date}' AS REF_DATE, COUNT(*) AS NUM_REG, SUM(IF(TRIM(CAST(X."&amp;F10&amp;" AS STRING)) IN ('0000-00-00','0001-01-01','9999-12-31','MISS','00000','99999999999','99999999999.00','99999999999.000000'),1,0)) AS NUM_REG_DIF,'"&amp;MAX('ID1&amp;5'!K:K)+1&amp;"' AS ID_EXEC, CURRENT_TIMESTAMP() AS TIME_EXEC FROM "&amp;I10,
IF(C10="Not applicable",+"SELECT '"&amp;UPPER(B10)&amp;"' AS TABELA, '"&amp;UPPER(C10)&amp;"' AS TIPOLOGIA_TESTE,'"&amp;D10&amp;"' AS TABELA_LT,'N/A' AS TABELA_SIMUL,'"&amp;F10&amp;"' AS CAMPO, "&amp;"'${ref_date}' AS REF_DATE, COUNT(*) AS NUM_REG, SUM(IF(TRIM(CAST(X."&amp;F10&amp;" AS STRING)) IN ('N/A','11111111111','11111111111.00','11111111111.000000','1111-11-11'),1,0)) AS NUM_REG_DIF,'"&amp;MAX('ID1&amp;5'!K:K)+1&amp;"' AS ID_EXEC, CURRENT_TIMESTAMP() AS TIME_EXEC FROM "&amp;I10,
IF(C10="Valores extremos",+"SELECT '"&amp;UPPER(B10)&amp;"' AS TABELA, '"&amp;UPPER(C10)&amp;"' AS TIPOLOGIA_TESTE,'"&amp;D10&amp;"' AS TABELA_LT,'N/A' AS TABELA_SIMUL,'"&amp;F10&amp;"' AS CAMPO, "&amp;"'${ref_date}' AS REF_DATE, CAST(MIN("&amp;F10&amp;") AS STRING) AS VALOR_MIN, CAST(MAX("&amp;F10&amp;") AS STRING) AS VALOR_MAX,'"&amp;MAX('ID1&amp;5'!K:K)+1&amp;"' AS ID_EXEC, CURRENT_TIMESTAMP() AS TIME_EXEC FROM "&amp;MID(I10,1,LEN(I10)-2)&amp;" AND CAST("&amp;F10&amp;"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TABELA_SIMUL,'ENTTY_NM' AS CAMPO, '${ref_date}' AS REF_DATE, COUNT(*) AS NUM_REG, SUM(IF(COALESCE(CAST(X.ENTTY_NM AS STRING),'')&lt;&gt;COALESCE(CAST(Y.ENTTY_NM_SIMUL AS STRING),'') OR (X.ENTTY_NM IS NULL AND Y.ENTTY_NM_SIMUL IS NOT NULL ) OR (X.ENTTY_NM IS NOT NULL AND Y.ENTTY_NM_SIMUL IS NULL),1,0)) AS NUM_REG_DIF,'1' AS ID_EXEC, CURRENT_TIMESTAMP() AS TIME_EXEC FROM (SELECT entty_id, ENTTY_NM FROM CD_LOAN_TAPES_BCE.LT003_ENTITY WHERE ref_date='${ref_date}' AND nome_perimetro='Individual Local' AND segmento='ESTR' AND ambito='SRB_MBDT' AND entidade='00100')X INNER JOIN (SELECT entty_id AS entty_id_SIMUL, ENTTY_NM AS ENTTY_NM_SIMUL FROM BU_LOANTAPE_WORK.LT003_ENTITY WHERE ref_date='${ref_date}' AND nome_perimetro='Individual Local' AND segmento='ESTR' AND ambito='PM' AND entidade='00100')Y ON X.ENTTY_ID=Y.ENTTY_ID_SIMUL</v>
      </c>
      <c r="M10" s="36" t="str">
        <f t="shared" si="1"/>
        <v>UNION ALL SELECT 'ENTITY' AS TABELA, 'COERÊNCIA' AS TIPOLOGIA_TESTE,'CD_LOAN_TAPES_BCE.LT003_ENTITY' AS TABELA_LT,'BU_LOANTAPE_WORK.LT003_ENTITY' AS TABELA_SIMUL,'ENTTY_NM' AS CAMPO, '${ref_date}' AS REF_DATE, COUNT(*) AS NUM_REG, SUM(IF(COALESCE(CAST(X.ENTTY_NM AS STRING),'')&lt;&gt;COALESCE(CAST(Y.ENTTY_NM_SIMUL AS STRING),'') OR (X.ENTTY_NM IS NULL AND Y.ENTTY_NM_SIMUL IS NOT NULL ) OR (X.ENTTY_NM IS NOT NULL AND Y.ENTTY_NM_SIMUL IS NULL),1,0)) AS NUM_REG_DIF,'1' AS ID_EXEC, CURRENT_TIMESTAMP() AS TIME_EXEC FROM (SELECT entty_id, ENTTY_NM FROM CD_LOAN_TAPES_BCE.LT003_ENTITY WHERE ref_date='${ref_date}' AND nome_perimetro='Individual Local' AND segmento='ESTR' AND ambito='SRB_MBDT' AND entidade='00100')X INNER JOIN (SELECT entty_id AS entty_id_SIMUL, ENTTY_NM AS ENTTY_NM_SIMUL FROM BU_LOANTAPE_WORK.LT003_ENTITY WHERE ref_date='${ref_date}' AND nome_perimetro='Individual Local' AND segmento='ESTR' AND ambito='PM' AND entidade='00100')Y ON X.ENTTY_ID=Y.ENTTY_ID_SIMUL</v>
      </c>
      <c r="N10" s="38" t="s">
        <v>36</v>
      </c>
    </row>
    <row r="11" spans="1:28" hidden="1">
      <c r="A11" s="60" t="str">
        <f t="shared" si="0"/>
        <v>ENTITYLEI</v>
      </c>
      <c r="B11" s="34" t="s">
        <v>114</v>
      </c>
      <c r="C11" s="34" t="s">
        <v>5</v>
      </c>
      <c r="D11" s="34" t="str">
        <f>+UPPER('0. Instruções'!$D$35&amp;"."&amp;VLOOKUP(B11,'0. Instruções'!$C$27:$D$32,2,FALSE))</f>
        <v>CD_LOAN_TAPES_BCE.LT003_ENTITY</v>
      </c>
      <c r="E11" s="34" t="str">
        <f>+UPPER('0. Instruções'!$D$36&amp;"."&amp;VLOOKUP(B11,'0. Instruções'!$C$27:$E$32,3,FALSE))</f>
        <v>BU_LOANTAPE_WORK.LT003_ENTITY</v>
      </c>
      <c r="F11" s="34" t="s">
        <v>101</v>
      </c>
      <c r="G11" s="34"/>
      <c r="H11" s="34"/>
      <c r="I11" s="34" t="str">
        <f>"(SELECT "&amp;VLOOKUP(B11,'0. Instruções'!$C$27:$G$32,4,FALSE)&amp;", "&amp;F11&amp;" FROM "&amp;D11&amp;" WHERE "&amp;'0. Instruções'!$D$42&amp;")X"</f>
        <v>(SELECT entty_id, LEI FROM CD_LOAN_TAPES_BCE.LT003_ENTITY WHERE ref_date='${ref_date}' AND nome_perimetro='Individual Local' AND segmento='ESTR' AND ambito='SRB_MBDT' AND entidade='00100')X</v>
      </c>
      <c r="J11" s="34" t="str">
        <f>"(SELECT "&amp;VLOOKUP(B11,'0. Instruções'!$C$27:$G$32,4,FALSE)&amp;" AS "&amp;VLOOKUP(B11,'0. Instruções'!$C$27:$G$32,4,FALSE)&amp;"_SIMUL, "&amp;F11&amp;" AS "&amp;F11&amp;"_SIMUL FROM "&amp;E11&amp;" WHERE "&amp;'0. Instruções'!$D$43&amp;")Y"</f>
        <v>(SELECT entty_id AS entty_id_SIMUL, LEI AS LEI_SIMUL FROM BU_LOANTAPE_WORK.LT003_ENTITY WHERE ref_date='${ref_date}' AND nome_perimetro='Individual Local' AND segmento='ESTR' AND ambito='PM' AND entidade='00100')Y</v>
      </c>
      <c r="K11" s="35" t="str">
        <f>+UPPER("ON X."&amp;VLOOKUP(B11,'0. Instruções'!$C$27:$G$32,4,FALSE)&amp;"=Y."&amp;VLOOKUP(B11,'0. Instruções'!$C$27:$G$32,4,FALSE)&amp;"_SIMUL")</f>
        <v>ON X.ENTTY_ID=Y.ENTTY_ID_SIMUL</v>
      </c>
      <c r="L11" s="35" t="str">
        <f>+IF(C11="Coerência", +IF(LEFT(G11,5)="FLOAT","SELECT '"&amp;UPPER(B11)&amp;"' AS TABELA, '"&amp;UPPER(C11)&amp;"' AS TIPOLOGIA_TESTE,'"&amp;D11&amp;"' AS TABELA_LT,'"&amp;E11&amp;"' AS TABELA_SIMUL,'"&amp;F11&amp;"' AS CAMPO, "&amp;"'${ref_date}' AS REF_DATE, COUNT(*) AS NUM_REG, SUM(IF((ABS(COALESCE(CAST(X."&amp;F11&amp;" AS DECIMAL(18,6)),0)-COALESCE(CAST(Y."&amp;F11&amp;"_SIMUL AS DECIMAL(18,6)),0))&gt;0.000001) OR (X."&amp;F11&amp;" IS NULL AND Y."&amp;F11&amp;"_SIMUL IS NOT NULL ) OR (X."&amp;F11&amp;" IS NOT NULL AND Y."&amp;F11&amp;"_SIMUL IS NULL),1,0)) AS NUM_REG_DIF,'"&amp;MAX('ID1&amp;5'!K:K)+1&amp;"' AS ID_EXEC, CURRENT_TIMESTAMP() AS TIME_EXEC FROM "&amp;I11&amp;" INNER JOIN "&amp;J11&amp;" "&amp;K11,"SELECT '"&amp;UPPER(B11)&amp;"' AS TABELA, '"&amp;UPPER(C11)&amp;"' AS TIPOLOGIA_TESTE,'"&amp;D11&amp;"' AS TABELA_LT,'"&amp;E11&amp;"' AS TABELA_SIMUL,'"&amp;F11&amp;"' AS CAMPO, "&amp;"'${ref_date}' AS REF_DATE, COUNT(*) AS NUM_REG, SUM(IF(COALESCE(CAST(X."&amp;F11&amp;" AS STRING),'')&lt;&gt;COALESCE(CAST(Y."&amp;F11&amp;"_SIMUL AS STRING),'') OR (X."&amp;F11&amp;" IS NULL AND Y."&amp;F11&amp;"_SIMUL IS NOT NULL ) OR (X."&amp;F11&amp;" IS NOT NULL AND Y."&amp;F11&amp;"_SIMUL IS NULL),1,0)) AS NUM_REG_DIF,'"&amp;MAX('ID1&amp;5'!L:L)+1&amp;"' AS ID_EXEC, CURRENT_TIMESTAMP() AS TIME_EXEC FROM "&amp;I11&amp;" INNER JOIN "&amp;J11&amp;" "&amp;K11),
IF(C11="Validade",+IF(G11="Code List","SELECT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 OR CAST(X."&amp;F11&amp;" AS STRING) NOT "&amp;H11&amp;",1,0)) AS NUM_REG_DIF,'"&amp;MAX('ID1&amp;5'!K:K)+1&amp;"' AS ID_EXEC, CURRENT_TIMESTAMP() AS TIME_EXEC FROM "&amp;I11,"SELECT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NULL,1,0)) AS NUM_REG_DIF,'"&amp;MAX('ID1&amp;5'!K:K)+1&amp;"' AS ID_EXEC, CURRENT_TIMESTAMP() AS TIME_EXEC FROM "&amp;I11),
IF(C11="Caracteres Especiais",+"SELECT '"&amp;UPPER(B11)&amp;"' AS TABELA, '"&amp;UPPER(C11)&amp;"' AS TIPOLOGIA_TESTE,'"&amp;D11&amp;"' AS TABELA_LT,'N/A' AS TABELA_SIMUL,'"&amp;F11&amp;"' AS CAMPO, "&amp;"'${ref_date}' AS REF_DATE, COUNT(*) AS NUM_REG, SUM(IF(REGEXP_REPLACE(TRIM(CAST(X."&amp;F11&amp;" AS STRING)),'[^a-zA-Z0-9_\\s]','') &lt;&gt;TRIM(CAST(X."&amp;F11&amp;" AS STRING)),1,0)) AS NUM_REG_DIF,'"&amp;MAX('ID1&amp;5'!K:K)+1&amp;"' AS ID_EXEC, CURRENT_TIMESTAMP() AS TIME_EXEC FROM "&amp;I11,
IF(C11="Missings",+"SELECT '"&amp;UPPER(B11)&amp;"' AS TABELA, '"&amp;UPPER(C11)&amp;"' AS TIPOLOGIA_TESTE,'"&amp;D11&amp;"' AS TABELA_LT,'N/A' AS TABELA_SIMUL,'"&amp;F11&amp;"' AS CAMPO, "&amp;"'${ref_date}' AS REF_DATE, COUNT(*) AS NUM_REG, SUM(IF(TRIM(CAST(X."&amp;F11&amp;" AS STRING)) IN ('0000-00-00','0001-01-01','9999-12-31','MISS','00000','99999999999','99999999999.00','99999999999.000000'),1,0)) AS NUM_REG_DIF,'"&amp;MAX('ID1&amp;5'!K:K)+1&amp;"' AS ID_EXEC, CURRENT_TIMESTAMP() AS TIME_EXEC FROM "&amp;I11,
IF(C11="Not applicable",+"SELECT '"&amp;UPPER(B11)&amp;"' AS TABELA, '"&amp;UPPER(C11)&amp;"' AS TIPOLOGIA_TESTE,'"&amp;D11&amp;"' AS TABELA_LT,'N/A' AS TABELA_SIMUL,'"&amp;F11&amp;"' AS CAMPO, "&amp;"'${ref_date}' AS REF_DATE, COUNT(*) AS NUM_REG, SUM(IF(TRIM(CAST(X."&amp;F11&amp;" AS STRING)) IN ('N/A','11111111111','11111111111.00','11111111111.000000','1111-11-11'),1,0)) AS NUM_REG_DIF,'"&amp;MAX('ID1&amp;5'!K:K)+1&amp;"' AS ID_EXEC, CURRENT_TIMESTAMP() AS TIME_EXEC FROM "&amp;I11,
IF(C11="Valores extremos",+"SELECT '"&amp;UPPER(B11)&amp;"' AS TABELA, '"&amp;UPPER(C11)&amp;"' AS TIPOLOGIA_TESTE,'"&amp;D11&amp;"' AS TABELA_LT,'N/A' AS TABELA_SIMUL,'"&amp;F11&amp;"' AS CAMPO, "&amp;"'${ref_date}' AS REF_DATE, CAST(MIN("&amp;F11&amp;") AS STRING) AS VALOR_MIN, CAST(MAX("&amp;F11&amp;") AS STRING) AS VALOR_MAX,'"&amp;MAX('ID1&amp;5'!K:K)+1&amp;"' AS ID_EXEC, CURRENT_TIMESTAMP() AS TIME_EXEC FROM "&amp;MID(I11,1,LEN(I11)-2)&amp;" AND CAST("&amp;F11&amp;"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TABELA_SIMUL,'LEI' AS CAMPO, '${ref_date}' AS REF_DATE, COUNT(*) AS NUM_REG, SUM(IF(COALESCE(CAST(X.LEI AS STRING),'')&lt;&gt;COALESCE(CAST(Y.LEI_SIMUL AS STRING),'') OR (X.LEI IS NULL AND Y.LEI_SIMUL IS NOT NULL ) OR (X.LEI IS NOT NULL AND Y.LEI_SIMUL IS NULL),1,0)) AS NUM_REG_DIF,'1' AS ID_EXEC, CURRENT_TIMESTAMP() AS TIME_EXEC FROM (SELECT entty_id, LEI FROM CD_LOAN_TAPES_BCE.LT003_ENTITY WHERE ref_date='${ref_date}' AND nome_perimetro='Individual Local' AND segmento='ESTR' AND ambito='SRB_MBDT' AND entidade='00100')X INNER JOIN (SELECT entty_id AS entty_id_SIMUL, LEI AS LEI_SIMUL FROM BU_LOANTAPE_WORK.LT003_ENTITY WHERE ref_date='${ref_date}' AND nome_perimetro='Individual Local' AND segmento='ESTR' AND ambito='PM' AND entidade='00100')Y ON X.ENTTY_ID=Y.ENTTY_ID_SIMUL</v>
      </c>
      <c r="M11" s="36" t="str">
        <f t="shared" si="1"/>
        <v>UNION ALL SELECT 'ENTITY' AS TABELA, 'COERÊNCIA' AS TIPOLOGIA_TESTE,'CD_LOAN_TAPES_BCE.LT003_ENTITY' AS TABELA_LT,'BU_LOANTAPE_WORK.LT003_ENTITY' AS TABELA_SIMUL,'LEI' AS CAMPO, '${ref_date}' AS REF_DATE, COUNT(*) AS NUM_REG, SUM(IF(COALESCE(CAST(X.LEI AS STRING),'')&lt;&gt;COALESCE(CAST(Y.LEI_SIMUL AS STRING),'') OR (X.LEI IS NULL AND Y.LEI_SIMUL IS NOT NULL ) OR (X.LEI IS NOT NULL AND Y.LEI_SIMUL IS NULL),1,0)) AS NUM_REG_DIF,'1' AS ID_EXEC, CURRENT_TIMESTAMP() AS TIME_EXEC FROM (SELECT entty_id, LEI FROM CD_LOAN_TAPES_BCE.LT003_ENTITY WHERE ref_date='${ref_date}' AND nome_perimetro='Individual Local' AND segmento='ESTR' AND ambito='SRB_MBDT' AND entidade='00100')X INNER JOIN (SELECT entty_id AS entty_id_SIMUL, LEI AS LEI_SIMUL FROM BU_LOANTAPE_WORK.LT003_ENTITY WHERE ref_date='${ref_date}' AND nome_perimetro='Individual Local' AND segmento='ESTR' AND ambito='PM' AND entidade='00100')Y ON X.ENTTY_ID=Y.ENTTY_ID_SIMUL</v>
      </c>
      <c r="N11" s="38" t="s">
        <v>36</v>
      </c>
    </row>
    <row r="12" spans="1:28" hidden="1">
      <c r="A12" s="60" t="str">
        <f t="shared" si="0"/>
        <v>ENTITYCNTRY</v>
      </c>
      <c r="B12" s="34" t="s">
        <v>114</v>
      </c>
      <c r="C12" s="34" t="s">
        <v>5</v>
      </c>
      <c r="D12" s="34" t="str">
        <f>+UPPER('0. Instruções'!$D$35&amp;"."&amp;VLOOKUP(B12,'0. Instruções'!$C$27:$D$32,2,FALSE))</f>
        <v>CD_LOAN_TAPES_BCE.LT003_ENTITY</v>
      </c>
      <c r="E12" s="34" t="str">
        <f>+UPPER('0. Instruções'!$D$36&amp;"."&amp;VLOOKUP(B12,'0. Instruções'!$C$27:$E$32,3,FALSE))</f>
        <v>BU_LOANTAPE_WORK.LT003_ENTITY</v>
      </c>
      <c r="F12" s="34" t="s">
        <v>100</v>
      </c>
      <c r="G12" s="34"/>
      <c r="H12" s="34"/>
      <c r="I12" s="34" t="str">
        <f>"(SELECT "&amp;VLOOKUP(B12,'0. Instruções'!$C$27:$G$32,4,FALSE)&amp;", "&amp;F12&amp;" FROM "&amp;D12&amp;" WHERE "&amp;'0. Instruções'!$D$42&amp;")X"</f>
        <v>(SELECT entty_id, CNTRY FROM CD_LOAN_TAPES_BCE.LT003_ENTITY WHERE ref_date='${ref_date}' AND nome_perimetro='Individual Local' AND segmento='ESTR' AND ambito='SRB_MBDT' AND entidade='00100')X</v>
      </c>
      <c r="J12" s="34" t="str">
        <f>"(SELECT "&amp;VLOOKUP(B12,'0. Instruções'!$C$27:$G$32,4,FALSE)&amp;" AS "&amp;VLOOKUP(B12,'0. Instruções'!$C$27:$G$32,4,FALSE)&amp;"_SIMUL, "&amp;F12&amp;" AS "&amp;F12&amp;"_SIMUL FROM "&amp;E12&amp;" WHERE "&amp;'0. Instruções'!$D$43&amp;")Y"</f>
        <v>(SELECT entty_id AS entty_id_SIMUL, CNTRY AS CNTRY_SIMUL FROM BU_LOANTAPE_WORK.LT003_ENTITY WHERE ref_date='${ref_date}' AND nome_perimetro='Individual Local' AND segmento='ESTR' AND ambito='PM' AND entidade='00100')Y</v>
      </c>
      <c r="K12" s="35" t="str">
        <f>+UPPER("ON X."&amp;VLOOKUP(B12,'0. Instruções'!$C$27:$G$32,4,FALSE)&amp;"=Y."&amp;VLOOKUP(B12,'0. Instruções'!$C$27:$G$32,4,FALSE)&amp;"_SIMUL")</f>
        <v>ON X.ENTTY_ID=Y.ENTTY_ID_SIMUL</v>
      </c>
      <c r="L12" s="35" t="str">
        <f>+IF(C12="Coerência", +IF(LEFT(G12,5)="FLOAT","SELECT '"&amp;UPPER(B12)&amp;"' AS TABELA, '"&amp;UPPER(C12)&amp;"' AS TIPOLOGIA_TESTE,'"&amp;D12&amp;"' AS TABELA_LT,'"&amp;E12&amp;"' AS TABELA_SIMUL,'"&amp;F12&amp;"' AS CAMPO, "&amp;"'${ref_date}' AS REF_DATE, COUNT(*) AS NUM_REG, SUM(IF((ABS(COALESCE(CAST(X."&amp;F12&amp;" AS DECIMAL(18,6)),0)-COALESCE(CAST(Y."&amp;F12&amp;"_SIMUL AS DECIMAL(18,6)),0))&gt;0.000001) OR (X."&amp;F12&amp;" IS NULL AND Y."&amp;F12&amp;"_SIMUL IS NOT NULL ) OR (X."&amp;F12&amp;" IS NOT NULL AND Y."&amp;F12&amp;"_SIMUL IS NULL),1,0)) AS NUM_REG_DIF,'"&amp;MAX('ID1&amp;5'!K:K)+1&amp;"' AS ID_EXEC, CURRENT_TIMESTAMP() AS TIME_EXEC FROM "&amp;I12&amp;" INNER JOIN "&amp;J12&amp;" "&amp;K12,"SELECT '"&amp;UPPER(B12)&amp;"' AS TABELA, '"&amp;UPPER(C12)&amp;"' AS TIPOLOGIA_TESTE,'"&amp;D12&amp;"' AS TABELA_LT,'"&amp;E12&amp;"' AS TABELA_SIMUL,'"&amp;F12&amp;"' AS CAMPO, "&amp;"'${ref_date}' AS REF_DATE, COUNT(*) AS NUM_REG, SUM(IF(COALESCE(CAST(X."&amp;F12&amp;" AS STRING),'')&lt;&gt;COALESCE(CAST(Y."&amp;F12&amp;"_SIMUL AS STRING),'') OR (X."&amp;F12&amp;" IS NULL AND Y."&amp;F12&amp;"_SIMUL IS NOT NULL ) OR (X."&amp;F12&amp;" IS NOT NULL AND Y."&amp;F12&amp;"_SIMUL IS NULL),1,0)) AS NUM_REG_DIF,'"&amp;MAX('ID1&amp;5'!L:L)+1&amp;"' AS ID_EXEC, CURRENT_TIMESTAMP() AS TIME_EXEC FROM "&amp;I12&amp;" INNER JOIN "&amp;J12&amp;" "&amp;K12),
IF(C12="Validade",+IF(G12="Code List","SELECT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 OR CAST(X."&amp;F12&amp;" AS STRING) NOT "&amp;H12&amp;",1,0)) AS NUM_REG_DIF,'"&amp;MAX('ID1&amp;5'!K:K)+1&amp;"' AS ID_EXEC, CURRENT_TIMESTAMP() AS TIME_EXEC FROM "&amp;I12,"SELECT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NULL,1,0)) AS NUM_REG_DIF,'"&amp;MAX('ID1&amp;5'!K:K)+1&amp;"' AS ID_EXEC, CURRENT_TIMESTAMP() AS TIME_EXEC FROM "&amp;I12),
IF(C12="Caracteres Especiais",+"SELECT '"&amp;UPPER(B12)&amp;"' AS TABELA, '"&amp;UPPER(C12)&amp;"' AS TIPOLOGIA_TESTE,'"&amp;D12&amp;"' AS TABELA_LT,'N/A' AS TABELA_SIMUL,'"&amp;F12&amp;"' AS CAMPO, "&amp;"'${ref_date}' AS REF_DATE, COUNT(*) AS NUM_REG, SUM(IF(REGEXP_REPLACE(TRIM(CAST(X."&amp;F12&amp;" AS STRING)),'[^a-zA-Z0-9_\\s]','') &lt;&gt;TRIM(CAST(X."&amp;F12&amp;" AS STRING)),1,0)) AS NUM_REG_DIF,'"&amp;MAX('ID1&amp;5'!K:K)+1&amp;"' AS ID_EXEC, CURRENT_TIMESTAMP() AS TIME_EXEC FROM "&amp;I12,
IF(C12="Missings",+"SELECT '"&amp;UPPER(B12)&amp;"' AS TABELA, '"&amp;UPPER(C12)&amp;"' AS TIPOLOGIA_TESTE,'"&amp;D12&amp;"' AS TABELA_LT,'N/A' AS TABELA_SIMUL,'"&amp;F12&amp;"' AS CAMPO, "&amp;"'${ref_date}' AS REF_DATE, COUNT(*) AS NUM_REG, SUM(IF(TRIM(CAST(X."&amp;F12&amp;" AS STRING)) IN ('0000-00-00','0001-01-01','9999-12-31','MISS','00000','99999999999','99999999999.00','99999999999.000000'),1,0)) AS NUM_REG_DIF,'"&amp;MAX('ID1&amp;5'!K:K)+1&amp;"' AS ID_EXEC, CURRENT_TIMESTAMP() AS TIME_EXEC FROM "&amp;I12,
IF(C12="Not applicable",+"SELECT '"&amp;UPPER(B12)&amp;"' AS TABELA, '"&amp;UPPER(C12)&amp;"' AS TIPOLOGIA_TESTE,'"&amp;D12&amp;"' AS TABELA_LT,'N/A' AS TABELA_SIMUL,'"&amp;F12&amp;"' AS CAMPO, "&amp;"'${ref_date}' AS REF_DATE, COUNT(*) AS NUM_REG, SUM(IF(TRIM(CAST(X."&amp;F12&amp;" AS STRING)) IN ('N/A','11111111111','11111111111.00','11111111111.000000','1111-11-11'),1,0)) AS NUM_REG_DIF,'"&amp;MAX('ID1&amp;5'!K:K)+1&amp;"' AS ID_EXEC, CURRENT_TIMESTAMP() AS TIME_EXEC FROM "&amp;I12,
IF(C12="Valores extremos",+"SELECT '"&amp;UPPER(B12)&amp;"' AS TABELA, '"&amp;UPPER(C12)&amp;"' AS TIPOLOGIA_TESTE,'"&amp;D12&amp;"' AS TABELA_LT,'N/A' AS TABELA_SIMUL,'"&amp;F12&amp;"' AS CAMPO, "&amp;"'${ref_date}' AS REF_DATE, CAST(MIN("&amp;F12&amp;") AS STRING) AS VALOR_MIN, CAST(MAX("&amp;F12&amp;") AS STRING) AS VALOR_MAX,'"&amp;MAX('ID1&amp;5'!K:K)+1&amp;"' AS ID_EXEC, CURRENT_TIMESTAMP() AS TIME_EXEC FROM "&amp;MID(I12,1,LEN(I12)-2)&amp;" AND CAST("&amp;F12&amp;"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TABELA_SIMUL,'CNTRY' AS CAMPO, '${ref_date}' AS REF_DATE, COUNT(*) AS NUM_REG, SUM(IF(COALESCE(CAST(X.CNTRY AS STRING),'')&lt;&gt;COALESCE(CAST(Y.CNTRY_SIMUL AS STRING),'') OR (X.CNTRY IS NULL AND Y.CNTRY_SIMUL IS NOT NULL ) OR (X.CNTRY IS NOT NULL AND Y.CNTRY_SIMUL IS NULL),1,0)) AS NUM_REG_DIF,'1' AS ID_EXEC, CURRENT_TIMESTAMP() AS TIME_EXEC FROM (SELECT entty_id, CNTRY FROM CD_LOAN_TAPES_BCE.LT003_ENTITY WHERE ref_date='${ref_date}' AND nome_perimetro='Individual Local' AND segmento='ESTR' AND ambito='SRB_MBDT' AND entidade='00100')X INNER JOIN (SELECT entty_id AS entty_id_SIMUL, CNTRY AS CNTRY_SIMUL FROM BU_LOANTAPE_WORK.LT003_ENTITY WHERE ref_date='${ref_date}' AND nome_perimetro='Individual Local' AND segmento='ESTR' AND ambito='PM' AND entidade='00100')Y ON X.ENTTY_ID=Y.ENTTY_ID_SIMUL</v>
      </c>
      <c r="M12" s="36" t="str">
        <f t="shared" si="1"/>
        <v>UNION ALL SELECT 'ENTITY' AS TABELA, 'COERÊNCIA' AS TIPOLOGIA_TESTE,'CD_LOAN_TAPES_BCE.LT003_ENTITY' AS TABELA_LT,'BU_LOANTAPE_WORK.LT003_ENTITY' AS TABELA_SIMUL,'CNTRY' AS CAMPO, '${ref_date}' AS REF_DATE, COUNT(*) AS NUM_REG, SUM(IF(COALESCE(CAST(X.CNTRY AS STRING),'')&lt;&gt;COALESCE(CAST(Y.CNTRY_SIMUL AS STRING),'') OR (X.CNTRY IS NULL AND Y.CNTRY_SIMUL IS NOT NULL ) OR (X.CNTRY IS NOT NULL AND Y.CNTRY_SIMUL IS NULL),1,0)) AS NUM_REG_DIF,'1' AS ID_EXEC, CURRENT_TIMESTAMP() AS TIME_EXEC FROM (SELECT entty_id, CNTRY FROM CD_LOAN_TAPES_BCE.LT003_ENTITY WHERE ref_date='${ref_date}' AND nome_perimetro='Individual Local' AND segmento='ESTR' AND ambito='SRB_MBDT' AND entidade='00100')X INNER JOIN (SELECT entty_id AS entty_id_SIMUL, CNTRY AS CNTRY_SIMUL FROM BU_LOANTAPE_WORK.LT003_ENTITY WHERE ref_date='${ref_date}' AND nome_perimetro='Individual Local' AND segmento='ESTR' AND ambito='PM' AND entidade='00100')Y ON X.ENTTY_ID=Y.ENTTY_ID_SIMUL</v>
      </c>
      <c r="N12" s="38" t="s">
        <v>36</v>
      </c>
    </row>
    <row r="13" spans="1:28" hidden="1">
      <c r="A13" s="60" t="str">
        <f t="shared" si="0"/>
        <v>INSTRUMENTISIN</v>
      </c>
      <c r="B13" s="34" t="s">
        <v>113</v>
      </c>
      <c r="C13" s="34" t="s">
        <v>5</v>
      </c>
      <c r="D13" s="34" t="str">
        <f>+UPPER('0. Instruções'!$D$35&amp;"."&amp;VLOOKUP(B13,'0. Instruções'!$C$27:$D$32,2,FALSE))</f>
        <v>CD_LOAN_TAPES_BCE.LT002_INSTRUMENT</v>
      </c>
      <c r="E13" s="34" t="str">
        <f>+UPPER('0. Instruções'!$D$36&amp;"."&amp;VLOOKUP(B13,'0. Instruções'!$C$27:$E$32,3,FALSE))</f>
        <v>BU_LOANTAPE_WORK.LT002_INSTRUMENT</v>
      </c>
      <c r="F13" s="34" t="s">
        <v>99</v>
      </c>
      <c r="G13" s="34"/>
      <c r="H13" s="34"/>
      <c r="I13" s="34" t="str">
        <f>"(SELECT "&amp;VLOOKUP(B13,'0. Instruções'!$C$27:$G$32,4,FALSE)&amp;", "&amp;F13&amp;" FROM "&amp;D13&amp;" WHERE "&amp;'0. Instruções'!$D$42&amp;")X"</f>
        <v>(SELECT instrmnt_id, ISIN FROM CD_LOAN_TAPES_BCE.LT002_INSTRUMENT WHERE ref_date='${ref_date}' AND nome_perimetro='Individual Local' AND segmento='ESTR' AND ambito='SRB_MBDT' AND entidade='00100')X</v>
      </c>
      <c r="J13" s="34" t="str">
        <f>"(SELECT "&amp;VLOOKUP(B13,'0. Instruções'!$C$27:$G$32,4,FALSE)&amp;" AS "&amp;VLOOKUP(B13,'0. Instruções'!$C$27:$G$32,4,FALSE)&amp;"_SIMUL, "&amp;F13&amp;" AS "&amp;F13&amp;"_SIMUL FROM "&amp;E13&amp;" WHERE "&amp;'0. Instruções'!$D$43&amp;")Y"</f>
        <v>(SELECT instrmnt_id AS instrmnt_id_SIMUL, ISIN AS ISIN_SIMUL FROM BU_LOANTAPE_WORK.LT002_INSTRUMENT WHERE ref_date='${ref_date}' AND nome_perimetro='Individual Local' AND segmento='ESTR' AND ambito='PM' AND entidade='00100')Y</v>
      </c>
      <c r="K13" s="35" t="str">
        <f>+UPPER("ON X."&amp;VLOOKUP(B13,'0. Instruções'!$C$27:$G$32,4,FALSE)&amp;"=Y."&amp;VLOOKUP(B13,'0. Instruções'!$C$27:$G$32,4,FALSE)&amp;"_SIMUL")</f>
        <v>ON X.INSTRMNT_ID=Y.INSTRMNT_ID_SIMUL</v>
      </c>
      <c r="L13" s="35" t="str">
        <f>+IF(C13="Coerência", +IF(LEFT(G13,5)="FLOAT","SELECT '"&amp;UPPER(B13)&amp;"' AS TABELA, '"&amp;UPPER(C13)&amp;"' AS TIPOLOGIA_TESTE,'"&amp;D13&amp;"' AS TABELA_LT,'"&amp;E13&amp;"' AS TABELA_SIMUL,'"&amp;F13&amp;"' AS CAMPO, "&amp;"'${ref_date}' AS REF_DATE, COUNT(*) AS NUM_REG, SUM(IF((ABS(COALESCE(CAST(X."&amp;F13&amp;" AS DECIMAL(18,6)),0)-COALESCE(CAST(Y."&amp;F13&amp;"_SIMUL AS DECIMAL(18,6)),0))&gt;0.000001) OR (X."&amp;F13&amp;" IS NULL AND Y."&amp;F13&amp;"_SIMUL IS NOT NULL ) OR (X."&amp;F13&amp;" IS NOT NULL AND Y."&amp;F13&amp;"_SIMUL IS NULL),1,0)) AS NUM_REG_DIF,'"&amp;MAX('ID1&amp;5'!K:K)+1&amp;"' AS ID_EXEC, CURRENT_TIMESTAMP() AS TIME_EXEC FROM "&amp;I13&amp;" INNER JOIN "&amp;J13&amp;" "&amp;K13,"SELECT '"&amp;UPPER(B13)&amp;"' AS TABELA, '"&amp;UPPER(C13)&amp;"' AS TIPOLOGIA_TESTE,'"&amp;D13&amp;"' AS TABELA_LT,'"&amp;E13&amp;"' AS TABELA_SIMUL,'"&amp;F13&amp;"' AS CAMPO, "&amp;"'${ref_date}' AS REF_DATE, COUNT(*) AS NUM_REG, SUM(IF(COALESCE(CAST(X."&amp;F13&amp;" AS STRING),'')&lt;&gt;COALESCE(CAST(Y."&amp;F13&amp;"_SIMUL AS STRING),'') OR (X."&amp;F13&amp;" IS NULL AND Y."&amp;F13&amp;"_SIMUL IS NOT NULL ) OR (X."&amp;F13&amp;" IS NOT NULL AND Y."&amp;F13&amp;"_SIMUL IS NULL),1,0)) AS NUM_REG_DIF,'"&amp;MAX('ID1&amp;5'!L:L)+1&amp;"' AS ID_EXEC, CURRENT_TIMESTAMP() AS TIME_EXEC FROM "&amp;I13&amp;" INNER JOIN "&amp;J13&amp;" "&amp;K13),
IF(C13="Validade",+IF(G13="Code List","SELECT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 OR CAST(X."&amp;F13&amp;" AS STRING) NOT "&amp;H13&amp;",1,0)) AS NUM_REG_DIF,'"&amp;MAX('ID1&amp;5'!K:K)+1&amp;"' AS ID_EXEC, CURRENT_TIMESTAMP() AS TIME_EXEC FROM "&amp;I13,"SELECT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NULL,1,0)) AS NUM_REG_DIF,'"&amp;MAX('ID1&amp;5'!K:K)+1&amp;"' AS ID_EXEC, CURRENT_TIMESTAMP() AS TIME_EXEC FROM "&amp;I13),
IF(C13="Caracteres Especiais",+"SELECT '"&amp;UPPER(B13)&amp;"' AS TABELA, '"&amp;UPPER(C13)&amp;"' AS TIPOLOGIA_TESTE,'"&amp;D13&amp;"' AS TABELA_LT,'N/A' AS TABELA_SIMUL,'"&amp;F13&amp;"' AS CAMPO, "&amp;"'${ref_date}' AS REF_DATE, COUNT(*) AS NUM_REG, SUM(IF(REGEXP_REPLACE(TRIM(CAST(X."&amp;F13&amp;" AS STRING)),'[^a-zA-Z0-9_\\s]','') &lt;&gt;TRIM(CAST(X."&amp;F13&amp;" AS STRING)),1,0)) AS NUM_REG_DIF,'"&amp;MAX('ID1&amp;5'!K:K)+1&amp;"' AS ID_EXEC, CURRENT_TIMESTAMP() AS TIME_EXEC FROM "&amp;I13,
IF(C13="Missings",+"SELECT '"&amp;UPPER(B13)&amp;"' AS TABELA, '"&amp;UPPER(C13)&amp;"' AS TIPOLOGIA_TESTE,'"&amp;D13&amp;"' AS TABELA_LT,'N/A' AS TABELA_SIMUL,'"&amp;F13&amp;"' AS CAMPO, "&amp;"'${ref_date}' AS REF_DATE, COUNT(*) AS NUM_REG, SUM(IF(TRIM(CAST(X."&amp;F13&amp;" AS STRING)) IN ('0000-00-00','0001-01-01','9999-12-31','MISS','00000','99999999999','99999999999.00','99999999999.000000'),1,0)) AS NUM_REG_DIF,'"&amp;MAX('ID1&amp;5'!K:K)+1&amp;"' AS ID_EXEC, CURRENT_TIMESTAMP() AS TIME_EXEC FROM "&amp;I13,
IF(C13="Not applicable",+"SELECT '"&amp;UPPER(B13)&amp;"' AS TABELA, '"&amp;UPPER(C13)&amp;"' AS TIPOLOGIA_TESTE,'"&amp;D13&amp;"' AS TABELA_LT,'N/A' AS TABELA_SIMUL,'"&amp;F13&amp;"' AS CAMPO, "&amp;"'${ref_date}' AS REF_DATE, COUNT(*) AS NUM_REG, SUM(IF(TRIM(CAST(X."&amp;F13&amp;" AS STRING)) IN ('N/A','11111111111','11111111111.00','11111111111.000000','1111-11-11'),1,0)) AS NUM_REG_DIF,'"&amp;MAX('ID1&amp;5'!K:K)+1&amp;"' AS ID_EXEC, CURRENT_TIMESTAMP() AS TIME_EXEC FROM "&amp;I13,
IF(C13="Valores extremos",+"SELECT '"&amp;UPPER(B13)&amp;"' AS TABELA, '"&amp;UPPER(C13)&amp;"' AS TIPOLOGIA_TESTE,'"&amp;D13&amp;"' AS TABELA_LT,'N/A' AS TABELA_SIMUL,'"&amp;F13&amp;"' AS CAMPO, "&amp;"'${ref_date}' AS REF_DATE, CAST(MIN("&amp;F13&amp;") AS STRING) AS VALOR_MIN, CAST(MAX("&amp;F13&amp;") AS STRING) AS VALOR_MAX,'"&amp;MAX('ID1&amp;5'!K:K)+1&amp;"' AS ID_EXEC, CURRENT_TIMESTAMP() AS TIME_EXEC FROM "&amp;MID(I13,1,LEN(I13)-2)&amp;" AND CAST("&amp;F13&amp;"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TABELA_SIMUL,'ISIN' AS CAMPO, '${ref_date}' AS REF_DATE, COUNT(*) AS NUM_REG, SUM(IF(COALESCE(CAST(X.ISIN AS STRING),'')&lt;&gt;COALESCE(CAST(Y.ISIN_SIMUL AS STRING),'') OR (X.ISIN IS NULL AND Y.ISIN_SIMUL IS NOT NULL ) OR (X.ISIN IS NOT NULL AND Y.ISIN_SIMUL IS NULL),1,0)) AS NUM_REG_DIF,'1' AS ID_EXEC, CURRENT_TIMESTAMP() AS TIME_EXEC FROM (SELECT instrmnt_id, ISIN FROM CD_LOAN_TAPES_BCE.LT002_INSTRUMENT WHERE ref_date='${ref_date}' AND nome_perimetro='Individual Local' AND segmento='ESTR' AND ambito='SRB_MBDT' AND entidade='00100')X INNER JOIN (SELECT instrmnt_id AS instrmnt_id_SIMUL, ISIN AS ISIN_SIMUL FROM BU_LOANTAPE_WORK.LT002_INSTRUMENT WHERE ref_date='${ref_date}' AND nome_perimetro='Individual Local' AND segmento='ESTR' AND ambito='PM' AND entidade='00100')Y ON X.INSTRMNT_ID=Y.INSTRMNT_ID_SIMUL</v>
      </c>
      <c r="M13" s="36" t="str">
        <f t="shared" si="1"/>
        <v>UNION ALL SELECT 'INSTRUMENT' AS TABELA, 'COERÊNCIA' AS TIPOLOGIA_TESTE,'CD_LOAN_TAPES_BCE.LT002_INSTRUMENT' AS TABELA_LT,'BU_LOANTAPE_WORK.LT002_INSTRUMENT' AS TABELA_SIMUL,'ISIN' AS CAMPO, '${ref_date}' AS REF_DATE, COUNT(*) AS NUM_REG, SUM(IF(COALESCE(CAST(X.ISIN AS STRING),'')&lt;&gt;COALESCE(CAST(Y.ISIN_SIMUL AS STRING),'') OR (X.ISIN IS NULL AND Y.ISIN_SIMUL IS NOT NULL ) OR (X.ISIN IS NOT NULL AND Y.ISIN_SIMUL IS NULL),1,0)) AS NUM_REG_DIF,'1' AS ID_EXEC, CURRENT_TIMESTAMP() AS TIME_EXEC FROM (SELECT instrmnt_id, ISIN FROM CD_LOAN_TAPES_BCE.LT002_INSTRUMENT WHERE ref_date='${ref_date}' AND nome_perimetro='Individual Local' AND segmento='ESTR' AND ambito='SRB_MBDT' AND entidade='00100')X INNER JOIN (SELECT instrmnt_id AS instrmnt_id_SIMUL, ISIN AS ISIN_SIMUL FROM BU_LOANTAPE_WORK.LT002_INSTRUMENT WHERE ref_date='${ref_date}' AND nome_perimetro='Individual Local' AND segmento='ESTR' AND ambito='PM' AND entidade='00100')Y ON X.INSTRMNT_ID=Y.INSTRMNT_ID_SIMUL</v>
      </c>
      <c r="N13" s="38" t="s">
        <v>36</v>
      </c>
    </row>
    <row r="14" spans="1:28" hidden="1">
      <c r="A14" s="60" t="str">
        <f t="shared" si="0"/>
        <v>INSTRUMENTCRRNCY_DNMNTN</v>
      </c>
      <c r="B14" s="34" t="s">
        <v>113</v>
      </c>
      <c r="C14" s="34" t="s">
        <v>5</v>
      </c>
      <c r="D14" s="34" t="str">
        <f>+UPPER('0. Instruções'!$D$35&amp;"."&amp;VLOOKUP(B14,'0. Instruções'!$C$27:$D$32,2,FALSE))</f>
        <v>CD_LOAN_TAPES_BCE.LT002_INSTRUMENT</v>
      </c>
      <c r="E14" s="34" t="str">
        <f>+UPPER('0. Instruções'!$D$36&amp;"."&amp;VLOOKUP(B14,'0. Instruções'!$C$27:$E$32,3,FALSE))</f>
        <v>BU_LOANTAPE_WORK.LT002_INSTRUMENT</v>
      </c>
      <c r="F14" s="34" t="s">
        <v>399</v>
      </c>
      <c r="G14" s="34"/>
      <c r="H14" s="34"/>
      <c r="I14" s="34" t="str">
        <f>"(SELECT "&amp;VLOOKUP(B14,'0. Instruções'!$C$27:$G$32,4,FALSE)&amp;", "&amp;F14&amp;" FROM "&amp;D14&amp;" WHERE "&amp;'0. Instruções'!$D$42&amp;")X"</f>
        <v>(SELECT instrmnt_id, CRRNCY_DNMNTN FROM CD_LOAN_TAPES_BCE.LT002_INSTRUMENT WHERE ref_date='${ref_date}' AND nome_perimetro='Individual Local' AND segmento='ESTR' AND ambito='SRB_MBDT' AND entidade='00100')X</v>
      </c>
      <c r="J14" s="34" t="str">
        <f>"(SELECT "&amp;VLOOKUP(B14,'0. Instruções'!$C$27:$G$32,4,FALSE)&amp;" AS "&amp;VLOOKUP(B14,'0. Instruções'!$C$27:$G$32,4,FALSE)&amp;"_SIMUL, "&amp;F14&amp;" AS "&amp;F14&amp;"_SIMUL FROM "&amp;E14&amp;" WHERE "&amp;'0. Instruções'!$D$43&amp;")Y"</f>
        <v>(SELECT instrmnt_id AS instrmnt_id_SIMUL, CRRNCY_DNMNTN AS CRRNCY_DNMNTN_SIMUL FROM BU_LOANTAPE_WORK.LT002_INSTRUMENT WHERE ref_date='${ref_date}' AND nome_perimetro='Individual Local' AND segmento='ESTR' AND ambito='PM' AND entidade='00100')Y</v>
      </c>
      <c r="K14" s="35" t="str">
        <f>+UPPER("ON X."&amp;VLOOKUP(B14,'0. Instruções'!$C$27:$G$32,4,FALSE)&amp;"=Y."&amp;VLOOKUP(B14,'0. Instruções'!$C$27:$G$32,4,FALSE)&amp;"_SIMUL")</f>
        <v>ON X.INSTRMNT_ID=Y.INSTRMNT_ID_SIMUL</v>
      </c>
      <c r="L14" s="35" t="str">
        <f>+IF(C14="Coerência", +IF(LEFT(G14,5)="FLOAT","SELECT '"&amp;UPPER(B14)&amp;"' AS TABELA, '"&amp;UPPER(C14)&amp;"' AS TIPOLOGIA_TESTE,'"&amp;D14&amp;"' AS TABELA_LT,'"&amp;E14&amp;"' AS TABELA_SIMUL,'"&amp;F14&amp;"' AS CAMPO, "&amp;"'${ref_date}' AS REF_DATE, COUNT(*) AS NUM_REG, SUM(IF((ABS(COALESCE(CAST(X."&amp;F14&amp;" AS DECIMAL(18,6)),0)-COALESCE(CAST(Y."&amp;F14&amp;"_SIMUL AS DECIMAL(18,6)),0))&gt;0.000001) OR (X."&amp;F14&amp;" IS NULL AND Y."&amp;F14&amp;"_SIMUL IS NOT NULL ) OR (X."&amp;F14&amp;" IS NOT NULL AND Y."&amp;F14&amp;"_SIMUL IS NULL),1,0)) AS NUM_REG_DIF,'"&amp;MAX('ID1&amp;5'!K:K)+1&amp;"' AS ID_EXEC, CURRENT_TIMESTAMP() AS TIME_EXEC FROM "&amp;I14&amp;" INNER JOIN "&amp;J14&amp;" "&amp;K14,"SELECT '"&amp;UPPER(B14)&amp;"' AS TABELA, '"&amp;UPPER(C14)&amp;"' AS TIPOLOGIA_TESTE,'"&amp;D14&amp;"' AS TABELA_LT,'"&amp;E14&amp;"' AS TABELA_SIMUL,'"&amp;F14&amp;"' AS CAMPO, "&amp;"'${ref_date}' AS REF_DATE, COUNT(*) AS NUM_REG, SUM(IF(COALESCE(CAST(X."&amp;F14&amp;" AS STRING),'')&lt;&gt;COALESCE(CAST(Y."&amp;F14&amp;"_SIMUL AS STRING),'') OR (X."&amp;F14&amp;" IS NULL AND Y."&amp;F14&amp;"_SIMUL IS NOT NULL ) OR (X."&amp;F14&amp;" IS NOT NULL AND Y."&amp;F14&amp;"_SIMUL IS NULL),1,0)) AS NUM_REG_DIF,'"&amp;MAX('ID1&amp;5'!L:L)+1&amp;"' AS ID_EXEC, CURRENT_TIMESTAMP() AS TIME_EXEC FROM "&amp;I14&amp;" INNER JOIN "&amp;J14&amp;" "&amp;K14),
IF(C14="Validade",+IF(G14="Code List","SELECT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 OR CAST(X."&amp;F14&amp;" AS STRING) NOT "&amp;H14&amp;",1,0)) AS NUM_REG_DIF,'"&amp;MAX('ID1&amp;5'!K:K)+1&amp;"' AS ID_EXEC, CURRENT_TIMESTAMP() AS TIME_EXEC FROM "&amp;I14,"SELECT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NULL,1,0)) AS NUM_REG_DIF,'"&amp;MAX('ID1&amp;5'!K:K)+1&amp;"' AS ID_EXEC, CURRENT_TIMESTAMP() AS TIME_EXEC FROM "&amp;I14),
IF(C14="Caracteres Especiais",+"SELECT '"&amp;UPPER(B14)&amp;"' AS TABELA, '"&amp;UPPER(C14)&amp;"' AS TIPOLOGIA_TESTE,'"&amp;D14&amp;"' AS TABELA_LT,'N/A' AS TABELA_SIMUL,'"&amp;F14&amp;"' AS CAMPO, "&amp;"'${ref_date}' AS REF_DATE, COUNT(*) AS NUM_REG, SUM(IF(REGEXP_REPLACE(TRIM(CAST(X."&amp;F14&amp;" AS STRING)),'[^a-zA-Z0-9_\\s]','') &lt;&gt;TRIM(CAST(X."&amp;F14&amp;" AS STRING)),1,0)) AS NUM_REG_DIF,'"&amp;MAX('ID1&amp;5'!K:K)+1&amp;"' AS ID_EXEC, CURRENT_TIMESTAMP() AS TIME_EXEC FROM "&amp;I14,
IF(C14="Missings",+"SELECT '"&amp;UPPER(B14)&amp;"' AS TABELA, '"&amp;UPPER(C14)&amp;"' AS TIPOLOGIA_TESTE,'"&amp;D14&amp;"' AS TABELA_LT,'N/A' AS TABELA_SIMUL,'"&amp;F14&amp;"' AS CAMPO, "&amp;"'${ref_date}' AS REF_DATE, COUNT(*) AS NUM_REG, SUM(IF(TRIM(CAST(X."&amp;F14&amp;" AS STRING)) IN ('0000-00-00','0001-01-01','9999-12-31','MISS','00000','99999999999','99999999999.00','99999999999.000000'),1,0)) AS NUM_REG_DIF,'"&amp;MAX('ID1&amp;5'!K:K)+1&amp;"' AS ID_EXEC, CURRENT_TIMESTAMP() AS TIME_EXEC FROM "&amp;I14,
IF(C14="Not applicable",+"SELECT '"&amp;UPPER(B14)&amp;"' AS TABELA, '"&amp;UPPER(C14)&amp;"' AS TIPOLOGIA_TESTE,'"&amp;D14&amp;"' AS TABELA_LT,'N/A' AS TABELA_SIMUL,'"&amp;F14&amp;"' AS CAMPO, "&amp;"'${ref_date}' AS REF_DATE, COUNT(*) AS NUM_REG, SUM(IF(TRIM(CAST(X."&amp;F14&amp;" AS STRING)) IN ('N/A','11111111111','11111111111.00','11111111111.000000','1111-11-11'),1,0)) AS NUM_REG_DIF,'"&amp;MAX('ID1&amp;5'!K:K)+1&amp;"' AS ID_EXEC, CURRENT_TIMESTAMP() AS TIME_EXEC FROM "&amp;I14,
IF(C14="Valores extremos",+"SELECT '"&amp;UPPER(B14)&amp;"' AS TABELA, '"&amp;UPPER(C14)&amp;"' AS TIPOLOGIA_TESTE,'"&amp;D14&amp;"' AS TABELA_LT,'N/A' AS TABELA_SIMUL,'"&amp;F14&amp;"' AS CAMPO, "&amp;"'${ref_date}' AS REF_DATE, CAST(MIN("&amp;F14&amp;") AS STRING) AS VALOR_MIN, CAST(MAX("&amp;F14&amp;") AS STRING) AS VALOR_MAX,'"&amp;MAX('ID1&amp;5'!K:K)+1&amp;"' AS ID_EXEC, CURRENT_TIMESTAMP() AS TIME_EXEC FROM "&amp;MID(I14,1,LEN(I14)-2)&amp;" AND CAST("&amp;F14&amp;"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TABELA_SIMUL,'CRRNCY_DNMNTN' AS CAMPO, '${ref_date}' AS REF_DATE, COUNT(*) AS NUM_REG, SUM(IF(COALESCE(CAST(X.CRRNCY_DNMNTN AS STRING),'')&lt;&gt;COALESCE(CAST(Y.CRRNCY_DNMNTN_SIMUL AS STRING),'') OR (X.CRRNCY_DNMNTN IS NULL AND Y.CRRNCY_DNMNTN_SIMUL IS NOT NULL ) OR (X.CRRNCY_DNMNTN IS NOT NULL AND Y.CRRNCY_DNMNTN_SIMUL IS NULL),1,0)) AS NUM_REG_DIF,'1' AS ID_EXEC, CURRENT_TIMESTAMP() AS TIME_EXEC FROM (SELECT instrmnt_id, CRRNCY_DNMNTN FROM CD_LOAN_TAPES_BCE.LT002_INSTRUMENT WHERE ref_date='${ref_date}' AND nome_perimetro='Individual Local' AND segmento='ESTR' AND ambito='SRB_MBDT' AND entidade='00100')X INNER JOIN (SELECT instrmnt_id AS instrmnt_id_SIMUL, CRRNCY_DNMNTN AS CRRNCY_DNMNTN_SIMUL FROM BU_LOANTAPE_WORK.LT002_INSTRUMENT WHERE ref_date='${ref_date}' AND nome_perimetro='Individual Local' AND segmento='ESTR' AND ambito='PM' AND entidade='00100')Y ON X.INSTRMNT_ID=Y.INSTRMNT_ID_SIMUL</v>
      </c>
      <c r="M14" s="36" t="str">
        <f t="shared" si="1"/>
        <v>UNION ALL SELECT 'INSTRUMENT' AS TABELA, 'COERÊNCIA' AS TIPOLOGIA_TESTE,'CD_LOAN_TAPES_BCE.LT002_INSTRUMENT' AS TABELA_LT,'BU_LOANTAPE_WORK.LT002_INSTRUMENT' AS TABELA_SIMUL,'CRRNCY_DNMNTN' AS CAMPO, '${ref_date}' AS REF_DATE, COUNT(*) AS NUM_REG, SUM(IF(COALESCE(CAST(X.CRRNCY_DNMNTN AS STRING),'')&lt;&gt;COALESCE(CAST(Y.CRRNCY_DNMNTN_SIMUL AS STRING),'') OR (X.CRRNCY_DNMNTN IS NULL AND Y.CRRNCY_DNMNTN_SIMUL IS NOT NULL ) OR (X.CRRNCY_DNMNTN IS NOT NULL AND Y.CRRNCY_DNMNTN_SIMUL IS NULL),1,0)) AS NUM_REG_DIF,'1' AS ID_EXEC, CURRENT_TIMESTAMP() AS TIME_EXEC FROM (SELECT instrmnt_id, CRRNCY_DNMNTN FROM CD_LOAN_TAPES_BCE.LT002_INSTRUMENT WHERE ref_date='${ref_date}' AND nome_perimetro='Individual Local' AND segmento='ESTR' AND ambito='SRB_MBDT' AND entidade='00100')X INNER JOIN (SELECT instrmnt_id AS instrmnt_id_SIMUL, CRRNCY_DNMNTN AS CRRNCY_DNMNTN_SIMUL FROM BU_LOANTAPE_WORK.LT002_INSTRUMENT WHERE ref_date='${ref_date}' AND nome_perimetro='Individual Local' AND segmento='ESTR' AND ambito='PM' AND entidade='00100')Y ON X.INSTRMNT_ID=Y.INSTRMNT_ID_SIMUL</v>
      </c>
      <c r="N14" s="38" t="s">
        <v>36</v>
      </c>
    </row>
    <row r="15" spans="1:28" hidden="1">
      <c r="A15" s="60" t="str">
        <f t="shared" si="0"/>
        <v>INSTRUMENTACCRD_INTRST_INSTRMNT</v>
      </c>
      <c r="B15" s="34" t="s">
        <v>113</v>
      </c>
      <c r="C15" s="34" t="s">
        <v>5</v>
      </c>
      <c r="D15" s="34" t="str">
        <f>+UPPER('0. Instruções'!$D$35&amp;"."&amp;VLOOKUP(B15,'0. Instruções'!$C$27:$D$32,2,FALSE))</f>
        <v>CD_LOAN_TAPES_BCE.LT002_INSTRUMENT</v>
      </c>
      <c r="E15" s="34" t="str">
        <f>+UPPER('0. Instruções'!$D$36&amp;"."&amp;VLOOKUP(B15,'0. Instruções'!$C$27:$E$32,3,FALSE))</f>
        <v>BU_LOANTAPE_WORK.LT002_INSTRUMENT</v>
      </c>
      <c r="F15" s="34" t="s">
        <v>432</v>
      </c>
      <c r="G15" s="34"/>
      <c r="H15" s="34"/>
      <c r="I15" s="34" t="str">
        <f>"(SELECT "&amp;VLOOKUP(B15,'0. Instruções'!$C$27:$G$32,4,FALSE)&amp;", "&amp;F15&amp;" FROM "&amp;D15&amp;" WHERE "&amp;'0. Instruções'!$D$42&amp;")X"</f>
        <v>(SELECT instrmnt_id, ACCRD_INTRST_INSTRMNT FROM CD_LOAN_TAPES_BCE.LT002_INSTRUMENT WHERE ref_date='${ref_date}' AND nome_perimetro='Individual Local' AND segmento='ESTR' AND ambito='SRB_MBDT' AND entidade='00100')X</v>
      </c>
      <c r="J15" s="34" t="str">
        <f>"(SELECT "&amp;VLOOKUP(B15,'0. Instruções'!$C$27:$G$32,4,FALSE)&amp;" AS "&amp;VLOOKUP(B15,'0. Instruções'!$C$27:$G$32,4,FALSE)&amp;"_SIMUL, "&amp;F15&amp;" AS "&amp;F15&amp;"_SIMUL FROM "&amp;E15&amp;" WHERE "&amp;'0. Instruções'!$D$43&amp;")Y"</f>
        <v>(SELECT instrmnt_id AS instrmnt_id_SIMUL, ACCRD_INTRST_INSTRMNT AS ACCRD_INTRST_INSTRMNT_SIMUL FROM BU_LOANTAPE_WORK.LT002_INSTRUMENT WHERE ref_date='${ref_date}' AND nome_perimetro='Individual Local' AND segmento='ESTR' AND ambito='PM' AND entidade='00100')Y</v>
      </c>
      <c r="K15" s="35" t="str">
        <f>+UPPER("ON X."&amp;VLOOKUP(B15,'0. Instruções'!$C$27:$G$32,4,FALSE)&amp;"=Y."&amp;VLOOKUP(B15,'0. Instruções'!$C$27:$G$32,4,FALSE)&amp;"_SIMUL")</f>
        <v>ON X.INSTRMNT_ID=Y.INSTRMNT_ID_SIMUL</v>
      </c>
      <c r="L15" s="35" t="str">
        <f>+IF(C15="Coerência", +IF(LEFT(G15,5)="FLOAT","SELECT '"&amp;UPPER(B15)&amp;"' AS TABELA, '"&amp;UPPER(C15)&amp;"' AS TIPOLOGIA_TESTE,'"&amp;D15&amp;"' AS TABELA_LT,'"&amp;E15&amp;"' AS TABELA_SIMUL,'"&amp;F15&amp;"' AS CAMPO, "&amp;"'${ref_date}' AS REF_DATE, COUNT(*) AS NUM_REG, SUM(IF((ABS(COALESCE(CAST(X."&amp;F15&amp;" AS DECIMAL(18,6)),0)-COALESCE(CAST(Y."&amp;F15&amp;"_SIMUL AS DECIMAL(18,6)),0))&gt;0.000001) OR (X."&amp;F15&amp;" IS NULL AND Y."&amp;F15&amp;"_SIMUL IS NOT NULL ) OR (X."&amp;F15&amp;" IS NOT NULL AND Y."&amp;F15&amp;"_SIMUL IS NULL),1,0)) AS NUM_REG_DIF,'"&amp;MAX('ID1&amp;5'!K:K)+1&amp;"' AS ID_EXEC, CURRENT_TIMESTAMP() AS TIME_EXEC FROM "&amp;I15&amp;" INNER JOIN "&amp;J15&amp;" "&amp;K15,"SELECT '"&amp;UPPER(B15)&amp;"' AS TABELA, '"&amp;UPPER(C15)&amp;"' AS TIPOLOGIA_TESTE,'"&amp;D15&amp;"' AS TABELA_LT,'"&amp;E15&amp;"' AS TABELA_SIMUL,'"&amp;F15&amp;"' AS CAMPO, "&amp;"'${ref_date}' AS REF_DATE, COUNT(*) AS NUM_REG, SUM(IF(COALESCE(CAST(X."&amp;F15&amp;" AS STRING),'')&lt;&gt;COALESCE(CAST(Y."&amp;F15&amp;"_SIMUL AS STRING),'') OR (X."&amp;F15&amp;" IS NULL AND Y."&amp;F15&amp;"_SIMUL IS NOT NULL ) OR (X."&amp;F15&amp;" IS NOT NULL AND Y."&amp;F15&amp;"_SIMUL IS NULL),1,0)) AS NUM_REG_DIF,'"&amp;MAX('ID1&amp;5'!L:L)+1&amp;"' AS ID_EXEC, CURRENT_TIMESTAMP() AS TIME_EXEC FROM "&amp;I15&amp;" INNER JOIN "&amp;J15&amp;" "&amp;K15),
IF(C15="Validade",+IF(G15="Code List","SELECT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 OR CAST(X."&amp;F15&amp;" AS STRING) NOT "&amp;H15&amp;",1,0)) AS NUM_REG_DIF,'"&amp;MAX('ID1&amp;5'!K:K)+1&amp;"' AS ID_EXEC, CURRENT_TIMESTAMP() AS TIME_EXEC FROM "&amp;I15,"SELECT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NULL,1,0)) AS NUM_REG_DIF,'"&amp;MAX('ID1&amp;5'!K:K)+1&amp;"' AS ID_EXEC, CURRENT_TIMESTAMP() AS TIME_EXEC FROM "&amp;I15),
IF(C15="Caracteres Especiais",+"SELECT '"&amp;UPPER(B15)&amp;"' AS TABELA, '"&amp;UPPER(C15)&amp;"' AS TIPOLOGIA_TESTE,'"&amp;D15&amp;"' AS TABELA_LT,'N/A' AS TABELA_SIMUL,'"&amp;F15&amp;"' AS CAMPO, "&amp;"'${ref_date}' AS REF_DATE, COUNT(*) AS NUM_REG, SUM(IF(REGEXP_REPLACE(TRIM(CAST(X."&amp;F15&amp;" AS STRING)),'[^a-zA-Z0-9_\\s]','') &lt;&gt;TRIM(CAST(X."&amp;F15&amp;" AS STRING)),1,0)) AS NUM_REG_DIF,'"&amp;MAX('ID1&amp;5'!K:K)+1&amp;"' AS ID_EXEC, CURRENT_TIMESTAMP() AS TIME_EXEC FROM "&amp;I15,
IF(C15="Missings",+"SELECT '"&amp;UPPER(B15)&amp;"' AS TABELA, '"&amp;UPPER(C15)&amp;"' AS TIPOLOGIA_TESTE,'"&amp;D15&amp;"' AS TABELA_LT,'N/A' AS TABELA_SIMUL,'"&amp;F15&amp;"' AS CAMPO, "&amp;"'${ref_date}' AS REF_DATE, COUNT(*) AS NUM_REG, SUM(IF(TRIM(CAST(X."&amp;F15&amp;" AS STRING)) IN ('0000-00-00','0001-01-01','9999-12-31','MISS','00000','99999999999','99999999999.00','99999999999.000000'),1,0)) AS NUM_REG_DIF,'"&amp;MAX('ID1&amp;5'!K:K)+1&amp;"' AS ID_EXEC, CURRENT_TIMESTAMP() AS TIME_EXEC FROM "&amp;I15,
IF(C15="Not applicable",+"SELECT '"&amp;UPPER(B15)&amp;"' AS TABELA, '"&amp;UPPER(C15)&amp;"' AS TIPOLOGIA_TESTE,'"&amp;D15&amp;"' AS TABELA_LT,'N/A' AS TABELA_SIMUL,'"&amp;F15&amp;"' AS CAMPO, "&amp;"'${ref_date}' AS REF_DATE, COUNT(*) AS NUM_REG, SUM(IF(TRIM(CAST(X."&amp;F15&amp;" AS STRING)) IN ('N/A','11111111111','11111111111.00','11111111111.000000','1111-11-11'),1,0)) AS NUM_REG_DIF,'"&amp;MAX('ID1&amp;5'!K:K)+1&amp;"' AS ID_EXEC, CURRENT_TIMESTAMP() AS TIME_EXEC FROM "&amp;I15,
IF(C15="Valores extremos",+"SELECT '"&amp;UPPER(B15)&amp;"' AS TABELA, '"&amp;UPPER(C15)&amp;"' AS TIPOLOGIA_TESTE,'"&amp;D15&amp;"' AS TABELA_LT,'N/A' AS TABELA_SIMUL,'"&amp;F15&amp;"' AS CAMPO, "&amp;"'${ref_date}' AS REF_DATE, CAST(MIN("&amp;F15&amp;") AS STRING) AS VALOR_MIN, CAST(MAX("&amp;F15&amp;") AS STRING) AS VALOR_MAX,'"&amp;MAX('ID1&amp;5'!K:K)+1&amp;"' AS ID_EXEC, CURRENT_TIMESTAMP() AS TIME_EXEC FROM "&amp;MID(I15,1,LEN(I15)-2)&amp;" AND CAST("&amp;F15&amp;"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TABELA_SIMUL,'ACCRD_INTRST_INSTRMNT' AS CAMPO, '${ref_date}' AS REF_DATE, COUNT(*) AS NUM_REG, SUM(IF(COALESCE(CAST(X.ACCRD_INTRST_INSTRMNT AS STRING),'')&lt;&gt;COALESCE(CAST(Y.ACCRD_INTRST_INSTRMNT_SIMUL AS STRING),'') OR (X.ACCRD_INTRST_INSTRMNT IS NULL AND Y.ACCRD_INTRST_INSTRMNT_SIMUL IS NOT NULL ) OR (X.ACCRD_INTRST_INSTRMNT IS NOT NULL AND Y.ACCRD_INTRST_INSTRMNT_SIMUL IS NULL),1,0)) AS NUM_REG_DIF,'1' AS ID_EXEC, CURRENT_TIMESTAMP() AS TIME_EXEC FROM (SELECT instrmnt_id, ACCRD_INTRST_INSTRMNT FROM CD_LOAN_TAPES_BCE.LT002_INSTRUMENT WHERE ref_date='${ref_date}' AND nome_perimetro='Individual Local' AND segmento='ESTR' AND ambito='SRB_MBDT' AND entidade='00100')X INNER JOIN (SELECT instrmnt_id AS instrmnt_id_SIMUL, ACCRD_INTRST_INSTRMNT AS ACCRD_INTRST_INSTRMNT_SIMUL FROM BU_LOANTAPE_WORK.LT002_INSTRUMENT WHERE ref_date='${ref_date}' AND nome_perimetro='Individual Local' AND segmento='ESTR' AND ambito='PM' AND entidade='00100')Y ON X.INSTRMNT_ID=Y.INSTRMNT_ID_SIMUL</v>
      </c>
      <c r="M15" s="36" t="str">
        <f t="shared" si="1"/>
        <v>UNION ALL SELECT 'INSTRUMENT' AS TABELA, 'COERÊNCIA' AS TIPOLOGIA_TESTE,'CD_LOAN_TAPES_BCE.LT002_INSTRUMENT' AS TABELA_LT,'BU_LOANTAPE_WORK.LT002_INSTRUMENT' AS TABELA_SIMUL,'ACCRD_INTRST_INSTRMNT' AS CAMPO, '${ref_date}' AS REF_DATE, COUNT(*) AS NUM_REG, SUM(IF(COALESCE(CAST(X.ACCRD_INTRST_INSTRMNT AS STRING),'')&lt;&gt;COALESCE(CAST(Y.ACCRD_INTRST_INSTRMNT_SIMUL AS STRING),'') OR (X.ACCRD_INTRST_INSTRMNT IS NULL AND Y.ACCRD_INTRST_INSTRMNT_SIMUL IS NOT NULL ) OR (X.ACCRD_INTRST_INSTRMNT IS NOT NULL AND Y.ACCRD_INTRST_INSTRMNT_SIMUL IS NULL),1,0)) AS NUM_REG_DIF,'1' AS ID_EXEC, CURRENT_TIMESTAMP() AS TIME_EXEC FROM (SELECT instrmnt_id, ACCRD_INTRST_INSTRMNT FROM CD_LOAN_TAPES_BCE.LT002_INSTRUMENT WHERE ref_date='${ref_date}' AND nome_perimetro='Individual Local' AND segmento='ESTR' AND ambito='SRB_MBDT' AND entidade='00100')X INNER JOIN (SELECT instrmnt_id AS instrmnt_id_SIMUL, ACCRD_INTRST_INSTRMNT AS ACCRD_INTRST_INSTRMNT_SIMUL FROM BU_LOANTAPE_WORK.LT002_INSTRUMENT WHERE ref_date='${ref_date}' AND nome_perimetro='Individual Local' AND segmento='ESTR' AND ambito='PM' AND entidade='00100')Y ON X.INSTRMNT_ID=Y.INSTRMNT_ID_SIMUL</v>
      </c>
      <c r="N15" s="38" t="s">
        <v>36</v>
      </c>
    </row>
    <row r="16" spans="1:28" hidden="1">
      <c r="A16" s="60" t="str">
        <f t="shared" si="0"/>
        <v>INSTRUMENTTYP_INSTRMNT</v>
      </c>
      <c r="B16" s="34" t="s">
        <v>113</v>
      </c>
      <c r="C16" s="34" t="s">
        <v>5</v>
      </c>
      <c r="D16" s="34" t="str">
        <f>+UPPER('0. Instruções'!$D$35&amp;"."&amp;VLOOKUP(B16,'0. Instruções'!$C$27:$D$32,2,FALSE))</f>
        <v>CD_LOAN_TAPES_BCE.LT002_INSTRUMENT</v>
      </c>
      <c r="E16" s="34" t="str">
        <f>+UPPER('0. Instruções'!$D$36&amp;"."&amp;VLOOKUP(B16,'0. Instruções'!$C$27:$E$32,3,FALSE))</f>
        <v>BU_LOANTAPE_WORK.LT002_INSTRUMENT</v>
      </c>
      <c r="F16" s="34" t="s">
        <v>86</v>
      </c>
      <c r="G16" s="34"/>
      <c r="H16" s="34"/>
      <c r="I16" s="34" t="str">
        <f>"(SELECT "&amp;VLOOKUP(B16,'0. Instruções'!$C$27:$G$32,4,FALSE)&amp;", "&amp;F16&amp;" FROM "&amp;D16&amp;" WHERE "&amp;'0. Instruções'!$D$42&amp;")X"</f>
        <v>(SELECT instrmnt_id, TYP_INSTRMNT FROM CD_LOAN_TAPES_BCE.LT002_INSTRUMENT WHERE ref_date='${ref_date}' AND nome_perimetro='Individual Local' AND segmento='ESTR' AND ambito='SRB_MBDT' AND entidade='00100')X</v>
      </c>
      <c r="J16" s="34" t="str">
        <f>"(SELECT "&amp;VLOOKUP(B16,'0. Instruções'!$C$27:$G$32,4,FALSE)&amp;" AS "&amp;VLOOKUP(B16,'0. Instruções'!$C$27:$G$32,4,FALSE)&amp;"_SIMUL, "&amp;F16&amp;" AS "&amp;F16&amp;"_SIMUL FROM "&amp;E16&amp;" WHERE "&amp;'0. Instruções'!$D$43&amp;")Y"</f>
        <v>(SELECT instrmnt_id AS instrmnt_id_SIMUL, TYP_INSTRMNT AS TYP_INSTRMNT_SIMUL FROM BU_LOANTAPE_WORK.LT002_INSTRUMENT WHERE ref_date='${ref_date}' AND nome_perimetro='Individual Local' AND segmento='ESTR' AND ambito='PM' AND entidade='00100')Y</v>
      </c>
      <c r="K16" s="35" t="str">
        <f>+UPPER("ON X."&amp;VLOOKUP(B16,'0. Instruções'!$C$27:$G$32,4,FALSE)&amp;"=Y."&amp;VLOOKUP(B16,'0. Instruções'!$C$27:$G$32,4,FALSE)&amp;"_SIMUL")</f>
        <v>ON X.INSTRMNT_ID=Y.INSTRMNT_ID_SIMUL</v>
      </c>
      <c r="L16" s="35" t="str">
        <f>+IF(C16="Coerência", +IF(LEFT(G16,5)="FLOAT","SELECT '"&amp;UPPER(B16)&amp;"' AS TABELA, '"&amp;UPPER(C16)&amp;"' AS TIPOLOGIA_TESTE,'"&amp;D16&amp;"' AS TABELA_LT,'"&amp;E16&amp;"' AS TABELA_SIMUL,'"&amp;F16&amp;"' AS CAMPO, "&amp;"'${ref_date}' AS REF_DATE, COUNT(*) AS NUM_REG, SUM(IF((ABS(COALESCE(CAST(X."&amp;F16&amp;" AS DECIMAL(18,6)),0)-COALESCE(CAST(Y."&amp;F16&amp;"_SIMUL AS DECIMAL(18,6)),0))&gt;0.000001) OR (X."&amp;F16&amp;" IS NULL AND Y."&amp;F16&amp;"_SIMUL IS NOT NULL ) OR (X."&amp;F16&amp;" IS NOT NULL AND Y."&amp;F16&amp;"_SIMUL IS NULL),1,0)) AS NUM_REG_DIF,'"&amp;MAX('ID1&amp;5'!K:K)+1&amp;"' AS ID_EXEC, CURRENT_TIMESTAMP() AS TIME_EXEC FROM "&amp;I16&amp;" INNER JOIN "&amp;J16&amp;" "&amp;K16,"SELECT '"&amp;UPPER(B16)&amp;"' AS TABELA, '"&amp;UPPER(C16)&amp;"' AS TIPOLOGIA_TESTE,'"&amp;D16&amp;"' AS TABELA_LT,'"&amp;E16&amp;"' AS TABELA_SIMUL,'"&amp;F16&amp;"' AS CAMPO, "&amp;"'${ref_date}' AS REF_DATE, COUNT(*) AS NUM_REG, SUM(IF(COALESCE(CAST(X."&amp;F16&amp;" AS STRING),'')&lt;&gt;COALESCE(CAST(Y."&amp;F16&amp;"_SIMUL AS STRING),'') OR (X."&amp;F16&amp;" IS NULL AND Y."&amp;F16&amp;"_SIMUL IS NOT NULL ) OR (X."&amp;F16&amp;" IS NOT NULL AND Y."&amp;F16&amp;"_SIMUL IS NULL),1,0)) AS NUM_REG_DIF,'"&amp;MAX('ID1&amp;5'!L:L)+1&amp;"' AS ID_EXEC, CURRENT_TIMESTAMP() AS TIME_EXEC FROM "&amp;I16&amp;" INNER JOIN "&amp;J16&amp;" "&amp;K16),
IF(C16="Validade",+IF(G16="Code List","SELECT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 OR CAST(X."&amp;F16&amp;" AS STRING) NOT "&amp;H16&amp;",1,0)) AS NUM_REG_DIF,'"&amp;MAX('ID1&amp;5'!K:K)+1&amp;"' AS ID_EXEC, CURRENT_TIMESTAMP() AS TIME_EXEC FROM "&amp;I16,"SELECT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NULL,1,0)) AS NUM_REG_DIF,'"&amp;MAX('ID1&amp;5'!K:K)+1&amp;"' AS ID_EXEC, CURRENT_TIMESTAMP() AS TIME_EXEC FROM "&amp;I16),
IF(C16="Caracteres Especiais",+"SELECT '"&amp;UPPER(B16)&amp;"' AS TABELA, '"&amp;UPPER(C16)&amp;"' AS TIPOLOGIA_TESTE,'"&amp;D16&amp;"' AS TABELA_LT,'N/A' AS TABELA_SIMUL,'"&amp;F16&amp;"' AS CAMPO, "&amp;"'${ref_date}' AS REF_DATE, COUNT(*) AS NUM_REG, SUM(IF(REGEXP_REPLACE(TRIM(CAST(X."&amp;F16&amp;" AS STRING)),'[^a-zA-Z0-9_\\s]','') &lt;&gt;TRIM(CAST(X."&amp;F16&amp;" AS STRING)),1,0)) AS NUM_REG_DIF,'"&amp;MAX('ID1&amp;5'!K:K)+1&amp;"' AS ID_EXEC, CURRENT_TIMESTAMP() AS TIME_EXEC FROM "&amp;I16,
IF(C16="Missings",+"SELECT '"&amp;UPPER(B16)&amp;"' AS TABELA, '"&amp;UPPER(C16)&amp;"' AS TIPOLOGIA_TESTE,'"&amp;D16&amp;"' AS TABELA_LT,'N/A' AS TABELA_SIMUL,'"&amp;F16&amp;"' AS CAMPO, "&amp;"'${ref_date}' AS REF_DATE, COUNT(*) AS NUM_REG, SUM(IF(TRIM(CAST(X."&amp;F16&amp;" AS STRING)) IN ('0000-00-00','0001-01-01','9999-12-31','MISS','00000','99999999999','99999999999.00','99999999999.000000'),1,0)) AS NUM_REG_DIF,'"&amp;MAX('ID1&amp;5'!K:K)+1&amp;"' AS ID_EXEC, CURRENT_TIMESTAMP() AS TIME_EXEC FROM "&amp;I16,
IF(C16="Not applicable",+"SELECT '"&amp;UPPER(B16)&amp;"' AS TABELA, '"&amp;UPPER(C16)&amp;"' AS TIPOLOGIA_TESTE,'"&amp;D16&amp;"' AS TABELA_LT,'N/A' AS TABELA_SIMUL,'"&amp;F16&amp;"' AS CAMPO, "&amp;"'${ref_date}' AS REF_DATE, COUNT(*) AS NUM_REG, SUM(IF(TRIM(CAST(X."&amp;F16&amp;" AS STRING)) IN ('N/A','11111111111','11111111111.00','11111111111.000000','1111-11-11'),1,0)) AS NUM_REG_DIF,'"&amp;MAX('ID1&amp;5'!K:K)+1&amp;"' AS ID_EXEC, CURRENT_TIMESTAMP() AS TIME_EXEC FROM "&amp;I16,
IF(C16="Valores extremos",+"SELECT '"&amp;UPPER(B16)&amp;"' AS TABELA, '"&amp;UPPER(C16)&amp;"' AS TIPOLOGIA_TESTE,'"&amp;D16&amp;"' AS TABELA_LT,'N/A' AS TABELA_SIMUL,'"&amp;F16&amp;"' AS CAMPO, "&amp;"'${ref_date}' AS REF_DATE, CAST(MIN("&amp;F16&amp;") AS STRING) AS VALOR_MIN, CAST(MAX("&amp;F16&amp;") AS STRING) AS VALOR_MAX,'"&amp;MAX('ID1&amp;5'!K:K)+1&amp;"' AS ID_EXEC, CURRENT_TIMESTAMP() AS TIME_EXEC FROM "&amp;MID(I16,1,LEN(I16)-2)&amp;" AND CAST("&amp;F16&amp;"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TABELA_SIMUL,'TYP_INSTRMNT' AS CAMPO, '${ref_date}' AS REF_DATE, COUNT(*) AS NUM_REG, SUM(IF(COALESCE(CAST(X.TYP_INSTRMNT AS STRING),'')&lt;&gt;COALESCE(CAST(Y.TYP_INSTRMNT_SIMUL AS STRING),'') OR (X.TYP_INSTRMNT IS NULL AND Y.TYP_INSTRMNT_SIMUL IS NOT NULL ) OR (X.TYP_INSTRMNT IS NOT NULL AND Y.TYP_INSTRMNT_SIMUL IS NULL),1,0)) AS NUM_REG_DIF,'1' AS ID_EXEC, CURRENT_TIMESTAMP() AS TIME_EXEC FROM (SELECT instrmnt_id, TYP_INSTRMNT FROM CD_LOAN_TAPES_BCE.LT002_INSTRUMENT WHERE ref_date='${ref_date}' AND nome_perimetro='Individual Local' AND segmento='ESTR' AND ambito='SRB_MBDT' AND entidade='00100')X INNER JOIN (SELECT instrmnt_id AS instrmnt_id_SIMUL, TYP_INSTRMNT AS TYP_INSTRMNT_SIMUL FROM BU_LOANTAPE_WORK.LT002_INSTRUMENT WHERE ref_date='${ref_date}' AND nome_perimetro='Individual Local' AND segmento='ESTR' AND ambito='PM' AND entidade='00100')Y ON X.INSTRMNT_ID=Y.INSTRMNT_ID_SIMUL</v>
      </c>
      <c r="M16" s="36" t="str">
        <f t="shared" si="1"/>
        <v>UNION ALL SELECT 'INSTRUMENT' AS TABELA, 'COERÊNCIA' AS TIPOLOGIA_TESTE,'CD_LOAN_TAPES_BCE.LT002_INSTRUMENT' AS TABELA_LT,'BU_LOANTAPE_WORK.LT002_INSTRUMENT' AS TABELA_SIMUL,'TYP_INSTRMNT' AS CAMPO, '${ref_date}' AS REF_DATE, COUNT(*) AS NUM_REG, SUM(IF(COALESCE(CAST(X.TYP_INSTRMNT AS STRING),'')&lt;&gt;COALESCE(CAST(Y.TYP_INSTRMNT_SIMUL AS STRING),'') OR (X.TYP_INSTRMNT IS NULL AND Y.TYP_INSTRMNT_SIMUL IS NOT NULL ) OR (X.TYP_INSTRMNT IS NOT NULL AND Y.TYP_INSTRMNT_SIMUL IS NULL),1,0)) AS NUM_REG_DIF,'1' AS ID_EXEC, CURRENT_TIMESTAMP() AS TIME_EXEC FROM (SELECT instrmnt_id, TYP_INSTRMNT FROM CD_LOAN_TAPES_BCE.LT002_INSTRUMENT WHERE ref_date='${ref_date}' AND nome_perimetro='Individual Local' AND segmento='ESTR' AND ambito='SRB_MBDT' AND entidade='00100')X INNER JOIN (SELECT instrmnt_id AS instrmnt_id_SIMUL, TYP_INSTRMNT AS TYP_INSTRMNT_SIMUL FROM BU_LOANTAPE_WORK.LT002_INSTRUMENT WHERE ref_date='${ref_date}' AND nome_perimetro='Individual Local' AND segmento='ESTR' AND ambito='PM' AND entidade='00100')Y ON X.INSTRMNT_ID=Y.INSTRMNT_ID_SIMUL</v>
      </c>
      <c r="N16" s="38" t="s">
        <v>36</v>
      </c>
    </row>
    <row r="17" spans="1:14" hidden="1">
      <c r="A17" s="60" t="str">
        <f t="shared" si="0"/>
        <v>INSTRUMENTDT_INCPTN</v>
      </c>
      <c r="B17" s="34" t="s">
        <v>113</v>
      </c>
      <c r="C17" s="34" t="s">
        <v>5</v>
      </c>
      <c r="D17" s="34" t="str">
        <f>+UPPER('0. Instruções'!$D$35&amp;"."&amp;VLOOKUP(B17,'0. Instruções'!$C$27:$D$32,2,FALSE))</f>
        <v>CD_LOAN_TAPES_BCE.LT002_INSTRUMENT</v>
      </c>
      <c r="E17" s="34" t="str">
        <f>+UPPER('0. Instruções'!$D$36&amp;"."&amp;VLOOKUP(B17,'0. Instruções'!$C$27:$E$32,3,FALSE))</f>
        <v>BU_LOANTAPE_WORK.LT002_INSTRUMENT</v>
      </c>
      <c r="F17" s="34" t="s">
        <v>81</v>
      </c>
      <c r="G17" s="34"/>
      <c r="H17" s="34"/>
      <c r="I17" s="34" t="str">
        <f>"(SELECT "&amp;VLOOKUP(B17,'0. Instruções'!$C$27:$G$32,4,FALSE)&amp;", "&amp;F17&amp;" FROM "&amp;D17&amp;" WHERE "&amp;'0. Instruções'!$D$42&amp;")X"</f>
        <v>(SELECT instrmnt_id, DT_INCPTN FROM CD_LOAN_TAPES_BCE.LT002_INSTRUMENT WHERE ref_date='${ref_date}' AND nome_perimetro='Individual Local' AND segmento='ESTR' AND ambito='SRB_MBDT' AND entidade='00100')X</v>
      </c>
      <c r="J17" s="34" t="str">
        <f>"(SELECT "&amp;VLOOKUP(B17,'0. Instruções'!$C$27:$G$32,4,FALSE)&amp;" AS "&amp;VLOOKUP(B17,'0. Instruções'!$C$27:$G$32,4,FALSE)&amp;"_SIMUL, "&amp;F17&amp;" AS "&amp;F17&amp;"_SIMUL FROM "&amp;E17&amp;" WHERE "&amp;'0. Instruções'!$D$43&amp;")Y"</f>
        <v>(SELECT instrmnt_id AS instrmnt_id_SIMUL, DT_INCPTN AS DT_INCPTN_SIMUL FROM BU_LOANTAPE_WORK.LT002_INSTRUMENT WHERE ref_date='${ref_date}' AND nome_perimetro='Individual Local' AND segmento='ESTR' AND ambito='PM' AND entidade='00100')Y</v>
      </c>
      <c r="K17" s="35" t="str">
        <f>+UPPER("ON X."&amp;VLOOKUP(B17,'0. Instruções'!$C$27:$G$32,4,FALSE)&amp;"=Y."&amp;VLOOKUP(B17,'0. Instruções'!$C$27:$G$32,4,FALSE)&amp;"_SIMUL")</f>
        <v>ON X.INSTRMNT_ID=Y.INSTRMNT_ID_SIMUL</v>
      </c>
      <c r="L17" s="35" t="str">
        <f>+IF(C17="Coerência", +IF(LEFT(G17,5)="FLOAT","SELECT '"&amp;UPPER(B17)&amp;"' AS TABELA, '"&amp;UPPER(C17)&amp;"' AS TIPOLOGIA_TESTE,'"&amp;D17&amp;"' AS TABELA_LT,'"&amp;E17&amp;"' AS TABELA_SIMUL,'"&amp;F17&amp;"' AS CAMPO, "&amp;"'${ref_date}' AS REF_DATE, COUNT(*) AS NUM_REG, SUM(IF((ABS(COALESCE(CAST(X."&amp;F17&amp;" AS DECIMAL(18,6)),0)-COALESCE(CAST(Y."&amp;F17&amp;"_SIMUL AS DECIMAL(18,6)),0))&gt;0.000001) OR (X."&amp;F17&amp;" IS NULL AND Y."&amp;F17&amp;"_SIMUL IS NOT NULL ) OR (X."&amp;F17&amp;" IS NOT NULL AND Y."&amp;F17&amp;"_SIMUL IS NULL),1,0)) AS NUM_REG_DIF,'"&amp;MAX('ID1&amp;5'!K:K)+1&amp;"' AS ID_EXEC, CURRENT_TIMESTAMP() AS TIME_EXEC FROM "&amp;I17&amp;" INNER JOIN "&amp;J17&amp;" "&amp;K17,"SELECT '"&amp;UPPER(B17)&amp;"' AS TABELA, '"&amp;UPPER(C17)&amp;"' AS TIPOLOGIA_TESTE,'"&amp;D17&amp;"' AS TABELA_LT,'"&amp;E17&amp;"' AS TABELA_SIMUL,'"&amp;F17&amp;"' AS CAMPO, "&amp;"'${ref_date}' AS REF_DATE, COUNT(*) AS NUM_REG, SUM(IF(COALESCE(CAST(X."&amp;F17&amp;" AS STRING),'')&lt;&gt;COALESCE(CAST(Y."&amp;F17&amp;"_SIMUL AS STRING),'') OR (X."&amp;F17&amp;" IS NULL AND Y."&amp;F17&amp;"_SIMUL IS NOT NULL ) OR (X."&amp;F17&amp;" IS NOT NULL AND Y."&amp;F17&amp;"_SIMUL IS NULL),1,0)) AS NUM_REG_DIF,'"&amp;MAX('ID1&amp;5'!L:L)+1&amp;"' AS ID_EXEC, CURRENT_TIMESTAMP() AS TIME_EXEC FROM "&amp;I17&amp;" INNER JOIN "&amp;J17&amp;" "&amp;K17),
IF(C17="Validade",+IF(G17="Code List","SELECT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 OR CAST(X."&amp;F17&amp;" AS STRING) NOT "&amp;H17&amp;",1,0)) AS NUM_REG_DIF,'"&amp;MAX('ID1&amp;5'!K:K)+1&amp;"' AS ID_EXEC, CURRENT_TIMESTAMP() AS TIME_EXEC FROM "&amp;I17,"SELECT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NULL,1,0)) AS NUM_REG_DIF,'"&amp;MAX('ID1&amp;5'!K:K)+1&amp;"' AS ID_EXEC, CURRENT_TIMESTAMP() AS TIME_EXEC FROM "&amp;I17),
IF(C17="Caracteres Especiais",+"SELECT '"&amp;UPPER(B17)&amp;"' AS TABELA, '"&amp;UPPER(C17)&amp;"' AS TIPOLOGIA_TESTE,'"&amp;D17&amp;"' AS TABELA_LT,'N/A' AS TABELA_SIMUL,'"&amp;F17&amp;"' AS CAMPO, "&amp;"'${ref_date}' AS REF_DATE, COUNT(*) AS NUM_REG, SUM(IF(REGEXP_REPLACE(TRIM(CAST(X."&amp;F17&amp;" AS STRING)),'[^a-zA-Z0-9_\\s]','') &lt;&gt;TRIM(CAST(X."&amp;F17&amp;" AS STRING)),1,0)) AS NUM_REG_DIF,'"&amp;MAX('ID1&amp;5'!K:K)+1&amp;"' AS ID_EXEC, CURRENT_TIMESTAMP() AS TIME_EXEC FROM "&amp;I17,
IF(C17="Missings",+"SELECT '"&amp;UPPER(B17)&amp;"' AS TABELA, '"&amp;UPPER(C17)&amp;"' AS TIPOLOGIA_TESTE,'"&amp;D17&amp;"' AS TABELA_LT,'N/A' AS TABELA_SIMUL,'"&amp;F17&amp;"' AS CAMPO, "&amp;"'${ref_date}' AS REF_DATE, COUNT(*) AS NUM_REG, SUM(IF(TRIM(CAST(X."&amp;F17&amp;" AS STRING)) IN ('0000-00-00','0001-01-01','9999-12-31','MISS','00000','99999999999','99999999999.00','99999999999.000000'),1,0)) AS NUM_REG_DIF,'"&amp;MAX('ID1&amp;5'!K:K)+1&amp;"' AS ID_EXEC, CURRENT_TIMESTAMP() AS TIME_EXEC FROM "&amp;I17,
IF(C17="Not applicable",+"SELECT '"&amp;UPPER(B17)&amp;"' AS TABELA, '"&amp;UPPER(C17)&amp;"' AS TIPOLOGIA_TESTE,'"&amp;D17&amp;"' AS TABELA_LT,'N/A' AS TABELA_SIMUL,'"&amp;F17&amp;"' AS CAMPO, "&amp;"'${ref_date}' AS REF_DATE, COUNT(*) AS NUM_REG, SUM(IF(TRIM(CAST(X."&amp;F17&amp;" AS STRING)) IN ('N/A','11111111111','11111111111.00','11111111111.000000','1111-11-11'),1,0)) AS NUM_REG_DIF,'"&amp;MAX('ID1&amp;5'!K:K)+1&amp;"' AS ID_EXEC, CURRENT_TIMESTAMP() AS TIME_EXEC FROM "&amp;I17,
IF(C17="Valores extremos",+"SELECT '"&amp;UPPER(B17)&amp;"' AS TABELA, '"&amp;UPPER(C17)&amp;"' AS TIPOLOGIA_TESTE,'"&amp;D17&amp;"' AS TABELA_LT,'N/A' AS TABELA_SIMUL,'"&amp;F17&amp;"' AS CAMPO, "&amp;"'${ref_date}' AS REF_DATE, CAST(MIN("&amp;F17&amp;") AS STRING) AS VALOR_MIN, CAST(MAX("&amp;F17&amp;") AS STRING) AS VALOR_MAX,'"&amp;MAX('ID1&amp;5'!K:K)+1&amp;"' AS ID_EXEC, CURRENT_TIMESTAMP() AS TIME_EXEC FROM "&amp;MID(I17,1,LEN(I17)-2)&amp;" AND CAST("&amp;F17&amp;"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TABELA_SIMUL,'DT_INCPTN' AS CAMPO, '${ref_date}' AS REF_DATE, COUNT(*) AS NUM_REG, SUM(IF(COALESCE(CAST(X.DT_INCPTN AS STRING),'')&lt;&gt;COALESCE(CAST(Y.DT_INCPTN_SIMUL AS STRING),'') OR (X.DT_INCPTN IS NULL AND Y.DT_INCPTN_SIMUL IS NOT NULL ) OR (X.DT_INCPTN IS NOT NULL AND Y.DT_INCPTN_SIMUL IS NULL),1,0)) AS NUM_REG_DIF,'1' AS ID_EXEC, CURRENT_TIMESTAMP() AS TIME_EXEC FROM (SELECT instrmnt_id, DT_INCPTN FROM CD_LOAN_TAPES_BCE.LT002_INSTRUMENT WHERE ref_date='${ref_date}' AND nome_perimetro='Individual Local' AND segmento='ESTR' AND ambito='SRB_MBDT' AND entidade='00100')X INNER JOIN (SELECT instrmnt_id AS instrmnt_id_SIMUL, DT_INCPTN AS DT_INCPTN_SIMUL FROM BU_LOANTAPE_WORK.LT002_INSTRUMENT WHERE ref_date='${ref_date}' AND nome_perimetro='Individual Local' AND segmento='ESTR' AND ambito='PM' AND entidade='00100')Y ON X.INSTRMNT_ID=Y.INSTRMNT_ID_SIMUL</v>
      </c>
      <c r="M17" s="36" t="str">
        <f t="shared" si="1"/>
        <v>UNION ALL SELECT 'INSTRUMENT' AS TABELA, 'COERÊNCIA' AS TIPOLOGIA_TESTE,'CD_LOAN_TAPES_BCE.LT002_INSTRUMENT' AS TABELA_LT,'BU_LOANTAPE_WORK.LT002_INSTRUMENT' AS TABELA_SIMUL,'DT_INCPTN' AS CAMPO, '${ref_date}' AS REF_DATE, COUNT(*) AS NUM_REG, SUM(IF(COALESCE(CAST(X.DT_INCPTN AS STRING),'')&lt;&gt;COALESCE(CAST(Y.DT_INCPTN_SIMUL AS STRING),'') OR (X.DT_INCPTN IS NULL AND Y.DT_INCPTN_SIMUL IS NOT NULL ) OR (X.DT_INCPTN IS NOT NULL AND Y.DT_INCPTN_SIMUL IS NULL),1,0)) AS NUM_REG_DIF,'1' AS ID_EXEC, CURRENT_TIMESTAMP() AS TIME_EXEC FROM (SELECT instrmnt_id, DT_INCPTN FROM CD_LOAN_TAPES_BCE.LT002_INSTRUMENT WHERE ref_date='${ref_date}' AND nome_perimetro='Individual Local' AND segmento='ESTR' AND ambito='SRB_MBDT' AND entidade='00100')X INNER JOIN (SELECT instrmnt_id AS instrmnt_id_SIMUL, DT_INCPTN AS DT_INCPTN_SIMUL FROM BU_LOANTAPE_WORK.LT002_INSTRUMENT WHERE ref_date='${ref_date}' AND nome_perimetro='Individual Local' AND segmento='ESTR' AND ambito='PM' AND entidade='00100')Y ON X.INSTRMNT_ID=Y.INSTRMNT_ID_SIMUL</v>
      </c>
      <c r="N17" s="38" t="s">
        <v>36</v>
      </c>
    </row>
    <row r="18" spans="1:14" hidden="1">
      <c r="A18" s="60" t="str">
        <f t="shared" si="0"/>
        <v>INSTRUMENTDT_LGL_FNL_MTRTY</v>
      </c>
      <c r="B18" s="34" t="s">
        <v>113</v>
      </c>
      <c r="C18" s="34" t="s">
        <v>5</v>
      </c>
      <c r="D18" s="34" t="str">
        <f>+UPPER('0. Instruções'!$D$35&amp;"."&amp;VLOOKUP(B18,'0. Instruções'!$C$27:$D$32,2,FALSE))</f>
        <v>CD_LOAN_TAPES_BCE.LT002_INSTRUMENT</v>
      </c>
      <c r="E18" s="34" t="str">
        <f>+UPPER('0. Instruções'!$D$36&amp;"."&amp;VLOOKUP(B18,'0. Instruções'!$C$27:$E$32,3,FALSE))</f>
        <v>BU_LOANTAPE_WORK.LT002_INSTRUMENT</v>
      </c>
      <c r="F18" s="34" t="s">
        <v>90</v>
      </c>
      <c r="G18" s="34"/>
      <c r="H18" s="34"/>
      <c r="I18" s="34" t="str">
        <f>"(SELECT "&amp;VLOOKUP(B18,'0. Instruções'!$C$27:$G$32,4,FALSE)&amp;", "&amp;F18&amp;" FROM "&amp;D18&amp;" WHERE "&amp;'0. Instruções'!$D$42&amp;")X"</f>
        <v>(SELECT instrmnt_id, DT_LGL_FNL_MTRTY FROM CD_LOAN_TAPES_BCE.LT002_INSTRUMENT WHERE ref_date='${ref_date}' AND nome_perimetro='Individual Local' AND segmento='ESTR' AND ambito='SRB_MBDT' AND entidade='00100')X</v>
      </c>
      <c r="J18" s="34" t="str">
        <f>"(SELECT "&amp;VLOOKUP(B18,'0. Instruções'!$C$27:$G$32,4,FALSE)&amp;" AS "&amp;VLOOKUP(B18,'0. Instruções'!$C$27:$G$32,4,FALSE)&amp;"_SIMUL, "&amp;F18&amp;" AS "&amp;F18&amp;"_SIMUL FROM "&amp;E18&amp;" WHERE "&amp;'0. Instruções'!$D$43&amp;")Y"</f>
        <v>(SELECT instrmnt_id AS instrmnt_id_SIMUL, DT_LGL_FNL_MTRTY AS DT_LGL_FNL_MTRTY_SIMUL FROM BU_LOANTAPE_WORK.LT002_INSTRUMENT WHERE ref_date='${ref_date}' AND nome_perimetro='Individual Local' AND segmento='ESTR' AND ambito='PM' AND entidade='00100')Y</v>
      </c>
      <c r="K18" s="35" t="str">
        <f>+UPPER("ON X."&amp;VLOOKUP(B18,'0. Instruções'!$C$27:$G$32,4,FALSE)&amp;"=Y."&amp;VLOOKUP(B18,'0. Instruções'!$C$27:$G$32,4,FALSE)&amp;"_SIMUL")</f>
        <v>ON X.INSTRMNT_ID=Y.INSTRMNT_ID_SIMUL</v>
      </c>
      <c r="L18" s="35" t="str">
        <f>+IF(C18="Coerência", +IF(LEFT(G18,5)="FLOAT","SELECT '"&amp;UPPER(B18)&amp;"' AS TABELA, '"&amp;UPPER(C18)&amp;"' AS TIPOLOGIA_TESTE,'"&amp;D18&amp;"' AS TABELA_LT,'"&amp;E18&amp;"' AS TABELA_SIMUL,'"&amp;F18&amp;"' AS CAMPO, "&amp;"'${ref_date}' AS REF_DATE, COUNT(*) AS NUM_REG, SUM(IF((ABS(COALESCE(CAST(X."&amp;F18&amp;" AS DECIMAL(18,6)),0)-COALESCE(CAST(Y."&amp;F18&amp;"_SIMUL AS DECIMAL(18,6)),0))&gt;0.000001) OR (X."&amp;F18&amp;" IS NULL AND Y."&amp;F18&amp;"_SIMUL IS NOT NULL ) OR (X."&amp;F18&amp;" IS NOT NULL AND Y."&amp;F18&amp;"_SIMUL IS NULL),1,0)) AS NUM_REG_DIF,'"&amp;MAX('ID1&amp;5'!K:K)+1&amp;"' AS ID_EXEC, CURRENT_TIMESTAMP() AS TIME_EXEC FROM "&amp;I18&amp;" INNER JOIN "&amp;J18&amp;" "&amp;K18,"SELECT '"&amp;UPPER(B18)&amp;"' AS TABELA, '"&amp;UPPER(C18)&amp;"' AS TIPOLOGIA_TESTE,'"&amp;D18&amp;"' AS TABELA_LT,'"&amp;E18&amp;"' AS TABELA_SIMUL,'"&amp;F18&amp;"' AS CAMPO, "&amp;"'${ref_date}' AS REF_DATE, COUNT(*) AS NUM_REG, SUM(IF(COALESCE(CAST(X."&amp;F18&amp;" AS STRING),'')&lt;&gt;COALESCE(CAST(Y."&amp;F18&amp;"_SIMUL AS STRING),'') OR (X."&amp;F18&amp;" IS NULL AND Y."&amp;F18&amp;"_SIMUL IS NOT NULL ) OR (X."&amp;F18&amp;" IS NOT NULL AND Y."&amp;F18&amp;"_SIMUL IS NULL),1,0)) AS NUM_REG_DIF,'"&amp;MAX('ID1&amp;5'!L:L)+1&amp;"' AS ID_EXEC, CURRENT_TIMESTAMP() AS TIME_EXEC FROM "&amp;I18&amp;" INNER JOIN "&amp;J18&amp;" "&amp;K18),
IF(C18="Validade",+IF(G18="Code List","SELECT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 OR CAST(X."&amp;F18&amp;" AS STRING) NOT "&amp;H18&amp;",1,0)) AS NUM_REG_DIF,'"&amp;MAX('ID1&amp;5'!K:K)+1&amp;"' AS ID_EXEC, CURRENT_TIMESTAMP() AS TIME_EXEC FROM "&amp;I18,"SELECT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NULL,1,0)) AS NUM_REG_DIF,'"&amp;MAX('ID1&amp;5'!K:K)+1&amp;"' AS ID_EXEC, CURRENT_TIMESTAMP() AS TIME_EXEC FROM "&amp;I18),
IF(C18="Caracteres Especiais",+"SELECT '"&amp;UPPER(B18)&amp;"' AS TABELA, '"&amp;UPPER(C18)&amp;"' AS TIPOLOGIA_TESTE,'"&amp;D18&amp;"' AS TABELA_LT,'N/A' AS TABELA_SIMUL,'"&amp;F18&amp;"' AS CAMPO, "&amp;"'${ref_date}' AS REF_DATE, COUNT(*) AS NUM_REG, SUM(IF(REGEXP_REPLACE(TRIM(CAST(X."&amp;F18&amp;" AS STRING)),'[^a-zA-Z0-9_\\s]','') &lt;&gt;TRIM(CAST(X."&amp;F18&amp;" AS STRING)),1,0)) AS NUM_REG_DIF,'"&amp;MAX('ID1&amp;5'!K:K)+1&amp;"' AS ID_EXEC, CURRENT_TIMESTAMP() AS TIME_EXEC FROM "&amp;I18,
IF(C18="Missings",+"SELECT '"&amp;UPPER(B18)&amp;"' AS TABELA, '"&amp;UPPER(C18)&amp;"' AS TIPOLOGIA_TESTE,'"&amp;D18&amp;"' AS TABELA_LT,'N/A' AS TABELA_SIMUL,'"&amp;F18&amp;"' AS CAMPO, "&amp;"'${ref_date}' AS REF_DATE, COUNT(*) AS NUM_REG, SUM(IF(TRIM(CAST(X."&amp;F18&amp;" AS STRING)) IN ('0000-00-00','0001-01-01','9999-12-31','MISS','00000','99999999999','99999999999.00','99999999999.000000'),1,0)) AS NUM_REG_DIF,'"&amp;MAX('ID1&amp;5'!K:K)+1&amp;"' AS ID_EXEC, CURRENT_TIMESTAMP() AS TIME_EXEC FROM "&amp;I18,
IF(C18="Not applicable",+"SELECT '"&amp;UPPER(B18)&amp;"' AS TABELA, '"&amp;UPPER(C18)&amp;"' AS TIPOLOGIA_TESTE,'"&amp;D18&amp;"' AS TABELA_LT,'N/A' AS TABELA_SIMUL,'"&amp;F18&amp;"' AS CAMPO, "&amp;"'${ref_date}' AS REF_DATE, COUNT(*) AS NUM_REG, SUM(IF(TRIM(CAST(X."&amp;F18&amp;" AS STRING)) IN ('N/A','11111111111','11111111111.00','11111111111.000000','1111-11-11'),1,0)) AS NUM_REG_DIF,'"&amp;MAX('ID1&amp;5'!K:K)+1&amp;"' AS ID_EXEC, CURRENT_TIMESTAMP() AS TIME_EXEC FROM "&amp;I18,
IF(C18="Valores extremos",+"SELECT '"&amp;UPPER(B18)&amp;"' AS TABELA, '"&amp;UPPER(C18)&amp;"' AS TIPOLOGIA_TESTE,'"&amp;D18&amp;"' AS TABELA_LT,'N/A' AS TABELA_SIMUL,'"&amp;F18&amp;"' AS CAMPO, "&amp;"'${ref_date}' AS REF_DATE, CAST(MIN("&amp;F18&amp;") AS STRING) AS VALOR_MIN, CAST(MAX("&amp;F18&amp;") AS STRING) AS VALOR_MAX,'"&amp;MAX('ID1&amp;5'!K:K)+1&amp;"' AS ID_EXEC, CURRENT_TIMESTAMP() AS TIME_EXEC FROM "&amp;MID(I18,1,LEN(I18)-2)&amp;" AND CAST("&amp;F18&amp;"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TABELA_SIMUL,'DT_LGL_FNL_MTRTY' AS CAMPO, '${ref_date}' AS REF_DATE, COUNT(*) AS NUM_REG, SUM(IF(COALESCE(CAST(X.DT_LGL_FNL_MTRTY AS STRING),'')&lt;&gt;COALESCE(CAST(Y.DT_LGL_FNL_MTRTY_SIMUL AS STRING),'') OR (X.DT_LGL_FNL_MTRTY IS NULL AND Y.DT_LGL_FNL_MTRTY_SIMUL IS NOT NULL ) OR (X.DT_LGL_FNL_MTRTY IS NOT NULL AND Y.DT_LGL_FNL_MTRTY_SIMUL IS NULL),1,0)) AS NUM_REG_DIF,'1' AS ID_EXEC, CURRENT_TIMESTAMP() AS TIME_EXEC FROM (SELECT instrmnt_id, DT_LGL_FNL_MTRTY FROM CD_LOAN_TAPES_BCE.LT002_INSTRUMENT WHERE ref_date='${ref_date}' AND nome_perimetro='Individual Local' AND segmento='ESTR' AND ambito='SRB_MBDT' AND entidade='00100')X INNER JOIN (SELECT instrmnt_id AS instrmnt_id_SIMUL, DT_LGL_FNL_MTRTY AS DT_LGL_FNL_MTRTY_SIMUL FROM BU_LOANTAPE_WORK.LT002_INSTRUMENT WHERE ref_date='${ref_date}' AND nome_perimetro='Individual Local' AND segmento='ESTR' AND ambito='PM' AND entidade='00100')Y ON X.INSTRMNT_ID=Y.INSTRMNT_ID_SIMUL</v>
      </c>
      <c r="M18" s="36" t="str">
        <f t="shared" si="1"/>
        <v>UNION ALL SELECT 'INSTRUMENT' AS TABELA, 'COERÊNCIA' AS TIPOLOGIA_TESTE,'CD_LOAN_TAPES_BCE.LT002_INSTRUMENT' AS TABELA_LT,'BU_LOANTAPE_WORK.LT002_INSTRUMENT' AS TABELA_SIMUL,'DT_LGL_FNL_MTRTY' AS CAMPO, '${ref_date}' AS REF_DATE, COUNT(*) AS NUM_REG, SUM(IF(COALESCE(CAST(X.DT_LGL_FNL_MTRTY AS STRING),'')&lt;&gt;COALESCE(CAST(Y.DT_LGL_FNL_MTRTY_SIMUL AS STRING),'') OR (X.DT_LGL_FNL_MTRTY IS NULL AND Y.DT_LGL_FNL_MTRTY_SIMUL IS NOT NULL ) OR (X.DT_LGL_FNL_MTRTY IS NOT NULL AND Y.DT_LGL_FNL_MTRTY_SIMUL IS NULL),1,0)) AS NUM_REG_DIF,'1' AS ID_EXEC, CURRENT_TIMESTAMP() AS TIME_EXEC FROM (SELECT instrmnt_id, DT_LGL_FNL_MTRTY FROM CD_LOAN_TAPES_BCE.LT002_INSTRUMENT WHERE ref_date='${ref_date}' AND nome_perimetro='Individual Local' AND segmento='ESTR' AND ambito='SRB_MBDT' AND entidade='00100')X INNER JOIN (SELECT instrmnt_id AS instrmnt_id_SIMUL, DT_LGL_FNL_MTRTY AS DT_LGL_FNL_MTRTY_SIMUL FROM BU_LOANTAPE_WORK.LT002_INSTRUMENT WHERE ref_date='${ref_date}' AND nome_perimetro='Individual Local' AND segmento='ESTR' AND ambito='PM' AND entidade='00100')Y ON X.INSTRMNT_ID=Y.INSTRMNT_ID_SIMUL</v>
      </c>
      <c r="N18" s="38" t="s">
        <v>36</v>
      </c>
    </row>
    <row r="19" spans="1:14" hidden="1">
      <c r="A19" s="60" t="str">
        <f t="shared" si="0"/>
        <v>INSTRUMENTGOVERNING_LAW</v>
      </c>
      <c r="B19" s="34" t="s">
        <v>113</v>
      </c>
      <c r="C19" s="34" t="s">
        <v>5</v>
      </c>
      <c r="D19" s="34" t="str">
        <f>+UPPER('0. Instruções'!$D$35&amp;"."&amp;VLOOKUP(B19,'0. Instruções'!$C$27:$D$32,2,FALSE))</f>
        <v>CD_LOAN_TAPES_BCE.LT002_INSTRUMENT</v>
      </c>
      <c r="E19" s="34" t="str">
        <f>+UPPER('0. Instruções'!$D$36&amp;"."&amp;VLOOKUP(B19,'0. Instruções'!$C$27:$E$32,3,FALSE))</f>
        <v>BU_LOANTAPE_WORK.LT002_INSTRUMENT</v>
      </c>
      <c r="F19" s="34" t="s">
        <v>1575</v>
      </c>
      <c r="G19" s="34"/>
      <c r="H19" s="34"/>
      <c r="I19" s="34" t="str">
        <f>"(SELECT "&amp;VLOOKUP(B19,'0. Instruções'!$C$27:$G$32,4,FALSE)&amp;", "&amp;F19&amp;" FROM "&amp;D19&amp;" WHERE "&amp;'0. Instruções'!$D$42&amp;")X"</f>
        <v>(SELECT instrmnt_id, GOVERNING_LAW FROM CD_LOAN_TAPES_BCE.LT002_INSTRUMENT WHERE ref_date='${ref_date}' AND nome_perimetro='Individual Local' AND segmento='ESTR' AND ambito='SRB_MBDT' AND entidade='00100')X</v>
      </c>
      <c r="J19" s="34" t="str">
        <f>"(SELECT "&amp;VLOOKUP(B19,'0. Instruções'!$C$27:$G$32,4,FALSE)&amp;" AS "&amp;VLOOKUP(B19,'0. Instruções'!$C$27:$G$32,4,FALSE)&amp;"_SIMUL, "&amp;F19&amp;" AS "&amp;F19&amp;"_SIMUL FROM "&amp;E19&amp;" WHERE "&amp;'0. Instruções'!$D$43&amp;")Y"</f>
        <v>(SELECT instrmnt_id AS instrmnt_id_SIMUL, GOVERNING_LAW AS GOVERNING_LAW_SIMUL FROM BU_LOANTAPE_WORK.LT002_INSTRUMENT WHERE ref_date='${ref_date}' AND nome_perimetro='Individual Local' AND segmento='ESTR' AND ambito='PM' AND entidade='00100')Y</v>
      </c>
      <c r="K19" s="35" t="str">
        <f>+UPPER("ON X."&amp;VLOOKUP(B19,'0. Instruções'!$C$27:$G$32,4,FALSE)&amp;"=Y."&amp;VLOOKUP(B19,'0. Instruções'!$C$27:$G$32,4,FALSE)&amp;"_SIMUL")</f>
        <v>ON X.INSTRMNT_ID=Y.INSTRMNT_ID_SIMUL</v>
      </c>
      <c r="L19" s="35" t="str">
        <f>+IF(C19="Coerência", +IF(LEFT(G19,5)="FLOAT","SELECT '"&amp;UPPER(B19)&amp;"' AS TABELA, '"&amp;UPPER(C19)&amp;"' AS TIPOLOGIA_TESTE,'"&amp;D19&amp;"' AS TABELA_LT,'"&amp;E19&amp;"' AS TABELA_SIMUL,'"&amp;F19&amp;"' AS CAMPO, "&amp;"'${ref_date}' AS REF_DATE, COUNT(*) AS NUM_REG, SUM(IF((ABS(COALESCE(CAST(X."&amp;F19&amp;" AS DECIMAL(18,6)),0)-COALESCE(CAST(Y."&amp;F19&amp;"_SIMUL AS DECIMAL(18,6)),0))&gt;0.000001) OR (X."&amp;F19&amp;" IS NULL AND Y."&amp;F19&amp;"_SIMUL IS NOT NULL ) OR (X."&amp;F19&amp;" IS NOT NULL AND Y."&amp;F19&amp;"_SIMUL IS NULL),1,0)) AS NUM_REG_DIF,'"&amp;MAX('ID1&amp;5'!K:K)+1&amp;"' AS ID_EXEC, CURRENT_TIMESTAMP() AS TIME_EXEC FROM "&amp;I19&amp;" INNER JOIN "&amp;J19&amp;" "&amp;K19,"SELECT '"&amp;UPPER(B19)&amp;"' AS TABELA, '"&amp;UPPER(C19)&amp;"' AS TIPOLOGIA_TESTE,'"&amp;D19&amp;"' AS TABELA_LT,'"&amp;E19&amp;"' AS TABELA_SIMUL,'"&amp;F19&amp;"' AS CAMPO, "&amp;"'${ref_date}' AS REF_DATE, COUNT(*) AS NUM_REG, SUM(IF(COALESCE(CAST(X."&amp;F19&amp;" AS STRING),'')&lt;&gt;COALESCE(CAST(Y."&amp;F19&amp;"_SIMUL AS STRING),'') OR (X."&amp;F19&amp;" IS NULL AND Y."&amp;F19&amp;"_SIMUL IS NOT NULL ) OR (X."&amp;F19&amp;" IS NOT NULL AND Y."&amp;F19&amp;"_SIMUL IS NULL),1,0)) AS NUM_REG_DIF,'"&amp;MAX('ID1&amp;5'!L:L)+1&amp;"' AS ID_EXEC, CURRENT_TIMESTAMP() AS TIME_EXEC FROM "&amp;I19&amp;" INNER JOIN "&amp;J19&amp;" "&amp;K19),
IF(C19="Validade",+IF(G19="Code List","SELECT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 OR CAST(X."&amp;F19&amp;" AS STRING) NOT "&amp;H19&amp;",1,0)) AS NUM_REG_DIF,'"&amp;MAX('ID1&amp;5'!K:K)+1&amp;"' AS ID_EXEC, CURRENT_TIMESTAMP() AS TIME_EXEC FROM "&amp;I19,"SELECT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NULL,1,0)) AS NUM_REG_DIF,'"&amp;MAX('ID1&amp;5'!K:K)+1&amp;"' AS ID_EXEC, CURRENT_TIMESTAMP() AS TIME_EXEC FROM "&amp;I19),
IF(C19="Caracteres Especiais",+"SELECT '"&amp;UPPER(B19)&amp;"' AS TABELA, '"&amp;UPPER(C19)&amp;"' AS TIPOLOGIA_TESTE,'"&amp;D19&amp;"' AS TABELA_LT,'N/A' AS TABELA_SIMUL,'"&amp;F19&amp;"' AS CAMPO, "&amp;"'${ref_date}' AS REF_DATE, COUNT(*) AS NUM_REG, SUM(IF(REGEXP_REPLACE(TRIM(CAST(X."&amp;F19&amp;" AS STRING)),'[^a-zA-Z0-9_\\s]','') &lt;&gt;TRIM(CAST(X."&amp;F19&amp;" AS STRING)),1,0)) AS NUM_REG_DIF,'"&amp;MAX('ID1&amp;5'!K:K)+1&amp;"' AS ID_EXEC, CURRENT_TIMESTAMP() AS TIME_EXEC FROM "&amp;I19,
IF(C19="Missings",+"SELECT '"&amp;UPPER(B19)&amp;"' AS TABELA, '"&amp;UPPER(C19)&amp;"' AS TIPOLOGIA_TESTE,'"&amp;D19&amp;"' AS TABELA_LT,'N/A' AS TABELA_SIMUL,'"&amp;F19&amp;"' AS CAMPO, "&amp;"'${ref_date}' AS REF_DATE, COUNT(*) AS NUM_REG, SUM(IF(TRIM(CAST(X."&amp;F19&amp;" AS STRING)) IN ('0000-00-00','0001-01-01','9999-12-31','MISS','00000','99999999999','99999999999.00','99999999999.000000'),1,0)) AS NUM_REG_DIF,'"&amp;MAX('ID1&amp;5'!K:K)+1&amp;"' AS ID_EXEC, CURRENT_TIMESTAMP() AS TIME_EXEC FROM "&amp;I19,
IF(C19="Not applicable",+"SELECT '"&amp;UPPER(B19)&amp;"' AS TABELA, '"&amp;UPPER(C19)&amp;"' AS TIPOLOGIA_TESTE,'"&amp;D19&amp;"' AS TABELA_LT,'N/A' AS TABELA_SIMUL,'"&amp;F19&amp;"' AS CAMPO, "&amp;"'${ref_date}' AS REF_DATE, COUNT(*) AS NUM_REG, SUM(IF(TRIM(CAST(X."&amp;F19&amp;" AS STRING)) IN ('N/A','11111111111','11111111111.00','11111111111.000000','1111-11-11'),1,0)) AS NUM_REG_DIF,'"&amp;MAX('ID1&amp;5'!K:K)+1&amp;"' AS ID_EXEC, CURRENT_TIMESTAMP() AS TIME_EXEC FROM "&amp;I19,
IF(C19="Valores extremos",+"SELECT '"&amp;UPPER(B19)&amp;"' AS TABELA, '"&amp;UPPER(C19)&amp;"' AS TIPOLOGIA_TESTE,'"&amp;D19&amp;"' AS TABELA_LT,'N/A' AS TABELA_SIMUL,'"&amp;F19&amp;"' AS CAMPO, "&amp;"'${ref_date}' AS REF_DATE, CAST(MIN("&amp;F19&amp;") AS STRING) AS VALOR_MIN, CAST(MAX("&amp;F19&amp;") AS STRING) AS VALOR_MAX,'"&amp;MAX('ID1&amp;5'!K:K)+1&amp;"' AS ID_EXEC, CURRENT_TIMESTAMP() AS TIME_EXEC FROM "&amp;MID(I19,1,LEN(I19)-2)&amp;" AND CAST("&amp;F19&amp;"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TABELA_SIMUL,'GOVERNING_LAW' AS CAMPO, '${ref_date}' AS REF_DATE, COUNT(*) AS NUM_REG, SUM(IF(COALESCE(CAST(X.GOVERNING_LAW AS STRING),'')&lt;&gt;COALESCE(CAST(Y.GOVERNING_LAW_SIMUL AS STRING),'') OR (X.GOVERNING_LAW IS NULL AND Y.GOVERNING_LAW_SIMUL IS NOT NULL ) OR (X.GOVERNING_LAW IS NOT NULL AND Y.GOVERNING_LAW_SIMUL IS NULL),1,0)) AS NUM_REG_DIF,'1' AS ID_EXEC, CURRENT_TIMESTAMP() AS TIME_EXEC FROM (SELECT instrmnt_id, GOVERNING_LAW FROM CD_LOAN_TAPES_BCE.LT002_INSTRUMENT WHERE ref_date='${ref_date}' AND nome_perimetro='Individual Local' AND segmento='ESTR' AND ambito='SRB_MBDT' AND entidade='00100')X INNER JOIN (SELECT instrmnt_id AS instrmnt_id_SIMUL, GOVERNING_LAW AS GOVERNING_LAW_SIMUL FROM BU_LOANTAPE_WORK.LT002_INSTRUMENT WHERE ref_date='${ref_date}' AND nome_perimetro='Individual Local' AND segmento='ESTR' AND ambito='PM' AND entidade='00100')Y ON X.INSTRMNT_ID=Y.INSTRMNT_ID_SIMUL</v>
      </c>
      <c r="M19" s="36" t="str">
        <f t="shared" si="1"/>
        <v>UNION ALL SELECT 'INSTRUMENT' AS TABELA, 'COERÊNCIA' AS TIPOLOGIA_TESTE,'CD_LOAN_TAPES_BCE.LT002_INSTRUMENT' AS TABELA_LT,'BU_LOANTAPE_WORK.LT002_INSTRUMENT' AS TABELA_SIMUL,'GOVERNING_LAW' AS CAMPO, '${ref_date}' AS REF_DATE, COUNT(*) AS NUM_REG, SUM(IF(COALESCE(CAST(X.GOVERNING_LAW AS STRING),'')&lt;&gt;COALESCE(CAST(Y.GOVERNING_LAW_SIMUL AS STRING),'') OR (X.GOVERNING_LAW IS NULL AND Y.GOVERNING_LAW_SIMUL IS NOT NULL ) OR (X.GOVERNING_LAW IS NOT NULL AND Y.GOVERNING_LAW_SIMUL IS NULL),1,0)) AS NUM_REG_DIF,'1' AS ID_EXEC, CURRENT_TIMESTAMP() AS TIME_EXEC FROM (SELECT instrmnt_id, GOVERNING_LAW FROM CD_LOAN_TAPES_BCE.LT002_INSTRUMENT WHERE ref_date='${ref_date}' AND nome_perimetro='Individual Local' AND segmento='ESTR' AND ambito='SRB_MBDT' AND entidade='00100')X INNER JOIN (SELECT instrmnt_id AS instrmnt_id_SIMUL, GOVERNING_LAW AS GOVERNING_LAW_SIMUL FROM BU_LOANTAPE_WORK.LT002_INSTRUMENT WHERE ref_date='${ref_date}' AND nome_perimetro='Individual Local' AND segmento='ESTR' AND ambito='PM' AND entidade='00100')Y ON X.INSTRMNT_ID=Y.INSTRMNT_ID_SIMUL</v>
      </c>
      <c r="N19" s="38" t="s">
        <v>36</v>
      </c>
    </row>
    <row r="20" spans="1:14" hidden="1">
      <c r="A20" s="60" t="str">
        <f t="shared" si="0"/>
        <v>INSTRUMENTCRRYNG_AMNT_INSTRMNT</v>
      </c>
      <c r="B20" s="34" t="s">
        <v>113</v>
      </c>
      <c r="C20" s="34" t="s">
        <v>5</v>
      </c>
      <c r="D20" s="34" t="str">
        <f>+UPPER('0. Instruções'!$D$35&amp;"."&amp;VLOOKUP(B20,'0. Instruções'!$C$27:$D$32,2,FALSE))</f>
        <v>CD_LOAN_TAPES_BCE.LT002_INSTRUMENT</v>
      </c>
      <c r="E20" s="34" t="str">
        <f>+UPPER('0. Instruções'!$D$36&amp;"."&amp;VLOOKUP(B20,'0. Instruções'!$C$27:$E$32,3,FALSE))</f>
        <v>BU_LOANTAPE_WORK.LT002_INSTRUMENT</v>
      </c>
      <c r="F20" s="34" t="s">
        <v>437</v>
      </c>
      <c r="G20" s="34"/>
      <c r="H20" s="34"/>
      <c r="I20" s="34" t="str">
        <f>"(SELECT "&amp;VLOOKUP(B20,'0. Instruções'!$C$27:$G$32,4,FALSE)&amp;", "&amp;F20&amp;" FROM "&amp;D20&amp;" WHERE "&amp;'0. Instruções'!$D$42&amp;")X"</f>
        <v>(SELECT instrmnt_id, CRRYNG_AMNT_INSTRMNT FROM CD_LOAN_TAPES_BCE.LT002_INSTRUMENT WHERE ref_date='${ref_date}' AND nome_perimetro='Individual Local' AND segmento='ESTR' AND ambito='SRB_MBDT' AND entidade='00100')X</v>
      </c>
      <c r="J20" s="34" t="str">
        <f>"(SELECT "&amp;VLOOKUP(B20,'0. Instruções'!$C$27:$G$32,4,FALSE)&amp;" AS "&amp;VLOOKUP(B20,'0. Instruções'!$C$27:$G$32,4,FALSE)&amp;"_SIMUL, "&amp;F20&amp;" AS "&amp;F20&amp;"_SIMUL FROM "&amp;E20&amp;" WHERE "&amp;'0. Instruções'!$D$43&amp;")Y"</f>
        <v>(SELECT instrmnt_id AS instrmnt_id_SIMUL, CRRYNG_AMNT_INSTRMNT AS CRRYNG_AMNT_INSTRMNT_SIMUL FROM BU_LOANTAPE_WORK.LT002_INSTRUMENT WHERE ref_date='${ref_date}' AND nome_perimetro='Individual Local' AND segmento='ESTR' AND ambito='PM' AND entidade='00100')Y</v>
      </c>
      <c r="K20" s="35" t="str">
        <f>+UPPER("ON X."&amp;VLOOKUP(B20,'0. Instruções'!$C$27:$G$32,4,FALSE)&amp;"=Y."&amp;VLOOKUP(B20,'0. Instruções'!$C$27:$G$32,4,FALSE)&amp;"_SIMUL")</f>
        <v>ON X.INSTRMNT_ID=Y.INSTRMNT_ID_SIMUL</v>
      </c>
      <c r="L20" s="35" t="str">
        <f>+IF(C20="Coerência", +IF(LEFT(G20,5)="FLOAT","SELECT '"&amp;UPPER(B20)&amp;"' AS TABELA, '"&amp;UPPER(C20)&amp;"' AS TIPOLOGIA_TESTE,'"&amp;D20&amp;"' AS TABELA_LT,'"&amp;E20&amp;"' AS TABELA_SIMUL,'"&amp;F20&amp;"' AS CAMPO, "&amp;"'${ref_date}' AS REF_DATE, COUNT(*) AS NUM_REG, SUM(IF((ABS(COALESCE(CAST(X."&amp;F20&amp;" AS DECIMAL(18,6)),0)-COALESCE(CAST(Y."&amp;F20&amp;"_SIMUL AS DECIMAL(18,6)),0))&gt;0.000001) OR (X."&amp;F20&amp;" IS NULL AND Y."&amp;F20&amp;"_SIMUL IS NOT NULL ) OR (X."&amp;F20&amp;" IS NOT NULL AND Y."&amp;F20&amp;"_SIMUL IS NULL),1,0)) AS NUM_REG_DIF,'"&amp;MAX('ID1&amp;5'!K:K)+1&amp;"' AS ID_EXEC, CURRENT_TIMESTAMP() AS TIME_EXEC FROM "&amp;I20&amp;" INNER JOIN "&amp;J20&amp;" "&amp;K20,"SELECT '"&amp;UPPER(B20)&amp;"' AS TABELA, '"&amp;UPPER(C20)&amp;"' AS TIPOLOGIA_TESTE,'"&amp;D20&amp;"' AS TABELA_LT,'"&amp;E20&amp;"' AS TABELA_SIMUL,'"&amp;F20&amp;"' AS CAMPO, "&amp;"'${ref_date}' AS REF_DATE, COUNT(*) AS NUM_REG, SUM(IF(COALESCE(CAST(X."&amp;F20&amp;" AS STRING),'')&lt;&gt;COALESCE(CAST(Y."&amp;F20&amp;"_SIMUL AS STRING),'') OR (X."&amp;F20&amp;" IS NULL AND Y."&amp;F20&amp;"_SIMUL IS NOT NULL ) OR (X."&amp;F20&amp;" IS NOT NULL AND Y."&amp;F20&amp;"_SIMUL IS NULL),1,0)) AS NUM_REG_DIF,'"&amp;MAX('ID1&amp;5'!L:L)+1&amp;"' AS ID_EXEC, CURRENT_TIMESTAMP() AS TIME_EXEC FROM "&amp;I20&amp;" INNER JOIN "&amp;J20&amp;" "&amp;K20),
IF(C20="Validade",+IF(G20="Code List","SELECT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 OR CAST(X."&amp;F20&amp;" AS STRING) NOT "&amp;H20&amp;",1,0)) AS NUM_REG_DIF,'"&amp;MAX('ID1&amp;5'!K:K)+1&amp;"' AS ID_EXEC, CURRENT_TIMESTAMP() AS TIME_EXEC FROM "&amp;I20,"SELECT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NULL,1,0)) AS NUM_REG_DIF,'"&amp;MAX('ID1&amp;5'!K:K)+1&amp;"' AS ID_EXEC, CURRENT_TIMESTAMP() AS TIME_EXEC FROM "&amp;I20),
IF(C20="Caracteres Especiais",+"SELECT '"&amp;UPPER(B20)&amp;"' AS TABELA, '"&amp;UPPER(C20)&amp;"' AS TIPOLOGIA_TESTE,'"&amp;D20&amp;"' AS TABELA_LT,'N/A' AS TABELA_SIMUL,'"&amp;F20&amp;"' AS CAMPO, "&amp;"'${ref_date}' AS REF_DATE, COUNT(*) AS NUM_REG, SUM(IF(REGEXP_REPLACE(TRIM(CAST(X."&amp;F20&amp;" AS STRING)),'[^a-zA-Z0-9_\\s]','') &lt;&gt;TRIM(CAST(X."&amp;F20&amp;" AS STRING)),1,0)) AS NUM_REG_DIF,'"&amp;MAX('ID1&amp;5'!K:K)+1&amp;"' AS ID_EXEC, CURRENT_TIMESTAMP() AS TIME_EXEC FROM "&amp;I20,
IF(C20="Missings",+"SELECT '"&amp;UPPER(B20)&amp;"' AS TABELA, '"&amp;UPPER(C20)&amp;"' AS TIPOLOGIA_TESTE,'"&amp;D20&amp;"' AS TABELA_LT,'N/A' AS TABELA_SIMUL,'"&amp;F20&amp;"' AS CAMPO, "&amp;"'${ref_date}' AS REF_DATE, COUNT(*) AS NUM_REG, SUM(IF(TRIM(CAST(X."&amp;F20&amp;" AS STRING)) IN ('0000-00-00','0001-01-01','9999-12-31','MISS','00000','99999999999','99999999999.00','99999999999.000000'),1,0)) AS NUM_REG_DIF,'"&amp;MAX('ID1&amp;5'!K:K)+1&amp;"' AS ID_EXEC, CURRENT_TIMESTAMP() AS TIME_EXEC FROM "&amp;I20,
IF(C20="Not applicable",+"SELECT '"&amp;UPPER(B20)&amp;"' AS TABELA, '"&amp;UPPER(C20)&amp;"' AS TIPOLOGIA_TESTE,'"&amp;D20&amp;"' AS TABELA_LT,'N/A' AS TABELA_SIMUL,'"&amp;F20&amp;"' AS CAMPO, "&amp;"'${ref_date}' AS REF_DATE, COUNT(*) AS NUM_REG, SUM(IF(TRIM(CAST(X."&amp;F20&amp;" AS STRING)) IN ('N/A','11111111111','11111111111.00','11111111111.000000','1111-11-11'),1,0)) AS NUM_REG_DIF,'"&amp;MAX('ID1&amp;5'!K:K)+1&amp;"' AS ID_EXEC, CURRENT_TIMESTAMP() AS TIME_EXEC FROM "&amp;I20,
IF(C20="Valores extremos",+"SELECT '"&amp;UPPER(B20)&amp;"' AS TABELA, '"&amp;UPPER(C20)&amp;"' AS TIPOLOGIA_TESTE,'"&amp;D20&amp;"' AS TABELA_LT,'N/A' AS TABELA_SIMUL,'"&amp;F20&amp;"' AS CAMPO, "&amp;"'${ref_date}' AS REF_DATE, CAST(MIN("&amp;F20&amp;") AS STRING) AS VALOR_MIN, CAST(MAX("&amp;F20&amp;") AS STRING) AS VALOR_MAX,'"&amp;MAX('ID1&amp;5'!K:K)+1&amp;"' AS ID_EXEC, CURRENT_TIMESTAMP() AS TIME_EXEC FROM "&amp;MID(I20,1,LEN(I20)-2)&amp;" AND CAST("&amp;F20&amp;"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TABELA_SIMUL,'CRRYNG_AMNT_INSTRMNT' AS CAMPO, '${ref_date}' AS REF_DATE, COUNT(*) AS NUM_REG, SUM(IF(COALESCE(CAST(X.CRRYNG_AMNT_INSTRMNT AS STRING),'')&lt;&gt;COALESCE(CAST(Y.CRRYNG_AMNT_INSTRMNT_SIMUL AS STRING),'') OR (X.CRRYNG_AMNT_INSTRMNT IS NULL AND Y.CRRYNG_AMNT_INSTRMNT_SIMUL IS NOT NULL ) OR (X.CRRYNG_AMNT_INSTRMNT IS NOT NULL AND Y.CRRYNG_AMNT_INSTRMNT_SIMUL IS NULL),1,0)) AS NUM_REG_DIF,'1' AS ID_EXEC, CURRENT_TIMESTAMP() AS TIME_EXEC FROM (SELECT instrmnt_id, CRRYNG_AMNT_INSTRMNT FROM CD_LOAN_TAPES_BCE.LT002_INSTRUMENT WHERE ref_date='${ref_date}' AND nome_perimetro='Individual Local' AND segmento='ESTR' AND ambito='SRB_MBDT' AND entidade='00100')X INNER JOIN (SELECT instrmnt_id AS instrmnt_id_SIMUL, CRRYNG_AMNT_INSTRMNT AS CRRYNG_AMNT_INSTRMNT_SIMUL FROM BU_LOANTAPE_WORK.LT002_INSTRUMENT WHERE ref_date='${ref_date}' AND nome_perimetro='Individual Local' AND segmento='ESTR' AND ambito='PM' AND entidade='00100')Y ON X.INSTRMNT_ID=Y.INSTRMNT_ID_SIMUL</v>
      </c>
      <c r="M20" s="36" t="str">
        <f t="shared" si="1"/>
        <v>UNION ALL SELECT 'INSTRUMENT' AS TABELA, 'COERÊNCIA' AS TIPOLOGIA_TESTE,'CD_LOAN_TAPES_BCE.LT002_INSTRUMENT' AS TABELA_LT,'BU_LOANTAPE_WORK.LT002_INSTRUMENT' AS TABELA_SIMUL,'CRRYNG_AMNT_INSTRMNT' AS CAMPO, '${ref_date}' AS REF_DATE, COUNT(*) AS NUM_REG, SUM(IF(COALESCE(CAST(X.CRRYNG_AMNT_INSTRMNT AS STRING),'')&lt;&gt;COALESCE(CAST(Y.CRRYNG_AMNT_INSTRMNT_SIMUL AS STRING),'') OR (X.CRRYNG_AMNT_INSTRMNT IS NULL AND Y.CRRYNG_AMNT_INSTRMNT_SIMUL IS NOT NULL ) OR (X.CRRYNG_AMNT_INSTRMNT IS NOT NULL AND Y.CRRYNG_AMNT_INSTRMNT_SIMUL IS NULL),1,0)) AS NUM_REG_DIF,'1' AS ID_EXEC, CURRENT_TIMESTAMP() AS TIME_EXEC FROM (SELECT instrmnt_id, CRRYNG_AMNT_INSTRMNT FROM CD_LOAN_TAPES_BCE.LT002_INSTRUMENT WHERE ref_date='${ref_date}' AND nome_perimetro='Individual Local' AND segmento='ESTR' AND ambito='SRB_MBDT' AND entidade='00100')X INNER JOIN (SELECT instrmnt_id AS instrmnt_id_SIMUL, CRRYNG_AMNT_INSTRMNT AS CRRYNG_AMNT_INSTRMNT_SIMUL FROM BU_LOANTAPE_WORK.LT002_INSTRUMENT WHERE ref_date='${ref_date}' AND nome_perimetro='Individual Local' AND segmento='ESTR' AND ambito='PM' AND entidade='00100')Y ON X.INSTRMNT_ID=Y.INSTRMNT_ID_SIMUL</v>
      </c>
      <c r="N20" s="38" t="s">
        <v>36</v>
      </c>
    </row>
    <row r="21" spans="1:14" hidden="1">
      <c r="A21" s="60" t="str">
        <f t="shared" si="0"/>
        <v>INSTRUMENTACCNTNG_CLSSFCTN</v>
      </c>
      <c r="B21" s="34" t="s">
        <v>113</v>
      </c>
      <c r="C21" s="34" t="s">
        <v>5</v>
      </c>
      <c r="D21" s="34" t="str">
        <f>+UPPER('0. Instruções'!$D$35&amp;"."&amp;VLOOKUP(B21,'0. Instruções'!$C$27:$D$32,2,FALSE))</f>
        <v>CD_LOAN_TAPES_BCE.LT002_INSTRUMENT</v>
      </c>
      <c r="E21" s="34" t="str">
        <f>+UPPER('0. Instruções'!$D$36&amp;"."&amp;VLOOKUP(B21,'0. Instruções'!$C$27:$E$32,3,FALSE))</f>
        <v>BU_LOANTAPE_WORK.LT002_INSTRUMENT</v>
      </c>
      <c r="F21" s="34" t="s">
        <v>89</v>
      </c>
      <c r="G21" s="34"/>
      <c r="H21" s="34"/>
      <c r="I21" s="34" t="str">
        <f>"(SELECT "&amp;VLOOKUP(B21,'0. Instruções'!$C$27:$G$32,4,FALSE)&amp;", "&amp;F21&amp;" FROM "&amp;D21&amp;" WHERE "&amp;'0. Instruções'!$D$42&amp;")X"</f>
        <v>(SELECT instrmnt_id, ACCNTNG_CLSSFCTN FROM CD_LOAN_TAPES_BCE.LT002_INSTRUMENT WHERE ref_date='${ref_date}' AND nome_perimetro='Individual Local' AND segmento='ESTR' AND ambito='SRB_MBDT' AND entidade='00100')X</v>
      </c>
      <c r="J21" s="34" t="str">
        <f>"(SELECT "&amp;VLOOKUP(B21,'0. Instruções'!$C$27:$G$32,4,FALSE)&amp;" AS "&amp;VLOOKUP(B21,'0. Instruções'!$C$27:$G$32,4,FALSE)&amp;"_SIMUL, "&amp;F21&amp;" AS "&amp;F21&amp;"_SIMUL FROM "&amp;E21&amp;" WHERE "&amp;'0. Instruções'!$D$43&amp;")Y"</f>
        <v>(SELECT instrmnt_id AS instrmnt_id_SIMUL, ACCNTNG_CLSSFCTN AS ACCNTNG_CLSSFCTN_SIMUL FROM BU_LOANTAPE_WORK.LT002_INSTRUMENT WHERE ref_date='${ref_date}' AND nome_perimetro='Individual Local' AND segmento='ESTR' AND ambito='PM' AND entidade='00100')Y</v>
      </c>
      <c r="K21" s="35" t="str">
        <f>+UPPER("ON X."&amp;VLOOKUP(B21,'0. Instruções'!$C$27:$G$32,4,FALSE)&amp;"=Y."&amp;VLOOKUP(B21,'0. Instruções'!$C$27:$G$32,4,FALSE)&amp;"_SIMUL")</f>
        <v>ON X.INSTRMNT_ID=Y.INSTRMNT_ID_SIMUL</v>
      </c>
      <c r="L21" s="35" t="str">
        <f>+IF(C21="Coerência", +IF(LEFT(G21,5)="FLOAT","SELECT '"&amp;UPPER(B21)&amp;"' AS TABELA, '"&amp;UPPER(C21)&amp;"' AS TIPOLOGIA_TESTE,'"&amp;D21&amp;"' AS TABELA_LT,'"&amp;E21&amp;"' AS TABELA_SIMUL,'"&amp;F21&amp;"' AS CAMPO, "&amp;"'${ref_date}' AS REF_DATE, COUNT(*) AS NUM_REG, SUM(IF((ABS(COALESCE(CAST(X."&amp;F21&amp;" AS DECIMAL(18,6)),0)-COALESCE(CAST(Y."&amp;F21&amp;"_SIMUL AS DECIMAL(18,6)),0))&gt;0.000001) OR (X."&amp;F21&amp;" IS NULL AND Y."&amp;F21&amp;"_SIMUL IS NOT NULL ) OR (X."&amp;F21&amp;" IS NOT NULL AND Y."&amp;F21&amp;"_SIMUL IS NULL),1,0)) AS NUM_REG_DIF,'"&amp;MAX('ID1&amp;5'!K:K)+1&amp;"' AS ID_EXEC, CURRENT_TIMESTAMP() AS TIME_EXEC FROM "&amp;I21&amp;" INNER JOIN "&amp;J21&amp;" "&amp;K21,"SELECT '"&amp;UPPER(B21)&amp;"' AS TABELA, '"&amp;UPPER(C21)&amp;"' AS TIPOLOGIA_TESTE,'"&amp;D21&amp;"' AS TABELA_LT,'"&amp;E21&amp;"' AS TABELA_SIMUL,'"&amp;F21&amp;"' AS CAMPO, "&amp;"'${ref_date}' AS REF_DATE, COUNT(*) AS NUM_REG, SUM(IF(COALESCE(CAST(X."&amp;F21&amp;" AS STRING),'')&lt;&gt;COALESCE(CAST(Y."&amp;F21&amp;"_SIMUL AS STRING),'') OR (X."&amp;F21&amp;" IS NULL AND Y."&amp;F21&amp;"_SIMUL IS NOT NULL ) OR (X."&amp;F21&amp;" IS NOT NULL AND Y."&amp;F21&amp;"_SIMUL IS NULL),1,0)) AS NUM_REG_DIF,'"&amp;MAX('ID1&amp;5'!L:L)+1&amp;"' AS ID_EXEC, CURRENT_TIMESTAMP() AS TIME_EXEC FROM "&amp;I21&amp;" INNER JOIN "&amp;J21&amp;" "&amp;K21),
IF(C21="Validade",+IF(G21="Code List","SELECT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 OR CAST(X."&amp;F21&amp;" AS STRING) NOT "&amp;H21&amp;",1,0)) AS NUM_REG_DIF,'"&amp;MAX('ID1&amp;5'!K:K)+1&amp;"' AS ID_EXEC, CURRENT_TIMESTAMP() AS TIME_EXEC FROM "&amp;I21,"SELECT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NULL,1,0)) AS NUM_REG_DIF,'"&amp;MAX('ID1&amp;5'!K:K)+1&amp;"' AS ID_EXEC, CURRENT_TIMESTAMP() AS TIME_EXEC FROM "&amp;I21),
IF(C21="Caracteres Especiais",+"SELECT '"&amp;UPPER(B21)&amp;"' AS TABELA, '"&amp;UPPER(C21)&amp;"' AS TIPOLOGIA_TESTE,'"&amp;D21&amp;"' AS TABELA_LT,'N/A' AS TABELA_SIMUL,'"&amp;F21&amp;"' AS CAMPO, "&amp;"'${ref_date}' AS REF_DATE, COUNT(*) AS NUM_REG, SUM(IF(REGEXP_REPLACE(TRIM(CAST(X."&amp;F21&amp;" AS STRING)),'[^a-zA-Z0-9_\\s]','') &lt;&gt;TRIM(CAST(X."&amp;F21&amp;" AS STRING)),1,0)) AS NUM_REG_DIF,'"&amp;MAX('ID1&amp;5'!K:K)+1&amp;"' AS ID_EXEC, CURRENT_TIMESTAMP() AS TIME_EXEC FROM "&amp;I21,
IF(C21="Missings",+"SELECT '"&amp;UPPER(B21)&amp;"' AS TABELA, '"&amp;UPPER(C21)&amp;"' AS TIPOLOGIA_TESTE,'"&amp;D21&amp;"' AS TABELA_LT,'N/A' AS TABELA_SIMUL,'"&amp;F21&amp;"' AS CAMPO, "&amp;"'${ref_date}' AS REF_DATE, COUNT(*) AS NUM_REG, SUM(IF(TRIM(CAST(X."&amp;F21&amp;" AS STRING)) IN ('0000-00-00','0001-01-01','9999-12-31','MISS','00000','99999999999','99999999999.00','99999999999.000000'),1,0)) AS NUM_REG_DIF,'"&amp;MAX('ID1&amp;5'!K:K)+1&amp;"' AS ID_EXEC, CURRENT_TIMESTAMP() AS TIME_EXEC FROM "&amp;I21,
IF(C21="Not applicable",+"SELECT '"&amp;UPPER(B21)&amp;"' AS TABELA, '"&amp;UPPER(C21)&amp;"' AS TIPOLOGIA_TESTE,'"&amp;D21&amp;"' AS TABELA_LT,'N/A' AS TABELA_SIMUL,'"&amp;F21&amp;"' AS CAMPO, "&amp;"'${ref_date}' AS REF_DATE, COUNT(*) AS NUM_REG, SUM(IF(TRIM(CAST(X."&amp;F21&amp;" AS STRING)) IN ('N/A','11111111111','11111111111.00','11111111111.000000','1111-11-11'),1,0)) AS NUM_REG_DIF,'"&amp;MAX('ID1&amp;5'!K:K)+1&amp;"' AS ID_EXEC, CURRENT_TIMESTAMP() AS TIME_EXEC FROM "&amp;I21,
IF(C21="Valores extremos",+"SELECT '"&amp;UPPER(B21)&amp;"' AS TABELA, '"&amp;UPPER(C21)&amp;"' AS TIPOLOGIA_TESTE,'"&amp;D21&amp;"' AS TABELA_LT,'N/A' AS TABELA_SIMUL,'"&amp;F21&amp;"' AS CAMPO, "&amp;"'${ref_date}' AS REF_DATE, CAST(MIN("&amp;F21&amp;") AS STRING) AS VALOR_MIN, CAST(MAX("&amp;F21&amp;") AS STRING) AS VALOR_MAX,'"&amp;MAX('ID1&amp;5'!K:K)+1&amp;"' AS ID_EXEC, CURRENT_TIMESTAMP() AS TIME_EXEC FROM "&amp;MID(I21,1,LEN(I21)-2)&amp;" AND CAST("&amp;F21&amp;"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TABELA_SIMUL,'ACCNTNG_CLSSFCTN' AS CAMPO, '${ref_date}' AS REF_DATE, COUNT(*) AS NUM_REG, SUM(IF(COALESCE(CAST(X.ACCNTNG_CLSSFCTN AS STRING),'')&lt;&gt;COALESCE(CAST(Y.ACCNTNG_CLSSFCTN_SIMUL AS STRING),'') OR (X.ACCNTNG_CLSSFCTN IS NULL AND Y.ACCNTNG_CLSSFCTN_SIMUL IS NOT NULL ) OR (X.ACCNTNG_CLSSFCTN IS NOT NULL AND Y.ACCNTNG_CLSSFCTN_SIMUL IS NULL),1,0)) AS NUM_REG_DIF,'1' AS ID_EXEC, CURRENT_TIMESTAMP() AS TIME_EXEC FROM (SELECT instrmnt_id, ACCNTNG_CLSSFCTN FROM CD_LOAN_TAPES_BCE.LT002_INSTRUMENT WHERE ref_date='${ref_date}' AND nome_perimetro='Individual Local' AND segmento='ESTR' AND ambito='SRB_MBDT' AND entidade='00100')X INNER JOIN (SELECT instrmnt_id AS instrmnt_id_SIMUL, ACCNTNG_CLSSFCTN AS ACCNTNG_CLSSFCTN_SIMUL FROM BU_LOANTAPE_WORK.LT002_INSTRUMENT WHERE ref_date='${ref_date}' AND nome_perimetro='Individual Local' AND segmento='ESTR' AND ambito='PM' AND entidade='00100')Y ON X.INSTRMNT_ID=Y.INSTRMNT_ID_SIMUL</v>
      </c>
      <c r="M21" s="36" t="str">
        <f t="shared" si="1"/>
        <v>UNION ALL SELECT 'INSTRUMENT' AS TABELA, 'COERÊNCIA' AS TIPOLOGIA_TESTE,'CD_LOAN_TAPES_BCE.LT002_INSTRUMENT' AS TABELA_LT,'BU_LOANTAPE_WORK.LT002_INSTRUMENT' AS TABELA_SIMUL,'ACCNTNG_CLSSFCTN' AS CAMPO, '${ref_date}' AS REF_DATE, COUNT(*) AS NUM_REG, SUM(IF(COALESCE(CAST(X.ACCNTNG_CLSSFCTN AS STRING),'')&lt;&gt;COALESCE(CAST(Y.ACCNTNG_CLSSFCTN_SIMUL AS STRING),'') OR (X.ACCNTNG_CLSSFCTN IS NULL AND Y.ACCNTNG_CLSSFCTN_SIMUL IS NOT NULL ) OR (X.ACCNTNG_CLSSFCTN IS NOT NULL AND Y.ACCNTNG_CLSSFCTN_SIMUL IS NULL),1,0)) AS NUM_REG_DIF,'1' AS ID_EXEC, CURRENT_TIMESTAMP() AS TIME_EXEC FROM (SELECT instrmnt_id, ACCNTNG_CLSSFCTN FROM CD_LOAN_TAPES_BCE.LT002_INSTRUMENT WHERE ref_date='${ref_date}' AND nome_perimetro='Individual Local' AND segmento='ESTR' AND ambito='SRB_MBDT' AND entidade='00100')X INNER JOIN (SELECT instrmnt_id AS instrmnt_id_SIMUL, ACCNTNG_CLSSFCTN AS ACCNTNG_CLSSFCTN_SIMUL FROM BU_LOANTAPE_WORK.LT002_INSTRUMENT WHERE ref_date='${ref_date}' AND nome_perimetro='Individual Local' AND segmento='ESTR' AND ambito='PM' AND entidade='00100')Y ON X.INSTRMNT_ID=Y.INSTRMNT_ID_SIMUL</v>
      </c>
      <c r="N21" s="38" t="s">
        <v>36</v>
      </c>
    </row>
    <row r="22" spans="1:14" hidden="1">
      <c r="A22" s="60" t="str">
        <f t="shared" si="0"/>
        <v>PROTECTIONDT_MTRTY_PRTCTN</v>
      </c>
      <c r="B22" s="34" t="s">
        <v>115</v>
      </c>
      <c r="C22" s="34" t="s">
        <v>5</v>
      </c>
      <c r="D22" s="34" t="str">
        <f>+UPPER('0. Instruções'!$D$35&amp;"."&amp;VLOOKUP(B22,'0. Instruções'!$C$27:$D$32,2,FALSE))</f>
        <v>CD_LOAN_TAPES_BCE.LT004_PROTECTION</v>
      </c>
      <c r="E22" s="34" t="str">
        <f>+UPPER('0. Instruções'!$D$36&amp;"."&amp;VLOOKUP(B22,'0. Instruções'!$C$27:$E$32,3,FALSE))</f>
        <v>BU_LOANTAPE_WORK.LT004_PROTECTION</v>
      </c>
      <c r="F22" s="34" t="s">
        <v>547</v>
      </c>
      <c r="G22" s="34"/>
      <c r="H22" s="34"/>
      <c r="I22" s="34" t="str">
        <f>"(SELECT "&amp;VLOOKUP(B22,'0. Instruções'!$C$27:$G$32,4,FALSE)&amp;", "&amp;F22&amp;" FROM "&amp;D22&amp;" WHERE "&amp;'0. Instruções'!$D$42&amp;")X"</f>
        <v>(SELECT prtctn_id, DT_MTRTY_PRTCTN FROM CD_LOAN_TAPES_BCE.LT004_PROTECTION WHERE ref_date='${ref_date}' AND nome_perimetro='Individual Local' AND segmento='ESTR' AND ambito='SRB_MBDT' AND entidade='00100')X</v>
      </c>
      <c r="J22" s="34" t="str">
        <f>"(SELECT "&amp;VLOOKUP(B22,'0. Instruções'!$C$27:$G$32,4,FALSE)&amp;" AS "&amp;VLOOKUP(B22,'0. Instruções'!$C$27:$G$32,4,FALSE)&amp;"_SIMUL, "&amp;F22&amp;" AS "&amp;F22&amp;"_SIMUL FROM "&amp;E22&amp;" WHERE "&amp;'0. Instruções'!$D$43&amp;")Y"</f>
        <v>(SELECT prtctn_id AS prtctn_id_SIMUL, DT_MTRTY_PRTCTN AS DT_MTRTY_PRTCTN_SIMUL FROM BU_LOANTAPE_WORK.LT004_PROTECTION WHERE ref_date='${ref_date}' AND nome_perimetro='Individual Local' AND segmento='ESTR' AND ambito='PM' AND entidade='00100')Y</v>
      </c>
      <c r="K22" s="35" t="str">
        <f>+UPPER("ON X."&amp;VLOOKUP(B22,'0. Instruções'!$C$27:$G$32,4,FALSE)&amp;"=Y."&amp;VLOOKUP(B22,'0. Instruções'!$C$27:$G$32,4,FALSE)&amp;"_SIMUL")</f>
        <v>ON X.PRTCTN_ID=Y.PRTCTN_ID_SIMUL</v>
      </c>
      <c r="L22" s="35" t="str">
        <f>+IF(C22="Coerência", +IF(LEFT(G22,5)="FLOAT","SELECT '"&amp;UPPER(B22)&amp;"' AS TABELA, '"&amp;UPPER(C22)&amp;"' AS TIPOLOGIA_TESTE,'"&amp;D22&amp;"' AS TABELA_LT,'"&amp;E22&amp;"' AS TABELA_SIMUL,'"&amp;F22&amp;"' AS CAMPO, "&amp;"'${ref_date}' AS REF_DATE, COUNT(*) AS NUM_REG, SUM(IF((ABS(COALESCE(CAST(X."&amp;F22&amp;" AS DECIMAL(18,6)),0)-COALESCE(CAST(Y."&amp;F22&amp;"_SIMUL AS DECIMAL(18,6)),0))&gt;0.000001) OR (X."&amp;F22&amp;" IS NULL AND Y."&amp;F22&amp;"_SIMUL IS NOT NULL ) OR (X."&amp;F22&amp;" IS NOT NULL AND Y."&amp;F22&amp;"_SIMUL IS NULL),1,0)) AS NUM_REG_DIF,'"&amp;MAX('ID1&amp;5'!K:K)+1&amp;"' AS ID_EXEC, CURRENT_TIMESTAMP() AS TIME_EXEC FROM "&amp;I22&amp;" INNER JOIN "&amp;J22&amp;" "&amp;K22,"SELECT '"&amp;UPPER(B22)&amp;"' AS TABELA, '"&amp;UPPER(C22)&amp;"' AS TIPOLOGIA_TESTE,'"&amp;D22&amp;"' AS TABELA_LT,'"&amp;E22&amp;"' AS TABELA_SIMUL,'"&amp;F22&amp;"' AS CAMPO, "&amp;"'${ref_date}' AS REF_DATE, COUNT(*) AS NUM_REG, SUM(IF(COALESCE(CAST(X."&amp;F22&amp;" AS STRING),'')&lt;&gt;COALESCE(CAST(Y."&amp;F22&amp;"_SIMUL AS STRING),'') OR (X."&amp;F22&amp;" IS NULL AND Y."&amp;F22&amp;"_SIMUL IS NOT NULL ) OR (X."&amp;F22&amp;" IS NOT NULL AND Y."&amp;F22&amp;"_SIMUL IS NULL),1,0)) AS NUM_REG_DIF,'"&amp;MAX('ID1&amp;5'!L:L)+1&amp;"' AS ID_EXEC, CURRENT_TIMESTAMP() AS TIME_EXEC FROM "&amp;I22&amp;" INNER JOIN "&amp;J22&amp;" "&amp;K22),
IF(C22="Validade",+IF(G22="Code List","SELECT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 OR CAST(X."&amp;F22&amp;" AS STRING) NOT "&amp;H22&amp;",1,0)) AS NUM_REG_DIF,'"&amp;MAX('ID1&amp;5'!K:K)+1&amp;"' AS ID_EXEC, CURRENT_TIMESTAMP() AS TIME_EXEC FROM "&amp;I22,"SELECT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NULL,1,0)) AS NUM_REG_DIF,'"&amp;MAX('ID1&amp;5'!K:K)+1&amp;"' AS ID_EXEC, CURRENT_TIMESTAMP() AS TIME_EXEC FROM "&amp;I22),
IF(C22="Caracteres Especiais",+"SELECT '"&amp;UPPER(B22)&amp;"' AS TABELA, '"&amp;UPPER(C22)&amp;"' AS TIPOLOGIA_TESTE,'"&amp;D22&amp;"' AS TABELA_LT,'N/A' AS TABELA_SIMUL,'"&amp;F22&amp;"' AS CAMPO, "&amp;"'${ref_date}' AS REF_DATE, COUNT(*) AS NUM_REG, SUM(IF(REGEXP_REPLACE(TRIM(CAST(X."&amp;F22&amp;" AS STRING)),'[^a-zA-Z0-9_\\s]','') &lt;&gt;TRIM(CAST(X."&amp;F22&amp;" AS STRING)),1,0)) AS NUM_REG_DIF,'"&amp;MAX('ID1&amp;5'!K:K)+1&amp;"' AS ID_EXEC, CURRENT_TIMESTAMP() AS TIME_EXEC FROM "&amp;I22,
IF(C22="Missings",+"SELECT '"&amp;UPPER(B22)&amp;"' AS TABELA, '"&amp;UPPER(C22)&amp;"' AS TIPOLOGIA_TESTE,'"&amp;D22&amp;"' AS TABELA_LT,'N/A' AS TABELA_SIMUL,'"&amp;F22&amp;"' AS CAMPO, "&amp;"'${ref_date}' AS REF_DATE, COUNT(*) AS NUM_REG, SUM(IF(TRIM(CAST(X."&amp;F22&amp;" AS STRING)) IN ('0000-00-00','0001-01-01','9999-12-31','MISS','00000','99999999999','99999999999.00','99999999999.000000'),1,0)) AS NUM_REG_DIF,'"&amp;MAX('ID1&amp;5'!K:K)+1&amp;"' AS ID_EXEC, CURRENT_TIMESTAMP() AS TIME_EXEC FROM "&amp;I22,
IF(C22="Not applicable",+"SELECT '"&amp;UPPER(B22)&amp;"' AS TABELA, '"&amp;UPPER(C22)&amp;"' AS TIPOLOGIA_TESTE,'"&amp;D22&amp;"' AS TABELA_LT,'N/A' AS TABELA_SIMUL,'"&amp;F22&amp;"' AS CAMPO, "&amp;"'${ref_date}' AS REF_DATE, COUNT(*) AS NUM_REG, SUM(IF(TRIM(CAST(X."&amp;F22&amp;" AS STRING)) IN ('N/A','11111111111','11111111111.00','11111111111.000000','1111-11-11'),1,0)) AS NUM_REG_DIF,'"&amp;MAX('ID1&amp;5'!K:K)+1&amp;"' AS ID_EXEC, CURRENT_TIMESTAMP() AS TIME_EXEC FROM "&amp;I22,
IF(C22="Valores extremos",+"SELECT '"&amp;UPPER(B22)&amp;"' AS TABELA, '"&amp;UPPER(C22)&amp;"' AS TIPOLOGIA_TESTE,'"&amp;D22&amp;"' AS TABELA_LT,'N/A' AS TABELA_SIMUL,'"&amp;F22&amp;"' AS CAMPO, "&amp;"'${ref_date}' AS REF_DATE, CAST(MIN("&amp;F22&amp;") AS STRING) AS VALOR_MIN, CAST(MAX("&amp;F22&amp;") AS STRING) AS VALOR_MAX,'"&amp;MAX('ID1&amp;5'!K:K)+1&amp;"' AS ID_EXEC, CURRENT_TIMESTAMP() AS TIME_EXEC FROM "&amp;MID(I22,1,LEN(I22)-2)&amp;" AND CAST("&amp;F22&amp;"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TABELA_SIMUL,'DT_MTRTY_PRTCTN' AS CAMPO, '${ref_date}' AS REF_DATE, COUNT(*) AS NUM_REG, SUM(IF(COALESCE(CAST(X.DT_MTRTY_PRTCTN AS STRING),'')&lt;&gt;COALESCE(CAST(Y.DT_MTRTY_PRTCTN_SIMUL AS STRING),'') OR (X.DT_MTRTY_PRTCTN IS NULL AND Y.DT_MTRTY_PRTCTN_SIMUL IS NOT NULL ) OR (X.DT_MTRTY_PRTCTN IS NOT NULL AND Y.DT_MTRTY_PRTCTN_SIMUL IS NULL),1,0)) AS NUM_REG_DIF,'1' AS ID_EXEC, CURRENT_TIMESTAMP() AS TIME_EXEC FROM (SELECT prtctn_id, DT_MTRTY_PRTCTN FROM CD_LOAN_TAPES_BCE.LT004_PROTECTION WHERE ref_date='${ref_date}' AND nome_perimetro='Individual Local' AND segmento='ESTR' AND ambito='SRB_MBDT' AND entidade='00100')X INNER JOIN (SELECT prtctn_id AS prtctn_id_SIMUL, DT_MTRTY_PRTCTN AS DT_MTRTY_PRTCTN_SIMUL FROM BU_LOANTAPE_WORK.LT004_PROTECTION WHERE ref_date='${ref_date}' AND nome_perimetro='Individual Local' AND segmento='ESTR' AND ambito='PM' AND entidade='00100')Y ON X.PRTCTN_ID=Y.PRTCTN_ID_SIMUL</v>
      </c>
      <c r="M22" s="36" t="str">
        <f t="shared" si="1"/>
        <v>UNION ALL SELECT 'PROTECTION' AS TABELA, 'COERÊNCIA' AS TIPOLOGIA_TESTE,'CD_LOAN_TAPES_BCE.LT004_PROTECTION' AS TABELA_LT,'BU_LOANTAPE_WORK.LT004_PROTECTION' AS TABELA_SIMUL,'DT_MTRTY_PRTCTN' AS CAMPO, '${ref_date}' AS REF_DATE, COUNT(*) AS NUM_REG, SUM(IF(COALESCE(CAST(X.DT_MTRTY_PRTCTN AS STRING),'')&lt;&gt;COALESCE(CAST(Y.DT_MTRTY_PRTCTN_SIMUL AS STRING),'') OR (X.DT_MTRTY_PRTCTN IS NULL AND Y.DT_MTRTY_PRTCTN_SIMUL IS NOT NULL ) OR (X.DT_MTRTY_PRTCTN IS NOT NULL AND Y.DT_MTRTY_PRTCTN_SIMUL IS NULL),1,0)) AS NUM_REG_DIF,'1' AS ID_EXEC, CURRENT_TIMESTAMP() AS TIME_EXEC FROM (SELECT prtctn_id, DT_MTRTY_PRTCTN FROM CD_LOAN_TAPES_BCE.LT004_PROTECTION WHERE ref_date='${ref_date}' AND nome_perimetro='Individual Local' AND segmento='ESTR' AND ambito='SRB_MBDT' AND entidade='00100')X INNER JOIN (SELECT prtctn_id AS prtctn_id_SIMUL, DT_MTRTY_PRTCTN AS DT_MTRTY_PRTCTN_SIMUL FROM BU_LOANTAPE_WORK.LT004_PROTECTION WHERE ref_date='${ref_date}' AND nome_perimetro='Individual Local' AND segmento='ESTR' AND ambito='PM' AND entidade='00100')Y ON X.PRTCTN_ID=Y.PRTCTN_ID_SIMUL</v>
      </c>
      <c r="N22" s="38" t="s">
        <v>36</v>
      </c>
    </row>
    <row r="23" spans="1:14" hidden="1">
      <c r="A23" s="60" t="str">
        <f t="shared" si="0"/>
        <v>PROTECTIONPRTCTN_PRVDR_ID</v>
      </c>
      <c r="B23" s="34" t="s">
        <v>115</v>
      </c>
      <c r="C23" s="34" t="s">
        <v>5</v>
      </c>
      <c r="D23" s="34" t="str">
        <f>+UPPER('0. Instruções'!$D$35&amp;"."&amp;VLOOKUP(B23,'0. Instruções'!$C$27:$D$32,2,FALSE))</f>
        <v>CD_LOAN_TAPES_BCE.LT004_PROTECTION</v>
      </c>
      <c r="E23" s="34" t="str">
        <f>+UPPER('0. Instruções'!$D$36&amp;"."&amp;VLOOKUP(B23,'0. Instruções'!$C$27:$E$32,3,FALSE))</f>
        <v>BU_LOANTAPE_WORK.LT004_PROTECTION</v>
      </c>
      <c r="F23" s="34" t="s">
        <v>549</v>
      </c>
      <c r="G23" s="34"/>
      <c r="H23" s="34"/>
      <c r="I23" s="34" t="str">
        <f>"(SELECT "&amp;VLOOKUP(B23,'0. Instruções'!$C$27:$G$32,4,FALSE)&amp;", "&amp;F23&amp;" FROM "&amp;D23&amp;" WHERE "&amp;'0. Instruções'!$D$42&amp;")X"</f>
        <v>(SELECT prtctn_id, PRTCTN_PRVDR_ID FROM CD_LOAN_TAPES_BCE.LT004_PROTECTION WHERE ref_date='${ref_date}' AND nome_perimetro='Individual Local' AND segmento='ESTR' AND ambito='SRB_MBDT' AND entidade='00100')X</v>
      </c>
      <c r="J23" s="34" t="str">
        <f>"(SELECT "&amp;VLOOKUP(B23,'0. Instruções'!$C$27:$G$32,4,FALSE)&amp;" AS "&amp;VLOOKUP(B23,'0. Instruções'!$C$27:$G$32,4,FALSE)&amp;"_SIMUL, "&amp;F23&amp;" AS "&amp;F23&amp;"_SIMUL FROM "&amp;E23&amp;" WHERE "&amp;'0. Instruções'!$D$43&amp;")Y"</f>
        <v>(SELECT prtctn_id AS prtctn_id_SIMUL, PRTCTN_PRVDR_ID AS PRTCTN_PRVDR_ID_SIMUL FROM BU_LOANTAPE_WORK.LT004_PROTECTION WHERE ref_date='${ref_date}' AND nome_perimetro='Individual Local' AND segmento='ESTR' AND ambito='PM' AND entidade='00100')Y</v>
      </c>
      <c r="K23" s="35" t="str">
        <f>+UPPER("ON X."&amp;VLOOKUP(B23,'0. Instruções'!$C$27:$G$32,4,FALSE)&amp;"=Y."&amp;VLOOKUP(B23,'0. Instruções'!$C$27:$G$32,4,FALSE)&amp;"_SIMUL")</f>
        <v>ON X.PRTCTN_ID=Y.PRTCTN_ID_SIMUL</v>
      </c>
      <c r="L23" s="35" t="str">
        <f>+IF(C23="Coerência", +IF(LEFT(G23,5)="FLOAT","SELECT '"&amp;UPPER(B23)&amp;"' AS TABELA, '"&amp;UPPER(C23)&amp;"' AS TIPOLOGIA_TESTE,'"&amp;D23&amp;"' AS TABELA_LT,'"&amp;E23&amp;"' AS TABELA_SIMUL,'"&amp;F23&amp;"' AS CAMPO, "&amp;"'${ref_date}' AS REF_DATE, COUNT(*) AS NUM_REG, SUM(IF((ABS(COALESCE(CAST(X."&amp;F23&amp;" AS DECIMAL(18,6)),0)-COALESCE(CAST(Y."&amp;F23&amp;"_SIMUL AS DECIMAL(18,6)),0))&gt;0.000001) OR (X."&amp;F23&amp;" IS NULL AND Y."&amp;F23&amp;"_SIMUL IS NOT NULL ) OR (X."&amp;F23&amp;" IS NOT NULL AND Y."&amp;F23&amp;"_SIMUL IS NULL),1,0)) AS NUM_REG_DIF,'"&amp;MAX('ID1&amp;5'!K:K)+1&amp;"' AS ID_EXEC, CURRENT_TIMESTAMP() AS TIME_EXEC FROM "&amp;I23&amp;" INNER JOIN "&amp;J23&amp;" "&amp;K23,"SELECT '"&amp;UPPER(B23)&amp;"' AS TABELA, '"&amp;UPPER(C23)&amp;"' AS TIPOLOGIA_TESTE,'"&amp;D23&amp;"' AS TABELA_LT,'"&amp;E23&amp;"' AS TABELA_SIMUL,'"&amp;F23&amp;"' AS CAMPO, "&amp;"'${ref_date}' AS REF_DATE, COUNT(*) AS NUM_REG, SUM(IF(COALESCE(CAST(X."&amp;F23&amp;" AS STRING),'')&lt;&gt;COALESCE(CAST(Y."&amp;F23&amp;"_SIMUL AS STRING),'') OR (X."&amp;F23&amp;" IS NULL AND Y."&amp;F23&amp;"_SIMUL IS NOT NULL ) OR (X."&amp;F23&amp;" IS NOT NULL AND Y."&amp;F23&amp;"_SIMUL IS NULL),1,0)) AS NUM_REG_DIF,'"&amp;MAX('ID1&amp;5'!L:L)+1&amp;"' AS ID_EXEC, CURRENT_TIMESTAMP() AS TIME_EXEC FROM "&amp;I23&amp;" INNER JOIN "&amp;J23&amp;" "&amp;K23),
IF(C23="Validade",+IF(G23="Code List","SELECT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 OR CAST(X."&amp;F23&amp;" AS STRING) NOT "&amp;H23&amp;",1,0)) AS NUM_REG_DIF,'"&amp;MAX('ID1&amp;5'!K:K)+1&amp;"' AS ID_EXEC, CURRENT_TIMESTAMP() AS TIME_EXEC FROM "&amp;I23,"SELECT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NULL,1,0)) AS NUM_REG_DIF,'"&amp;MAX('ID1&amp;5'!K:K)+1&amp;"' AS ID_EXEC, CURRENT_TIMESTAMP() AS TIME_EXEC FROM "&amp;I23),
IF(C23="Caracteres Especiais",+"SELECT '"&amp;UPPER(B23)&amp;"' AS TABELA, '"&amp;UPPER(C23)&amp;"' AS TIPOLOGIA_TESTE,'"&amp;D23&amp;"' AS TABELA_LT,'N/A' AS TABELA_SIMUL,'"&amp;F23&amp;"' AS CAMPO, "&amp;"'${ref_date}' AS REF_DATE, COUNT(*) AS NUM_REG, SUM(IF(REGEXP_REPLACE(TRIM(CAST(X."&amp;F23&amp;" AS STRING)),'[^a-zA-Z0-9_\\s]','') &lt;&gt;TRIM(CAST(X."&amp;F23&amp;" AS STRING)),1,0)) AS NUM_REG_DIF,'"&amp;MAX('ID1&amp;5'!K:K)+1&amp;"' AS ID_EXEC, CURRENT_TIMESTAMP() AS TIME_EXEC FROM "&amp;I23,
IF(C23="Missings",+"SELECT '"&amp;UPPER(B23)&amp;"' AS TABELA, '"&amp;UPPER(C23)&amp;"' AS TIPOLOGIA_TESTE,'"&amp;D23&amp;"' AS TABELA_LT,'N/A' AS TABELA_SIMUL,'"&amp;F23&amp;"' AS CAMPO, "&amp;"'${ref_date}' AS REF_DATE, COUNT(*) AS NUM_REG, SUM(IF(TRIM(CAST(X."&amp;F23&amp;" AS STRING)) IN ('0000-00-00','0001-01-01','9999-12-31','MISS','00000','99999999999','99999999999.00','99999999999.000000'),1,0)) AS NUM_REG_DIF,'"&amp;MAX('ID1&amp;5'!K:K)+1&amp;"' AS ID_EXEC, CURRENT_TIMESTAMP() AS TIME_EXEC FROM "&amp;I23,
IF(C23="Not applicable",+"SELECT '"&amp;UPPER(B23)&amp;"' AS TABELA, '"&amp;UPPER(C23)&amp;"' AS TIPOLOGIA_TESTE,'"&amp;D23&amp;"' AS TABELA_LT,'N/A' AS TABELA_SIMUL,'"&amp;F23&amp;"' AS CAMPO, "&amp;"'${ref_date}' AS REF_DATE, COUNT(*) AS NUM_REG, SUM(IF(TRIM(CAST(X."&amp;F23&amp;" AS STRING)) IN ('N/A','11111111111','11111111111.00','11111111111.000000','1111-11-11'),1,0)) AS NUM_REG_DIF,'"&amp;MAX('ID1&amp;5'!K:K)+1&amp;"' AS ID_EXEC, CURRENT_TIMESTAMP() AS TIME_EXEC FROM "&amp;I23,
IF(C23="Valores extremos",+"SELECT '"&amp;UPPER(B23)&amp;"' AS TABELA, '"&amp;UPPER(C23)&amp;"' AS TIPOLOGIA_TESTE,'"&amp;D23&amp;"' AS TABELA_LT,'N/A' AS TABELA_SIMUL,'"&amp;F23&amp;"' AS CAMPO, "&amp;"'${ref_date}' AS REF_DATE, CAST(MIN("&amp;F23&amp;") AS STRING) AS VALOR_MIN, CAST(MAX("&amp;F23&amp;") AS STRING) AS VALOR_MAX,'"&amp;MAX('ID1&amp;5'!K:K)+1&amp;"' AS ID_EXEC, CURRENT_TIMESTAMP() AS TIME_EXEC FROM "&amp;MID(I23,1,LEN(I23)-2)&amp;" AND CAST("&amp;F23&amp;"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TABELA_SIMUL,'PRTCTN_PRVDR_ID' AS CAMPO, '${ref_date}' AS REF_DATE, COUNT(*) AS NUM_REG, SUM(IF(COALESCE(CAST(X.PRTCTN_PRVDR_ID AS STRING),'')&lt;&gt;COALESCE(CAST(Y.PRTCTN_PRVDR_ID_SIMUL AS STRING),'') OR (X.PRTCTN_PRVDR_ID IS NULL AND Y.PRTCTN_PRVDR_ID_SIMUL IS NOT NULL ) OR (X.PRTCTN_PRVDR_ID IS NOT NULL AND Y.PRTCTN_PRVDR_ID_SIMUL IS NULL),1,0)) AS NUM_REG_DIF,'1' AS ID_EXEC, CURRENT_TIMESTAMP() AS TIME_EXEC FROM (SELECT prtctn_id, PRTCTN_PRVDR_ID FROM CD_LOAN_TAPES_BCE.LT004_PROTECTION WHERE ref_date='${ref_date}' AND nome_perimetro='Individual Local' AND segmento='ESTR' AND ambito='SRB_MBDT' AND entidade='00100')X INNER JOIN (SELECT prtctn_id AS prtctn_id_SIMUL, PRTCTN_PRVDR_ID AS PRTCTN_PRVDR_ID_SIMUL FROM BU_LOANTAPE_WORK.LT004_PROTECTION WHERE ref_date='${ref_date}' AND nome_perimetro='Individual Local' AND segmento='ESTR' AND ambito='PM' AND entidade='00100')Y ON X.PRTCTN_ID=Y.PRTCTN_ID_SIMUL</v>
      </c>
      <c r="M23" s="36" t="str">
        <f t="shared" si="1"/>
        <v>UNION ALL SELECT 'PROTECTION' AS TABELA, 'COERÊNCIA' AS TIPOLOGIA_TESTE,'CD_LOAN_TAPES_BCE.LT004_PROTECTION' AS TABELA_LT,'BU_LOANTAPE_WORK.LT004_PROTECTION' AS TABELA_SIMUL,'PRTCTN_PRVDR_ID' AS CAMPO, '${ref_date}' AS REF_DATE, COUNT(*) AS NUM_REG, SUM(IF(COALESCE(CAST(X.PRTCTN_PRVDR_ID AS STRING),'')&lt;&gt;COALESCE(CAST(Y.PRTCTN_PRVDR_ID_SIMUL AS STRING),'') OR (X.PRTCTN_PRVDR_ID IS NULL AND Y.PRTCTN_PRVDR_ID_SIMUL IS NOT NULL ) OR (X.PRTCTN_PRVDR_ID IS NOT NULL AND Y.PRTCTN_PRVDR_ID_SIMUL IS NULL),1,0)) AS NUM_REG_DIF,'1' AS ID_EXEC, CURRENT_TIMESTAMP() AS TIME_EXEC FROM (SELECT prtctn_id, PRTCTN_PRVDR_ID FROM CD_LOAN_TAPES_BCE.LT004_PROTECTION WHERE ref_date='${ref_date}' AND nome_perimetro='Individual Local' AND segmento='ESTR' AND ambito='SRB_MBDT' AND entidade='00100')X INNER JOIN (SELECT prtctn_id AS prtctn_id_SIMUL, PRTCTN_PRVDR_ID AS PRTCTN_PRVDR_ID_SIMUL FROM BU_LOANTAPE_WORK.LT004_PROTECTION WHERE ref_date='${ref_date}' AND nome_perimetro='Individual Local' AND segmento='ESTR' AND ambito='PM' AND entidade='00100')Y ON X.PRTCTN_ID=Y.PRTCTN_ID_SIMUL</v>
      </c>
      <c r="N23" s="38" t="s">
        <v>36</v>
      </c>
    </row>
    <row r="24" spans="1:14" hidden="1">
      <c r="A24" s="60" t="str">
        <f t="shared" si="0"/>
        <v>INSTR_PROTECTIONPRTCTN_ALLCTD_VL</v>
      </c>
      <c r="B24" s="34" t="s">
        <v>305</v>
      </c>
      <c r="C24" s="34" t="s">
        <v>5</v>
      </c>
      <c r="D24" s="34" t="str">
        <f>+UPPER('0. Instruções'!$D$35&amp;"."&amp;VLOOKUP(B24,'0. Instruções'!$C$27:$D$32,2,FALSE))</f>
        <v>CD_LOAN_TAPES_BCE.LT006_INSTR_PROT</v>
      </c>
      <c r="E24" s="34" t="str">
        <f>+UPPER('0. Instruções'!$D$36&amp;"."&amp;VLOOKUP(B24,'0. Instruções'!$C$27:$E$32,3,FALSE))</f>
        <v>BU_LOANTAPE_WORK.LT006_INSTR_PROT</v>
      </c>
      <c r="F24" s="34" t="s">
        <v>545</v>
      </c>
      <c r="G24" s="34"/>
      <c r="H24" s="34"/>
      <c r="I24" s="34" t="str">
        <f>IF(VLOOKUP(B24,'0. Instruções'!$C$27:$G$32,5,FALSE)=0,
"(SELECT "&amp;VLOOKUP(B24,'0. Instruções'!$C$27:$G$32,4,FALSE)&amp;" AS CHAVE_IT, "&amp;F24&amp;" AS CAMPO_IT FROM "&amp;D24&amp;" WHERE "&amp;'0. Instruções'!$D$43&amp;")X",
"(SELECT "&amp;VLOOKUP(B24,'0. Instruções'!$C$27:$G$32,4,FALSE)&amp;" AS CHAVE_IT1, "&amp;VLOOKUP(B24,'0. Instruções'!$C$27:$G$32,5,FALSE)&amp;" AS CHAVE_IT2, "&amp;F24&amp;" AS CAMPO_IT FROM "&amp;D24&amp;" WHERE "&amp;'0. Instruções'!$D$43&amp;")X")</f>
        <v>(SELECT instrmnt_id AS CHAVE_IT1, prtctn_id AS CHAVE_IT2, PRTCTN_ALLCTD_VL AS CAMPO_IT FROM CD_LOAN_TAPES_BCE.LT006_INSTR_PROT WHERE ref_date='${ref_date}' AND nome_perimetro='Individual Local' AND segmento='ESTR' AND ambito='PM' AND entidade='00100')X</v>
      </c>
      <c r="J24" s="34" t="str">
        <f>IF(VLOOKUP(B24,'0. Instruções'!$C$27:$G$32,5,FALSE)=0,
"(SELECT "&amp;VLOOKUP(B24,'0. Instruções'!$C$27:$G$32,4,FALSE)&amp;" AS CHAVE_SIMUL, "&amp;F24&amp;" AS CAMPO_SIMUL FROM "&amp;E24&amp;" WHERE "&amp;'0. Instruções'!$D$42&amp;")Y",
"(SELECT "&amp;VLOOKUP(B24,'0. Instruções'!$C$27:$G$32,4,FALSE)&amp;" AS CHAVE_SIMUL1, "&amp;VLOOKUP(B24,'0. Instruções'!$C$27:$G$32,5,FALSE)&amp;" AS CHAVE_SIMUL2, "&amp;F24&amp;" AS CAMPO_SIMUL FROM "&amp;E24&amp;" WHERE "&amp;'0. Instruções'!$D$42&amp;")Y")</f>
        <v>(SELECT instrmnt_id AS CHAVE_SIMUL1, prtctn_id AS CHAVE_SIMUL2, PRTCTN_ALLCTD_VL AS CAMPO_SIMUL FROM BU_LOANTAPE_WORK.LT006_INSTR_PROT WHERE ref_date='${ref_date}' AND nome_perimetro='Individual Local' AND segmento='ESTR' AND ambito='SRB_MBDT' AND entidade='00100')Y</v>
      </c>
      <c r="K24" s="34" t="str">
        <f>IF(VLOOKUP(B24,'0. Instruções'!$C$27:$G$32,5,FALSE)=0,
"ON X.CHAVE_IT=Y.CHAVE_SIMUL",
"ON X.CHAVE_IT1=Y.CHAVE_SIMUL1 AND X.CHAVE_IT2=Y.CHAVE_SIMUL2")</f>
        <v>ON X.CHAVE_IT1=Y.CHAVE_SIMUL1 AND X.CHAVE_IT2=Y.CHAVE_SIMUL2</v>
      </c>
      <c r="L24" s="34" t="str">
        <f>+IF(C24="Coerência",+IF(LEFT(G24,5)="FLOAT","SELECT '"&amp;UPPER(B24)&amp;"' AS TABELA, '"&amp;UPPER(C24)&amp;"' AS TIPOLOGIA_TESTE,'"&amp;D24&amp;"' AS TABELA_LT,'"&amp;E24&amp;"' AS TABELA_SIMUL,'"&amp;F24&amp;"'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NUM_REG_DIF,'")&amp;MAX('ID1&amp;5'!K:K)+1&amp;"' AS ID_EXEC, CURRENT_TIMESTAMP() AS TIME_EXEC FROM "&amp;I24&amp;" INNER JOIN "&amp;J24&amp;" "&amp;K24,"SELECT '"&amp;UPPER(B24)&amp;"' AS TABELA, '"&amp;UPPER(C24)&amp;"' AS TIPOLOGIA_TESTE,'"&amp;D24&amp;"' AS TABELA_LT,'"&amp;E24&amp;"' AS TABELA_SIMUL,'"&amp;F24&amp;"'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NUM_REG_DIF,'")&amp;MAX('ID1&amp;5'!L:L)+1&amp;"' AS ID_EXEC, CURRENT_TIMESTAMP() AS TIME_EXEC FROM "&amp;I24&amp;" INNER JOIN "&amp;J24&amp;" "&amp;K24))</f>
        <v>SELECT 'INSTR_PROTECTION' AS TABELA, 'COERÊNCIA' AS TIPOLOGIA_TESTE,'CD_LOAN_TAPES_BCE.LT006_INSTR_PROT' AS TABELA_LT,'BU_LOANTAPE_WORK.LT006_INSTR_PROT' AS TABELA_SIMUL,'PRTCTN_ALLCTD_VL'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PRTCTN_ALLCTD_VL AS CAMPO_IT FROM CD_LOAN_TAPES_BCE.LT006_INSTR_PROT WHERE ref_date='${ref_date}' AND nome_perimetro='Individual Local' AND segmento='ESTR' AND ambito='PM' AND entidade='00100')X INNER JOIN (SELECT instrmnt_id AS CHAVE_SIMUL1, prtctn_id AS CHAVE_SIMUL2, PRTCTN_ALLCTD_VL AS CAMPO_SIMUL FROM BU_LOANTAPE_WORK.LT006_INSTR_PROT WHERE ref_date='${ref_date}' AND nome_perimetro='Individual Local' AND segmento='ESTR' AND ambito='SRB_MBDT' AND entidade='00100')Y ON X.CHAVE_IT1=Y.CHAVE_SIMUL1 AND X.CHAVE_IT2=Y.CHAVE_SIMUL2</v>
      </c>
      <c r="M24" s="36" t="str">
        <f>+"UNION ALL "&amp;L24</f>
        <v>UNION ALL SELECT 'INSTR_PROTECTION' AS TABELA, 'COERÊNCIA' AS TIPOLOGIA_TESTE,'CD_LOAN_TAPES_BCE.LT006_INSTR_PROT' AS TABELA_LT,'BU_LOANTAPE_WORK.LT006_INSTR_PROT' AS TABELA_SIMUL,'PRTCTN_ALLCTD_VL'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PRTCTN_ALLCTD_VL AS CAMPO_IT FROM CD_LOAN_TAPES_BCE.LT006_INSTR_PROT WHERE ref_date='${ref_date}' AND nome_perimetro='Individual Local' AND segmento='ESTR' AND ambito='PM' AND entidade='00100')X INNER JOIN (SELECT instrmnt_id AS CHAVE_SIMUL1, prtctn_id AS CHAVE_SIMUL2, PRTCTN_ALLCTD_VL AS CAMPO_SIMUL FROM BU_LOANTAPE_WORK.LT006_INSTR_PROT WHERE ref_date='${ref_date}' AND nome_perimetro='Individual Local' AND segmento='ESTR' AND ambito='SRB_MBDT' AND entidade='00100')Y ON X.CHAVE_IT1=Y.CHAVE_SIMUL1 AND X.CHAVE_IT2=Y.CHAVE_SIMUL2</v>
      </c>
      <c r="N24" s="38" t="s">
        <v>36</v>
      </c>
    </row>
    <row r="25" spans="1:14" hidden="1">
      <c r="A25" s="60" t="str">
        <f t="shared" si="0"/>
        <v>UNIV_OPERFLAG_GAR_INTRG_SAN</v>
      </c>
      <c r="B25" s="34" t="s">
        <v>1080</v>
      </c>
      <c r="C25" s="34" t="s">
        <v>5</v>
      </c>
      <c r="D25" s="34" t="str">
        <f>+UPPER('0. Instruções'!$D$35&amp;"."&amp;VLOOKUP(B25,'0. Instruções'!$C$27:$D$32,2,FALSE))</f>
        <v>CD_LOAN_TAPES_BCE.LT001_UNIV_OPER</v>
      </c>
      <c r="E25" s="34" t="str">
        <f>+UPPER('0. Instruções'!$D$36&amp;"."&amp;VLOOKUP(B25,'0. Instruções'!$C$27:$E$32,3,FALSE))</f>
        <v>BU_LOANTAPE_WORK.LT001_UNIV_OPER</v>
      </c>
      <c r="F25" s="34" t="s">
        <v>1576</v>
      </c>
      <c r="G25" s="34"/>
      <c r="H25" s="34"/>
      <c r="I25" s="34" t="str">
        <f>IF(VLOOKUP(B25,'0. Instruções'!$C$27:$G$32,5,FALSE)=0,
"(SELECT "&amp;VLOOKUP(B25,'0. Instruções'!$C$27:$G$32,4,FALSE)&amp;" AS CHAVE_IT, "&amp;F25&amp;" AS CAMPO_IT FROM "&amp;D25&amp;" WHERE "&amp;'0. Instruções'!$D$43&amp;")X",
"(SELECT "&amp;VLOOKUP(B25,'0. Instruções'!$C$27:$G$32,4,FALSE)&amp;" AS CHAVE_IT1, "&amp;VLOOKUP(B25,'0. Instruções'!$C$27:$G$32,5,FALSE)&amp;" AS CHAVE_IT2, "&amp;F25&amp;" AS CAMPO_IT FROM "&amp;D25&amp;" WHERE "&amp;'0. Instruções'!$D$43&amp;")X")</f>
        <v>(SELECT concat(cempresa, cbalcao, cnumecta, zdeposit, ccontab_final_ifrs, ccontab_final_pcsb, ccontab_final_cargabal, ccontab_final) AS CHAVE_IT, FLAG_GAR_INTRG_SAN AS CAMPO_IT FROM CD_LOAN_TAPES_BCE.LT001_UNIV_OPER WHERE ref_date='${ref_date}' AND nome_perimetro='Individual Local' AND segmento='ESTR' AND ambito='PM' AND entidade='00100')X</v>
      </c>
      <c r="J25" s="34" t="str">
        <f>IF(VLOOKUP(B25,'0. Instruções'!$C$27:$G$32,5,FALSE)=0,
"(SELECT "&amp;VLOOKUP(B25,'0. Instruções'!$C$27:$G$32,4,FALSE)&amp;" AS CHAVE_SIMUL, "&amp;F25&amp;" AS CAMPO_SIMUL FROM "&amp;E25&amp;" WHERE "&amp;'0. Instruções'!$D$42&amp;")Y",
"(SELECT "&amp;VLOOKUP(B25,'0. Instruções'!$C$27:$G$32,4,FALSE)&amp;" AS CHAVE_SIMUL1, "&amp;VLOOKUP(B25,'0. Instruções'!$C$27:$G$32,5,FALSE)&amp;" AS CHAVE_SIMUL2, "&amp;F25&amp;" AS CAMPO_SIMUL FROM "&amp;E25&amp;" WHERE "&amp;'0. Instruções'!$D$42&amp;")Y")</f>
        <v>(SELECT concat(cempresa, cbalcao, cnumecta, zdeposit, ccontab_final_ifrs, ccontab_final_pcsb, ccontab_final_cargabal, ccontab_final) AS CHAVE_SIMUL, FLAG_GAR_INTRG_SAN AS CAMPO_SIMUL FROM BU_LOANTAPE_WORK.LT001_UNIV_OPER WHERE ref_date='${ref_date}' AND nome_perimetro='Individual Local' AND segmento='ESTR' AND ambito='SRB_MBDT' AND entidade='00100')Y</v>
      </c>
      <c r="K25" s="34" t="str">
        <f>IF(VLOOKUP(B25,'0. Instruções'!$C$27:$G$32,5,FALSE)=0,
"ON X.CHAVE_IT=Y.CHAVE_SIMUL",
"ON X.CHAVE_IT1=Y.CHAVE_SIMUL1 AND X.CHAVE_IT2=Y.CHAVE_SIMUL2")</f>
        <v>ON X.CHAVE_IT=Y.CHAVE_SIMUL</v>
      </c>
      <c r="L25" s="34" t="str">
        <f>+IF(C25="Coerência",+IF(LEFT(G25,5)="FLOAT","SELECT '"&amp;UPPER(B25)&amp;"' AS TABELA, '"&amp;UPPER(C25)&amp;"' AS TIPOLOGIA_TESTE,'"&amp;D25&amp;"' AS TABELA_LT,'"&amp;E25&amp;"' AS TABELA_SIMUL,'"&amp;F25&amp;"'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NUM_REG_DIF,'")&amp;MAX('ID1&amp;5'!K:K)+1&amp;"' AS ID_EXEC, CURRENT_TIMESTAMP() AS TIME_EXEC FROM "&amp;I25&amp;" INNER JOIN "&amp;J25&amp;" "&amp;K25,"SELECT '"&amp;UPPER(B25)&amp;"' AS TABELA, '"&amp;UPPER(C25)&amp;"' AS TIPOLOGIA_TESTE,'"&amp;D25&amp;"' AS TABELA_LT,'"&amp;E25&amp;"' AS TABELA_SIMUL,'"&amp;F25&amp;"'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NUM_REG_DIF,'")&amp;MAX('ID1&amp;5'!L:L)+1&amp;"' AS ID_EXEC, CURRENT_TIMESTAMP() AS TIME_EXEC FROM "&amp;I25&amp;" INNER JOIN "&amp;J25&amp;" "&amp;K25))</f>
        <v>SELECT 'UNIV_OPER' AS TABELA, 'COERÊNCIA' AS TIPOLOGIA_TESTE,'CD_LOAN_TAPES_BCE.LT001_UNIV_OPER' AS TABELA_LT,'BU_LOANTAPE_WORK.LT001_UNIV_OPER' AS TABELA_SIMUL,'FLAG_GAR_INTRG_SAN'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CHAVE_IT, FLAG_GAR_INTRG_SAN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CHAVE_SIMUL, FLAG_GAR_INTRG_SAN AS CAMPO_SIMUL FROM BU_LOANTAPE_WORK.LT001_UNIV_OPER WHERE ref_date='${ref_date}' AND nome_perimetro='Individual Local' AND segmento='ESTR' AND ambito='SRB_MBDT' AND entidade='00100')Y ON X.CHAVE_IT=Y.CHAVE_SIMUL</v>
      </c>
      <c r="M25" s="36" t="str">
        <f>+"UNION ALL "&amp;L25</f>
        <v>UNION ALL SELECT 'UNIV_OPER' AS TABELA, 'COERÊNCIA' AS TIPOLOGIA_TESTE,'CD_LOAN_TAPES_BCE.LT001_UNIV_OPER' AS TABELA_LT,'BU_LOANTAPE_WORK.LT001_UNIV_OPER' AS TABELA_SIMUL,'FLAG_GAR_INTRG_SAN'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CHAVE_IT, FLAG_GAR_INTRG_SAN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CHAVE_SIMUL, FLAG_GAR_INTRG_SAN AS CAMPO_SIMUL FROM BU_LOANTAPE_WORK.LT001_UNIV_OPER WHERE ref_date='${ref_date}' AND nome_perimetro='Individual Local' AND segmento='ESTR' AND ambito='SRB_MBDT' AND entidade='00100')Y ON X.CHAVE_IT=Y.CHAVE_SIMUL</v>
      </c>
      <c r="N25" s="38" t="s">
        <v>36</v>
      </c>
    </row>
    <row r="26" spans="1:14" hidden="1">
      <c r="A26" s="60" t="str">
        <f t="shared" si="0"/>
        <v>UNIV_OPERFLAG_INST_TITULOS</v>
      </c>
      <c r="B26" s="34" t="s">
        <v>1080</v>
      </c>
      <c r="C26" s="34" t="s">
        <v>5</v>
      </c>
      <c r="D26" s="34" t="str">
        <f>+UPPER('0. Instruções'!$D$35&amp;"."&amp;VLOOKUP(B26,'0. Instruções'!$C$27:$D$32,2,FALSE))</f>
        <v>CD_LOAN_TAPES_BCE.LT001_UNIV_OPER</v>
      </c>
      <c r="E26" s="34" t="str">
        <f>+UPPER('0. Instruções'!$D$36&amp;"."&amp;VLOOKUP(B26,'0. Instruções'!$C$27:$E$32,3,FALSE))</f>
        <v>BU_LOANTAPE_WORK.LT001_UNIV_OPER</v>
      </c>
      <c r="F26" s="34" t="s">
        <v>1579</v>
      </c>
      <c r="G26" s="34"/>
      <c r="H26" s="34"/>
      <c r="I26" s="34" t="str">
        <f>IF(VLOOKUP(B26,'0. Instruções'!$C$27:$G$32,5,FALSE)=0,
"(SELECT "&amp;VLOOKUP(B26,'0. Instruções'!$C$27:$G$32,4,FALSE)&amp;" AS CHAVE_IT, "&amp;F26&amp;" AS CAMPO_IT FROM "&amp;D26&amp;" WHERE "&amp;'0. Instruções'!$D$43&amp;")X",
"(SELECT "&amp;VLOOKUP(B26,'0. Instruções'!$C$27:$G$32,4,FALSE)&amp;" AS CHAVE_IT1, "&amp;VLOOKUP(B26,'0. Instruções'!$C$27:$G$32,5,FALSE)&amp;" AS CHAVE_IT2, "&amp;F26&amp;" AS CAMPO_IT FROM "&amp;D26&amp;" WHERE "&amp;'0. Instruções'!$D$43&amp;")X")</f>
        <v>(SELECT concat(cempresa, cbalcao, cnumecta, zdeposit, ccontab_final_ifrs, ccontab_final_pcsb, ccontab_final_cargabal, ccontab_final) AS CHAVE_IT, FLAG_INST_TITULOS AS CAMPO_IT FROM CD_LOAN_TAPES_BCE.LT001_UNIV_OPER WHERE ref_date='${ref_date}' AND nome_perimetro='Individual Local' AND segmento='ESTR' AND ambito='PM' AND entidade='00100')X</v>
      </c>
      <c r="J26" s="34" t="str">
        <f>IF(VLOOKUP(B26,'0. Instruções'!$C$27:$G$32,5,FALSE)=0,
"(SELECT "&amp;VLOOKUP(B26,'0. Instruções'!$C$27:$G$32,4,FALSE)&amp;" AS CHAVE_SIMUL, "&amp;F26&amp;" AS CAMPO_SIMUL FROM "&amp;E26&amp;" WHERE "&amp;'0. Instruções'!$D$42&amp;")Y",
"(SELECT "&amp;VLOOKUP(B26,'0. Instruções'!$C$27:$G$32,4,FALSE)&amp;" AS CHAVE_SIMUL1, "&amp;VLOOKUP(B26,'0. Instruções'!$C$27:$G$32,5,FALSE)&amp;" AS CHAVE_SIMUL2, "&amp;F26&amp;" AS CAMPO_SIMUL FROM "&amp;E26&amp;" WHERE "&amp;'0. Instruções'!$D$42&amp;")Y")</f>
        <v>(SELECT concat(cempresa, cbalcao, cnumecta, zdeposit, ccontab_final_ifrs, ccontab_final_pcsb, ccontab_final_cargabal, ccontab_final) AS CHAVE_SIMUL, FLAG_INST_TITULOS AS CAMPO_SIMUL FROM BU_LOANTAPE_WORK.LT001_UNIV_OPER WHERE ref_date='${ref_date}' AND nome_perimetro='Individual Local' AND segmento='ESTR' AND ambito='SRB_MBDT' AND entidade='00100')Y</v>
      </c>
      <c r="K26" s="34" t="str">
        <f>IF(VLOOKUP(B26,'0. Instruções'!$C$27:$G$32,5,FALSE)=0,
"ON X.CHAVE_IT=Y.CHAVE_SIMUL",
"ON X.CHAVE_IT1=Y.CHAVE_SIMUL1 AND X.CHAVE_IT2=Y.CHAVE_SIMUL2")</f>
        <v>ON X.CHAVE_IT=Y.CHAVE_SIMUL</v>
      </c>
      <c r="L26" s="34" t="str">
        <f>+IF(C26="Coerência",+IF(LEFT(G26,5)="FLOAT","SELECT '"&amp;UPPER(B26)&amp;"' AS TABELA, '"&amp;UPPER(C26)&amp;"' AS TIPOLOGIA_TESTE,'"&amp;D26&amp;"' AS TABELA_LT,'"&amp;E26&amp;"' AS TABELA_SIMUL,'"&amp;F26&amp;"'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NUM_REG_DIF,'")&amp;MAX('ID1&amp;5'!K:K)+1&amp;"' AS ID_EXEC, CURRENT_TIMESTAMP() AS TIME_EXEC FROM "&amp;I26&amp;" INNER JOIN "&amp;J26&amp;" "&amp;K26,"SELECT '"&amp;UPPER(B26)&amp;"' AS TABELA, '"&amp;UPPER(C26)&amp;"' AS TIPOLOGIA_TESTE,'"&amp;D26&amp;"' AS TABELA_LT,'"&amp;E26&amp;"' AS TABELA_SIMUL,'"&amp;F26&amp;"'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NUM_REG_DIF,'")&amp;MAX('ID1&amp;5'!L:L)+1&amp;"' AS ID_EXEC, CURRENT_TIMESTAMP() AS TIME_EXEC FROM "&amp;I26&amp;" INNER JOIN "&amp;J26&amp;" "&amp;K26))</f>
        <v>SELECT 'UNIV_OPER' AS TABELA, 'COERÊNCIA' AS TIPOLOGIA_TESTE,'CD_LOAN_TAPES_BCE.LT001_UNIV_OPER' AS TABELA_LT,'BU_LOANTAPE_WORK.LT001_UNIV_OPER' AS TABELA_SIMUL,'FLAG_INST_TITULOS'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CHAVE_IT, FLAG_INST_TITULOS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CHAVE_SIMUL, FLAG_INST_TITULOS AS CAMPO_SIMUL FROM BU_LOANTAPE_WORK.LT001_UNIV_OPER WHERE ref_date='${ref_date}' AND nome_perimetro='Individual Local' AND segmento='ESTR' AND ambito='SRB_MBDT' AND entidade='00100')Y ON X.CHAVE_IT=Y.CHAVE_SIMUL</v>
      </c>
      <c r="M26" s="36" t="str">
        <f>+"UNION ALL "&amp;L26</f>
        <v>UNION ALL SELECT 'UNIV_OPER' AS TABELA, 'COERÊNCIA' AS TIPOLOGIA_TESTE,'CD_LOAN_TAPES_BCE.LT001_UNIV_OPER' AS TABELA_LT,'BU_LOANTAPE_WORK.LT001_UNIV_OPER' AS TABELA_SIMUL,'FLAG_INST_TITULOS'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CHAVE_IT, FLAG_INST_TITULOS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CHAVE_SIMUL, FLAG_INST_TITULOS AS CAMPO_SIMUL FROM BU_LOANTAPE_WORK.LT001_UNIV_OPER WHERE ref_date='${ref_date}' AND nome_perimetro='Individual Local' AND segmento='ESTR' AND ambito='SRB_MBDT' AND entidade='00100')Y ON X.CHAVE_IT=Y.CHAVE_SIMUL</v>
      </c>
      <c r="N26" s="38" t="s">
        <v>36</v>
      </c>
    </row>
    <row r="27" spans="1:14">
      <c r="A27" s="60" t="str">
        <f t="shared" si="0"/>
        <v>INSTRUMENTGRSS_CRRYNG_AMNT_INSTRMNT</v>
      </c>
      <c r="B27" s="34" t="s">
        <v>113</v>
      </c>
      <c r="C27" s="34" t="s">
        <v>5</v>
      </c>
      <c r="D27" s="34" t="str">
        <f>+UPPER('0. Instruções'!$D$35&amp;"."&amp;VLOOKUP(B27,'0. Instruções'!$C$27:$D$32,2,FALSE))</f>
        <v>CD_LOAN_TAPES_BCE.LT002_INSTRUMENT</v>
      </c>
      <c r="E27" s="34" t="str">
        <f>+UPPER('0. Instruções'!$D$36&amp;"."&amp;VLOOKUP(B27,'0. Instruções'!$C$27:$E$32,3,FALSE))</f>
        <v>BU_LOANTAPE_WORK.LT002_INSTRUMENT</v>
      </c>
      <c r="F27" s="111" t="s">
        <v>87</v>
      </c>
      <c r="G27" s="34"/>
      <c r="H27" s="34"/>
      <c r="I27" s="34" t="str">
        <f>"(SELECT "&amp;VLOOKUP(B27,'0. Instruções'!$C$27:$G$32,4,FALSE)&amp;", "&amp;F27&amp;" FROM "&amp;D27&amp;" WHERE "&amp;'0. Instruções'!$D$42&amp;")X"</f>
        <v>(SELECT instrmnt_id, GRSS_CRRYNG_AMNT_INSTRMNT FROM CD_LOAN_TAPES_BCE.LT002_INSTRUMENT WHERE ref_date='${ref_date}' AND nome_perimetro='Individual Local' AND segmento='ESTR' AND ambito='SRB_MBDT' AND entidade='00100')X</v>
      </c>
      <c r="J27" s="34" t="str">
        <f>"(SELECT "&amp;VLOOKUP(B27,'0. Instruções'!$C$27:$G$32,4,FALSE)&amp;" AS "&amp;VLOOKUP(B27,'0. Instruções'!$C$27:$G$32,4,FALSE)&amp;"_SIMUL, "&amp;F27&amp;" AS "&amp;F27&amp;"_SIMUL FROM "&amp;E27&amp;" WHERE "&amp;'0. Instruções'!$D$43&amp;")Y"</f>
        <v>(SELECT instrmnt_id AS instrmnt_id_SIMUL, GRSS_CRRYNG_AMNT_INSTRMNT AS GRSS_CRRYNG_AMNT_INSTRMNT_SIMUL FROM BU_LOANTAPE_WORK.LT002_INSTRUMENT WHERE ref_date='${ref_date}' AND nome_perimetro='Individual Local' AND segmento='ESTR' AND ambito='PM' AND entidade='00100')Y</v>
      </c>
      <c r="K27" s="35" t="str">
        <f>+UPPER("ON X."&amp;VLOOKUP(B27,'0. Instruções'!$C$27:$G$32,4,FALSE)&amp;"=Y."&amp;VLOOKUP(B27,'0. Instruções'!$C$27:$G$32,4,FALSE)&amp;"_SIMUL")</f>
        <v>ON X.INSTRMNT_ID=Y.INSTRMNT_ID_SIMUL</v>
      </c>
      <c r="L27" s="35" t="str">
        <f>+IF(C27="Coerência", +IF(LEFT(G27,5)="FLOAT","SELECT '"&amp;UPPER(B27)&amp;"' AS TABELA, '"&amp;UPPER(C27)&amp;"' AS TIPOLOGIA_TESTE,'"&amp;D27&amp;"' AS TABELA_LT,'"&amp;E27&amp;"' AS TABELA_SIMUL,'"&amp;F27&amp;"' AS CAMPO, "&amp;"'${ref_date}' AS REF_DATE, COUNT(*) AS NUM_REG, SUM(IF((ABS(COALESCE(CAST(X."&amp;F27&amp;" AS DECIMAL(18,6)),0)-COALESCE(CAST(Y."&amp;F27&amp;"_SIMUL AS DECIMAL(18,6)),0))&gt;0.000001) OR (X."&amp;F27&amp;" IS NULL AND Y."&amp;F27&amp;"_SIMUL IS NOT NULL ) OR (X."&amp;F27&amp;" IS NOT NULL AND Y."&amp;F27&amp;"_SIMUL IS NULL),1,0)) AS NUM_REG_DIF,'"&amp;MAX('ID1&amp;5'!K:K)+1&amp;"' AS ID_EXEC, CURRENT_TIMESTAMP() AS TIME_EXEC FROM "&amp;I27&amp;" INNER JOIN "&amp;J27&amp;" "&amp;K27,"SELECT '"&amp;UPPER(B27)&amp;"' AS TABELA, '"&amp;UPPER(C27)&amp;"' AS TIPOLOGIA_TESTE,'"&amp;D27&amp;"' AS TABELA_LT,'"&amp;E27&amp;"' AS TABELA_SIMUL,'"&amp;F27&amp;"' AS CAMPO, "&amp;"'${ref_date}' AS REF_DATE, COUNT(*) AS NUM_REG, SUM(IF(COALESCE(CAST(X."&amp;F27&amp;" AS STRING),'')&lt;&gt;COALESCE(CAST(Y."&amp;F27&amp;"_SIMUL AS STRING),'') OR (X."&amp;F27&amp;" IS NULL AND Y."&amp;F27&amp;"_SIMUL IS NOT NULL ) OR (X."&amp;F27&amp;" IS NOT NULL AND Y."&amp;F27&amp;"_SIMUL IS NULL),1,0)) AS NUM_REG_DIF,'"&amp;MAX('ID1&amp;5'!L:L)+1&amp;"' AS ID_EXEC, CURRENT_TIMESTAMP() AS TIME_EXEC FROM "&amp;I27&amp;" INNER JOIN "&amp;J27&amp;" "&amp;K27),
IF(C27="Validade",+IF(G27="Code List","SELECT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 OR CAST(X."&amp;F27&amp;" AS STRING) NOT "&amp;H27&amp;",1,0)) AS NUM_REG_DIF,'"&amp;MAX('ID1&amp;5'!K:K)+1&amp;"' AS ID_EXEC, CURRENT_TIMESTAMP() AS TIME_EXEC FROM "&amp;I27,"SELECT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NULL,1,0)) AS NUM_REG_DIF,'"&amp;MAX('ID1&amp;5'!K:K)+1&amp;"' AS ID_EXEC, CURRENT_TIMESTAMP() AS TIME_EXEC FROM "&amp;I27),
IF(C27="Caracteres Especiais",+"SELECT '"&amp;UPPER(B27)&amp;"' AS TABELA, '"&amp;UPPER(C27)&amp;"' AS TIPOLOGIA_TESTE,'"&amp;D27&amp;"' AS TABELA_LT,'N/A' AS TABELA_SIMUL,'"&amp;F27&amp;"' AS CAMPO, "&amp;"'${ref_date}' AS REF_DATE, COUNT(*) AS NUM_REG, SUM(IF(REGEXP_REPLACE(TRIM(CAST(X."&amp;F27&amp;" AS STRING)),'[^a-zA-Z0-9_\\s]','') &lt;&gt;TRIM(CAST(X."&amp;F27&amp;" AS STRING)),1,0)) AS NUM_REG_DIF,'"&amp;MAX('ID1&amp;5'!K:K)+1&amp;"' AS ID_EXEC, CURRENT_TIMESTAMP() AS TIME_EXEC FROM "&amp;I27,
IF(C27="Missings",+"SELECT '"&amp;UPPER(B27)&amp;"' AS TABELA, '"&amp;UPPER(C27)&amp;"' AS TIPOLOGIA_TESTE,'"&amp;D27&amp;"' AS TABELA_LT,'N/A' AS TABELA_SIMUL,'"&amp;F27&amp;"' AS CAMPO, "&amp;"'${ref_date}' AS REF_DATE, COUNT(*) AS NUM_REG, SUM(IF(TRIM(CAST(X."&amp;F27&amp;" AS STRING)) IN ('0000-00-00','0001-01-01','9999-12-31','MISS','00000','99999999999','99999999999.00','99999999999.000000'),1,0)) AS NUM_REG_DIF,'"&amp;MAX('ID1&amp;5'!K:K)+1&amp;"' AS ID_EXEC, CURRENT_TIMESTAMP() AS TIME_EXEC FROM "&amp;I27,
IF(C27="Not applicable",+"SELECT '"&amp;UPPER(B27)&amp;"' AS TABELA, '"&amp;UPPER(C27)&amp;"' AS TIPOLOGIA_TESTE,'"&amp;D27&amp;"' AS TABELA_LT,'N/A' AS TABELA_SIMUL,'"&amp;F27&amp;"' AS CAMPO, "&amp;"'${ref_date}' AS REF_DATE, COUNT(*) AS NUM_REG, SUM(IF(TRIM(CAST(X."&amp;F27&amp;" AS STRING)) IN ('N/A','11111111111','11111111111.00','11111111111.000000','1111-11-11'),1,0)) AS NUM_REG_DIF,'"&amp;MAX('ID1&amp;5'!K:K)+1&amp;"' AS ID_EXEC, CURRENT_TIMESTAMP() AS TIME_EXEC FROM "&amp;I27,
IF(C27="Valores extremos",+"SELECT '"&amp;UPPER(B27)&amp;"' AS TABELA, '"&amp;UPPER(C27)&amp;"' AS TIPOLOGIA_TESTE,'"&amp;D27&amp;"' AS TABELA_LT,'N/A' AS TABELA_SIMUL,'"&amp;F27&amp;"' AS CAMPO, "&amp;"'${ref_date}' AS REF_DATE, CAST(MIN("&amp;F27&amp;") AS STRING) AS VALOR_MIN, CAST(MAX("&amp;F27&amp;") AS STRING) AS VALOR_MAX,'"&amp;MAX('ID1&amp;5'!K:K)+1&amp;"' AS ID_EXEC, CURRENT_TIMESTAMP() AS TIME_EXEC FROM "&amp;MID(I27,1,LEN(I27)-2)&amp;" AND CAST("&amp;F27&amp;"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TABELA_SIMUL,'GRSS_CRRYNG_AMNT_INSTRMNT' AS CAMPO, '${ref_date}' AS REF_DATE, COUNT(*) AS NUM_REG, SUM(IF(COALESCE(CAST(X.GRSS_CRRYNG_AMNT_INSTRMNT AS STRING),'')&lt;&gt;COALESCE(CAST(Y.GRSS_CRRYNG_AMNT_INSTRMNT_SIMUL AS STRING),'') OR (X.GRSS_CRRYNG_AMNT_INSTRMNT IS NULL AND Y.GRSS_CRRYNG_AMNT_INSTRMNT_SIMUL IS NOT NULL ) OR (X.GRSS_CRRYNG_AMNT_INSTRMNT IS NOT NULL AND Y.GRSS_CRRYNG_AMNT_INSTRMNT_SIMUL IS NULL),1,0)) AS NUM_REG_DIF,'1' AS ID_EXEC, CURRENT_TIMESTAMP() AS TIME_EXEC FROM (SELECT instrmnt_id, GRSS_CRRYNG_AMNT_INSTRMNT FROM CD_LOAN_TAPES_BCE.LT002_INSTRUMENT WHERE ref_date='${ref_date}' AND nome_perimetro='Individual Local' AND segmento='ESTR' AND ambito='SRB_MBDT' AND entidade='00100')X INNER JOIN (SELECT instrmnt_id AS instrmnt_id_SIMUL, GRSS_CRRYNG_AMNT_INSTRMNT AS GRSS_CRRYNG_AMNT_INSTRMNT_SIMUL FROM BU_LOANTAPE_WORK.LT002_INSTRUMENT WHERE ref_date='${ref_date}' AND nome_perimetro='Individual Local' AND segmento='ESTR' AND ambito='PM' AND entidade='00100')Y ON X.INSTRMNT_ID=Y.INSTRMNT_ID_SIMUL</v>
      </c>
      <c r="M27" s="36" t="str">
        <f t="shared" ref="M27:M28" si="2">+"UNION ALL "&amp;L27</f>
        <v>UNION ALL SELECT 'INSTRUMENT' AS TABELA, 'COERÊNCIA' AS TIPOLOGIA_TESTE,'CD_LOAN_TAPES_BCE.LT002_INSTRUMENT' AS TABELA_LT,'BU_LOANTAPE_WORK.LT002_INSTRUMENT' AS TABELA_SIMUL,'GRSS_CRRYNG_AMNT_INSTRMNT' AS CAMPO, '${ref_date}' AS REF_DATE, COUNT(*) AS NUM_REG, SUM(IF(COALESCE(CAST(X.GRSS_CRRYNG_AMNT_INSTRMNT AS STRING),'')&lt;&gt;COALESCE(CAST(Y.GRSS_CRRYNG_AMNT_INSTRMNT_SIMUL AS STRING),'') OR (X.GRSS_CRRYNG_AMNT_INSTRMNT IS NULL AND Y.GRSS_CRRYNG_AMNT_INSTRMNT_SIMUL IS NOT NULL ) OR (X.GRSS_CRRYNG_AMNT_INSTRMNT IS NOT NULL AND Y.GRSS_CRRYNG_AMNT_INSTRMNT_SIMUL IS NULL),1,0)) AS NUM_REG_DIF,'1' AS ID_EXEC, CURRENT_TIMESTAMP() AS TIME_EXEC FROM (SELECT instrmnt_id, GRSS_CRRYNG_AMNT_INSTRMNT FROM CD_LOAN_TAPES_BCE.LT002_INSTRUMENT WHERE ref_date='${ref_date}' AND nome_perimetro='Individual Local' AND segmento='ESTR' AND ambito='SRB_MBDT' AND entidade='00100')X INNER JOIN (SELECT instrmnt_id AS instrmnt_id_SIMUL, GRSS_CRRYNG_AMNT_INSTRMNT AS GRSS_CRRYNG_AMNT_INSTRMNT_SIMUL FROM BU_LOANTAPE_WORK.LT002_INSTRUMENT WHERE ref_date='${ref_date}' AND nome_perimetro='Individual Local' AND segmento='ESTR' AND ambito='PM' AND entidade='00100')Y ON X.INSTRMNT_ID=Y.INSTRMNT_ID_SIMUL</v>
      </c>
      <c r="N27" s="38" t="s">
        <v>36</v>
      </c>
    </row>
    <row r="28" spans="1:14">
      <c r="A28" s="60" t="str">
        <f t="shared" si="0"/>
        <v>INSTRUMENTINTRNL_RTNG</v>
      </c>
      <c r="B28" s="34" t="s">
        <v>113</v>
      </c>
      <c r="C28" s="34" t="s">
        <v>5</v>
      </c>
      <c r="D28" s="34" t="str">
        <f>+UPPER('0. Instruções'!$D$35&amp;"."&amp;VLOOKUP(B28,'0. Instruções'!$C$27:$D$32,2,FALSE))</f>
        <v>CD_LOAN_TAPES_BCE.LT002_INSTRUMENT</v>
      </c>
      <c r="E28" s="34" t="str">
        <f>+UPPER('0. Instruções'!$D$36&amp;"."&amp;VLOOKUP(B28,'0. Instruções'!$C$27:$E$32,3,FALSE))</f>
        <v>BU_LOANTAPE_WORK.LT002_INSTRUMENT</v>
      </c>
      <c r="F28" s="111" t="s">
        <v>339</v>
      </c>
      <c r="G28" s="34"/>
      <c r="H28" s="34"/>
      <c r="I28" s="34" t="str">
        <f>"(SELECT "&amp;VLOOKUP(B28,'0. Instruções'!$C$27:$G$32,4,FALSE)&amp;", "&amp;F28&amp;" FROM "&amp;D28&amp;" WHERE "&amp;'0. Instruções'!$D$42&amp;")X"</f>
        <v>(SELECT instrmnt_id, INTRNL_RTNG FROM CD_LOAN_TAPES_BCE.LT002_INSTRUMENT WHERE ref_date='${ref_date}' AND nome_perimetro='Individual Local' AND segmento='ESTR' AND ambito='SRB_MBDT' AND entidade='00100')X</v>
      </c>
      <c r="J28" s="34" t="str">
        <f>"(SELECT "&amp;VLOOKUP(B28,'0. Instruções'!$C$27:$G$32,4,FALSE)&amp;" AS "&amp;VLOOKUP(B28,'0. Instruções'!$C$27:$G$32,4,FALSE)&amp;"_SIMUL, "&amp;F28&amp;" AS "&amp;F28&amp;"_SIMUL FROM "&amp;E28&amp;" WHERE "&amp;'0. Instruções'!$D$43&amp;")Y"</f>
        <v>(SELECT instrmnt_id AS instrmnt_id_SIMUL, INTRNL_RTNG AS INTRNL_RTNG_SIMUL FROM BU_LOANTAPE_WORK.LT002_INSTRUMENT WHERE ref_date='${ref_date}' AND nome_perimetro='Individual Local' AND segmento='ESTR' AND ambito='PM' AND entidade='00100')Y</v>
      </c>
      <c r="K28" s="35" t="str">
        <f>+UPPER("ON X."&amp;VLOOKUP(B28,'0. Instruções'!$C$27:$G$32,4,FALSE)&amp;"=Y."&amp;VLOOKUP(B28,'0. Instruções'!$C$27:$G$32,4,FALSE)&amp;"_SIMUL")</f>
        <v>ON X.INSTRMNT_ID=Y.INSTRMNT_ID_SIMUL</v>
      </c>
      <c r="L28" s="35" t="str">
        <f>+IF(C28="Coerência", +IF(LEFT(G28,5)="FLOAT","SELECT '"&amp;UPPER(B28)&amp;"' AS TABELA, '"&amp;UPPER(C28)&amp;"' AS TIPOLOGIA_TESTE,'"&amp;D28&amp;"' AS TABELA_LT,'"&amp;E28&amp;"' AS TABELA_SIMUL,'"&amp;F28&amp;"' AS CAMPO, "&amp;"'${ref_date}' AS REF_DATE, COUNT(*) AS NUM_REG, SUM(IF((ABS(COALESCE(CAST(X."&amp;F28&amp;" AS DECIMAL(18,6)),0)-COALESCE(CAST(Y."&amp;F28&amp;"_SIMUL AS DECIMAL(18,6)),0))&gt;0.000001) OR (X."&amp;F28&amp;" IS NULL AND Y."&amp;F28&amp;"_SIMUL IS NOT NULL ) OR (X."&amp;F28&amp;" IS NOT NULL AND Y."&amp;F28&amp;"_SIMUL IS NULL),1,0)) AS NUM_REG_DIF,'"&amp;MAX('ID1&amp;5'!K:K)+1&amp;"' AS ID_EXEC, CURRENT_TIMESTAMP() AS TIME_EXEC FROM "&amp;I28&amp;" INNER JOIN "&amp;J28&amp;" "&amp;K28,"SELECT '"&amp;UPPER(B28)&amp;"' AS TABELA, '"&amp;UPPER(C28)&amp;"' AS TIPOLOGIA_TESTE,'"&amp;D28&amp;"' AS TABELA_LT,'"&amp;E28&amp;"' AS TABELA_SIMUL,'"&amp;F28&amp;"' AS CAMPO, "&amp;"'${ref_date}' AS REF_DATE, COUNT(*) AS NUM_REG, SUM(IF(COALESCE(CAST(X."&amp;F28&amp;" AS STRING),'')&lt;&gt;COALESCE(CAST(Y."&amp;F28&amp;"_SIMUL AS STRING),'') OR (X."&amp;F28&amp;" IS NULL AND Y."&amp;F28&amp;"_SIMUL IS NOT NULL ) OR (X."&amp;F28&amp;" IS NOT NULL AND Y."&amp;F28&amp;"_SIMUL IS NULL),1,0)) AS NUM_REG_DIF,'"&amp;MAX('ID1&amp;5'!L:L)+1&amp;"' AS ID_EXEC, CURRENT_TIMESTAMP() AS TIME_EXEC FROM "&amp;I28&amp;" INNER JOIN "&amp;J28&amp;" "&amp;K28),
IF(C28="Validade",+IF(G28="Code List","SELECT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 OR CAST(X."&amp;F28&amp;" AS STRING) NOT "&amp;H28&amp;",1,0)) AS NUM_REG_DIF,'"&amp;MAX('ID1&amp;5'!K:K)+1&amp;"' AS ID_EXEC, CURRENT_TIMESTAMP() AS TIME_EXEC FROM "&amp;I28,"SELECT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NULL,1,0)) AS NUM_REG_DIF,'"&amp;MAX('ID1&amp;5'!K:K)+1&amp;"' AS ID_EXEC, CURRENT_TIMESTAMP() AS TIME_EXEC FROM "&amp;I28),
IF(C28="Caracteres Especiais",+"SELECT '"&amp;UPPER(B28)&amp;"' AS TABELA, '"&amp;UPPER(C28)&amp;"' AS TIPOLOGIA_TESTE,'"&amp;D28&amp;"' AS TABELA_LT,'N/A' AS TABELA_SIMUL,'"&amp;F28&amp;"' AS CAMPO, "&amp;"'${ref_date}' AS REF_DATE, COUNT(*) AS NUM_REG, SUM(IF(REGEXP_REPLACE(TRIM(CAST(X."&amp;F28&amp;" AS STRING)),'[^a-zA-Z0-9_\\s]','') &lt;&gt;TRIM(CAST(X."&amp;F28&amp;" AS STRING)),1,0)) AS NUM_REG_DIF,'"&amp;MAX('ID1&amp;5'!K:K)+1&amp;"' AS ID_EXEC, CURRENT_TIMESTAMP() AS TIME_EXEC FROM "&amp;I28,
IF(C28="Missings",+"SELECT '"&amp;UPPER(B28)&amp;"' AS TABELA, '"&amp;UPPER(C28)&amp;"' AS TIPOLOGIA_TESTE,'"&amp;D28&amp;"' AS TABELA_LT,'N/A' AS TABELA_SIMUL,'"&amp;F28&amp;"' AS CAMPO, "&amp;"'${ref_date}' AS REF_DATE, COUNT(*) AS NUM_REG, SUM(IF(TRIM(CAST(X."&amp;F28&amp;" AS STRING)) IN ('0000-00-00','0001-01-01','9999-12-31','MISS','00000','99999999999','99999999999.00','99999999999.000000'),1,0)) AS NUM_REG_DIF,'"&amp;MAX('ID1&amp;5'!K:K)+1&amp;"' AS ID_EXEC, CURRENT_TIMESTAMP() AS TIME_EXEC FROM "&amp;I28,
IF(C28="Not applicable",+"SELECT '"&amp;UPPER(B28)&amp;"' AS TABELA, '"&amp;UPPER(C28)&amp;"' AS TIPOLOGIA_TESTE,'"&amp;D28&amp;"' AS TABELA_LT,'N/A' AS TABELA_SIMUL,'"&amp;F28&amp;"' AS CAMPO, "&amp;"'${ref_date}' AS REF_DATE, COUNT(*) AS NUM_REG, SUM(IF(TRIM(CAST(X."&amp;F28&amp;" AS STRING)) IN ('N/A','11111111111','11111111111.00','11111111111.000000','1111-11-11'),1,0)) AS NUM_REG_DIF,'"&amp;MAX('ID1&amp;5'!K:K)+1&amp;"' AS ID_EXEC, CURRENT_TIMESTAMP() AS TIME_EXEC FROM "&amp;I28,
IF(C28="Valores extremos",+"SELECT '"&amp;UPPER(B28)&amp;"' AS TABELA, '"&amp;UPPER(C28)&amp;"' AS TIPOLOGIA_TESTE,'"&amp;D28&amp;"' AS TABELA_LT,'N/A' AS TABELA_SIMUL,'"&amp;F28&amp;"' AS CAMPO, "&amp;"'${ref_date}' AS REF_DATE, CAST(MIN("&amp;F28&amp;") AS STRING) AS VALOR_MIN, CAST(MAX("&amp;F28&amp;") AS STRING) AS VALOR_MAX,'"&amp;MAX('ID1&amp;5'!K:K)+1&amp;"' AS ID_EXEC, CURRENT_TIMESTAMP() AS TIME_EXEC FROM "&amp;MID(I28,1,LEN(I28)-2)&amp;" AND CAST("&amp;F28&amp;"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instrmnt_id, INTRNL_RTNG FROM CD_LOAN_TAPES_BCE.LT002_INSTRUMENT WHERE ref_date='${ref_date}' AND nome_perimetro='Individual Local' AND segmento='ESTR' AND ambito='SRB_MBDT' AND entidade='00100')X INNER JOIN (SELECT instrmnt_id AS instrmnt_id_SIMUL, INTRNL_RTNG AS INTRNL_RTNG_SIMUL FROM BU_LOANTAPE_WORK.LT002_INSTRUMENT WHERE ref_date='${ref_date}' AND nome_perimetro='Individual Local' AND segmento='ESTR' AND ambito='PM' AND entidade='00100')Y ON X.INSTRMNT_ID=Y.INSTRMNT_ID_SIMUL</v>
      </c>
      <c r="M28" s="36" t="str">
        <f t="shared" si="2"/>
        <v>UNION ALL SELECT 'INSTRUMENT' AS TABELA, 'COERÊNCIA' AS TIPOLOGIA_TESTE,'CD_LOAN_TAPES_BCE.LT002_INSTRUMENT' AS TABELA_LT,'BU_LOANTAPE_WORK.LT002_INSTRUMENT'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instrmnt_id, INTRNL_RTNG FROM CD_LOAN_TAPES_BCE.LT002_INSTRUMENT WHERE ref_date='${ref_date}' AND nome_perimetro='Individual Local' AND segmento='ESTR' AND ambito='SRB_MBDT' AND entidade='00100')X INNER JOIN (SELECT instrmnt_id AS instrmnt_id_SIMUL, INTRNL_RTNG AS INTRNL_RTNG_SIMUL FROM BU_LOANTAPE_WORK.LT002_INSTRUMENT WHERE ref_date='${ref_date}' AND nome_perimetro='Individual Local' AND segmento='ESTR' AND ambito='PM' AND entidade='00100')Y ON X.INSTRMNT_ID=Y.INSTRMNT_ID_SIMUL</v>
      </c>
      <c r="N28" s="38" t="s">
        <v>36</v>
      </c>
    </row>
    <row r="29" spans="1:14">
      <c r="A29" s="60" t="str">
        <f t="shared" si="0"/>
        <v>INSTRUMENTOTSTNDNG_NMNL_AMNT_INSTRMNT</v>
      </c>
      <c r="B29" s="34" t="s">
        <v>113</v>
      </c>
      <c r="C29" s="34" t="s">
        <v>5</v>
      </c>
      <c r="D29" s="34" t="str">
        <f>+UPPER('0. Instruções'!$D$35&amp;"."&amp;VLOOKUP(B29,'0. Instruções'!$C$27:$D$32,2,FALSE))</f>
        <v>CD_LOAN_TAPES_BCE.LT002_INSTRUMENT</v>
      </c>
      <c r="E29" s="34" t="str">
        <f>+UPPER('0. Instruções'!$D$36&amp;"."&amp;VLOOKUP(B29,'0. Instruções'!$C$27:$E$32,3,FALSE))</f>
        <v>BU_LOANTAPE_WORK.LT002_INSTRUMENT</v>
      </c>
      <c r="F29" s="111" t="s">
        <v>447</v>
      </c>
      <c r="G29" s="34"/>
      <c r="H29" s="34"/>
      <c r="I29" s="34" t="str">
        <f>"(SELECT "&amp;VLOOKUP(B29,'0. Instruções'!$C$27:$G$32,4,FALSE)&amp;", "&amp;F29&amp;" FROM "&amp;D29&amp;" WHERE "&amp;'0. Instruções'!$D$42&amp;")X"</f>
        <v>(SELECT instrmnt_id, OTSTNDNG_NMNL_AMNT_INSTRMNT FROM CD_LOAN_TAPES_BCE.LT002_INSTRUMENT WHERE ref_date='${ref_date}' AND nome_perimetro='Individual Local' AND segmento='ESTR' AND ambito='SRB_MBDT' AND entidade='00100')X</v>
      </c>
      <c r="J29" s="34" t="str">
        <f>"(SELECT "&amp;VLOOKUP(B29,'0. Instruções'!$C$27:$G$32,4,FALSE)&amp;" AS "&amp;VLOOKUP(B29,'0. Instruções'!$C$27:$G$32,4,FALSE)&amp;"_SIMUL, "&amp;F29&amp;" AS "&amp;F29&amp;"_SIMUL FROM "&amp;E29&amp;" WHERE "&amp;'0. Instruções'!$D$43&amp;")Y"</f>
        <v>(SELECT instrmnt_id AS instrmnt_id_SIMUL, OTSTNDNG_NMNL_AMNT_INSTRMNT AS OTSTNDNG_NMNL_AMNT_INSTRMNT_SIMUL FROM BU_LOANTAPE_WORK.LT002_INSTRUMENT WHERE ref_date='${ref_date}' AND nome_perimetro='Individual Local' AND segmento='ESTR' AND ambito='PM' AND entidade='00100')Y</v>
      </c>
      <c r="K29" s="35" t="str">
        <f>+UPPER("ON X."&amp;VLOOKUP(B29,'0. Instruções'!$C$27:$G$32,4,FALSE)&amp;"=Y."&amp;VLOOKUP(B29,'0. Instruções'!$C$27:$G$32,4,FALSE)&amp;"_SIMUL")</f>
        <v>ON X.INSTRMNT_ID=Y.INSTRMNT_ID_SIMUL</v>
      </c>
      <c r="L29" s="35" t="str">
        <f>+IF(C29="Coerência", +IF(LEFT(G29,5)="FLOAT","SELECT '"&amp;UPPER(B29)&amp;"' AS TABELA, '"&amp;UPPER(C29)&amp;"' AS TIPOLOGIA_TESTE,'"&amp;D29&amp;"' AS TABELA_LT,'"&amp;E29&amp;"' AS TABELA_SIMUL,'"&amp;F29&amp;"' AS CAMPO, "&amp;"'${ref_date}' AS REF_DATE, COUNT(*) AS NUM_REG, SUM(IF((ABS(COALESCE(CAST(X."&amp;F29&amp;" AS DECIMAL(18,6)),0)-COALESCE(CAST(Y."&amp;F29&amp;"_SIMUL AS DECIMAL(18,6)),0))&gt;0.000001) OR (X."&amp;F29&amp;" IS NULL AND Y."&amp;F29&amp;"_SIMUL IS NOT NULL ) OR (X."&amp;F29&amp;" IS NOT NULL AND Y."&amp;F29&amp;"_SIMUL IS NULL),1,0)) AS NUM_REG_DIF,'"&amp;MAX('ID1&amp;5'!K:K)+1&amp;"' AS ID_EXEC, CURRENT_TIMESTAMP() AS TIME_EXEC FROM "&amp;I29&amp;" INNER JOIN "&amp;J29&amp;" "&amp;K29,"SELECT '"&amp;UPPER(B29)&amp;"' AS TABELA, '"&amp;UPPER(C29)&amp;"' AS TIPOLOGIA_TESTE,'"&amp;D29&amp;"' AS TABELA_LT,'"&amp;E29&amp;"' AS TABELA_SIMUL,'"&amp;F29&amp;"' AS CAMPO, "&amp;"'${ref_date}' AS REF_DATE, COUNT(*) AS NUM_REG, SUM(IF(COALESCE(CAST(X."&amp;F29&amp;" AS STRING),'')&lt;&gt;COALESCE(CAST(Y."&amp;F29&amp;"_SIMUL AS STRING),'') OR (X."&amp;F29&amp;" IS NULL AND Y."&amp;F29&amp;"_SIMUL IS NOT NULL ) OR (X."&amp;F29&amp;" IS NOT NULL AND Y."&amp;F29&amp;"_SIMUL IS NULL),1,0)) AS NUM_REG_DIF,'"&amp;MAX('ID1&amp;5'!L:L)+1&amp;"' AS ID_EXEC, CURRENT_TIMESTAMP() AS TIME_EXEC FROM "&amp;I29&amp;" INNER JOIN "&amp;J29&amp;" "&amp;K29),
IF(C29="Validade",+IF(G29="Code List","SELECT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 OR CAST(X."&amp;F29&amp;" AS STRING) NOT "&amp;H29&amp;",1,0)) AS NUM_REG_DIF,'"&amp;MAX('ID1&amp;5'!K:K)+1&amp;"' AS ID_EXEC, CURRENT_TIMESTAMP() AS TIME_EXEC FROM "&amp;I29,"SELECT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NULL,1,0)) AS NUM_REG_DIF,'"&amp;MAX('ID1&amp;5'!K:K)+1&amp;"' AS ID_EXEC, CURRENT_TIMESTAMP() AS TIME_EXEC FROM "&amp;I29),
IF(C29="Caracteres Especiais",+"SELECT '"&amp;UPPER(B29)&amp;"' AS TABELA, '"&amp;UPPER(C29)&amp;"' AS TIPOLOGIA_TESTE,'"&amp;D29&amp;"' AS TABELA_LT,'N/A' AS TABELA_SIMUL,'"&amp;F29&amp;"' AS CAMPO, "&amp;"'${ref_date}' AS REF_DATE, COUNT(*) AS NUM_REG, SUM(IF(REGEXP_REPLACE(TRIM(CAST(X."&amp;F29&amp;" AS STRING)),'[^a-zA-Z0-9_\\s]','') &lt;&gt;TRIM(CAST(X."&amp;F29&amp;" AS STRING)),1,0)) AS NUM_REG_DIF,'"&amp;MAX('ID1&amp;5'!K:K)+1&amp;"' AS ID_EXEC, CURRENT_TIMESTAMP() AS TIME_EXEC FROM "&amp;I29,
IF(C29="Missings",+"SELECT '"&amp;UPPER(B29)&amp;"' AS TABELA, '"&amp;UPPER(C29)&amp;"' AS TIPOLOGIA_TESTE,'"&amp;D29&amp;"' AS TABELA_LT,'N/A' AS TABELA_SIMUL,'"&amp;F29&amp;"' AS CAMPO, "&amp;"'${ref_date}' AS REF_DATE, COUNT(*) AS NUM_REG, SUM(IF(TRIM(CAST(X."&amp;F29&amp;" AS STRING)) IN ('0000-00-00','0001-01-01','9999-12-31','MISS','00000','99999999999','99999999999.00','99999999999.000000'),1,0)) AS NUM_REG_DIF,'"&amp;MAX('ID1&amp;5'!K:K)+1&amp;"' AS ID_EXEC, CURRENT_TIMESTAMP() AS TIME_EXEC FROM "&amp;I29,
IF(C29="Not applicable",+"SELECT '"&amp;UPPER(B29)&amp;"' AS TABELA, '"&amp;UPPER(C29)&amp;"' AS TIPOLOGIA_TESTE,'"&amp;D29&amp;"' AS TABELA_LT,'N/A' AS TABELA_SIMUL,'"&amp;F29&amp;"' AS CAMPO, "&amp;"'${ref_date}' AS REF_DATE, COUNT(*) AS NUM_REG, SUM(IF(TRIM(CAST(X."&amp;F29&amp;" AS STRING)) IN ('N/A','11111111111','11111111111.00','11111111111.000000','1111-11-11'),1,0)) AS NUM_REG_DIF,'"&amp;MAX('ID1&amp;5'!K:K)+1&amp;"' AS ID_EXEC, CURRENT_TIMESTAMP() AS TIME_EXEC FROM "&amp;I29,
IF(C29="Valores extremos",+"SELECT '"&amp;UPPER(B29)&amp;"' AS TABELA, '"&amp;UPPER(C29)&amp;"' AS TIPOLOGIA_TESTE,'"&amp;D29&amp;"' AS TABELA_LT,'N/A' AS TABELA_SIMUL,'"&amp;F29&amp;"' AS CAMPO, "&amp;"'${ref_date}' AS REF_DATE, CAST(MIN("&amp;F29&amp;") AS STRING) AS VALOR_MIN, CAST(MAX("&amp;F29&amp;") AS STRING) AS VALOR_MAX,'"&amp;MAX('ID1&amp;5'!K:K)+1&amp;"' AS ID_EXEC, CURRENT_TIMESTAMP() AS TIME_EXEC FROM "&amp;MID(I29,1,LEN(I29)-2)&amp;" AND CAST("&amp;F29&amp;"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TABELA_SIMUL,'OTSTNDNG_NMNL_AMNT_INSTRMNT' AS CAMPO, '${ref_date}' AS REF_DATE, COUNT(*) AS NUM_REG, SUM(IF(COALESCE(CAST(X.OTSTNDNG_NMNL_AMNT_INSTRMNT AS STRING),'')&lt;&gt;COALESCE(CAST(Y.OTSTNDNG_NMNL_AMNT_INSTRMNT_SIMUL AS STRING),'') OR (X.OTSTNDNG_NMNL_AMNT_INSTRMNT IS NULL AND Y.OTSTNDNG_NMNL_AMNT_INSTRMNT_SIMUL IS NOT NULL ) OR (X.OTSTNDNG_NMNL_AMNT_INSTRMNT IS NOT NULL AND Y.OTSTNDNG_NMNL_AMNT_INSTRMNT_SIMUL IS NULL),1,0)) AS NUM_REG_DIF,'1' AS ID_EXEC, CURRENT_TIMESTAMP() AS TIME_EXEC FROM (SELECT instrmnt_id, OTSTNDNG_NMNL_AMNT_INSTRMNT FROM CD_LOAN_TAPES_BCE.LT002_INSTRUMENT WHERE ref_date='${ref_date}' AND nome_perimetro='Individual Local' AND segmento='ESTR' AND ambito='SRB_MBDT' AND entidade='00100')X INNER JOIN (SELECT instrmnt_id AS instrmnt_id_SIMUL, OTSTNDNG_NMNL_AMNT_INSTRMNT AS OTSTNDNG_NMNL_AMNT_INSTRMNT_SIMUL FROM BU_LOANTAPE_WORK.LT002_INSTRUMENT WHERE ref_date='${ref_date}' AND nome_perimetro='Individual Local' AND segmento='ESTR' AND ambito='PM' AND entidade='00100')Y ON X.INSTRMNT_ID=Y.INSTRMNT_ID_SIMUL</v>
      </c>
      <c r="M29" s="36" t="str">
        <f t="shared" ref="M29:M32" si="3">+"UNION ALL "&amp;L29</f>
        <v>UNION ALL SELECT 'INSTRUMENT' AS TABELA, 'COERÊNCIA' AS TIPOLOGIA_TESTE,'CD_LOAN_TAPES_BCE.LT002_INSTRUMENT' AS TABELA_LT,'BU_LOANTAPE_WORK.LT002_INSTRUMENT' AS TABELA_SIMUL,'OTSTNDNG_NMNL_AMNT_INSTRMNT' AS CAMPO, '${ref_date}' AS REF_DATE, COUNT(*) AS NUM_REG, SUM(IF(COALESCE(CAST(X.OTSTNDNG_NMNL_AMNT_INSTRMNT AS STRING),'')&lt;&gt;COALESCE(CAST(Y.OTSTNDNG_NMNL_AMNT_INSTRMNT_SIMUL AS STRING),'') OR (X.OTSTNDNG_NMNL_AMNT_INSTRMNT IS NULL AND Y.OTSTNDNG_NMNL_AMNT_INSTRMNT_SIMUL IS NOT NULL ) OR (X.OTSTNDNG_NMNL_AMNT_INSTRMNT IS NOT NULL AND Y.OTSTNDNG_NMNL_AMNT_INSTRMNT_SIMUL IS NULL),1,0)) AS NUM_REG_DIF,'1' AS ID_EXEC, CURRENT_TIMESTAMP() AS TIME_EXEC FROM (SELECT instrmnt_id, OTSTNDNG_NMNL_AMNT_INSTRMNT FROM CD_LOAN_TAPES_BCE.LT002_INSTRUMENT WHERE ref_date='${ref_date}' AND nome_perimetro='Individual Local' AND segmento='ESTR' AND ambito='SRB_MBDT' AND entidade='00100')X INNER JOIN (SELECT instrmnt_id AS instrmnt_id_SIMUL, OTSTNDNG_NMNL_AMNT_INSTRMNT AS OTSTNDNG_NMNL_AMNT_INSTRMNT_SIMUL FROM BU_LOANTAPE_WORK.LT002_INSTRUMENT WHERE ref_date='${ref_date}' AND nome_perimetro='Individual Local' AND segmento='ESTR' AND ambito='PM' AND entidade='00100')Y ON X.INSTRMNT_ID=Y.INSTRMNT_ID_SIMUL</v>
      </c>
      <c r="N29" s="38" t="s">
        <v>36</v>
      </c>
    </row>
    <row r="30" spans="1:14">
      <c r="A30" s="60" t="str">
        <f t="shared" si="0"/>
        <v>INSTRUMENTPRDCT</v>
      </c>
      <c r="B30" s="34" t="s">
        <v>113</v>
      </c>
      <c r="C30" s="34" t="s">
        <v>5</v>
      </c>
      <c r="D30" s="34" t="str">
        <f>+UPPER('0. Instruções'!$D$35&amp;"."&amp;VLOOKUP(B30,'0. Instruções'!$C$27:$D$32,2,FALSE))</f>
        <v>CD_LOAN_TAPES_BCE.LT002_INSTRUMENT</v>
      </c>
      <c r="E30" s="34" t="str">
        <f>+UPPER('0. Instruções'!$D$36&amp;"."&amp;VLOOKUP(B30,'0. Instruções'!$C$27:$E$32,3,FALSE))</f>
        <v>BU_LOANTAPE_WORK.LT002_INSTRUMENT</v>
      </c>
      <c r="F30" s="111" t="s">
        <v>402</v>
      </c>
      <c r="G30" s="34"/>
      <c r="H30" s="34"/>
      <c r="I30" s="34" t="str">
        <f>"(SELECT "&amp;VLOOKUP(B30,'0. Instruções'!$C$27:$G$32,4,FALSE)&amp;", "&amp;F30&amp;" FROM "&amp;D30&amp;" WHERE "&amp;'0. Instruções'!$D$42&amp;")X"</f>
        <v>(SELECT instrmnt_id, PRDCT FROM CD_LOAN_TAPES_BCE.LT002_INSTRUMENT WHERE ref_date='${ref_date}' AND nome_perimetro='Individual Local' AND segmento='ESTR' AND ambito='SRB_MBDT' AND entidade='00100')X</v>
      </c>
      <c r="J30" s="34" t="str">
        <f>"(SELECT "&amp;VLOOKUP(B30,'0. Instruções'!$C$27:$G$32,4,FALSE)&amp;" AS "&amp;VLOOKUP(B30,'0. Instruções'!$C$27:$G$32,4,FALSE)&amp;"_SIMUL, "&amp;F30&amp;" AS "&amp;F30&amp;"_SIMUL FROM "&amp;E30&amp;" WHERE "&amp;'0. Instruções'!$D$43&amp;")Y"</f>
        <v>(SELECT instrmnt_id AS instrmnt_id_SIMUL, PRDCT AS PRDCT_SIMUL FROM BU_LOANTAPE_WORK.LT002_INSTRUMENT WHERE ref_date='${ref_date}' AND nome_perimetro='Individual Local' AND segmento='ESTR' AND ambito='PM' AND entidade='00100')Y</v>
      </c>
      <c r="K30" s="35" t="str">
        <f>+UPPER("ON X."&amp;VLOOKUP(B30,'0. Instruções'!$C$27:$G$32,4,FALSE)&amp;"=Y."&amp;VLOOKUP(B30,'0. Instruções'!$C$27:$G$32,4,FALSE)&amp;"_SIMUL")</f>
        <v>ON X.INSTRMNT_ID=Y.INSTRMNT_ID_SIMUL</v>
      </c>
      <c r="L30" s="35" t="str">
        <f>+IF(C30="Coerência", +IF(LEFT(G30,5)="FLOAT","SELECT '"&amp;UPPER(B30)&amp;"' AS TABELA, '"&amp;UPPER(C30)&amp;"' AS TIPOLOGIA_TESTE,'"&amp;D30&amp;"' AS TABELA_LT,'"&amp;E30&amp;"' AS TABELA_SIMUL,'"&amp;F30&amp;"' AS CAMPO, "&amp;"'${ref_date}' AS REF_DATE, COUNT(*) AS NUM_REG, SUM(IF((ABS(COALESCE(CAST(X."&amp;F30&amp;" AS DECIMAL(18,6)),0)-COALESCE(CAST(Y."&amp;F30&amp;"_SIMUL AS DECIMAL(18,6)),0))&gt;0.000001) OR (X."&amp;F30&amp;" IS NULL AND Y."&amp;F30&amp;"_SIMUL IS NOT NULL ) OR (X."&amp;F30&amp;" IS NOT NULL AND Y."&amp;F30&amp;"_SIMUL IS NULL),1,0)) AS NUM_REG_DIF,'"&amp;MAX('ID1&amp;5'!K:K)+1&amp;"' AS ID_EXEC, CURRENT_TIMESTAMP() AS TIME_EXEC FROM "&amp;I30&amp;" INNER JOIN "&amp;J30&amp;" "&amp;K30,"SELECT '"&amp;UPPER(B30)&amp;"' AS TABELA, '"&amp;UPPER(C30)&amp;"' AS TIPOLOGIA_TESTE,'"&amp;D30&amp;"' AS TABELA_LT,'"&amp;E30&amp;"' AS TABELA_SIMUL,'"&amp;F30&amp;"' AS CAMPO, "&amp;"'${ref_date}' AS REF_DATE, COUNT(*) AS NUM_REG, SUM(IF(COALESCE(CAST(X."&amp;F30&amp;" AS STRING),'')&lt;&gt;COALESCE(CAST(Y."&amp;F30&amp;"_SIMUL AS STRING),'') OR (X."&amp;F30&amp;" IS NULL AND Y."&amp;F30&amp;"_SIMUL IS NOT NULL ) OR (X."&amp;F30&amp;" IS NOT NULL AND Y."&amp;F30&amp;"_SIMUL IS NULL),1,0)) AS NUM_REG_DIF,'"&amp;MAX('ID1&amp;5'!L:L)+1&amp;"' AS ID_EXEC, CURRENT_TIMESTAMP() AS TIME_EXEC FROM "&amp;I30&amp;" INNER JOIN "&amp;J30&amp;" "&amp;K30),
IF(C30="Validade",+IF(G30="Code List","SELECT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 OR CAST(X."&amp;F30&amp;" AS STRING) NOT "&amp;H30&amp;",1,0)) AS NUM_REG_DIF,'"&amp;MAX('ID1&amp;5'!K:K)+1&amp;"' AS ID_EXEC, CURRENT_TIMESTAMP() AS TIME_EXEC FROM "&amp;I30,"SELECT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NULL,1,0)) AS NUM_REG_DIF,'"&amp;MAX('ID1&amp;5'!K:K)+1&amp;"' AS ID_EXEC, CURRENT_TIMESTAMP() AS TIME_EXEC FROM "&amp;I30),
IF(C30="Caracteres Especiais",+"SELECT '"&amp;UPPER(B30)&amp;"' AS TABELA, '"&amp;UPPER(C30)&amp;"' AS TIPOLOGIA_TESTE,'"&amp;D30&amp;"' AS TABELA_LT,'N/A' AS TABELA_SIMUL,'"&amp;F30&amp;"' AS CAMPO, "&amp;"'${ref_date}' AS REF_DATE, COUNT(*) AS NUM_REG, SUM(IF(REGEXP_REPLACE(TRIM(CAST(X."&amp;F30&amp;" AS STRING)),'[^a-zA-Z0-9_\\s]','') &lt;&gt;TRIM(CAST(X."&amp;F30&amp;" AS STRING)),1,0)) AS NUM_REG_DIF,'"&amp;MAX('ID1&amp;5'!K:K)+1&amp;"' AS ID_EXEC, CURRENT_TIMESTAMP() AS TIME_EXEC FROM "&amp;I30,
IF(C30="Missings",+"SELECT '"&amp;UPPER(B30)&amp;"' AS TABELA, '"&amp;UPPER(C30)&amp;"' AS TIPOLOGIA_TESTE,'"&amp;D30&amp;"' AS TABELA_LT,'N/A' AS TABELA_SIMUL,'"&amp;F30&amp;"' AS CAMPO, "&amp;"'${ref_date}' AS REF_DATE, COUNT(*) AS NUM_REG, SUM(IF(TRIM(CAST(X."&amp;F30&amp;" AS STRING)) IN ('0000-00-00','0001-01-01','9999-12-31','MISS','00000','99999999999','99999999999.00','99999999999.000000'),1,0)) AS NUM_REG_DIF,'"&amp;MAX('ID1&amp;5'!K:K)+1&amp;"' AS ID_EXEC, CURRENT_TIMESTAMP() AS TIME_EXEC FROM "&amp;I30,
IF(C30="Not applicable",+"SELECT '"&amp;UPPER(B30)&amp;"' AS TABELA, '"&amp;UPPER(C30)&amp;"' AS TIPOLOGIA_TESTE,'"&amp;D30&amp;"' AS TABELA_LT,'N/A' AS TABELA_SIMUL,'"&amp;F30&amp;"' AS CAMPO, "&amp;"'${ref_date}' AS REF_DATE, COUNT(*) AS NUM_REG, SUM(IF(TRIM(CAST(X."&amp;F30&amp;" AS STRING)) IN ('N/A','11111111111','11111111111.00','11111111111.000000','1111-11-11'),1,0)) AS NUM_REG_DIF,'"&amp;MAX('ID1&amp;5'!K:K)+1&amp;"' AS ID_EXEC, CURRENT_TIMESTAMP() AS TIME_EXEC FROM "&amp;I30,
IF(C30="Valores extremos",+"SELECT '"&amp;UPPER(B30)&amp;"' AS TABELA, '"&amp;UPPER(C30)&amp;"' AS TIPOLOGIA_TESTE,'"&amp;D30&amp;"' AS TABELA_LT,'N/A' AS TABELA_SIMUL,'"&amp;F30&amp;"' AS CAMPO, "&amp;"'${ref_date}' AS REF_DATE, CAST(MIN("&amp;F30&amp;") AS STRING) AS VALOR_MIN, CAST(MAX("&amp;F30&amp;") AS STRING) AS VALOR_MAX,'"&amp;MAX('ID1&amp;5'!K:K)+1&amp;"' AS ID_EXEC, CURRENT_TIMESTAMP() AS TIME_EXEC FROM "&amp;MID(I30,1,LEN(I30)-2)&amp;" AND CAST("&amp;F30&amp;"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TABELA_SIMUL,'PRDCT' AS CAMPO, '${ref_date}' AS REF_DATE, COUNT(*) AS NUM_REG, SUM(IF(COALESCE(CAST(X.PRDCT AS STRING),'')&lt;&gt;COALESCE(CAST(Y.PRDCT_SIMUL AS STRING),'') OR (X.PRDCT IS NULL AND Y.PRDCT_SIMUL IS NOT NULL ) OR (X.PRDCT IS NOT NULL AND Y.PRDCT_SIMUL IS NULL),1,0)) AS NUM_REG_DIF,'1' AS ID_EXEC, CURRENT_TIMESTAMP() AS TIME_EXEC FROM (SELECT instrmnt_id, PRDCT FROM CD_LOAN_TAPES_BCE.LT002_INSTRUMENT WHERE ref_date='${ref_date}' AND nome_perimetro='Individual Local' AND segmento='ESTR' AND ambito='SRB_MBDT' AND entidade='00100')X INNER JOIN (SELECT instrmnt_id AS instrmnt_id_SIMUL, PRDCT AS PRDCT_SIMUL FROM BU_LOANTAPE_WORK.LT002_INSTRUMENT WHERE ref_date='${ref_date}' AND nome_perimetro='Individual Local' AND segmento='ESTR' AND ambito='PM' AND entidade='00100')Y ON X.INSTRMNT_ID=Y.INSTRMNT_ID_SIMUL</v>
      </c>
      <c r="M30" s="36" t="str">
        <f t="shared" si="3"/>
        <v>UNION ALL SELECT 'INSTRUMENT' AS TABELA, 'COERÊNCIA' AS TIPOLOGIA_TESTE,'CD_LOAN_TAPES_BCE.LT002_INSTRUMENT' AS TABELA_LT,'BU_LOANTAPE_WORK.LT002_INSTRUMENT' AS TABELA_SIMUL,'PRDCT' AS CAMPO, '${ref_date}' AS REF_DATE, COUNT(*) AS NUM_REG, SUM(IF(COALESCE(CAST(X.PRDCT AS STRING),'')&lt;&gt;COALESCE(CAST(Y.PRDCT_SIMUL AS STRING),'') OR (X.PRDCT IS NULL AND Y.PRDCT_SIMUL IS NOT NULL ) OR (X.PRDCT IS NOT NULL AND Y.PRDCT_SIMUL IS NULL),1,0)) AS NUM_REG_DIF,'1' AS ID_EXEC, CURRENT_TIMESTAMP() AS TIME_EXEC FROM (SELECT instrmnt_id, PRDCT FROM CD_LOAN_TAPES_BCE.LT002_INSTRUMENT WHERE ref_date='${ref_date}' AND nome_perimetro='Individual Local' AND segmento='ESTR' AND ambito='SRB_MBDT' AND entidade='00100')X INNER JOIN (SELECT instrmnt_id AS instrmnt_id_SIMUL, PRDCT AS PRDCT_SIMUL FROM BU_LOANTAPE_WORK.LT002_INSTRUMENT WHERE ref_date='${ref_date}' AND nome_perimetro='Individual Local' AND segmento='ESTR' AND ambito='PM' AND entidade='00100')Y ON X.INSTRMNT_ID=Y.INSTRMNT_ID_SIMUL</v>
      </c>
      <c r="N30" s="38" t="s">
        <v>36</v>
      </c>
    </row>
    <row r="31" spans="1:14">
      <c r="A31" s="60" t="str">
        <f t="shared" si="0"/>
        <v>INSTRUMENTCOD_SOC</v>
      </c>
      <c r="B31" s="34" t="s">
        <v>113</v>
      </c>
      <c r="C31" s="34" t="s">
        <v>5</v>
      </c>
      <c r="D31" s="34" t="str">
        <f>+UPPER('0. Instruções'!$D$35&amp;"."&amp;VLOOKUP(B31,'0. Instruções'!$C$27:$D$32,2,FALSE))</f>
        <v>CD_LOAN_TAPES_BCE.LT002_INSTRUMENT</v>
      </c>
      <c r="E31" s="34" t="str">
        <f>+UPPER('0. Instruções'!$D$36&amp;"."&amp;VLOOKUP(B31,'0. Instruções'!$C$27:$E$32,3,FALSE))</f>
        <v>BU_LOANTAPE_WORK.LT002_INSTRUMENT</v>
      </c>
      <c r="F31" s="111" t="s">
        <v>96</v>
      </c>
      <c r="G31" s="34"/>
      <c r="H31" s="34"/>
      <c r="I31" s="34" t="str">
        <f>"(SELECT "&amp;VLOOKUP(B31,'0. Instruções'!$C$27:$G$32,4,FALSE)&amp;", "&amp;F31&amp;" FROM "&amp;D31&amp;" WHERE "&amp;'0. Instruções'!$D$42&amp;")X"</f>
        <v>(SELECT instrmnt_id, COD_SOC FROM CD_LOAN_TAPES_BCE.LT002_INSTRUMENT WHERE ref_date='${ref_date}' AND nome_perimetro='Individual Local' AND segmento='ESTR' AND ambito='SRB_MBDT' AND entidade='00100')X</v>
      </c>
      <c r="J31" s="34" t="str">
        <f>"(SELECT "&amp;VLOOKUP(B31,'0. Instruções'!$C$27:$G$32,4,FALSE)&amp;" AS "&amp;VLOOKUP(B31,'0. Instruções'!$C$27:$G$32,4,FALSE)&amp;"_SIMUL, "&amp;F31&amp;" AS "&amp;F31&amp;"_SIMUL FROM "&amp;E31&amp;" WHERE "&amp;'0. Instruções'!$D$43&amp;")Y"</f>
        <v>(SELECT instrmnt_id AS instrmnt_id_SIMUL, COD_SOC AS COD_SOC_SIMUL FROM BU_LOANTAPE_WORK.LT002_INSTRUMENT WHERE ref_date='${ref_date}' AND nome_perimetro='Individual Local' AND segmento='ESTR' AND ambito='PM' AND entidade='00100')Y</v>
      </c>
      <c r="K31" s="35" t="str">
        <f>+UPPER("ON X."&amp;VLOOKUP(B31,'0. Instruções'!$C$27:$G$32,4,FALSE)&amp;"=Y."&amp;VLOOKUP(B31,'0. Instruções'!$C$27:$G$32,4,FALSE)&amp;"_SIMUL")</f>
        <v>ON X.INSTRMNT_ID=Y.INSTRMNT_ID_SIMUL</v>
      </c>
      <c r="L31" s="35" t="str">
        <f>+IF(C31="Coerência", +IF(LEFT(G31,5)="FLOAT","SELECT '"&amp;UPPER(B31)&amp;"' AS TABELA, '"&amp;UPPER(C31)&amp;"' AS TIPOLOGIA_TESTE,'"&amp;D31&amp;"' AS TABELA_LT,'"&amp;E31&amp;"' AS TABELA_SIMUL,'"&amp;F31&amp;"' AS CAMPO, "&amp;"'${ref_date}' AS REF_DATE, COUNT(*) AS NUM_REG, SUM(IF((ABS(COALESCE(CAST(X."&amp;F31&amp;" AS DECIMAL(18,6)),0)-COALESCE(CAST(Y."&amp;F31&amp;"_SIMUL AS DECIMAL(18,6)),0))&gt;0.000001) OR (X."&amp;F31&amp;" IS NULL AND Y."&amp;F31&amp;"_SIMUL IS NOT NULL ) OR (X."&amp;F31&amp;" IS NOT NULL AND Y."&amp;F31&amp;"_SIMUL IS NULL),1,0)) AS NUM_REG_DIF,'"&amp;MAX('ID1&amp;5'!K:K)+1&amp;"' AS ID_EXEC, CURRENT_TIMESTAMP() AS TIME_EXEC FROM "&amp;I31&amp;" INNER JOIN "&amp;J31&amp;" "&amp;K31,"SELECT '"&amp;UPPER(B31)&amp;"' AS TABELA, '"&amp;UPPER(C31)&amp;"' AS TIPOLOGIA_TESTE,'"&amp;D31&amp;"' AS TABELA_LT,'"&amp;E31&amp;"' AS TABELA_SIMUL,'"&amp;F31&amp;"' AS CAMPO, "&amp;"'${ref_date}' AS REF_DATE, COUNT(*) AS NUM_REG, SUM(IF(COALESCE(CAST(X."&amp;F31&amp;" AS STRING),'')&lt;&gt;COALESCE(CAST(Y."&amp;F31&amp;"_SIMUL AS STRING),'') OR (X."&amp;F31&amp;" IS NULL AND Y."&amp;F31&amp;"_SIMUL IS NOT NULL ) OR (X."&amp;F31&amp;" IS NOT NULL AND Y."&amp;F31&amp;"_SIMUL IS NULL),1,0)) AS NUM_REG_DIF,'"&amp;MAX('ID1&amp;5'!L:L)+1&amp;"' AS ID_EXEC, CURRENT_TIMESTAMP() AS TIME_EXEC FROM "&amp;I31&amp;" INNER JOIN "&amp;J31&amp;" "&amp;K31),
IF(C31="Validade",+IF(G31="Code List","SELECT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 OR CAST(X."&amp;F31&amp;" AS STRING) NOT "&amp;H31&amp;",1,0)) AS NUM_REG_DIF,'"&amp;MAX('ID1&amp;5'!K:K)+1&amp;"' AS ID_EXEC, CURRENT_TIMESTAMP() AS TIME_EXEC FROM "&amp;I31,"SELECT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NULL,1,0)) AS NUM_REG_DIF,'"&amp;MAX('ID1&amp;5'!K:K)+1&amp;"' AS ID_EXEC, CURRENT_TIMESTAMP() AS TIME_EXEC FROM "&amp;I31),
IF(C31="Caracteres Especiais",+"SELECT '"&amp;UPPER(B31)&amp;"' AS TABELA, '"&amp;UPPER(C31)&amp;"' AS TIPOLOGIA_TESTE,'"&amp;D31&amp;"' AS TABELA_LT,'N/A' AS TABELA_SIMUL,'"&amp;F31&amp;"' AS CAMPO, "&amp;"'${ref_date}' AS REF_DATE, COUNT(*) AS NUM_REG, SUM(IF(REGEXP_REPLACE(TRIM(CAST(X."&amp;F31&amp;" AS STRING)),'[^a-zA-Z0-9_\\s]','') &lt;&gt;TRIM(CAST(X."&amp;F31&amp;" AS STRING)),1,0)) AS NUM_REG_DIF,'"&amp;MAX('ID1&amp;5'!K:K)+1&amp;"' AS ID_EXEC, CURRENT_TIMESTAMP() AS TIME_EXEC FROM "&amp;I31,
IF(C31="Missings",+"SELECT '"&amp;UPPER(B31)&amp;"' AS TABELA, '"&amp;UPPER(C31)&amp;"' AS TIPOLOGIA_TESTE,'"&amp;D31&amp;"' AS TABELA_LT,'N/A' AS TABELA_SIMUL,'"&amp;F31&amp;"' AS CAMPO, "&amp;"'${ref_date}' AS REF_DATE, COUNT(*) AS NUM_REG, SUM(IF(TRIM(CAST(X."&amp;F31&amp;" AS STRING)) IN ('0000-00-00','0001-01-01','9999-12-31','MISS','00000','99999999999','99999999999.00','99999999999.000000'),1,0)) AS NUM_REG_DIF,'"&amp;MAX('ID1&amp;5'!K:K)+1&amp;"' AS ID_EXEC, CURRENT_TIMESTAMP() AS TIME_EXEC FROM "&amp;I31,
IF(C31="Not applicable",+"SELECT '"&amp;UPPER(B31)&amp;"' AS TABELA, '"&amp;UPPER(C31)&amp;"' AS TIPOLOGIA_TESTE,'"&amp;D31&amp;"' AS TABELA_LT,'N/A' AS TABELA_SIMUL,'"&amp;F31&amp;"' AS CAMPO, "&amp;"'${ref_date}' AS REF_DATE, COUNT(*) AS NUM_REG, SUM(IF(TRIM(CAST(X."&amp;F31&amp;" AS STRING)) IN ('N/A','11111111111','11111111111.00','11111111111.000000','1111-11-11'),1,0)) AS NUM_REG_DIF,'"&amp;MAX('ID1&amp;5'!K:K)+1&amp;"' AS ID_EXEC, CURRENT_TIMESTAMP() AS TIME_EXEC FROM "&amp;I31,
IF(C31="Valores extremos",+"SELECT '"&amp;UPPER(B31)&amp;"' AS TABELA, '"&amp;UPPER(C31)&amp;"' AS TIPOLOGIA_TESTE,'"&amp;D31&amp;"' AS TABELA_LT,'N/A' AS TABELA_SIMUL,'"&amp;F31&amp;"' AS CAMPO, "&amp;"'${ref_date}' AS REF_DATE, CAST(MIN("&amp;F31&amp;") AS STRING) AS VALOR_MIN, CAST(MAX("&amp;F31&amp;") AS STRING) AS VALOR_MAX,'"&amp;MAX('ID1&amp;5'!K:K)+1&amp;"' AS ID_EXEC, CURRENT_TIMESTAMP() AS TIME_EXEC FROM "&amp;MID(I31,1,LEN(I31)-2)&amp;" AND CAST("&amp;F31&amp;"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CD_LOAN_TAPES_BCE.LT002_INSTRUMENT WHERE ref_date='${ref_date}' AND nome_perimetro='Individual Local' AND segmento='ESTR' AND ambito='SRB_MBDT' AND entidade='00100')X INNER JOIN (SELECT instrmnt_id AS instrmnt_id_SIMUL, COD_SOC AS COD_SOC_SIMUL FROM BU_LOANTAPE_WORK.LT002_INSTRUMENT WHERE ref_date='${ref_date}' AND nome_perimetro='Individual Local' AND segmento='ESTR' AND ambito='PM' AND entidade='00100')Y ON X.INSTRMNT_ID=Y.INSTRMNT_ID_SIMUL</v>
      </c>
      <c r="M31" s="36" t="str">
        <f t="shared" si="3"/>
        <v>UNION ALL SELECT 'INSTRUMENT' AS TABELA, 'COERÊNCIA' AS TIPOLOGIA_TESTE,'CD_LOAN_TAPES_BCE.LT002_INSTRUMENT' AS TABELA_LT,'BU_LOANTAPE_WORK.LT002_INSTRUMENT'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CD_LOAN_TAPES_BCE.LT002_INSTRUMENT WHERE ref_date='${ref_date}' AND nome_perimetro='Individual Local' AND segmento='ESTR' AND ambito='SRB_MBDT' AND entidade='00100')X INNER JOIN (SELECT instrmnt_id AS instrmnt_id_SIMUL, COD_SOC AS COD_SOC_SIMUL FROM BU_LOANTAPE_WORK.LT002_INSTRUMENT WHERE ref_date='${ref_date}' AND nome_perimetro='Individual Local' AND segmento='ESTR' AND ambito='PM' AND entidade='00100')Y ON X.INSTRMNT_ID=Y.INSTRMNT_ID_SIMUL</v>
      </c>
      <c r="N31" s="38" t="s">
        <v>36</v>
      </c>
    </row>
    <row r="32" spans="1:14">
      <c r="A32" s="60" t="str">
        <f t="shared" si="0"/>
        <v>ENTITYENTRPRS_SZ_LE</v>
      </c>
      <c r="B32" s="34" t="s">
        <v>114</v>
      </c>
      <c r="C32" s="34" t="s">
        <v>5</v>
      </c>
      <c r="D32" s="34" t="str">
        <f>+UPPER('0. Instruções'!$D$35&amp;"."&amp;VLOOKUP(B32,'0. Instruções'!$C$27:$D$32,2,FALSE))</f>
        <v>CD_LOAN_TAPES_BCE.LT003_ENTITY</v>
      </c>
      <c r="E32" s="34" t="str">
        <f>+UPPER('0. Instruções'!$D$36&amp;"."&amp;VLOOKUP(B32,'0. Instruções'!$C$27:$E$32,3,FALSE))</f>
        <v>BU_LOANTAPE_WORK.LT003_ENTITY</v>
      </c>
      <c r="F32" s="111" t="s">
        <v>327</v>
      </c>
      <c r="G32" s="34"/>
      <c r="H32" s="34"/>
      <c r="I32" s="34" t="str">
        <f>"(SELECT "&amp;VLOOKUP(B32,'0. Instruções'!$C$27:$G$32,4,FALSE)&amp;", "&amp;F32&amp;" FROM "&amp;D32&amp;" WHERE "&amp;'0. Instruções'!$D$42&amp;")X"</f>
        <v>(SELECT entty_id, ENTRPRS_SZ_LE FROM CD_LOAN_TAPES_BCE.LT003_ENTITY WHERE ref_date='${ref_date}' AND nome_perimetro='Individual Local' AND segmento='ESTR' AND ambito='SRB_MBDT' AND entidade='00100')X</v>
      </c>
      <c r="J32" s="34" t="str">
        <f>"(SELECT "&amp;VLOOKUP(B32,'0. Instruções'!$C$27:$G$32,4,FALSE)&amp;" AS "&amp;VLOOKUP(B32,'0. Instruções'!$C$27:$G$32,4,FALSE)&amp;"_SIMUL, "&amp;F32&amp;" AS "&amp;F32&amp;"_SIMUL FROM "&amp;E32&amp;" WHERE "&amp;'0. Instruções'!$D$43&amp;")Y"</f>
        <v>(SELECT entty_id AS entty_id_SIMUL, ENTRPRS_SZ_LE AS ENTRPRS_SZ_LE_SIMUL FROM BU_LOANTAPE_WORK.LT003_ENTITY WHERE ref_date='${ref_date}' AND nome_perimetro='Individual Local' AND segmento='ESTR' AND ambito='PM' AND entidade='00100')Y</v>
      </c>
      <c r="K32" s="35" t="str">
        <f>+UPPER("ON X."&amp;VLOOKUP(B32,'0. Instruções'!$C$27:$G$32,4,FALSE)&amp;"=Y."&amp;VLOOKUP(B32,'0. Instruções'!$C$27:$G$32,4,FALSE)&amp;"_SIMUL")</f>
        <v>ON X.ENTTY_ID=Y.ENTTY_ID_SIMUL</v>
      </c>
      <c r="L32" s="35" t="str">
        <f>+IF(C32="Coerência", +IF(LEFT(G32,5)="FLOAT","SELECT '"&amp;UPPER(B32)&amp;"' AS TABELA, '"&amp;UPPER(C32)&amp;"' AS TIPOLOGIA_TESTE,'"&amp;D32&amp;"' AS TABELA_LT,'"&amp;E32&amp;"' AS TABELA_SIMUL,'"&amp;F32&amp;"' AS CAMPO, "&amp;"'${ref_date}' AS REF_DATE, COUNT(*) AS NUM_REG, SUM(IF((ABS(COALESCE(CAST(X."&amp;F32&amp;" AS DECIMAL(18,6)),0)-COALESCE(CAST(Y."&amp;F32&amp;"_SIMUL AS DECIMAL(18,6)),0))&gt;0.000001) OR (X."&amp;F32&amp;" IS NULL AND Y."&amp;F32&amp;"_SIMUL IS NOT NULL ) OR (X."&amp;F32&amp;" IS NOT NULL AND Y."&amp;F32&amp;"_SIMUL IS NULL),1,0)) AS NUM_REG_DIF,'"&amp;MAX('ID1&amp;5'!K:K)+1&amp;"' AS ID_EXEC, CURRENT_TIMESTAMP() AS TIME_EXEC FROM "&amp;I32&amp;" INNER JOIN "&amp;J32&amp;" "&amp;K32,"SELECT '"&amp;UPPER(B32)&amp;"' AS TABELA, '"&amp;UPPER(C32)&amp;"' AS TIPOLOGIA_TESTE,'"&amp;D32&amp;"' AS TABELA_LT,'"&amp;E32&amp;"' AS TABELA_SIMUL,'"&amp;F32&amp;"' AS CAMPO, "&amp;"'${ref_date}' AS REF_DATE, COUNT(*) AS NUM_REG, SUM(IF(COALESCE(CAST(X."&amp;F32&amp;" AS STRING),'')&lt;&gt;COALESCE(CAST(Y."&amp;F32&amp;"_SIMUL AS STRING),'') OR (X."&amp;F32&amp;" IS NULL AND Y."&amp;F32&amp;"_SIMUL IS NOT NULL ) OR (X."&amp;F32&amp;" IS NOT NULL AND Y."&amp;F32&amp;"_SIMUL IS NULL),1,0)) AS NUM_REG_DIF,'"&amp;MAX('ID1&amp;5'!L:L)+1&amp;"' AS ID_EXEC, CURRENT_TIMESTAMP() AS TIME_EXEC FROM "&amp;I32&amp;" INNER JOIN "&amp;J32&amp;" "&amp;K32),
IF(C32="Validade",+IF(G32="Code List","SELECT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 OR CAST(X."&amp;F32&amp;" AS STRING) NOT "&amp;H32&amp;",1,0)) AS NUM_REG_DIF,'"&amp;MAX('ID1&amp;5'!K:K)+1&amp;"' AS ID_EXEC, CURRENT_TIMESTAMP() AS TIME_EXEC FROM "&amp;I32,"SELECT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NULL,1,0)) AS NUM_REG_DIF,'"&amp;MAX('ID1&amp;5'!K:K)+1&amp;"' AS ID_EXEC, CURRENT_TIMESTAMP() AS TIME_EXEC FROM "&amp;I32),
IF(C32="Caracteres Especiais",+"SELECT '"&amp;UPPER(B32)&amp;"' AS TABELA, '"&amp;UPPER(C32)&amp;"' AS TIPOLOGIA_TESTE,'"&amp;D32&amp;"' AS TABELA_LT,'N/A' AS TABELA_SIMUL,'"&amp;F32&amp;"' AS CAMPO, "&amp;"'${ref_date}' AS REF_DATE, COUNT(*) AS NUM_REG, SUM(IF(REGEXP_REPLACE(TRIM(CAST(X."&amp;F32&amp;" AS STRING)),'[^a-zA-Z0-9_\\s]','') &lt;&gt;TRIM(CAST(X."&amp;F32&amp;" AS STRING)),1,0)) AS NUM_REG_DIF,'"&amp;MAX('ID1&amp;5'!K:K)+1&amp;"' AS ID_EXEC, CURRENT_TIMESTAMP() AS TIME_EXEC FROM "&amp;I32,
IF(C32="Missings",+"SELECT '"&amp;UPPER(B32)&amp;"' AS TABELA, '"&amp;UPPER(C32)&amp;"' AS TIPOLOGIA_TESTE,'"&amp;D32&amp;"' AS TABELA_LT,'N/A' AS TABELA_SIMUL,'"&amp;F32&amp;"' AS CAMPO, "&amp;"'${ref_date}' AS REF_DATE, COUNT(*) AS NUM_REG, SUM(IF(TRIM(CAST(X."&amp;F32&amp;" AS STRING)) IN ('0000-00-00','0001-01-01','9999-12-31','MISS','00000','99999999999','99999999999.00','99999999999.000000'),1,0)) AS NUM_REG_DIF,'"&amp;MAX('ID1&amp;5'!K:K)+1&amp;"' AS ID_EXEC, CURRENT_TIMESTAMP() AS TIME_EXEC FROM "&amp;I32,
IF(C32="Not applicable",+"SELECT '"&amp;UPPER(B32)&amp;"' AS TABELA, '"&amp;UPPER(C32)&amp;"' AS TIPOLOGIA_TESTE,'"&amp;D32&amp;"' AS TABELA_LT,'N/A' AS TABELA_SIMUL,'"&amp;F32&amp;"' AS CAMPO, "&amp;"'${ref_date}' AS REF_DATE, COUNT(*) AS NUM_REG, SUM(IF(TRIM(CAST(X."&amp;F32&amp;" AS STRING)) IN ('N/A','11111111111','11111111111.00','11111111111.000000','1111-11-11'),1,0)) AS NUM_REG_DIF,'"&amp;MAX('ID1&amp;5'!K:K)+1&amp;"' AS ID_EXEC, CURRENT_TIMESTAMP() AS TIME_EXEC FROM "&amp;I32,
IF(C32="Valores extremos",+"SELECT '"&amp;UPPER(B32)&amp;"' AS TABELA, '"&amp;UPPER(C32)&amp;"' AS TIPOLOGIA_TESTE,'"&amp;D32&amp;"' AS TABELA_LT,'N/A' AS TABELA_SIMUL,'"&amp;F32&amp;"' AS CAMPO, "&amp;"'${ref_date}' AS REF_DATE, CAST(MIN("&amp;F32&amp;") AS STRING) AS VALOR_MIN, CAST(MAX("&amp;F32&amp;") AS STRING) AS VALOR_MAX,'"&amp;MAX('ID1&amp;5'!K:K)+1&amp;"' AS ID_EXEC, CURRENT_TIMESTAMP() AS TIME_EXEC FROM "&amp;MID(I32,1,LEN(I32)-2)&amp;" AND CAST("&amp;F32&amp;"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TABELA_SIMUL,'ENTRPRS_SZ_LE' AS CAMPO, '${ref_date}' AS REF_DATE, COUNT(*) AS NUM_REG, SUM(IF(COALESCE(CAST(X.ENTRPRS_SZ_LE AS STRING),'')&lt;&gt;COALESCE(CAST(Y.ENTRPRS_SZ_LE_SIMUL AS STRING),'') OR (X.ENTRPRS_SZ_LE IS NULL AND Y.ENTRPRS_SZ_LE_SIMUL IS NOT NULL ) OR (X.ENTRPRS_SZ_LE IS NOT NULL AND Y.ENTRPRS_SZ_LE_SIMUL IS NULL),1,0)) AS NUM_REG_DIF,'1' AS ID_EXEC, CURRENT_TIMESTAMP() AS TIME_EXEC FROM (SELECT entty_id, ENTRPRS_SZ_LE FROM CD_LOAN_TAPES_BCE.LT003_ENTITY WHERE ref_date='${ref_date}' AND nome_perimetro='Individual Local' AND segmento='ESTR' AND ambito='SRB_MBDT' AND entidade='00100')X INNER JOIN (SELECT entty_id AS entty_id_SIMUL, ENTRPRS_SZ_LE AS ENTRPRS_SZ_LE_SIMUL FROM BU_LOANTAPE_WORK.LT003_ENTITY WHERE ref_date='${ref_date}' AND nome_perimetro='Individual Local' AND segmento='ESTR' AND ambito='PM' AND entidade='00100')Y ON X.ENTTY_ID=Y.ENTTY_ID_SIMUL</v>
      </c>
      <c r="M32" s="36" t="str">
        <f t="shared" si="3"/>
        <v>UNION ALL SELECT 'ENTITY' AS TABELA, 'COERÊNCIA' AS TIPOLOGIA_TESTE,'CD_LOAN_TAPES_BCE.LT003_ENTITY' AS TABELA_LT,'BU_LOANTAPE_WORK.LT003_ENTITY' AS TABELA_SIMUL,'ENTRPRS_SZ_LE' AS CAMPO, '${ref_date}' AS REF_DATE, COUNT(*) AS NUM_REG, SUM(IF(COALESCE(CAST(X.ENTRPRS_SZ_LE AS STRING),'')&lt;&gt;COALESCE(CAST(Y.ENTRPRS_SZ_LE_SIMUL AS STRING),'') OR (X.ENTRPRS_SZ_LE IS NULL AND Y.ENTRPRS_SZ_LE_SIMUL IS NOT NULL ) OR (X.ENTRPRS_SZ_LE IS NOT NULL AND Y.ENTRPRS_SZ_LE_SIMUL IS NULL),1,0)) AS NUM_REG_DIF,'1' AS ID_EXEC, CURRENT_TIMESTAMP() AS TIME_EXEC FROM (SELECT entty_id, ENTRPRS_SZ_LE FROM CD_LOAN_TAPES_BCE.LT003_ENTITY WHERE ref_date='${ref_date}' AND nome_perimetro='Individual Local' AND segmento='ESTR' AND ambito='SRB_MBDT' AND entidade='00100')X INNER JOIN (SELECT entty_id AS entty_id_SIMUL, ENTRPRS_SZ_LE AS ENTRPRS_SZ_LE_SIMUL FROM BU_LOANTAPE_WORK.LT003_ENTITY WHERE ref_date='${ref_date}' AND nome_perimetro='Individual Local' AND segmento='ESTR' AND ambito='PM' AND entidade='00100')Y ON X.ENTTY_ID=Y.ENTTY_ID_SIMUL</v>
      </c>
      <c r="N32" s="38" t="s">
        <v>36</v>
      </c>
    </row>
    <row r="33" spans="1:14">
      <c r="A33" s="60" t="str">
        <f t="shared" si="0"/>
        <v>ENTITYINSTITUTIONAL_SECTOR</v>
      </c>
      <c r="B33" s="34" t="s">
        <v>114</v>
      </c>
      <c r="C33" s="34" t="s">
        <v>5</v>
      </c>
      <c r="D33" s="34" t="str">
        <f>+UPPER('0. Instruções'!$D$35&amp;"."&amp;VLOOKUP(B33,'0. Instruções'!$C$27:$D$32,2,FALSE))</f>
        <v>CD_LOAN_TAPES_BCE.LT003_ENTITY</v>
      </c>
      <c r="E33" s="34" t="str">
        <f>+UPPER('0. Instruções'!$D$36&amp;"."&amp;VLOOKUP(B33,'0. Instruções'!$C$27:$E$32,3,FALSE))</f>
        <v>BU_LOANTAPE_WORK.LT003_ENTITY</v>
      </c>
      <c r="F33" s="111" t="s">
        <v>1580</v>
      </c>
      <c r="G33" s="34"/>
      <c r="H33" s="34"/>
      <c r="I33" s="34" t="str">
        <f>"(SELECT "&amp;VLOOKUP(B33,'0. Instruções'!$C$27:$G$32,4,FALSE)&amp;", "&amp;F33&amp;" FROM "&amp;D33&amp;" WHERE "&amp;'0. Instruções'!$D$42&amp;")X"</f>
        <v>(SELECT entty_id, INSTITUTIONAL_SECTOR FROM CD_LOAN_TAPES_BCE.LT003_ENTITY WHERE ref_date='${ref_date}' AND nome_perimetro='Individual Local' AND segmento='ESTR' AND ambito='SRB_MBDT' AND entidade='00100')X</v>
      </c>
      <c r="J33" s="34" t="str">
        <f>"(SELECT "&amp;VLOOKUP(B33,'0. Instruções'!$C$27:$G$32,4,FALSE)&amp;" AS "&amp;VLOOKUP(B33,'0. Instruções'!$C$27:$G$32,4,FALSE)&amp;"_SIMUL, "&amp;F33&amp;" AS "&amp;F33&amp;"_SIMUL FROM "&amp;E33&amp;" WHERE "&amp;'0. Instruções'!$D$43&amp;")Y"</f>
        <v>(SELECT entty_id AS entty_id_SIMUL, INSTITUTIONAL_SECTOR AS INSTITUTIONAL_SECTOR_SIMUL FROM BU_LOANTAPE_WORK.LT003_ENTITY WHERE ref_date='${ref_date}' AND nome_perimetro='Individual Local' AND segmento='ESTR' AND ambito='PM' AND entidade='00100')Y</v>
      </c>
      <c r="K33" s="35" t="str">
        <f>+UPPER("ON X."&amp;VLOOKUP(B33,'0. Instruções'!$C$27:$G$32,4,FALSE)&amp;"=Y."&amp;VLOOKUP(B33,'0. Instruções'!$C$27:$G$32,4,FALSE)&amp;"_SIMUL")</f>
        <v>ON X.ENTTY_ID=Y.ENTTY_ID_SIMUL</v>
      </c>
      <c r="L33" s="35" t="str">
        <f>+IF(C33="Coerência", +IF(LEFT(G33,5)="FLOAT","SELECT '"&amp;UPPER(B33)&amp;"' AS TABELA, '"&amp;UPPER(C33)&amp;"' AS TIPOLOGIA_TESTE,'"&amp;D33&amp;"' AS TABELA_LT,'"&amp;E33&amp;"' AS TABELA_SIMUL,'"&amp;F33&amp;"' AS CAMPO, "&amp;"'${ref_date}' AS REF_DATE, COUNT(*) AS NUM_REG, SUM(IF((ABS(COALESCE(CAST(X."&amp;F33&amp;" AS DECIMAL(18,6)),0)-COALESCE(CAST(Y."&amp;F33&amp;"_SIMUL AS DECIMAL(18,6)),0))&gt;0.000001) OR (X."&amp;F33&amp;" IS NULL AND Y."&amp;F33&amp;"_SIMUL IS NOT NULL ) OR (X."&amp;F33&amp;" IS NOT NULL AND Y."&amp;F33&amp;"_SIMUL IS NULL),1,0)) AS NUM_REG_DIF,'"&amp;MAX('ID1&amp;5'!K:K)+1&amp;"' AS ID_EXEC, CURRENT_TIMESTAMP() AS TIME_EXEC FROM "&amp;I33&amp;" INNER JOIN "&amp;J33&amp;" "&amp;K33,"SELECT '"&amp;UPPER(B33)&amp;"' AS TABELA, '"&amp;UPPER(C33)&amp;"' AS TIPOLOGIA_TESTE,'"&amp;D33&amp;"' AS TABELA_LT,'"&amp;E33&amp;"' AS TABELA_SIMUL,'"&amp;F33&amp;"' AS CAMPO, "&amp;"'${ref_date}' AS REF_DATE, COUNT(*) AS NUM_REG, SUM(IF(COALESCE(CAST(X."&amp;F33&amp;" AS STRING),'')&lt;&gt;COALESCE(CAST(Y."&amp;F33&amp;"_SIMUL AS STRING),'') OR (X."&amp;F33&amp;" IS NULL AND Y."&amp;F33&amp;"_SIMUL IS NOT NULL ) OR (X."&amp;F33&amp;" IS NOT NULL AND Y."&amp;F33&amp;"_SIMUL IS NULL),1,0)) AS NUM_REG_DIF,'"&amp;MAX('ID1&amp;5'!L:L)+1&amp;"' AS ID_EXEC, CURRENT_TIMESTAMP() AS TIME_EXEC FROM "&amp;I33&amp;" INNER JOIN "&amp;J33&amp;" "&amp;K33),
IF(C33="Validade",+IF(G33="Code List","SELECT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 OR CAST(X."&amp;F33&amp;" AS STRING) NOT "&amp;H33&amp;",1,0)) AS NUM_REG_DIF,'"&amp;MAX('ID1&amp;5'!K:K)+1&amp;"' AS ID_EXEC, CURRENT_TIMESTAMP() AS TIME_EXEC FROM "&amp;I33,"SELECT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NULL,1,0)) AS NUM_REG_DIF,'"&amp;MAX('ID1&amp;5'!K:K)+1&amp;"' AS ID_EXEC, CURRENT_TIMESTAMP() AS TIME_EXEC FROM "&amp;I33),
IF(C33="Caracteres Especiais",+"SELECT '"&amp;UPPER(B33)&amp;"' AS TABELA, '"&amp;UPPER(C33)&amp;"' AS TIPOLOGIA_TESTE,'"&amp;D33&amp;"' AS TABELA_LT,'N/A' AS TABELA_SIMUL,'"&amp;F33&amp;"' AS CAMPO, "&amp;"'${ref_date}' AS REF_DATE, COUNT(*) AS NUM_REG, SUM(IF(REGEXP_REPLACE(TRIM(CAST(X."&amp;F33&amp;" AS STRING)),'[^a-zA-Z0-9_\\s]','') &lt;&gt;TRIM(CAST(X."&amp;F33&amp;" AS STRING)),1,0)) AS NUM_REG_DIF,'"&amp;MAX('ID1&amp;5'!K:K)+1&amp;"' AS ID_EXEC, CURRENT_TIMESTAMP() AS TIME_EXEC FROM "&amp;I33,
IF(C33="Missings",+"SELECT '"&amp;UPPER(B33)&amp;"' AS TABELA, '"&amp;UPPER(C33)&amp;"' AS TIPOLOGIA_TESTE,'"&amp;D33&amp;"' AS TABELA_LT,'N/A' AS TABELA_SIMUL,'"&amp;F33&amp;"' AS CAMPO, "&amp;"'${ref_date}' AS REF_DATE, COUNT(*) AS NUM_REG, SUM(IF(TRIM(CAST(X."&amp;F33&amp;" AS STRING)) IN ('0000-00-00','0001-01-01','9999-12-31','MISS','00000','99999999999','99999999999.00','99999999999.000000'),1,0)) AS NUM_REG_DIF,'"&amp;MAX('ID1&amp;5'!K:K)+1&amp;"' AS ID_EXEC, CURRENT_TIMESTAMP() AS TIME_EXEC FROM "&amp;I33,
IF(C33="Not applicable",+"SELECT '"&amp;UPPER(B33)&amp;"' AS TABELA, '"&amp;UPPER(C33)&amp;"' AS TIPOLOGIA_TESTE,'"&amp;D33&amp;"' AS TABELA_LT,'N/A' AS TABELA_SIMUL,'"&amp;F33&amp;"' AS CAMPO, "&amp;"'${ref_date}' AS REF_DATE, COUNT(*) AS NUM_REG, SUM(IF(TRIM(CAST(X."&amp;F33&amp;" AS STRING)) IN ('N/A','11111111111','11111111111.00','11111111111.000000','1111-11-11'),1,0)) AS NUM_REG_DIF,'"&amp;MAX('ID1&amp;5'!K:K)+1&amp;"' AS ID_EXEC, CURRENT_TIMESTAMP() AS TIME_EXEC FROM "&amp;I33,
IF(C33="Valores extremos",+"SELECT '"&amp;UPPER(B33)&amp;"' AS TABELA, '"&amp;UPPER(C33)&amp;"' AS TIPOLOGIA_TESTE,'"&amp;D33&amp;"' AS TABELA_LT,'N/A' AS TABELA_SIMUL,'"&amp;F33&amp;"' AS CAMPO, "&amp;"'${ref_date}' AS REF_DATE, CAST(MIN("&amp;F33&amp;") AS STRING) AS VALOR_MIN, CAST(MAX("&amp;F33&amp;") AS STRING) AS VALOR_MAX,'"&amp;MAX('ID1&amp;5'!K:K)+1&amp;"' AS ID_EXEC, CURRENT_TIMESTAMP() AS TIME_EXEC FROM "&amp;MID(I33,1,LEN(I33)-2)&amp;" AND CAST("&amp;F33&amp;"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TABELA_SIMUL,'INSTITUTIONAL_SECTOR' AS CAMPO, '${ref_date}' AS REF_DATE, COUNT(*) AS NUM_REG, SUM(IF(COALESCE(CAST(X.INSTITUTIONAL_SECTOR AS STRING),'')&lt;&gt;COALESCE(CAST(Y.INSTITUTIONAL_SECTOR_SIMUL AS STRING),'') OR (X.INSTITUTIONAL_SECTOR IS NULL AND Y.INSTITUTIONAL_SECTOR_SIMUL IS NOT NULL ) OR (X.INSTITUTIONAL_SECTOR IS NOT NULL AND Y.INSTITUTIONAL_SECTOR_SIMUL IS NULL),1,0)) AS NUM_REG_DIF,'1' AS ID_EXEC, CURRENT_TIMESTAMP() AS TIME_EXEC FROM (SELECT entty_id, INSTITUTIONAL_SECTOR FROM CD_LOAN_TAPES_BCE.LT003_ENTITY WHERE ref_date='${ref_date}' AND nome_perimetro='Individual Local' AND segmento='ESTR' AND ambito='SRB_MBDT' AND entidade='00100')X INNER JOIN (SELECT entty_id AS entty_id_SIMUL, INSTITUTIONAL_SECTOR AS INSTITUTIONAL_SECTOR_SIMUL FROM BU_LOANTAPE_WORK.LT003_ENTITY WHERE ref_date='${ref_date}' AND nome_perimetro='Individual Local' AND segmento='ESTR' AND ambito='PM' AND entidade='00100')Y ON X.ENTTY_ID=Y.ENTTY_ID_SIMUL</v>
      </c>
      <c r="M33" s="36" t="str">
        <f t="shared" ref="M33:M47" si="4">+"UNION ALL "&amp;L33</f>
        <v>UNION ALL SELECT 'ENTITY' AS TABELA, 'COERÊNCIA' AS TIPOLOGIA_TESTE,'CD_LOAN_TAPES_BCE.LT003_ENTITY' AS TABELA_LT,'BU_LOANTAPE_WORK.LT003_ENTITY' AS TABELA_SIMUL,'INSTITUTIONAL_SECTOR' AS CAMPO, '${ref_date}' AS REF_DATE, COUNT(*) AS NUM_REG, SUM(IF(COALESCE(CAST(X.INSTITUTIONAL_SECTOR AS STRING),'')&lt;&gt;COALESCE(CAST(Y.INSTITUTIONAL_SECTOR_SIMUL AS STRING),'') OR (X.INSTITUTIONAL_SECTOR IS NULL AND Y.INSTITUTIONAL_SECTOR_SIMUL IS NOT NULL ) OR (X.INSTITUTIONAL_SECTOR IS NOT NULL AND Y.INSTITUTIONAL_SECTOR_SIMUL IS NULL),1,0)) AS NUM_REG_DIF,'1' AS ID_EXEC, CURRENT_TIMESTAMP() AS TIME_EXEC FROM (SELECT entty_id, INSTITUTIONAL_SECTOR FROM CD_LOAN_TAPES_BCE.LT003_ENTITY WHERE ref_date='${ref_date}' AND nome_perimetro='Individual Local' AND segmento='ESTR' AND ambito='SRB_MBDT' AND entidade='00100')X INNER JOIN (SELECT entty_id AS entty_id_SIMUL, INSTITUTIONAL_SECTOR AS INSTITUTIONAL_SECTOR_SIMUL FROM BU_LOANTAPE_WORK.LT003_ENTITY WHERE ref_date='${ref_date}' AND nome_perimetro='Individual Local' AND segmento='ESTR' AND ambito='PM' AND entidade='00100')Y ON X.ENTTY_ID=Y.ENTTY_ID_SIMUL</v>
      </c>
      <c r="N33" s="38" t="s">
        <v>36</v>
      </c>
    </row>
    <row r="34" spans="1:14">
      <c r="A34" s="60" t="str">
        <f t="shared" si="0"/>
        <v>ENTITYINTRNL_SGMNT</v>
      </c>
      <c r="B34" s="34" t="s">
        <v>114</v>
      </c>
      <c r="C34" s="34" t="s">
        <v>5</v>
      </c>
      <c r="D34" s="34" t="str">
        <f>+UPPER('0. Instruções'!$D$35&amp;"."&amp;VLOOKUP(B34,'0. Instruções'!$C$27:$D$32,2,FALSE))</f>
        <v>CD_LOAN_TAPES_BCE.LT003_ENTITY</v>
      </c>
      <c r="E34" s="34" t="str">
        <f>+UPPER('0. Instruções'!$D$36&amp;"."&amp;VLOOKUP(B34,'0. Instruções'!$C$27:$E$32,3,FALSE))</f>
        <v>BU_LOANTAPE_WORK.LT003_ENTITY</v>
      </c>
      <c r="F34" s="111" t="s">
        <v>315</v>
      </c>
      <c r="G34" s="34"/>
      <c r="H34" s="34"/>
      <c r="I34" s="34" t="str">
        <f>"(SELECT "&amp;VLOOKUP(B34,'0. Instruções'!$C$27:$G$32,4,FALSE)&amp;", "&amp;F34&amp;" FROM "&amp;D34&amp;" WHERE "&amp;'0. Instruções'!$D$42&amp;")X"</f>
        <v>(SELECT entty_id, INTRNL_SGMNT FROM CD_LOAN_TAPES_BCE.LT003_ENTITY WHERE ref_date='${ref_date}' AND nome_perimetro='Individual Local' AND segmento='ESTR' AND ambito='SRB_MBDT' AND entidade='00100')X</v>
      </c>
      <c r="J34" s="34" t="str">
        <f>"(SELECT "&amp;VLOOKUP(B34,'0. Instruções'!$C$27:$G$32,4,FALSE)&amp;" AS "&amp;VLOOKUP(B34,'0. Instruções'!$C$27:$G$32,4,FALSE)&amp;"_SIMUL, "&amp;F34&amp;" AS "&amp;F34&amp;"_SIMUL FROM "&amp;E34&amp;" WHERE "&amp;'0. Instruções'!$D$43&amp;")Y"</f>
        <v>(SELECT entty_id AS entty_id_SIMUL, INTRNL_SGMNT AS INTRNL_SGMNT_SIMUL FROM BU_LOANTAPE_WORK.LT003_ENTITY WHERE ref_date='${ref_date}' AND nome_perimetro='Individual Local' AND segmento='ESTR' AND ambito='PM' AND entidade='00100')Y</v>
      </c>
      <c r="K34" s="35" t="str">
        <f>+UPPER("ON X."&amp;VLOOKUP(B34,'0. Instruções'!$C$27:$G$32,4,FALSE)&amp;"=Y."&amp;VLOOKUP(B34,'0. Instruções'!$C$27:$G$32,4,FALSE)&amp;"_SIMUL")</f>
        <v>ON X.ENTTY_ID=Y.ENTTY_ID_SIMUL</v>
      </c>
      <c r="L34" s="35" t="str">
        <f>+IF(C34="Coerência", +IF(LEFT(G34,5)="FLOAT","SELECT '"&amp;UPPER(B34)&amp;"' AS TABELA, '"&amp;UPPER(C34)&amp;"' AS TIPOLOGIA_TESTE,'"&amp;D34&amp;"' AS TABELA_LT,'"&amp;E34&amp;"' AS TABELA_SIMUL,'"&amp;F34&amp;"' AS CAMPO, "&amp;"'${ref_date}' AS REF_DATE, COUNT(*) AS NUM_REG, SUM(IF((ABS(COALESCE(CAST(X."&amp;F34&amp;" AS DECIMAL(18,6)),0)-COALESCE(CAST(Y."&amp;F34&amp;"_SIMUL AS DECIMAL(18,6)),0))&gt;0.000001) OR (X."&amp;F34&amp;" IS NULL AND Y."&amp;F34&amp;"_SIMUL IS NOT NULL ) OR (X."&amp;F34&amp;" IS NOT NULL AND Y."&amp;F34&amp;"_SIMUL IS NULL),1,0)) AS NUM_REG_DIF,'"&amp;MAX('ID1&amp;5'!K:K)+1&amp;"' AS ID_EXEC, CURRENT_TIMESTAMP() AS TIME_EXEC FROM "&amp;I34&amp;" INNER JOIN "&amp;J34&amp;" "&amp;K34,"SELECT '"&amp;UPPER(B34)&amp;"' AS TABELA, '"&amp;UPPER(C34)&amp;"' AS TIPOLOGIA_TESTE,'"&amp;D34&amp;"' AS TABELA_LT,'"&amp;E34&amp;"' AS TABELA_SIMUL,'"&amp;F34&amp;"' AS CAMPO, "&amp;"'${ref_date}' AS REF_DATE, COUNT(*) AS NUM_REG, SUM(IF(COALESCE(CAST(X."&amp;F34&amp;" AS STRING),'')&lt;&gt;COALESCE(CAST(Y."&amp;F34&amp;"_SIMUL AS STRING),'') OR (X."&amp;F34&amp;" IS NULL AND Y."&amp;F34&amp;"_SIMUL IS NOT NULL ) OR (X."&amp;F34&amp;" IS NOT NULL AND Y."&amp;F34&amp;"_SIMUL IS NULL),1,0)) AS NUM_REG_DIF,'"&amp;MAX('ID1&amp;5'!L:L)+1&amp;"' AS ID_EXEC, CURRENT_TIMESTAMP() AS TIME_EXEC FROM "&amp;I34&amp;" INNER JOIN "&amp;J34&amp;" "&amp;K34),
IF(C34="Validade",+IF(G34="Code List","SELECT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 OR CAST(X."&amp;F34&amp;" AS STRING) NOT "&amp;H34&amp;",1,0)) AS NUM_REG_DIF,'"&amp;MAX('ID1&amp;5'!K:K)+1&amp;"' AS ID_EXEC, CURRENT_TIMESTAMP() AS TIME_EXEC FROM "&amp;I34,"SELECT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NULL,1,0)) AS NUM_REG_DIF,'"&amp;MAX('ID1&amp;5'!K:K)+1&amp;"' AS ID_EXEC, CURRENT_TIMESTAMP() AS TIME_EXEC FROM "&amp;I34),
IF(C34="Caracteres Especiais",+"SELECT '"&amp;UPPER(B34)&amp;"' AS TABELA, '"&amp;UPPER(C34)&amp;"' AS TIPOLOGIA_TESTE,'"&amp;D34&amp;"' AS TABELA_LT,'N/A' AS TABELA_SIMUL,'"&amp;F34&amp;"' AS CAMPO, "&amp;"'${ref_date}' AS REF_DATE, COUNT(*) AS NUM_REG, SUM(IF(REGEXP_REPLACE(TRIM(CAST(X."&amp;F34&amp;" AS STRING)),'[^a-zA-Z0-9_\\s]','') &lt;&gt;TRIM(CAST(X."&amp;F34&amp;" AS STRING)),1,0)) AS NUM_REG_DIF,'"&amp;MAX('ID1&amp;5'!K:K)+1&amp;"' AS ID_EXEC, CURRENT_TIMESTAMP() AS TIME_EXEC FROM "&amp;I34,
IF(C34="Missings",+"SELECT '"&amp;UPPER(B34)&amp;"' AS TABELA, '"&amp;UPPER(C34)&amp;"' AS TIPOLOGIA_TESTE,'"&amp;D34&amp;"' AS TABELA_LT,'N/A' AS TABELA_SIMUL,'"&amp;F34&amp;"' AS CAMPO, "&amp;"'${ref_date}' AS REF_DATE, COUNT(*) AS NUM_REG, SUM(IF(TRIM(CAST(X."&amp;F34&amp;" AS STRING)) IN ('0000-00-00','0001-01-01','9999-12-31','MISS','00000','99999999999','99999999999.00','99999999999.000000'),1,0)) AS NUM_REG_DIF,'"&amp;MAX('ID1&amp;5'!K:K)+1&amp;"' AS ID_EXEC, CURRENT_TIMESTAMP() AS TIME_EXEC FROM "&amp;I34,
IF(C34="Not applicable",+"SELECT '"&amp;UPPER(B34)&amp;"' AS TABELA, '"&amp;UPPER(C34)&amp;"' AS TIPOLOGIA_TESTE,'"&amp;D34&amp;"' AS TABELA_LT,'N/A' AS TABELA_SIMUL,'"&amp;F34&amp;"' AS CAMPO, "&amp;"'${ref_date}' AS REF_DATE, COUNT(*) AS NUM_REG, SUM(IF(TRIM(CAST(X."&amp;F34&amp;" AS STRING)) IN ('N/A','11111111111','11111111111.00','11111111111.000000','1111-11-11'),1,0)) AS NUM_REG_DIF,'"&amp;MAX('ID1&amp;5'!K:K)+1&amp;"' AS ID_EXEC, CURRENT_TIMESTAMP() AS TIME_EXEC FROM "&amp;I34,
IF(C34="Valores extremos",+"SELECT '"&amp;UPPER(B34)&amp;"' AS TABELA, '"&amp;UPPER(C34)&amp;"' AS TIPOLOGIA_TESTE,'"&amp;D34&amp;"' AS TABELA_LT,'N/A' AS TABELA_SIMUL,'"&amp;F34&amp;"' AS CAMPO, "&amp;"'${ref_date}' AS REF_DATE, CAST(MIN("&amp;F34&amp;") AS STRING) AS VALOR_MIN, CAST(MAX("&amp;F34&amp;") AS STRING) AS VALOR_MAX,'"&amp;MAX('ID1&amp;5'!K:K)+1&amp;"' AS ID_EXEC, CURRENT_TIMESTAMP() AS TIME_EXEC FROM "&amp;MID(I34,1,LEN(I34)-2)&amp;" AND CAST("&amp;F34&amp;"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entty_id, INTRNL_SGMNT FROM CD_LOAN_TAPES_BCE.LT003_ENTITY WHERE ref_date='${ref_date}' AND nome_perimetro='Individual Local' AND segmento='ESTR' AND ambito='SRB_MBDT' AND entidade='00100')X INNER JOIN (SELECT entty_id AS entty_id_SIMUL, INTRNL_SGMNT AS INTRNL_SGMNT_SIMUL FROM BU_LOANTAPE_WORK.LT003_ENTITY WHERE ref_date='${ref_date}' AND nome_perimetro='Individual Local' AND segmento='ESTR' AND ambito='PM' AND entidade='00100')Y ON X.ENTTY_ID=Y.ENTTY_ID_SIMUL</v>
      </c>
      <c r="M34" s="36" t="str">
        <f t="shared" si="4"/>
        <v>UNION ALL SELECT 'ENTITY' AS TABELA, 'COERÊNCIA' AS TIPOLOGIA_TESTE,'CD_LOAN_TAPES_BCE.LT003_ENTITY' AS TABELA_LT,'BU_LOANTAPE_WORK.LT003_ENTITY'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entty_id, INTRNL_SGMNT FROM CD_LOAN_TAPES_BCE.LT003_ENTITY WHERE ref_date='${ref_date}' AND nome_perimetro='Individual Local' AND segmento='ESTR' AND ambito='SRB_MBDT' AND entidade='00100')X INNER JOIN (SELECT entty_id AS entty_id_SIMUL, INTRNL_SGMNT AS INTRNL_SGMNT_SIMUL FROM BU_LOANTAPE_WORK.LT003_ENTITY WHERE ref_date='${ref_date}' AND nome_perimetro='Individual Local' AND segmento='ESTR' AND ambito='PM' AND entidade='00100')Y ON X.ENTTY_ID=Y.ENTTY_ID_SIMUL</v>
      </c>
      <c r="N34" s="38" t="s">
        <v>36</v>
      </c>
    </row>
    <row r="35" spans="1:14">
      <c r="A35" s="60" t="str">
        <f t="shared" si="0"/>
        <v>ENTITYCOD_SOC</v>
      </c>
      <c r="B35" s="34" t="s">
        <v>114</v>
      </c>
      <c r="C35" s="34" t="s">
        <v>5</v>
      </c>
      <c r="D35" s="34" t="str">
        <f>+UPPER('0. Instruções'!$D$35&amp;"."&amp;VLOOKUP(B35,'0. Instruções'!$C$27:$D$32,2,FALSE))</f>
        <v>CD_LOAN_TAPES_BCE.LT003_ENTITY</v>
      </c>
      <c r="E35" s="34" t="str">
        <f>+UPPER('0. Instruções'!$D$36&amp;"."&amp;VLOOKUP(B35,'0. Instruções'!$C$27:$E$32,3,FALSE))</f>
        <v>BU_LOANTAPE_WORK.LT003_ENTITY</v>
      </c>
      <c r="F35" s="111" t="s">
        <v>96</v>
      </c>
      <c r="G35" s="34"/>
      <c r="H35" s="34"/>
      <c r="I35" s="34" t="str">
        <f>"(SELECT "&amp;VLOOKUP(B35,'0. Instruções'!$C$27:$G$32,4,FALSE)&amp;", "&amp;F35&amp;" FROM "&amp;D35&amp;" WHERE "&amp;'0. Instruções'!$D$42&amp;")X"</f>
        <v>(SELECT entty_id, COD_SOC FROM CD_LOAN_TAPES_BCE.LT003_ENTITY WHERE ref_date='${ref_date}' AND nome_perimetro='Individual Local' AND segmento='ESTR' AND ambito='SRB_MBDT' AND entidade='00100')X</v>
      </c>
      <c r="J35" s="34" t="str">
        <f>"(SELECT "&amp;VLOOKUP(B35,'0. Instruções'!$C$27:$G$32,4,FALSE)&amp;" AS "&amp;VLOOKUP(B35,'0. Instruções'!$C$27:$G$32,4,FALSE)&amp;"_SIMUL, "&amp;F35&amp;" AS "&amp;F35&amp;"_SIMUL FROM "&amp;E35&amp;" WHERE "&amp;'0. Instruções'!$D$43&amp;")Y"</f>
        <v>(SELECT entty_id AS entty_id_SIMUL, COD_SOC AS COD_SOC_SIMUL FROM BU_LOANTAPE_WORK.LT003_ENTITY WHERE ref_date='${ref_date}' AND nome_perimetro='Individual Local' AND segmento='ESTR' AND ambito='PM' AND entidade='00100')Y</v>
      </c>
      <c r="K35" s="35" t="str">
        <f>+UPPER("ON X."&amp;VLOOKUP(B35,'0. Instruções'!$C$27:$G$32,4,FALSE)&amp;"=Y."&amp;VLOOKUP(B35,'0. Instruções'!$C$27:$G$32,4,FALSE)&amp;"_SIMUL")</f>
        <v>ON X.ENTTY_ID=Y.ENTTY_ID_SIMUL</v>
      </c>
      <c r="L35" s="35" t="str">
        <f>+IF(C35="Coerência", +IF(LEFT(G35,5)="FLOAT","SELECT '"&amp;UPPER(B35)&amp;"' AS TABELA, '"&amp;UPPER(C35)&amp;"' AS TIPOLOGIA_TESTE,'"&amp;D35&amp;"' AS TABELA_LT,'"&amp;E35&amp;"' AS TABELA_SIMUL,'"&amp;F35&amp;"' AS CAMPO, "&amp;"'${ref_date}' AS REF_DATE, COUNT(*) AS NUM_REG, SUM(IF((ABS(COALESCE(CAST(X."&amp;F35&amp;" AS DECIMAL(18,6)),0)-COALESCE(CAST(Y."&amp;F35&amp;"_SIMUL AS DECIMAL(18,6)),0))&gt;0.000001) OR (X."&amp;F35&amp;" IS NULL AND Y."&amp;F35&amp;"_SIMUL IS NOT NULL ) OR (X."&amp;F35&amp;" IS NOT NULL AND Y."&amp;F35&amp;"_SIMUL IS NULL),1,0)) AS NUM_REG_DIF,'"&amp;MAX('ID1&amp;5'!K:K)+1&amp;"' AS ID_EXEC, CURRENT_TIMESTAMP() AS TIME_EXEC FROM "&amp;I35&amp;" INNER JOIN "&amp;J35&amp;" "&amp;K35,"SELECT '"&amp;UPPER(B35)&amp;"' AS TABELA, '"&amp;UPPER(C35)&amp;"' AS TIPOLOGIA_TESTE,'"&amp;D35&amp;"' AS TABELA_LT,'"&amp;E35&amp;"' AS TABELA_SIMUL,'"&amp;F35&amp;"' AS CAMPO, "&amp;"'${ref_date}' AS REF_DATE, COUNT(*) AS NUM_REG, SUM(IF(COALESCE(CAST(X."&amp;F35&amp;" AS STRING),'')&lt;&gt;COALESCE(CAST(Y."&amp;F35&amp;"_SIMUL AS STRING),'') OR (X."&amp;F35&amp;" IS NULL AND Y."&amp;F35&amp;"_SIMUL IS NOT NULL ) OR (X."&amp;F35&amp;" IS NOT NULL AND Y."&amp;F35&amp;"_SIMUL IS NULL),1,0)) AS NUM_REG_DIF,'"&amp;MAX('ID1&amp;5'!L:L)+1&amp;"' AS ID_EXEC, CURRENT_TIMESTAMP() AS TIME_EXEC FROM "&amp;I35&amp;" INNER JOIN "&amp;J35&amp;" "&amp;K35),
IF(C35="Validade",+IF(G35="Code List","SELECT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 OR CAST(X."&amp;F35&amp;" AS STRING) NOT "&amp;H35&amp;",1,0)) AS NUM_REG_DIF,'"&amp;MAX('ID1&amp;5'!K:K)+1&amp;"' AS ID_EXEC, CURRENT_TIMESTAMP() AS TIME_EXEC FROM "&amp;I35,"SELECT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NULL,1,0)) AS NUM_REG_DIF,'"&amp;MAX('ID1&amp;5'!K:K)+1&amp;"' AS ID_EXEC, CURRENT_TIMESTAMP() AS TIME_EXEC FROM "&amp;I35),
IF(C35="Caracteres Especiais",+"SELECT '"&amp;UPPER(B35)&amp;"' AS TABELA, '"&amp;UPPER(C35)&amp;"' AS TIPOLOGIA_TESTE,'"&amp;D35&amp;"' AS TABELA_LT,'N/A' AS TABELA_SIMUL,'"&amp;F35&amp;"' AS CAMPO, "&amp;"'${ref_date}' AS REF_DATE, COUNT(*) AS NUM_REG, SUM(IF(REGEXP_REPLACE(TRIM(CAST(X."&amp;F35&amp;" AS STRING)),'[^a-zA-Z0-9_\\s]','') &lt;&gt;TRIM(CAST(X."&amp;F35&amp;" AS STRING)),1,0)) AS NUM_REG_DIF,'"&amp;MAX('ID1&amp;5'!K:K)+1&amp;"' AS ID_EXEC, CURRENT_TIMESTAMP() AS TIME_EXEC FROM "&amp;I35,
IF(C35="Missings",+"SELECT '"&amp;UPPER(B35)&amp;"' AS TABELA, '"&amp;UPPER(C35)&amp;"' AS TIPOLOGIA_TESTE,'"&amp;D35&amp;"' AS TABELA_LT,'N/A' AS TABELA_SIMUL,'"&amp;F35&amp;"' AS CAMPO, "&amp;"'${ref_date}' AS REF_DATE, COUNT(*) AS NUM_REG, SUM(IF(TRIM(CAST(X."&amp;F35&amp;" AS STRING)) IN ('0000-00-00','0001-01-01','9999-12-31','MISS','00000','99999999999','99999999999.00','99999999999.000000'),1,0)) AS NUM_REG_DIF,'"&amp;MAX('ID1&amp;5'!K:K)+1&amp;"' AS ID_EXEC, CURRENT_TIMESTAMP() AS TIME_EXEC FROM "&amp;I35,
IF(C35="Not applicable",+"SELECT '"&amp;UPPER(B35)&amp;"' AS TABELA, '"&amp;UPPER(C35)&amp;"' AS TIPOLOGIA_TESTE,'"&amp;D35&amp;"' AS TABELA_LT,'N/A' AS TABELA_SIMUL,'"&amp;F35&amp;"' AS CAMPO, "&amp;"'${ref_date}' AS REF_DATE, COUNT(*) AS NUM_REG, SUM(IF(TRIM(CAST(X."&amp;F35&amp;" AS STRING)) IN ('N/A','11111111111','11111111111.00','11111111111.000000','1111-11-11'),1,0)) AS NUM_REG_DIF,'"&amp;MAX('ID1&amp;5'!K:K)+1&amp;"' AS ID_EXEC, CURRENT_TIMESTAMP() AS TIME_EXEC FROM "&amp;I35,
IF(C35="Valores extremos",+"SELECT '"&amp;UPPER(B35)&amp;"' AS TABELA, '"&amp;UPPER(C35)&amp;"' AS TIPOLOGIA_TESTE,'"&amp;D35&amp;"' AS TABELA_LT,'N/A' AS TABELA_SIMUL,'"&amp;F35&amp;"' AS CAMPO, "&amp;"'${ref_date}' AS REF_DATE, CAST(MIN("&amp;F35&amp;") AS STRING) AS VALOR_MIN, CAST(MAX("&amp;F35&amp;") AS STRING) AS VALOR_MAX,'"&amp;MAX('ID1&amp;5'!K:K)+1&amp;"' AS ID_EXEC, CURRENT_TIMESTAMP() AS TIME_EXEC FROM "&amp;MID(I35,1,LEN(I35)-2)&amp;" AND CAST("&amp;F35&amp;"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entty_id, COD_SOC FROM CD_LOAN_TAPES_BCE.LT003_ENTITY WHERE ref_date='${ref_date}' AND nome_perimetro='Individual Local' AND segmento='ESTR' AND ambito='SRB_MBDT' AND entidade='00100')X INNER JOIN (SELECT entty_id AS entty_id_SIMUL, COD_SOC AS COD_SOC_SIMUL FROM BU_LOANTAPE_WORK.LT003_ENTITY WHERE ref_date='${ref_date}' AND nome_perimetro='Individual Local' AND segmento='ESTR' AND ambito='PM' AND entidade='00100')Y ON X.ENTTY_ID=Y.ENTTY_ID_SIMUL</v>
      </c>
      <c r="M35" s="36" t="str">
        <f t="shared" si="4"/>
        <v>UNION ALL SELECT 'ENTITY' AS TABELA, 'COERÊNCIA' AS TIPOLOGIA_TESTE,'CD_LOAN_TAPES_BCE.LT003_ENTITY' AS TABELA_LT,'BU_LOANTAPE_WORK.LT003_ENTITY'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entty_id, COD_SOC FROM CD_LOAN_TAPES_BCE.LT003_ENTITY WHERE ref_date='${ref_date}' AND nome_perimetro='Individual Local' AND segmento='ESTR' AND ambito='SRB_MBDT' AND entidade='00100')X INNER JOIN (SELECT entty_id AS entty_id_SIMUL, COD_SOC AS COD_SOC_SIMUL FROM BU_LOANTAPE_WORK.LT003_ENTITY WHERE ref_date='${ref_date}' AND nome_perimetro='Individual Local' AND segmento='ESTR' AND ambito='PM' AND entidade='00100')Y ON X.ENTTY_ID=Y.ENTTY_ID_SIMUL</v>
      </c>
      <c r="N35" s="38" t="s">
        <v>36</v>
      </c>
    </row>
    <row r="36" spans="1:14">
      <c r="A36" s="60" t="str">
        <f t="shared" si="0"/>
        <v>PROTECTIONPRTCTN_VL</v>
      </c>
      <c r="B36" s="34" t="s">
        <v>115</v>
      </c>
      <c r="C36" s="34" t="s">
        <v>5</v>
      </c>
      <c r="D36" s="34" t="str">
        <f>+UPPER('0. Instruções'!$D$35&amp;"."&amp;VLOOKUP(B36,'0. Instruções'!$C$27:$D$32,2,FALSE))</f>
        <v>CD_LOAN_TAPES_BCE.LT004_PROTECTION</v>
      </c>
      <c r="E36" s="34" t="str">
        <f>+UPPER('0. Instruções'!$D$36&amp;"."&amp;VLOOKUP(B36,'0. Instruções'!$C$27:$E$32,3,FALSE))</f>
        <v>BU_LOANTAPE_WORK.LT004_PROTECTION</v>
      </c>
      <c r="F36" s="111" t="s">
        <v>112</v>
      </c>
      <c r="G36" s="34"/>
      <c r="H36" s="34"/>
      <c r="I36" s="34" t="str">
        <f>"(SELECT "&amp;VLOOKUP(B36,'0. Instruções'!$C$27:$G$32,4,FALSE)&amp;", "&amp;F36&amp;" FROM "&amp;D36&amp;" WHERE "&amp;'0. Instruções'!$D$42&amp;")X"</f>
        <v>(SELECT prtctn_id, PRTCTN_VL FROM CD_LOAN_TAPES_BCE.LT004_PROTECTION WHERE ref_date='${ref_date}' AND nome_perimetro='Individual Local' AND segmento='ESTR' AND ambito='SRB_MBDT' AND entidade='00100')X</v>
      </c>
      <c r="J36" s="34" t="str">
        <f>"(SELECT "&amp;VLOOKUP(B36,'0. Instruções'!$C$27:$G$32,4,FALSE)&amp;" AS "&amp;VLOOKUP(B36,'0. Instruções'!$C$27:$G$32,4,FALSE)&amp;"_SIMUL, "&amp;F36&amp;" AS "&amp;F36&amp;"_SIMUL FROM "&amp;E36&amp;" WHERE "&amp;'0. Instruções'!$D$43&amp;")Y"</f>
        <v>(SELECT prtctn_id AS prtctn_id_SIMUL, PRTCTN_VL AS PRTCTN_VL_SIMUL FROM BU_LOANTAPE_WORK.LT004_PROTECTION WHERE ref_date='${ref_date}' AND nome_perimetro='Individual Local' AND segmento='ESTR' AND ambito='PM' AND entidade='00100')Y</v>
      </c>
      <c r="K36" s="35" t="str">
        <f>+UPPER("ON X."&amp;VLOOKUP(B36,'0. Instruções'!$C$27:$G$32,4,FALSE)&amp;"=Y."&amp;VLOOKUP(B36,'0. Instruções'!$C$27:$G$32,4,FALSE)&amp;"_SIMUL")</f>
        <v>ON X.PRTCTN_ID=Y.PRTCTN_ID_SIMUL</v>
      </c>
      <c r="L36" s="35" t="str">
        <f>+IF(C36="Coerência", +IF(LEFT(G36,5)="FLOAT","SELECT '"&amp;UPPER(B36)&amp;"' AS TABELA, '"&amp;UPPER(C36)&amp;"' AS TIPOLOGIA_TESTE,'"&amp;D36&amp;"' AS TABELA_LT,'"&amp;E36&amp;"' AS TABELA_SIMUL,'"&amp;F36&amp;"' AS CAMPO, "&amp;"'${ref_date}' AS REF_DATE, COUNT(*) AS NUM_REG, SUM(IF((ABS(COALESCE(CAST(X."&amp;F36&amp;" AS DECIMAL(18,6)),0)-COALESCE(CAST(Y."&amp;F36&amp;"_SIMUL AS DECIMAL(18,6)),0))&gt;0.000001) OR (X."&amp;F36&amp;" IS NULL AND Y."&amp;F36&amp;"_SIMUL IS NOT NULL ) OR (X."&amp;F36&amp;" IS NOT NULL AND Y."&amp;F36&amp;"_SIMUL IS NULL),1,0)) AS NUM_REG_DIF,'"&amp;MAX('ID1&amp;5'!K:K)+1&amp;"' AS ID_EXEC, CURRENT_TIMESTAMP() AS TIME_EXEC FROM "&amp;I36&amp;" INNER JOIN "&amp;J36&amp;" "&amp;K36,"SELECT '"&amp;UPPER(B36)&amp;"' AS TABELA, '"&amp;UPPER(C36)&amp;"' AS TIPOLOGIA_TESTE,'"&amp;D36&amp;"' AS TABELA_LT,'"&amp;E36&amp;"' AS TABELA_SIMUL,'"&amp;F36&amp;"' AS CAMPO, "&amp;"'${ref_date}' AS REF_DATE, COUNT(*) AS NUM_REG, SUM(IF(COALESCE(CAST(X."&amp;F36&amp;" AS STRING),'')&lt;&gt;COALESCE(CAST(Y."&amp;F36&amp;"_SIMUL AS STRING),'') OR (X."&amp;F36&amp;" IS NULL AND Y."&amp;F36&amp;"_SIMUL IS NOT NULL ) OR (X."&amp;F36&amp;" IS NOT NULL AND Y."&amp;F36&amp;"_SIMUL IS NULL),1,0)) AS NUM_REG_DIF,'"&amp;MAX('ID1&amp;5'!L:L)+1&amp;"' AS ID_EXEC, CURRENT_TIMESTAMP() AS TIME_EXEC FROM "&amp;I36&amp;" INNER JOIN "&amp;J36&amp;" "&amp;K36),
IF(C36="Validade",+IF(G36="Code List","SELECT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 OR CAST(X."&amp;F36&amp;" AS STRING) NOT "&amp;H36&amp;",1,0)) AS NUM_REG_DIF,'"&amp;MAX('ID1&amp;5'!K:K)+1&amp;"' AS ID_EXEC, CURRENT_TIMESTAMP() AS TIME_EXEC FROM "&amp;I36,"SELECT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NULL,1,0)) AS NUM_REG_DIF,'"&amp;MAX('ID1&amp;5'!K:K)+1&amp;"' AS ID_EXEC, CURRENT_TIMESTAMP() AS TIME_EXEC FROM "&amp;I36),
IF(C36="Caracteres Especiais",+"SELECT '"&amp;UPPER(B36)&amp;"' AS TABELA, '"&amp;UPPER(C36)&amp;"' AS TIPOLOGIA_TESTE,'"&amp;D36&amp;"' AS TABELA_LT,'N/A' AS TABELA_SIMUL,'"&amp;F36&amp;"' AS CAMPO, "&amp;"'${ref_date}' AS REF_DATE, COUNT(*) AS NUM_REG, SUM(IF(REGEXP_REPLACE(TRIM(CAST(X."&amp;F36&amp;" AS STRING)),'[^a-zA-Z0-9_\\s]','') &lt;&gt;TRIM(CAST(X."&amp;F36&amp;" AS STRING)),1,0)) AS NUM_REG_DIF,'"&amp;MAX('ID1&amp;5'!K:K)+1&amp;"' AS ID_EXEC, CURRENT_TIMESTAMP() AS TIME_EXEC FROM "&amp;I36,
IF(C36="Missings",+"SELECT '"&amp;UPPER(B36)&amp;"' AS TABELA, '"&amp;UPPER(C36)&amp;"' AS TIPOLOGIA_TESTE,'"&amp;D36&amp;"' AS TABELA_LT,'N/A' AS TABELA_SIMUL,'"&amp;F36&amp;"' AS CAMPO, "&amp;"'${ref_date}' AS REF_DATE, COUNT(*) AS NUM_REG, SUM(IF(TRIM(CAST(X."&amp;F36&amp;" AS STRING)) IN ('0000-00-00','0001-01-01','9999-12-31','MISS','00000','99999999999','99999999999.00','99999999999.000000'),1,0)) AS NUM_REG_DIF,'"&amp;MAX('ID1&amp;5'!K:K)+1&amp;"' AS ID_EXEC, CURRENT_TIMESTAMP() AS TIME_EXEC FROM "&amp;I36,
IF(C36="Not applicable",+"SELECT '"&amp;UPPER(B36)&amp;"' AS TABELA, '"&amp;UPPER(C36)&amp;"' AS TIPOLOGIA_TESTE,'"&amp;D36&amp;"' AS TABELA_LT,'N/A' AS TABELA_SIMUL,'"&amp;F36&amp;"' AS CAMPO, "&amp;"'${ref_date}' AS REF_DATE, COUNT(*) AS NUM_REG, SUM(IF(TRIM(CAST(X."&amp;F36&amp;" AS STRING)) IN ('N/A','11111111111','11111111111.00','11111111111.000000','1111-11-11'),1,0)) AS NUM_REG_DIF,'"&amp;MAX('ID1&amp;5'!K:K)+1&amp;"' AS ID_EXEC, CURRENT_TIMESTAMP() AS TIME_EXEC FROM "&amp;I36,
IF(C36="Valores extremos",+"SELECT '"&amp;UPPER(B36)&amp;"' AS TABELA, '"&amp;UPPER(C36)&amp;"' AS TIPOLOGIA_TESTE,'"&amp;D36&amp;"' AS TABELA_LT,'N/A' AS TABELA_SIMUL,'"&amp;F36&amp;"' AS CAMPO, "&amp;"'${ref_date}' AS REF_DATE, CAST(MIN("&amp;F36&amp;") AS STRING) AS VALOR_MIN, CAST(MAX("&amp;F36&amp;") AS STRING) AS VALOR_MAX,'"&amp;MAX('ID1&amp;5'!K:K)+1&amp;"' AS ID_EXEC, CURRENT_TIMESTAMP() AS TIME_EXEC FROM "&amp;MID(I36,1,LEN(I36)-2)&amp;" AND CAST("&amp;F36&amp;"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TABELA_SIMUL,'PRTCTN_VL' AS CAMPO, '${ref_date}' AS REF_DATE, COUNT(*) AS NUM_REG, SUM(IF(COALESCE(CAST(X.PRTCTN_VL AS STRING),'')&lt;&gt;COALESCE(CAST(Y.PRTCTN_VL_SIMUL AS STRING),'') OR (X.PRTCTN_VL IS NULL AND Y.PRTCTN_VL_SIMUL IS NOT NULL ) OR (X.PRTCTN_VL IS NOT NULL AND Y.PRTCTN_VL_SIMUL IS NULL),1,0)) AS NUM_REG_DIF,'1' AS ID_EXEC, CURRENT_TIMESTAMP() AS TIME_EXEC FROM (SELECT prtctn_id, PRTCTN_VL FROM CD_LOAN_TAPES_BCE.LT004_PROTECTION WHERE ref_date='${ref_date}' AND nome_perimetro='Individual Local' AND segmento='ESTR' AND ambito='SRB_MBDT' AND entidade='00100')X INNER JOIN (SELECT prtctn_id AS prtctn_id_SIMUL, PRTCTN_VL AS PRTCTN_VL_SIMUL FROM BU_LOANTAPE_WORK.LT004_PROTECTION WHERE ref_date='${ref_date}' AND nome_perimetro='Individual Local' AND segmento='ESTR' AND ambito='PM' AND entidade='00100')Y ON X.PRTCTN_ID=Y.PRTCTN_ID_SIMUL</v>
      </c>
      <c r="M36" s="36" t="str">
        <f t="shared" si="4"/>
        <v>UNION ALL SELECT 'PROTECTION' AS TABELA, 'COERÊNCIA' AS TIPOLOGIA_TESTE,'CD_LOAN_TAPES_BCE.LT004_PROTECTION' AS TABELA_LT,'BU_LOANTAPE_WORK.LT004_PROTECTION' AS TABELA_SIMUL,'PRTCTN_VL' AS CAMPO, '${ref_date}' AS REF_DATE, COUNT(*) AS NUM_REG, SUM(IF(COALESCE(CAST(X.PRTCTN_VL AS STRING),'')&lt;&gt;COALESCE(CAST(Y.PRTCTN_VL_SIMUL AS STRING),'') OR (X.PRTCTN_VL IS NULL AND Y.PRTCTN_VL_SIMUL IS NOT NULL ) OR (X.PRTCTN_VL IS NOT NULL AND Y.PRTCTN_VL_SIMUL IS NULL),1,0)) AS NUM_REG_DIF,'1' AS ID_EXEC, CURRENT_TIMESTAMP() AS TIME_EXEC FROM (SELECT prtctn_id, PRTCTN_VL FROM CD_LOAN_TAPES_BCE.LT004_PROTECTION WHERE ref_date='${ref_date}' AND nome_perimetro='Individual Local' AND segmento='ESTR' AND ambito='SRB_MBDT' AND entidade='00100')X INNER JOIN (SELECT prtctn_id AS prtctn_id_SIMUL, PRTCTN_VL AS PRTCTN_VL_SIMUL FROM BU_LOANTAPE_WORK.LT004_PROTECTION WHERE ref_date='${ref_date}' AND nome_perimetro='Individual Local' AND segmento='ESTR' AND ambito='PM' AND entidade='00100')Y ON X.PRTCTN_ID=Y.PRTCTN_ID_SIMUL</v>
      </c>
      <c r="N36" s="38" t="s">
        <v>36</v>
      </c>
    </row>
    <row r="37" spans="1:14">
      <c r="A37" s="60" t="str">
        <f t="shared" si="0"/>
        <v>PROTECTIONCOD_SOC</v>
      </c>
      <c r="B37" s="34" t="s">
        <v>115</v>
      </c>
      <c r="C37" s="34" t="s">
        <v>5</v>
      </c>
      <c r="D37" s="34" t="str">
        <f>+UPPER('0. Instruções'!$D$35&amp;"."&amp;VLOOKUP(B37,'0. Instruções'!$C$27:$D$32,2,FALSE))</f>
        <v>CD_LOAN_TAPES_BCE.LT004_PROTECTION</v>
      </c>
      <c r="E37" s="34" t="str">
        <f>+UPPER('0. Instruções'!$D$36&amp;"."&amp;VLOOKUP(B37,'0. Instruções'!$C$27:$E$32,3,FALSE))</f>
        <v>BU_LOANTAPE_WORK.LT004_PROTECTION</v>
      </c>
      <c r="F37" s="111" t="s">
        <v>96</v>
      </c>
      <c r="G37" s="34"/>
      <c r="H37" s="34"/>
      <c r="I37" s="34" t="str">
        <f>"(SELECT "&amp;VLOOKUP(B37,'0. Instruções'!$C$27:$G$32,4,FALSE)&amp;", "&amp;F37&amp;" FROM "&amp;D37&amp;" WHERE "&amp;'0. Instruções'!$D$42&amp;")X"</f>
        <v>(SELECT prtctn_id, COD_SOC FROM CD_LOAN_TAPES_BCE.LT004_PROTECTION WHERE ref_date='${ref_date}' AND nome_perimetro='Individual Local' AND segmento='ESTR' AND ambito='SRB_MBDT' AND entidade='00100')X</v>
      </c>
      <c r="J37" s="34" t="str">
        <f>"(SELECT "&amp;VLOOKUP(B37,'0. Instruções'!$C$27:$G$32,4,FALSE)&amp;" AS "&amp;VLOOKUP(B37,'0. Instruções'!$C$27:$G$32,4,FALSE)&amp;"_SIMUL, "&amp;F37&amp;" AS "&amp;F37&amp;"_SIMUL FROM "&amp;E37&amp;" WHERE "&amp;'0. Instruções'!$D$43&amp;")Y"</f>
        <v>(SELECT prtctn_id AS prtctn_id_SIMUL, COD_SOC AS COD_SOC_SIMUL FROM BU_LOANTAPE_WORK.LT004_PROTECTION WHERE ref_date='${ref_date}' AND nome_perimetro='Individual Local' AND segmento='ESTR' AND ambito='PM' AND entidade='00100')Y</v>
      </c>
      <c r="K37" s="35" t="str">
        <f>+UPPER("ON X."&amp;VLOOKUP(B37,'0. Instruções'!$C$27:$G$32,4,FALSE)&amp;"=Y."&amp;VLOOKUP(B37,'0. Instruções'!$C$27:$G$32,4,FALSE)&amp;"_SIMUL")</f>
        <v>ON X.PRTCTN_ID=Y.PRTCTN_ID_SIMUL</v>
      </c>
      <c r="L37" s="35" t="str">
        <f>+IF(C37="Coerência", +IF(LEFT(G37,5)="FLOAT","SELECT '"&amp;UPPER(B37)&amp;"' AS TABELA, '"&amp;UPPER(C37)&amp;"' AS TIPOLOGIA_TESTE,'"&amp;D37&amp;"' AS TABELA_LT,'"&amp;E37&amp;"' AS TABELA_SIMUL,'"&amp;F37&amp;"' AS CAMPO, "&amp;"'${ref_date}' AS REF_DATE, COUNT(*) AS NUM_REG, SUM(IF((ABS(COALESCE(CAST(X."&amp;F37&amp;" AS DECIMAL(18,6)),0)-COALESCE(CAST(Y."&amp;F37&amp;"_SIMUL AS DECIMAL(18,6)),0))&gt;0.000001) OR (X."&amp;F37&amp;" IS NULL AND Y."&amp;F37&amp;"_SIMUL IS NOT NULL ) OR (X."&amp;F37&amp;" IS NOT NULL AND Y."&amp;F37&amp;"_SIMUL IS NULL),1,0)) AS NUM_REG_DIF,'"&amp;MAX('ID1&amp;5'!K:K)+1&amp;"' AS ID_EXEC, CURRENT_TIMESTAMP() AS TIME_EXEC FROM "&amp;I37&amp;" INNER JOIN "&amp;J37&amp;" "&amp;K37,"SELECT '"&amp;UPPER(B37)&amp;"' AS TABELA, '"&amp;UPPER(C37)&amp;"' AS TIPOLOGIA_TESTE,'"&amp;D37&amp;"' AS TABELA_LT,'"&amp;E37&amp;"' AS TABELA_SIMUL,'"&amp;F37&amp;"' AS CAMPO, "&amp;"'${ref_date}' AS REF_DATE, COUNT(*) AS NUM_REG, SUM(IF(COALESCE(CAST(X."&amp;F37&amp;" AS STRING),'')&lt;&gt;COALESCE(CAST(Y."&amp;F37&amp;"_SIMUL AS STRING),'') OR (X."&amp;F37&amp;" IS NULL AND Y."&amp;F37&amp;"_SIMUL IS NOT NULL ) OR (X."&amp;F37&amp;" IS NOT NULL AND Y."&amp;F37&amp;"_SIMUL IS NULL),1,0)) AS NUM_REG_DIF,'"&amp;MAX('ID1&amp;5'!L:L)+1&amp;"' AS ID_EXEC, CURRENT_TIMESTAMP() AS TIME_EXEC FROM "&amp;I37&amp;" INNER JOIN "&amp;J37&amp;" "&amp;K37),
IF(C37="Validade",+IF(G37="Code List","SELECT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 OR CAST(X."&amp;F37&amp;" AS STRING) NOT "&amp;H37&amp;",1,0)) AS NUM_REG_DIF,'"&amp;MAX('ID1&amp;5'!K:K)+1&amp;"' AS ID_EXEC, CURRENT_TIMESTAMP() AS TIME_EXEC FROM "&amp;I37,"SELECT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NULL,1,0)) AS NUM_REG_DIF,'"&amp;MAX('ID1&amp;5'!K:K)+1&amp;"' AS ID_EXEC, CURRENT_TIMESTAMP() AS TIME_EXEC FROM "&amp;I37),
IF(C37="Caracteres Especiais",+"SELECT '"&amp;UPPER(B37)&amp;"' AS TABELA, '"&amp;UPPER(C37)&amp;"' AS TIPOLOGIA_TESTE,'"&amp;D37&amp;"' AS TABELA_LT,'N/A' AS TABELA_SIMUL,'"&amp;F37&amp;"' AS CAMPO, "&amp;"'${ref_date}' AS REF_DATE, COUNT(*) AS NUM_REG, SUM(IF(REGEXP_REPLACE(TRIM(CAST(X."&amp;F37&amp;" AS STRING)),'[^a-zA-Z0-9_\\s]','') &lt;&gt;TRIM(CAST(X."&amp;F37&amp;" AS STRING)),1,0)) AS NUM_REG_DIF,'"&amp;MAX('ID1&amp;5'!K:K)+1&amp;"' AS ID_EXEC, CURRENT_TIMESTAMP() AS TIME_EXEC FROM "&amp;I37,
IF(C37="Missings",+"SELECT '"&amp;UPPER(B37)&amp;"' AS TABELA, '"&amp;UPPER(C37)&amp;"' AS TIPOLOGIA_TESTE,'"&amp;D37&amp;"' AS TABELA_LT,'N/A' AS TABELA_SIMUL,'"&amp;F37&amp;"' AS CAMPO, "&amp;"'${ref_date}' AS REF_DATE, COUNT(*) AS NUM_REG, SUM(IF(TRIM(CAST(X."&amp;F37&amp;" AS STRING)) IN ('0000-00-00','0001-01-01','9999-12-31','MISS','00000','99999999999','99999999999.00','99999999999.000000'),1,0)) AS NUM_REG_DIF,'"&amp;MAX('ID1&amp;5'!K:K)+1&amp;"' AS ID_EXEC, CURRENT_TIMESTAMP() AS TIME_EXEC FROM "&amp;I37,
IF(C37="Not applicable",+"SELECT '"&amp;UPPER(B37)&amp;"' AS TABELA, '"&amp;UPPER(C37)&amp;"' AS TIPOLOGIA_TESTE,'"&amp;D37&amp;"' AS TABELA_LT,'N/A' AS TABELA_SIMUL,'"&amp;F37&amp;"' AS CAMPO, "&amp;"'${ref_date}' AS REF_DATE, COUNT(*) AS NUM_REG, SUM(IF(TRIM(CAST(X."&amp;F37&amp;" AS STRING)) IN ('N/A','11111111111','11111111111.00','11111111111.000000','1111-11-11'),1,0)) AS NUM_REG_DIF,'"&amp;MAX('ID1&amp;5'!K:K)+1&amp;"' AS ID_EXEC, CURRENT_TIMESTAMP() AS TIME_EXEC FROM "&amp;I37,
IF(C37="Valores extremos",+"SELECT '"&amp;UPPER(B37)&amp;"' AS TABELA, '"&amp;UPPER(C37)&amp;"' AS TIPOLOGIA_TESTE,'"&amp;D37&amp;"' AS TABELA_LT,'N/A' AS TABELA_SIMUL,'"&amp;F37&amp;"' AS CAMPO, "&amp;"'${ref_date}' AS REF_DATE, CAST(MIN("&amp;F37&amp;") AS STRING) AS VALOR_MIN, CAST(MAX("&amp;F37&amp;") AS STRING) AS VALOR_MAX,'"&amp;MAX('ID1&amp;5'!K:K)+1&amp;"' AS ID_EXEC, CURRENT_TIMESTAMP() AS TIME_EXEC FROM "&amp;MID(I37,1,LEN(I37)-2)&amp;" AND CAST("&amp;F37&amp;"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prtctn_id, COD_SOC FROM CD_LOAN_TAPES_BCE.LT004_PROTECTION WHERE ref_date='${ref_date}' AND nome_perimetro='Individual Local' AND segmento='ESTR' AND ambito='SRB_MBDT' AND entidade='00100')X INNER JOIN (SELECT prtctn_id AS prtctn_id_SIMUL, COD_SOC AS COD_SOC_SIMUL FROM BU_LOANTAPE_WORK.LT004_PROTECTION WHERE ref_date='${ref_date}' AND nome_perimetro='Individual Local' AND segmento='ESTR' AND ambito='PM' AND entidade='00100')Y ON X.PRTCTN_ID=Y.PRTCTN_ID_SIMUL</v>
      </c>
      <c r="M37" s="36" t="str">
        <f t="shared" si="4"/>
        <v>UNION ALL SELECT 'PROTECTION' AS TABELA, 'COERÊNCIA' AS TIPOLOGIA_TESTE,'CD_LOAN_TAPES_BCE.LT004_PROTECTION' AS TABELA_LT,'BU_LOANTAPE_WORK.LT004_PROTECTION'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prtctn_id, COD_SOC FROM CD_LOAN_TAPES_BCE.LT004_PROTECTION WHERE ref_date='${ref_date}' AND nome_perimetro='Individual Local' AND segmento='ESTR' AND ambito='SRB_MBDT' AND entidade='00100')X INNER JOIN (SELECT prtctn_id AS prtctn_id_SIMUL, COD_SOC AS COD_SOC_SIMUL FROM BU_LOANTAPE_WORK.LT004_PROTECTION WHERE ref_date='${ref_date}' AND nome_perimetro='Individual Local' AND segmento='ESTR' AND ambito='PM' AND entidade='00100')Y ON X.PRTCTN_ID=Y.PRTCTN_ID_SIMUL</v>
      </c>
      <c r="N37" s="38" t="s">
        <v>36</v>
      </c>
    </row>
    <row r="38" spans="1:14">
      <c r="A38" s="60" t="str">
        <f t="shared" si="0"/>
        <v>PROTECTIONPRTCTN_VLTN_APPRCH</v>
      </c>
      <c r="B38" s="34" t="s">
        <v>115</v>
      </c>
      <c r="C38" s="34" t="s">
        <v>5</v>
      </c>
      <c r="D38" s="34" t="str">
        <f>+UPPER('0. Instruções'!$D$35&amp;"."&amp;VLOOKUP(B38,'0. Instruções'!$C$27:$D$32,2,FALSE))</f>
        <v>CD_LOAN_TAPES_BCE.LT004_PROTECTION</v>
      </c>
      <c r="E38" s="34" t="str">
        <f>+UPPER('0. Instruções'!$D$36&amp;"."&amp;VLOOKUP(B38,'0. Instruções'!$C$27:$E$32,3,FALSE))</f>
        <v>BU_LOANTAPE_WORK.LT004_PROTECTION</v>
      </c>
      <c r="F38" s="111" t="s">
        <v>564</v>
      </c>
      <c r="G38" s="34"/>
      <c r="H38" s="34"/>
      <c r="I38" s="34" t="str">
        <f>"(SELECT "&amp;VLOOKUP(B38,'0. Instruções'!$C$27:$G$32,4,FALSE)&amp;", "&amp;F38&amp;" FROM "&amp;D38&amp;" WHERE "&amp;'0. Instruções'!$D$42&amp;")X"</f>
        <v>(SELECT prtctn_id, PRTCTN_VLTN_APPRCH FROM CD_LOAN_TAPES_BCE.LT004_PROTECTION WHERE ref_date='${ref_date}' AND nome_perimetro='Individual Local' AND segmento='ESTR' AND ambito='SRB_MBDT' AND entidade='00100')X</v>
      </c>
      <c r="J38" s="34" t="str">
        <f>"(SELECT "&amp;VLOOKUP(B38,'0. Instruções'!$C$27:$G$32,4,FALSE)&amp;" AS "&amp;VLOOKUP(B38,'0. Instruções'!$C$27:$G$32,4,FALSE)&amp;"_SIMUL, "&amp;F38&amp;" AS "&amp;F38&amp;"_SIMUL FROM "&amp;E38&amp;" WHERE "&amp;'0. Instruções'!$D$43&amp;")Y"</f>
        <v>(SELECT prtctn_id AS prtctn_id_SIMUL, PRTCTN_VLTN_APPRCH AS PRTCTN_VLTN_APPRCH_SIMUL FROM BU_LOANTAPE_WORK.LT004_PROTECTION WHERE ref_date='${ref_date}' AND nome_perimetro='Individual Local' AND segmento='ESTR' AND ambito='PM' AND entidade='00100')Y</v>
      </c>
      <c r="K38" s="35" t="str">
        <f>+UPPER("ON X."&amp;VLOOKUP(B38,'0. Instruções'!$C$27:$G$32,4,FALSE)&amp;"=Y."&amp;VLOOKUP(B38,'0. Instruções'!$C$27:$G$32,4,FALSE)&amp;"_SIMUL")</f>
        <v>ON X.PRTCTN_ID=Y.PRTCTN_ID_SIMUL</v>
      </c>
      <c r="L38" s="35" t="str">
        <f>+IF(C38="Coerência", +IF(LEFT(G38,5)="FLOAT","SELECT '"&amp;UPPER(B38)&amp;"' AS TABELA, '"&amp;UPPER(C38)&amp;"' AS TIPOLOGIA_TESTE,'"&amp;D38&amp;"' AS TABELA_LT,'"&amp;E38&amp;"' AS TABELA_SIMUL,'"&amp;F38&amp;"' AS CAMPO, "&amp;"'${ref_date}' AS REF_DATE, COUNT(*) AS NUM_REG, SUM(IF((ABS(COALESCE(CAST(X."&amp;F38&amp;" AS DECIMAL(18,6)),0)-COALESCE(CAST(Y."&amp;F38&amp;"_SIMUL AS DECIMAL(18,6)),0))&gt;0.000001) OR (X."&amp;F38&amp;" IS NULL AND Y."&amp;F38&amp;"_SIMUL IS NOT NULL ) OR (X."&amp;F38&amp;" IS NOT NULL AND Y."&amp;F38&amp;"_SIMUL IS NULL),1,0)) AS NUM_REG_DIF,'"&amp;MAX('ID1&amp;5'!K:K)+1&amp;"' AS ID_EXEC, CURRENT_TIMESTAMP() AS TIME_EXEC FROM "&amp;I38&amp;" INNER JOIN "&amp;J38&amp;" "&amp;K38,"SELECT '"&amp;UPPER(B38)&amp;"' AS TABELA, '"&amp;UPPER(C38)&amp;"' AS TIPOLOGIA_TESTE,'"&amp;D38&amp;"' AS TABELA_LT,'"&amp;E38&amp;"' AS TABELA_SIMUL,'"&amp;F38&amp;"' AS CAMPO, "&amp;"'${ref_date}' AS REF_DATE, COUNT(*) AS NUM_REG, SUM(IF(COALESCE(CAST(X."&amp;F38&amp;" AS STRING),'')&lt;&gt;COALESCE(CAST(Y."&amp;F38&amp;"_SIMUL AS STRING),'') OR (X."&amp;F38&amp;" IS NULL AND Y."&amp;F38&amp;"_SIMUL IS NOT NULL ) OR (X."&amp;F38&amp;" IS NOT NULL AND Y."&amp;F38&amp;"_SIMUL IS NULL),1,0)) AS NUM_REG_DIF,'"&amp;MAX('ID1&amp;5'!L:L)+1&amp;"' AS ID_EXEC, CURRENT_TIMESTAMP() AS TIME_EXEC FROM "&amp;I38&amp;" INNER JOIN "&amp;J38&amp;" "&amp;K38),
IF(C38="Validade",+IF(G38="Code List","SELECT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 OR CAST(X."&amp;F38&amp;" AS STRING) NOT "&amp;H38&amp;",1,0)) AS NUM_REG_DIF,'"&amp;MAX('ID1&amp;5'!K:K)+1&amp;"' AS ID_EXEC, CURRENT_TIMESTAMP() AS TIME_EXEC FROM "&amp;I38,"SELECT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NULL,1,0)) AS NUM_REG_DIF,'"&amp;MAX('ID1&amp;5'!K:K)+1&amp;"' AS ID_EXEC, CURRENT_TIMESTAMP() AS TIME_EXEC FROM "&amp;I38),
IF(C38="Caracteres Especiais",+"SELECT '"&amp;UPPER(B38)&amp;"' AS TABELA, '"&amp;UPPER(C38)&amp;"' AS TIPOLOGIA_TESTE,'"&amp;D38&amp;"' AS TABELA_LT,'N/A' AS TABELA_SIMUL,'"&amp;F38&amp;"' AS CAMPO, "&amp;"'${ref_date}' AS REF_DATE, COUNT(*) AS NUM_REG, SUM(IF(REGEXP_REPLACE(TRIM(CAST(X."&amp;F38&amp;" AS STRING)),'[^a-zA-Z0-9_\\s]','') &lt;&gt;TRIM(CAST(X."&amp;F38&amp;" AS STRING)),1,0)) AS NUM_REG_DIF,'"&amp;MAX('ID1&amp;5'!K:K)+1&amp;"' AS ID_EXEC, CURRENT_TIMESTAMP() AS TIME_EXEC FROM "&amp;I38,
IF(C38="Missings",+"SELECT '"&amp;UPPER(B38)&amp;"' AS TABELA, '"&amp;UPPER(C38)&amp;"' AS TIPOLOGIA_TESTE,'"&amp;D38&amp;"' AS TABELA_LT,'N/A' AS TABELA_SIMUL,'"&amp;F38&amp;"' AS CAMPO, "&amp;"'${ref_date}' AS REF_DATE, COUNT(*) AS NUM_REG, SUM(IF(TRIM(CAST(X."&amp;F38&amp;" AS STRING)) IN ('0000-00-00','0001-01-01','9999-12-31','MISS','00000','99999999999','99999999999.00','99999999999.000000'),1,0)) AS NUM_REG_DIF,'"&amp;MAX('ID1&amp;5'!K:K)+1&amp;"' AS ID_EXEC, CURRENT_TIMESTAMP() AS TIME_EXEC FROM "&amp;I38,
IF(C38="Not applicable",+"SELECT '"&amp;UPPER(B38)&amp;"' AS TABELA, '"&amp;UPPER(C38)&amp;"' AS TIPOLOGIA_TESTE,'"&amp;D38&amp;"' AS TABELA_LT,'N/A' AS TABELA_SIMUL,'"&amp;F38&amp;"' AS CAMPO, "&amp;"'${ref_date}' AS REF_DATE, COUNT(*) AS NUM_REG, SUM(IF(TRIM(CAST(X."&amp;F38&amp;" AS STRING)) IN ('N/A','11111111111','11111111111.00','11111111111.000000','1111-11-11'),1,0)) AS NUM_REG_DIF,'"&amp;MAX('ID1&amp;5'!K:K)+1&amp;"' AS ID_EXEC, CURRENT_TIMESTAMP() AS TIME_EXEC FROM "&amp;I38,
IF(C38="Valores extremos",+"SELECT '"&amp;UPPER(B38)&amp;"' AS TABELA, '"&amp;UPPER(C38)&amp;"' AS TIPOLOGIA_TESTE,'"&amp;D38&amp;"' AS TABELA_LT,'N/A' AS TABELA_SIMUL,'"&amp;F38&amp;"' AS CAMPO, "&amp;"'${ref_date}' AS REF_DATE, CAST(MIN("&amp;F38&amp;") AS STRING) AS VALOR_MIN, CAST(MAX("&amp;F38&amp;") AS STRING) AS VALOR_MAX,'"&amp;MAX('ID1&amp;5'!K:K)+1&amp;"' AS ID_EXEC, CURRENT_TIMESTAMP() AS TIME_EXEC FROM "&amp;MID(I38,1,LEN(I38)-2)&amp;" AND CAST("&amp;F38&amp;"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TABELA_SIMUL,'PRTCTN_VLTN_APPRCH' AS CAMPO, '${ref_date}' AS REF_DATE, COUNT(*) AS NUM_REG, SUM(IF(COALESCE(CAST(X.PRTCTN_VLTN_APPRCH AS STRING),'')&lt;&gt;COALESCE(CAST(Y.PRTCTN_VLTN_APPRCH_SIMUL AS STRING),'') OR (X.PRTCTN_VLTN_APPRCH IS NULL AND Y.PRTCTN_VLTN_APPRCH_SIMUL IS NOT NULL ) OR (X.PRTCTN_VLTN_APPRCH IS NOT NULL AND Y.PRTCTN_VLTN_APPRCH_SIMUL IS NULL),1,0)) AS NUM_REG_DIF,'1' AS ID_EXEC, CURRENT_TIMESTAMP() AS TIME_EXEC FROM (SELECT prtctn_id, PRTCTN_VLTN_APPRCH FROM CD_LOAN_TAPES_BCE.LT004_PROTECTION WHERE ref_date='${ref_date}' AND nome_perimetro='Individual Local' AND segmento='ESTR' AND ambito='SRB_MBDT' AND entidade='00100')X INNER JOIN (SELECT prtctn_id AS prtctn_id_SIMUL, PRTCTN_VLTN_APPRCH AS PRTCTN_VLTN_APPRCH_SIMUL FROM BU_LOANTAPE_WORK.LT004_PROTECTION WHERE ref_date='${ref_date}' AND nome_perimetro='Individual Local' AND segmento='ESTR' AND ambito='PM' AND entidade='00100')Y ON X.PRTCTN_ID=Y.PRTCTN_ID_SIMUL</v>
      </c>
      <c r="M38" s="36" t="str">
        <f t="shared" si="4"/>
        <v>UNION ALL SELECT 'PROTECTION' AS TABELA, 'COERÊNCIA' AS TIPOLOGIA_TESTE,'CD_LOAN_TAPES_BCE.LT004_PROTECTION' AS TABELA_LT,'BU_LOANTAPE_WORK.LT004_PROTECTION' AS TABELA_SIMUL,'PRTCTN_VLTN_APPRCH' AS CAMPO, '${ref_date}' AS REF_DATE, COUNT(*) AS NUM_REG, SUM(IF(COALESCE(CAST(X.PRTCTN_VLTN_APPRCH AS STRING),'')&lt;&gt;COALESCE(CAST(Y.PRTCTN_VLTN_APPRCH_SIMUL AS STRING),'') OR (X.PRTCTN_VLTN_APPRCH IS NULL AND Y.PRTCTN_VLTN_APPRCH_SIMUL IS NOT NULL ) OR (X.PRTCTN_VLTN_APPRCH IS NOT NULL AND Y.PRTCTN_VLTN_APPRCH_SIMUL IS NULL),1,0)) AS NUM_REG_DIF,'1' AS ID_EXEC, CURRENT_TIMESTAMP() AS TIME_EXEC FROM (SELECT prtctn_id, PRTCTN_VLTN_APPRCH FROM CD_LOAN_TAPES_BCE.LT004_PROTECTION WHERE ref_date='${ref_date}' AND nome_perimetro='Individual Local' AND segmento='ESTR' AND ambito='SRB_MBDT' AND entidade='00100')X INNER JOIN (SELECT prtctn_id AS prtctn_id_SIMUL, PRTCTN_VLTN_APPRCH AS PRTCTN_VLTN_APPRCH_SIMUL FROM BU_LOANTAPE_WORK.LT004_PROTECTION WHERE ref_date='${ref_date}' AND nome_perimetro='Individual Local' AND segmento='ESTR' AND ambito='PM' AND entidade='00100')Y ON X.PRTCTN_ID=Y.PRTCTN_ID_SIMUL</v>
      </c>
      <c r="N38" s="38" t="s">
        <v>36</v>
      </c>
    </row>
    <row r="39" spans="1:14">
      <c r="A39" s="60" t="str">
        <f t="shared" si="0"/>
        <v>PROTECTIONDT_PRTCTN_VL</v>
      </c>
      <c r="B39" s="34" t="s">
        <v>115</v>
      </c>
      <c r="C39" s="34" t="s">
        <v>5</v>
      </c>
      <c r="D39" s="34" t="str">
        <f>+UPPER('0. Instruções'!$D$35&amp;"."&amp;VLOOKUP(B39,'0. Instruções'!$C$27:$D$32,2,FALSE))</f>
        <v>CD_LOAN_TAPES_BCE.LT004_PROTECTION</v>
      </c>
      <c r="E39" s="34" t="str">
        <f>+UPPER('0. Instruções'!$D$36&amp;"."&amp;VLOOKUP(B39,'0. Instruções'!$C$27:$E$32,3,FALSE))</f>
        <v>BU_LOANTAPE_WORK.LT004_PROTECTION</v>
      </c>
      <c r="F39" s="111" t="s">
        <v>561</v>
      </c>
      <c r="G39" s="34"/>
      <c r="H39" s="34"/>
      <c r="I39" s="34" t="str">
        <f>"(SELECT "&amp;VLOOKUP(B39,'0. Instruções'!$C$27:$G$32,4,FALSE)&amp;", "&amp;F39&amp;" FROM "&amp;D39&amp;" WHERE "&amp;'0. Instruções'!$D$42&amp;")X"</f>
        <v>(SELECT prtctn_id, DT_PRTCTN_VL FROM CD_LOAN_TAPES_BCE.LT004_PROTECTION WHERE ref_date='${ref_date}' AND nome_perimetro='Individual Local' AND segmento='ESTR' AND ambito='SRB_MBDT' AND entidade='00100')X</v>
      </c>
      <c r="J39" s="34" t="str">
        <f>"(SELECT "&amp;VLOOKUP(B39,'0. Instruções'!$C$27:$G$32,4,FALSE)&amp;" AS "&amp;VLOOKUP(B39,'0. Instruções'!$C$27:$G$32,4,FALSE)&amp;"_SIMUL, "&amp;F39&amp;" AS "&amp;F39&amp;"_SIMUL FROM "&amp;E39&amp;" WHERE "&amp;'0. Instruções'!$D$43&amp;")Y"</f>
        <v>(SELECT prtctn_id AS prtctn_id_SIMUL, DT_PRTCTN_VL AS DT_PRTCTN_VL_SIMUL FROM BU_LOANTAPE_WORK.LT004_PROTECTION WHERE ref_date='${ref_date}' AND nome_perimetro='Individual Local' AND segmento='ESTR' AND ambito='PM' AND entidade='00100')Y</v>
      </c>
      <c r="K39" s="35" t="str">
        <f>+UPPER("ON X."&amp;VLOOKUP(B39,'0. Instruções'!$C$27:$G$32,4,FALSE)&amp;"=Y."&amp;VLOOKUP(B39,'0. Instruções'!$C$27:$G$32,4,FALSE)&amp;"_SIMUL")</f>
        <v>ON X.PRTCTN_ID=Y.PRTCTN_ID_SIMUL</v>
      </c>
      <c r="L39" s="35" t="str">
        <f>+IF(C39="Coerência", +IF(LEFT(G39,5)="FLOAT","SELECT '"&amp;UPPER(B39)&amp;"' AS TABELA, '"&amp;UPPER(C39)&amp;"' AS TIPOLOGIA_TESTE,'"&amp;D39&amp;"' AS TABELA_LT,'"&amp;E39&amp;"' AS TABELA_SIMUL,'"&amp;F39&amp;"' AS CAMPO, "&amp;"'${ref_date}' AS REF_DATE, COUNT(*) AS NUM_REG, SUM(IF((ABS(COALESCE(CAST(X."&amp;F39&amp;" AS DECIMAL(18,6)),0)-COALESCE(CAST(Y."&amp;F39&amp;"_SIMUL AS DECIMAL(18,6)),0))&gt;0.000001) OR (X."&amp;F39&amp;" IS NULL AND Y."&amp;F39&amp;"_SIMUL IS NOT NULL ) OR (X."&amp;F39&amp;" IS NOT NULL AND Y."&amp;F39&amp;"_SIMUL IS NULL),1,0)) AS NUM_REG_DIF,'"&amp;MAX('ID1&amp;5'!K:K)+1&amp;"' AS ID_EXEC, CURRENT_TIMESTAMP() AS TIME_EXEC FROM "&amp;I39&amp;" INNER JOIN "&amp;J39&amp;" "&amp;K39,"SELECT '"&amp;UPPER(B39)&amp;"' AS TABELA, '"&amp;UPPER(C39)&amp;"' AS TIPOLOGIA_TESTE,'"&amp;D39&amp;"' AS TABELA_LT,'"&amp;E39&amp;"' AS TABELA_SIMUL,'"&amp;F39&amp;"' AS CAMPO, "&amp;"'${ref_date}' AS REF_DATE, COUNT(*) AS NUM_REG, SUM(IF(COALESCE(CAST(X."&amp;F39&amp;" AS STRING),'')&lt;&gt;COALESCE(CAST(Y."&amp;F39&amp;"_SIMUL AS STRING),'') OR (X."&amp;F39&amp;" IS NULL AND Y."&amp;F39&amp;"_SIMUL IS NOT NULL ) OR (X."&amp;F39&amp;" IS NOT NULL AND Y."&amp;F39&amp;"_SIMUL IS NULL),1,0)) AS NUM_REG_DIF,'"&amp;MAX('ID1&amp;5'!L:L)+1&amp;"' AS ID_EXEC, CURRENT_TIMESTAMP() AS TIME_EXEC FROM "&amp;I39&amp;" INNER JOIN "&amp;J39&amp;" "&amp;K39),
IF(C39="Validade",+IF(G39="Code List","SELECT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 OR CAST(X."&amp;F39&amp;" AS STRING) NOT "&amp;H39&amp;",1,0)) AS NUM_REG_DIF,'"&amp;MAX('ID1&amp;5'!K:K)+1&amp;"' AS ID_EXEC, CURRENT_TIMESTAMP() AS TIME_EXEC FROM "&amp;I39,"SELECT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NULL,1,0)) AS NUM_REG_DIF,'"&amp;MAX('ID1&amp;5'!K:K)+1&amp;"' AS ID_EXEC, CURRENT_TIMESTAMP() AS TIME_EXEC FROM "&amp;I39),
IF(C39="Caracteres Especiais",+"SELECT '"&amp;UPPER(B39)&amp;"' AS TABELA, '"&amp;UPPER(C39)&amp;"' AS TIPOLOGIA_TESTE,'"&amp;D39&amp;"' AS TABELA_LT,'N/A' AS TABELA_SIMUL,'"&amp;F39&amp;"' AS CAMPO, "&amp;"'${ref_date}' AS REF_DATE, COUNT(*) AS NUM_REG, SUM(IF(REGEXP_REPLACE(TRIM(CAST(X."&amp;F39&amp;" AS STRING)),'[^a-zA-Z0-9_\\s]','') &lt;&gt;TRIM(CAST(X."&amp;F39&amp;" AS STRING)),1,0)) AS NUM_REG_DIF,'"&amp;MAX('ID1&amp;5'!K:K)+1&amp;"' AS ID_EXEC, CURRENT_TIMESTAMP() AS TIME_EXEC FROM "&amp;I39,
IF(C39="Missings",+"SELECT '"&amp;UPPER(B39)&amp;"' AS TABELA, '"&amp;UPPER(C39)&amp;"' AS TIPOLOGIA_TESTE,'"&amp;D39&amp;"' AS TABELA_LT,'N/A' AS TABELA_SIMUL,'"&amp;F39&amp;"' AS CAMPO, "&amp;"'${ref_date}' AS REF_DATE, COUNT(*) AS NUM_REG, SUM(IF(TRIM(CAST(X."&amp;F39&amp;" AS STRING)) IN ('0000-00-00','0001-01-01','9999-12-31','MISS','00000','99999999999','99999999999.00','99999999999.000000'),1,0)) AS NUM_REG_DIF,'"&amp;MAX('ID1&amp;5'!K:K)+1&amp;"' AS ID_EXEC, CURRENT_TIMESTAMP() AS TIME_EXEC FROM "&amp;I39,
IF(C39="Not applicable",+"SELECT '"&amp;UPPER(B39)&amp;"' AS TABELA, '"&amp;UPPER(C39)&amp;"' AS TIPOLOGIA_TESTE,'"&amp;D39&amp;"' AS TABELA_LT,'N/A' AS TABELA_SIMUL,'"&amp;F39&amp;"' AS CAMPO, "&amp;"'${ref_date}' AS REF_DATE, COUNT(*) AS NUM_REG, SUM(IF(TRIM(CAST(X."&amp;F39&amp;" AS STRING)) IN ('N/A','11111111111','11111111111.00','11111111111.000000','1111-11-11'),1,0)) AS NUM_REG_DIF,'"&amp;MAX('ID1&amp;5'!K:K)+1&amp;"' AS ID_EXEC, CURRENT_TIMESTAMP() AS TIME_EXEC FROM "&amp;I39,
IF(C39="Valores extremos",+"SELECT '"&amp;UPPER(B39)&amp;"' AS TABELA, '"&amp;UPPER(C39)&amp;"' AS TIPOLOGIA_TESTE,'"&amp;D39&amp;"' AS TABELA_LT,'N/A' AS TABELA_SIMUL,'"&amp;F39&amp;"' AS CAMPO, "&amp;"'${ref_date}' AS REF_DATE, CAST(MIN("&amp;F39&amp;") AS STRING) AS VALOR_MIN, CAST(MAX("&amp;F39&amp;") AS STRING) AS VALOR_MAX,'"&amp;MAX('ID1&amp;5'!K:K)+1&amp;"' AS ID_EXEC, CURRENT_TIMESTAMP() AS TIME_EXEC FROM "&amp;MID(I39,1,LEN(I39)-2)&amp;" AND CAST("&amp;F39&amp;"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TABELA_SIMUL,'DT_PRTCTN_VL' AS CAMPO, '${ref_date}' AS REF_DATE, COUNT(*) AS NUM_REG, SUM(IF(COALESCE(CAST(X.DT_PRTCTN_VL AS STRING),'')&lt;&gt;COALESCE(CAST(Y.DT_PRTCTN_VL_SIMUL AS STRING),'') OR (X.DT_PRTCTN_VL IS NULL AND Y.DT_PRTCTN_VL_SIMUL IS NOT NULL ) OR (X.DT_PRTCTN_VL IS NOT NULL AND Y.DT_PRTCTN_VL_SIMUL IS NULL),1,0)) AS NUM_REG_DIF,'1' AS ID_EXEC, CURRENT_TIMESTAMP() AS TIME_EXEC FROM (SELECT prtctn_id, DT_PRTCTN_VL FROM CD_LOAN_TAPES_BCE.LT004_PROTECTION WHERE ref_date='${ref_date}' AND nome_perimetro='Individual Local' AND segmento='ESTR' AND ambito='SRB_MBDT' AND entidade='00100')X INNER JOIN (SELECT prtctn_id AS prtctn_id_SIMUL, DT_PRTCTN_VL AS DT_PRTCTN_VL_SIMUL FROM BU_LOANTAPE_WORK.LT004_PROTECTION WHERE ref_date='${ref_date}' AND nome_perimetro='Individual Local' AND segmento='ESTR' AND ambito='PM' AND entidade='00100')Y ON X.PRTCTN_ID=Y.PRTCTN_ID_SIMUL</v>
      </c>
      <c r="M39" s="36" t="str">
        <f t="shared" si="4"/>
        <v>UNION ALL SELECT 'PROTECTION' AS TABELA, 'COERÊNCIA' AS TIPOLOGIA_TESTE,'CD_LOAN_TAPES_BCE.LT004_PROTECTION' AS TABELA_LT,'BU_LOANTAPE_WORK.LT004_PROTECTION' AS TABELA_SIMUL,'DT_PRTCTN_VL' AS CAMPO, '${ref_date}' AS REF_DATE, COUNT(*) AS NUM_REG, SUM(IF(COALESCE(CAST(X.DT_PRTCTN_VL AS STRING),'')&lt;&gt;COALESCE(CAST(Y.DT_PRTCTN_VL_SIMUL AS STRING),'') OR (X.DT_PRTCTN_VL IS NULL AND Y.DT_PRTCTN_VL_SIMUL IS NOT NULL ) OR (X.DT_PRTCTN_VL IS NOT NULL AND Y.DT_PRTCTN_VL_SIMUL IS NULL),1,0)) AS NUM_REG_DIF,'1' AS ID_EXEC, CURRENT_TIMESTAMP() AS TIME_EXEC FROM (SELECT prtctn_id, DT_PRTCTN_VL FROM CD_LOAN_TAPES_BCE.LT004_PROTECTION WHERE ref_date='${ref_date}' AND nome_perimetro='Individual Local' AND segmento='ESTR' AND ambito='SRB_MBDT' AND entidade='00100')X INNER JOIN (SELECT prtctn_id AS prtctn_id_SIMUL, DT_PRTCTN_VL AS DT_PRTCTN_VL_SIMUL FROM BU_LOANTAPE_WORK.LT004_PROTECTION WHERE ref_date='${ref_date}' AND nome_perimetro='Individual Local' AND segmento='ESTR' AND ambito='PM' AND entidade='00100')Y ON X.PRTCTN_ID=Y.PRTCTN_ID_SIMUL</v>
      </c>
      <c r="N39" s="38" t="s">
        <v>36</v>
      </c>
    </row>
    <row r="40" spans="1:14">
      <c r="A40" s="60" t="str">
        <f t="shared" si="0"/>
        <v>PROTECTIONTYP_PRTCTN_VL</v>
      </c>
      <c r="B40" s="34" t="s">
        <v>115</v>
      </c>
      <c r="C40" s="34" t="s">
        <v>5</v>
      </c>
      <c r="D40" s="34" t="str">
        <f>+UPPER('0. Instruções'!$D$35&amp;"."&amp;VLOOKUP(B40,'0. Instruções'!$C$27:$D$32,2,FALSE))</f>
        <v>CD_LOAN_TAPES_BCE.LT004_PROTECTION</v>
      </c>
      <c r="E40" s="34" t="str">
        <f>+UPPER('0. Instruções'!$D$36&amp;"."&amp;VLOOKUP(B40,'0. Instruções'!$C$27:$E$32,3,FALSE))</f>
        <v>BU_LOANTAPE_WORK.LT004_PROTECTION</v>
      </c>
      <c r="F40" s="111" t="s">
        <v>556</v>
      </c>
      <c r="G40" s="34"/>
      <c r="H40" s="34"/>
      <c r="I40" s="34" t="str">
        <f>"(SELECT "&amp;VLOOKUP(B40,'0. Instruções'!$C$27:$G$32,4,FALSE)&amp;", "&amp;F40&amp;" FROM "&amp;D40&amp;" WHERE "&amp;'0. Instruções'!$D$42&amp;")X"</f>
        <v>(SELECT prtctn_id, TYP_PRTCTN_VL FROM CD_LOAN_TAPES_BCE.LT004_PROTECTION WHERE ref_date='${ref_date}' AND nome_perimetro='Individual Local' AND segmento='ESTR' AND ambito='SRB_MBDT' AND entidade='00100')X</v>
      </c>
      <c r="J40" s="34" t="str">
        <f>"(SELECT "&amp;VLOOKUP(B40,'0. Instruções'!$C$27:$G$32,4,FALSE)&amp;" AS "&amp;VLOOKUP(B40,'0. Instruções'!$C$27:$G$32,4,FALSE)&amp;"_SIMUL, "&amp;F40&amp;" AS "&amp;F40&amp;"_SIMUL FROM "&amp;E40&amp;" WHERE "&amp;'0. Instruções'!$D$43&amp;")Y"</f>
        <v>(SELECT prtctn_id AS prtctn_id_SIMUL, TYP_PRTCTN_VL AS TYP_PRTCTN_VL_SIMUL FROM BU_LOANTAPE_WORK.LT004_PROTECTION WHERE ref_date='${ref_date}' AND nome_perimetro='Individual Local' AND segmento='ESTR' AND ambito='PM' AND entidade='00100')Y</v>
      </c>
      <c r="K40" s="35" t="str">
        <f>+UPPER("ON X."&amp;VLOOKUP(B40,'0. Instruções'!$C$27:$G$32,4,FALSE)&amp;"=Y."&amp;VLOOKUP(B40,'0. Instruções'!$C$27:$G$32,4,FALSE)&amp;"_SIMUL")</f>
        <v>ON X.PRTCTN_ID=Y.PRTCTN_ID_SIMUL</v>
      </c>
      <c r="L40" s="35" t="str">
        <f>+IF(C40="Coerência", +IF(LEFT(G40,5)="FLOAT","SELECT '"&amp;UPPER(B40)&amp;"' AS TABELA, '"&amp;UPPER(C40)&amp;"' AS TIPOLOGIA_TESTE,'"&amp;D40&amp;"' AS TABELA_LT,'"&amp;E40&amp;"' AS TABELA_SIMUL,'"&amp;F40&amp;"' AS CAMPO, "&amp;"'${ref_date}' AS REF_DATE, COUNT(*) AS NUM_REG, SUM(IF((ABS(COALESCE(CAST(X."&amp;F40&amp;" AS DECIMAL(18,6)),0)-COALESCE(CAST(Y."&amp;F40&amp;"_SIMUL AS DECIMAL(18,6)),0))&gt;0.000001) OR (X."&amp;F40&amp;" IS NULL AND Y."&amp;F40&amp;"_SIMUL IS NOT NULL ) OR (X."&amp;F40&amp;" IS NOT NULL AND Y."&amp;F40&amp;"_SIMUL IS NULL),1,0)) AS NUM_REG_DIF,'"&amp;MAX('ID1&amp;5'!K:K)+1&amp;"' AS ID_EXEC, CURRENT_TIMESTAMP() AS TIME_EXEC FROM "&amp;I40&amp;" INNER JOIN "&amp;J40&amp;" "&amp;K40,"SELECT '"&amp;UPPER(B40)&amp;"' AS TABELA, '"&amp;UPPER(C40)&amp;"' AS TIPOLOGIA_TESTE,'"&amp;D40&amp;"' AS TABELA_LT,'"&amp;E40&amp;"' AS TABELA_SIMUL,'"&amp;F40&amp;"' AS CAMPO, "&amp;"'${ref_date}' AS REF_DATE, COUNT(*) AS NUM_REG, SUM(IF(COALESCE(CAST(X."&amp;F40&amp;" AS STRING),'')&lt;&gt;COALESCE(CAST(Y."&amp;F40&amp;"_SIMUL AS STRING),'') OR (X."&amp;F40&amp;" IS NULL AND Y."&amp;F40&amp;"_SIMUL IS NOT NULL ) OR (X."&amp;F40&amp;" IS NOT NULL AND Y."&amp;F40&amp;"_SIMUL IS NULL),1,0)) AS NUM_REG_DIF,'"&amp;MAX('ID1&amp;5'!L:L)+1&amp;"' AS ID_EXEC, CURRENT_TIMESTAMP() AS TIME_EXEC FROM "&amp;I40&amp;" INNER JOIN "&amp;J40&amp;" "&amp;K40),
IF(C40="Validade",+IF(G40="Code List","SELECT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 OR CAST(X."&amp;F40&amp;" AS STRING) NOT "&amp;H40&amp;",1,0)) AS NUM_REG_DIF,'"&amp;MAX('ID1&amp;5'!K:K)+1&amp;"' AS ID_EXEC, CURRENT_TIMESTAMP() AS TIME_EXEC FROM "&amp;I40,"SELECT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NULL,1,0)) AS NUM_REG_DIF,'"&amp;MAX('ID1&amp;5'!K:K)+1&amp;"' AS ID_EXEC, CURRENT_TIMESTAMP() AS TIME_EXEC FROM "&amp;I40),
IF(C40="Caracteres Especiais",+"SELECT '"&amp;UPPER(B40)&amp;"' AS TABELA, '"&amp;UPPER(C40)&amp;"' AS TIPOLOGIA_TESTE,'"&amp;D40&amp;"' AS TABELA_LT,'N/A' AS TABELA_SIMUL,'"&amp;F40&amp;"' AS CAMPO, "&amp;"'${ref_date}' AS REF_DATE, COUNT(*) AS NUM_REG, SUM(IF(REGEXP_REPLACE(TRIM(CAST(X."&amp;F40&amp;" AS STRING)),'[^a-zA-Z0-9_\\s]','') &lt;&gt;TRIM(CAST(X."&amp;F40&amp;" AS STRING)),1,0)) AS NUM_REG_DIF,'"&amp;MAX('ID1&amp;5'!K:K)+1&amp;"' AS ID_EXEC, CURRENT_TIMESTAMP() AS TIME_EXEC FROM "&amp;I40,
IF(C40="Missings",+"SELECT '"&amp;UPPER(B40)&amp;"' AS TABELA, '"&amp;UPPER(C40)&amp;"' AS TIPOLOGIA_TESTE,'"&amp;D40&amp;"' AS TABELA_LT,'N/A' AS TABELA_SIMUL,'"&amp;F40&amp;"' AS CAMPO, "&amp;"'${ref_date}' AS REF_DATE, COUNT(*) AS NUM_REG, SUM(IF(TRIM(CAST(X."&amp;F40&amp;" AS STRING)) IN ('0000-00-00','0001-01-01','9999-12-31','MISS','00000','99999999999','99999999999.00','99999999999.000000'),1,0)) AS NUM_REG_DIF,'"&amp;MAX('ID1&amp;5'!K:K)+1&amp;"' AS ID_EXEC, CURRENT_TIMESTAMP() AS TIME_EXEC FROM "&amp;I40,
IF(C40="Not applicable",+"SELECT '"&amp;UPPER(B40)&amp;"' AS TABELA, '"&amp;UPPER(C40)&amp;"' AS TIPOLOGIA_TESTE,'"&amp;D40&amp;"' AS TABELA_LT,'N/A' AS TABELA_SIMUL,'"&amp;F40&amp;"' AS CAMPO, "&amp;"'${ref_date}' AS REF_DATE, COUNT(*) AS NUM_REG, SUM(IF(TRIM(CAST(X."&amp;F40&amp;" AS STRING)) IN ('N/A','11111111111','11111111111.00','11111111111.000000','1111-11-11'),1,0)) AS NUM_REG_DIF,'"&amp;MAX('ID1&amp;5'!K:K)+1&amp;"' AS ID_EXEC, CURRENT_TIMESTAMP() AS TIME_EXEC FROM "&amp;I40,
IF(C40="Valores extremos",+"SELECT '"&amp;UPPER(B40)&amp;"' AS TABELA, '"&amp;UPPER(C40)&amp;"' AS TIPOLOGIA_TESTE,'"&amp;D40&amp;"' AS TABELA_LT,'N/A' AS TABELA_SIMUL,'"&amp;F40&amp;"' AS CAMPO, "&amp;"'${ref_date}' AS REF_DATE, CAST(MIN("&amp;F40&amp;") AS STRING) AS VALOR_MIN, CAST(MAX("&amp;F40&amp;") AS STRING) AS VALOR_MAX,'"&amp;MAX('ID1&amp;5'!K:K)+1&amp;"' AS ID_EXEC, CURRENT_TIMESTAMP() AS TIME_EXEC FROM "&amp;MID(I40,1,LEN(I40)-2)&amp;" AND CAST("&amp;F40&amp;"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TABELA_SIMUL,'TYP_PRTCTN_VL' AS CAMPO, '${ref_date}' AS REF_DATE, COUNT(*) AS NUM_REG, SUM(IF(COALESCE(CAST(X.TYP_PRTCTN_VL AS STRING),'')&lt;&gt;COALESCE(CAST(Y.TYP_PRTCTN_VL_SIMUL AS STRING),'') OR (X.TYP_PRTCTN_VL IS NULL AND Y.TYP_PRTCTN_VL_SIMUL IS NOT NULL ) OR (X.TYP_PRTCTN_VL IS NOT NULL AND Y.TYP_PRTCTN_VL_SIMUL IS NULL),1,0)) AS NUM_REG_DIF,'1' AS ID_EXEC, CURRENT_TIMESTAMP() AS TIME_EXEC FROM (SELECT prtctn_id, TYP_PRTCTN_VL FROM CD_LOAN_TAPES_BCE.LT004_PROTECTION WHERE ref_date='${ref_date}' AND nome_perimetro='Individual Local' AND segmento='ESTR' AND ambito='SRB_MBDT' AND entidade='00100')X INNER JOIN (SELECT prtctn_id AS prtctn_id_SIMUL, TYP_PRTCTN_VL AS TYP_PRTCTN_VL_SIMUL FROM BU_LOANTAPE_WORK.LT004_PROTECTION WHERE ref_date='${ref_date}' AND nome_perimetro='Individual Local' AND segmento='ESTR' AND ambito='PM' AND entidade='00100')Y ON X.PRTCTN_ID=Y.PRTCTN_ID_SIMUL</v>
      </c>
      <c r="M40" s="36" t="str">
        <f t="shared" si="4"/>
        <v>UNION ALL SELECT 'PROTECTION' AS TABELA, 'COERÊNCIA' AS TIPOLOGIA_TESTE,'CD_LOAN_TAPES_BCE.LT004_PROTECTION' AS TABELA_LT,'BU_LOANTAPE_WORK.LT004_PROTECTION' AS TABELA_SIMUL,'TYP_PRTCTN_VL' AS CAMPO, '${ref_date}' AS REF_DATE, COUNT(*) AS NUM_REG, SUM(IF(COALESCE(CAST(X.TYP_PRTCTN_VL AS STRING),'')&lt;&gt;COALESCE(CAST(Y.TYP_PRTCTN_VL_SIMUL AS STRING),'') OR (X.TYP_PRTCTN_VL IS NULL AND Y.TYP_PRTCTN_VL_SIMUL IS NOT NULL ) OR (X.TYP_PRTCTN_VL IS NOT NULL AND Y.TYP_PRTCTN_VL_SIMUL IS NULL),1,0)) AS NUM_REG_DIF,'1' AS ID_EXEC, CURRENT_TIMESTAMP() AS TIME_EXEC FROM (SELECT prtctn_id, TYP_PRTCTN_VL FROM CD_LOAN_TAPES_BCE.LT004_PROTECTION WHERE ref_date='${ref_date}' AND nome_perimetro='Individual Local' AND segmento='ESTR' AND ambito='SRB_MBDT' AND entidade='00100')X INNER JOIN (SELECT prtctn_id AS prtctn_id_SIMUL, TYP_PRTCTN_VL AS TYP_PRTCTN_VL_SIMUL FROM BU_LOANTAPE_WORK.LT004_PROTECTION WHERE ref_date='${ref_date}' AND nome_perimetro='Individual Local' AND segmento='ESTR' AND ambito='PM' AND entidade='00100')Y ON X.PRTCTN_ID=Y.PRTCTN_ID_SIMUL</v>
      </c>
      <c r="N40" s="38" t="s">
        <v>36</v>
      </c>
    </row>
    <row r="41" spans="1:14">
      <c r="A41" s="60" t="str">
        <f t="shared" si="0"/>
        <v>PROTECTIONTYP_PRTCTN</v>
      </c>
      <c r="B41" s="34" t="s">
        <v>115</v>
      </c>
      <c r="C41" s="34" t="s">
        <v>5</v>
      </c>
      <c r="D41" s="34" t="str">
        <f>+UPPER('0. Instruções'!$D$35&amp;"."&amp;VLOOKUP(B41,'0. Instruções'!$C$27:$D$32,2,FALSE))</f>
        <v>CD_LOAN_TAPES_BCE.LT004_PROTECTION</v>
      </c>
      <c r="E41" s="34" t="str">
        <f>+UPPER('0. Instruções'!$D$36&amp;"."&amp;VLOOKUP(B41,'0. Instruções'!$C$27:$E$32,3,FALSE))</f>
        <v>BU_LOANTAPE_WORK.LT004_PROTECTION</v>
      </c>
      <c r="F41" s="111" t="s">
        <v>110</v>
      </c>
      <c r="G41" s="34"/>
      <c r="H41" s="34"/>
      <c r="I41" s="34" t="str">
        <f>"(SELECT "&amp;VLOOKUP(B41,'0. Instruções'!$C$27:$G$32,4,FALSE)&amp;", "&amp;F41&amp;" FROM "&amp;D41&amp;" WHERE "&amp;'0. Instruções'!$D$42&amp;")X"</f>
        <v>(SELECT prtctn_id, TYP_PRTCTN FROM CD_LOAN_TAPES_BCE.LT004_PROTECTION WHERE ref_date='${ref_date}' AND nome_perimetro='Individual Local' AND segmento='ESTR' AND ambito='SRB_MBDT' AND entidade='00100')X</v>
      </c>
      <c r="J41" s="34" t="str">
        <f>"(SELECT "&amp;VLOOKUP(B41,'0. Instruções'!$C$27:$G$32,4,FALSE)&amp;" AS "&amp;VLOOKUP(B41,'0. Instruções'!$C$27:$G$32,4,FALSE)&amp;"_SIMUL, "&amp;F41&amp;" AS "&amp;F41&amp;"_SIMUL FROM "&amp;E41&amp;" WHERE "&amp;'0. Instruções'!$D$43&amp;")Y"</f>
        <v>(SELECT prtctn_id AS prtctn_id_SIMUL, TYP_PRTCTN AS TYP_PRTCTN_SIMUL FROM BU_LOANTAPE_WORK.LT004_PROTECTION WHERE ref_date='${ref_date}' AND nome_perimetro='Individual Local' AND segmento='ESTR' AND ambito='PM' AND entidade='00100')Y</v>
      </c>
      <c r="K41" s="35" t="str">
        <f>+UPPER("ON X."&amp;VLOOKUP(B41,'0. Instruções'!$C$27:$G$32,4,FALSE)&amp;"=Y."&amp;VLOOKUP(B41,'0. Instruções'!$C$27:$G$32,4,FALSE)&amp;"_SIMUL")</f>
        <v>ON X.PRTCTN_ID=Y.PRTCTN_ID_SIMUL</v>
      </c>
      <c r="L41" s="35" t="str">
        <f>+IF(C41="Coerência", +IF(LEFT(G41,5)="FLOAT","SELECT '"&amp;UPPER(B41)&amp;"' AS TABELA, '"&amp;UPPER(C41)&amp;"' AS TIPOLOGIA_TESTE,'"&amp;D41&amp;"' AS TABELA_LT,'"&amp;E41&amp;"' AS TABELA_SIMUL,'"&amp;F41&amp;"' AS CAMPO, "&amp;"'${ref_date}' AS REF_DATE, COUNT(*) AS NUM_REG, SUM(IF((ABS(COALESCE(CAST(X."&amp;F41&amp;" AS DECIMAL(18,6)),0)-COALESCE(CAST(Y."&amp;F41&amp;"_SIMUL AS DECIMAL(18,6)),0))&gt;0.000001) OR (X."&amp;F41&amp;" IS NULL AND Y."&amp;F41&amp;"_SIMUL IS NOT NULL ) OR (X."&amp;F41&amp;" IS NOT NULL AND Y."&amp;F41&amp;"_SIMUL IS NULL),1,0)) AS NUM_REG_DIF,'"&amp;MAX('ID1&amp;5'!K:K)+1&amp;"' AS ID_EXEC, CURRENT_TIMESTAMP() AS TIME_EXEC FROM "&amp;I41&amp;" INNER JOIN "&amp;J41&amp;" "&amp;K41,"SELECT '"&amp;UPPER(B41)&amp;"' AS TABELA, '"&amp;UPPER(C41)&amp;"' AS TIPOLOGIA_TESTE,'"&amp;D41&amp;"' AS TABELA_LT,'"&amp;E41&amp;"' AS TABELA_SIMUL,'"&amp;F41&amp;"' AS CAMPO, "&amp;"'${ref_date}' AS REF_DATE, COUNT(*) AS NUM_REG, SUM(IF(COALESCE(CAST(X."&amp;F41&amp;" AS STRING),'')&lt;&gt;COALESCE(CAST(Y."&amp;F41&amp;"_SIMUL AS STRING),'') OR (X."&amp;F41&amp;" IS NULL AND Y."&amp;F41&amp;"_SIMUL IS NOT NULL ) OR (X."&amp;F41&amp;" IS NOT NULL AND Y."&amp;F41&amp;"_SIMUL IS NULL),1,0)) AS NUM_REG_DIF,'"&amp;MAX('ID1&amp;5'!L:L)+1&amp;"' AS ID_EXEC, CURRENT_TIMESTAMP() AS TIME_EXEC FROM "&amp;I41&amp;" INNER JOIN "&amp;J41&amp;" "&amp;K41),
IF(C41="Validade",+IF(G41="Code List","SELECT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 OR CAST(X."&amp;F41&amp;" AS STRING) NOT "&amp;H41&amp;",1,0)) AS NUM_REG_DIF,'"&amp;MAX('ID1&amp;5'!K:K)+1&amp;"' AS ID_EXEC, CURRENT_TIMESTAMP() AS TIME_EXEC FROM "&amp;I41,"SELECT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NULL,1,0)) AS NUM_REG_DIF,'"&amp;MAX('ID1&amp;5'!K:K)+1&amp;"' AS ID_EXEC, CURRENT_TIMESTAMP() AS TIME_EXEC FROM "&amp;I41),
IF(C41="Caracteres Especiais",+"SELECT '"&amp;UPPER(B41)&amp;"' AS TABELA, '"&amp;UPPER(C41)&amp;"' AS TIPOLOGIA_TESTE,'"&amp;D41&amp;"' AS TABELA_LT,'N/A' AS TABELA_SIMUL,'"&amp;F41&amp;"' AS CAMPO, "&amp;"'${ref_date}' AS REF_DATE, COUNT(*) AS NUM_REG, SUM(IF(REGEXP_REPLACE(TRIM(CAST(X."&amp;F41&amp;" AS STRING)),'[^a-zA-Z0-9_\\s]','') &lt;&gt;TRIM(CAST(X."&amp;F41&amp;" AS STRING)),1,0)) AS NUM_REG_DIF,'"&amp;MAX('ID1&amp;5'!K:K)+1&amp;"' AS ID_EXEC, CURRENT_TIMESTAMP() AS TIME_EXEC FROM "&amp;I41,
IF(C41="Missings",+"SELECT '"&amp;UPPER(B41)&amp;"' AS TABELA, '"&amp;UPPER(C41)&amp;"' AS TIPOLOGIA_TESTE,'"&amp;D41&amp;"' AS TABELA_LT,'N/A' AS TABELA_SIMUL,'"&amp;F41&amp;"' AS CAMPO, "&amp;"'${ref_date}' AS REF_DATE, COUNT(*) AS NUM_REG, SUM(IF(TRIM(CAST(X."&amp;F41&amp;" AS STRING)) IN ('0000-00-00','0001-01-01','9999-12-31','MISS','00000','99999999999','99999999999.00','99999999999.000000'),1,0)) AS NUM_REG_DIF,'"&amp;MAX('ID1&amp;5'!K:K)+1&amp;"' AS ID_EXEC, CURRENT_TIMESTAMP() AS TIME_EXEC FROM "&amp;I41,
IF(C41="Not applicable",+"SELECT '"&amp;UPPER(B41)&amp;"' AS TABELA, '"&amp;UPPER(C41)&amp;"' AS TIPOLOGIA_TESTE,'"&amp;D41&amp;"' AS TABELA_LT,'N/A' AS TABELA_SIMUL,'"&amp;F41&amp;"' AS CAMPO, "&amp;"'${ref_date}' AS REF_DATE, COUNT(*) AS NUM_REG, SUM(IF(TRIM(CAST(X."&amp;F41&amp;" AS STRING)) IN ('N/A','11111111111','11111111111.00','11111111111.000000','1111-11-11'),1,0)) AS NUM_REG_DIF,'"&amp;MAX('ID1&amp;5'!K:K)+1&amp;"' AS ID_EXEC, CURRENT_TIMESTAMP() AS TIME_EXEC FROM "&amp;I41,
IF(C41="Valores extremos",+"SELECT '"&amp;UPPER(B41)&amp;"' AS TABELA, '"&amp;UPPER(C41)&amp;"' AS TIPOLOGIA_TESTE,'"&amp;D41&amp;"' AS TABELA_LT,'N/A' AS TABELA_SIMUL,'"&amp;F41&amp;"' AS CAMPO, "&amp;"'${ref_date}' AS REF_DATE, CAST(MIN("&amp;F41&amp;") AS STRING) AS VALOR_MIN, CAST(MAX("&amp;F41&amp;") AS STRING) AS VALOR_MAX,'"&amp;MAX('ID1&amp;5'!K:K)+1&amp;"' AS ID_EXEC, CURRENT_TIMESTAMP() AS TIME_EXEC FROM "&amp;MID(I41,1,LEN(I41)-2)&amp;" AND CAST("&amp;F41&amp;"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TABELA_SIMUL,'TYP_PRTCTN' AS CAMPO, '${ref_date}' AS REF_DATE, COUNT(*) AS NUM_REG, SUM(IF(COALESCE(CAST(X.TYP_PRTCTN AS STRING),'')&lt;&gt;COALESCE(CAST(Y.TYP_PRTCTN_SIMUL AS STRING),'') OR (X.TYP_PRTCTN IS NULL AND Y.TYP_PRTCTN_SIMUL IS NOT NULL ) OR (X.TYP_PRTCTN IS NOT NULL AND Y.TYP_PRTCTN_SIMUL IS NULL),1,0)) AS NUM_REG_DIF,'1' AS ID_EXEC, CURRENT_TIMESTAMP() AS TIME_EXEC FROM (SELECT prtctn_id, TYP_PRTCTN FROM CD_LOAN_TAPES_BCE.LT004_PROTECTION WHERE ref_date='${ref_date}' AND nome_perimetro='Individual Local' AND segmento='ESTR' AND ambito='SRB_MBDT' AND entidade='00100')X INNER JOIN (SELECT prtctn_id AS prtctn_id_SIMUL, TYP_PRTCTN AS TYP_PRTCTN_SIMUL FROM BU_LOANTAPE_WORK.LT004_PROTECTION WHERE ref_date='${ref_date}' AND nome_perimetro='Individual Local' AND segmento='ESTR' AND ambito='PM' AND entidade='00100')Y ON X.PRTCTN_ID=Y.PRTCTN_ID_SIMUL</v>
      </c>
      <c r="M41" s="36" t="str">
        <f t="shared" si="4"/>
        <v>UNION ALL SELECT 'PROTECTION' AS TABELA, 'COERÊNCIA' AS TIPOLOGIA_TESTE,'CD_LOAN_TAPES_BCE.LT004_PROTECTION' AS TABELA_LT,'BU_LOANTAPE_WORK.LT004_PROTECTION' AS TABELA_SIMUL,'TYP_PRTCTN' AS CAMPO, '${ref_date}' AS REF_DATE, COUNT(*) AS NUM_REG, SUM(IF(COALESCE(CAST(X.TYP_PRTCTN AS STRING),'')&lt;&gt;COALESCE(CAST(Y.TYP_PRTCTN_SIMUL AS STRING),'') OR (X.TYP_PRTCTN IS NULL AND Y.TYP_PRTCTN_SIMUL IS NOT NULL ) OR (X.TYP_PRTCTN IS NOT NULL AND Y.TYP_PRTCTN_SIMUL IS NULL),1,0)) AS NUM_REG_DIF,'1' AS ID_EXEC, CURRENT_TIMESTAMP() AS TIME_EXEC FROM (SELECT prtctn_id, TYP_PRTCTN FROM CD_LOAN_TAPES_BCE.LT004_PROTECTION WHERE ref_date='${ref_date}' AND nome_perimetro='Individual Local' AND segmento='ESTR' AND ambito='SRB_MBDT' AND entidade='00100')X INNER JOIN (SELECT prtctn_id AS prtctn_id_SIMUL, TYP_PRTCTN AS TYP_PRTCTN_SIMUL FROM BU_LOANTAPE_WORK.LT004_PROTECTION WHERE ref_date='${ref_date}' AND nome_perimetro='Individual Local' AND segmento='ESTR' AND ambito='PM' AND entidade='00100')Y ON X.PRTCTN_ID=Y.PRTCTN_ID_SIMUL</v>
      </c>
      <c r="N41" s="38" t="s">
        <v>36</v>
      </c>
    </row>
    <row r="42" spans="1:14">
      <c r="A42" s="60" t="str">
        <f t="shared" si="0"/>
        <v>INSTR_ENTITYMN_ENTTY_ID</v>
      </c>
      <c r="B42" s="34" t="s">
        <v>304</v>
      </c>
      <c r="C42" s="34" t="s">
        <v>5</v>
      </c>
      <c r="D42" s="34" t="str">
        <f>+UPPER('0. Instruções'!$D$35&amp;"."&amp;VLOOKUP(B42,'0. Instruções'!$C$27:$D$32,2,FALSE))</f>
        <v>CD_LOAN_TAPES_BCE.LT005_INSTR_ENT</v>
      </c>
      <c r="E42" s="34" t="str">
        <f>+UPPER('0. Instruções'!$D$36&amp;"."&amp;VLOOKUP(B42,'0. Instruções'!$C$27:$E$32,3,FALSE))</f>
        <v>BU_LOANTAPE_WORK.LT005_INSTR_ENT</v>
      </c>
      <c r="F42" s="111" t="s">
        <v>393</v>
      </c>
      <c r="G42" s="34"/>
      <c r="H42" s="34"/>
      <c r="I42" s="34" t="str">
        <f>IF(VLOOKUP(B42,'0. Instruções'!$C$27:$G$32,5,FALSE)=0,
"(SELECT "&amp;VLOOKUP(B42,'0. Instruções'!$C$27:$G$32,4,FALSE)&amp;" AS CHAVE_IT, "&amp;F42&amp;" AS CAMPO_IT FROM "&amp;D42&amp;" WHERE "&amp;'0. Instruções'!$D$43&amp;")X",
"(SELECT "&amp;VLOOKUP(B42,'0. Instruções'!$C$27:$G$32,4,FALSE)&amp;" AS CHAVE_IT1, "&amp;VLOOKUP(B42,'0. Instruções'!$C$27:$G$32,5,FALSE)&amp;" AS CHAVE_IT2, "&amp;F42&amp;" AS CAMPO_IT FROM "&amp;D42&amp;" WHERE "&amp;'0. Instruções'!$D$43&amp;")X")</f>
        <v>(SELECT instrmnt_id AS CHAVE_IT1, entty_id AS CHAVE_IT2, MN_ENTTY_ID AS CAMPO_IT FROM CD_LOAN_TAPES_BCE.LT005_INSTR_ENT WHERE ref_date='${ref_date}' AND nome_perimetro='Individual Local' AND segmento='ESTR' AND ambito='PM' AND entidade='00100')X</v>
      </c>
      <c r="J42" s="34" t="str">
        <f>IF(VLOOKUP(B42,'0. Instruções'!$C$27:$G$32,5,FALSE)=0,
"(SELECT "&amp;VLOOKUP(B42,'0. Instruções'!$C$27:$G$32,4,FALSE)&amp;" AS CHAVE_SIMUL, "&amp;F42&amp;" AS CAMPO_SIMUL FROM "&amp;E42&amp;" WHERE "&amp;'0. Instruções'!$D$42&amp;")Y",
"(SELECT "&amp;VLOOKUP(B42,'0. Instruções'!$C$27:$G$32,4,FALSE)&amp;" AS CHAVE_SIMUL1, "&amp;VLOOKUP(B42,'0. Instruções'!$C$27:$G$32,5,FALSE)&amp;" AS CHAVE_SIMUL2, "&amp;F42&amp;" AS CAMPO_SIMUL FROM "&amp;E42&amp;" WHERE "&amp;'0. Instruções'!$D$42&amp;")Y")</f>
        <v>(SELECT instrmnt_id AS CHAVE_SIMUL1, entty_id AS CHAVE_SIMUL2, MN_ENTTY_ID AS CAMPO_SIMUL FROM BU_LOANTAPE_WORK.LT005_INSTR_ENT WHERE ref_date='${ref_date}' AND nome_perimetro='Individual Local' AND segmento='ESTR' AND ambito='SRB_MBDT' AND entidade='00100')Y</v>
      </c>
      <c r="K42" s="34" t="str">
        <f>IF(VLOOKUP(B42,'0. Instruções'!$C$27:$G$32,5,FALSE)=0,
"ON X.CHAVE_IT=Y.CHAVE_SIMUL",
"ON X.CHAVE_IT1=Y.CHAVE_SIMUL1 AND X.CHAVE_IT2=Y.CHAVE_SIMUL2")</f>
        <v>ON X.CHAVE_IT1=Y.CHAVE_SIMUL1 AND X.CHAVE_IT2=Y.CHAVE_SIMUL2</v>
      </c>
      <c r="L42" s="34" t="str">
        <f>+IF(C42="Coerência",+IF(LEFT(G42,5)="FLOAT","SELECT '"&amp;UPPER(B42)&amp;"' AS TABELA, '"&amp;UPPER(C42)&amp;"' AS TIPOLOGIA_TESTE,'"&amp;D42&amp;"' AS TABELA_LT,'"&amp;E42&amp;"' AS TABELA_SIMUL,'"&amp;F42&amp;"'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NUM_REG_DIF,'")&amp;MAX('ID1&amp;5'!K:K)+1&amp;"' AS ID_EXEC, CURRENT_TIMESTAMP() AS TIME_EXEC FROM "&amp;I42&amp;" INNER JOIN "&amp;J42&amp;" "&amp;K42,"SELECT '"&amp;UPPER(B42)&amp;"' AS TABELA, '"&amp;UPPER(C42)&amp;"' AS TIPOLOGIA_TESTE,'"&amp;D42&amp;"' AS TABELA_LT,'"&amp;E42&amp;"' AS TABELA_SIMUL,'"&amp;F42&amp;"'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NUM_REG_DIF,'")&amp;MAX('ID1&amp;5'!L:L)+1&amp;"' AS ID_EXEC, CURRENT_TIMESTAMP() AS TIME_EXEC FROM "&amp;I42&amp;" INNER JOIN "&amp;J42&amp;" "&amp;K42))</f>
        <v>SELECT 'INSTR_ENTITY' AS TABELA, 'COERÊNCIA' AS TIPOLOGIA_TESTE,'CD_LOAN_TAPES_BCE.LT005_INSTR_ENT' AS TABELA_LT,'BU_LOANTAPE_WORK.LT005_INSTR_ENT' AS TABELA_SIMUL,'MN_ENTTY_ID'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MN_ENTTY_ID AS CAMPO_IT FROM CD_LOAN_TAPES_BCE.LT005_INSTR_ENT WHERE ref_date='${ref_date}' AND nome_perimetro='Individual Local' AND segmento='ESTR' AND ambito='PM' AND entidade='00100')X INNER JOIN (SELECT instrmnt_id AS CHAVE_SIMUL1, entty_id AS CHAVE_SIMUL2, MN_ENTTY_ID AS CAMPO_SIMUL FROM BU_LOANTAPE_WORK.LT005_INSTR_ENT WHERE ref_date='${ref_date}' AND nome_perimetro='Individual Local' AND segmento='ESTR' AND ambito='SRB_MBDT' AND entidade='00100')Y ON X.CHAVE_IT1=Y.CHAVE_SIMUL1 AND X.CHAVE_IT2=Y.CHAVE_SIMUL2</v>
      </c>
      <c r="M42" s="36" t="str">
        <f t="shared" si="4"/>
        <v>UNION ALL SELECT 'INSTR_ENTITY' AS TABELA, 'COERÊNCIA' AS TIPOLOGIA_TESTE,'CD_LOAN_TAPES_BCE.LT005_INSTR_ENT' AS TABELA_LT,'BU_LOANTAPE_WORK.LT005_INSTR_ENT' AS TABELA_SIMUL,'MN_ENTTY_ID'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MN_ENTTY_ID AS CAMPO_IT FROM CD_LOAN_TAPES_BCE.LT005_INSTR_ENT WHERE ref_date='${ref_date}' AND nome_perimetro='Individual Local' AND segmento='ESTR' AND ambito='PM' AND entidade='00100')X INNER JOIN (SELECT instrmnt_id AS CHAVE_SIMUL1, entty_id AS CHAVE_SIMUL2, MN_ENTTY_ID AS CAMPO_SIMUL FROM BU_LOANTAPE_WORK.LT005_INSTR_ENT WHERE ref_date='${ref_date}' AND nome_perimetro='Individual Local' AND segmento='ESTR' AND ambito='SRB_MBDT' AND entidade='00100')Y ON X.CHAVE_IT1=Y.CHAVE_SIMUL1 AND X.CHAVE_IT2=Y.CHAVE_SIMUL2</v>
      </c>
      <c r="N42" s="38" t="s">
        <v>36</v>
      </c>
    </row>
    <row r="43" spans="1:14">
      <c r="A43" s="60" t="str">
        <f t="shared" ref="A43:A47" si="5">+B43&amp;F43</f>
        <v>INSTR_ENTITYCRELACAO_CL_CNT</v>
      </c>
      <c r="B43" s="34" t="s">
        <v>304</v>
      </c>
      <c r="C43" s="34" t="s">
        <v>5</v>
      </c>
      <c r="D43" s="34" t="str">
        <f>+UPPER('0. Instruções'!$D$35&amp;"."&amp;VLOOKUP(B43,'0. Instruções'!$C$27:$D$32,2,FALSE))</f>
        <v>CD_LOAN_TAPES_BCE.LT005_INSTR_ENT</v>
      </c>
      <c r="E43" s="34" t="str">
        <f>+UPPER('0. Instruções'!$D$36&amp;"."&amp;VLOOKUP(B43,'0. Instruções'!$C$27:$E$32,3,FALSE))</f>
        <v>BU_LOANTAPE_WORK.LT005_INSTR_ENT</v>
      </c>
      <c r="F43" s="111" t="s">
        <v>1581</v>
      </c>
      <c r="G43" s="34"/>
      <c r="H43" s="34"/>
      <c r="I43" s="34" t="str">
        <f>IF(VLOOKUP(B43,'0. Instruções'!$C$27:$G$32,5,FALSE)=0,
"(SELECT "&amp;VLOOKUP(B43,'0. Instruções'!$C$27:$G$32,4,FALSE)&amp;" AS CHAVE_IT, "&amp;F43&amp;" AS CAMPO_IT FROM "&amp;D43&amp;" WHERE "&amp;'0. Instruções'!$D$43&amp;")X",
"(SELECT "&amp;VLOOKUP(B43,'0. Instruções'!$C$27:$G$32,4,FALSE)&amp;" AS CHAVE_IT1, "&amp;VLOOKUP(B43,'0. Instruções'!$C$27:$G$32,5,FALSE)&amp;" AS CHAVE_IT2, "&amp;F43&amp;" AS CAMPO_IT FROM "&amp;D43&amp;" WHERE "&amp;'0. Instruções'!$D$43&amp;")X")</f>
        <v>(SELECT instrmnt_id AS CHAVE_IT1, entty_id AS CHAVE_IT2, CRELACAO_CL_CNT AS CAMPO_IT FROM CD_LOAN_TAPES_BCE.LT005_INSTR_ENT WHERE ref_date='${ref_date}' AND nome_perimetro='Individual Local' AND segmento='ESTR' AND ambito='PM' AND entidade='00100')X</v>
      </c>
      <c r="J43" s="34" t="str">
        <f>IF(VLOOKUP(B43,'0. Instruções'!$C$27:$G$32,5,FALSE)=0,
"(SELECT "&amp;VLOOKUP(B43,'0. Instruções'!$C$27:$G$32,4,FALSE)&amp;" AS CHAVE_SIMUL, "&amp;F43&amp;" AS CAMPO_SIMUL FROM "&amp;E43&amp;" WHERE "&amp;'0. Instruções'!$D$42&amp;")Y",
"(SELECT "&amp;VLOOKUP(B43,'0. Instruções'!$C$27:$G$32,4,FALSE)&amp;" AS CHAVE_SIMUL1, "&amp;VLOOKUP(B43,'0. Instruções'!$C$27:$G$32,5,FALSE)&amp;" AS CHAVE_SIMUL2, "&amp;F43&amp;" AS CAMPO_SIMUL FROM "&amp;E43&amp;" WHERE "&amp;'0. Instruções'!$D$42&amp;")Y")</f>
        <v>(SELECT instrmnt_id AS CHAVE_SIMUL1, entty_id AS CHAVE_SIMUL2, CRELACAO_CL_CNT AS CAMPO_SIMUL FROM BU_LOANTAPE_WORK.LT005_INSTR_ENT WHERE ref_date='${ref_date}' AND nome_perimetro='Individual Local' AND segmento='ESTR' AND ambito='SRB_MBDT' AND entidade='00100')Y</v>
      </c>
      <c r="K43" s="34" t="str">
        <f>IF(VLOOKUP(B43,'0. Instruções'!$C$27:$G$32,5,FALSE)=0,
"ON X.CHAVE_IT=Y.CHAVE_SIMUL",
"ON X.CHAVE_IT1=Y.CHAVE_SIMUL1 AND X.CHAVE_IT2=Y.CHAVE_SIMUL2")</f>
        <v>ON X.CHAVE_IT1=Y.CHAVE_SIMUL1 AND X.CHAVE_IT2=Y.CHAVE_SIMUL2</v>
      </c>
      <c r="L43" s="34" t="str">
        <f>+IF(C43="Coerência",+IF(LEFT(G43,5)="FLOAT","SELECT '"&amp;UPPER(B43)&amp;"' AS TABELA, '"&amp;UPPER(C43)&amp;"' AS TIPOLOGIA_TESTE,'"&amp;D43&amp;"' AS TABELA_LT,'"&amp;E43&amp;"' AS TABELA_SIMUL,'"&amp;F43&amp;"'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NUM_REG_DIF,'")&amp;MAX('ID1&amp;5'!K:K)+1&amp;"' AS ID_EXEC, CURRENT_TIMESTAMP() AS TIME_EXEC FROM "&amp;I43&amp;" INNER JOIN "&amp;J43&amp;" "&amp;K43,"SELECT '"&amp;UPPER(B43)&amp;"' AS TABELA, '"&amp;UPPER(C43)&amp;"' AS TIPOLOGIA_TESTE,'"&amp;D43&amp;"' AS TABELA_LT,'"&amp;E43&amp;"' AS TABELA_SIMUL,'"&amp;F43&amp;"'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NUM_REG_DIF,'")&amp;MAX('ID1&amp;5'!L:L)+1&amp;"' AS ID_EXEC, CURRENT_TIMESTAMP() AS TIME_EXEC FROM "&amp;I43&amp;" INNER JOIN "&amp;J43&amp;" "&amp;K43))</f>
        <v>SELECT 'INSTR_ENTITY' AS TABELA, 'COERÊNCIA' AS TIPOLOGIA_TESTE,'CD_LOAN_TAPES_BCE.LT005_INSTR_ENT' AS TABELA_LT,'BU_LOANTAPE_WORK.LT005_INSTR_ENT' AS TABELA_SIMUL,'CRELACAO_CL_CNT'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CRELACAO_CL_CNT AS CAMPO_IT FROM CD_LOAN_TAPES_BCE.LT005_INSTR_ENT WHERE ref_date='${ref_date}' AND nome_perimetro='Individual Local' AND segmento='ESTR' AND ambito='PM' AND entidade='00100')X INNER JOIN (SELECT instrmnt_id AS CHAVE_SIMUL1, entty_id AS CHAVE_SIMUL2, CRELACAO_CL_CNT AS CAMPO_SIMUL FROM BU_LOANTAPE_WORK.LT005_INSTR_ENT WHERE ref_date='${ref_date}' AND nome_perimetro='Individual Local' AND segmento='ESTR' AND ambito='SRB_MBDT' AND entidade='00100')Y ON X.CHAVE_IT1=Y.CHAVE_SIMUL1 AND X.CHAVE_IT2=Y.CHAVE_SIMUL2</v>
      </c>
      <c r="M43" s="36" t="str">
        <f t="shared" si="4"/>
        <v>UNION ALL SELECT 'INSTR_ENTITY' AS TABELA, 'COERÊNCIA' AS TIPOLOGIA_TESTE,'CD_LOAN_TAPES_BCE.LT005_INSTR_ENT' AS TABELA_LT,'BU_LOANTAPE_WORK.LT005_INSTR_ENT' AS TABELA_SIMUL,'CRELACAO_CL_CNT'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CRELACAO_CL_CNT AS CAMPO_IT FROM CD_LOAN_TAPES_BCE.LT005_INSTR_ENT WHERE ref_date='${ref_date}' AND nome_perimetro='Individual Local' AND segmento='ESTR' AND ambito='PM' AND entidade='00100')X INNER JOIN (SELECT instrmnt_id AS CHAVE_SIMUL1, entty_id AS CHAVE_SIMUL2, CRELACAO_CL_CNT AS CAMPO_SIMUL FROM BU_LOANTAPE_WORK.LT005_INSTR_ENT WHERE ref_date='${ref_date}' AND nome_perimetro='Individual Local' AND segmento='ESTR' AND ambito='SRB_MBDT' AND entidade='00100')Y ON X.CHAVE_IT1=Y.CHAVE_SIMUL1 AND X.CHAVE_IT2=Y.CHAVE_SIMUL2</v>
      </c>
      <c r="N43" s="38" t="s">
        <v>36</v>
      </c>
    </row>
    <row r="44" spans="1:14">
      <c r="A44" s="60" t="str">
        <f t="shared" si="5"/>
        <v>INSTR_ENTITYJNT_LBLTY_AMNT</v>
      </c>
      <c r="B44" s="34" t="s">
        <v>304</v>
      </c>
      <c r="C44" s="34" t="s">
        <v>5</v>
      </c>
      <c r="D44" s="34" t="str">
        <f>+UPPER('0. Instruções'!$D$35&amp;"."&amp;VLOOKUP(B44,'0. Instruções'!$C$27:$D$32,2,FALSE))</f>
        <v>CD_LOAN_TAPES_BCE.LT005_INSTR_ENT</v>
      </c>
      <c r="E44" s="34" t="str">
        <f>+UPPER('0. Instruções'!$D$36&amp;"."&amp;VLOOKUP(B44,'0. Instruções'!$C$27:$E$32,3,FALSE))</f>
        <v>BU_LOANTAPE_WORK.LT005_INSTR_ENT</v>
      </c>
      <c r="F44" s="111" t="s">
        <v>392</v>
      </c>
      <c r="G44" s="34"/>
      <c r="H44" s="34"/>
      <c r="I44" s="34" t="str">
        <f>IF(VLOOKUP(B44,'0. Instruções'!$C$27:$G$32,5,FALSE)=0,
"(SELECT "&amp;VLOOKUP(B44,'0. Instruções'!$C$27:$G$32,4,FALSE)&amp;" AS CHAVE_IT, "&amp;F44&amp;" AS CAMPO_IT FROM "&amp;D44&amp;" WHERE "&amp;'0. Instruções'!$D$43&amp;")X",
"(SELECT "&amp;VLOOKUP(B44,'0. Instruções'!$C$27:$G$32,4,FALSE)&amp;" AS CHAVE_IT1, "&amp;VLOOKUP(B44,'0. Instruções'!$C$27:$G$32,5,FALSE)&amp;" AS CHAVE_IT2, "&amp;F44&amp;" AS CAMPO_IT FROM "&amp;D44&amp;" WHERE "&amp;'0. Instruções'!$D$43&amp;")X")</f>
        <v>(SELECT instrmnt_id AS CHAVE_IT1, entty_id AS CHAVE_IT2, JNT_LBLTY_AMNT AS CAMPO_IT FROM CD_LOAN_TAPES_BCE.LT005_INSTR_ENT WHERE ref_date='${ref_date}' AND nome_perimetro='Individual Local' AND segmento='ESTR' AND ambito='PM' AND entidade='00100')X</v>
      </c>
      <c r="J44" s="34" t="str">
        <f>IF(VLOOKUP(B44,'0. Instruções'!$C$27:$G$32,5,FALSE)=0,
"(SELECT "&amp;VLOOKUP(B44,'0. Instruções'!$C$27:$G$32,4,FALSE)&amp;" AS CHAVE_SIMUL, "&amp;F44&amp;" AS CAMPO_SIMUL FROM "&amp;E44&amp;" WHERE "&amp;'0. Instruções'!$D$42&amp;")Y",
"(SELECT "&amp;VLOOKUP(B44,'0. Instruções'!$C$27:$G$32,4,FALSE)&amp;" AS CHAVE_SIMUL1, "&amp;VLOOKUP(B44,'0. Instruções'!$C$27:$G$32,5,FALSE)&amp;" AS CHAVE_SIMUL2, "&amp;F44&amp;" AS CAMPO_SIMUL FROM "&amp;E44&amp;" WHERE "&amp;'0. Instruções'!$D$42&amp;")Y")</f>
        <v>(SELECT instrmnt_id AS CHAVE_SIMUL1, entty_id AS CHAVE_SIMUL2, JNT_LBLTY_AMNT AS CAMPO_SIMUL FROM BU_LOANTAPE_WORK.LT005_INSTR_ENT WHERE ref_date='${ref_date}' AND nome_perimetro='Individual Local' AND segmento='ESTR' AND ambito='SRB_MBDT' AND entidade='00100')Y</v>
      </c>
      <c r="K44" s="34" t="str">
        <f>IF(VLOOKUP(B44,'0. Instruções'!$C$27:$G$32,5,FALSE)=0,
"ON X.CHAVE_IT=Y.CHAVE_SIMUL",
"ON X.CHAVE_IT1=Y.CHAVE_SIMUL1 AND X.CHAVE_IT2=Y.CHAVE_SIMUL2")</f>
        <v>ON X.CHAVE_IT1=Y.CHAVE_SIMUL1 AND X.CHAVE_IT2=Y.CHAVE_SIMUL2</v>
      </c>
      <c r="L44" s="34" t="str">
        <f>+IF(C44="Coerência",+IF(LEFT(G44,5)="FLOAT","SELECT '"&amp;UPPER(B44)&amp;"' AS TABELA, '"&amp;UPPER(C44)&amp;"' AS TIPOLOGIA_TESTE,'"&amp;D44&amp;"' AS TABELA_LT,'"&amp;E44&amp;"' AS TABELA_SIMUL,'"&amp;F44&amp;"'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NUM_REG_DIF,'")&amp;MAX('ID1&amp;5'!K:K)+1&amp;"' AS ID_EXEC, CURRENT_TIMESTAMP() AS TIME_EXEC FROM "&amp;I44&amp;" INNER JOIN "&amp;J44&amp;" "&amp;K44,"SELECT '"&amp;UPPER(B44)&amp;"' AS TABELA, '"&amp;UPPER(C44)&amp;"' AS TIPOLOGIA_TESTE,'"&amp;D44&amp;"' AS TABELA_LT,'"&amp;E44&amp;"' AS TABELA_SIMUL,'"&amp;F44&amp;"'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NUM_REG_DIF,'")&amp;MAX('ID1&amp;5'!L:L)+1&amp;"' AS ID_EXEC, CURRENT_TIMESTAMP() AS TIME_EXEC FROM "&amp;I44&amp;" INNER JOIN "&amp;J44&amp;" "&amp;K44))</f>
        <v>SELECT 'INSTR_ENTITY' AS TABELA, 'COERÊNCIA' AS TIPOLOGIA_TESTE,'CD_LOAN_TAPES_BCE.LT005_INSTR_ENT' AS TABELA_LT,'BU_LOANTAPE_WORK.LT005_INSTR_ENT' AS TABELA_SIMUL,'JNT_LBLTY_AMNT'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JNT_LBLTY_AMNT AS CAMPO_IT FROM CD_LOAN_TAPES_BCE.LT005_INSTR_ENT WHERE ref_date='${ref_date}' AND nome_perimetro='Individual Local' AND segmento='ESTR' AND ambito='PM' AND entidade='00100')X INNER JOIN (SELECT instrmnt_id AS CHAVE_SIMUL1, entty_id AS CHAVE_SIMUL2, JNT_LBLTY_AMNT AS CAMPO_SIMUL FROM BU_LOANTAPE_WORK.LT005_INSTR_ENT WHERE ref_date='${ref_date}' AND nome_perimetro='Individual Local' AND segmento='ESTR' AND ambito='SRB_MBDT' AND entidade='00100')Y ON X.CHAVE_IT1=Y.CHAVE_SIMUL1 AND X.CHAVE_IT2=Y.CHAVE_SIMUL2</v>
      </c>
      <c r="M44" s="36" t="str">
        <f t="shared" si="4"/>
        <v>UNION ALL SELECT 'INSTR_ENTITY' AS TABELA, 'COERÊNCIA' AS TIPOLOGIA_TESTE,'CD_LOAN_TAPES_BCE.LT005_INSTR_ENT' AS TABELA_LT,'BU_LOANTAPE_WORK.LT005_INSTR_ENT' AS TABELA_SIMUL,'JNT_LBLTY_AMNT'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JNT_LBLTY_AMNT AS CAMPO_IT FROM CD_LOAN_TAPES_BCE.LT005_INSTR_ENT WHERE ref_date='${ref_date}' AND nome_perimetro='Individual Local' AND segmento='ESTR' AND ambito='PM' AND entidade='00100')X INNER JOIN (SELECT instrmnt_id AS CHAVE_SIMUL1, entty_id AS CHAVE_SIMUL2, JNT_LBLTY_AMNT AS CAMPO_SIMUL FROM BU_LOANTAPE_WORK.LT005_INSTR_ENT WHERE ref_date='${ref_date}' AND nome_perimetro='Individual Local' AND segmento='ESTR' AND ambito='SRB_MBDT' AND entidade='00100')Y ON X.CHAVE_IT1=Y.CHAVE_SIMUL1 AND X.CHAVE_IT2=Y.CHAVE_SIMUL2</v>
      </c>
      <c r="N44" s="38" t="s">
        <v>36</v>
      </c>
    </row>
    <row r="45" spans="1:14">
      <c r="A45" s="60" t="str">
        <f t="shared" si="5"/>
        <v>INSTR_ENTITYCOD_SOC</v>
      </c>
      <c r="B45" s="34" t="s">
        <v>304</v>
      </c>
      <c r="C45" s="34" t="s">
        <v>5</v>
      </c>
      <c r="D45" s="34" t="str">
        <f>+UPPER('0. Instruções'!$D$35&amp;"."&amp;VLOOKUP(B45,'0. Instruções'!$C$27:$D$32,2,FALSE))</f>
        <v>CD_LOAN_TAPES_BCE.LT005_INSTR_ENT</v>
      </c>
      <c r="E45" s="34" t="str">
        <f>+UPPER('0. Instruções'!$D$36&amp;"."&amp;VLOOKUP(B45,'0. Instruções'!$C$27:$E$32,3,FALSE))</f>
        <v>BU_LOANTAPE_WORK.LT005_INSTR_ENT</v>
      </c>
      <c r="F45" s="111" t="s">
        <v>96</v>
      </c>
      <c r="G45" s="34"/>
      <c r="H45" s="34"/>
      <c r="I45" s="34" t="str">
        <f>IF(VLOOKUP(B45,'0. Instruções'!$C$27:$G$32,5,FALSE)=0,
"(SELECT "&amp;VLOOKUP(B45,'0. Instruções'!$C$27:$G$32,4,FALSE)&amp;" AS CHAVE_IT, "&amp;F45&amp;" AS CAMPO_IT FROM "&amp;D45&amp;" WHERE "&amp;'0. Instruções'!$D$43&amp;")X",
"(SELECT "&amp;VLOOKUP(B45,'0. Instruções'!$C$27:$G$32,4,FALSE)&amp;" AS CHAVE_IT1, "&amp;VLOOKUP(B45,'0. Instruções'!$C$27:$G$32,5,FALSE)&amp;" AS CHAVE_IT2, "&amp;F45&amp;" AS CAMPO_IT FROM "&amp;D45&amp;" WHERE "&amp;'0. Instruções'!$D$43&amp;")X")</f>
        <v>(SELECT instrmnt_id AS CHAVE_IT1, entty_id AS CHAVE_IT2, COD_SOC AS CAMPO_IT FROM CD_LOAN_TAPES_BCE.LT005_INSTR_ENT WHERE ref_date='${ref_date}' AND nome_perimetro='Individual Local' AND segmento='ESTR' AND ambito='PM' AND entidade='00100')X</v>
      </c>
      <c r="J45" s="34" t="str">
        <f>IF(VLOOKUP(B45,'0. Instruções'!$C$27:$G$32,5,FALSE)=0,
"(SELECT "&amp;VLOOKUP(B45,'0. Instruções'!$C$27:$G$32,4,FALSE)&amp;" AS CHAVE_SIMUL, "&amp;F45&amp;" AS CAMPO_SIMUL FROM "&amp;E45&amp;" WHERE "&amp;'0. Instruções'!$D$42&amp;")Y",
"(SELECT "&amp;VLOOKUP(B45,'0. Instruções'!$C$27:$G$32,4,FALSE)&amp;" AS CHAVE_SIMUL1, "&amp;VLOOKUP(B45,'0. Instruções'!$C$27:$G$32,5,FALSE)&amp;" AS CHAVE_SIMUL2, "&amp;F45&amp;" AS CAMPO_SIMUL FROM "&amp;E45&amp;" WHERE "&amp;'0. Instruções'!$D$42&amp;")Y")</f>
        <v>(SELECT instrmnt_id AS CHAVE_SIMUL1, entty_id AS CHAVE_SIMUL2, COD_SOC AS CAMPO_SIMUL FROM BU_LOANTAPE_WORK.LT005_INSTR_ENT WHERE ref_date='${ref_date}' AND nome_perimetro='Individual Local' AND segmento='ESTR' AND ambito='SRB_MBDT' AND entidade='00100')Y</v>
      </c>
      <c r="K45" s="34" t="str">
        <f>IF(VLOOKUP(B45,'0. Instruções'!$C$27:$G$32,5,FALSE)=0,
"ON X.CHAVE_IT=Y.CHAVE_SIMUL",
"ON X.CHAVE_IT1=Y.CHAVE_SIMUL1 AND X.CHAVE_IT2=Y.CHAVE_SIMUL2")</f>
        <v>ON X.CHAVE_IT1=Y.CHAVE_SIMUL1 AND X.CHAVE_IT2=Y.CHAVE_SIMUL2</v>
      </c>
      <c r="L45" s="34" t="str">
        <f>+IF(C45="Coerência",+IF(LEFT(G45,5)="FLOAT","SELECT '"&amp;UPPER(B45)&amp;"' AS TABELA, '"&amp;UPPER(C45)&amp;"' AS TIPOLOGIA_TESTE,'"&amp;D45&amp;"' AS TABELA_LT,'"&amp;E45&amp;"' AS TABELA_SIMUL,'"&amp;F45&amp;"'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NUM_REG_DIF,'")&amp;MAX('ID1&amp;5'!K:K)+1&amp;"' AS ID_EXEC, CURRENT_TIMESTAMP() AS TIME_EXEC FROM "&amp;I45&amp;" INNER JOIN "&amp;J45&amp;" "&amp;K45,"SELECT '"&amp;UPPER(B45)&amp;"' AS TABELA, '"&amp;UPPER(C45)&amp;"' AS TIPOLOGIA_TESTE,'"&amp;D45&amp;"' AS TABELA_LT,'"&amp;E45&amp;"' AS TABELA_SIMUL,'"&amp;F45&amp;"'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NUM_REG_DIF,'")&amp;MAX('ID1&amp;5'!L:L)+1&amp;"' AS ID_EXEC, CURRENT_TIMESTAMP() AS TIME_EXEC FROM "&amp;I45&amp;" INNER JOIN "&amp;J45&amp;" "&amp;K45))</f>
        <v>SELECT 'INSTR_ENTITY' AS TABELA, 'COERÊNCIA' AS TIPOLOGIA_TESTE,'CD_LOAN_TAPES_BCE.LT005_INSTR_ENT' AS TABELA_LT,'BU_LOANTAPE_WORK.LT005_INSTR_ENT'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COD_SOC AS CAMPO_IT FROM CD_LOAN_TAPES_BCE.LT005_INSTR_ENT WHERE ref_date='${ref_date}' AND nome_perimetro='Individual Local' AND segmento='ESTR' AND ambito='PM' AND entidade='00100')X INNER JOIN (SELECT instrmnt_id AS CHAVE_SIMUL1, entty_id AS CHAVE_SIMUL2, COD_SOC AS CAMPO_SIMUL FROM BU_LOANTAPE_WORK.LT005_INSTR_ENT WHERE ref_date='${ref_date}' AND nome_perimetro='Individual Local' AND segmento='ESTR' AND ambito='SRB_MBDT' AND entidade='00100')Y ON X.CHAVE_IT1=Y.CHAVE_SIMUL1 AND X.CHAVE_IT2=Y.CHAVE_SIMUL2</v>
      </c>
      <c r="M45" s="36" t="str">
        <f t="shared" si="4"/>
        <v>UNION ALL SELECT 'INSTR_ENTITY' AS TABELA, 'COERÊNCIA' AS TIPOLOGIA_TESTE,'CD_LOAN_TAPES_BCE.LT005_INSTR_ENT' AS TABELA_LT,'BU_LOANTAPE_WORK.LT005_INSTR_ENT'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COD_SOC AS CAMPO_IT FROM CD_LOAN_TAPES_BCE.LT005_INSTR_ENT WHERE ref_date='${ref_date}' AND nome_perimetro='Individual Local' AND segmento='ESTR' AND ambito='PM' AND entidade='00100')X INNER JOIN (SELECT instrmnt_id AS CHAVE_SIMUL1, entty_id AS CHAVE_SIMUL2, COD_SOC AS CAMPO_SIMUL FROM BU_LOANTAPE_WORK.LT005_INSTR_ENT WHERE ref_date='${ref_date}' AND nome_perimetro='Individual Local' AND segmento='ESTR' AND ambito='SRB_MBDT' AND entidade='00100')Y ON X.CHAVE_IT1=Y.CHAVE_SIMUL1 AND X.CHAVE_IT2=Y.CHAVE_SIMUL2</v>
      </c>
      <c r="N45" s="38" t="s">
        <v>36</v>
      </c>
    </row>
    <row r="46" spans="1:14">
      <c r="A46" s="60" t="str">
        <f t="shared" si="5"/>
        <v>INSTR_ENTITYCOUNTERPARTY_ROLE</v>
      </c>
      <c r="B46" s="34" t="s">
        <v>304</v>
      </c>
      <c r="C46" s="34" t="s">
        <v>5</v>
      </c>
      <c r="D46" s="34" t="str">
        <f>+UPPER('0. Instruções'!$D$35&amp;"."&amp;VLOOKUP(B46,'0. Instruções'!$C$27:$D$32,2,FALSE))</f>
        <v>CD_LOAN_TAPES_BCE.LT005_INSTR_ENT</v>
      </c>
      <c r="E46" s="34" t="str">
        <f>+UPPER('0. Instruções'!$D$36&amp;"."&amp;VLOOKUP(B46,'0. Instruções'!$C$27:$E$32,3,FALSE))</f>
        <v>BU_LOANTAPE_WORK.LT005_INSTR_ENT</v>
      </c>
      <c r="F46" s="111" t="s">
        <v>1582</v>
      </c>
      <c r="G46" s="34"/>
      <c r="H46" s="34"/>
      <c r="I46" s="34" t="str">
        <f>IF(VLOOKUP(B46,'0. Instruções'!$C$27:$G$32,5,FALSE)=0,
"(SELECT "&amp;VLOOKUP(B46,'0. Instruções'!$C$27:$G$32,4,FALSE)&amp;" AS CHAVE_IT, "&amp;F46&amp;" AS CAMPO_IT FROM "&amp;D46&amp;" WHERE "&amp;'0. Instruções'!$D$43&amp;")X",
"(SELECT "&amp;VLOOKUP(B46,'0. Instruções'!$C$27:$G$32,4,FALSE)&amp;" AS CHAVE_IT1, "&amp;VLOOKUP(B46,'0. Instruções'!$C$27:$G$32,5,FALSE)&amp;" AS CHAVE_IT2, "&amp;F46&amp;" AS CAMPO_IT FROM "&amp;D46&amp;" WHERE "&amp;'0. Instruções'!$D$43&amp;")X")</f>
        <v>(SELECT instrmnt_id AS CHAVE_IT1, entty_id AS CHAVE_IT2, COUNTERPARTY_ROLE AS CAMPO_IT FROM CD_LOAN_TAPES_BCE.LT005_INSTR_ENT WHERE ref_date='${ref_date}' AND nome_perimetro='Individual Local' AND segmento='ESTR' AND ambito='PM' AND entidade='00100')X</v>
      </c>
      <c r="J46" s="34" t="str">
        <f>IF(VLOOKUP(B46,'0. Instruções'!$C$27:$G$32,5,FALSE)=0,
"(SELECT "&amp;VLOOKUP(B46,'0. Instruções'!$C$27:$G$32,4,FALSE)&amp;" AS CHAVE_SIMUL, "&amp;F46&amp;" AS CAMPO_SIMUL FROM "&amp;E46&amp;" WHERE "&amp;'0. Instruções'!$D$42&amp;")Y",
"(SELECT "&amp;VLOOKUP(B46,'0. Instruções'!$C$27:$G$32,4,FALSE)&amp;" AS CHAVE_SIMUL1, "&amp;VLOOKUP(B46,'0. Instruções'!$C$27:$G$32,5,FALSE)&amp;" AS CHAVE_SIMUL2, "&amp;F46&amp;" AS CAMPO_SIMUL FROM "&amp;E46&amp;" WHERE "&amp;'0. Instruções'!$D$42&amp;")Y")</f>
        <v>(SELECT instrmnt_id AS CHAVE_SIMUL1, entty_id AS CHAVE_SIMUL2, COUNTERPARTY_ROLE AS CAMPO_SIMUL FROM BU_LOANTAPE_WORK.LT005_INSTR_ENT WHERE ref_date='${ref_date}' AND nome_perimetro='Individual Local' AND segmento='ESTR' AND ambito='SRB_MBDT' AND entidade='00100')Y</v>
      </c>
      <c r="K46" s="34" t="str">
        <f>IF(VLOOKUP(B46,'0. Instruções'!$C$27:$G$32,5,FALSE)=0,
"ON X.CHAVE_IT=Y.CHAVE_SIMUL",
"ON X.CHAVE_IT1=Y.CHAVE_SIMUL1 AND X.CHAVE_IT2=Y.CHAVE_SIMUL2")</f>
        <v>ON X.CHAVE_IT1=Y.CHAVE_SIMUL1 AND X.CHAVE_IT2=Y.CHAVE_SIMUL2</v>
      </c>
      <c r="L46" s="34" t="str">
        <f>+IF(C46="Coerência",+IF(LEFT(G46,5)="FLOAT","SELECT '"&amp;UPPER(B46)&amp;"' AS TABELA, '"&amp;UPPER(C46)&amp;"' AS TIPOLOGIA_TESTE,'"&amp;D46&amp;"' AS TABELA_LT,'"&amp;E46&amp;"' AS TABELA_SIMUL,'"&amp;F46&amp;"'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NUM_REG_DIF,'")&amp;MAX('ID1&amp;5'!K:K)+1&amp;"' AS ID_EXEC, CURRENT_TIMESTAMP() AS TIME_EXEC FROM "&amp;I46&amp;" INNER JOIN "&amp;J46&amp;" "&amp;K46,"SELECT '"&amp;UPPER(B46)&amp;"' AS TABELA, '"&amp;UPPER(C46)&amp;"' AS TIPOLOGIA_TESTE,'"&amp;D46&amp;"' AS TABELA_LT,'"&amp;E46&amp;"' AS TABELA_SIMUL,'"&amp;F46&amp;"'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NUM_REG_DIF,'")&amp;MAX('ID1&amp;5'!L:L)+1&amp;"' AS ID_EXEC, CURRENT_TIMESTAMP() AS TIME_EXEC FROM "&amp;I46&amp;" INNER JOIN "&amp;J46&amp;" "&amp;K46))</f>
        <v>SELECT 'INSTR_ENTITY' AS TABELA, 'COERÊNCIA' AS TIPOLOGIA_TESTE,'CD_LOAN_TAPES_BCE.LT005_INSTR_ENT' AS TABELA_LT,'BU_LOANTAPE_WORK.LT005_INSTR_ENT' AS TABELA_SIMUL,'COUNTERPARTY_ROLE'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COUNTERPARTY_ROLE AS CAMPO_IT FROM CD_LOAN_TAPES_BCE.LT005_INSTR_ENT WHERE ref_date='${ref_date}' AND nome_perimetro='Individual Local' AND segmento='ESTR' AND ambito='PM' AND entidade='00100')X INNER JOIN (SELECT instrmnt_id AS CHAVE_SIMUL1, entty_id AS CHAVE_SIMUL2, COUNTERPARTY_ROLE AS CAMPO_SIMUL FROM BU_LOANTAPE_WORK.LT005_INSTR_ENT WHERE ref_date='${ref_date}' AND nome_perimetro='Individual Local' AND segmento='ESTR' AND ambito='SRB_MBDT' AND entidade='00100')Y ON X.CHAVE_IT1=Y.CHAVE_SIMUL1 AND X.CHAVE_IT2=Y.CHAVE_SIMUL2</v>
      </c>
      <c r="M46" s="36" t="str">
        <f t="shared" si="4"/>
        <v>UNION ALL SELECT 'INSTR_ENTITY' AS TABELA, 'COERÊNCIA' AS TIPOLOGIA_TESTE,'CD_LOAN_TAPES_BCE.LT005_INSTR_ENT' AS TABELA_LT,'BU_LOANTAPE_WORK.LT005_INSTR_ENT' AS TABELA_SIMUL,'COUNTERPARTY_ROLE'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COUNTERPARTY_ROLE AS CAMPO_IT FROM CD_LOAN_TAPES_BCE.LT005_INSTR_ENT WHERE ref_date='${ref_date}' AND nome_perimetro='Individual Local' AND segmento='ESTR' AND ambito='PM' AND entidade='00100')X INNER JOIN (SELECT instrmnt_id AS CHAVE_SIMUL1, entty_id AS CHAVE_SIMUL2, COUNTERPARTY_ROLE AS CAMPO_SIMUL FROM BU_LOANTAPE_WORK.LT005_INSTR_ENT WHERE ref_date='${ref_date}' AND nome_perimetro='Individual Local' AND segmento='ESTR' AND ambito='SRB_MBDT' AND entidade='00100')Y ON X.CHAVE_IT1=Y.CHAVE_SIMUL1 AND X.CHAVE_IT2=Y.CHAVE_SIMUL2</v>
      </c>
      <c r="N46" s="38" t="s">
        <v>36</v>
      </c>
    </row>
    <row r="47" spans="1:14">
      <c r="A47" s="60" t="str">
        <f t="shared" si="5"/>
        <v>INSTR_ENTITYEXPORTA_REL</v>
      </c>
      <c r="B47" s="34" t="s">
        <v>304</v>
      </c>
      <c r="C47" s="34" t="s">
        <v>5</v>
      </c>
      <c r="D47" s="34" t="str">
        <f>+UPPER('0. Instruções'!$D$35&amp;"."&amp;VLOOKUP(B47,'0. Instruções'!$C$27:$D$32,2,FALSE))</f>
        <v>CD_LOAN_TAPES_BCE.LT005_INSTR_ENT</v>
      </c>
      <c r="E47" s="34" t="str">
        <f>+UPPER('0. Instruções'!$D$36&amp;"."&amp;VLOOKUP(B47,'0. Instruções'!$C$27:$E$32,3,FALSE))</f>
        <v>BU_LOANTAPE_WORK.LT005_INSTR_ENT</v>
      </c>
      <c r="F47" s="111" t="s">
        <v>1583</v>
      </c>
      <c r="G47" s="34"/>
      <c r="H47" s="34"/>
      <c r="I47" s="34" t="str">
        <f>IF(VLOOKUP(B47,'0. Instruções'!$C$27:$G$32,5,FALSE)=0,
"(SELECT "&amp;VLOOKUP(B47,'0. Instruções'!$C$27:$G$32,4,FALSE)&amp;" AS CHAVE_IT, "&amp;F47&amp;" AS CAMPO_IT FROM "&amp;D47&amp;" WHERE "&amp;'0. Instruções'!$D$43&amp;")X",
"(SELECT "&amp;VLOOKUP(B47,'0. Instruções'!$C$27:$G$32,4,FALSE)&amp;" AS CHAVE_IT1, "&amp;VLOOKUP(B47,'0. Instruções'!$C$27:$G$32,5,FALSE)&amp;" AS CHAVE_IT2, "&amp;F47&amp;" AS CAMPO_IT FROM "&amp;D47&amp;" WHERE "&amp;'0. Instruções'!$D$43&amp;")X")</f>
        <v>(SELECT instrmnt_id AS CHAVE_IT1, entty_id AS CHAVE_IT2, EXPORTA_REL AS CAMPO_IT FROM CD_LOAN_TAPES_BCE.LT005_INSTR_ENT WHERE ref_date='${ref_date}' AND nome_perimetro='Individual Local' AND segmento='ESTR' AND ambito='PM' AND entidade='00100')X</v>
      </c>
      <c r="J47" s="34" t="str">
        <f>IF(VLOOKUP(B47,'0. Instruções'!$C$27:$G$32,5,FALSE)=0,
"(SELECT "&amp;VLOOKUP(B47,'0. Instruções'!$C$27:$G$32,4,FALSE)&amp;" AS CHAVE_SIMUL, "&amp;F47&amp;" AS CAMPO_SIMUL FROM "&amp;E47&amp;" WHERE "&amp;'0. Instruções'!$D$42&amp;")Y",
"(SELECT "&amp;VLOOKUP(B47,'0. Instruções'!$C$27:$G$32,4,FALSE)&amp;" AS CHAVE_SIMUL1, "&amp;VLOOKUP(B47,'0. Instruções'!$C$27:$G$32,5,FALSE)&amp;" AS CHAVE_SIMUL2, "&amp;F47&amp;" AS CAMPO_SIMUL FROM "&amp;E47&amp;" WHERE "&amp;'0. Instruções'!$D$42&amp;")Y")</f>
        <v>(SELECT instrmnt_id AS CHAVE_SIMUL1, entty_id AS CHAVE_SIMUL2, EXPORTA_REL AS CAMPO_SIMUL FROM BU_LOANTAPE_WORK.LT005_INSTR_ENT WHERE ref_date='${ref_date}' AND nome_perimetro='Individual Local' AND segmento='ESTR' AND ambito='SRB_MBDT' AND entidade='00100')Y</v>
      </c>
      <c r="K47" s="34" t="str">
        <f>IF(VLOOKUP(B47,'0. Instruções'!$C$27:$G$32,5,FALSE)=0,
"ON X.CHAVE_IT=Y.CHAVE_SIMUL",
"ON X.CHAVE_IT1=Y.CHAVE_SIMUL1 AND X.CHAVE_IT2=Y.CHAVE_SIMUL2")</f>
        <v>ON X.CHAVE_IT1=Y.CHAVE_SIMUL1 AND X.CHAVE_IT2=Y.CHAVE_SIMUL2</v>
      </c>
      <c r="L47" s="34" t="str">
        <f>+IF(C47="Coerência",+IF(LEFT(G47,5)="FLOAT","SELECT '"&amp;UPPER(B47)&amp;"' AS TABELA, '"&amp;UPPER(C47)&amp;"' AS TIPOLOGIA_TESTE,'"&amp;D47&amp;"' AS TABELA_LT,'"&amp;E47&amp;"' AS TABELA_SIMUL,'"&amp;F47&amp;"'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NUM_REG_DIF,'")&amp;MAX('ID1&amp;5'!K:K)+1&amp;"' AS ID_EXEC, CURRENT_TIMESTAMP() AS TIME_EXEC FROM "&amp;I47&amp;" INNER JOIN "&amp;J47&amp;" "&amp;K47,"SELECT '"&amp;UPPER(B47)&amp;"' AS TABELA, '"&amp;UPPER(C47)&amp;"' AS TIPOLOGIA_TESTE,'"&amp;D47&amp;"' AS TABELA_LT,'"&amp;E47&amp;"' AS TABELA_SIMUL,'"&amp;F47&amp;"'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NUM_REG_DIF,'")&amp;MAX('ID1&amp;5'!L:L)+1&amp;"' AS ID_EXEC, CURRENT_TIMESTAMP() AS TIME_EXEC FROM "&amp;I47&amp;" INNER JOIN "&amp;J47&amp;" "&amp;K47))</f>
        <v>SELECT 'INSTR_ENTITY' AS TABELA, 'COERÊNCIA' AS TIPOLOGIA_TESTE,'CD_LOAN_TAPES_BCE.LT005_INSTR_ENT' AS TABELA_LT,'BU_LOANTAPE_WORK.LT005_INSTR_ENT' AS TABELA_SIMUL,'EXPORTA_REL'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EXPORTA_REL AS CAMPO_IT FROM CD_LOAN_TAPES_BCE.LT005_INSTR_ENT WHERE ref_date='${ref_date}' AND nome_perimetro='Individual Local' AND segmento='ESTR' AND ambito='PM' AND entidade='00100')X INNER JOIN (SELECT instrmnt_id AS CHAVE_SIMUL1, entty_id AS CHAVE_SIMUL2, EXPORTA_REL AS CAMPO_SIMUL FROM BU_LOANTAPE_WORK.LT005_INSTR_ENT WHERE ref_date='${ref_date}' AND nome_perimetro='Individual Local' AND segmento='ESTR' AND ambito='SRB_MBDT' AND entidade='00100')Y ON X.CHAVE_IT1=Y.CHAVE_SIMUL1 AND X.CHAVE_IT2=Y.CHAVE_SIMUL2</v>
      </c>
      <c r="M47" s="36" t="str">
        <f t="shared" si="4"/>
        <v>UNION ALL SELECT 'INSTR_ENTITY' AS TABELA, 'COERÊNCIA' AS TIPOLOGIA_TESTE,'CD_LOAN_TAPES_BCE.LT005_INSTR_ENT' AS TABELA_LT,'BU_LOANTAPE_WORK.LT005_INSTR_ENT' AS TABELA_SIMUL,'EXPORTA_REL'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EXPORTA_REL AS CAMPO_IT FROM CD_LOAN_TAPES_BCE.LT005_INSTR_ENT WHERE ref_date='${ref_date}' AND nome_perimetro='Individual Local' AND segmento='ESTR' AND ambito='PM' AND entidade='00100')X INNER JOIN (SELECT instrmnt_id AS CHAVE_SIMUL1, entty_id AS CHAVE_SIMUL2, EXPORTA_REL AS CAMPO_SIMUL FROM BU_LOANTAPE_WORK.LT005_INSTR_ENT WHERE ref_date='${ref_date}' AND nome_perimetro='Individual Local' AND segmento='ESTR' AND ambito='SRB_MBDT' AND entidade='00100')Y ON X.CHAVE_IT1=Y.CHAVE_SIMUL1 AND X.CHAVE_IT2=Y.CHAVE_SIMUL2</v>
      </c>
      <c r="N47" s="38" t="s">
        <v>36</v>
      </c>
    </row>
    <row r="48" spans="1:14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</sheetData>
  <autoFilter ref="B8:M47" xr:uid="{00000000-0009-0000-0000-000002000000}">
    <filterColumn colId="4">
      <colorFilter dxfId="1"/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zoomScale="55" zoomScaleNormal="55" workbookViewId="0">
      <selection activeCell="D24" sqref="D24"/>
    </sheetView>
  </sheetViews>
  <sheetFormatPr defaultRowHeight="14.5"/>
  <sheetData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N1048559"/>
  <sheetViews>
    <sheetView showGridLines="0" zoomScale="90" zoomScaleNormal="90" workbookViewId="0">
      <selection activeCell="G31" sqref="G9:G31"/>
    </sheetView>
  </sheetViews>
  <sheetFormatPr defaultColWidth="0" defaultRowHeight="14"/>
  <cols>
    <col min="1" max="2" width="2" style="2" customWidth="1"/>
    <col min="3" max="14" width="28.36328125" style="2" customWidth="1"/>
    <col min="15" max="15" width="3.6328125" style="2" customWidth="1"/>
    <col min="16" max="16" width="13.90625" style="2" hidden="1" customWidth="1"/>
    <col min="17" max="17" width="12.08984375" style="2" hidden="1" customWidth="1"/>
    <col min="18" max="40" width="0" style="2" hidden="1" customWidth="1"/>
    <col min="41" max="16384" width="9.08984375" style="2" hidden="1"/>
  </cols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4.5" thickBot="1">
      <c r="A6" s="30"/>
      <c r="B6" s="30"/>
      <c r="C6" s="31" t="s">
        <v>66</v>
      </c>
      <c r="D6" s="31"/>
      <c r="E6" s="32"/>
      <c r="F6" s="32"/>
      <c r="G6" s="32"/>
      <c r="H6" s="32"/>
      <c r="I6" s="32"/>
      <c r="J6" s="32"/>
      <c r="K6" s="32"/>
      <c r="L6" s="32"/>
      <c r="M6" s="112"/>
      <c r="N6" s="112"/>
      <c r="O6" s="30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8" spans="1:32">
      <c r="B8" s="61"/>
      <c r="C8" s="18" t="s">
        <v>0</v>
      </c>
      <c r="D8" s="18" t="s">
        <v>3</v>
      </c>
      <c r="E8" s="18" t="s">
        <v>43</v>
      </c>
      <c r="F8" s="18" t="s">
        <v>2</v>
      </c>
      <c r="G8" s="18" t="s">
        <v>6</v>
      </c>
      <c r="H8" s="18" t="s">
        <v>38</v>
      </c>
      <c r="I8" s="18" t="s">
        <v>42</v>
      </c>
      <c r="J8" s="18" t="s">
        <v>39</v>
      </c>
      <c r="K8" s="18" t="s">
        <v>41</v>
      </c>
      <c r="L8" s="18" t="s">
        <v>40</v>
      </c>
      <c r="M8" s="18" t="s">
        <v>1586</v>
      </c>
      <c r="N8" s="18" t="s">
        <v>1597</v>
      </c>
      <c r="O8" s="4"/>
      <c r="P8" s="4"/>
    </row>
    <row r="9" spans="1:32">
      <c r="A9" s="60" t="str">
        <f>+C9&amp;G9&amp;H9&amp;D9</f>
        <v>INSTRUMENTISIN2025-11-30COERÊNCIA</v>
      </c>
      <c r="B9" s="60" t="str">
        <f>+C9&amp;G9&amp;H9&amp;D9&amp;K9</f>
        <v>INSTRUMENTISIN2025-11-30COERÊNCIA1</v>
      </c>
      <c r="C9" s="17" t="s">
        <v>113</v>
      </c>
      <c r="D9" s="17" t="s">
        <v>1571</v>
      </c>
      <c r="E9" s="17" t="s">
        <v>1572</v>
      </c>
      <c r="F9" s="17" t="s">
        <v>1573</v>
      </c>
      <c r="G9" s="17" t="s">
        <v>99</v>
      </c>
      <c r="H9" s="23" t="s">
        <v>1574</v>
      </c>
      <c r="I9" s="17">
        <v>4724</v>
      </c>
      <c r="J9" s="17">
        <v>4724</v>
      </c>
      <c r="K9" s="110">
        <v>1</v>
      </c>
      <c r="L9" s="17" t="s">
        <v>1585</v>
      </c>
      <c r="M9" s="118" t="s">
        <v>1587</v>
      </c>
      <c r="N9" s="17"/>
      <c r="O9" s="4"/>
      <c r="P9" s="16"/>
    </row>
    <row r="10" spans="1:32" hidden="1">
      <c r="A10" s="60" t="str">
        <f t="shared" ref="A10:A19" si="0">+C10&amp;G10&amp;H10&amp;D10</f>
        <v>INSTRUMENTCRRNCY_DNMNTN2025-11-30COERÊNCIA</v>
      </c>
      <c r="B10" s="60" t="str">
        <f t="shared" ref="B10:B19" si="1">+C10&amp;G10&amp;H10&amp;D10&amp;K10</f>
        <v>INSTRUMENTCRRNCY_DNMNTN2025-11-30COERÊNCIA1</v>
      </c>
      <c r="C10" s="17" t="s">
        <v>113</v>
      </c>
      <c r="D10" s="17" t="s">
        <v>1571</v>
      </c>
      <c r="E10" s="17" t="s">
        <v>1572</v>
      </c>
      <c r="F10" s="17" t="s">
        <v>1573</v>
      </c>
      <c r="G10" s="17" t="s">
        <v>399</v>
      </c>
      <c r="H10" s="23" t="s">
        <v>1574</v>
      </c>
      <c r="I10" s="17">
        <v>4724</v>
      </c>
      <c r="J10" s="17">
        <v>0</v>
      </c>
      <c r="K10" s="110">
        <v>1</v>
      </c>
      <c r="L10" s="17" t="s">
        <v>1585</v>
      </c>
      <c r="M10" s="17"/>
      <c r="N10" s="17"/>
      <c r="O10" s="4"/>
    </row>
    <row r="11" spans="1:32">
      <c r="A11" s="60" t="str">
        <f t="shared" si="0"/>
        <v>INSTRUMENTACCRD_INTRST_INSTRMNT2025-11-30COERÊNCIA</v>
      </c>
      <c r="B11" s="60" t="str">
        <f t="shared" si="1"/>
        <v>INSTRUMENTACCRD_INTRST_INSTRMNT2025-11-30COERÊNCIA1</v>
      </c>
      <c r="C11" s="17" t="s">
        <v>113</v>
      </c>
      <c r="D11" s="17" t="s">
        <v>1571</v>
      </c>
      <c r="E11" s="17" t="s">
        <v>1572</v>
      </c>
      <c r="F11" s="17" t="s">
        <v>1573</v>
      </c>
      <c r="G11" s="17" t="s">
        <v>432</v>
      </c>
      <c r="H11" s="23" t="s">
        <v>1574</v>
      </c>
      <c r="I11" s="17">
        <v>4724</v>
      </c>
      <c r="J11" s="17">
        <v>4724</v>
      </c>
      <c r="K11" s="110">
        <v>1</v>
      </c>
      <c r="L11" s="17" t="s">
        <v>1585</v>
      </c>
      <c r="M11" s="118" t="s">
        <v>1609</v>
      </c>
      <c r="N11" s="17"/>
      <c r="O11" s="4"/>
    </row>
    <row r="12" spans="1:32" hidden="1">
      <c r="A12" s="60" t="str">
        <f t="shared" si="0"/>
        <v>INSTRUMENTTYP_INSTRMNT2025-11-30COERÊNCIA</v>
      </c>
      <c r="B12" s="60" t="str">
        <f t="shared" si="1"/>
        <v>INSTRUMENTTYP_INSTRMNT2025-11-30COERÊNCIA1</v>
      </c>
      <c r="C12" s="17" t="s">
        <v>113</v>
      </c>
      <c r="D12" s="17" t="s">
        <v>1571</v>
      </c>
      <c r="E12" s="17" t="s">
        <v>1572</v>
      </c>
      <c r="F12" s="17" t="s">
        <v>1573</v>
      </c>
      <c r="G12" s="17" t="s">
        <v>86</v>
      </c>
      <c r="H12" s="23" t="s">
        <v>1574</v>
      </c>
      <c r="I12" s="17">
        <v>4724</v>
      </c>
      <c r="J12" s="17">
        <v>0</v>
      </c>
      <c r="K12" s="110">
        <v>1</v>
      </c>
      <c r="L12" s="17" t="s">
        <v>1585</v>
      </c>
      <c r="M12" s="17"/>
      <c r="N12" s="17"/>
      <c r="O12" s="4"/>
    </row>
    <row r="13" spans="1:32" hidden="1">
      <c r="A13" s="60" t="str">
        <f t="shared" si="0"/>
        <v>INSTRUMENTDT_INCPTN2025-11-30COERÊNCIA</v>
      </c>
      <c r="B13" s="60" t="str">
        <f t="shared" si="1"/>
        <v>INSTRUMENTDT_INCPTN2025-11-30COERÊNCIA1</v>
      </c>
      <c r="C13" s="17" t="s">
        <v>113</v>
      </c>
      <c r="D13" s="17" t="s">
        <v>1571</v>
      </c>
      <c r="E13" s="17" t="s">
        <v>1572</v>
      </c>
      <c r="F13" s="17" t="s">
        <v>1573</v>
      </c>
      <c r="G13" s="17" t="s">
        <v>81</v>
      </c>
      <c r="H13" s="23" t="s">
        <v>1574</v>
      </c>
      <c r="I13" s="17">
        <v>4724</v>
      </c>
      <c r="J13" s="17">
        <v>0</v>
      </c>
      <c r="K13" s="110">
        <v>1</v>
      </c>
      <c r="L13" s="17" t="s">
        <v>1585</v>
      </c>
      <c r="M13" s="17"/>
      <c r="N13" s="17"/>
      <c r="O13" s="4"/>
    </row>
    <row r="14" spans="1:32" hidden="1">
      <c r="A14" s="60" t="str">
        <f t="shared" ref="A14" si="2">+C14&amp;G14&amp;H14&amp;D14</f>
        <v>INSTRUMENTDT_LGL_FNL_MTRTY2025-11-30COERÊNCIA</v>
      </c>
      <c r="B14" s="60" t="str">
        <f t="shared" ref="B14" si="3">+C14&amp;G14&amp;H14&amp;D14&amp;K14</f>
        <v>INSTRUMENTDT_LGL_FNL_MTRTY2025-11-30COERÊNCIA1</v>
      </c>
      <c r="C14" s="17" t="s">
        <v>113</v>
      </c>
      <c r="D14" s="17" t="s">
        <v>1571</v>
      </c>
      <c r="E14" s="17" t="s">
        <v>1572</v>
      </c>
      <c r="F14" s="17" t="s">
        <v>1573</v>
      </c>
      <c r="G14" s="17" t="s">
        <v>90</v>
      </c>
      <c r="H14" s="23" t="s">
        <v>1574</v>
      </c>
      <c r="I14" s="17">
        <v>4724</v>
      </c>
      <c r="J14" s="17">
        <v>1</v>
      </c>
      <c r="K14" s="110">
        <v>1</v>
      </c>
      <c r="L14" s="17" t="s">
        <v>1585</v>
      </c>
      <c r="M14" s="17" t="s">
        <v>1594</v>
      </c>
      <c r="N14" s="17"/>
      <c r="O14" s="4"/>
    </row>
    <row r="15" spans="1:32">
      <c r="A15" s="60" t="str">
        <f t="shared" si="0"/>
        <v>INSTRUMENTGOVERNING_LAW2025-11-30COERÊNCIA</v>
      </c>
      <c r="B15" s="60" t="str">
        <f t="shared" si="1"/>
        <v>INSTRUMENTGOVERNING_LAW2025-11-30COERÊNCIA1</v>
      </c>
      <c r="C15" s="17" t="s">
        <v>113</v>
      </c>
      <c r="D15" s="17" t="s">
        <v>1571</v>
      </c>
      <c r="E15" s="17" t="s">
        <v>1572</v>
      </c>
      <c r="F15" s="17" t="s">
        <v>1573</v>
      </c>
      <c r="G15" s="17" t="s">
        <v>1575</v>
      </c>
      <c r="H15" s="23" t="s">
        <v>1574</v>
      </c>
      <c r="I15" s="17">
        <v>4724</v>
      </c>
      <c r="J15" s="17">
        <v>4724</v>
      </c>
      <c r="K15" s="110">
        <v>1</v>
      </c>
      <c r="L15" s="17" t="s">
        <v>1585</v>
      </c>
      <c r="M15" s="118" t="s">
        <v>1605</v>
      </c>
      <c r="N15" s="17"/>
    </row>
    <row r="16" spans="1:32" hidden="1">
      <c r="A16" s="60" t="str">
        <f t="shared" si="0"/>
        <v>INSTRUMENTCRRYNG_AMNT_INSTRMNT2025-11-30COERÊNCIA</v>
      </c>
      <c r="B16" s="60" t="str">
        <f t="shared" si="1"/>
        <v>INSTRUMENTCRRYNG_AMNT_INSTRMNT2025-11-30COERÊNCIA1</v>
      </c>
      <c r="C16" s="17" t="s">
        <v>113</v>
      </c>
      <c r="D16" s="17" t="s">
        <v>1571</v>
      </c>
      <c r="E16" s="17" t="s">
        <v>1572</v>
      </c>
      <c r="F16" s="17" t="s">
        <v>1573</v>
      </c>
      <c r="G16" s="17" t="s">
        <v>437</v>
      </c>
      <c r="H16" s="23" t="s">
        <v>1574</v>
      </c>
      <c r="I16" s="17">
        <v>4724</v>
      </c>
      <c r="J16" s="17">
        <v>4692</v>
      </c>
      <c r="K16" s="110">
        <v>1</v>
      </c>
      <c r="L16" s="17" t="s">
        <v>1585</v>
      </c>
      <c r="M16" s="17" t="s">
        <v>1595</v>
      </c>
      <c r="N16" s="17"/>
    </row>
    <row r="17" spans="1:14" hidden="1">
      <c r="A17" s="60" t="str">
        <f t="shared" si="0"/>
        <v>INSTRUMENTACCNTNG_CLSSFCTN2025-11-30COERÊNCIA</v>
      </c>
      <c r="B17" s="60" t="str">
        <f t="shared" si="1"/>
        <v>INSTRUMENTACCNTNG_CLSSFCTN2025-11-30COERÊNCIA1</v>
      </c>
      <c r="C17" s="17" t="s">
        <v>113</v>
      </c>
      <c r="D17" s="17" t="s">
        <v>1571</v>
      </c>
      <c r="E17" s="17" t="s">
        <v>1572</v>
      </c>
      <c r="F17" s="17" t="s">
        <v>1573</v>
      </c>
      <c r="G17" s="17" t="s">
        <v>89</v>
      </c>
      <c r="H17" s="23" t="s">
        <v>1574</v>
      </c>
      <c r="I17" s="17">
        <v>4724</v>
      </c>
      <c r="J17" s="17">
        <v>0</v>
      </c>
      <c r="K17" s="110">
        <v>1</v>
      </c>
      <c r="L17" s="17" t="s">
        <v>1585</v>
      </c>
      <c r="M17" s="17"/>
      <c r="N17" s="17"/>
    </row>
    <row r="18" spans="1:14" hidden="1">
      <c r="A18" s="60" t="str">
        <f t="shared" si="0"/>
        <v>INSTRUMENTGRSS_CRRYNG_AMNT_INSTRMNT2025-11-30COERÊNCIA</v>
      </c>
      <c r="B18" s="60" t="str">
        <f t="shared" si="1"/>
        <v>INSTRUMENTGRSS_CRRYNG_AMNT_INSTRMNT2025-11-30COERÊNCIA1</v>
      </c>
      <c r="C18" s="17" t="s">
        <v>113</v>
      </c>
      <c r="D18" s="17" t="s">
        <v>1571</v>
      </c>
      <c r="E18" s="17" t="s">
        <v>1572</v>
      </c>
      <c r="F18" s="17" t="s">
        <v>1573</v>
      </c>
      <c r="G18" s="114" t="s">
        <v>87</v>
      </c>
      <c r="H18" s="23" t="s">
        <v>1574</v>
      </c>
      <c r="I18" s="17">
        <v>4724</v>
      </c>
      <c r="J18" s="17">
        <v>4692</v>
      </c>
      <c r="K18" s="110">
        <v>1</v>
      </c>
      <c r="L18" s="17" t="s">
        <v>1585</v>
      </c>
      <c r="M18" s="17" t="s">
        <v>1595</v>
      </c>
      <c r="N18" s="17"/>
    </row>
    <row r="19" spans="1:14" hidden="1">
      <c r="A19" s="60" t="str">
        <f t="shared" si="0"/>
        <v>INSTRUMENTINTRNL_RTNG2025-11-30COERÊNCIA</v>
      </c>
      <c r="B19" s="60" t="str">
        <f t="shared" si="1"/>
        <v>INSTRUMENTINTRNL_RTNG2025-11-30COERÊNCIA1</v>
      </c>
      <c r="C19" s="17" t="s">
        <v>113</v>
      </c>
      <c r="D19" s="17" t="s">
        <v>1571</v>
      </c>
      <c r="E19" s="17" t="s">
        <v>1572</v>
      </c>
      <c r="F19" s="17" t="s">
        <v>1573</v>
      </c>
      <c r="G19" s="114" t="s">
        <v>339</v>
      </c>
      <c r="H19" s="23" t="s">
        <v>1574</v>
      </c>
      <c r="I19" s="17">
        <v>4724</v>
      </c>
      <c r="J19" s="17">
        <v>4</v>
      </c>
      <c r="K19" s="110">
        <v>1</v>
      </c>
      <c r="L19" s="17" t="s">
        <v>1585</v>
      </c>
      <c r="M19" s="17" t="s">
        <v>1596</v>
      </c>
      <c r="N19" s="113" t="s">
        <v>1598</v>
      </c>
    </row>
    <row r="20" spans="1:14" hidden="1">
      <c r="A20" s="60" t="str">
        <f t="shared" ref="A20:A62" si="4">+C20&amp;G20&amp;H20&amp;D20</f>
        <v>INSTRUMENTOTSTNDNG_NMNL_AMNT_INSTRMNT2025-11-30COERÊNCIA</v>
      </c>
      <c r="B20" s="60" t="str">
        <f t="shared" ref="B20:B62" si="5">+C20&amp;G20&amp;H20&amp;D20&amp;K20</f>
        <v>INSTRUMENTOTSTNDNG_NMNL_AMNT_INSTRMNT2025-11-30COERÊNCIA1</v>
      </c>
      <c r="C20" s="17" t="s">
        <v>113</v>
      </c>
      <c r="D20" s="17" t="s">
        <v>1571</v>
      </c>
      <c r="E20" s="17" t="s">
        <v>1572</v>
      </c>
      <c r="F20" s="17" t="s">
        <v>1573</v>
      </c>
      <c r="G20" s="114" t="s">
        <v>447</v>
      </c>
      <c r="H20" s="23" t="s">
        <v>1574</v>
      </c>
      <c r="I20" s="17">
        <v>4724</v>
      </c>
      <c r="J20" s="17">
        <v>4692</v>
      </c>
      <c r="K20" s="110">
        <v>1</v>
      </c>
      <c r="L20" s="17" t="s">
        <v>1585</v>
      </c>
      <c r="M20" s="17" t="s">
        <v>1595</v>
      </c>
      <c r="N20" s="113" t="s">
        <v>1599</v>
      </c>
    </row>
    <row r="21" spans="1:14" hidden="1">
      <c r="A21" s="60" t="str">
        <f t="shared" si="4"/>
        <v>INSTRUMENTPRDCT2025-11-30COERÊNCIA</v>
      </c>
      <c r="B21" s="60" t="str">
        <f t="shared" si="5"/>
        <v>INSTRUMENTPRDCT2025-11-30COERÊNCIA1</v>
      </c>
      <c r="C21" s="17" t="s">
        <v>113</v>
      </c>
      <c r="D21" s="17" t="s">
        <v>1571</v>
      </c>
      <c r="E21" s="17" t="s">
        <v>1572</v>
      </c>
      <c r="F21" s="17" t="s">
        <v>1573</v>
      </c>
      <c r="G21" s="114" t="s">
        <v>402</v>
      </c>
      <c r="H21" s="23" t="s">
        <v>1574</v>
      </c>
      <c r="I21" s="17">
        <v>4724</v>
      </c>
      <c r="J21" s="17">
        <v>0</v>
      </c>
      <c r="K21" s="110">
        <v>1</v>
      </c>
      <c r="L21" s="17" t="s">
        <v>1585</v>
      </c>
      <c r="M21" s="17"/>
      <c r="N21" s="17"/>
    </row>
    <row r="22" spans="1:14" hidden="1">
      <c r="A22" s="60" t="str">
        <f t="shared" si="4"/>
        <v>INSTRUMENTCOD_SOC2025-11-30COERÊNCIA</v>
      </c>
      <c r="B22" s="60" t="str">
        <f t="shared" si="5"/>
        <v>INSTRUMENTCOD_SOC2025-11-30COERÊNCIA1</v>
      </c>
      <c r="C22" s="17" t="s">
        <v>113</v>
      </c>
      <c r="D22" s="17" t="s">
        <v>1571</v>
      </c>
      <c r="E22" s="17" t="s">
        <v>1572</v>
      </c>
      <c r="F22" s="17" t="s">
        <v>1573</v>
      </c>
      <c r="G22" s="114" t="s">
        <v>96</v>
      </c>
      <c r="H22" s="23" t="s">
        <v>1574</v>
      </c>
      <c r="I22" s="17">
        <v>4724</v>
      </c>
      <c r="J22" s="17">
        <v>0</v>
      </c>
      <c r="K22" s="110">
        <v>1</v>
      </c>
      <c r="L22" s="17" t="s">
        <v>1585</v>
      </c>
      <c r="M22" s="17"/>
      <c r="N22" s="17"/>
    </row>
    <row r="23" spans="1:14" hidden="1">
      <c r="A23" s="60" t="str">
        <f t="shared" si="4"/>
        <v>ENTITYPRSN_TYP2025-11-30COERÊNCIA</v>
      </c>
      <c r="B23" s="60" t="str">
        <f t="shared" si="5"/>
        <v>ENTITYPRSN_TYP2025-11-30COERÊNCIA1</v>
      </c>
      <c r="C23" s="17" t="s">
        <v>114</v>
      </c>
      <c r="D23" s="17" t="s">
        <v>1571</v>
      </c>
      <c r="E23" s="17" t="s">
        <v>1588</v>
      </c>
      <c r="F23" s="17" t="s">
        <v>1589</v>
      </c>
      <c r="G23" s="17" t="s">
        <v>387</v>
      </c>
      <c r="H23" s="23" t="s">
        <v>1574</v>
      </c>
      <c r="I23" s="17">
        <v>34</v>
      </c>
      <c r="J23" s="17">
        <v>0</v>
      </c>
      <c r="K23" s="110">
        <v>1</v>
      </c>
      <c r="L23" s="17" t="s">
        <v>1590</v>
      </c>
      <c r="M23" s="17"/>
      <c r="N23" s="17"/>
    </row>
    <row r="24" spans="1:14" hidden="1">
      <c r="A24" s="60" t="str">
        <f t="shared" si="4"/>
        <v>ENTITYENTTY_NM2025-11-30COERÊNCIA</v>
      </c>
      <c r="B24" s="60" t="str">
        <f t="shared" si="5"/>
        <v>ENTITYENTTY_NM2025-11-30COERÊNCIA1</v>
      </c>
      <c r="C24" s="17" t="s">
        <v>114</v>
      </c>
      <c r="D24" s="17" t="s">
        <v>1571</v>
      </c>
      <c r="E24" s="17" t="s">
        <v>1588</v>
      </c>
      <c r="F24" s="17" t="s">
        <v>1589</v>
      </c>
      <c r="G24" s="17" t="s">
        <v>317</v>
      </c>
      <c r="H24" s="23" t="s">
        <v>1574</v>
      </c>
      <c r="I24" s="17">
        <v>34</v>
      </c>
      <c r="J24" s="17">
        <v>0</v>
      </c>
      <c r="K24" s="110">
        <v>1</v>
      </c>
      <c r="L24" s="17" t="s">
        <v>1590</v>
      </c>
      <c r="M24" s="17"/>
      <c r="N24" s="17"/>
    </row>
    <row r="25" spans="1:14">
      <c r="A25" s="60" t="str">
        <f t="shared" si="4"/>
        <v>ENTITYLEI2025-11-30COERÊNCIA</v>
      </c>
      <c r="B25" s="60" t="str">
        <f t="shared" si="5"/>
        <v>ENTITYLEI2025-11-30COERÊNCIA1</v>
      </c>
      <c r="C25" s="17" t="s">
        <v>114</v>
      </c>
      <c r="D25" s="17" t="s">
        <v>1571</v>
      </c>
      <c r="E25" s="17" t="s">
        <v>1588</v>
      </c>
      <c r="F25" s="17" t="s">
        <v>1589</v>
      </c>
      <c r="G25" s="17" t="s">
        <v>101</v>
      </c>
      <c r="H25" s="23" t="s">
        <v>1574</v>
      </c>
      <c r="I25" s="17">
        <v>34</v>
      </c>
      <c r="J25" s="17">
        <v>28</v>
      </c>
      <c r="K25" s="110">
        <v>1</v>
      </c>
      <c r="L25" s="17" t="s">
        <v>1590</v>
      </c>
      <c r="M25" s="118" t="s">
        <v>1606</v>
      </c>
      <c r="N25" s="113" t="s">
        <v>1600</v>
      </c>
    </row>
    <row r="26" spans="1:14" hidden="1">
      <c r="A26" s="60" t="str">
        <f t="shared" si="4"/>
        <v>ENTITYCNTRY2025-11-30COERÊNCIA</v>
      </c>
      <c r="B26" s="60" t="str">
        <f t="shared" si="5"/>
        <v>ENTITYCNTRY2025-11-30COERÊNCIA1</v>
      </c>
      <c r="C26" s="17" t="s">
        <v>114</v>
      </c>
      <c r="D26" s="17" t="s">
        <v>1571</v>
      </c>
      <c r="E26" s="17" t="s">
        <v>1588</v>
      </c>
      <c r="F26" s="17" t="s">
        <v>1589</v>
      </c>
      <c r="G26" s="17" t="s">
        <v>100</v>
      </c>
      <c r="H26" s="23" t="s">
        <v>1574</v>
      </c>
      <c r="I26" s="17">
        <v>34</v>
      </c>
      <c r="J26" s="17">
        <v>0</v>
      </c>
      <c r="K26" s="110">
        <v>1</v>
      </c>
      <c r="L26" s="17" t="s">
        <v>1590</v>
      </c>
      <c r="M26" s="17"/>
      <c r="N26" s="17"/>
    </row>
    <row r="27" spans="1:14" hidden="1">
      <c r="A27" s="60" t="str">
        <f t="shared" si="4"/>
        <v>ENTITYENTRPRS_SZ_LE2025-11-30COERÊNCIA</v>
      </c>
      <c r="B27" s="60" t="str">
        <f t="shared" si="5"/>
        <v>ENTITYENTRPRS_SZ_LE2025-11-30COERÊNCIA1</v>
      </c>
      <c r="C27" s="17" t="s">
        <v>114</v>
      </c>
      <c r="D27" s="17" t="s">
        <v>1571</v>
      </c>
      <c r="E27" s="17" t="s">
        <v>1588</v>
      </c>
      <c r="F27" s="17" t="s">
        <v>1589</v>
      </c>
      <c r="G27" s="114" t="s">
        <v>327</v>
      </c>
      <c r="H27" s="23" t="s">
        <v>1574</v>
      </c>
      <c r="I27" s="17">
        <v>34</v>
      </c>
      <c r="J27" s="17">
        <v>3</v>
      </c>
      <c r="K27" s="110">
        <v>1</v>
      </c>
      <c r="L27" s="17" t="s">
        <v>1590</v>
      </c>
      <c r="M27" s="17" t="s">
        <v>1602</v>
      </c>
      <c r="N27" s="113" t="s">
        <v>1601</v>
      </c>
    </row>
    <row r="28" spans="1:14">
      <c r="A28" s="60" t="str">
        <f t="shared" si="4"/>
        <v>ENTITYINSTITUTIONAL_SECTOR2025-11-30COERÊNCIA</v>
      </c>
      <c r="B28" s="60" t="str">
        <f t="shared" si="5"/>
        <v>ENTITYINSTITUTIONAL_SECTOR2025-11-30COERÊNCIA1</v>
      </c>
      <c r="C28" s="17" t="s">
        <v>114</v>
      </c>
      <c r="D28" s="17" t="s">
        <v>1571</v>
      </c>
      <c r="E28" s="17" t="s">
        <v>1588</v>
      </c>
      <c r="F28" s="17" t="s">
        <v>1589</v>
      </c>
      <c r="G28" s="114" t="s">
        <v>1580</v>
      </c>
      <c r="H28" s="23" t="s">
        <v>1574</v>
      </c>
      <c r="I28" s="17">
        <v>34</v>
      </c>
      <c r="J28" s="17">
        <v>34</v>
      </c>
      <c r="K28" s="110">
        <v>1</v>
      </c>
      <c r="L28" s="17" t="s">
        <v>1590</v>
      </c>
      <c r="M28" s="118" t="s">
        <v>1607</v>
      </c>
      <c r="N28" s="113" t="s">
        <v>1603</v>
      </c>
    </row>
    <row r="29" spans="1:14" hidden="1">
      <c r="A29" s="60" t="str">
        <f t="shared" si="4"/>
        <v>ENTITYINTRNL_SGMNT2025-11-30COERÊNCIA</v>
      </c>
      <c r="B29" s="60" t="str">
        <f t="shared" si="5"/>
        <v>ENTITYINTRNL_SGMNT2025-11-30COERÊNCIA1</v>
      </c>
      <c r="C29" s="17" t="s">
        <v>114</v>
      </c>
      <c r="D29" s="17" t="s">
        <v>1571</v>
      </c>
      <c r="E29" s="17" t="s">
        <v>1588</v>
      </c>
      <c r="F29" s="17" t="s">
        <v>1589</v>
      </c>
      <c r="G29" s="114" t="s">
        <v>315</v>
      </c>
      <c r="H29" s="23" t="s">
        <v>1574</v>
      </c>
      <c r="I29" s="17">
        <v>34</v>
      </c>
      <c r="J29" s="17">
        <v>0</v>
      </c>
      <c r="K29" s="110">
        <v>1</v>
      </c>
      <c r="L29" s="17" t="s">
        <v>1590</v>
      </c>
      <c r="M29" s="17"/>
      <c r="N29" s="17"/>
    </row>
    <row r="30" spans="1:14" hidden="1">
      <c r="A30" s="60" t="str">
        <f t="shared" si="4"/>
        <v>ENTITYCOD_SOC2025-11-30COERÊNCIA</v>
      </c>
      <c r="B30" s="60" t="str">
        <f t="shared" si="5"/>
        <v>ENTITYCOD_SOC2025-11-30COERÊNCIA1</v>
      </c>
      <c r="C30" s="17" t="s">
        <v>114</v>
      </c>
      <c r="D30" s="17" t="s">
        <v>1571</v>
      </c>
      <c r="E30" s="17" t="s">
        <v>1588</v>
      </c>
      <c r="F30" s="17" t="s">
        <v>1589</v>
      </c>
      <c r="G30" s="114" t="s">
        <v>96</v>
      </c>
      <c r="H30" s="23" t="s">
        <v>1574</v>
      </c>
      <c r="I30" s="17">
        <v>34</v>
      </c>
      <c r="J30" s="17">
        <v>0</v>
      </c>
      <c r="K30" s="110">
        <v>1</v>
      </c>
      <c r="L30" s="17" t="s">
        <v>1590</v>
      </c>
      <c r="M30" s="17"/>
      <c r="N30" s="17"/>
    </row>
    <row r="31" spans="1:14">
      <c r="A31" s="60" t="str">
        <f t="shared" si="4"/>
        <v>PROTECTIONDT_MTRTY_PRTCTN2025-11-30COERÊNCIA</v>
      </c>
      <c r="B31" s="60" t="str">
        <f t="shared" si="5"/>
        <v>PROTECTIONDT_MTRTY_PRTCTN2025-11-30COERÊNCIA1</v>
      </c>
      <c r="C31" s="17" t="s">
        <v>115</v>
      </c>
      <c r="D31" s="17" t="s">
        <v>1571</v>
      </c>
      <c r="E31" s="17" t="s">
        <v>1591</v>
      </c>
      <c r="F31" s="17" t="s">
        <v>1592</v>
      </c>
      <c r="G31" s="17" t="s">
        <v>547</v>
      </c>
      <c r="H31" s="23" t="s">
        <v>1574</v>
      </c>
      <c r="I31" s="17">
        <v>6</v>
      </c>
      <c r="J31" s="17">
        <v>6</v>
      </c>
      <c r="K31" s="110">
        <v>1</v>
      </c>
      <c r="L31" s="17" t="s">
        <v>1593</v>
      </c>
      <c r="M31" s="118" t="s">
        <v>1608</v>
      </c>
      <c r="N31" s="113" t="s">
        <v>1604</v>
      </c>
    </row>
    <row r="32" spans="1:14" hidden="1">
      <c r="A32" s="60" t="str">
        <f t="shared" si="4"/>
        <v>PROTECTIONPRTCTN_PRVDR_ID2025-11-30COERÊNCIA</v>
      </c>
      <c r="B32" s="60" t="str">
        <f t="shared" si="5"/>
        <v>PROTECTIONPRTCTN_PRVDR_ID2025-11-30COERÊNCIA1</v>
      </c>
      <c r="C32" s="17" t="s">
        <v>115</v>
      </c>
      <c r="D32" s="17" t="s">
        <v>1571</v>
      </c>
      <c r="E32" s="17" t="s">
        <v>1591</v>
      </c>
      <c r="F32" s="17" t="s">
        <v>1592</v>
      </c>
      <c r="G32" s="17" t="s">
        <v>549</v>
      </c>
      <c r="H32" s="23" t="s">
        <v>1574</v>
      </c>
      <c r="I32" s="17">
        <v>6</v>
      </c>
      <c r="J32" s="17">
        <v>0</v>
      </c>
      <c r="K32" s="110">
        <v>1</v>
      </c>
      <c r="L32" s="17" t="s">
        <v>1593</v>
      </c>
      <c r="M32" s="17"/>
      <c r="N32" s="17"/>
    </row>
    <row r="33" spans="1:14" hidden="1">
      <c r="A33" s="60" t="str">
        <f t="shared" si="4"/>
        <v>PROTECTIONPRTCTN_VL2025-11-30COERÊNCIA</v>
      </c>
      <c r="B33" s="60" t="str">
        <f t="shared" si="5"/>
        <v>PROTECTIONPRTCTN_VL2025-11-30COERÊNCIA1</v>
      </c>
      <c r="C33" s="17" t="s">
        <v>115</v>
      </c>
      <c r="D33" s="17" t="s">
        <v>1571</v>
      </c>
      <c r="E33" s="17" t="s">
        <v>1591</v>
      </c>
      <c r="F33" s="17" t="s">
        <v>1592</v>
      </c>
      <c r="G33" s="17" t="s">
        <v>112</v>
      </c>
      <c r="H33" s="23" t="s">
        <v>1574</v>
      </c>
      <c r="I33" s="17">
        <v>6</v>
      </c>
      <c r="J33" s="17">
        <v>0</v>
      </c>
      <c r="K33" s="110">
        <v>1</v>
      </c>
      <c r="L33" s="17" t="s">
        <v>1593</v>
      </c>
      <c r="M33" s="17"/>
      <c r="N33" s="17"/>
    </row>
    <row r="34" spans="1:14" hidden="1">
      <c r="A34" s="60" t="str">
        <f t="shared" si="4"/>
        <v>PROTECTIONCOD_SOC2025-11-30COERÊNCIA</v>
      </c>
      <c r="B34" s="60" t="str">
        <f t="shared" si="5"/>
        <v>PROTECTIONCOD_SOC2025-11-30COERÊNCIA1</v>
      </c>
      <c r="C34" s="17" t="s">
        <v>115</v>
      </c>
      <c r="D34" s="17" t="s">
        <v>1571</v>
      </c>
      <c r="E34" s="17" t="s">
        <v>1591</v>
      </c>
      <c r="F34" s="17" t="s">
        <v>1592</v>
      </c>
      <c r="G34" s="17" t="s">
        <v>96</v>
      </c>
      <c r="H34" s="23" t="s">
        <v>1574</v>
      </c>
      <c r="I34" s="17">
        <v>6</v>
      </c>
      <c r="J34" s="17">
        <v>0</v>
      </c>
      <c r="K34" s="110">
        <v>1</v>
      </c>
      <c r="L34" s="17" t="s">
        <v>1593</v>
      </c>
      <c r="M34" s="17"/>
      <c r="N34" s="17"/>
    </row>
    <row r="35" spans="1:14" hidden="1">
      <c r="A35" s="60" t="str">
        <f t="shared" si="4"/>
        <v>PROTECTIONPRTCTN_VLTN_APPRCH2025-11-30COERÊNCIA</v>
      </c>
      <c r="B35" s="60" t="str">
        <f t="shared" si="5"/>
        <v>PROTECTIONPRTCTN_VLTN_APPRCH2025-11-30COERÊNCIA1</v>
      </c>
      <c r="C35" s="17" t="s">
        <v>115</v>
      </c>
      <c r="D35" s="17" t="s">
        <v>1571</v>
      </c>
      <c r="E35" s="17" t="s">
        <v>1591</v>
      </c>
      <c r="F35" s="17" t="s">
        <v>1592</v>
      </c>
      <c r="G35" s="17" t="s">
        <v>564</v>
      </c>
      <c r="H35" s="23" t="s">
        <v>1574</v>
      </c>
      <c r="I35" s="17">
        <v>6</v>
      </c>
      <c r="J35" s="17">
        <v>0</v>
      </c>
      <c r="K35" s="110">
        <v>1</v>
      </c>
      <c r="L35" s="17" t="s">
        <v>1593</v>
      </c>
      <c r="M35" s="17"/>
      <c r="N35" s="17"/>
    </row>
    <row r="36" spans="1:14" hidden="1">
      <c r="A36" s="60" t="str">
        <f t="shared" si="4"/>
        <v>PROTECTIONDT_PRTCTN_VL2025-11-30COERÊNCIA</v>
      </c>
      <c r="B36" s="60" t="str">
        <f t="shared" si="5"/>
        <v>PROTECTIONDT_PRTCTN_VL2025-11-30COERÊNCIA1</v>
      </c>
      <c r="C36" s="17" t="s">
        <v>115</v>
      </c>
      <c r="D36" s="17" t="s">
        <v>1571</v>
      </c>
      <c r="E36" s="17" t="s">
        <v>1591</v>
      </c>
      <c r="F36" s="17" t="s">
        <v>1592</v>
      </c>
      <c r="G36" s="17" t="s">
        <v>561</v>
      </c>
      <c r="H36" s="23" t="s">
        <v>1574</v>
      </c>
      <c r="I36" s="17">
        <v>6</v>
      </c>
      <c r="J36" s="17">
        <v>0</v>
      </c>
      <c r="K36" s="110">
        <v>1</v>
      </c>
      <c r="L36" s="17" t="s">
        <v>1593</v>
      </c>
      <c r="M36" s="17"/>
      <c r="N36" s="17"/>
    </row>
    <row r="37" spans="1:14" hidden="1">
      <c r="A37" s="60" t="str">
        <f t="shared" si="4"/>
        <v>PROTECTIONTYP_PRTCTN_VL2025-11-30COERÊNCIA</v>
      </c>
      <c r="B37" s="60" t="str">
        <f t="shared" si="5"/>
        <v>PROTECTIONTYP_PRTCTN_VL2025-11-30COERÊNCIA1</v>
      </c>
      <c r="C37" s="17" t="s">
        <v>115</v>
      </c>
      <c r="D37" s="17" t="s">
        <v>1571</v>
      </c>
      <c r="E37" s="17" t="s">
        <v>1591</v>
      </c>
      <c r="F37" s="17" t="s">
        <v>1592</v>
      </c>
      <c r="G37" s="17" t="s">
        <v>556</v>
      </c>
      <c r="H37" s="23" t="s">
        <v>1574</v>
      </c>
      <c r="I37" s="17">
        <v>6</v>
      </c>
      <c r="J37" s="17">
        <v>0</v>
      </c>
      <c r="K37" s="110">
        <v>1</v>
      </c>
      <c r="L37" s="17" t="s">
        <v>1593</v>
      </c>
      <c r="M37" s="17"/>
      <c r="N37" s="17"/>
    </row>
    <row r="38" spans="1:14" hidden="1">
      <c r="A38" s="60" t="str">
        <f t="shared" si="4"/>
        <v>PROTECTIONTYP_PRTCTN2025-11-30COERÊNCIA</v>
      </c>
      <c r="B38" s="60" t="str">
        <f t="shared" si="5"/>
        <v>PROTECTIONTYP_PRTCTN2025-11-30COERÊNCIA1</v>
      </c>
      <c r="C38" s="17" t="s">
        <v>115</v>
      </c>
      <c r="D38" s="17" t="s">
        <v>1571</v>
      </c>
      <c r="E38" s="17" t="s">
        <v>1591</v>
      </c>
      <c r="F38" s="17" t="s">
        <v>1592</v>
      </c>
      <c r="G38" s="17" t="s">
        <v>110</v>
      </c>
      <c r="H38" s="23" t="s">
        <v>1574</v>
      </c>
      <c r="I38" s="17">
        <v>6</v>
      </c>
      <c r="J38" s="17">
        <v>0</v>
      </c>
      <c r="K38" s="110">
        <v>1</v>
      </c>
      <c r="L38" s="17" t="s">
        <v>1593</v>
      </c>
      <c r="M38" s="17"/>
      <c r="N38" s="17"/>
    </row>
    <row r="39" spans="1:14" hidden="1">
      <c r="A39" s="60" t="str">
        <f t="shared" si="4"/>
        <v>INSTR_ENTITYMN_ENTTY_ID2025-11-30COERÊNCIA</v>
      </c>
      <c r="B39" s="60" t="str">
        <f t="shared" si="5"/>
        <v>INSTR_ENTITYMN_ENTTY_ID2025-11-30COERÊNCIA1</v>
      </c>
      <c r="C39" s="17" t="s">
        <v>304</v>
      </c>
      <c r="D39" s="17" t="s">
        <v>1571</v>
      </c>
      <c r="E39" s="17" t="s">
        <v>1610</v>
      </c>
      <c r="F39" s="17" t="s">
        <v>1611</v>
      </c>
      <c r="G39" s="17" t="s">
        <v>393</v>
      </c>
      <c r="H39" s="23" t="s">
        <v>1574</v>
      </c>
      <c r="I39" s="17">
        <v>4724</v>
      </c>
      <c r="J39" s="17">
        <v>0</v>
      </c>
      <c r="K39" s="110">
        <v>1</v>
      </c>
      <c r="L39" s="17" t="s">
        <v>1612</v>
      </c>
      <c r="M39" s="17"/>
      <c r="N39" s="17"/>
    </row>
    <row r="40" spans="1:14" hidden="1">
      <c r="A40" s="60" t="str">
        <f t="shared" si="4"/>
        <v>INSTR_ENTITYCRELACAO_CL_CNT2025-11-30COERÊNCIA</v>
      </c>
      <c r="B40" s="60" t="str">
        <f t="shared" si="5"/>
        <v>INSTR_ENTITYCRELACAO_CL_CNT2025-11-30COERÊNCIA1</v>
      </c>
      <c r="C40" s="17" t="s">
        <v>304</v>
      </c>
      <c r="D40" s="17" t="s">
        <v>1571</v>
      </c>
      <c r="E40" s="17" t="s">
        <v>1610</v>
      </c>
      <c r="F40" s="17" t="s">
        <v>1611</v>
      </c>
      <c r="G40" s="17" t="s">
        <v>1581</v>
      </c>
      <c r="H40" s="23" t="s">
        <v>1574</v>
      </c>
      <c r="I40" s="17">
        <v>4724</v>
      </c>
      <c r="J40" s="17">
        <v>0</v>
      </c>
      <c r="K40" s="110">
        <v>1</v>
      </c>
      <c r="L40" s="17" t="s">
        <v>1612</v>
      </c>
      <c r="M40" s="17"/>
      <c r="N40" s="17"/>
    </row>
    <row r="41" spans="1:14" hidden="1">
      <c r="A41" s="60" t="str">
        <f t="shared" si="4"/>
        <v>INSTR_ENTITYJNT_LBLTY_AMNT2025-11-30COERÊNCIA</v>
      </c>
      <c r="B41" s="60" t="str">
        <f t="shared" si="5"/>
        <v>INSTR_ENTITYJNT_LBLTY_AMNT2025-11-30COERÊNCIA1</v>
      </c>
      <c r="C41" s="17" t="s">
        <v>304</v>
      </c>
      <c r="D41" s="17" t="s">
        <v>1571</v>
      </c>
      <c r="E41" s="17" t="s">
        <v>1610</v>
      </c>
      <c r="F41" s="17" t="s">
        <v>1611</v>
      </c>
      <c r="G41" s="17" t="s">
        <v>392</v>
      </c>
      <c r="H41" s="23" t="s">
        <v>1574</v>
      </c>
      <c r="I41" s="17">
        <v>4724</v>
      </c>
      <c r="J41" s="17">
        <v>0</v>
      </c>
      <c r="K41" s="110">
        <v>1</v>
      </c>
      <c r="L41" s="17" t="s">
        <v>1612</v>
      </c>
      <c r="M41" s="17"/>
      <c r="N41" s="17"/>
    </row>
    <row r="42" spans="1:14" hidden="1">
      <c r="A42" s="60" t="str">
        <f t="shared" si="4"/>
        <v>INSTR_ENTITYCOD_SOC2025-11-30COERÊNCIA</v>
      </c>
      <c r="B42" s="60" t="str">
        <f t="shared" si="5"/>
        <v>INSTR_ENTITYCOD_SOC2025-11-30COERÊNCIA1</v>
      </c>
      <c r="C42" s="17" t="s">
        <v>304</v>
      </c>
      <c r="D42" s="17" t="s">
        <v>1571</v>
      </c>
      <c r="E42" s="17" t="s">
        <v>1610</v>
      </c>
      <c r="F42" s="17" t="s">
        <v>1611</v>
      </c>
      <c r="G42" s="17" t="s">
        <v>96</v>
      </c>
      <c r="H42" s="23" t="s">
        <v>1574</v>
      </c>
      <c r="I42" s="17">
        <v>4724</v>
      </c>
      <c r="J42" s="17">
        <v>0</v>
      </c>
      <c r="K42" s="110">
        <v>1</v>
      </c>
      <c r="L42" s="17" t="s">
        <v>1612</v>
      </c>
      <c r="M42" s="17"/>
      <c r="N42" s="17"/>
    </row>
    <row r="43" spans="1:14" hidden="1">
      <c r="A43" s="60" t="str">
        <f t="shared" si="4"/>
        <v>INSTR_ENTITYEXPORTA_REL2025-11-30COERÊNCIA</v>
      </c>
      <c r="B43" s="60" t="str">
        <f t="shared" si="5"/>
        <v>INSTR_ENTITYEXPORTA_REL2025-11-30COERÊNCIA1</v>
      </c>
      <c r="C43" s="17" t="s">
        <v>304</v>
      </c>
      <c r="D43" s="17" t="s">
        <v>1571</v>
      </c>
      <c r="E43" s="17" t="s">
        <v>1610</v>
      </c>
      <c r="F43" s="17" t="s">
        <v>1611</v>
      </c>
      <c r="G43" s="17" t="s">
        <v>1583</v>
      </c>
      <c r="H43" s="23" t="s">
        <v>1574</v>
      </c>
      <c r="I43" s="17">
        <v>4724</v>
      </c>
      <c r="J43" s="17">
        <v>0</v>
      </c>
      <c r="K43" s="110">
        <v>1</v>
      </c>
      <c r="L43" s="17" t="s">
        <v>1612</v>
      </c>
      <c r="M43" s="17"/>
      <c r="N43" s="17"/>
    </row>
    <row r="44" spans="1:14" hidden="1">
      <c r="A44" s="60" t="str">
        <f t="shared" si="4"/>
        <v>INSTR_ENTITYCOUNTERPARTY_ROLECOERÊNCIA</v>
      </c>
      <c r="B44" s="60" t="str">
        <f t="shared" si="5"/>
        <v>INSTR_ENTITYCOUNTERPARTY_ROLECOERÊNCIA</v>
      </c>
      <c r="C44" s="17" t="s">
        <v>304</v>
      </c>
      <c r="D44" s="17" t="s">
        <v>1571</v>
      </c>
      <c r="E44" s="17" t="s">
        <v>1610</v>
      </c>
      <c r="F44" s="17" t="s">
        <v>1611</v>
      </c>
      <c r="G44" s="118" t="s">
        <v>1582</v>
      </c>
      <c r="H44" s="23"/>
      <c r="I44" s="17"/>
      <c r="J44" s="17"/>
      <c r="K44" s="110"/>
      <c r="L44" s="17"/>
      <c r="M44" s="17" t="s">
        <v>1613</v>
      </c>
      <c r="N44" s="17"/>
    </row>
    <row r="45" spans="1:14" hidden="1">
      <c r="A45" s="60" t="str">
        <f t="shared" si="4"/>
        <v>INSTR_PROTECTIONPRTCTN_ALLCTD_VL2025-11-30COERÊNCIA</v>
      </c>
      <c r="B45" s="60" t="str">
        <f t="shared" si="5"/>
        <v>INSTR_PROTECTIONPRTCTN_ALLCTD_VL2025-11-30COERÊNCIA1</v>
      </c>
      <c r="C45" s="17" t="s">
        <v>305</v>
      </c>
      <c r="D45" s="17" t="s">
        <v>1571</v>
      </c>
      <c r="E45" s="17" t="s">
        <v>1614</v>
      </c>
      <c r="F45" s="17" t="s">
        <v>1615</v>
      </c>
      <c r="G45" s="17" t="s">
        <v>545</v>
      </c>
      <c r="H45" s="23" t="s">
        <v>1574</v>
      </c>
      <c r="I45" s="17">
        <v>9413</v>
      </c>
      <c r="J45" s="17">
        <v>0</v>
      </c>
      <c r="K45" s="110">
        <v>1</v>
      </c>
      <c r="L45" s="17" t="s">
        <v>1616</v>
      </c>
      <c r="M45" s="17"/>
      <c r="N45" s="17"/>
    </row>
    <row r="46" spans="1:14" hidden="1">
      <c r="A46" s="60" t="str">
        <f t="shared" si="4"/>
        <v>UNIV_OPERFLAG_INST_CAP2025-11-30COERÊNCIA</v>
      </c>
      <c r="B46" s="60" t="str">
        <f t="shared" si="5"/>
        <v>UNIV_OPERFLAG_INST_CAP2025-11-30COERÊNCIA1</v>
      </c>
      <c r="C46" s="17" t="s">
        <v>1080</v>
      </c>
      <c r="D46" s="17" t="s">
        <v>1571</v>
      </c>
      <c r="E46" s="17" t="s">
        <v>1617</v>
      </c>
      <c r="F46" s="17" t="s">
        <v>1618</v>
      </c>
      <c r="G46" s="17" t="s">
        <v>1577</v>
      </c>
      <c r="H46" s="23" t="s">
        <v>1574</v>
      </c>
      <c r="I46" s="17">
        <v>9547</v>
      </c>
      <c r="J46" s="17">
        <v>0</v>
      </c>
      <c r="K46" s="110">
        <v>1</v>
      </c>
      <c r="L46" s="17" t="s">
        <v>1619</v>
      </c>
      <c r="M46" s="17"/>
      <c r="N46" s="17"/>
    </row>
    <row r="47" spans="1:14" hidden="1">
      <c r="A47" s="60" t="str">
        <f t="shared" si="4"/>
        <v>UNIV_OPERFLAG_INST_DIV2025-11-30COERÊNCIA</v>
      </c>
      <c r="B47" s="60" t="str">
        <f t="shared" si="5"/>
        <v>UNIV_OPERFLAG_INST_DIV2025-11-30COERÊNCIA1</v>
      </c>
      <c r="C47" s="17" t="s">
        <v>1080</v>
      </c>
      <c r="D47" s="17" t="s">
        <v>1571</v>
      </c>
      <c r="E47" s="17" t="s">
        <v>1617</v>
      </c>
      <c r="F47" s="17" t="s">
        <v>1618</v>
      </c>
      <c r="G47" s="17" t="s">
        <v>1578</v>
      </c>
      <c r="H47" s="23" t="s">
        <v>1574</v>
      </c>
      <c r="I47" s="17">
        <v>9547</v>
      </c>
      <c r="J47" s="17">
        <v>0</v>
      </c>
      <c r="K47" s="110">
        <v>1</v>
      </c>
      <c r="L47" s="17" t="s">
        <v>1619</v>
      </c>
      <c r="M47" s="17"/>
      <c r="N47" s="17"/>
    </row>
    <row r="48" spans="1:14" hidden="1">
      <c r="A48" s="60" t="str">
        <f t="shared" si="4"/>
        <v/>
      </c>
      <c r="B48" s="60" t="str">
        <f t="shared" si="5"/>
        <v/>
      </c>
      <c r="C48" s="17"/>
      <c r="D48" s="17"/>
      <c r="E48" s="17"/>
      <c r="F48" s="17"/>
      <c r="G48" s="17"/>
      <c r="H48" s="23"/>
      <c r="I48" s="17"/>
      <c r="J48" s="17"/>
      <c r="K48" s="110"/>
      <c r="L48" s="17"/>
      <c r="M48" s="17"/>
      <c r="N48" s="17"/>
    </row>
    <row r="49" spans="1:14" hidden="1">
      <c r="A49" s="60" t="str">
        <f t="shared" si="4"/>
        <v/>
      </c>
      <c r="B49" s="60" t="str">
        <f t="shared" si="5"/>
        <v/>
      </c>
      <c r="C49" s="17"/>
      <c r="D49" s="17"/>
      <c r="E49" s="17"/>
      <c r="F49" s="17"/>
      <c r="G49" s="17"/>
      <c r="H49" s="23"/>
      <c r="I49" s="17"/>
      <c r="J49" s="17"/>
      <c r="K49" s="110"/>
      <c r="L49" s="17"/>
      <c r="M49" s="17"/>
      <c r="N49" s="17"/>
    </row>
    <row r="50" spans="1:14" hidden="1">
      <c r="A50" s="60" t="str">
        <f t="shared" si="4"/>
        <v/>
      </c>
      <c r="B50" s="60" t="str">
        <f t="shared" si="5"/>
        <v/>
      </c>
      <c r="C50" s="17"/>
      <c r="D50" s="17"/>
      <c r="E50" s="17"/>
      <c r="F50" s="17"/>
      <c r="G50" s="17"/>
      <c r="H50" s="23"/>
      <c r="I50" s="17"/>
      <c r="J50" s="17"/>
      <c r="K50" s="110"/>
      <c r="L50" s="17"/>
      <c r="M50" s="17"/>
      <c r="N50" s="17"/>
    </row>
    <row r="51" spans="1:14" hidden="1">
      <c r="A51" s="60" t="str">
        <f t="shared" si="4"/>
        <v/>
      </c>
      <c r="B51" s="60" t="str">
        <f t="shared" si="5"/>
        <v/>
      </c>
      <c r="C51" s="17"/>
      <c r="D51" s="17"/>
      <c r="E51" s="17"/>
      <c r="F51" s="17"/>
      <c r="G51" s="17"/>
      <c r="H51" s="23"/>
      <c r="I51" s="17"/>
      <c r="J51" s="17"/>
      <c r="K51" s="110"/>
      <c r="L51" s="17"/>
      <c r="M51" s="17"/>
      <c r="N51" s="17"/>
    </row>
    <row r="52" spans="1:14" hidden="1">
      <c r="A52" s="60" t="str">
        <f t="shared" si="4"/>
        <v/>
      </c>
      <c r="B52" s="60" t="str">
        <f t="shared" si="5"/>
        <v/>
      </c>
      <c r="C52" s="17"/>
      <c r="D52" s="17"/>
      <c r="E52" s="17"/>
      <c r="F52" s="17"/>
      <c r="G52" s="17"/>
      <c r="H52" s="23"/>
      <c r="I52" s="17"/>
      <c r="J52" s="17"/>
      <c r="K52" s="110"/>
      <c r="L52" s="17"/>
      <c r="M52" s="17"/>
      <c r="N52" s="17"/>
    </row>
    <row r="53" spans="1:14" hidden="1">
      <c r="A53" s="60" t="str">
        <f t="shared" si="4"/>
        <v/>
      </c>
      <c r="B53" s="60" t="str">
        <f t="shared" si="5"/>
        <v/>
      </c>
      <c r="C53" s="17"/>
      <c r="D53" s="17"/>
      <c r="E53" s="17"/>
      <c r="F53" s="17"/>
      <c r="G53" s="17"/>
      <c r="H53" s="23"/>
      <c r="I53" s="17"/>
      <c r="J53" s="17"/>
      <c r="K53" s="110"/>
      <c r="L53" s="17"/>
      <c r="M53" s="17"/>
      <c r="N53" s="17"/>
    </row>
    <row r="54" spans="1:14" hidden="1">
      <c r="A54" s="60" t="str">
        <f t="shared" si="4"/>
        <v/>
      </c>
      <c r="B54" s="60" t="str">
        <f t="shared" si="5"/>
        <v/>
      </c>
      <c r="C54" s="17"/>
      <c r="D54" s="17"/>
      <c r="E54" s="17"/>
      <c r="F54" s="17"/>
      <c r="G54" s="17"/>
      <c r="H54" s="23"/>
      <c r="I54" s="17"/>
      <c r="J54" s="17"/>
      <c r="K54" s="110"/>
      <c r="L54" s="17"/>
      <c r="M54" s="17"/>
      <c r="N54" s="17"/>
    </row>
    <row r="55" spans="1:14" hidden="1">
      <c r="A55" s="60" t="str">
        <f t="shared" si="4"/>
        <v/>
      </c>
      <c r="B55" s="60" t="str">
        <f t="shared" si="5"/>
        <v/>
      </c>
      <c r="C55" s="17"/>
      <c r="D55" s="17"/>
      <c r="E55" s="17"/>
      <c r="F55" s="17"/>
      <c r="G55" s="17"/>
      <c r="H55" s="23"/>
      <c r="I55" s="17"/>
      <c r="J55" s="17"/>
      <c r="K55" s="110"/>
      <c r="L55" s="17"/>
      <c r="M55" s="17"/>
      <c r="N55" s="17"/>
    </row>
    <row r="56" spans="1:14" hidden="1">
      <c r="A56" s="60" t="str">
        <f t="shared" si="4"/>
        <v/>
      </c>
      <c r="B56" s="60" t="str">
        <f t="shared" si="5"/>
        <v/>
      </c>
      <c r="C56" s="17"/>
      <c r="D56" s="17"/>
      <c r="E56" s="17"/>
      <c r="F56" s="17"/>
      <c r="G56" s="17"/>
      <c r="H56" s="23"/>
      <c r="I56" s="17"/>
      <c r="J56" s="17"/>
      <c r="K56" s="110"/>
      <c r="L56" s="17"/>
      <c r="M56" s="17"/>
      <c r="N56" s="17"/>
    </row>
    <row r="57" spans="1:14" hidden="1">
      <c r="A57" s="60" t="str">
        <f t="shared" si="4"/>
        <v/>
      </c>
      <c r="B57" s="60" t="str">
        <f t="shared" si="5"/>
        <v/>
      </c>
      <c r="C57" s="17"/>
      <c r="D57" s="17"/>
      <c r="E57" s="17"/>
      <c r="F57" s="17"/>
      <c r="G57" s="17"/>
      <c r="H57" s="23"/>
      <c r="I57" s="17"/>
      <c r="J57" s="17"/>
      <c r="K57" s="110"/>
      <c r="L57" s="17"/>
      <c r="M57" s="17"/>
      <c r="N57" s="17"/>
    </row>
    <row r="58" spans="1:14" hidden="1">
      <c r="A58" s="60" t="str">
        <f t="shared" si="4"/>
        <v/>
      </c>
      <c r="B58" s="60" t="str">
        <f t="shared" si="5"/>
        <v/>
      </c>
      <c r="C58" s="17"/>
      <c r="D58" s="17"/>
      <c r="E58" s="17"/>
      <c r="F58" s="17"/>
      <c r="G58" s="17"/>
      <c r="H58" s="23"/>
      <c r="I58" s="17"/>
      <c r="J58" s="17"/>
      <c r="K58" s="110"/>
      <c r="L58" s="17"/>
      <c r="M58" s="17"/>
      <c r="N58" s="17"/>
    </row>
    <row r="59" spans="1:14" hidden="1">
      <c r="A59" s="60" t="str">
        <f t="shared" si="4"/>
        <v/>
      </c>
      <c r="B59" s="60" t="str">
        <f t="shared" si="5"/>
        <v/>
      </c>
      <c r="C59" s="17"/>
      <c r="D59" s="17"/>
      <c r="E59" s="17"/>
      <c r="F59" s="17"/>
      <c r="G59" s="17"/>
      <c r="H59" s="23"/>
      <c r="I59" s="17"/>
      <c r="J59" s="17"/>
      <c r="K59" s="110"/>
      <c r="L59" s="17"/>
      <c r="M59" s="17"/>
      <c r="N59" s="17"/>
    </row>
    <row r="60" spans="1:14" hidden="1">
      <c r="A60" s="60" t="str">
        <f t="shared" si="4"/>
        <v/>
      </c>
      <c r="B60" s="60" t="str">
        <f t="shared" si="5"/>
        <v/>
      </c>
      <c r="C60" s="17"/>
      <c r="D60" s="17"/>
      <c r="E60" s="17"/>
      <c r="F60" s="17"/>
      <c r="G60" s="17"/>
      <c r="H60" s="23"/>
      <c r="I60" s="17"/>
      <c r="J60" s="17"/>
      <c r="K60" s="110"/>
      <c r="L60" s="17"/>
      <c r="M60" s="17"/>
      <c r="N60" s="17"/>
    </row>
    <row r="61" spans="1:14" hidden="1">
      <c r="A61" s="60" t="str">
        <f t="shared" si="4"/>
        <v/>
      </c>
      <c r="B61" s="60" t="str">
        <f t="shared" si="5"/>
        <v/>
      </c>
      <c r="C61" s="17"/>
      <c r="D61" s="17"/>
      <c r="E61" s="17"/>
      <c r="F61" s="17"/>
      <c r="G61" s="17"/>
      <c r="H61" s="23"/>
      <c r="I61" s="17"/>
      <c r="J61" s="17"/>
      <c r="K61" s="110"/>
      <c r="L61" s="17"/>
      <c r="M61" s="17"/>
      <c r="N61" s="17"/>
    </row>
    <row r="62" spans="1:14" hidden="1">
      <c r="A62" s="60" t="str">
        <f t="shared" si="4"/>
        <v/>
      </c>
      <c r="B62" s="60" t="str">
        <f t="shared" si="5"/>
        <v/>
      </c>
      <c r="C62" s="17"/>
      <c r="D62" s="17"/>
      <c r="E62" s="17"/>
      <c r="F62" s="17"/>
      <c r="G62" s="17"/>
      <c r="H62" s="23"/>
      <c r="I62" s="17"/>
      <c r="J62" s="17"/>
      <c r="K62" s="110"/>
      <c r="L62" s="17"/>
      <c r="M62" s="17"/>
      <c r="N62" s="17"/>
    </row>
    <row r="63" spans="1:14" hidden="1">
      <c r="A63" s="60" t="str">
        <f t="shared" ref="A63:A126" si="6">+C63&amp;G63&amp;H63&amp;D63</f>
        <v/>
      </c>
      <c r="B63" s="60" t="str">
        <f t="shared" ref="B63:B126" si="7">+C63&amp;G63&amp;H63&amp;D63&amp;K63</f>
        <v/>
      </c>
      <c r="C63" s="17"/>
      <c r="D63" s="17"/>
      <c r="E63" s="17"/>
      <c r="F63" s="17"/>
      <c r="G63" s="17"/>
      <c r="H63" s="23"/>
      <c r="I63" s="17"/>
      <c r="J63" s="17"/>
      <c r="K63" s="110"/>
      <c r="L63" s="17"/>
      <c r="M63" s="17"/>
      <c r="N63" s="17"/>
    </row>
    <row r="64" spans="1:14" hidden="1">
      <c r="A64" s="60" t="str">
        <f t="shared" si="6"/>
        <v/>
      </c>
      <c r="B64" s="60" t="str">
        <f t="shared" si="7"/>
        <v/>
      </c>
      <c r="C64" s="17"/>
      <c r="D64" s="17"/>
      <c r="E64" s="17"/>
      <c r="F64" s="17"/>
      <c r="G64" s="17"/>
      <c r="H64" s="23"/>
      <c r="I64" s="17"/>
      <c r="J64" s="17"/>
      <c r="K64" s="110"/>
      <c r="L64" s="17"/>
      <c r="M64" s="17"/>
      <c r="N64" s="17"/>
    </row>
    <row r="65" spans="1:14" hidden="1">
      <c r="A65" s="60" t="str">
        <f t="shared" si="6"/>
        <v/>
      </c>
      <c r="B65" s="60" t="str">
        <f t="shared" si="7"/>
        <v/>
      </c>
      <c r="C65" s="17"/>
      <c r="D65" s="17"/>
      <c r="E65" s="17"/>
      <c r="F65" s="17"/>
      <c r="G65" s="17"/>
      <c r="H65" s="23"/>
      <c r="I65" s="17"/>
      <c r="J65" s="17"/>
      <c r="K65" s="110"/>
      <c r="L65" s="17"/>
      <c r="M65" s="17"/>
      <c r="N65" s="17"/>
    </row>
    <row r="66" spans="1:14" hidden="1">
      <c r="A66" s="60" t="str">
        <f t="shared" si="6"/>
        <v/>
      </c>
      <c r="B66" s="60" t="str">
        <f t="shared" si="7"/>
        <v/>
      </c>
      <c r="C66" s="17"/>
      <c r="D66" s="17"/>
      <c r="E66" s="17"/>
      <c r="F66" s="17"/>
      <c r="G66" s="17"/>
      <c r="H66" s="23"/>
      <c r="I66" s="17"/>
      <c r="J66" s="17"/>
      <c r="K66" s="110"/>
      <c r="L66" s="17"/>
      <c r="M66" s="17"/>
      <c r="N66" s="17"/>
    </row>
    <row r="67" spans="1:14" hidden="1">
      <c r="A67" s="60" t="str">
        <f t="shared" si="6"/>
        <v/>
      </c>
      <c r="B67" s="60" t="str">
        <f t="shared" si="7"/>
        <v/>
      </c>
      <c r="C67" s="17"/>
      <c r="D67" s="17"/>
      <c r="E67" s="17"/>
      <c r="F67" s="17"/>
      <c r="G67" s="17"/>
      <c r="H67" s="23"/>
      <c r="I67" s="17"/>
      <c r="J67" s="17"/>
      <c r="K67" s="110"/>
      <c r="L67" s="17"/>
      <c r="M67" s="17"/>
      <c r="N67" s="17"/>
    </row>
    <row r="68" spans="1:14" hidden="1">
      <c r="A68" s="60" t="str">
        <f t="shared" si="6"/>
        <v/>
      </c>
      <c r="B68" s="60" t="str">
        <f t="shared" si="7"/>
        <v/>
      </c>
      <c r="C68" s="17"/>
      <c r="D68" s="17"/>
      <c r="E68" s="17"/>
      <c r="F68" s="17"/>
      <c r="G68" s="17"/>
      <c r="H68" s="23"/>
      <c r="I68" s="17"/>
      <c r="J68" s="17"/>
      <c r="K68" s="110"/>
      <c r="L68" s="17"/>
      <c r="M68" s="17"/>
      <c r="N68" s="17"/>
    </row>
    <row r="69" spans="1:14" hidden="1">
      <c r="A69" s="60" t="str">
        <f t="shared" si="6"/>
        <v/>
      </c>
      <c r="B69" s="60" t="str">
        <f t="shared" si="7"/>
        <v/>
      </c>
      <c r="C69" s="17"/>
      <c r="D69" s="17"/>
      <c r="E69" s="17"/>
      <c r="F69" s="17"/>
      <c r="G69" s="17"/>
      <c r="H69" s="23"/>
      <c r="I69" s="17"/>
      <c r="J69" s="17"/>
      <c r="K69" s="110"/>
      <c r="L69" s="17"/>
      <c r="M69" s="17"/>
      <c r="N69" s="17"/>
    </row>
    <row r="70" spans="1:14" hidden="1">
      <c r="A70" s="60" t="str">
        <f t="shared" si="6"/>
        <v/>
      </c>
      <c r="B70" s="60" t="str">
        <f t="shared" si="7"/>
        <v/>
      </c>
      <c r="C70" s="17"/>
      <c r="D70" s="17"/>
      <c r="E70" s="17"/>
      <c r="F70" s="17"/>
      <c r="G70" s="17"/>
      <c r="H70" s="23"/>
      <c r="I70" s="17"/>
      <c r="J70" s="17"/>
      <c r="K70" s="110"/>
      <c r="L70" s="17"/>
      <c r="M70" s="17"/>
      <c r="N70" s="17"/>
    </row>
    <row r="71" spans="1:14" hidden="1">
      <c r="A71" s="60" t="str">
        <f t="shared" si="6"/>
        <v/>
      </c>
      <c r="B71" s="60" t="str">
        <f t="shared" si="7"/>
        <v/>
      </c>
      <c r="C71" s="17"/>
      <c r="D71" s="17"/>
      <c r="E71" s="17"/>
      <c r="F71" s="17"/>
      <c r="G71" s="17"/>
      <c r="H71" s="23"/>
      <c r="I71" s="17"/>
      <c r="J71" s="17"/>
      <c r="K71" s="110"/>
      <c r="L71" s="17"/>
      <c r="M71" s="17"/>
      <c r="N71" s="17"/>
    </row>
    <row r="72" spans="1:14" hidden="1">
      <c r="A72" s="60" t="str">
        <f t="shared" si="6"/>
        <v/>
      </c>
      <c r="B72" s="60" t="str">
        <f t="shared" si="7"/>
        <v/>
      </c>
      <c r="C72" s="17"/>
      <c r="D72" s="17"/>
      <c r="E72" s="17"/>
      <c r="F72" s="17"/>
      <c r="G72" s="17"/>
      <c r="H72" s="23"/>
      <c r="I72" s="17"/>
      <c r="J72" s="17"/>
      <c r="K72" s="110"/>
      <c r="L72" s="17"/>
      <c r="M72" s="17"/>
      <c r="N72" s="17"/>
    </row>
    <row r="73" spans="1:14" hidden="1">
      <c r="A73" s="60" t="str">
        <f t="shared" si="6"/>
        <v/>
      </c>
      <c r="B73" s="60" t="str">
        <f t="shared" si="7"/>
        <v/>
      </c>
      <c r="C73" s="17"/>
      <c r="D73" s="17"/>
      <c r="E73" s="17"/>
      <c r="F73" s="17"/>
      <c r="G73" s="17"/>
      <c r="H73" s="23"/>
      <c r="I73" s="17"/>
      <c r="J73" s="17"/>
      <c r="K73" s="110"/>
      <c r="L73" s="17"/>
      <c r="M73" s="17"/>
      <c r="N73" s="17"/>
    </row>
    <row r="74" spans="1:14" hidden="1">
      <c r="A74" s="60" t="str">
        <f t="shared" si="6"/>
        <v/>
      </c>
      <c r="B74" s="60" t="str">
        <f t="shared" si="7"/>
        <v/>
      </c>
      <c r="C74" s="17"/>
      <c r="D74" s="17"/>
      <c r="E74" s="17"/>
      <c r="F74" s="17"/>
      <c r="G74" s="17"/>
      <c r="H74" s="23"/>
      <c r="I74" s="17"/>
      <c r="J74" s="17"/>
      <c r="K74" s="110"/>
      <c r="L74" s="17"/>
      <c r="M74" s="17"/>
      <c r="N74" s="17"/>
    </row>
    <row r="75" spans="1:14" hidden="1">
      <c r="A75" s="60" t="str">
        <f t="shared" si="6"/>
        <v/>
      </c>
      <c r="B75" s="60" t="str">
        <f t="shared" si="7"/>
        <v/>
      </c>
      <c r="C75" s="17"/>
      <c r="D75" s="17"/>
      <c r="E75" s="17"/>
      <c r="F75" s="17"/>
      <c r="G75" s="17"/>
      <c r="H75" s="23"/>
      <c r="I75" s="17"/>
      <c r="J75" s="17"/>
      <c r="K75" s="110"/>
      <c r="L75" s="17"/>
      <c r="M75" s="17"/>
      <c r="N75" s="17"/>
    </row>
    <row r="76" spans="1:14" hidden="1">
      <c r="A76" s="60" t="str">
        <f t="shared" si="6"/>
        <v/>
      </c>
      <c r="B76" s="60" t="str">
        <f t="shared" si="7"/>
        <v/>
      </c>
      <c r="C76" s="17"/>
      <c r="D76" s="17"/>
      <c r="E76" s="17"/>
      <c r="F76" s="17"/>
      <c r="G76" s="17"/>
      <c r="H76" s="23"/>
      <c r="I76" s="17"/>
      <c r="J76" s="17"/>
      <c r="K76" s="110"/>
      <c r="L76" s="17"/>
      <c r="M76" s="17"/>
      <c r="N76" s="17"/>
    </row>
    <row r="77" spans="1:14" hidden="1">
      <c r="A77" s="60" t="str">
        <f t="shared" si="6"/>
        <v/>
      </c>
      <c r="B77" s="60" t="str">
        <f t="shared" si="7"/>
        <v/>
      </c>
      <c r="C77" s="17"/>
      <c r="D77" s="17"/>
      <c r="E77" s="17"/>
      <c r="F77" s="17"/>
      <c r="G77" s="17"/>
      <c r="H77" s="23"/>
      <c r="I77" s="17"/>
      <c r="J77" s="17"/>
      <c r="K77" s="110"/>
      <c r="L77" s="17"/>
      <c r="M77" s="17"/>
      <c r="N77" s="17"/>
    </row>
    <row r="78" spans="1:14" hidden="1">
      <c r="A78" s="60" t="str">
        <f t="shared" si="6"/>
        <v/>
      </c>
      <c r="B78" s="60" t="str">
        <f t="shared" si="7"/>
        <v/>
      </c>
      <c r="C78" s="17"/>
      <c r="D78" s="17"/>
      <c r="E78" s="17"/>
      <c r="F78" s="17"/>
      <c r="G78" s="17"/>
      <c r="H78" s="23"/>
      <c r="I78" s="17"/>
      <c r="J78" s="17"/>
      <c r="K78" s="110"/>
      <c r="L78" s="17"/>
      <c r="M78" s="17"/>
      <c r="N78" s="17"/>
    </row>
    <row r="79" spans="1:14" hidden="1">
      <c r="A79" s="60" t="str">
        <f t="shared" si="6"/>
        <v/>
      </c>
      <c r="B79" s="60" t="str">
        <f t="shared" si="7"/>
        <v/>
      </c>
      <c r="C79" s="17"/>
      <c r="D79" s="17"/>
      <c r="E79" s="17"/>
      <c r="F79" s="17"/>
      <c r="G79" s="17"/>
      <c r="H79" s="23"/>
      <c r="I79" s="17"/>
      <c r="J79" s="17"/>
      <c r="K79" s="110"/>
      <c r="L79" s="17"/>
      <c r="M79" s="17"/>
      <c r="N79" s="17"/>
    </row>
    <row r="80" spans="1:14" hidden="1">
      <c r="A80" s="60" t="str">
        <f t="shared" si="6"/>
        <v/>
      </c>
      <c r="B80" s="60" t="str">
        <f t="shared" si="7"/>
        <v/>
      </c>
      <c r="C80" s="17"/>
      <c r="D80" s="17"/>
      <c r="E80" s="17"/>
      <c r="F80" s="17"/>
      <c r="G80" s="17"/>
      <c r="H80" s="23"/>
      <c r="I80" s="17"/>
      <c r="J80" s="17"/>
      <c r="K80" s="110"/>
      <c r="L80" s="17"/>
      <c r="M80" s="17"/>
      <c r="N80" s="17"/>
    </row>
    <row r="81" spans="1:14" hidden="1">
      <c r="A81" s="60" t="str">
        <f t="shared" si="6"/>
        <v/>
      </c>
      <c r="B81" s="60" t="str">
        <f t="shared" si="7"/>
        <v/>
      </c>
      <c r="C81" s="17"/>
      <c r="D81" s="17"/>
      <c r="E81" s="17"/>
      <c r="F81" s="17"/>
      <c r="G81" s="17"/>
      <c r="H81" s="23"/>
      <c r="I81" s="17"/>
      <c r="J81" s="17"/>
      <c r="K81" s="110"/>
      <c r="L81" s="17"/>
      <c r="M81" s="17"/>
      <c r="N81" s="17"/>
    </row>
    <row r="82" spans="1:14" hidden="1">
      <c r="A82" s="60" t="str">
        <f t="shared" si="6"/>
        <v/>
      </c>
      <c r="B82" s="60" t="str">
        <f t="shared" si="7"/>
        <v/>
      </c>
      <c r="C82" s="17"/>
      <c r="D82" s="17"/>
      <c r="E82" s="17"/>
      <c r="F82" s="17"/>
      <c r="G82" s="17"/>
      <c r="H82" s="23"/>
      <c r="I82" s="17"/>
      <c r="J82" s="17"/>
      <c r="K82" s="110"/>
      <c r="L82" s="17"/>
      <c r="M82" s="17"/>
      <c r="N82" s="17"/>
    </row>
    <row r="83" spans="1:14" hidden="1">
      <c r="A83" s="60" t="str">
        <f t="shared" si="6"/>
        <v/>
      </c>
      <c r="B83" s="60" t="str">
        <f t="shared" si="7"/>
        <v/>
      </c>
      <c r="C83" s="17"/>
      <c r="D83" s="17"/>
      <c r="E83" s="17"/>
      <c r="F83" s="17"/>
      <c r="G83" s="17"/>
      <c r="H83" s="23"/>
      <c r="I83" s="17"/>
      <c r="J83" s="17"/>
      <c r="K83" s="110"/>
      <c r="L83" s="17"/>
      <c r="M83" s="17"/>
      <c r="N83" s="17"/>
    </row>
    <row r="84" spans="1:14" hidden="1">
      <c r="A84" s="60" t="str">
        <f t="shared" si="6"/>
        <v/>
      </c>
      <c r="B84" s="60" t="str">
        <f t="shared" si="7"/>
        <v/>
      </c>
      <c r="C84" s="17"/>
      <c r="D84" s="17"/>
      <c r="E84" s="17"/>
      <c r="F84" s="17"/>
      <c r="G84" s="17"/>
      <c r="H84" s="23"/>
      <c r="I84" s="17"/>
      <c r="J84" s="17"/>
      <c r="K84" s="110"/>
      <c r="L84" s="17"/>
      <c r="M84" s="17"/>
      <c r="N84" s="17"/>
    </row>
    <row r="85" spans="1:14" hidden="1">
      <c r="A85" s="60" t="str">
        <f t="shared" si="6"/>
        <v/>
      </c>
      <c r="B85" s="60" t="str">
        <f t="shared" si="7"/>
        <v/>
      </c>
      <c r="C85" s="17"/>
      <c r="D85" s="17"/>
      <c r="E85" s="17"/>
      <c r="F85" s="17"/>
      <c r="G85" s="17"/>
      <c r="H85" s="23"/>
      <c r="I85" s="17"/>
      <c r="J85" s="17"/>
      <c r="K85" s="110"/>
      <c r="L85" s="17"/>
      <c r="M85" s="17"/>
      <c r="N85" s="17"/>
    </row>
    <row r="86" spans="1:14" hidden="1">
      <c r="A86" s="60" t="str">
        <f t="shared" si="6"/>
        <v/>
      </c>
      <c r="B86" s="60" t="str">
        <f t="shared" si="7"/>
        <v/>
      </c>
      <c r="C86" s="17"/>
      <c r="D86" s="17"/>
      <c r="E86" s="17"/>
      <c r="F86" s="17"/>
      <c r="G86" s="17"/>
      <c r="H86" s="23"/>
      <c r="I86" s="17"/>
      <c r="J86" s="17"/>
      <c r="K86" s="110"/>
      <c r="L86" s="17"/>
      <c r="M86" s="17"/>
      <c r="N86" s="17"/>
    </row>
    <row r="87" spans="1:14" hidden="1">
      <c r="A87" s="60" t="str">
        <f t="shared" si="6"/>
        <v/>
      </c>
      <c r="B87" s="60" t="str">
        <f t="shared" si="7"/>
        <v/>
      </c>
      <c r="C87" s="17"/>
      <c r="D87" s="17"/>
      <c r="E87" s="17"/>
      <c r="F87" s="17"/>
      <c r="G87" s="17"/>
      <c r="H87" s="23"/>
      <c r="I87" s="17"/>
      <c r="J87" s="17"/>
      <c r="K87" s="110"/>
      <c r="L87" s="17"/>
      <c r="M87" s="17"/>
      <c r="N87" s="17"/>
    </row>
    <row r="88" spans="1:14" hidden="1">
      <c r="A88" s="60" t="str">
        <f t="shared" si="6"/>
        <v/>
      </c>
      <c r="B88" s="60" t="str">
        <f t="shared" si="7"/>
        <v/>
      </c>
      <c r="C88" s="17"/>
      <c r="D88" s="17"/>
      <c r="E88" s="17"/>
      <c r="F88" s="17"/>
      <c r="G88" s="17"/>
      <c r="H88" s="23"/>
      <c r="I88" s="17"/>
      <c r="J88" s="17"/>
      <c r="K88" s="110"/>
      <c r="L88" s="17"/>
      <c r="M88" s="17"/>
      <c r="N88" s="17"/>
    </row>
    <row r="89" spans="1:14" hidden="1">
      <c r="A89" s="60" t="str">
        <f t="shared" si="6"/>
        <v/>
      </c>
      <c r="B89" s="60" t="str">
        <f t="shared" si="7"/>
        <v/>
      </c>
      <c r="C89" s="17"/>
      <c r="D89" s="17"/>
      <c r="E89" s="17"/>
      <c r="F89" s="17"/>
      <c r="G89" s="17"/>
      <c r="H89" s="23"/>
      <c r="I89" s="17"/>
      <c r="J89" s="17"/>
      <c r="K89" s="110"/>
      <c r="L89" s="17"/>
      <c r="M89" s="17"/>
      <c r="N89" s="17"/>
    </row>
    <row r="90" spans="1:14" hidden="1">
      <c r="A90" s="60" t="str">
        <f t="shared" si="6"/>
        <v/>
      </c>
      <c r="B90" s="60" t="str">
        <f t="shared" si="7"/>
        <v/>
      </c>
      <c r="C90" s="17"/>
      <c r="D90" s="17"/>
      <c r="E90" s="17"/>
      <c r="F90" s="17"/>
      <c r="G90" s="17"/>
      <c r="H90" s="23"/>
      <c r="I90" s="17"/>
      <c r="J90" s="17"/>
      <c r="K90" s="110"/>
      <c r="L90" s="17"/>
      <c r="M90" s="17"/>
      <c r="N90" s="17"/>
    </row>
    <row r="91" spans="1:14" hidden="1">
      <c r="A91" s="60" t="str">
        <f t="shared" si="6"/>
        <v/>
      </c>
      <c r="B91" s="60" t="str">
        <f t="shared" si="7"/>
        <v/>
      </c>
      <c r="C91" s="17"/>
      <c r="D91" s="17"/>
      <c r="E91" s="17"/>
      <c r="F91" s="17"/>
      <c r="G91" s="17"/>
      <c r="H91" s="23"/>
      <c r="I91" s="17"/>
      <c r="J91" s="17"/>
      <c r="K91" s="110"/>
      <c r="L91" s="17"/>
      <c r="M91" s="17"/>
      <c r="N91" s="17"/>
    </row>
    <row r="92" spans="1:14" hidden="1">
      <c r="A92" s="60" t="str">
        <f t="shared" si="6"/>
        <v/>
      </c>
      <c r="B92" s="60" t="str">
        <f t="shared" si="7"/>
        <v/>
      </c>
      <c r="C92" s="17"/>
      <c r="D92" s="17"/>
      <c r="E92" s="17"/>
      <c r="F92" s="17"/>
      <c r="G92" s="17"/>
      <c r="H92" s="23"/>
      <c r="I92" s="17"/>
      <c r="J92" s="17"/>
      <c r="K92" s="110"/>
      <c r="L92" s="17"/>
      <c r="M92" s="17"/>
      <c r="N92" s="17"/>
    </row>
    <row r="93" spans="1:14" hidden="1">
      <c r="A93" s="60" t="str">
        <f t="shared" si="6"/>
        <v/>
      </c>
      <c r="B93" s="60" t="str">
        <f t="shared" si="7"/>
        <v/>
      </c>
      <c r="C93" s="17"/>
      <c r="D93" s="17"/>
      <c r="E93" s="17"/>
      <c r="F93" s="17"/>
      <c r="G93" s="17"/>
      <c r="H93" s="23"/>
      <c r="I93" s="17"/>
      <c r="J93" s="17"/>
      <c r="K93" s="110"/>
      <c r="L93" s="17"/>
      <c r="M93" s="17"/>
      <c r="N93" s="17"/>
    </row>
    <row r="94" spans="1:14" hidden="1">
      <c r="A94" s="60" t="str">
        <f t="shared" si="6"/>
        <v/>
      </c>
      <c r="B94" s="60" t="str">
        <f t="shared" si="7"/>
        <v/>
      </c>
      <c r="C94" s="17"/>
      <c r="D94" s="17"/>
      <c r="E94" s="17"/>
      <c r="F94" s="17"/>
      <c r="G94" s="17"/>
      <c r="H94" s="23"/>
      <c r="I94" s="17"/>
      <c r="J94" s="17"/>
      <c r="K94" s="110"/>
      <c r="L94" s="17"/>
      <c r="M94" s="17"/>
      <c r="N94" s="17"/>
    </row>
    <row r="95" spans="1:14" hidden="1">
      <c r="A95" s="60" t="str">
        <f t="shared" si="6"/>
        <v/>
      </c>
      <c r="B95" s="60" t="str">
        <f t="shared" si="7"/>
        <v/>
      </c>
      <c r="C95" s="17"/>
      <c r="D95" s="17"/>
      <c r="E95" s="17"/>
      <c r="F95" s="17"/>
      <c r="G95" s="17"/>
      <c r="H95" s="23"/>
      <c r="I95" s="17"/>
      <c r="J95" s="17"/>
      <c r="K95" s="110"/>
      <c r="L95" s="17"/>
      <c r="M95" s="17"/>
      <c r="N95" s="17"/>
    </row>
    <row r="96" spans="1:14" hidden="1">
      <c r="A96" s="60" t="str">
        <f t="shared" si="6"/>
        <v/>
      </c>
      <c r="B96" s="60" t="str">
        <f t="shared" si="7"/>
        <v/>
      </c>
      <c r="C96" s="17"/>
      <c r="D96" s="17"/>
      <c r="E96" s="17"/>
      <c r="F96" s="17"/>
      <c r="G96" s="17"/>
      <c r="H96" s="23"/>
      <c r="I96" s="17"/>
      <c r="J96" s="17"/>
      <c r="K96" s="110"/>
      <c r="L96" s="17"/>
      <c r="M96" s="17"/>
      <c r="N96" s="17"/>
    </row>
    <row r="97" spans="1:14" hidden="1">
      <c r="A97" s="60" t="str">
        <f t="shared" si="6"/>
        <v/>
      </c>
      <c r="B97" s="60" t="str">
        <f t="shared" si="7"/>
        <v/>
      </c>
      <c r="C97" s="17"/>
      <c r="D97" s="17"/>
      <c r="E97" s="17"/>
      <c r="F97" s="17"/>
      <c r="G97" s="17"/>
      <c r="H97" s="23"/>
      <c r="I97" s="17"/>
      <c r="J97" s="17"/>
      <c r="K97" s="110"/>
      <c r="L97" s="17"/>
      <c r="M97" s="17"/>
      <c r="N97" s="17"/>
    </row>
    <row r="98" spans="1:14" hidden="1">
      <c r="A98" s="60" t="str">
        <f t="shared" si="6"/>
        <v/>
      </c>
      <c r="B98" s="60" t="str">
        <f t="shared" si="7"/>
        <v/>
      </c>
      <c r="C98" s="17"/>
      <c r="D98" s="17"/>
      <c r="E98" s="17"/>
      <c r="F98" s="17"/>
      <c r="G98" s="17"/>
      <c r="H98" s="23"/>
      <c r="I98" s="17"/>
      <c r="J98" s="17"/>
      <c r="K98" s="110"/>
      <c r="L98" s="17"/>
      <c r="M98" s="17"/>
      <c r="N98" s="17"/>
    </row>
    <row r="99" spans="1:14" hidden="1">
      <c r="A99" s="60" t="str">
        <f t="shared" si="6"/>
        <v/>
      </c>
      <c r="B99" s="60" t="str">
        <f t="shared" si="7"/>
        <v/>
      </c>
      <c r="C99" s="17"/>
      <c r="D99" s="17"/>
      <c r="E99" s="17"/>
      <c r="F99" s="17"/>
      <c r="G99" s="17"/>
      <c r="H99" s="23"/>
      <c r="I99" s="17"/>
      <c r="J99" s="17"/>
      <c r="K99" s="110"/>
      <c r="L99" s="17"/>
      <c r="M99" s="17"/>
      <c r="N99" s="17"/>
    </row>
    <row r="100" spans="1:14" hidden="1">
      <c r="A100" s="60" t="str">
        <f t="shared" si="6"/>
        <v/>
      </c>
      <c r="B100" s="60" t="str">
        <f t="shared" si="7"/>
        <v/>
      </c>
      <c r="C100" s="17"/>
      <c r="D100" s="17"/>
      <c r="E100" s="17"/>
      <c r="F100" s="17"/>
      <c r="G100" s="17"/>
      <c r="H100" s="23"/>
      <c r="I100" s="17"/>
      <c r="J100" s="17"/>
      <c r="K100" s="110"/>
      <c r="L100" s="17"/>
      <c r="M100" s="17"/>
      <c r="N100" s="17"/>
    </row>
    <row r="101" spans="1:14" hidden="1">
      <c r="A101" s="60" t="str">
        <f t="shared" si="6"/>
        <v/>
      </c>
      <c r="B101" s="60" t="str">
        <f t="shared" si="7"/>
        <v/>
      </c>
      <c r="C101" s="17"/>
      <c r="D101" s="17"/>
      <c r="E101" s="17"/>
      <c r="F101" s="17"/>
      <c r="G101" s="17"/>
      <c r="H101" s="23"/>
      <c r="I101" s="17"/>
      <c r="J101" s="17"/>
      <c r="K101" s="110"/>
      <c r="L101" s="17"/>
      <c r="M101" s="17"/>
      <c r="N101" s="17"/>
    </row>
    <row r="102" spans="1:14" hidden="1">
      <c r="A102" s="60" t="str">
        <f t="shared" si="6"/>
        <v/>
      </c>
      <c r="B102" s="60" t="str">
        <f t="shared" si="7"/>
        <v/>
      </c>
      <c r="C102" s="17"/>
      <c r="D102" s="17"/>
      <c r="E102" s="17"/>
      <c r="F102" s="17"/>
      <c r="G102" s="17"/>
      <c r="H102" s="23"/>
      <c r="I102" s="17"/>
      <c r="J102" s="17"/>
      <c r="K102" s="110"/>
      <c r="L102" s="17"/>
      <c r="M102" s="17"/>
      <c r="N102" s="17"/>
    </row>
    <row r="103" spans="1:14" hidden="1">
      <c r="A103" s="60" t="str">
        <f t="shared" si="6"/>
        <v/>
      </c>
      <c r="B103" s="60" t="str">
        <f t="shared" si="7"/>
        <v/>
      </c>
      <c r="C103" s="17"/>
      <c r="D103" s="17"/>
      <c r="E103" s="17"/>
      <c r="F103" s="17"/>
      <c r="G103" s="17"/>
      <c r="H103" s="23"/>
      <c r="I103" s="17"/>
      <c r="J103" s="17"/>
      <c r="K103" s="110"/>
      <c r="L103" s="17"/>
      <c r="M103" s="17"/>
      <c r="N103" s="17"/>
    </row>
    <row r="104" spans="1:14" hidden="1">
      <c r="A104" s="60" t="str">
        <f t="shared" si="6"/>
        <v/>
      </c>
      <c r="B104" s="60" t="str">
        <f t="shared" si="7"/>
        <v/>
      </c>
      <c r="C104" s="17"/>
      <c r="D104" s="17"/>
      <c r="E104" s="17"/>
      <c r="F104" s="17"/>
      <c r="G104" s="17"/>
      <c r="H104" s="23"/>
      <c r="I104" s="17"/>
      <c r="J104" s="17"/>
      <c r="K104" s="110"/>
      <c r="L104" s="17"/>
      <c r="M104" s="17"/>
      <c r="N104" s="17"/>
    </row>
    <row r="105" spans="1:14" hidden="1">
      <c r="A105" s="60" t="str">
        <f t="shared" si="6"/>
        <v/>
      </c>
      <c r="B105" s="60" t="str">
        <f t="shared" si="7"/>
        <v/>
      </c>
      <c r="C105" s="17"/>
      <c r="D105" s="17"/>
      <c r="E105" s="17"/>
      <c r="F105" s="17"/>
      <c r="G105" s="17"/>
      <c r="H105" s="23"/>
      <c r="I105" s="17"/>
      <c r="J105" s="17"/>
      <c r="K105" s="110"/>
      <c r="L105" s="17"/>
      <c r="M105" s="17"/>
      <c r="N105" s="17"/>
    </row>
    <row r="106" spans="1:14" hidden="1">
      <c r="A106" s="60" t="str">
        <f t="shared" si="6"/>
        <v/>
      </c>
      <c r="B106" s="60" t="str">
        <f t="shared" si="7"/>
        <v/>
      </c>
      <c r="C106" s="17"/>
      <c r="D106" s="17"/>
      <c r="E106" s="17"/>
      <c r="F106" s="17"/>
      <c r="G106" s="17"/>
      <c r="H106" s="23"/>
      <c r="I106" s="17"/>
      <c r="J106" s="17"/>
      <c r="K106" s="110"/>
      <c r="L106" s="17"/>
      <c r="M106" s="17"/>
      <c r="N106" s="17"/>
    </row>
    <row r="107" spans="1:14" hidden="1">
      <c r="A107" s="60" t="str">
        <f t="shared" si="6"/>
        <v/>
      </c>
      <c r="B107" s="60" t="str">
        <f t="shared" si="7"/>
        <v/>
      </c>
      <c r="C107" s="17"/>
      <c r="D107" s="17"/>
      <c r="E107" s="17"/>
      <c r="F107" s="17"/>
      <c r="G107" s="17"/>
      <c r="H107" s="23"/>
      <c r="I107" s="17"/>
      <c r="J107" s="17"/>
      <c r="K107" s="110"/>
      <c r="L107" s="17"/>
      <c r="M107" s="17"/>
      <c r="N107" s="17"/>
    </row>
    <row r="108" spans="1:14" hidden="1">
      <c r="A108" s="60" t="str">
        <f t="shared" si="6"/>
        <v/>
      </c>
      <c r="B108" s="60" t="str">
        <f t="shared" si="7"/>
        <v/>
      </c>
      <c r="C108" s="17"/>
      <c r="D108" s="17"/>
      <c r="E108" s="17"/>
      <c r="F108" s="17"/>
      <c r="G108" s="17"/>
      <c r="H108" s="23"/>
      <c r="I108" s="17"/>
      <c r="J108" s="17"/>
      <c r="K108" s="110"/>
      <c r="L108" s="17"/>
      <c r="M108" s="17"/>
      <c r="N108" s="17"/>
    </row>
    <row r="109" spans="1:14" hidden="1">
      <c r="A109" s="60" t="str">
        <f t="shared" si="6"/>
        <v/>
      </c>
      <c r="B109" s="60" t="str">
        <f t="shared" si="7"/>
        <v/>
      </c>
      <c r="C109" s="17"/>
      <c r="D109" s="17"/>
      <c r="E109" s="17"/>
      <c r="F109" s="17"/>
      <c r="G109" s="17"/>
      <c r="H109" s="23"/>
      <c r="I109" s="17"/>
      <c r="J109" s="17"/>
      <c r="K109" s="110"/>
      <c r="L109" s="17"/>
      <c r="M109" s="17"/>
      <c r="N109" s="17"/>
    </row>
    <row r="110" spans="1:14" hidden="1">
      <c r="A110" s="60" t="str">
        <f t="shared" si="6"/>
        <v/>
      </c>
      <c r="B110" s="60" t="str">
        <f t="shared" si="7"/>
        <v/>
      </c>
      <c r="C110" s="17"/>
      <c r="D110" s="17"/>
      <c r="E110" s="17"/>
      <c r="F110" s="17"/>
      <c r="G110" s="17"/>
      <c r="H110" s="23"/>
      <c r="I110" s="17"/>
      <c r="J110" s="17"/>
      <c r="K110" s="110"/>
      <c r="L110" s="17"/>
      <c r="M110" s="17"/>
      <c r="N110" s="17"/>
    </row>
    <row r="111" spans="1:14" hidden="1">
      <c r="A111" s="60" t="str">
        <f t="shared" si="6"/>
        <v/>
      </c>
      <c r="B111" s="60" t="str">
        <f t="shared" si="7"/>
        <v/>
      </c>
      <c r="C111" s="17"/>
      <c r="D111" s="17"/>
      <c r="E111" s="17"/>
      <c r="F111" s="17"/>
      <c r="G111" s="17"/>
      <c r="H111" s="23"/>
      <c r="I111" s="17"/>
      <c r="J111" s="17"/>
      <c r="K111" s="110"/>
      <c r="L111" s="17"/>
      <c r="M111" s="17"/>
      <c r="N111" s="17"/>
    </row>
    <row r="112" spans="1:14" hidden="1">
      <c r="A112" s="60" t="str">
        <f t="shared" si="6"/>
        <v/>
      </c>
      <c r="B112" s="60" t="str">
        <f t="shared" si="7"/>
        <v/>
      </c>
      <c r="C112" s="17"/>
      <c r="D112" s="17"/>
      <c r="E112" s="17"/>
      <c r="F112" s="17"/>
      <c r="G112" s="17"/>
      <c r="H112" s="23"/>
      <c r="I112" s="17"/>
      <c r="J112" s="17"/>
      <c r="K112" s="110"/>
      <c r="L112" s="17"/>
      <c r="M112" s="17"/>
      <c r="N112" s="17"/>
    </row>
    <row r="113" spans="1:14" hidden="1">
      <c r="A113" s="60" t="str">
        <f t="shared" si="6"/>
        <v/>
      </c>
      <c r="B113" s="60" t="str">
        <f t="shared" si="7"/>
        <v/>
      </c>
      <c r="C113" s="17"/>
      <c r="D113" s="17"/>
      <c r="E113" s="17"/>
      <c r="F113" s="17"/>
      <c r="G113" s="17"/>
      <c r="H113" s="23"/>
      <c r="I113" s="17"/>
      <c r="J113" s="17"/>
      <c r="K113" s="110"/>
      <c r="L113" s="17"/>
      <c r="M113" s="17"/>
      <c r="N113" s="17"/>
    </row>
    <row r="114" spans="1:14" hidden="1">
      <c r="A114" s="60" t="str">
        <f t="shared" si="6"/>
        <v/>
      </c>
      <c r="B114" s="60" t="str">
        <f t="shared" si="7"/>
        <v/>
      </c>
      <c r="C114" s="17"/>
      <c r="D114" s="17"/>
      <c r="E114" s="17"/>
      <c r="F114" s="17"/>
      <c r="G114" s="17"/>
      <c r="H114" s="23"/>
      <c r="I114" s="17"/>
      <c r="J114" s="17"/>
      <c r="K114" s="110"/>
      <c r="L114" s="17"/>
      <c r="M114" s="17"/>
      <c r="N114" s="17"/>
    </row>
    <row r="115" spans="1:14" hidden="1">
      <c r="A115" s="60" t="str">
        <f t="shared" si="6"/>
        <v/>
      </c>
      <c r="B115" s="60" t="str">
        <f t="shared" si="7"/>
        <v/>
      </c>
      <c r="C115" s="17"/>
      <c r="D115" s="17"/>
      <c r="E115" s="17"/>
      <c r="F115" s="17"/>
      <c r="G115" s="17"/>
      <c r="H115" s="23"/>
      <c r="I115" s="17"/>
      <c r="J115" s="17"/>
      <c r="K115" s="110"/>
      <c r="L115" s="17"/>
      <c r="M115" s="17"/>
      <c r="N115" s="17"/>
    </row>
    <row r="116" spans="1:14" hidden="1">
      <c r="A116" s="60" t="str">
        <f t="shared" si="6"/>
        <v/>
      </c>
      <c r="B116" s="60" t="str">
        <f t="shared" si="7"/>
        <v/>
      </c>
      <c r="C116" s="17"/>
      <c r="D116" s="17"/>
      <c r="E116" s="17"/>
      <c r="F116" s="17"/>
      <c r="G116" s="17"/>
      <c r="H116" s="23"/>
      <c r="I116" s="17"/>
      <c r="J116" s="17"/>
      <c r="K116" s="110"/>
      <c r="L116" s="17"/>
      <c r="M116" s="17"/>
      <c r="N116" s="17"/>
    </row>
    <row r="117" spans="1:14" hidden="1">
      <c r="A117" s="60" t="str">
        <f t="shared" si="6"/>
        <v/>
      </c>
      <c r="B117" s="60" t="str">
        <f t="shared" si="7"/>
        <v/>
      </c>
      <c r="C117" s="17"/>
      <c r="D117" s="17"/>
      <c r="E117" s="17"/>
      <c r="F117" s="17"/>
      <c r="G117" s="17"/>
      <c r="H117" s="23"/>
      <c r="I117" s="17"/>
      <c r="J117" s="17"/>
      <c r="K117" s="110"/>
      <c r="L117" s="17"/>
      <c r="M117" s="17"/>
      <c r="N117" s="17"/>
    </row>
    <row r="118" spans="1:14" hidden="1">
      <c r="A118" s="60" t="str">
        <f t="shared" si="6"/>
        <v/>
      </c>
      <c r="B118" s="60" t="str">
        <f t="shared" si="7"/>
        <v/>
      </c>
      <c r="C118" s="17"/>
      <c r="D118" s="17"/>
      <c r="E118" s="17"/>
      <c r="F118" s="17"/>
      <c r="G118" s="17"/>
      <c r="H118" s="23"/>
      <c r="I118" s="17"/>
      <c r="J118" s="17"/>
      <c r="K118" s="110"/>
      <c r="L118" s="17"/>
      <c r="M118" s="17"/>
      <c r="N118" s="17"/>
    </row>
    <row r="119" spans="1:14" hidden="1">
      <c r="A119" s="60" t="str">
        <f t="shared" si="6"/>
        <v/>
      </c>
      <c r="B119" s="60" t="str">
        <f t="shared" si="7"/>
        <v/>
      </c>
      <c r="C119" s="17"/>
      <c r="D119" s="17"/>
      <c r="E119" s="17"/>
      <c r="F119" s="17"/>
      <c r="G119" s="17"/>
      <c r="H119" s="23"/>
      <c r="I119" s="17"/>
      <c r="J119" s="17"/>
      <c r="K119" s="110"/>
      <c r="L119" s="17"/>
      <c r="M119" s="17"/>
      <c r="N119" s="17"/>
    </row>
    <row r="120" spans="1:14" hidden="1">
      <c r="A120" s="60" t="str">
        <f t="shared" si="6"/>
        <v/>
      </c>
      <c r="B120" s="60" t="str">
        <f t="shared" si="7"/>
        <v/>
      </c>
      <c r="C120" s="17"/>
      <c r="D120" s="17"/>
      <c r="E120" s="17"/>
      <c r="F120" s="17"/>
      <c r="G120" s="17"/>
      <c r="H120" s="23"/>
      <c r="I120" s="17"/>
      <c r="J120" s="17"/>
      <c r="K120" s="110"/>
      <c r="L120" s="17"/>
      <c r="M120" s="17"/>
      <c r="N120" s="17"/>
    </row>
    <row r="121" spans="1:14" hidden="1">
      <c r="A121" s="60" t="str">
        <f t="shared" si="6"/>
        <v/>
      </c>
      <c r="B121" s="60" t="str">
        <f t="shared" si="7"/>
        <v/>
      </c>
      <c r="C121" s="17"/>
      <c r="D121" s="17"/>
      <c r="E121" s="17"/>
      <c r="F121" s="17"/>
      <c r="G121" s="17"/>
      <c r="H121" s="23"/>
      <c r="I121" s="17"/>
      <c r="J121" s="17"/>
      <c r="K121" s="110"/>
      <c r="L121" s="17"/>
      <c r="M121" s="17"/>
      <c r="N121" s="17"/>
    </row>
    <row r="122" spans="1:14" hidden="1">
      <c r="A122" s="60" t="str">
        <f t="shared" si="6"/>
        <v/>
      </c>
      <c r="B122" s="60" t="str">
        <f t="shared" si="7"/>
        <v/>
      </c>
      <c r="C122" s="17"/>
      <c r="D122" s="17"/>
      <c r="E122" s="17"/>
      <c r="F122" s="17"/>
      <c r="G122" s="17"/>
      <c r="H122" s="23"/>
      <c r="I122" s="17"/>
      <c r="J122" s="17"/>
      <c r="K122" s="110"/>
      <c r="L122" s="17"/>
      <c r="M122" s="17"/>
      <c r="N122" s="17"/>
    </row>
    <row r="123" spans="1:14" hidden="1">
      <c r="A123" s="60" t="str">
        <f t="shared" si="6"/>
        <v/>
      </c>
      <c r="B123" s="60" t="str">
        <f t="shared" si="7"/>
        <v/>
      </c>
      <c r="C123" s="17"/>
      <c r="D123" s="17"/>
      <c r="E123" s="17"/>
      <c r="F123" s="17"/>
      <c r="G123" s="17"/>
      <c r="H123" s="23"/>
      <c r="I123" s="17"/>
      <c r="J123" s="17"/>
      <c r="K123" s="110"/>
      <c r="L123" s="17"/>
      <c r="M123" s="17"/>
      <c r="N123" s="17"/>
    </row>
    <row r="124" spans="1:14" hidden="1">
      <c r="A124" s="60" t="str">
        <f t="shared" si="6"/>
        <v/>
      </c>
      <c r="B124" s="60" t="str">
        <f t="shared" si="7"/>
        <v/>
      </c>
      <c r="C124" s="17"/>
      <c r="D124" s="17"/>
      <c r="E124" s="17"/>
      <c r="F124" s="17"/>
      <c r="G124" s="17"/>
      <c r="H124" s="23"/>
      <c r="I124" s="17"/>
      <c r="J124" s="17"/>
      <c r="K124" s="110"/>
      <c r="L124" s="17"/>
      <c r="M124" s="17"/>
      <c r="N124" s="17"/>
    </row>
    <row r="125" spans="1:14" hidden="1">
      <c r="A125" s="60" t="str">
        <f t="shared" si="6"/>
        <v/>
      </c>
      <c r="B125" s="60" t="str">
        <f t="shared" si="7"/>
        <v/>
      </c>
      <c r="C125" s="17"/>
      <c r="D125" s="17"/>
      <c r="E125" s="17"/>
      <c r="F125" s="17"/>
      <c r="G125" s="17"/>
      <c r="H125" s="23"/>
      <c r="I125" s="17"/>
      <c r="J125" s="17"/>
      <c r="K125" s="110"/>
      <c r="L125" s="17"/>
      <c r="M125" s="17"/>
      <c r="N125" s="17"/>
    </row>
    <row r="126" spans="1:14" hidden="1">
      <c r="A126" s="60" t="str">
        <f t="shared" si="6"/>
        <v/>
      </c>
      <c r="B126" s="60" t="str">
        <f t="shared" si="7"/>
        <v/>
      </c>
      <c r="C126" s="17"/>
      <c r="D126" s="17"/>
      <c r="E126" s="17"/>
      <c r="F126" s="17"/>
      <c r="G126" s="17"/>
      <c r="H126" s="23"/>
      <c r="I126" s="17"/>
      <c r="J126" s="17"/>
      <c r="K126" s="110"/>
      <c r="L126" s="17"/>
      <c r="M126" s="17"/>
      <c r="N126" s="17"/>
    </row>
    <row r="127" spans="1:14" hidden="1">
      <c r="A127" s="60" t="str">
        <f t="shared" ref="A127:A190" si="8">+C127&amp;G127&amp;H127&amp;D127</f>
        <v/>
      </c>
      <c r="B127" s="60" t="str">
        <f t="shared" ref="B127:B190" si="9">+C127&amp;G127&amp;H127&amp;D127&amp;K127</f>
        <v/>
      </c>
      <c r="C127" s="17"/>
      <c r="D127" s="17"/>
      <c r="E127" s="17"/>
      <c r="F127" s="17"/>
      <c r="G127" s="17"/>
      <c r="H127" s="23"/>
      <c r="I127" s="17"/>
      <c r="J127" s="17"/>
      <c r="K127" s="110"/>
      <c r="L127" s="17"/>
      <c r="M127" s="17"/>
      <c r="N127" s="17"/>
    </row>
    <row r="128" spans="1:14" hidden="1">
      <c r="A128" s="60" t="str">
        <f t="shared" si="8"/>
        <v/>
      </c>
      <c r="B128" s="60" t="str">
        <f t="shared" si="9"/>
        <v/>
      </c>
      <c r="C128" s="17"/>
      <c r="D128" s="17"/>
      <c r="E128" s="17"/>
      <c r="F128" s="17"/>
      <c r="G128" s="17"/>
      <c r="H128" s="23"/>
      <c r="I128" s="17"/>
      <c r="J128" s="17"/>
      <c r="K128" s="110"/>
      <c r="L128" s="17"/>
      <c r="M128" s="17"/>
      <c r="N128" s="17"/>
    </row>
    <row r="129" spans="1:14" hidden="1">
      <c r="A129" s="60" t="str">
        <f t="shared" si="8"/>
        <v/>
      </c>
      <c r="B129" s="60" t="str">
        <f t="shared" si="9"/>
        <v/>
      </c>
      <c r="C129" s="17"/>
      <c r="D129" s="17"/>
      <c r="E129" s="17"/>
      <c r="F129" s="17"/>
      <c r="G129" s="17"/>
      <c r="H129" s="23"/>
      <c r="I129" s="17"/>
      <c r="J129" s="17"/>
      <c r="K129" s="110"/>
      <c r="L129" s="17"/>
      <c r="M129" s="17"/>
      <c r="N129" s="17"/>
    </row>
    <row r="130" spans="1:14" hidden="1">
      <c r="A130" s="60" t="str">
        <f t="shared" si="8"/>
        <v/>
      </c>
      <c r="B130" s="60" t="str">
        <f t="shared" si="9"/>
        <v/>
      </c>
      <c r="C130" s="17"/>
      <c r="D130" s="17"/>
      <c r="E130" s="17"/>
      <c r="F130" s="17"/>
      <c r="G130" s="17"/>
      <c r="H130" s="23"/>
      <c r="I130" s="17"/>
      <c r="J130" s="17"/>
      <c r="K130" s="110"/>
      <c r="L130" s="17"/>
      <c r="M130" s="17"/>
      <c r="N130" s="17"/>
    </row>
    <row r="131" spans="1:14" hidden="1">
      <c r="A131" s="60" t="str">
        <f t="shared" si="8"/>
        <v/>
      </c>
      <c r="B131" s="60" t="str">
        <f t="shared" si="9"/>
        <v/>
      </c>
      <c r="C131" s="17"/>
      <c r="D131" s="17"/>
      <c r="E131" s="17"/>
      <c r="F131" s="17"/>
      <c r="G131" s="17"/>
      <c r="H131" s="23"/>
      <c r="I131" s="17"/>
      <c r="J131" s="17"/>
      <c r="K131" s="110"/>
      <c r="L131" s="17"/>
      <c r="M131" s="17"/>
      <c r="N131" s="17"/>
    </row>
    <row r="132" spans="1:14" hidden="1">
      <c r="A132" s="60" t="str">
        <f t="shared" si="8"/>
        <v/>
      </c>
      <c r="B132" s="60" t="str">
        <f t="shared" si="9"/>
        <v/>
      </c>
      <c r="C132" s="17"/>
      <c r="D132" s="17"/>
      <c r="E132" s="17"/>
      <c r="F132" s="17"/>
      <c r="G132" s="17"/>
      <c r="H132" s="23"/>
      <c r="I132" s="17"/>
      <c r="J132" s="17"/>
      <c r="K132" s="110"/>
      <c r="L132" s="17"/>
      <c r="M132" s="17"/>
      <c r="N132" s="17"/>
    </row>
    <row r="133" spans="1:14" hidden="1">
      <c r="A133" s="60" t="str">
        <f t="shared" si="8"/>
        <v/>
      </c>
      <c r="B133" s="60" t="str">
        <f t="shared" si="9"/>
        <v/>
      </c>
      <c r="C133" s="17"/>
      <c r="D133" s="17"/>
      <c r="E133" s="17"/>
      <c r="F133" s="17"/>
      <c r="G133" s="17"/>
      <c r="H133" s="23"/>
      <c r="I133" s="17"/>
      <c r="J133" s="17"/>
      <c r="K133" s="110"/>
      <c r="L133" s="17"/>
      <c r="M133" s="17"/>
      <c r="N133" s="17"/>
    </row>
    <row r="134" spans="1:14" hidden="1">
      <c r="A134" s="60" t="str">
        <f t="shared" si="8"/>
        <v/>
      </c>
      <c r="B134" s="60" t="str">
        <f t="shared" si="9"/>
        <v/>
      </c>
      <c r="C134" s="17"/>
      <c r="D134" s="17"/>
      <c r="E134" s="17"/>
      <c r="F134" s="17"/>
      <c r="G134" s="17"/>
      <c r="H134" s="23"/>
      <c r="I134" s="17"/>
      <c r="J134" s="17"/>
      <c r="K134" s="110"/>
      <c r="L134" s="17"/>
      <c r="M134" s="17"/>
      <c r="N134" s="17"/>
    </row>
    <row r="135" spans="1:14" hidden="1">
      <c r="A135" s="60" t="str">
        <f t="shared" si="8"/>
        <v/>
      </c>
      <c r="B135" s="60" t="str">
        <f t="shared" si="9"/>
        <v/>
      </c>
      <c r="C135" s="17"/>
      <c r="D135" s="17"/>
      <c r="E135" s="17"/>
      <c r="F135" s="17"/>
      <c r="G135" s="17"/>
      <c r="H135" s="23"/>
      <c r="I135" s="17"/>
      <c r="J135" s="17"/>
      <c r="K135" s="110"/>
      <c r="L135" s="17"/>
      <c r="M135" s="17"/>
      <c r="N135" s="17"/>
    </row>
    <row r="136" spans="1:14" hidden="1">
      <c r="A136" s="60" t="str">
        <f t="shared" si="8"/>
        <v/>
      </c>
      <c r="B136" s="60" t="str">
        <f t="shared" si="9"/>
        <v/>
      </c>
      <c r="C136" s="17"/>
      <c r="D136" s="17"/>
      <c r="E136" s="17"/>
      <c r="F136" s="17"/>
      <c r="G136" s="17"/>
      <c r="H136" s="23"/>
      <c r="I136" s="17"/>
      <c r="J136" s="17"/>
      <c r="K136" s="110"/>
      <c r="L136" s="17"/>
      <c r="M136" s="17"/>
      <c r="N136" s="17"/>
    </row>
    <row r="137" spans="1:14" hidden="1">
      <c r="A137" s="60" t="str">
        <f t="shared" si="8"/>
        <v/>
      </c>
      <c r="B137" s="60" t="str">
        <f t="shared" si="9"/>
        <v/>
      </c>
      <c r="C137" s="17"/>
      <c r="D137" s="17"/>
      <c r="E137" s="17"/>
      <c r="F137" s="17"/>
      <c r="G137" s="17"/>
      <c r="H137" s="23"/>
      <c r="I137" s="17"/>
      <c r="J137" s="17"/>
      <c r="K137" s="110"/>
      <c r="L137" s="17"/>
      <c r="M137" s="17"/>
      <c r="N137" s="17"/>
    </row>
    <row r="138" spans="1:14" hidden="1">
      <c r="A138" s="60" t="str">
        <f t="shared" si="8"/>
        <v/>
      </c>
      <c r="B138" s="60" t="str">
        <f t="shared" si="9"/>
        <v/>
      </c>
      <c r="C138" s="17"/>
      <c r="D138" s="17"/>
      <c r="E138" s="17"/>
      <c r="F138" s="17"/>
      <c r="G138" s="17"/>
      <c r="H138" s="23"/>
      <c r="I138" s="17"/>
      <c r="J138" s="17"/>
      <c r="K138" s="110"/>
      <c r="L138" s="17"/>
      <c r="M138" s="17"/>
      <c r="N138" s="17"/>
    </row>
    <row r="139" spans="1:14" hidden="1">
      <c r="A139" s="60" t="str">
        <f t="shared" si="8"/>
        <v/>
      </c>
      <c r="B139" s="60" t="str">
        <f t="shared" si="9"/>
        <v/>
      </c>
      <c r="C139" s="17"/>
      <c r="D139" s="17"/>
      <c r="E139" s="17"/>
      <c r="F139" s="17"/>
      <c r="G139" s="17"/>
      <c r="H139" s="23"/>
      <c r="I139" s="17"/>
      <c r="J139" s="17"/>
      <c r="K139" s="110"/>
      <c r="L139" s="17"/>
      <c r="M139" s="17"/>
      <c r="N139" s="17"/>
    </row>
    <row r="140" spans="1:14" hidden="1">
      <c r="A140" s="60" t="str">
        <f t="shared" si="8"/>
        <v/>
      </c>
      <c r="B140" s="60" t="str">
        <f t="shared" si="9"/>
        <v/>
      </c>
      <c r="C140" s="17"/>
      <c r="D140" s="17"/>
      <c r="E140" s="17"/>
      <c r="F140" s="17"/>
      <c r="G140" s="17"/>
      <c r="H140" s="23"/>
      <c r="I140" s="17"/>
      <c r="J140" s="17"/>
      <c r="K140" s="110"/>
      <c r="L140" s="17"/>
      <c r="M140" s="17"/>
      <c r="N140" s="17"/>
    </row>
    <row r="141" spans="1:14" hidden="1">
      <c r="A141" s="60" t="str">
        <f t="shared" si="8"/>
        <v/>
      </c>
      <c r="B141" s="60" t="str">
        <f t="shared" si="9"/>
        <v/>
      </c>
      <c r="C141" s="17"/>
      <c r="D141" s="17"/>
      <c r="E141" s="17"/>
      <c r="F141" s="17"/>
      <c r="G141" s="17"/>
      <c r="H141" s="23"/>
      <c r="I141" s="17"/>
      <c r="J141" s="17"/>
      <c r="K141" s="110"/>
      <c r="L141" s="17"/>
      <c r="M141" s="17"/>
      <c r="N141" s="17"/>
    </row>
    <row r="142" spans="1:14" hidden="1">
      <c r="A142" s="60" t="str">
        <f t="shared" si="8"/>
        <v/>
      </c>
      <c r="B142" s="60" t="str">
        <f t="shared" si="9"/>
        <v/>
      </c>
      <c r="C142" s="17"/>
      <c r="D142" s="17"/>
      <c r="E142" s="17"/>
      <c r="F142" s="17"/>
      <c r="G142" s="17"/>
      <c r="H142" s="23"/>
      <c r="I142" s="17"/>
      <c r="J142" s="17"/>
      <c r="K142" s="110"/>
      <c r="L142" s="17"/>
      <c r="M142" s="17"/>
      <c r="N142" s="17"/>
    </row>
    <row r="143" spans="1:14" hidden="1">
      <c r="A143" s="60" t="str">
        <f t="shared" si="8"/>
        <v/>
      </c>
      <c r="B143" s="60" t="str">
        <f t="shared" si="9"/>
        <v/>
      </c>
      <c r="C143" s="17"/>
      <c r="D143" s="17"/>
      <c r="E143" s="17"/>
      <c r="F143" s="17"/>
      <c r="G143" s="17"/>
      <c r="H143" s="23"/>
      <c r="I143" s="17"/>
      <c r="J143" s="17"/>
      <c r="K143" s="110"/>
      <c r="L143" s="17"/>
      <c r="M143" s="17"/>
      <c r="N143" s="17"/>
    </row>
    <row r="144" spans="1:14" hidden="1">
      <c r="A144" s="60" t="str">
        <f t="shared" si="8"/>
        <v/>
      </c>
      <c r="B144" s="60" t="str">
        <f t="shared" si="9"/>
        <v/>
      </c>
      <c r="C144" s="17"/>
      <c r="D144" s="17"/>
      <c r="E144" s="17"/>
      <c r="F144" s="17"/>
      <c r="G144" s="17"/>
      <c r="H144" s="23"/>
      <c r="I144" s="17"/>
      <c r="J144" s="17"/>
      <c r="K144" s="110"/>
      <c r="L144" s="17"/>
      <c r="M144" s="17"/>
      <c r="N144" s="17"/>
    </row>
    <row r="145" spans="1:14" hidden="1">
      <c r="A145" s="60" t="str">
        <f t="shared" si="8"/>
        <v/>
      </c>
      <c r="B145" s="60" t="str">
        <f t="shared" si="9"/>
        <v/>
      </c>
      <c r="C145" s="17"/>
      <c r="D145" s="17"/>
      <c r="E145" s="17"/>
      <c r="F145" s="17"/>
      <c r="G145" s="17"/>
      <c r="H145" s="23"/>
      <c r="I145" s="17"/>
      <c r="J145" s="17"/>
      <c r="K145" s="110"/>
      <c r="L145" s="17"/>
      <c r="M145" s="17"/>
      <c r="N145" s="17"/>
    </row>
    <row r="146" spans="1:14" hidden="1">
      <c r="A146" s="60" t="str">
        <f t="shared" si="8"/>
        <v/>
      </c>
      <c r="B146" s="60" t="str">
        <f t="shared" si="9"/>
        <v/>
      </c>
      <c r="C146" s="17"/>
      <c r="D146" s="17"/>
      <c r="E146" s="17"/>
      <c r="F146" s="17"/>
      <c r="G146" s="17"/>
      <c r="H146" s="23"/>
      <c r="I146" s="17"/>
      <c r="J146" s="17"/>
      <c r="K146" s="110"/>
      <c r="L146" s="17"/>
      <c r="M146" s="17"/>
      <c r="N146" s="17"/>
    </row>
    <row r="147" spans="1:14" hidden="1">
      <c r="A147" s="60" t="str">
        <f t="shared" si="8"/>
        <v/>
      </c>
      <c r="B147" s="60" t="str">
        <f t="shared" si="9"/>
        <v/>
      </c>
      <c r="C147" s="17"/>
      <c r="D147" s="17"/>
      <c r="E147" s="17"/>
      <c r="F147" s="17"/>
      <c r="G147" s="17"/>
      <c r="H147" s="23"/>
      <c r="I147" s="17"/>
      <c r="J147" s="17"/>
      <c r="K147" s="110"/>
      <c r="L147" s="17"/>
      <c r="M147" s="17"/>
      <c r="N147" s="17"/>
    </row>
    <row r="148" spans="1:14" hidden="1">
      <c r="A148" s="60" t="str">
        <f t="shared" si="8"/>
        <v/>
      </c>
      <c r="B148" s="60" t="str">
        <f t="shared" si="9"/>
        <v/>
      </c>
      <c r="C148" s="17"/>
      <c r="D148" s="17"/>
      <c r="E148" s="17"/>
      <c r="F148" s="17"/>
      <c r="G148" s="17"/>
      <c r="H148" s="23"/>
      <c r="I148" s="17"/>
      <c r="J148" s="17"/>
      <c r="K148" s="110"/>
      <c r="L148" s="17"/>
      <c r="M148" s="17"/>
      <c r="N148" s="17"/>
    </row>
    <row r="149" spans="1:14" hidden="1">
      <c r="A149" s="60" t="str">
        <f t="shared" si="8"/>
        <v/>
      </c>
      <c r="B149" s="60" t="str">
        <f t="shared" si="9"/>
        <v/>
      </c>
      <c r="C149" s="17"/>
      <c r="D149" s="17"/>
      <c r="E149" s="17"/>
      <c r="F149" s="17"/>
      <c r="G149" s="17"/>
      <c r="H149" s="23"/>
      <c r="I149" s="17"/>
      <c r="J149" s="17"/>
      <c r="K149" s="110"/>
      <c r="L149" s="17"/>
      <c r="M149" s="17"/>
      <c r="N149" s="17"/>
    </row>
    <row r="150" spans="1:14" hidden="1">
      <c r="A150" s="60" t="str">
        <f t="shared" si="8"/>
        <v/>
      </c>
      <c r="B150" s="60" t="str">
        <f t="shared" si="9"/>
        <v/>
      </c>
      <c r="C150" s="17"/>
      <c r="D150" s="17"/>
      <c r="E150" s="17"/>
      <c r="F150" s="17"/>
      <c r="G150" s="17"/>
      <c r="H150" s="23"/>
      <c r="I150" s="17"/>
      <c r="J150" s="17"/>
      <c r="K150" s="110"/>
      <c r="L150" s="17"/>
      <c r="M150" s="17"/>
      <c r="N150" s="17"/>
    </row>
    <row r="151" spans="1:14" hidden="1">
      <c r="A151" s="60" t="str">
        <f t="shared" si="8"/>
        <v/>
      </c>
      <c r="B151" s="60" t="str">
        <f t="shared" si="9"/>
        <v/>
      </c>
      <c r="C151" s="17"/>
      <c r="D151" s="17"/>
      <c r="E151" s="17"/>
      <c r="F151" s="17"/>
      <c r="G151" s="17"/>
      <c r="H151" s="23"/>
      <c r="I151" s="17"/>
      <c r="J151" s="17"/>
      <c r="K151" s="110"/>
      <c r="L151" s="17"/>
      <c r="M151" s="17"/>
      <c r="N151" s="17"/>
    </row>
    <row r="152" spans="1:14" hidden="1">
      <c r="A152" s="60" t="str">
        <f t="shared" si="8"/>
        <v/>
      </c>
      <c r="B152" s="60" t="str">
        <f t="shared" si="9"/>
        <v/>
      </c>
      <c r="C152" s="17"/>
      <c r="D152" s="17"/>
      <c r="E152" s="17"/>
      <c r="F152" s="17"/>
      <c r="G152" s="17"/>
      <c r="H152" s="23"/>
      <c r="I152" s="17"/>
      <c r="J152" s="17"/>
      <c r="K152" s="110"/>
      <c r="L152" s="17"/>
      <c r="M152" s="17"/>
      <c r="N152" s="17"/>
    </row>
    <row r="153" spans="1:14" hidden="1">
      <c r="A153" s="60" t="str">
        <f t="shared" si="8"/>
        <v/>
      </c>
      <c r="B153" s="60" t="str">
        <f t="shared" si="9"/>
        <v/>
      </c>
      <c r="C153" s="17"/>
      <c r="D153" s="17"/>
      <c r="E153" s="17"/>
      <c r="F153" s="17"/>
      <c r="G153" s="17"/>
      <c r="H153" s="23"/>
      <c r="I153" s="17"/>
      <c r="J153" s="17"/>
      <c r="K153" s="110"/>
      <c r="L153" s="17"/>
      <c r="M153" s="17"/>
      <c r="N153" s="17"/>
    </row>
    <row r="154" spans="1:14" hidden="1">
      <c r="A154" s="60" t="str">
        <f t="shared" si="8"/>
        <v/>
      </c>
      <c r="B154" s="60" t="str">
        <f t="shared" si="9"/>
        <v/>
      </c>
      <c r="C154" s="17"/>
      <c r="D154" s="17"/>
      <c r="E154" s="17"/>
      <c r="F154" s="17"/>
      <c r="G154" s="17"/>
      <c r="H154" s="23"/>
      <c r="I154" s="17"/>
      <c r="J154" s="17"/>
      <c r="K154" s="110"/>
      <c r="L154" s="17"/>
      <c r="M154" s="17"/>
      <c r="N154" s="17"/>
    </row>
    <row r="155" spans="1:14" hidden="1">
      <c r="A155" s="60" t="str">
        <f t="shared" si="8"/>
        <v/>
      </c>
      <c r="B155" s="60" t="str">
        <f t="shared" si="9"/>
        <v/>
      </c>
      <c r="C155" s="17"/>
      <c r="D155" s="17"/>
      <c r="E155" s="17"/>
      <c r="F155" s="17"/>
      <c r="G155" s="17"/>
      <c r="H155" s="23"/>
      <c r="I155" s="17"/>
      <c r="J155" s="17"/>
      <c r="K155" s="110"/>
      <c r="L155" s="17"/>
      <c r="M155" s="17"/>
      <c r="N155" s="17"/>
    </row>
    <row r="156" spans="1:14" hidden="1">
      <c r="A156" s="60" t="str">
        <f t="shared" si="8"/>
        <v/>
      </c>
      <c r="B156" s="60" t="str">
        <f t="shared" si="9"/>
        <v/>
      </c>
      <c r="C156" s="17"/>
      <c r="D156" s="17"/>
      <c r="E156" s="17"/>
      <c r="F156" s="17"/>
      <c r="G156" s="17"/>
      <c r="H156" s="23"/>
      <c r="I156" s="17"/>
      <c r="J156" s="17"/>
      <c r="K156" s="110"/>
      <c r="L156" s="17"/>
      <c r="M156" s="17"/>
      <c r="N156" s="17"/>
    </row>
    <row r="157" spans="1:14" hidden="1">
      <c r="A157" s="60" t="str">
        <f t="shared" si="8"/>
        <v/>
      </c>
      <c r="B157" s="60" t="str">
        <f t="shared" si="9"/>
        <v/>
      </c>
      <c r="C157" s="17"/>
      <c r="D157" s="17"/>
      <c r="E157" s="17"/>
      <c r="F157" s="17"/>
      <c r="G157" s="17"/>
      <c r="H157" s="23"/>
      <c r="I157" s="17"/>
      <c r="J157" s="17"/>
      <c r="K157" s="110"/>
      <c r="L157" s="17"/>
      <c r="M157" s="17"/>
      <c r="N157" s="17"/>
    </row>
    <row r="158" spans="1:14" hidden="1">
      <c r="A158" s="60" t="str">
        <f t="shared" si="8"/>
        <v/>
      </c>
      <c r="B158" s="60" t="str">
        <f t="shared" si="9"/>
        <v/>
      </c>
      <c r="C158" s="17"/>
      <c r="D158" s="17"/>
      <c r="E158" s="17"/>
      <c r="F158" s="17"/>
      <c r="G158" s="17"/>
      <c r="H158" s="23"/>
      <c r="I158" s="17"/>
      <c r="J158" s="17"/>
      <c r="K158" s="110"/>
      <c r="L158" s="17"/>
      <c r="M158" s="17"/>
      <c r="N158" s="17"/>
    </row>
    <row r="159" spans="1:14" hidden="1">
      <c r="A159" s="60" t="str">
        <f t="shared" si="8"/>
        <v/>
      </c>
      <c r="B159" s="60" t="str">
        <f t="shared" si="9"/>
        <v/>
      </c>
      <c r="C159" s="17"/>
      <c r="D159" s="17"/>
      <c r="E159" s="17"/>
      <c r="F159" s="17"/>
      <c r="G159" s="17"/>
      <c r="H159" s="23"/>
      <c r="I159" s="17"/>
      <c r="J159" s="17"/>
      <c r="K159" s="110"/>
      <c r="L159" s="17"/>
      <c r="M159" s="17"/>
      <c r="N159" s="17"/>
    </row>
    <row r="160" spans="1:14" hidden="1">
      <c r="A160" s="60" t="str">
        <f t="shared" si="8"/>
        <v/>
      </c>
      <c r="B160" s="60" t="str">
        <f t="shared" si="9"/>
        <v/>
      </c>
      <c r="C160" s="17"/>
      <c r="D160" s="17"/>
      <c r="E160" s="17"/>
      <c r="F160" s="17"/>
      <c r="G160" s="17"/>
      <c r="H160" s="23"/>
      <c r="I160" s="17"/>
      <c r="J160" s="17"/>
      <c r="K160" s="110"/>
      <c r="L160" s="17"/>
      <c r="M160" s="17"/>
      <c r="N160" s="17"/>
    </row>
    <row r="161" spans="1:14" hidden="1">
      <c r="A161" s="60" t="str">
        <f t="shared" si="8"/>
        <v/>
      </c>
      <c r="B161" s="60" t="str">
        <f t="shared" si="9"/>
        <v/>
      </c>
      <c r="C161" s="17"/>
      <c r="D161" s="17"/>
      <c r="E161" s="17"/>
      <c r="F161" s="17"/>
      <c r="G161" s="17"/>
      <c r="H161" s="23"/>
      <c r="I161" s="17"/>
      <c r="J161" s="17"/>
      <c r="K161" s="110"/>
      <c r="L161" s="17"/>
      <c r="M161" s="17"/>
      <c r="N161" s="17"/>
    </row>
    <row r="162" spans="1:14" hidden="1">
      <c r="A162" s="60" t="str">
        <f t="shared" si="8"/>
        <v/>
      </c>
      <c r="B162" s="60" t="str">
        <f t="shared" si="9"/>
        <v/>
      </c>
      <c r="C162" s="17"/>
      <c r="D162" s="17"/>
      <c r="E162" s="17"/>
      <c r="F162" s="17"/>
      <c r="G162" s="17"/>
      <c r="H162" s="23"/>
      <c r="I162" s="17"/>
      <c r="J162" s="17"/>
      <c r="K162" s="110"/>
      <c r="L162" s="17"/>
      <c r="M162" s="17"/>
      <c r="N162" s="17"/>
    </row>
    <row r="163" spans="1:14" hidden="1">
      <c r="A163" s="60" t="str">
        <f t="shared" si="8"/>
        <v/>
      </c>
      <c r="B163" s="60" t="str">
        <f t="shared" si="9"/>
        <v/>
      </c>
      <c r="C163" s="17"/>
      <c r="D163" s="17"/>
      <c r="E163" s="17"/>
      <c r="F163" s="17"/>
      <c r="G163" s="17"/>
      <c r="H163" s="23"/>
      <c r="I163" s="17"/>
      <c r="J163" s="17"/>
      <c r="K163" s="110"/>
      <c r="L163" s="17"/>
      <c r="M163" s="17"/>
      <c r="N163" s="17"/>
    </row>
    <row r="164" spans="1:14" hidden="1">
      <c r="A164" s="60" t="str">
        <f t="shared" si="8"/>
        <v/>
      </c>
      <c r="B164" s="60" t="str">
        <f t="shared" si="9"/>
        <v/>
      </c>
      <c r="C164" s="17"/>
      <c r="D164" s="17"/>
      <c r="E164" s="17"/>
      <c r="F164" s="17"/>
      <c r="G164" s="17"/>
      <c r="H164" s="23"/>
      <c r="I164" s="17"/>
      <c r="J164" s="17"/>
      <c r="K164" s="110"/>
      <c r="L164" s="17"/>
      <c r="M164" s="17"/>
      <c r="N164" s="17"/>
    </row>
    <row r="165" spans="1:14" hidden="1">
      <c r="A165" s="60" t="str">
        <f t="shared" si="8"/>
        <v/>
      </c>
      <c r="B165" s="60" t="str">
        <f t="shared" si="9"/>
        <v/>
      </c>
      <c r="C165" s="17"/>
      <c r="D165" s="17"/>
      <c r="E165" s="17"/>
      <c r="F165" s="17"/>
      <c r="G165" s="17"/>
      <c r="H165" s="23"/>
      <c r="I165" s="17"/>
      <c r="J165" s="17"/>
      <c r="K165" s="110"/>
      <c r="L165" s="17"/>
      <c r="M165" s="17"/>
      <c r="N165" s="17"/>
    </row>
    <row r="166" spans="1:14" hidden="1">
      <c r="A166" s="60" t="str">
        <f t="shared" si="8"/>
        <v/>
      </c>
      <c r="B166" s="60" t="str">
        <f t="shared" si="9"/>
        <v/>
      </c>
      <c r="C166" s="17"/>
      <c r="D166" s="17"/>
      <c r="E166" s="17"/>
      <c r="F166" s="17"/>
      <c r="G166" s="17"/>
      <c r="H166" s="23"/>
      <c r="I166" s="17"/>
      <c r="J166" s="17"/>
      <c r="K166" s="110"/>
      <c r="L166" s="17"/>
      <c r="M166" s="17"/>
      <c r="N166" s="17"/>
    </row>
    <row r="167" spans="1:14" hidden="1">
      <c r="A167" s="60" t="str">
        <f t="shared" si="8"/>
        <v/>
      </c>
      <c r="B167" s="60" t="str">
        <f t="shared" si="9"/>
        <v/>
      </c>
      <c r="C167" s="17"/>
      <c r="D167" s="17"/>
      <c r="E167" s="17"/>
      <c r="F167" s="17"/>
      <c r="G167" s="17"/>
      <c r="H167" s="23"/>
      <c r="I167" s="17"/>
      <c r="J167" s="17"/>
      <c r="K167" s="110"/>
      <c r="L167" s="17"/>
      <c r="M167" s="17"/>
      <c r="N167" s="17"/>
    </row>
    <row r="168" spans="1:14" hidden="1">
      <c r="A168" s="60" t="str">
        <f t="shared" si="8"/>
        <v/>
      </c>
      <c r="B168" s="60" t="str">
        <f t="shared" si="9"/>
        <v/>
      </c>
      <c r="C168" s="17"/>
      <c r="D168" s="17"/>
      <c r="E168" s="17"/>
      <c r="F168" s="17"/>
      <c r="G168" s="17"/>
      <c r="H168" s="23"/>
      <c r="I168" s="17"/>
      <c r="J168" s="17"/>
      <c r="K168" s="110"/>
      <c r="L168" s="17"/>
      <c r="M168" s="17"/>
      <c r="N168" s="17"/>
    </row>
    <row r="169" spans="1:14" hidden="1">
      <c r="A169" s="60" t="str">
        <f t="shared" si="8"/>
        <v/>
      </c>
      <c r="B169" s="60" t="str">
        <f t="shared" si="9"/>
        <v/>
      </c>
      <c r="C169" s="17"/>
      <c r="D169" s="17"/>
      <c r="E169" s="17"/>
      <c r="F169" s="17"/>
      <c r="G169" s="17"/>
      <c r="H169" s="23"/>
      <c r="I169" s="17"/>
      <c r="J169" s="17"/>
      <c r="K169" s="110"/>
      <c r="L169" s="17"/>
      <c r="M169" s="17"/>
      <c r="N169" s="17"/>
    </row>
    <row r="170" spans="1:14" hidden="1">
      <c r="A170" s="60" t="str">
        <f t="shared" si="8"/>
        <v/>
      </c>
      <c r="B170" s="60" t="str">
        <f t="shared" si="9"/>
        <v/>
      </c>
      <c r="C170" s="17"/>
      <c r="D170" s="17"/>
      <c r="E170" s="17"/>
      <c r="F170" s="17"/>
      <c r="G170" s="17"/>
      <c r="H170" s="23"/>
      <c r="I170" s="17"/>
      <c r="J170" s="17"/>
      <c r="K170" s="110"/>
      <c r="L170" s="17"/>
      <c r="M170" s="17"/>
      <c r="N170" s="17"/>
    </row>
    <row r="171" spans="1:14" hidden="1">
      <c r="A171" s="60" t="str">
        <f t="shared" si="8"/>
        <v/>
      </c>
      <c r="B171" s="60" t="str">
        <f t="shared" si="9"/>
        <v/>
      </c>
      <c r="C171" s="17"/>
      <c r="D171" s="17"/>
      <c r="E171" s="17"/>
      <c r="F171" s="17"/>
      <c r="G171" s="17"/>
      <c r="H171" s="23"/>
      <c r="I171" s="17"/>
      <c r="J171" s="17"/>
      <c r="K171" s="110"/>
      <c r="L171" s="17"/>
      <c r="M171" s="17"/>
      <c r="N171" s="17"/>
    </row>
    <row r="172" spans="1:14" hidden="1">
      <c r="A172" s="60" t="str">
        <f t="shared" si="8"/>
        <v/>
      </c>
      <c r="B172" s="60" t="str">
        <f t="shared" si="9"/>
        <v/>
      </c>
      <c r="C172" s="17"/>
      <c r="D172" s="17"/>
      <c r="E172" s="17"/>
      <c r="F172" s="17"/>
      <c r="G172" s="17"/>
      <c r="H172" s="23"/>
      <c r="I172" s="17"/>
      <c r="J172" s="17"/>
      <c r="K172" s="110"/>
      <c r="L172" s="17"/>
      <c r="M172" s="17"/>
      <c r="N172" s="17"/>
    </row>
    <row r="173" spans="1:14" hidden="1">
      <c r="A173" s="60" t="str">
        <f t="shared" si="8"/>
        <v/>
      </c>
      <c r="B173" s="60" t="str">
        <f t="shared" si="9"/>
        <v/>
      </c>
      <c r="C173" s="17"/>
      <c r="D173" s="17"/>
      <c r="E173" s="17"/>
      <c r="F173" s="17"/>
      <c r="G173" s="17"/>
      <c r="H173" s="23"/>
      <c r="I173" s="17"/>
      <c r="J173" s="17"/>
      <c r="K173" s="110"/>
      <c r="L173" s="17"/>
      <c r="M173" s="17"/>
      <c r="N173" s="17"/>
    </row>
    <row r="174" spans="1:14" hidden="1">
      <c r="A174" s="60" t="str">
        <f t="shared" si="8"/>
        <v/>
      </c>
      <c r="B174" s="60" t="str">
        <f t="shared" si="9"/>
        <v/>
      </c>
      <c r="C174" s="17"/>
      <c r="D174" s="17"/>
      <c r="E174" s="17"/>
      <c r="F174" s="17"/>
      <c r="G174" s="17"/>
      <c r="H174" s="23"/>
      <c r="I174" s="17"/>
      <c r="J174" s="17"/>
      <c r="K174" s="110"/>
      <c r="L174" s="17"/>
      <c r="M174" s="17"/>
      <c r="N174" s="17"/>
    </row>
    <row r="175" spans="1:14" hidden="1">
      <c r="A175" s="60" t="str">
        <f t="shared" si="8"/>
        <v/>
      </c>
      <c r="B175" s="60" t="str">
        <f t="shared" si="9"/>
        <v/>
      </c>
      <c r="C175" s="17"/>
      <c r="D175" s="17"/>
      <c r="E175" s="17"/>
      <c r="F175" s="17"/>
      <c r="G175" s="17"/>
      <c r="H175" s="23"/>
      <c r="I175" s="17"/>
      <c r="J175" s="17"/>
      <c r="K175" s="110"/>
      <c r="L175" s="17"/>
      <c r="M175" s="17"/>
      <c r="N175" s="17"/>
    </row>
    <row r="176" spans="1:14" hidden="1">
      <c r="A176" s="60" t="str">
        <f t="shared" si="8"/>
        <v/>
      </c>
      <c r="B176" s="60" t="str">
        <f t="shared" si="9"/>
        <v/>
      </c>
      <c r="C176" s="17"/>
      <c r="D176" s="17"/>
      <c r="E176" s="17"/>
      <c r="F176" s="17"/>
      <c r="G176" s="17"/>
      <c r="H176" s="23"/>
      <c r="I176" s="17"/>
      <c r="J176" s="17"/>
      <c r="K176" s="110"/>
      <c r="L176" s="17"/>
      <c r="M176" s="17"/>
      <c r="N176" s="17"/>
    </row>
    <row r="177" spans="1:14" hidden="1">
      <c r="A177" s="60" t="str">
        <f t="shared" si="8"/>
        <v/>
      </c>
      <c r="B177" s="60" t="str">
        <f t="shared" si="9"/>
        <v/>
      </c>
      <c r="C177" s="17"/>
      <c r="D177" s="17"/>
      <c r="E177" s="17"/>
      <c r="F177" s="17"/>
      <c r="G177" s="17"/>
      <c r="H177" s="23"/>
      <c r="I177" s="17"/>
      <c r="J177" s="17"/>
      <c r="K177" s="110"/>
      <c r="L177" s="17"/>
      <c r="M177" s="17"/>
      <c r="N177" s="17"/>
    </row>
    <row r="178" spans="1:14" hidden="1">
      <c r="A178" s="60" t="str">
        <f t="shared" si="8"/>
        <v/>
      </c>
      <c r="B178" s="60" t="str">
        <f t="shared" si="9"/>
        <v/>
      </c>
      <c r="C178" s="17"/>
      <c r="D178" s="17"/>
      <c r="E178" s="17"/>
      <c r="F178" s="17"/>
      <c r="G178" s="17"/>
      <c r="H178" s="23"/>
      <c r="I178" s="17"/>
      <c r="J178" s="17"/>
      <c r="K178" s="110"/>
      <c r="L178" s="17"/>
      <c r="M178" s="17"/>
      <c r="N178" s="17"/>
    </row>
    <row r="179" spans="1:14" hidden="1">
      <c r="A179" s="60" t="str">
        <f t="shared" si="8"/>
        <v/>
      </c>
      <c r="B179" s="60" t="str">
        <f t="shared" si="9"/>
        <v/>
      </c>
      <c r="C179" s="17"/>
      <c r="D179" s="17"/>
      <c r="E179" s="17"/>
      <c r="F179" s="17"/>
      <c r="G179" s="17"/>
      <c r="H179" s="23"/>
      <c r="I179" s="17"/>
      <c r="J179" s="17"/>
      <c r="K179" s="110"/>
      <c r="L179" s="17"/>
      <c r="M179" s="17"/>
      <c r="N179" s="17"/>
    </row>
    <row r="180" spans="1:14" hidden="1">
      <c r="A180" s="60" t="str">
        <f t="shared" si="8"/>
        <v/>
      </c>
      <c r="B180" s="60" t="str">
        <f t="shared" si="9"/>
        <v/>
      </c>
      <c r="C180" s="17"/>
      <c r="D180" s="17"/>
      <c r="E180" s="17"/>
      <c r="F180" s="17"/>
      <c r="G180" s="17"/>
      <c r="H180" s="23"/>
      <c r="I180" s="17"/>
      <c r="J180" s="17"/>
      <c r="K180" s="110"/>
      <c r="L180" s="17"/>
      <c r="M180" s="17"/>
      <c r="N180" s="17"/>
    </row>
    <row r="181" spans="1:14" hidden="1">
      <c r="A181" s="60" t="str">
        <f t="shared" si="8"/>
        <v/>
      </c>
      <c r="B181" s="60" t="str">
        <f t="shared" si="9"/>
        <v/>
      </c>
      <c r="C181" s="17"/>
      <c r="D181" s="17"/>
      <c r="E181" s="17"/>
      <c r="F181" s="17"/>
      <c r="G181" s="17"/>
      <c r="H181" s="23"/>
      <c r="I181" s="17"/>
      <c r="J181" s="17"/>
      <c r="K181" s="110"/>
      <c r="L181" s="17"/>
      <c r="M181" s="17"/>
      <c r="N181" s="17"/>
    </row>
    <row r="182" spans="1:14" hidden="1">
      <c r="A182" s="60" t="str">
        <f t="shared" si="8"/>
        <v/>
      </c>
      <c r="B182" s="60" t="str">
        <f t="shared" si="9"/>
        <v/>
      </c>
      <c r="C182" s="17"/>
      <c r="D182" s="17"/>
      <c r="E182" s="17"/>
      <c r="F182" s="17"/>
      <c r="G182" s="17"/>
      <c r="H182" s="23"/>
      <c r="I182" s="17"/>
      <c r="J182" s="17"/>
      <c r="K182" s="110"/>
      <c r="L182" s="17"/>
      <c r="M182" s="17"/>
      <c r="N182" s="17"/>
    </row>
    <row r="183" spans="1:14" hidden="1">
      <c r="A183" s="60" t="str">
        <f t="shared" si="8"/>
        <v/>
      </c>
      <c r="B183" s="60" t="str">
        <f t="shared" si="9"/>
        <v/>
      </c>
      <c r="C183" s="17"/>
      <c r="D183" s="17"/>
      <c r="E183" s="17"/>
      <c r="F183" s="17"/>
      <c r="G183" s="17"/>
      <c r="H183" s="23"/>
      <c r="I183" s="17"/>
      <c r="J183" s="17"/>
      <c r="K183" s="110"/>
      <c r="L183" s="17"/>
      <c r="M183" s="17"/>
      <c r="N183" s="17"/>
    </row>
    <row r="184" spans="1:14" hidden="1">
      <c r="A184" s="60" t="str">
        <f t="shared" si="8"/>
        <v/>
      </c>
      <c r="B184" s="60" t="str">
        <f t="shared" si="9"/>
        <v/>
      </c>
      <c r="C184" s="17"/>
      <c r="D184" s="17"/>
      <c r="E184" s="17"/>
      <c r="F184" s="17"/>
      <c r="G184" s="17"/>
      <c r="H184" s="23"/>
      <c r="I184" s="17"/>
      <c r="J184" s="17"/>
      <c r="K184" s="110"/>
      <c r="L184" s="17"/>
      <c r="M184" s="17"/>
      <c r="N184" s="17"/>
    </row>
    <row r="185" spans="1:14" hidden="1">
      <c r="A185" s="60" t="str">
        <f t="shared" si="8"/>
        <v/>
      </c>
      <c r="B185" s="60" t="str">
        <f t="shared" si="9"/>
        <v/>
      </c>
      <c r="C185" s="17"/>
      <c r="D185" s="17"/>
      <c r="E185" s="17"/>
      <c r="F185" s="17"/>
      <c r="G185" s="17"/>
      <c r="H185" s="23"/>
      <c r="I185" s="17"/>
      <c r="J185" s="17"/>
      <c r="K185" s="110"/>
      <c r="L185" s="17"/>
      <c r="M185" s="17"/>
      <c r="N185" s="17"/>
    </row>
    <row r="186" spans="1:14" hidden="1">
      <c r="A186" s="60" t="str">
        <f t="shared" si="8"/>
        <v/>
      </c>
      <c r="B186" s="60" t="str">
        <f t="shared" si="9"/>
        <v/>
      </c>
      <c r="C186" s="17"/>
      <c r="D186" s="17"/>
      <c r="E186" s="17"/>
      <c r="F186" s="17"/>
      <c r="G186" s="17"/>
      <c r="H186" s="23"/>
      <c r="I186" s="17"/>
      <c r="J186" s="17"/>
      <c r="K186" s="110"/>
      <c r="L186" s="17"/>
      <c r="M186" s="17"/>
      <c r="N186" s="17"/>
    </row>
    <row r="187" spans="1:14" hidden="1">
      <c r="A187" s="60" t="str">
        <f t="shared" si="8"/>
        <v/>
      </c>
      <c r="B187" s="60" t="str">
        <f t="shared" si="9"/>
        <v/>
      </c>
      <c r="C187" s="17"/>
      <c r="D187" s="17"/>
      <c r="E187" s="17"/>
      <c r="F187" s="17"/>
      <c r="G187" s="17"/>
      <c r="H187" s="23"/>
      <c r="I187" s="17"/>
      <c r="J187" s="17"/>
      <c r="K187" s="110"/>
      <c r="L187" s="17"/>
      <c r="M187" s="17"/>
      <c r="N187" s="17"/>
    </row>
    <row r="188" spans="1:14" hidden="1">
      <c r="A188" s="60" t="str">
        <f t="shared" si="8"/>
        <v/>
      </c>
      <c r="B188" s="60" t="str">
        <f t="shared" si="9"/>
        <v/>
      </c>
      <c r="C188" s="17"/>
      <c r="D188" s="17"/>
      <c r="E188" s="17"/>
      <c r="F188" s="17"/>
      <c r="G188" s="17"/>
      <c r="H188" s="23"/>
      <c r="I188" s="17"/>
      <c r="J188" s="17"/>
      <c r="K188" s="110"/>
      <c r="L188" s="17"/>
      <c r="M188" s="17"/>
      <c r="N188" s="17"/>
    </row>
    <row r="189" spans="1:14" hidden="1">
      <c r="A189" s="60" t="str">
        <f t="shared" si="8"/>
        <v/>
      </c>
      <c r="B189" s="60" t="str">
        <f t="shared" si="9"/>
        <v/>
      </c>
      <c r="C189" s="17"/>
      <c r="D189" s="17"/>
      <c r="E189" s="17"/>
      <c r="F189" s="17"/>
      <c r="G189" s="17"/>
      <c r="H189" s="23"/>
      <c r="I189" s="17"/>
      <c r="J189" s="17"/>
      <c r="K189" s="110"/>
      <c r="L189" s="17"/>
      <c r="M189" s="17"/>
      <c r="N189" s="17"/>
    </row>
    <row r="190" spans="1:14" hidden="1">
      <c r="A190" s="60" t="str">
        <f t="shared" si="8"/>
        <v/>
      </c>
      <c r="B190" s="60" t="str">
        <f t="shared" si="9"/>
        <v/>
      </c>
      <c r="C190" s="17"/>
      <c r="D190" s="17"/>
      <c r="E190" s="17"/>
      <c r="F190" s="17"/>
      <c r="G190" s="17"/>
      <c r="H190" s="23"/>
      <c r="I190" s="17"/>
      <c r="J190" s="17"/>
      <c r="K190" s="110"/>
      <c r="L190" s="17"/>
      <c r="M190" s="17"/>
      <c r="N190" s="17"/>
    </row>
    <row r="191" spans="1:14" hidden="1">
      <c r="A191" s="60" t="str">
        <f t="shared" ref="A191:A228" si="10">+C191&amp;G191&amp;H191&amp;D191</f>
        <v/>
      </c>
      <c r="B191" s="60" t="str">
        <f t="shared" ref="B191:B228" si="11">+C191&amp;G191&amp;H191&amp;D191&amp;K191</f>
        <v/>
      </c>
      <c r="C191" s="17"/>
      <c r="D191" s="17"/>
      <c r="E191" s="17"/>
      <c r="F191" s="17"/>
      <c r="G191" s="17"/>
      <c r="H191" s="23"/>
      <c r="I191" s="17"/>
      <c r="J191" s="17"/>
      <c r="K191" s="110"/>
      <c r="L191" s="17"/>
      <c r="M191" s="17"/>
      <c r="N191" s="17"/>
    </row>
    <row r="192" spans="1:14" hidden="1">
      <c r="A192" s="60" t="str">
        <f t="shared" si="10"/>
        <v/>
      </c>
      <c r="B192" s="60" t="str">
        <f t="shared" si="11"/>
        <v/>
      </c>
      <c r="C192" s="17"/>
      <c r="D192" s="17"/>
      <c r="E192" s="17"/>
      <c r="F192" s="17"/>
      <c r="G192" s="17"/>
      <c r="H192" s="23"/>
      <c r="I192" s="17"/>
      <c r="J192" s="17"/>
      <c r="K192" s="110"/>
      <c r="L192" s="17"/>
      <c r="M192" s="17"/>
      <c r="N192" s="17"/>
    </row>
    <row r="193" spans="1:14" hidden="1">
      <c r="A193" s="60" t="str">
        <f t="shared" si="10"/>
        <v/>
      </c>
      <c r="B193" s="60" t="str">
        <f t="shared" si="11"/>
        <v/>
      </c>
      <c r="C193" s="17"/>
      <c r="D193" s="17"/>
      <c r="E193" s="17"/>
      <c r="F193" s="17"/>
      <c r="G193" s="17"/>
      <c r="H193" s="23"/>
      <c r="I193" s="17"/>
      <c r="J193" s="17"/>
      <c r="K193" s="110"/>
      <c r="L193" s="17"/>
      <c r="M193" s="17"/>
      <c r="N193" s="17"/>
    </row>
    <row r="194" spans="1:14" hidden="1">
      <c r="A194" s="60" t="str">
        <f t="shared" si="10"/>
        <v/>
      </c>
      <c r="B194" s="60" t="str">
        <f t="shared" si="11"/>
        <v/>
      </c>
      <c r="C194" s="17"/>
      <c r="D194" s="17"/>
      <c r="E194" s="17"/>
      <c r="F194" s="17"/>
      <c r="G194" s="17"/>
      <c r="H194" s="23"/>
      <c r="I194" s="17"/>
      <c r="J194" s="17"/>
      <c r="K194" s="110"/>
      <c r="L194" s="17"/>
      <c r="M194" s="17"/>
      <c r="N194" s="17"/>
    </row>
    <row r="195" spans="1:14" hidden="1">
      <c r="A195" s="60" t="str">
        <f t="shared" si="10"/>
        <v/>
      </c>
      <c r="B195" s="60" t="str">
        <f t="shared" si="11"/>
        <v/>
      </c>
      <c r="C195" s="17"/>
      <c r="D195" s="17"/>
      <c r="E195" s="17"/>
      <c r="F195" s="17"/>
      <c r="G195" s="17"/>
      <c r="H195" s="23"/>
      <c r="I195" s="17"/>
      <c r="J195" s="17"/>
      <c r="K195" s="110"/>
      <c r="L195" s="17"/>
      <c r="M195" s="17"/>
      <c r="N195" s="17"/>
    </row>
    <row r="196" spans="1:14" hidden="1">
      <c r="A196" s="60" t="str">
        <f t="shared" si="10"/>
        <v/>
      </c>
      <c r="B196" s="60" t="str">
        <f t="shared" si="11"/>
        <v/>
      </c>
      <c r="C196" s="17"/>
      <c r="D196" s="17"/>
      <c r="E196" s="17"/>
      <c r="F196" s="17"/>
      <c r="G196" s="17"/>
      <c r="H196" s="23"/>
      <c r="I196" s="17"/>
      <c r="J196" s="17"/>
      <c r="K196" s="110"/>
      <c r="L196" s="17"/>
      <c r="M196" s="17"/>
      <c r="N196" s="17"/>
    </row>
    <row r="197" spans="1:14" hidden="1">
      <c r="A197" s="60" t="str">
        <f t="shared" si="10"/>
        <v/>
      </c>
      <c r="B197" s="60" t="str">
        <f t="shared" si="11"/>
        <v/>
      </c>
      <c r="C197" s="17"/>
      <c r="D197" s="17"/>
      <c r="E197" s="17"/>
      <c r="F197" s="17"/>
      <c r="G197" s="17"/>
      <c r="H197" s="23"/>
      <c r="I197" s="17"/>
      <c r="J197" s="17"/>
      <c r="K197" s="110"/>
      <c r="L197" s="17"/>
      <c r="M197" s="17"/>
      <c r="N197" s="17"/>
    </row>
    <row r="198" spans="1:14" hidden="1">
      <c r="A198" s="60" t="str">
        <f t="shared" si="10"/>
        <v/>
      </c>
      <c r="B198" s="60" t="str">
        <f t="shared" si="11"/>
        <v/>
      </c>
      <c r="C198" s="17"/>
      <c r="D198" s="17"/>
      <c r="E198" s="17"/>
      <c r="F198" s="17"/>
      <c r="G198" s="17"/>
      <c r="H198" s="23"/>
      <c r="I198" s="17"/>
      <c r="J198" s="17"/>
      <c r="K198" s="110"/>
      <c r="L198" s="17"/>
      <c r="M198" s="17"/>
      <c r="N198" s="17"/>
    </row>
    <row r="199" spans="1:14" hidden="1">
      <c r="A199" s="60" t="str">
        <f t="shared" si="10"/>
        <v/>
      </c>
      <c r="B199" s="60" t="str">
        <f t="shared" si="11"/>
        <v/>
      </c>
      <c r="C199" s="17"/>
      <c r="D199" s="17"/>
      <c r="E199" s="17"/>
      <c r="F199" s="17"/>
      <c r="G199" s="17"/>
      <c r="H199" s="23"/>
      <c r="I199" s="17"/>
      <c r="J199" s="17"/>
      <c r="K199" s="110"/>
      <c r="L199" s="17"/>
      <c r="M199" s="17"/>
      <c r="N199" s="17"/>
    </row>
    <row r="200" spans="1:14" hidden="1">
      <c r="A200" s="60" t="str">
        <f t="shared" si="10"/>
        <v/>
      </c>
      <c r="B200" s="60" t="str">
        <f t="shared" si="11"/>
        <v/>
      </c>
      <c r="C200" s="17"/>
      <c r="D200" s="17"/>
      <c r="E200" s="17"/>
      <c r="F200" s="17"/>
      <c r="G200" s="17"/>
      <c r="H200" s="23"/>
      <c r="I200" s="17"/>
      <c r="J200" s="17"/>
      <c r="K200" s="110"/>
      <c r="L200" s="17"/>
      <c r="M200" s="17"/>
      <c r="N200" s="17"/>
    </row>
    <row r="201" spans="1:14" hidden="1">
      <c r="A201" s="60" t="str">
        <f t="shared" si="10"/>
        <v/>
      </c>
      <c r="B201" s="60" t="str">
        <f t="shared" si="11"/>
        <v/>
      </c>
      <c r="C201" s="17"/>
      <c r="D201" s="17"/>
      <c r="E201" s="17"/>
      <c r="F201" s="17"/>
      <c r="G201" s="17"/>
      <c r="H201" s="23"/>
      <c r="I201" s="17"/>
      <c r="J201" s="17"/>
      <c r="K201" s="110"/>
      <c r="L201" s="17"/>
      <c r="M201" s="17"/>
      <c r="N201" s="17"/>
    </row>
    <row r="202" spans="1:14" hidden="1">
      <c r="A202" s="60" t="str">
        <f t="shared" si="10"/>
        <v/>
      </c>
      <c r="B202" s="60" t="str">
        <f t="shared" si="11"/>
        <v/>
      </c>
      <c r="C202" s="17"/>
      <c r="D202" s="17"/>
      <c r="E202" s="17"/>
      <c r="F202" s="17"/>
      <c r="G202" s="17"/>
      <c r="H202" s="23"/>
      <c r="I202" s="17"/>
      <c r="J202" s="17"/>
      <c r="K202" s="110"/>
      <c r="L202" s="17"/>
      <c r="M202" s="17"/>
      <c r="N202" s="17"/>
    </row>
    <row r="203" spans="1:14" hidden="1">
      <c r="A203" s="60" t="str">
        <f t="shared" si="10"/>
        <v/>
      </c>
      <c r="B203" s="60" t="str">
        <f t="shared" si="11"/>
        <v/>
      </c>
      <c r="C203" s="17"/>
      <c r="D203" s="17"/>
      <c r="E203" s="17"/>
      <c r="F203" s="17"/>
      <c r="G203" s="17"/>
      <c r="H203" s="23"/>
      <c r="I203" s="17"/>
      <c r="J203" s="17"/>
      <c r="K203" s="110"/>
      <c r="L203" s="17"/>
      <c r="M203" s="17"/>
      <c r="N203" s="17"/>
    </row>
    <row r="204" spans="1:14" hidden="1">
      <c r="A204" s="60" t="str">
        <f t="shared" si="10"/>
        <v/>
      </c>
      <c r="B204" s="60" t="str">
        <f t="shared" si="11"/>
        <v/>
      </c>
      <c r="C204" s="17"/>
      <c r="D204" s="17"/>
      <c r="E204" s="17"/>
      <c r="F204" s="17"/>
      <c r="G204" s="17"/>
      <c r="H204" s="23"/>
      <c r="I204" s="17"/>
      <c r="J204" s="17"/>
      <c r="K204" s="110"/>
      <c r="L204" s="17"/>
      <c r="M204" s="17"/>
      <c r="N204" s="17"/>
    </row>
    <row r="205" spans="1:14" hidden="1">
      <c r="A205" s="60" t="str">
        <f t="shared" si="10"/>
        <v/>
      </c>
      <c r="B205" s="60" t="str">
        <f t="shared" si="11"/>
        <v/>
      </c>
      <c r="C205" s="17"/>
      <c r="D205" s="17"/>
      <c r="E205" s="17"/>
      <c r="F205" s="17"/>
      <c r="G205" s="17"/>
      <c r="H205" s="23"/>
      <c r="I205" s="17"/>
      <c r="J205" s="17"/>
      <c r="K205" s="110"/>
      <c r="L205" s="17"/>
      <c r="M205" s="17"/>
      <c r="N205" s="17"/>
    </row>
    <row r="206" spans="1:14" hidden="1">
      <c r="A206" s="60" t="str">
        <f t="shared" si="10"/>
        <v/>
      </c>
      <c r="B206" s="60" t="str">
        <f t="shared" si="11"/>
        <v/>
      </c>
      <c r="C206" s="17"/>
      <c r="D206" s="17"/>
      <c r="E206" s="17"/>
      <c r="F206" s="17"/>
      <c r="G206" s="17"/>
      <c r="H206" s="23"/>
      <c r="I206" s="17"/>
      <c r="J206" s="17"/>
      <c r="K206" s="110"/>
      <c r="L206" s="17"/>
      <c r="M206" s="17"/>
      <c r="N206" s="17"/>
    </row>
    <row r="207" spans="1:14" hidden="1">
      <c r="A207" s="60" t="str">
        <f t="shared" si="10"/>
        <v/>
      </c>
      <c r="B207" s="60" t="str">
        <f t="shared" si="11"/>
        <v/>
      </c>
      <c r="C207" s="17"/>
      <c r="D207" s="17"/>
      <c r="E207" s="17"/>
      <c r="F207" s="17"/>
      <c r="G207" s="17"/>
      <c r="H207" s="23"/>
      <c r="I207" s="17"/>
      <c r="J207" s="17"/>
      <c r="K207" s="110"/>
      <c r="L207" s="17"/>
      <c r="M207" s="17"/>
      <c r="N207" s="17"/>
    </row>
    <row r="208" spans="1:14" hidden="1">
      <c r="A208" s="60" t="str">
        <f t="shared" si="10"/>
        <v/>
      </c>
      <c r="B208" s="60" t="str">
        <f t="shared" si="11"/>
        <v/>
      </c>
      <c r="C208" s="17"/>
      <c r="D208" s="17"/>
      <c r="E208" s="17"/>
      <c r="F208" s="17"/>
      <c r="G208" s="17"/>
      <c r="H208" s="23"/>
      <c r="I208" s="17"/>
      <c r="J208" s="17"/>
      <c r="K208" s="110"/>
      <c r="L208" s="17"/>
      <c r="M208" s="17"/>
      <c r="N208" s="17"/>
    </row>
    <row r="209" spans="1:14" hidden="1">
      <c r="A209" s="60" t="str">
        <f t="shared" si="10"/>
        <v/>
      </c>
      <c r="B209" s="60" t="str">
        <f t="shared" si="11"/>
        <v/>
      </c>
      <c r="C209" s="17"/>
      <c r="D209" s="17"/>
      <c r="E209" s="17"/>
      <c r="F209" s="17"/>
      <c r="G209" s="17"/>
      <c r="H209" s="23"/>
      <c r="I209" s="17"/>
      <c r="J209" s="17"/>
      <c r="K209" s="110"/>
      <c r="L209" s="17"/>
      <c r="M209" s="17"/>
      <c r="N209" s="17"/>
    </row>
    <row r="210" spans="1:14" hidden="1">
      <c r="A210" s="60" t="str">
        <f t="shared" si="10"/>
        <v/>
      </c>
      <c r="B210" s="60" t="str">
        <f t="shared" si="11"/>
        <v/>
      </c>
      <c r="C210" s="17"/>
      <c r="D210" s="17"/>
      <c r="E210" s="17"/>
      <c r="F210" s="17"/>
      <c r="G210" s="17"/>
      <c r="H210" s="23"/>
      <c r="I210" s="17"/>
      <c r="J210" s="17"/>
      <c r="K210" s="110"/>
      <c r="L210" s="17"/>
      <c r="M210" s="17"/>
      <c r="N210" s="17"/>
    </row>
    <row r="211" spans="1:14" hidden="1">
      <c r="A211" s="60" t="str">
        <f t="shared" si="10"/>
        <v/>
      </c>
      <c r="B211" s="60" t="str">
        <f t="shared" si="11"/>
        <v/>
      </c>
      <c r="C211" s="17"/>
      <c r="D211" s="17"/>
      <c r="E211" s="17"/>
      <c r="F211" s="17"/>
      <c r="G211" s="17"/>
      <c r="H211" s="23"/>
      <c r="I211" s="17"/>
      <c r="J211" s="17"/>
      <c r="K211" s="110"/>
      <c r="L211" s="17"/>
      <c r="M211" s="17"/>
      <c r="N211" s="17"/>
    </row>
    <row r="212" spans="1:14" hidden="1">
      <c r="A212" s="60" t="str">
        <f t="shared" si="10"/>
        <v/>
      </c>
      <c r="B212" s="60" t="str">
        <f t="shared" si="11"/>
        <v/>
      </c>
      <c r="C212" s="17"/>
      <c r="D212" s="17"/>
      <c r="E212" s="17"/>
      <c r="F212" s="17"/>
      <c r="G212" s="17"/>
      <c r="H212" s="23"/>
      <c r="I212" s="17"/>
      <c r="J212" s="17"/>
      <c r="K212" s="110"/>
      <c r="L212" s="17"/>
      <c r="M212" s="17"/>
      <c r="N212" s="17"/>
    </row>
    <row r="213" spans="1:14" hidden="1">
      <c r="A213" s="60" t="str">
        <f t="shared" si="10"/>
        <v/>
      </c>
      <c r="B213" s="60" t="str">
        <f t="shared" si="11"/>
        <v/>
      </c>
      <c r="C213" s="17"/>
      <c r="D213" s="17"/>
      <c r="E213" s="17"/>
      <c r="F213" s="17"/>
      <c r="G213" s="17"/>
      <c r="H213" s="23"/>
      <c r="I213" s="17"/>
      <c r="J213" s="17"/>
      <c r="K213" s="110"/>
      <c r="L213" s="17"/>
      <c r="M213" s="17"/>
      <c r="N213" s="17"/>
    </row>
    <row r="214" spans="1:14" hidden="1">
      <c r="A214" s="60" t="str">
        <f t="shared" si="10"/>
        <v/>
      </c>
      <c r="B214" s="60" t="str">
        <f t="shared" si="11"/>
        <v/>
      </c>
      <c r="C214" s="17"/>
      <c r="D214" s="17"/>
      <c r="E214" s="17"/>
      <c r="F214" s="17"/>
      <c r="G214" s="17"/>
      <c r="H214" s="23"/>
      <c r="I214" s="17"/>
      <c r="J214" s="17"/>
      <c r="K214" s="110"/>
      <c r="L214" s="17"/>
      <c r="M214" s="17"/>
      <c r="N214" s="17"/>
    </row>
    <row r="215" spans="1:14" hidden="1">
      <c r="A215" s="60" t="str">
        <f t="shared" si="10"/>
        <v/>
      </c>
      <c r="B215" s="60" t="str">
        <f t="shared" si="11"/>
        <v/>
      </c>
      <c r="C215" s="17"/>
      <c r="D215" s="17"/>
      <c r="E215" s="17"/>
      <c r="F215" s="17"/>
      <c r="G215" s="17"/>
      <c r="H215" s="23"/>
      <c r="I215" s="17"/>
      <c r="J215" s="17"/>
      <c r="K215" s="110"/>
      <c r="L215" s="17"/>
      <c r="M215" s="17"/>
      <c r="N215" s="17"/>
    </row>
    <row r="216" spans="1:14" hidden="1">
      <c r="A216" s="60" t="str">
        <f t="shared" si="10"/>
        <v/>
      </c>
      <c r="B216" s="60" t="str">
        <f t="shared" si="11"/>
        <v/>
      </c>
      <c r="C216" s="17"/>
      <c r="D216" s="17"/>
      <c r="E216" s="17"/>
      <c r="F216" s="17"/>
      <c r="G216" s="17"/>
      <c r="H216" s="23"/>
      <c r="I216" s="17"/>
      <c r="J216" s="17"/>
      <c r="K216" s="110"/>
      <c r="L216" s="17"/>
      <c r="M216" s="17"/>
      <c r="N216" s="17"/>
    </row>
    <row r="217" spans="1:14" hidden="1">
      <c r="A217" s="60" t="str">
        <f t="shared" si="10"/>
        <v/>
      </c>
      <c r="B217" s="60" t="str">
        <f t="shared" si="11"/>
        <v/>
      </c>
      <c r="C217" s="17"/>
      <c r="D217" s="17"/>
      <c r="E217" s="17"/>
      <c r="F217" s="17"/>
      <c r="G217" s="17"/>
      <c r="H217" s="23"/>
      <c r="I217" s="17"/>
      <c r="J217" s="17"/>
      <c r="K217" s="110"/>
      <c r="L217" s="17"/>
      <c r="M217" s="17"/>
      <c r="N217" s="17"/>
    </row>
    <row r="218" spans="1:14" hidden="1">
      <c r="A218" s="60" t="str">
        <f t="shared" si="10"/>
        <v/>
      </c>
      <c r="B218" s="60" t="str">
        <f t="shared" si="11"/>
        <v/>
      </c>
      <c r="C218" s="17"/>
      <c r="D218" s="17"/>
      <c r="E218" s="17"/>
      <c r="F218" s="17"/>
      <c r="G218" s="17"/>
      <c r="H218" s="23"/>
      <c r="I218" s="17"/>
      <c r="J218" s="17"/>
      <c r="K218" s="110"/>
      <c r="L218" s="17"/>
      <c r="M218" s="17"/>
      <c r="N218" s="17"/>
    </row>
    <row r="219" spans="1:14" hidden="1">
      <c r="A219" s="60" t="str">
        <f t="shared" si="10"/>
        <v/>
      </c>
      <c r="B219" s="60" t="str">
        <f t="shared" si="11"/>
        <v/>
      </c>
      <c r="C219" s="17"/>
      <c r="D219" s="17"/>
      <c r="E219" s="17"/>
      <c r="F219" s="17"/>
      <c r="G219" s="17"/>
      <c r="H219" s="23"/>
      <c r="I219" s="17"/>
      <c r="J219" s="17"/>
      <c r="K219" s="110"/>
      <c r="L219" s="17"/>
      <c r="M219" s="17"/>
      <c r="N219" s="17"/>
    </row>
    <row r="220" spans="1:14" hidden="1">
      <c r="A220" s="60" t="str">
        <f t="shared" si="10"/>
        <v/>
      </c>
      <c r="B220" s="60" t="str">
        <f t="shared" si="11"/>
        <v/>
      </c>
      <c r="C220" s="17"/>
      <c r="D220" s="17"/>
      <c r="E220" s="17"/>
      <c r="F220" s="17"/>
      <c r="G220" s="17"/>
      <c r="H220" s="23"/>
      <c r="I220" s="17"/>
      <c r="J220" s="17"/>
      <c r="K220" s="110"/>
      <c r="L220" s="17"/>
      <c r="M220" s="17"/>
      <c r="N220" s="17"/>
    </row>
    <row r="221" spans="1:14" hidden="1">
      <c r="A221" s="60" t="str">
        <f t="shared" si="10"/>
        <v/>
      </c>
      <c r="B221" s="60" t="str">
        <f t="shared" si="11"/>
        <v/>
      </c>
      <c r="C221" s="17"/>
      <c r="D221" s="17"/>
      <c r="E221" s="17"/>
      <c r="F221" s="17"/>
      <c r="G221" s="17"/>
      <c r="H221" s="23"/>
      <c r="I221" s="17"/>
      <c r="J221" s="17"/>
      <c r="K221" s="110"/>
      <c r="L221" s="17"/>
      <c r="M221" s="17"/>
      <c r="N221" s="17"/>
    </row>
    <row r="222" spans="1:14" hidden="1">
      <c r="A222" s="60" t="str">
        <f t="shared" si="10"/>
        <v/>
      </c>
      <c r="B222" s="60" t="str">
        <f t="shared" si="11"/>
        <v/>
      </c>
      <c r="C222" s="17"/>
      <c r="D222" s="17"/>
      <c r="E222" s="17"/>
      <c r="F222" s="17"/>
      <c r="G222" s="17"/>
      <c r="H222" s="23"/>
      <c r="I222" s="17"/>
      <c r="J222" s="17"/>
      <c r="K222" s="110"/>
      <c r="L222" s="17"/>
      <c r="M222" s="17"/>
      <c r="N222" s="17"/>
    </row>
    <row r="223" spans="1:14" hidden="1">
      <c r="A223" s="60" t="str">
        <f t="shared" si="10"/>
        <v/>
      </c>
      <c r="B223" s="60" t="str">
        <f t="shared" si="11"/>
        <v/>
      </c>
      <c r="C223" s="17"/>
      <c r="D223" s="17"/>
      <c r="E223" s="17"/>
      <c r="F223" s="17"/>
      <c r="G223" s="17"/>
      <c r="H223" s="23"/>
      <c r="I223" s="17"/>
      <c r="J223" s="17"/>
      <c r="K223" s="110"/>
      <c r="L223" s="17"/>
      <c r="M223" s="17"/>
      <c r="N223" s="17"/>
    </row>
    <row r="224" spans="1:14" hidden="1">
      <c r="A224" s="60" t="str">
        <f t="shared" si="10"/>
        <v/>
      </c>
      <c r="B224" s="60" t="str">
        <f t="shared" si="11"/>
        <v/>
      </c>
      <c r="C224" s="17"/>
      <c r="D224" s="17"/>
      <c r="E224" s="17"/>
      <c r="F224" s="17"/>
      <c r="G224" s="17"/>
      <c r="H224" s="23"/>
      <c r="I224" s="17"/>
      <c r="J224" s="17"/>
      <c r="K224" s="110"/>
      <c r="L224" s="17"/>
      <c r="M224" s="17"/>
      <c r="N224" s="17"/>
    </row>
    <row r="225" spans="1:14" hidden="1">
      <c r="A225" s="60" t="str">
        <f t="shared" si="10"/>
        <v/>
      </c>
      <c r="B225" s="60" t="str">
        <f t="shared" si="11"/>
        <v/>
      </c>
      <c r="C225" s="17"/>
      <c r="D225" s="17"/>
      <c r="E225" s="17"/>
      <c r="F225" s="17"/>
      <c r="G225" s="17"/>
      <c r="H225" s="23"/>
      <c r="I225" s="17"/>
      <c r="J225" s="17"/>
      <c r="K225" s="110"/>
      <c r="L225" s="17"/>
      <c r="M225" s="17"/>
      <c r="N225" s="17"/>
    </row>
    <row r="226" spans="1:14" hidden="1">
      <c r="A226" s="60" t="str">
        <f t="shared" si="10"/>
        <v/>
      </c>
      <c r="B226" s="60" t="str">
        <f t="shared" si="11"/>
        <v/>
      </c>
      <c r="C226" s="17"/>
      <c r="D226" s="17"/>
      <c r="E226" s="17"/>
      <c r="F226" s="17"/>
      <c r="G226" s="17"/>
      <c r="H226" s="23"/>
      <c r="I226" s="17"/>
      <c r="J226" s="17"/>
      <c r="K226" s="110"/>
      <c r="L226" s="17"/>
      <c r="M226" s="17"/>
      <c r="N226" s="17"/>
    </row>
    <row r="227" spans="1:14" hidden="1">
      <c r="A227" s="60" t="str">
        <f t="shared" si="10"/>
        <v/>
      </c>
      <c r="B227" s="60" t="str">
        <f t="shared" si="11"/>
        <v/>
      </c>
      <c r="C227" s="17"/>
      <c r="D227" s="17"/>
      <c r="E227" s="17"/>
      <c r="F227" s="17"/>
      <c r="G227" s="17"/>
      <c r="H227" s="23"/>
      <c r="I227" s="17"/>
      <c r="J227" s="17"/>
      <c r="K227" s="110"/>
      <c r="L227" s="17"/>
      <c r="M227" s="17"/>
      <c r="N227" s="17"/>
    </row>
    <row r="228" spans="1:14" hidden="1">
      <c r="A228" s="60" t="str">
        <f t="shared" si="10"/>
        <v/>
      </c>
      <c r="B228" s="60" t="str">
        <f t="shared" si="11"/>
        <v/>
      </c>
      <c r="C228" s="17"/>
      <c r="D228" s="17"/>
      <c r="E228" s="17"/>
      <c r="F228" s="17"/>
      <c r="G228" s="17"/>
      <c r="H228" s="23"/>
      <c r="I228" s="17"/>
      <c r="J228" s="17"/>
      <c r="K228" s="110"/>
      <c r="L228" s="17"/>
      <c r="M228" s="17"/>
      <c r="N228" s="17"/>
    </row>
    <row r="229" spans="1:14" hidden="1">
      <c r="A229" s="2" t="str">
        <f t="shared" ref="A229:A292" si="12">+C229&amp;G229&amp;H229&amp;D229</f>
        <v/>
      </c>
      <c r="B229" s="2" t="str">
        <f t="shared" ref="B229:B292" si="13">+C229&amp;G229&amp;H229&amp;D229&amp;K229</f>
        <v/>
      </c>
      <c r="C229" s="17"/>
      <c r="D229" s="17"/>
      <c r="E229" s="17"/>
      <c r="F229" s="17"/>
      <c r="G229" s="17"/>
      <c r="H229" s="23"/>
      <c r="I229" s="17"/>
      <c r="J229" s="17"/>
      <c r="K229" s="110"/>
      <c r="L229" s="17"/>
      <c r="M229" s="17"/>
      <c r="N229" s="17"/>
    </row>
    <row r="230" spans="1:14" hidden="1">
      <c r="A230" s="2" t="str">
        <f t="shared" si="12"/>
        <v/>
      </c>
      <c r="B230" s="2" t="str">
        <f t="shared" si="13"/>
        <v/>
      </c>
      <c r="C230" s="17"/>
      <c r="D230" s="17"/>
      <c r="E230" s="17"/>
      <c r="F230" s="17"/>
      <c r="G230" s="17"/>
      <c r="H230" s="23"/>
      <c r="I230" s="17"/>
      <c r="J230" s="17"/>
      <c r="K230" s="110"/>
      <c r="L230" s="17"/>
      <c r="M230" s="17"/>
      <c r="N230" s="17"/>
    </row>
    <row r="231" spans="1:14" hidden="1">
      <c r="A231" s="2" t="str">
        <f t="shared" si="12"/>
        <v/>
      </c>
      <c r="B231" s="2" t="str">
        <f t="shared" si="13"/>
        <v/>
      </c>
      <c r="C231" s="17"/>
      <c r="D231" s="17"/>
      <c r="E231" s="17"/>
      <c r="F231" s="17"/>
      <c r="G231" s="17"/>
      <c r="H231" s="23"/>
      <c r="I231" s="17"/>
      <c r="J231" s="17"/>
      <c r="K231" s="110"/>
      <c r="L231" s="17"/>
      <c r="M231" s="17"/>
      <c r="N231" s="17"/>
    </row>
    <row r="232" spans="1:14" hidden="1">
      <c r="A232" s="2" t="str">
        <f t="shared" si="12"/>
        <v/>
      </c>
      <c r="B232" s="2" t="str">
        <f t="shared" si="13"/>
        <v/>
      </c>
      <c r="C232" s="17"/>
      <c r="D232" s="17"/>
      <c r="E232" s="17"/>
      <c r="F232" s="17"/>
      <c r="G232" s="17"/>
      <c r="H232" s="23"/>
      <c r="I232" s="17"/>
      <c r="J232" s="17"/>
      <c r="K232" s="110"/>
      <c r="L232" s="17"/>
      <c r="M232" s="17"/>
      <c r="N232" s="17"/>
    </row>
    <row r="233" spans="1:14" hidden="1">
      <c r="A233" s="2" t="str">
        <f t="shared" si="12"/>
        <v/>
      </c>
      <c r="B233" s="2" t="str">
        <f t="shared" si="13"/>
        <v/>
      </c>
      <c r="C233" s="17"/>
      <c r="D233" s="17"/>
      <c r="E233" s="17"/>
      <c r="F233" s="17"/>
      <c r="G233" s="17"/>
      <c r="H233" s="23"/>
      <c r="I233" s="17"/>
      <c r="J233" s="17"/>
      <c r="K233" s="110"/>
      <c r="L233" s="17"/>
      <c r="M233" s="17"/>
      <c r="N233" s="17"/>
    </row>
    <row r="234" spans="1:14" hidden="1">
      <c r="A234" s="2" t="str">
        <f t="shared" si="12"/>
        <v/>
      </c>
      <c r="B234" s="2" t="str">
        <f t="shared" si="13"/>
        <v/>
      </c>
      <c r="C234" s="17"/>
      <c r="D234" s="17"/>
      <c r="E234" s="17"/>
      <c r="F234" s="17"/>
      <c r="G234" s="17"/>
      <c r="H234" s="23"/>
      <c r="I234" s="17"/>
      <c r="J234" s="17"/>
      <c r="K234" s="110"/>
      <c r="L234" s="17"/>
      <c r="M234" s="17"/>
      <c r="N234" s="17"/>
    </row>
    <row r="235" spans="1:14" hidden="1">
      <c r="A235" s="2" t="str">
        <f t="shared" si="12"/>
        <v/>
      </c>
      <c r="B235" s="2" t="str">
        <f t="shared" si="13"/>
        <v/>
      </c>
      <c r="C235" s="17"/>
      <c r="D235" s="17"/>
      <c r="E235" s="17"/>
      <c r="F235" s="17"/>
      <c r="G235" s="17"/>
      <c r="H235" s="23"/>
      <c r="I235" s="17"/>
      <c r="J235" s="17"/>
      <c r="K235" s="110"/>
      <c r="L235" s="17"/>
      <c r="M235" s="17"/>
      <c r="N235" s="17"/>
    </row>
    <row r="236" spans="1:14" hidden="1">
      <c r="A236" s="2" t="str">
        <f t="shared" si="12"/>
        <v/>
      </c>
      <c r="B236" s="2" t="str">
        <f t="shared" si="13"/>
        <v/>
      </c>
      <c r="C236" s="17"/>
      <c r="D236" s="17"/>
      <c r="E236" s="17"/>
      <c r="F236" s="17"/>
      <c r="G236" s="17"/>
      <c r="H236" s="23"/>
      <c r="I236" s="17"/>
      <c r="J236" s="17"/>
      <c r="K236" s="110"/>
      <c r="L236" s="17"/>
      <c r="M236" s="17"/>
      <c r="N236" s="17"/>
    </row>
    <row r="237" spans="1:14" hidden="1">
      <c r="A237" s="2" t="str">
        <f t="shared" si="12"/>
        <v/>
      </c>
      <c r="B237" s="2" t="str">
        <f t="shared" si="13"/>
        <v/>
      </c>
      <c r="C237" s="17"/>
      <c r="D237" s="17"/>
      <c r="E237" s="17"/>
      <c r="F237" s="17"/>
      <c r="G237" s="17"/>
      <c r="H237" s="23"/>
      <c r="I237" s="17"/>
      <c r="J237" s="17"/>
      <c r="K237" s="110"/>
      <c r="L237" s="17"/>
      <c r="M237" s="17"/>
      <c r="N237" s="17"/>
    </row>
    <row r="238" spans="1:14" hidden="1">
      <c r="A238" s="2" t="str">
        <f t="shared" si="12"/>
        <v/>
      </c>
      <c r="B238" s="2" t="str">
        <f t="shared" si="13"/>
        <v/>
      </c>
      <c r="C238" s="17"/>
      <c r="D238" s="17"/>
      <c r="E238" s="17"/>
      <c r="F238" s="17"/>
      <c r="G238" s="17"/>
      <c r="H238" s="23"/>
      <c r="I238" s="17"/>
      <c r="J238" s="17"/>
      <c r="K238" s="110"/>
      <c r="L238" s="17"/>
      <c r="M238" s="17"/>
      <c r="N238" s="17"/>
    </row>
    <row r="239" spans="1:14" hidden="1">
      <c r="A239" s="2" t="str">
        <f t="shared" si="12"/>
        <v/>
      </c>
      <c r="B239" s="2" t="str">
        <f t="shared" si="13"/>
        <v/>
      </c>
      <c r="C239" s="17"/>
      <c r="D239" s="17"/>
      <c r="E239" s="17"/>
      <c r="F239" s="17"/>
      <c r="G239" s="17"/>
      <c r="H239" s="23"/>
      <c r="I239" s="17"/>
      <c r="J239" s="17"/>
      <c r="K239" s="110"/>
      <c r="L239" s="17"/>
      <c r="M239" s="17"/>
      <c r="N239" s="17"/>
    </row>
    <row r="240" spans="1:14" hidden="1">
      <c r="A240" s="2" t="str">
        <f t="shared" si="12"/>
        <v/>
      </c>
      <c r="B240" s="2" t="str">
        <f t="shared" si="13"/>
        <v/>
      </c>
      <c r="C240" s="17"/>
      <c r="D240" s="17"/>
      <c r="E240" s="17"/>
      <c r="F240" s="17"/>
      <c r="G240" s="17"/>
      <c r="H240" s="23"/>
      <c r="I240" s="17"/>
      <c r="J240" s="17"/>
      <c r="K240" s="110"/>
      <c r="L240" s="17"/>
      <c r="M240" s="17"/>
      <c r="N240" s="17"/>
    </row>
    <row r="241" spans="1:14" hidden="1">
      <c r="A241" s="2" t="str">
        <f t="shared" si="12"/>
        <v/>
      </c>
      <c r="B241" s="2" t="str">
        <f t="shared" si="13"/>
        <v/>
      </c>
      <c r="C241" s="17"/>
      <c r="D241" s="17"/>
      <c r="E241" s="17"/>
      <c r="F241" s="17"/>
      <c r="G241" s="17"/>
      <c r="H241" s="23"/>
      <c r="I241" s="17"/>
      <c r="J241" s="17"/>
      <c r="K241" s="110"/>
      <c r="L241" s="17"/>
      <c r="M241" s="17"/>
      <c r="N241" s="17"/>
    </row>
    <row r="242" spans="1:14" hidden="1">
      <c r="A242" s="2" t="str">
        <f t="shared" si="12"/>
        <v/>
      </c>
      <c r="B242" s="2" t="str">
        <f t="shared" si="13"/>
        <v/>
      </c>
      <c r="C242" s="17"/>
      <c r="D242" s="17"/>
      <c r="E242" s="17"/>
      <c r="F242" s="17"/>
      <c r="G242" s="17"/>
      <c r="H242" s="23"/>
      <c r="I242" s="17"/>
      <c r="J242" s="17"/>
      <c r="K242" s="110"/>
      <c r="L242" s="17"/>
      <c r="M242" s="17"/>
      <c r="N242" s="17"/>
    </row>
    <row r="243" spans="1:14" hidden="1">
      <c r="A243" s="2" t="str">
        <f t="shared" si="12"/>
        <v/>
      </c>
      <c r="B243" s="2" t="str">
        <f t="shared" si="13"/>
        <v/>
      </c>
      <c r="C243" s="17"/>
      <c r="D243" s="17"/>
      <c r="E243" s="17"/>
      <c r="F243" s="17"/>
      <c r="G243" s="17"/>
      <c r="H243" s="23"/>
      <c r="I243" s="17"/>
      <c r="J243" s="17"/>
      <c r="K243" s="110"/>
      <c r="L243" s="17"/>
      <c r="M243" s="17"/>
      <c r="N243" s="17"/>
    </row>
    <row r="244" spans="1:14" hidden="1">
      <c r="A244" s="2" t="str">
        <f t="shared" si="12"/>
        <v/>
      </c>
      <c r="B244" s="2" t="str">
        <f t="shared" si="13"/>
        <v/>
      </c>
      <c r="C244" s="17"/>
      <c r="D244" s="17"/>
      <c r="E244" s="17"/>
      <c r="F244" s="17"/>
      <c r="G244" s="17"/>
      <c r="H244" s="23"/>
      <c r="I244" s="17"/>
      <c r="J244" s="17"/>
      <c r="K244" s="110"/>
      <c r="L244" s="17"/>
      <c r="M244" s="17"/>
      <c r="N244" s="17"/>
    </row>
    <row r="245" spans="1:14" hidden="1">
      <c r="A245" s="2" t="str">
        <f t="shared" si="12"/>
        <v/>
      </c>
      <c r="B245" s="2" t="str">
        <f t="shared" si="13"/>
        <v/>
      </c>
      <c r="C245" s="17"/>
      <c r="D245" s="17"/>
      <c r="E245" s="17"/>
      <c r="F245" s="17"/>
      <c r="G245" s="17"/>
      <c r="H245" s="23"/>
      <c r="I245" s="17"/>
      <c r="J245" s="17"/>
      <c r="K245" s="110"/>
      <c r="L245" s="17"/>
      <c r="M245" s="17"/>
      <c r="N245" s="17"/>
    </row>
    <row r="246" spans="1:14" hidden="1">
      <c r="A246" s="2" t="str">
        <f t="shared" si="12"/>
        <v/>
      </c>
      <c r="B246" s="2" t="str">
        <f t="shared" si="13"/>
        <v/>
      </c>
      <c r="C246" s="17"/>
      <c r="D246" s="17"/>
      <c r="E246" s="17"/>
      <c r="F246" s="17"/>
      <c r="G246" s="17"/>
      <c r="H246" s="23"/>
      <c r="I246" s="17"/>
      <c r="J246" s="17"/>
      <c r="K246" s="110"/>
      <c r="L246" s="17"/>
      <c r="M246" s="17"/>
      <c r="N246" s="17"/>
    </row>
    <row r="247" spans="1:14" hidden="1">
      <c r="A247" s="2" t="str">
        <f t="shared" si="12"/>
        <v/>
      </c>
      <c r="B247" s="2" t="str">
        <f t="shared" si="13"/>
        <v/>
      </c>
      <c r="C247" s="17"/>
      <c r="D247" s="17"/>
      <c r="E247" s="17"/>
      <c r="F247" s="17"/>
      <c r="G247" s="17"/>
      <c r="H247" s="23"/>
      <c r="I247" s="17"/>
      <c r="J247" s="17"/>
      <c r="K247" s="110"/>
      <c r="L247" s="17"/>
      <c r="M247" s="17"/>
      <c r="N247" s="17"/>
    </row>
    <row r="248" spans="1:14" hidden="1">
      <c r="A248" s="2" t="str">
        <f t="shared" si="12"/>
        <v/>
      </c>
      <c r="B248" s="2" t="str">
        <f t="shared" si="13"/>
        <v/>
      </c>
      <c r="C248" s="17"/>
      <c r="D248" s="17"/>
      <c r="E248" s="17"/>
      <c r="F248" s="17"/>
      <c r="G248" s="17"/>
      <c r="H248" s="23"/>
      <c r="I248" s="17"/>
      <c r="J248" s="17"/>
      <c r="K248" s="110"/>
      <c r="L248" s="17"/>
      <c r="M248" s="17"/>
      <c r="N248" s="17"/>
    </row>
    <row r="249" spans="1:14" hidden="1">
      <c r="A249" s="2" t="str">
        <f t="shared" si="12"/>
        <v/>
      </c>
      <c r="B249" s="2" t="str">
        <f t="shared" si="13"/>
        <v/>
      </c>
      <c r="C249" s="17"/>
      <c r="D249" s="17"/>
      <c r="E249" s="17"/>
      <c r="F249" s="17"/>
      <c r="G249" s="17"/>
      <c r="H249" s="23"/>
      <c r="I249" s="17"/>
      <c r="J249" s="17"/>
      <c r="K249" s="110"/>
      <c r="L249" s="17"/>
      <c r="M249" s="17"/>
      <c r="N249" s="17"/>
    </row>
    <row r="250" spans="1:14" hidden="1">
      <c r="A250" s="2" t="str">
        <f t="shared" si="12"/>
        <v/>
      </c>
      <c r="B250" s="2" t="str">
        <f t="shared" si="13"/>
        <v/>
      </c>
      <c r="C250" s="17"/>
      <c r="D250" s="17"/>
      <c r="E250" s="17"/>
      <c r="F250" s="17"/>
      <c r="G250" s="17"/>
      <c r="H250" s="23"/>
      <c r="I250" s="17"/>
      <c r="J250" s="17"/>
      <c r="K250" s="110"/>
      <c r="L250" s="17"/>
      <c r="M250" s="17"/>
      <c r="N250" s="17"/>
    </row>
    <row r="251" spans="1:14" hidden="1">
      <c r="A251" s="2" t="str">
        <f t="shared" si="12"/>
        <v/>
      </c>
      <c r="B251" s="2" t="str">
        <f t="shared" si="13"/>
        <v/>
      </c>
      <c r="C251" s="17"/>
      <c r="D251" s="17"/>
      <c r="E251" s="17"/>
      <c r="F251" s="17"/>
      <c r="G251" s="17"/>
      <c r="H251" s="23"/>
      <c r="I251" s="17"/>
      <c r="J251" s="17"/>
      <c r="K251" s="110"/>
      <c r="L251" s="17"/>
      <c r="M251" s="17"/>
      <c r="N251" s="17"/>
    </row>
    <row r="252" spans="1:14" hidden="1">
      <c r="A252" s="2" t="str">
        <f t="shared" si="12"/>
        <v/>
      </c>
      <c r="B252" s="2" t="str">
        <f t="shared" si="13"/>
        <v/>
      </c>
      <c r="C252" s="17"/>
      <c r="D252" s="17"/>
      <c r="E252" s="17"/>
      <c r="F252" s="17"/>
      <c r="G252" s="17"/>
      <c r="H252" s="23"/>
      <c r="I252" s="17"/>
      <c r="J252" s="17"/>
      <c r="K252" s="110"/>
      <c r="L252" s="17"/>
      <c r="M252" s="17"/>
      <c r="N252" s="17"/>
    </row>
    <row r="253" spans="1:14" hidden="1">
      <c r="A253" s="2" t="str">
        <f t="shared" si="12"/>
        <v/>
      </c>
      <c r="B253" s="2" t="str">
        <f t="shared" si="13"/>
        <v/>
      </c>
      <c r="C253" s="17"/>
      <c r="D253" s="17"/>
      <c r="E253" s="17"/>
      <c r="F253" s="17"/>
      <c r="G253" s="17"/>
      <c r="H253" s="23"/>
      <c r="I253" s="17"/>
      <c r="J253" s="17"/>
      <c r="K253" s="110"/>
      <c r="L253" s="17"/>
      <c r="M253" s="17"/>
      <c r="N253" s="17"/>
    </row>
    <row r="254" spans="1:14" hidden="1">
      <c r="A254" s="2" t="str">
        <f t="shared" si="12"/>
        <v/>
      </c>
      <c r="B254" s="2" t="str">
        <f t="shared" si="13"/>
        <v/>
      </c>
      <c r="C254" s="17"/>
      <c r="D254" s="17"/>
      <c r="E254" s="17"/>
      <c r="F254" s="17"/>
      <c r="G254" s="17"/>
      <c r="H254" s="23"/>
      <c r="I254" s="17"/>
      <c r="J254" s="17"/>
      <c r="K254" s="110"/>
      <c r="L254" s="17"/>
      <c r="M254" s="17"/>
      <c r="N254" s="17"/>
    </row>
    <row r="255" spans="1:14" hidden="1">
      <c r="A255" s="2" t="str">
        <f t="shared" si="12"/>
        <v/>
      </c>
      <c r="B255" s="2" t="str">
        <f t="shared" si="13"/>
        <v/>
      </c>
      <c r="C255" s="17"/>
      <c r="D255" s="17"/>
      <c r="E255" s="17"/>
      <c r="F255" s="17"/>
      <c r="G255" s="17"/>
      <c r="H255" s="23"/>
      <c r="I255" s="17"/>
      <c r="J255" s="17"/>
      <c r="K255" s="110"/>
      <c r="L255" s="17"/>
      <c r="M255" s="17"/>
      <c r="N255" s="17"/>
    </row>
    <row r="256" spans="1:14" hidden="1">
      <c r="A256" s="2" t="str">
        <f t="shared" si="12"/>
        <v/>
      </c>
      <c r="B256" s="2" t="str">
        <f t="shared" si="13"/>
        <v/>
      </c>
      <c r="C256" s="17"/>
      <c r="D256" s="17"/>
      <c r="E256" s="17"/>
      <c r="F256" s="17"/>
      <c r="G256" s="17"/>
      <c r="H256" s="23"/>
      <c r="I256" s="17"/>
      <c r="J256" s="17"/>
      <c r="K256" s="110"/>
      <c r="L256" s="17"/>
      <c r="M256" s="17"/>
      <c r="N256" s="17"/>
    </row>
    <row r="257" spans="1:14" hidden="1">
      <c r="A257" s="2" t="str">
        <f t="shared" si="12"/>
        <v/>
      </c>
      <c r="B257" s="2" t="str">
        <f t="shared" si="13"/>
        <v/>
      </c>
      <c r="C257" s="17"/>
      <c r="D257" s="17"/>
      <c r="E257" s="17"/>
      <c r="F257" s="17"/>
      <c r="G257" s="17"/>
      <c r="H257" s="23"/>
      <c r="I257" s="17"/>
      <c r="J257" s="17"/>
      <c r="K257" s="110"/>
      <c r="L257" s="17"/>
      <c r="M257" s="17"/>
      <c r="N257" s="17"/>
    </row>
    <row r="258" spans="1:14" hidden="1">
      <c r="A258" s="2" t="str">
        <f t="shared" si="12"/>
        <v/>
      </c>
      <c r="B258" s="2" t="str">
        <f t="shared" si="13"/>
        <v/>
      </c>
      <c r="C258" s="17"/>
      <c r="D258" s="17"/>
      <c r="E258" s="17"/>
      <c r="F258" s="17"/>
      <c r="G258" s="17"/>
      <c r="H258" s="23"/>
      <c r="I258" s="17"/>
      <c r="J258" s="17"/>
      <c r="K258" s="110"/>
      <c r="L258" s="17"/>
      <c r="M258" s="17"/>
      <c r="N258" s="17"/>
    </row>
    <row r="259" spans="1:14" hidden="1">
      <c r="A259" s="2" t="str">
        <f t="shared" si="12"/>
        <v/>
      </c>
      <c r="B259" s="2" t="str">
        <f t="shared" si="13"/>
        <v/>
      </c>
      <c r="C259" s="17"/>
      <c r="D259" s="17"/>
      <c r="E259" s="17"/>
      <c r="F259" s="17"/>
      <c r="G259" s="17"/>
      <c r="H259" s="23"/>
      <c r="I259" s="17"/>
      <c r="J259" s="17"/>
      <c r="K259" s="110"/>
      <c r="L259" s="17"/>
      <c r="M259" s="17"/>
      <c r="N259" s="17"/>
    </row>
    <row r="260" spans="1:14" hidden="1">
      <c r="A260" s="2" t="str">
        <f t="shared" si="12"/>
        <v/>
      </c>
      <c r="B260" s="2" t="str">
        <f t="shared" si="13"/>
        <v/>
      </c>
      <c r="C260" s="17"/>
      <c r="D260" s="17"/>
      <c r="E260" s="17"/>
      <c r="F260" s="17"/>
      <c r="G260" s="17"/>
      <c r="H260" s="23"/>
      <c r="I260" s="17"/>
      <c r="J260" s="17"/>
      <c r="K260" s="110"/>
      <c r="L260" s="17"/>
      <c r="M260" s="17"/>
      <c r="N260" s="17"/>
    </row>
    <row r="261" spans="1:14" hidden="1">
      <c r="A261" s="2" t="str">
        <f t="shared" si="12"/>
        <v/>
      </c>
      <c r="B261" s="2" t="str">
        <f t="shared" si="13"/>
        <v/>
      </c>
      <c r="C261" s="17"/>
      <c r="D261" s="17"/>
      <c r="E261" s="17"/>
      <c r="F261" s="17"/>
      <c r="G261" s="17"/>
      <c r="H261" s="23"/>
      <c r="I261" s="17"/>
      <c r="J261" s="17"/>
      <c r="K261" s="110"/>
      <c r="L261" s="17"/>
      <c r="M261" s="17"/>
      <c r="N261" s="17"/>
    </row>
    <row r="262" spans="1:14" hidden="1">
      <c r="A262" s="2" t="str">
        <f t="shared" si="12"/>
        <v/>
      </c>
      <c r="B262" s="2" t="str">
        <f t="shared" si="13"/>
        <v/>
      </c>
      <c r="C262" s="17"/>
      <c r="D262" s="17"/>
      <c r="E262" s="17"/>
      <c r="F262" s="17"/>
      <c r="G262" s="17"/>
      <c r="H262" s="23"/>
      <c r="I262" s="17"/>
      <c r="J262" s="17"/>
      <c r="K262" s="110"/>
      <c r="L262" s="17"/>
      <c r="M262" s="17"/>
      <c r="N262" s="17"/>
    </row>
    <row r="263" spans="1:14" hidden="1">
      <c r="A263" s="2" t="str">
        <f t="shared" si="12"/>
        <v/>
      </c>
      <c r="B263" s="2" t="str">
        <f t="shared" si="13"/>
        <v/>
      </c>
      <c r="C263" s="17"/>
      <c r="D263" s="17"/>
      <c r="E263" s="17"/>
      <c r="F263" s="17"/>
      <c r="G263" s="17"/>
      <c r="H263" s="23"/>
      <c r="I263" s="17"/>
      <c r="J263" s="17"/>
      <c r="K263" s="110"/>
      <c r="L263" s="17"/>
      <c r="M263" s="17"/>
      <c r="N263" s="17"/>
    </row>
    <row r="264" spans="1:14" hidden="1">
      <c r="A264" s="2" t="str">
        <f t="shared" si="12"/>
        <v/>
      </c>
      <c r="B264" s="2" t="str">
        <f t="shared" si="13"/>
        <v/>
      </c>
      <c r="C264" s="17"/>
      <c r="D264" s="17"/>
      <c r="E264" s="17"/>
      <c r="F264" s="17"/>
      <c r="G264" s="17"/>
      <c r="H264" s="23"/>
      <c r="I264" s="17"/>
      <c r="J264" s="17"/>
      <c r="K264" s="110"/>
      <c r="L264" s="17"/>
      <c r="M264" s="17"/>
      <c r="N264" s="17"/>
    </row>
    <row r="265" spans="1:14" hidden="1">
      <c r="A265" s="2" t="str">
        <f t="shared" si="12"/>
        <v/>
      </c>
      <c r="B265" s="2" t="str">
        <f t="shared" si="13"/>
        <v/>
      </c>
      <c r="C265" s="17"/>
      <c r="D265" s="17"/>
      <c r="E265" s="17"/>
      <c r="F265" s="17"/>
      <c r="G265" s="17"/>
      <c r="H265" s="23"/>
      <c r="I265" s="17"/>
      <c r="J265" s="17"/>
      <c r="K265" s="110"/>
      <c r="L265" s="17"/>
      <c r="M265" s="17"/>
      <c r="N265" s="17"/>
    </row>
    <row r="266" spans="1:14" hidden="1">
      <c r="A266" s="2" t="str">
        <f t="shared" si="12"/>
        <v/>
      </c>
      <c r="B266" s="2" t="str">
        <f t="shared" si="13"/>
        <v/>
      </c>
      <c r="C266" s="17"/>
      <c r="D266" s="17"/>
      <c r="E266" s="17"/>
      <c r="F266" s="17"/>
      <c r="G266" s="17"/>
      <c r="H266" s="23"/>
      <c r="I266" s="17"/>
      <c r="J266" s="17"/>
      <c r="K266" s="110"/>
      <c r="L266" s="17"/>
      <c r="M266" s="17"/>
      <c r="N266" s="17"/>
    </row>
    <row r="267" spans="1:14" hidden="1">
      <c r="A267" s="2" t="str">
        <f t="shared" si="12"/>
        <v/>
      </c>
      <c r="B267" s="2" t="str">
        <f t="shared" si="13"/>
        <v/>
      </c>
      <c r="C267" s="17"/>
      <c r="D267" s="17"/>
      <c r="E267" s="17"/>
      <c r="F267" s="17"/>
      <c r="G267" s="17"/>
      <c r="H267" s="23"/>
      <c r="I267" s="17"/>
      <c r="J267" s="17"/>
      <c r="K267" s="110"/>
      <c r="L267" s="17"/>
      <c r="M267" s="17"/>
      <c r="N267" s="17"/>
    </row>
    <row r="268" spans="1:14" hidden="1">
      <c r="A268" s="2" t="str">
        <f t="shared" si="12"/>
        <v/>
      </c>
      <c r="B268" s="2" t="str">
        <f t="shared" si="13"/>
        <v/>
      </c>
      <c r="C268" s="17"/>
      <c r="D268" s="17"/>
      <c r="E268" s="17"/>
      <c r="F268" s="17"/>
      <c r="G268" s="17"/>
      <c r="H268" s="23"/>
      <c r="I268" s="17"/>
      <c r="J268" s="17"/>
      <c r="K268" s="110"/>
      <c r="L268" s="17"/>
      <c r="M268" s="17"/>
      <c r="N268" s="17"/>
    </row>
    <row r="269" spans="1:14" hidden="1">
      <c r="A269" s="2" t="str">
        <f t="shared" si="12"/>
        <v/>
      </c>
      <c r="B269" s="2" t="str">
        <f t="shared" si="13"/>
        <v/>
      </c>
      <c r="C269" s="17"/>
      <c r="D269" s="17"/>
      <c r="E269" s="17"/>
      <c r="F269" s="17"/>
      <c r="G269" s="17"/>
      <c r="H269" s="23"/>
      <c r="I269" s="17"/>
      <c r="J269" s="17"/>
      <c r="K269" s="110"/>
      <c r="L269" s="17"/>
      <c r="M269" s="17"/>
      <c r="N269" s="17"/>
    </row>
    <row r="270" spans="1:14" hidden="1">
      <c r="A270" s="2" t="str">
        <f t="shared" si="12"/>
        <v/>
      </c>
      <c r="B270" s="2" t="str">
        <f t="shared" si="13"/>
        <v/>
      </c>
      <c r="C270" s="17"/>
      <c r="D270" s="17"/>
      <c r="E270" s="17"/>
      <c r="F270" s="17"/>
      <c r="G270" s="17"/>
      <c r="H270" s="23"/>
      <c r="I270" s="17"/>
      <c r="J270" s="17"/>
      <c r="K270" s="110"/>
      <c r="L270" s="17"/>
      <c r="M270" s="17"/>
      <c r="N270" s="17"/>
    </row>
    <row r="271" spans="1:14" hidden="1">
      <c r="A271" s="2" t="str">
        <f t="shared" si="12"/>
        <v/>
      </c>
      <c r="B271" s="2" t="str">
        <f t="shared" si="13"/>
        <v/>
      </c>
      <c r="C271" s="17"/>
      <c r="D271" s="17"/>
      <c r="E271" s="17"/>
      <c r="F271" s="17"/>
      <c r="G271" s="17"/>
      <c r="H271" s="23"/>
      <c r="I271" s="17"/>
      <c r="J271" s="17"/>
      <c r="K271" s="110"/>
      <c r="L271" s="17"/>
      <c r="M271" s="17"/>
      <c r="N271" s="17"/>
    </row>
    <row r="272" spans="1:14" hidden="1">
      <c r="A272" s="2" t="str">
        <f t="shared" si="12"/>
        <v/>
      </c>
      <c r="B272" s="2" t="str">
        <f t="shared" si="13"/>
        <v/>
      </c>
      <c r="C272" s="17"/>
      <c r="D272" s="17"/>
      <c r="E272" s="17"/>
      <c r="F272" s="17"/>
      <c r="G272" s="17"/>
      <c r="H272" s="23"/>
      <c r="I272" s="17"/>
      <c r="J272" s="17"/>
      <c r="K272" s="110"/>
      <c r="L272" s="17"/>
      <c r="M272" s="17"/>
      <c r="N272" s="17"/>
    </row>
    <row r="273" spans="1:14" hidden="1">
      <c r="A273" s="2" t="str">
        <f t="shared" si="12"/>
        <v/>
      </c>
      <c r="B273" s="2" t="str">
        <f t="shared" si="13"/>
        <v/>
      </c>
      <c r="C273" s="17"/>
      <c r="D273" s="17"/>
      <c r="E273" s="17"/>
      <c r="F273" s="17"/>
      <c r="G273" s="17"/>
      <c r="H273" s="23"/>
      <c r="I273" s="17"/>
      <c r="J273" s="17"/>
      <c r="K273" s="110"/>
      <c r="L273" s="17"/>
      <c r="M273" s="17"/>
      <c r="N273" s="17"/>
    </row>
    <row r="274" spans="1:14" hidden="1">
      <c r="A274" s="2" t="str">
        <f t="shared" si="12"/>
        <v/>
      </c>
      <c r="B274" s="2" t="str">
        <f t="shared" si="13"/>
        <v/>
      </c>
      <c r="C274" s="17"/>
      <c r="D274" s="17"/>
      <c r="E274" s="17"/>
      <c r="F274" s="17"/>
      <c r="G274" s="17"/>
      <c r="H274" s="23"/>
      <c r="I274" s="17"/>
      <c r="J274" s="17"/>
      <c r="K274" s="110"/>
      <c r="L274" s="17"/>
      <c r="M274" s="17"/>
      <c r="N274" s="17"/>
    </row>
    <row r="275" spans="1:14" hidden="1">
      <c r="A275" s="2" t="str">
        <f t="shared" si="12"/>
        <v/>
      </c>
      <c r="B275" s="2" t="str">
        <f t="shared" si="13"/>
        <v/>
      </c>
      <c r="C275" s="17"/>
      <c r="D275" s="17"/>
      <c r="E275" s="17"/>
      <c r="F275" s="17"/>
      <c r="G275" s="17"/>
      <c r="H275" s="23"/>
      <c r="I275" s="17"/>
      <c r="J275" s="17"/>
      <c r="K275" s="110"/>
      <c r="L275" s="17"/>
      <c r="M275" s="17"/>
      <c r="N275" s="17"/>
    </row>
    <row r="276" spans="1:14" hidden="1">
      <c r="A276" s="2" t="str">
        <f t="shared" si="12"/>
        <v/>
      </c>
      <c r="B276" s="2" t="str">
        <f t="shared" si="13"/>
        <v/>
      </c>
      <c r="C276" s="17"/>
      <c r="D276" s="17"/>
      <c r="E276" s="17"/>
      <c r="F276" s="17"/>
      <c r="G276" s="17"/>
      <c r="H276" s="23"/>
      <c r="I276" s="17"/>
      <c r="J276" s="17"/>
      <c r="K276" s="110"/>
      <c r="L276" s="17"/>
      <c r="M276" s="17"/>
      <c r="N276" s="17"/>
    </row>
    <row r="277" spans="1:14" hidden="1">
      <c r="A277" s="2" t="str">
        <f t="shared" si="12"/>
        <v/>
      </c>
      <c r="B277" s="2" t="str">
        <f t="shared" si="13"/>
        <v/>
      </c>
      <c r="C277" s="17"/>
      <c r="D277" s="17"/>
      <c r="E277" s="17"/>
      <c r="F277" s="17"/>
      <c r="G277" s="17"/>
      <c r="H277" s="23"/>
      <c r="I277" s="17"/>
      <c r="J277" s="17"/>
      <c r="K277" s="110"/>
      <c r="L277" s="17"/>
      <c r="M277" s="17"/>
      <c r="N277" s="17"/>
    </row>
    <row r="278" spans="1:14" hidden="1">
      <c r="A278" s="2" t="str">
        <f t="shared" si="12"/>
        <v/>
      </c>
      <c r="B278" s="2" t="str">
        <f t="shared" si="13"/>
        <v/>
      </c>
      <c r="C278" s="17"/>
      <c r="D278" s="17"/>
      <c r="E278" s="17"/>
      <c r="F278" s="17"/>
      <c r="G278" s="17"/>
      <c r="H278" s="23"/>
      <c r="I278" s="17"/>
      <c r="J278" s="17"/>
      <c r="K278" s="110"/>
      <c r="L278" s="17"/>
      <c r="M278" s="17"/>
      <c r="N278" s="17"/>
    </row>
    <row r="279" spans="1:14" hidden="1">
      <c r="A279" s="2" t="str">
        <f t="shared" si="12"/>
        <v/>
      </c>
      <c r="B279" s="2" t="str">
        <f t="shared" si="13"/>
        <v/>
      </c>
      <c r="C279" s="17"/>
      <c r="D279" s="17"/>
      <c r="E279" s="17"/>
      <c r="F279" s="17"/>
      <c r="G279" s="17"/>
      <c r="H279" s="23"/>
      <c r="I279" s="17"/>
      <c r="J279" s="17"/>
      <c r="K279" s="110"/>
      <c r="L279" s="17"/>
      <c r="M279" s="17"/>
      <c r="N279" s="17"/>
    </row>
    <row r="280" spans="1:14" hidden="1">
      <c r="A280" s="2" t="str">
        <f t="shared" si="12"/>
        <v/>
      </c>
      <c r="B280" s="2" t="str">
        <f t="shared" si="13"/>
        <v/>
      </c>
      <c r="C280" s="17"/>
      <c r="D280" s="17"/>
      <c r="E280" s="17"/>
      <c r="F280" s="17"/>
      <c r="G280" s="17"/>
      <c r="H280" s="23"/>
      <c r="I280" s="17"/>
      <c r="J280" s="17"/>
      <c r="K280" s="110"/>
      <c r="L280" s="17"/>
      <c r="M280" s="17"/>
      <c r="N280" s="17"/>
    </row>
    <row r="281" spans="1:14" hidden="1">
      <c r="A281" s="2" t="str">
        <f t="shared" si="12"/>
        <v/>
      </c>
      <c r="B281" s="2" t="str">
        <f t="shared" si="13"/>
        <v/>
      </c>
      <c r="C281" s="17"/>
      <c r="D281" s="17"/>
      <c r="E281" s="17"/>
      <c r="F281" s="17"/>
      <c r="G281" s="17"/>
      <c r="H281" s="23"/>
      <c r="I281" s="17"/>
      <c r="J281" s="17"/>
      <c r="K281" s="110"/>
      <c r="L281" s="17"/>
      <c r="M281" s="17"/>
      <c r="N281" s="17"/>
    </row>
    <row r="282" spans="1:14" hidden="1">
      <c r="A282" s="2" t="str">
        <f t="shared" si="12"/>
        <v/>
      </c>
      <c r="B282" s="2" t="str">
        <f t="shared" si="13"/>
        <v/>
      </c>
      <c r="C282" s="17"/>
      <c r="D282" s="17"/>
      <c r="E282" s="17"/>
      <c r="F282" s="17"/>
      <c r="G282" s="17"/>
      <c r="H282" s="23"/>
      <c r="I282" s="17"/>
      <c r="J282" s="17"/>
      <c r="K282" s="110"/>
      <c r="L282" s="17"/>
      <c r="M282" s="17"/>
      <c r="N282" s="17"/>
    </row>
    <row r="283" spans="1:14" hidden="1">
      <c r="A283" s="2" t="str">
        <f t="shared" si="12"/>
        <v/>
      </c>
      <c r="B283" s="2" t="str">
        <f t="shared" si="13"/>
        <v/>
      </c>
      <c r="C283" s="17"/>
      <c r="D283" s="17"/>
      <c r="E283" s="17"/>
      <c r="F283" s="17"/>
      <c r="G283" s="17"/>
      <c r="H283" s="23"/>
      <c r="I283" s="17"/>
      <c r="J283" s="17"/>
      <c r="K283" s="110"/>
      <c r="L283" s="17"/>
      <c r="M283" s="17"/>
      <c r="N283" s="17"/>
    </row>
    <row r="284" spans="1:14" hidden="1">
      <c r="A284" s="2" t="str">
        <f t="shared" si="12"/>
        <v/>
      </c>
      <c r="B284" s="2" t="str">
        <f t="shared" si="13"/>
        <v/>
      </c>
      <c r="C284" s="17"/>
      <c r="D284" s="17"/>
      <c r="E284" s="17"/>
      <c r="F284" s="17"/>
      <c r="G284" s="17"/>
      <c r="H284" s="23"/>
      <c r="I284" s="17"/>
      <c r="J284" s="17"/>
      <c r="K284" s="110"/>
      <c r="L284" s="17"/>
      <c r="M284" s="17"/>
      <c r="N284" s="17"/>
    </row>
    <row r="285" spans="1:14" hidden="1">
      <c r="A285" s="2" t="str">
        <f t="shared" si="12"/>
        <v/>
      </c>
      <c r="B285" s="2" t="str">
        <f t="shared" si="13"/>
        <v/>
      </c>
      <c r="C285" s="17"/>
      <c r="D285" s="17"/>
      <c r="E285" s="17"/>
      <c r="F285" s="17"/>
      <c r="G285" s="17"/>
      <c r="H285" s="23"/>
      <c r="I285" s="17"/>
      <c r="J285" s="17"/>
      <c r="K285" s="110"/>
      <c r="L285" s="17"/>
      <c r="M285" s="17"/>
      <c r="N285" s="17"/>
    </row>
    <row r="286" spans="1:14" hidden="1">
      <c r="A286" s="2" t="str">
        <f t="shared" si="12"/>
        <v/>
      </c>
      <c r="B286" s="2" t="str">
        <f t="shared" si="13"/>
        <v/>
      </c>
      <c r="C286" s="17"/>
      <c r="D286" s="17"/>
      <c r="E286" s="17"/>
      <c r="F286" s="17"/>
      <c r="G286" s="17"/>
      <c r="H286" s="23"/>
      <c r="I286" s="17"/>
      <c r="J286" s="17"/>
      <c r="K286" s="110"/>
      <c r="L286" s="17"/>
      <c r="M286" s="17"/>
      <c r="N286" s="17"/>
    </row>
    <row r="287" spans="1:14" hidden="1">
      <c r="A287" s="2" t="str">
        <f t="shared" si="12"/>
        <v/>
      </c>
      <c r="B287" s="2" t="str">
        <f t="shared" si="13"/>
        <v/>
      </c>
      <c r="C287" s="17"/>
      <c r="D287" s="17"/>
      <c r="E287" s="17"/>
      <c r="F287" s="17"/>
      <c r="G287" s="17"/>
      <c r="H287" s="23"/>
      <c r="I287" s="17"/>
      <c r="J287" s="17"/>
      <c r="K287" s="110"/>
      <c r="L287" s="17"/>
      <c r="M287" s="17"/>
      <c r="N287" s="17"/>
    </row>
    <row r="288" spans="1:14" hidden="1">
      <c r="A288" s="2" t="str">
        <f t="shared" si="12"/>
        <v/>
      </c>
      <c r="B288" s="2" t="str">
        <f t="shared" si="13"/>
        <v/>
      </c>
      <c r="C288" s="17"/>
      <c r="D288" s="17"/>
      <c r="E288" s="17"/>
      <c r="F288" s="17"/>
      <c r="G288" s="17"/>
      <c r="H288" s="23"/>
      <c r="I288" s="17"/>
      <c r="J288" s="17"/>
      <c r="K288" s="110"/>
      <c r="L288" s="17"/>
      <c r="M288" s="17"/>
      <c r="N288" s="17"/>
    </row>
    <row r="289" spans="1:14" hidden="1">
      <c r="A289" s="2" t="str">
        <f t="shared" si="12"/>
        <v/>
      </c>
      <c r="B289" s="2" t="str">
        <f t="shared" si="13"/>
        <v/>
      </c>
      <c r="C289" s="17"/>
      <c r="D289" s="17"/>
      <c r="E289" s="17"/>
      <c r="F289" s="17"/>
      <c r="G289" s="17"/>
      <c r="H289" s="23"/>
      <c r="I289" s="17"/>
      <c r="J289" s="17"/>
      <c r="K289" s="110"/>
      <c r="L289" s="17"/>
      <c r="M289" s="17"/>
      <c r="N289" s="17"/>
    </row>
    <row r="290" spans="1:14" hidden="1">
      <c r="A290" s="2" t="str">
        <f t="shared" si="12"/>
        <v/>
      </c>
      <c r="B290" s="2" t="str">
        <f t="shared" si="13"/>
        <v/>
      </c>
      <c r="C290" s="17"/>
      <c r="D290" s="17"/>
      <c r="E290" s="17"/>
      <c r="F290" s="17"/>
      <c r="G290" s="17"/>
      <c r="H290" s="23"/>
      <c r="I290" s="17"/>
      <c r="J290" s="17"/>
      <c r="K290" s="110"/>
      <c r="L290" s="17"/>
      <c r="M290" s="17"/>
      <c r="N290" s="17"/>
    </row>
    <row r="291" spans="1:14" hidden="1">
      <c r="A291" s="2" t="str">
        <f t="shared" si="12"/>
        <v/>
      </c>
      <c r="B291" s="2" t="str">
        <f t="shared" si="13"/>
        <v/>
      </c>
      <c r="C291" s="17"/>
      <c r="D291" s="17"/>
      <c r="E291" s="17"/>
      <c r="F291" s="17"/>
      <c r="G291" s="17"/>
      <c r="H291" s="23"/>
      <c r="I291" s="17"/>
      <c r="J291" s="17"/>
      <c r="K291" s="110"/>
      <c r="L291" s="17"/>
      <c r="M291" s="17"/>
      <c r="N291" s="17"/>
    </row>
    <row r="292" spans="1:14" hidden="1">
      <c r="A292" s="2" t="str">
        <f t="shared" si="12"/>
        <v/>
      </c>
      <c r="B292" s="2" t="str">
        <f t="shared" si="13"/>
        <v/>
      </c>
      <c r="C292" s="17"/>
      <c r="D292" s="17"/>
      <c r="E292" s="17"/>
      <c r="F292" s="17"/>
      <c r="G292" s="17"/>
      <c r="H292" s="23"/>
      <c r="I292" s="17"/>
      <c r="J292" s="17"/>
      <c r="K292" s="110"/>
      <c r="L292" s="17"/>
      <c r="M292" s="17"/>
      <c r="N292" s="17"/>
    </row>
    <row r="293" spans="1:14" hidden="1">
      <c r="A293" s="2" t="str">
        <f t="shared" ref="A293:A308" si="14">+C293&amp;G293&amp;H293&amp;D293</f>
        <v/>
      </c>
      <c r="B293" s="2" t="str">
        <f t="shared" ref="B293:B308" si="15">+C293&amp;G293&amp;H293&amp;D293&amp;K293</f>
        <v/>
      </c>
      <c r="C293" s="17"/>
      <c r="D293" s="17"/>
      <c r="E293" s="17"/>
      <c r="F293" s="17"/>
      <c r="G293" s="17"/>
      <c r="H293" s="23"/>
      <c r="I293" s="17"/>
      <c r="J293" s="17"/>
      <c r="K293" s="110"/>
      <c r="L293" s="17"/>
      <c r="M293" s="17"/>
      <c r="N293" s="17"/>
    </row>
    <row r="294" spans="1:14" hidden="1">
      <c r="A294" s="2" t="str">
        <f t="shared" si="14"/>
        <v/>
      </c>
      <c r="B294" s="2" t="str">
        <f t="shared" si="15"/>
        <v/>
      </c>
      <c r="C294" s="17"/>
      <c r="D294" s="17"/>
      <c r="E294" s="17"/>
      <c r="F294" s="17"/>
      <c r="G294" s="17"/>
      <c r="H294" s="23"/>
      <c r="I294" s="17"/>
      <c r="J294" s="17"/>
      <c r="K294" s="110"/>
      <c r="L294" s="17"/>
      <c r="M294" s="17"/>
      <c r="N294" s="17"/>
    </row>
    <row r="295" spans="1:14" hidden="1">
      <c r="A295" s="2" t="str">
        <f t="shared" si="14"/>
        <v/>
      </c>
      <c r="B295" s="2" t="str">
        <f t="shared" si="15"/>
        <v/>
      </c>
      <c r="C295" s="17"/>
      <c r="D295" s="17"/>
      <c r="E295" s="17"/>
      <c r="F295" s="17"/>
      <c r="G295" s="17"/>
      <c r="H295" s="23"/>
      <c r="I295" s="17"/>
      <c r="J295" s="17"/>
      <c r="K295" s="110"/>
      <c r="L295" s="17"/>
      <c r="M295" s="17"/>
      <c r="N295" s="17"/>
    </row>
    <row r="296" spans="1:14" hidden="1">
      <c r="A296" s="2" t="str">
        <f t="shared" si="14"/>
        <v/>
      </c>
      <c r="B296" s="2" t="str">
        <f t="shared" si="15"/>
        <v/>
      </c>
      <c r="C296" s="17"/>
      <c r="D296" s="17"/>
      <c r="E296" s="17"/>
      <c r="F296" s="17"/>
      <c r="G296" s="17"/>
      <c r="H296" s="23"/>
      <c r="I296" s="17"/>
      <c r="J296" s="17"/>
      <c r="K296" s="110"/>
      <c r="L296" s="17"/>
      <c r="M296" s="17"/>
      <c r="N296" s="17"/>
    </row>
    <row r="297" spans="1:14" hidden="1">
      <c r="A297" s="2" t="str">
        <f t="shared" si="14"/>
        <v/>
      </c>
      <c r="B297" s="2" t="str">
        <f t="shared" si="15"/>
        <v/>
      </c>
      <c r="C297" s="17"/>
      <c r="D297" s="17"/>
      <c r="E297" s="17"/>
      <c r="F297" s="17"/>
      <c r="G297" s="17"/>
      <c r="H297" s="23"/>
      <c r="I297" s="17"/>
      <c r="J297" s="17"/>
      <c r="K297" s="110"/>
      <c r="L297" s="17"/>
      <c r="M297" s="17"/>
      <c r="N297" s="17"/>
    </row>
    <row r="298" spans="1:14" hidden="1">
      <c r="A298" s="2" t="str">
        <f t="shared" si="14"/>
        <v/>
      </c>
      <c r="B298" s="2" t="str">
        <f t="shared" si="15"/>
        <v/>
      </c>
      <c r="C298" s="17"/>
      <c r="D298" s="17"/>
      <c r="E298" s="17"/>
      <c r="F298" s="17"/>
      <c r="G298" s="17"/>
      <c r="H298" s="23"/>
      <c r="I298" s="17"/>
      <c r="J298" s="17"/>
      <c r="K298" s="110"/>
      <c r="L298" s="17"/>
      <c r="M298" s="17"/>
      <c r="N298" s="17"/>
    </row>
    <row r="299" spans="1:14" hidden="1">
      <c r="A299" s="2" t="str">
        <f t="shared" si="14"/>
        <v/>
      </c>
      <c r="B299" s="2" t="str">
        <f t="shared" si="15"/>
        <v/>
      </c>
      <c r="C299" s="17"/>
      <c r="D299" s="17"/>
      <c r="E299" s="17"/>
      <c r="F299" s="17"/>
      <c r="G299" s="17"/>
      <c r="H299" s="23"/>
      <c r="I299" s="17"/>
      <c r="J299" s="17"/>
      <c r="K299" s="110"/>
      <c r="L299" s="17"/>
      <c r="M299" s="17"/>
      <c r="N299" s="17"/>
    </row>
    <row r="300" spans="1:14" hidden="1">
      <c r="A300" s="2" t="str">
        <f t="shared" si="14"/>
        <v/>
      </c>
      <c r="B300" s="2" t="str">
        <f t="shared" si="15"/>
        <v/>
      </c>
      <c r="C300" s="17"/>
      <c r="D300" s="17"/>
      <c r="E300" s="17"/>
      <c r="F300" s="17"/>
      <c r="G300" s="17"/>
      <c r="H300" s="23"/>
      <c r="I300" s="17"/>
      <c r="J300" s="17"/>
      <c r="K300" s="110"/>
      <c r="L300" s="17"/>
      <c r="M300" s="17"/>
      <c r="N300" s="17"/>
    </row>
    <row r="301" spans="1:14" hidden="1">
      <c r="A301" s="2" t="str">
        <f t="shared" si="14"/>
        <v/>
      </c>
      <c r="B301" s="2" t="str">
        <f t="shared" si="15"/>
        <v/>
      </c>
      <c r="C301" s="17"/>
      <c r="D301" s="17"/>
      <c r="E301" s="17"/>
      <c r="F301" s="17"/>
      <c r="G301" s="17"/>
      <c r="H301" s="23"/>
      <c r="I301" s="17"/>
      <c r="J301" s="17"/>
      <c r="K301" s="110"/>
      <c r="L301" s="17"/>
      <c r="M301" s="17"/>
      <c r="N301" s="17"/>
    </row>
    <row r="302" spans="1:14" hidden="1">
      <c r="A302" s="2" t="str">
        <f t="shared" si="14"/>
        <v/>
      </c>
      <c r="B302" s="2" t="str">
        <f t="shared" si="15"/>
        <v/>
      </c>
      <c r="C302" s="17"/>
      <c r="D302" s="17"/>
      <c r="E302" s="17"/>
      <c r="F302" s="17"/>
      <c r="G302" s="17"/>
      <c r="H302" s="23"/>
      <c r="I302" s="17"/>
      <c r="J302" s="17"/>
      <c r="K302" s="110"/>
      <c r="L302" s="17"/>
      <c r="M302" s="17"/>
      <c r="N302" s="17"/>
    </row>
    <row r="303" spans="1:14" hidden="1">
      <c r="A303" s="2" t="str">
        <f t="shared" si="14"/>
        <v/>
      </c>
      <c r="B303" s="2" t="str">
        <f t="shared" si="15"/>
        <v/>
      </c>
      <c r="C303" s="17"/>
      <c r="D303" s="17"/>
      <c r="E303" s="17"/>
      <c r="F303" s="17"/>
      <c r="G303" s="17"/>
      <c r="H303" s="23"/>
      <c r="I303" s="17"/>
      <c r="J303" s="17"/>
      <c r="K303" s="110"/>
      <c r="L303" s="17"/>
      <c r="M303" s="17"/>
      <c r="N303" s="17"/>
    </row>
    <row r="304" spans="1:14" hidden="1">
      <c r="A304" s="2" t="str">
        <f t="shared" si="14"/>
        <v/>
      </c>
      <c r="B304" s="2" t="str">
        <f t="shared" si="15"/>
        <v/>
      </c>
      <c r="C304" s="17"/>
      <c r="D304" s="17"/>
      <c r="E304" s="17"/>
      <c r="F304" s="17"/>
      <c r="G304" s="17"/>
      <c r="H304" s="23"/>
      <c r="I304" s="17"/>
      <c r="J304" s="17"/>
      <c r="K304" s="110"/>
      <c r="L304" s="17"/>
      <c r="M304" s="17"/>
      <c r="N304" s="17"/>
    </row>
    <row r="305" spans="1:14" hidden="1">
      <c r="A305" s="2" t="str">
        <f t="shared" si="14"/>
        <v/>
      </c>
      <c r="B305" s="2" t="str">
        <f t="shared" si="15"/>
        <v/>
      </c>
      <c r="C305" s="17"/>
      <c r="D305" s="17"/>
      <c r="E305" s="17"/>
      <c r="F305" s="17"/>
      <c r="G305" s="17"/>
      <c r="H305" s="23"/>
      <c r="I305" s="17"/>
      <c r="J305" s="17"/>
      <c r="K305" s="110"/>
      <c r="L305" s="17"/>
      <c r="M305" s="17"/>
      <c r="N305" s="17"/>
    </row>
    <row r="306" spans="1:14" hidden="1">
      <c r="A306" s="2" t="str">
        <f t="shared" si="14"/>
        <v/>
      </c>
      <c r="B306" s="2" t="str">
        <f t="shared" si="15"/>
        <v/>
      </c>
      <c r="C306" s="17"/>
      <c r="D306" s="17"/>
      <c r="E306" s="17"/>
      <c r="F306" s="17"/>
      <c r="G306" s="17"/>
      <c r="H306" s="23"/>
      <c r="I306" s="17"/>
      <c r="J306" s="17"/>
      <c r="K306" s="110"/>
      <c r="L306" s="17"/>
      <c r="M306" s="17"/>
      <c r="N306" s="17"/>
    </row>
    <row r="307" spans="1:14" hidden="1">
      <c r="A307" s="2" t="str">
        <f t="shared" si="14"/>
        <v/>
      </c>
      <c r="B307" s="2" t="str">
        <f t="shared" si="15"/>
        <v/>
      </c>
      <c r="C307" s="17"/>
      <c r="D307" s="17"/>
      <c r="E307" s="17"/>
      <c r="F307" s="17"/>
      <c r="G307" s="17"/>
      <c r="H307" s="23"/>
      <c r="I307" s="17"/>
      <c r="J307" s="17"/>
      <c r="K307" s="110"/>
      <c r="L307" s="17"/>
      <c r="M307" s="17"/>
      <c r="N307" s="17"/>
    </row>
    <row r="308" spans="1:14" hidden="1">
      <c r="A308" s="2" t="str">
        <f t="shared" si="14"/>
        <v/>
      </c>
      <c r="B308" s="2" t="str">
        <f t="shared" si="15"/>
        <v/>
      </c>
      <c r="C308" s="17"/>
      <c r="D308" s="17"/>
      <c r="E308" s="17"/>
      <c r="F308" s="17"/>
      <c r="G308" s="17"/>
      <c r="H308" s="23"/>
      <c r="I308" s="17"/>
      <c r="J308" s="17"/>
      <c r="K308" s="110"/>
      <c r="L308" s="17"/>
      <c r="M308" s="17"/>
      <c r="N308" s="17"/>
    </row>
    <row r="1048559" spans="8:8">
      <c r="H1048559" s="23"/>
    </row>
  </sheetData>
  <autoFilter ref="C8:N308" xr:uid="{00000000-0001-0000-0400-000000000000}">
    <filterColumn colId="10">
      <colorFilter dxfId="2"/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321"/>
  <sheetViews>
    <sheetView showGridLines="0" zoomScaleNormal="100" workbookViewId="0"/>
  </sheetViews>
  <sheetFormatPr defaultColWidth="0" defaultRowHeight="0" customHeight="1" zeroHeight="1"/>
  <cols>
    <col min="1" max="2" width="2" style="2" customWidth="1"/>
    <col min="3" max="12" width="28.36328125" style="2" customWidth="1"/>
    <col min="13" max="13" width="3.6328125" style="2" customWidth="1"/>
    <col min="14" max="14" width="13.90625" style="2" hidden="1" customWidth="1"/>
    <col min="15" max="15" width="12.08984375" style="2" hidden="1" customWidth="1"/>
    <col min="16" max="40" width="0" style="2" hidden="1" customWidth="1"/>
    <col min="41" max="16384" width="9.08984375" style="2" hidden="1"/>
  </cols>
  <sheetData>
    <row r="1" spans="1:30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5" thickBot="1">
      <c r="A6" s="30"/>
      <c r="B6" s="30"/>
      <c r="C6" s="31" t="s">
        <v>67</v>
      </c>
      <c r="D6" s="31"/>
      <c r="E6" s="32"/>
      <c r="F6" s="32"/>
      <c r="G6" s="32"/>
      <c r="H6" s="32"/>
      <c r="I6" s="32"/>
      <c r="J6" s="32"/>
      <c r="K6" s="32"/>
      <c r="L6" s="32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4"/>
    <row r="8" spans="1:30" ht="14">
      <c r="C8" s="18" t="s">
        <v>0</v>
      </c>
      <c r="D8" s="18" t="s">
        <v>3</v>
      </c>
      <c r="E8" s="18" t="s">
        <v>43</v>
      </c>
      <c r="F8" s="18" t="s">
        <v>2</v>
      </c>
      <c r="G8" s="18" t="s">
        <v>6</v>
      </c>
      <c r="H8" s="18" t="s">
        <v>38</v>
      </c>
      <c r="I8" s="18" t="s">
        <v>46</v>
      </c>
      <c r="J8" s="18" t="s">
        <v>47</v>
      </c>
      <c r="K8" s="18" t="s">
        <v>41</v>
      </c>
      <c r="L8" s="18" t="s">
        <v>40</v>
      </c>
      <c r="M8" s="4"/>
      <c r="N8" s="4"/>
    </row>
    <row r="9" spans="1:30" ht="14">
      <c r="A9" s="60" t="str">
        <f t="shared" ref="A9:A68" si="0">+C9&amp;G9&amp;H9</f>
        <v/>
      </c>
      <c r="B9" s="60"/>
      <c r="C9" s="17"/>
      <c r="D9" s="17"/>
      <c r="E9" s="17"/>
      <c r="F9" s="17"/>
      <c r="G9" s="17"/>
      <c r="H9" s="23"/>
      <c r="I9" s="17"/>
      <c r="J9" s="17"/>
      <c r="K9" s="17"/>
      <c r="L9" s="17"/>
      <c r="M9" s="5"/>
    </row>
    <row r="10" spans="1:30" ht="14">
      <c r="A10" s="60" t="str">
        <f t="shared" si="0"/>
        <v/>
      </c>
      <c r="B10" s="60"/>
      <c r="C10" s="17"/>
      <c r="D10" s="17"/>
      <c r="E10" s="17"/>
      <c r="F10" s="17"/>
      <c r="G10" s="17"/>
      <c r="H10" s="23"/>
      <c r="I10" s="17"/>
      <c r="J10" s="17"/>
      <c r="K10" s="17"/>
      <c r="L10" s="17"/>
      <c r="M10" s="5"/>
    </row>
    <row r="11" spans="1:30" ht="14">
      <c r="A11" s="60" t="str">
        <f t="shared" ref="A11" si="1">+C11&amp;G11&amp;H11</f>
        <v/>
      </c>
      <c r="B11" s="60"/>
      <c r="C11" s="17"/>
      <c r="D11" s="17"/>
      <c r="E11" s="17"/>
      <c r="F11" s="17"/>
      <c r="G11" s="17"/>
      <c r="H11" s="23"/>
      <c r="I11" s="17"/>
      <c r="J11" s="17"/>
      <c r="K11" s="17"/>
      <c r="L11" s="17"/>
      <c r="M11" s="5"/>
    </row>
    <row r="12" spans="1:30" ht="14">
      <c r="A12" s="60" t="str">
        <f t="shared" si="0"/>
        <v/>
      </c>
      <c r="B12" s="60"/>
      <c r="C12" s="17"/>
      <c r="D12" s="17"/>
      <c r="E12" s="17"/>
      <c r="F12" s="17"/>
      <c r="G12" s="17"/>
      <c r="H12" s="23"/>
      <c r="I12" s="17"/>
      <c r="J12" s="17"/>
      <c r="K12" s="17"/>
      <c r="L12" s="17"/>
      <c r="M12" s="5"/>
    </row>
    <row r="13" spans="1:30" ht="14">
      <c r="A13" s="60" t="str">
        <f t="shared" si="0"/>
        <v/>
      </c>
      <c r="B13" s="60"/>
      <c r="C13" s="17"/>
      <c r="D13" s="17"/>
      <c r="E13" s="17"/>
      <c r="F13" s="17"/>
      <c r="G13" s="17"/>
      <c r="H13" s="23"/>
      <c r="I13" s="17"/>
      <c r="J13" s="17"/>
      <c r="K13" s="17"/>
      <c r="L13" s="17"/>
      <c r="M13" s="5"/>
    </row>
    <row r="14" spans="1:30" ht="14">
      <c r="A14" s="60" t="str">
        <f t="shared" si="0"/>
        <v/>
      </c>
      <c r="B14" s="60"/>
      <c r="C14" s="17"/>
      <c r="D14" s="17"/>
      <c r="E14" s="17"/>
      <c r="F14" s="17"/>
      <c r="G14" s="17"/>
      <c r="H14" s="23"/>
      <c r="I14" s="17"/>
      <c r="J14" s="17"/>
      <c r="K14" s="17"/>
      <c r="L14" s="17"/>
      <c r="M14" s="5"/>
    </row>
    <row r="15" spans="1:30" s="17" customFormat="1" ht="14">
      <c r="A15" s="60" t="str">
        <f t="shared" si="0"/>
        <v/>
      </c>
      <c r="B15" s="60"/>
      <c r="H15" s="23"/>
      <c r="M15" s="5"/>
    </row>
    <row r="16" spans="1:30" ht="14">
      <c r="A16" s="60" t="str">
        <f t="shared" si="0"/>
        <v/>
      </c>
      <c r="B16" s="60"/>
      <c r="C16" s="17"/>
      <c r="D16" s="17"/>
      <c r="E16" s="17"/>
      <c r="F16" s="17"/>
      <c r="G16" s="17"/>
      <c r="H16" s="23"/>
      <c r="I16" s="17"/>
      <c r="J16" s="17"/>
      <c r="K16" s="17"/>
      <c r="L16" s="23"/>
      <c r="M16" s="5"/>
    </row>
    <row r="17" spans="1:13" ht="14">
      <c r="A17" s="60" t="str">
        <f t="shared" si="0"/>
        <v/>
      </c>
      <c r="B17" s="60"/>
      <c r="C17" s="17"/>
      <c r="D17" s="17"/>
      <c r="E17" s="17"/>
      <c r="F17" s="17"/>
      <c r="G17" s="17"/>
      <c r="H17" s="23"/>
      <c r="I17" s="17"/>
      <c r="J17" s="17"/>
      <c r="K17" s="17"/>
      <c r="L17" s="23"/>
      <c r="M17" s="5"/>
    </row>
    <row r="18" spans="1:13" ht="14">
      <c r="A18" s="60" t="str">
        <f t="shared" si="0"/>
        <v/>
      </c>
      <c r="B18" s="60"/>
      <c r="C18" s="17"/>
      <c r="D18" s="17"/>
      <c r="E18" s="17"/>
      <c r="F18" s="17"/>
      <c r="G18" s="17"/>
      <c r="H18" s="23"/>
      <c r="I18" s="17"/>
      <c r="J18" s="17"/>
      <c r="K18" s="17"/>
      <c r="L18" s="23"/>
      <c r="M18" s="5"/>
    </row>
    <row r="19" spans="1:13" ht="14">
      <c r="A19" s="60" t="str">
        <f t="shared" si="0"/>
        <v/>
      </c>
      <c r="B19" s="60"/>
      <c r="C19" s="17"/>
      <c r="D19" s="17"/>
      <c r="E19" s="17"/>
      <c r="F19" s="17"/>
      <c r="G19" s="17"/>
      <c r="H19" s="23"/>
      <c r="I19" s="17"/>
      <c r="J19" s="17"/>
      <c r="K19" s="17"/>
      <c r="L19" s="23"/>
      <c r="M19" s="5"/>
    </row>
    <row r="20" spans="1:13" ht="14">
      <c r="A20" s="60" t="str">
        <f t="shared" si="0"/>
        <v/>
      </c>
      <c r="B20" s="60"/>
      <c r="C20" s="17"/>
      <c r="D20" s="17"/>
      <c r="E20" s="17"/>
      <c r="F20" s="17"/>
      <c r="G20" s="17"/>
      <c r="H20" s="23"/>
      <c r="I20" s="17"/>
      <c r="J20" s="17"/>
      <c r="K20" s="17"/>
      <c r="L20" s="23"/>
      <c r="M20" s="5"/>
    </row>
    <row r="21" spans="1:13" ht="14">
      <c r="A21" s="60" t="str">
        <f t="shared" si="0"/>
        <v/>
      </c>
      <c r="B21" s="60"/>
      <c r="C21" s="17"/>
      <c r="D21" s="17"/>
      <c r="E21" s="17"/>
      <c r="F21" s="17"/>
      <c r="G21" s="17"/>
      <c r="H21" s="23"/>
      <c r="I21" s="17"/>
      <c r="J21" s="17"/>
      <c r="K21" s="17"/>
      <c r="L21" s="23"/>
      <c r="M21" s="5"/>
    </row>
    <row r="22" spans="1:13" ht="14">
      <c r="A22" s="60" t="str">
        <f t="shared" si="0"/>
        <v/>
      </c>
      <c r="B22" s="60"/>
      <c r="C22" s="17"/>
      <c r="D22" s="17"/>
      <c r="E22" s="17"/>
      <c r="F22" s="17"/>
      <c r="G22" s="17"/>
      <c r="H22" s="23"/>
      <c r="I22" s="17"/>
      <c r="J22" s="17"/>
      <c r="K22" s="17"/>
      <c r="L22" s="23"/>
      <c r="M22" s="5"/>
    </row>
    <row r="23" spans="1:13" ht="14">
      <c r="A23" s="60" t="str">
        <f t="shared" si="0"/>
        <v/>
      </c>
      <c r="B23" s="60"/>
      <c r="C23" s="17"/>
      <c r="D23" s="17"/>
      <c r="E23" s="17"/>
      <c r="F23" s="17"/>
      <c r="G23" s="17"/>
      <c r="H23" s="23"/>
      <c r="I23" s="17"/>
      <c r="J23" s="17"/>
      <c r="K23" s="17"/>
      <c r="L23" s="23"/>
      <c r="M23" s="5"/>
    </row>
    <row r="24" spans="1:13" ht="14">
      <c r="A24" s="60" t="str">
        <f t="shared" si="0"/>
        <v/>
      </c>
      <c r="B24" s="60"/>
      <c r="C24" s="17"/>
      <c r="D24" s="17"/>
      <c r="E24" s="17"/>
      <c r="F24" s="17"/>
      <c r="G24" s="17"/>
      <c r="H24" s="23"/>
      <c r="I24" s="17"/>
      <c r="J24" s="17"/>
      <c r="K24" s="17"/>
      <c r="L24" s="23"/>
      <c r="M24" s="5"/>
    </row>
    <row r="25" spans="1:13" ht="14">
      <c r="A25" s="60" t="str">
        <f t="shared" si="0"/>
        <v/>
      </c>
      <c r="B25" s="60"/>
      <c r="C25" s="17"/>
      <c r="D25" s="17"/>
      <c r="E25" s="17"/>
      <c r="F25" s="17"/>
      <c r="G25" s="17"/>
      <c r="H25" s="23"/>
      <c r="I25" s="17"/>
      <c r="J25" s="17"/>
      <c r="K25" s="17"/>
      <c r="L25" s="23"/>
      <c r="M25" s="5"/>
    </row>
    <row r="26" spans="1:13" ht="14">
      <c r="A26" s="60" t="str">
        <f t="shared" si="0"/>
        <v/>
      </c>
      <c r="B26" s="60"/>
      <c r="C26" s="17"/>
      <c r="D26" s="17"/>
      <c r="E26" s="17"/>
      <c r="F26" s="17"/>
      <c r="G26" s="17"/>
      <c r="H26" s="23"/>
      <c r="I26" s="17"/>
      <c r="J26" s="17"/>
      <c r="K26" s="17"/>
      <c r="L26" s="23"/>
      <c r="M26" s="5"/>
    </row>
    <row r="27" spans="1:13" ht="14">
      <c r="A27" s="60" t="str">
        <f t="shared" si="0"/>
        <v/>
      </c>
      <c r="B27" s="60"/>
      <c r="C27" s="17"/>
      <c r="D27" s="17"/>
      <c r="E27" s="17"/>
      <c r="F27" s="17"/>
      <c r="G27" s="17"/>
      <c r="H27" s="23"/>
      <c r="I27" s="17"/>
      <c r="J27" s="17"/>
      <c r="K27" s="17"/>
      <c r="L27" s="23"/>
      <c r="M27" s="5"/>
    </row>
    <row r="28" spans="1:13" ht="14">
      <c r="A28" s="60" t="str">
        <f t="shared" si="0"/>
        <v/>
      </c>
      <c r="B28" s="60"/>
      <c r="C28" s="17"/>
      <c r="D28" s="17"/>
      <c r="E28" s="17"/>
      <c r="F28" s="17"/>
      <c r="G28" s="17"/>
      <c r="H28" s="23"/>
      <c r="I28" s="17"/>
      <c r="J28" s="17"/>
      <c r="K28" s="17"/>
      <c r="L28" s="23"/>
      <c r="M28" s="5"/>
    </row>
    <row r="29" spans="1:13" ht="14">
      <c r="A29" s="60" t="str">
        <f t="shared" si="0"/>
        <v/>
      </c>
      <c r="B29" s="60"/>
      <c r="C29" s="17"/>
      <c r="D29" s="17"/>
      <c r="E29" s="17"/>
      <c r="F29" s="17"/>
      <c r="G29" s="17"/>
      <c r="H29" s="23"/>
      <c r="I29" s="17"/>
      <c r="J29" s="17"/>
      <c r="K29" s="17"/>
      <c r="L29" s="23"/>
      <c r="M29" s="5"/>
    </row>
    <row r="30" spans="1:13" ht="14">
      <c r="A30" s="60" t="str">
        <f t="shared" si="0"/>
        <v/>
      </c>
      <c r="B30" s="60"/>
      <c r="C30" s="17"/>
      <c r="D30" s="17"/>
      <c r="E30" s="17"/>
      <c r="F30" s="17"/>
      <c r="G30" s="17"/>
      <c r="H30" s="23"/>
      <c r="I30" s="17"/>
      <c r="J30" s="17"/>
      <c r="K30" s="17"/>
      <c r="L30" s="23"/>
      <c r="M30" s="5"/>
    </row>
    <row r="31" spans="1:13" ht="14">
      <c r="A31" s="60" t="str">
        <f t="shared" si="0"/>
        <v/>
      </c>
      <c r="B31" s="60"/>
      <c r="C31" s="17"/>
      <c r="D31" s="17"/>
      <c r="E31" s="17"/>
      <c r="F31" s="17"/>
      <c r="G31" s="17"/>
      <c r="H31" s="23"/>
      <c r="I31" s="17"/>
      <c r="J31" s="17"/>
      <c r="K31" s="17"/>
      <c r="L31" s="23"/>
      <c r="M31" s="5"/>
    </row>
    <row r="32" spans="1:13" ht="14">
      <c r="A32" s="60" t="str">
        <f t="shared" si="0"/>
        <v/>
      </c>
      <c r="B32" s="60"/>
      <c r="C32" s="17"/>
      <c r="D32" s="17"/>
      <c r="E32" s="17"/>
      <c r="F32" s="17"/>
      <c r="G32" s="17"/>
      <c r="H32" s="23"/>
      <c r="I32" s="17"/>
      <c r="J32" s="17"/>
      <c r="K32" s="17"/>
      <c r="L32" s="23"/>
      <c r="M32" s="5"/>
    </row>
    <row r="33" spans="1:13" ht="14">
      <c r="A33" s="60" t="str">
        <f t="shared" si="0"/>
        <v/>
      </c>
      <c r="B33" s="60"/>
      <c r="C33" s="17"/>
      <c r="D33" s="17"/>
      <c r="E33" s="17"/>
      <c r="F33" s="17"/>
      <c r="G33" s="17"/>
      <c r="H33" s="23"/>
      <c r="I33" s="17"/>
      <c r="J33" s="17"/>
      <c r="K33" s="17"/>
      <c r="L33" s="17"/>
      <c r="M33" s="5"/>
    </row>
    <row r="34" spans="1:13" ht="14">
      <c r="A34" s="60" t="str">
        <f t="shared" si="0"/>
        <v/>
      </c>
      <c r="B34" s="60"/>
      <c r="C34" s="17"/>
      <c r="D34" s="17"/>
      <c r="E34" s="17"/>
      <c r="F34" s="17"/>
      <c r="G34" s="17"/>
      <c r="H34" s="23"/>
      <c r="I34" s="17"/>
      <c r="J34" s="17"/>
      <c r="K34" s="17"/>
      <c r="L34" s="17"/>
      <c r="M34" s="5"/>
    </row>
    <row r="35" spans="1:13" ht="14">
      <c r="A35" s="60" t="str">
        <f t="shared" si="0"/>
        <v/>
      </c>
      <c r="B35" s="60"/>
      <c r="C35" s="17"/>
      <c r="D35" s="17"/>
      <c r="E35" s="17"/>
      <c r="F35" s="17"/>
      <c r="G35" s="17"/>
      <c r="H35" s="23"/>
      <c r="I35" s="17"/>
      <c r="J35" s="17"/>
      <c r="K35" s="17"/>
      <c r="L35" s="17"/>
      <c r="M35" s="5"/>
    </row>
    <row r="36" spans="1:13" ht="14">
      <c r="A36" s="60" t="str">
        <f t="shared" si="0"/>
        <v/>
      </c>
      <c r="B36" s="60"/>
      <c r="C36" s="17"/>
      <c r="D36" s="17"/>
      <c r="E36" s="17"/>
      <c r="F36" s="17"/>
      <c r="G36" s="17"/>
      <c r="H36" s="23"/>
      <c r="I36" s="17"/>
      <c r="J36" s="17"/>
      <c r="K36" s="17"/>
      <c r="L36" s="17"/>
      <c r="M36" s="5"/>
    </row>
    <row r="37" spans="1:13" ht="14">
      <c r="A37" s="60" t="str">
        <f t="shared" si="0"/>
        <v/>
      </c>
      <c r="B37" s="60"/>
      <c r="C37" s="17"/>
      <c r="D37" s="17"/>
      <c r="E37" s="17"/>
      <c r="F37" s="17"/>
      <c r="G37" s="17"/>
      <c r="H37" s="23"/>
      <c r="I37" s="17"/>
      <c r="J37" s="17"/>
      <c r="K37" s="17"/>
      <c r="L37" s="17"/>
      <c r="M37" s="5"/>
    </row>
    <row r="38" spans="1:13" ht="14">
      <c r="A38" s="60" t="str">
        <f t="shared" si="0"/>
        <v/>
      </c>
      <c r="B38" s="60"/>
      <c r="C38" s="17"/>
      <c r="D38" s="17"/>
      <c r="E38" s="17"/>
      <c r="F38" s="17"/>
      <c r="G38" s="17"/>
      <c r="H38" s="23"/>
      <c r="I38" s="17"/>
      <c r="J38" s="17"/>
      <c r="K38" s="17"/>
      <c r="L38" s="17"/>
      <c r="M38" s="5"/>
    </row>
    <row r="39" spans="1:13" ht="14">
      <c r="A39" s="60" t="str">
        <f t="shared" si="0"/>
        <v/>
      </c>
      <c r="B39" s="60"/>
      <c r="C39" s="17"/>
      <c r="D39" s="17"/>
      <c r="E39" s="17"/>
      <c r="F39" s="17"/>
      <c r="G39" s="17"/>
      <c r="H39" s="23"/>
      <c r="I39" s="17"/>
      <c r="J39" s="17"/>
      <c r="K39" s="17"/>
      <c r="L39" s="17"/>
      <c r="M39" s="5"/>
    </row>
    <row r="40" spans="1:13" ht="14">
      <c r="A40" s="60" t="str">
        <f t="shared" si="0"/>
        <v/>
      </c>
      <c r="B40" s="60"/>
      <c r="C40" s="17"/>
      <c r="D40" s="17"/>
      <c r="E40" s="17"/>
      <c r="F40" s="17"/>
      <c r="G40" s="17"/>
      <c r="H40" s="23"/>
      <c r="I40" s="17"/>
      <c r="J40" s="17"/>
      <c r="K40" s="17"/>
      <c r="L40" s="17"/>
      <c r="M40" s="5"/>
    </row>
    <row r="41" spans="1:13" ht="14">
      <c r="A41" s="60" t="str">
        <f t="shared" si="0"/>
        <v/>
      </c>
      <c r="B41" s="60"/>
      <c r="C41" s="17"/>
      <c r="D41" s="17"/>
      <c r="E41" s="17"/>
      <c r="F41" s="17"/>
      <c r="G41" s="17"/>
      <c r="H41" s="23"/>
      <c r="I41" s="17"/>
      <c r="J41" s="17"/>
      <c r="K41" s="17"/>
      <c r="L41" s="17"/>
      <c r="M41" s="5"/>
    </row>
    <row r="42" spans="1:13" ht="14">
      <c r="A42" s="60" t="str">
        <f t="shared" si="0"/>
        <v/>
      </c>
      <c r="B42" s="60"/>
      <c r="C42" s="17"/>
      <c r="D42" s="17"/>
      <c r="E42" s="17"/>
      <c r="F42" s="17"/>
      <c r="G42" s="17"/>
      <c r="H42" s="23"/>
      <c r="I42" s="17"/>
      <c r="J42" s="17"/>
      <c r="K42" s="17"/>
      <c r="L42" s="17"/>
      <c r="M42" s="5"/>
    </row>
    <row r="43" spans="1:13" ht="14">
      <c r="A43" s="60" t="str">
        <f t="shared" si="0"/>
        <v/>
      </c>
      <c r="B43" s="60"/>
      <c r="C43" s="17"/>
      <c r="D43" s="17"/>
      <c r="E43" s="17"/>
      <c r="F43" s="17"/>
      <c r="G43" s="17"/>
      <c r="H43" s="23"/>
      <c r="I43" s="17"/>
      <c r="J43" s="17"/>
      <c r="K43" s="17"/>
      <c r="L43" s="17"/>
      <c r="M43" s="5"/>
    </row>
    <row r="44" spans="1:13" ht="14">
      <c r="A44" s="60" t="str">
        <f t="shared" si="0"/>
        <v/>
      </c>
      <c r="B44" s="60"/>
      <c r="C44" s="17"/>
      <c r="D44" s="17"/>
      <c r="E44" s="17"/>
      <c r="F44" s="17"/>
      <c r="G44" s="17"/>
      <c r="H44" s="23"/>
      <c r="I44" s="17"/>
      <c r="J44" s="17"/>
      <c r="K44" s="17"/>
      <c r="L44" s="17"/>
      <c r="M44" s="5"/>
    </row>
    <row r="45" spans="1:13" ht="14">
      <c r="A45" s="60" t="str">
        <f t="shared" si="0"/>
        <v/>
      </c>
      <c r="B45" s="60"/>
      <c r="C45" s="17"/>
      <c r="D45" s="17"/>
      <c r="E45" s="17"/>
      <c r="F45" s="17"/>
      <c r="G45" s="17"/>
      <c r="H45" s="23"/>
      <c r="I45" s="17"/>
      <c r="J45" s="17"/>
      <c r="K45" s="17"/>
      <c r="L45" s="17"/>
      <c r="M45" s="5"/>
    </row>
    <row r="46" spans="1:13" ht="14">
      <c r="A46" s="60" t="str">
        <f t="shared" si="0"/>
        <v/>
      </c>
      <c r="B46" s="60"/>
      <c r="C46" s="17"/>
      <c r="D46" s="17"/>
      <c r="E46" s="17"/>
      <c r="F46" s="17"/>
      <c r="G46" s="17"/>
      <c r="H46" s="23"/>
      <c r="I46" s="17"/>
      <c r="J46" s="17"/>
      <c r="K46" s="17"/>
      <c r="L46" s="17"/>
      <c r="M46" s="5"/>
    </row>
    <row r="47" spans="1:13" ht="14">
      <c r="A47" s="60" t="str">
        <f t="shared" si="0"/>
        <v/>
      </c>
      <c r="B47" s="60"/>
      <c r="C47" s="17"/>
      <c r="D47" s="17"/>
      <c r="E47" s="17"/>
      <c r="F47" s="17"/>
      <c r="G47" s="17"/>
      <c r="H47" s="23"/>
      <c r="I47" s="17"/>
      <c r="J47" s="17"/>
      <c r="K47" s="17"/>
      <c r="L47" s="17"/>
      <c r="M47" s="5"/>
    </row>
    <row r="48" spans="1:13" ht="14">
      <c r="A48" s="60" t="str">
        <f t="shared" si="0"/>
        <v/>
      </c>
      <c r="B48" s="60"/>
      <c r="C48" s="17"/>
      <c r="D48" s="17"/>
      <c r="E48" s="17"/>
      <c r="F48" s="17"/>
      <c r="G48" s="17"/>
      <c r="H48" s="23"/>
      <c r="I48" s="17"/>
      <c r="J48" s="17"/>
      <c r="K48" s="17"/>
      <c r="L48" s="17"/>
      <c r="M48" s="5"/>
    </row>
    <row r="49" spans="1:13" ht="14">
      <c r="A49" s="60" t="str">
        <f t="shared" si="0"/>
        <v/>
      </c>
      <c r="B49" s="60"/>
      <c r="C49" s="17"/>
      <c r="D49" s="17"/>
      <c r="E49" s="17"/>
      <c r="F49" s="17"/>
      <c r="G49" s="17"/>
      <c r="H49" s="23"/>
      <c r="I49" s="17"/>
      <c r="J49" s="17"/>
      <c r="K49" s="17"/>
      <c r="L49" s="17"/>
      <c r="M49" s="5"/>
    </row>
    <row r="50" spans="1:13" ht="14">
      <c r="A50" s="60" t="str">
        <f t="shared" si="0"/>
        <v/>
      </c>
      <c r="B50" s="60"/>
      <c r="C50" s="17"/>
      <c r="D50" s="17"/>
      <c r="E50" s="17"/>
      <c r="F50" s="17"/>
      <c r="G50" s="17"/>
      <c r="H50" s="23"/>
      <c r="I50" s="17"/>
      <c r="J50" s="17"/>
      <c r="K50" s="17"/>
      <c r="L50" s="23"/>
      <c r="M50" s="5"/>
    </row>
    <row r="51" spans="1:13" ht="14">
      <c r="A51" s="60" t="str">
        <f t="shared" si="0"/>
        <v/>
      </c>
      <c r="B51" s="60"/>
      <c r="C51" s="17"/>
      <c r="D51" s="17"/>
      <c r="E51" s="17"/>
      <c r="F51" s="17"/>
      <c r="G51" s="17"/>
      <c r="H51" s="23"/>
      <c r="I51" s="17"/>
      <c r="J51" s="17"/>
      <c r="K51" s="17"/>
      <c r="L51" s="23"/>
      <c r="M51" s="5"/>
    </row>
    <row r="52" spans="1:13" ht="14">
      <c r="A52" s="60" t="str">
        <f t="shared" si="0"/>
        <v/>
      </c>
      <c r="B52" s="60"/>
      <c r="C52" s="17"/>
      <c r="D52" s="17"/>
      <c r="E52" s="17"/>
      <c r="F52" s="17"/>
      <c r="G52" s="17"/>
      <c r="H52" s="23"/>
      <c r="I52" s="17"/>
      <c r="J52" s="17"/>
      <c r="K52" s="17"/>
      <c r="L52" s="23"/>
      <c r="M52" s="5"/>
    </row>
    <row r="53" spans="1:13" ht="14">
      <c r="A53" s="60" t="str">
        <f t="shared" si="0"/>
        <v/>
      </c>
      <c r="B53" s="60"/>
      <c r="C53" s="17"/>
      <c r="D53" s="17"/>
      <c r="E53" s="17"/>
      <c r="F53" s="17"/>
      <c r="G53" s="17"/>
      <c r="H53" s="23"/>
      <c r="I53" s="17"/>
      <c r="J53" s="17"/>
      <c r="K53" s="17"/>
      <c r="L53" s="23"/>
      <c r="M53" s="5"/>
    </row>
    <row r="54" spans="1:13" ht="14">
      <c r="A54" s="60" t="str">
        <f t="shared" si="0"/>
        <v/>
      </c>
      <c r="B54" s="60"/>
      <c r="C54" s="17"/>
      <c r="D54" s="17"/>
      <c r="E54" s="17"/>
      <c r="F54" s="17"/>
      <c r="G54" s="17"/>
      <c r="H54" s="23"/>
      <c r="I54" s="17"/>
      <c r="J54" s="17"/>
      <c r="K54" s="17"/>
      <c r="L54" s="23"/>
      <c r="M54" s="5"/>
    </row>
    <row r="55" spans="1:13" ht="14">
      <c r="A55" s="60" t="str">
        <f t="shared" si="0"/>
        <v/>
      </c>
      <c r="B55" s="60"/>
      <c r="C55" s="17"/>
      <c r="D55" s="17"/>
      <c r="E55" s="17"/>
      <c r="F55" s="17"/>
      <c r="G55" s="17"/>
      <c r="H55" s="23"/>
      <c r="I55" s="17"/>
      <c r="J55" s="17"/>
      <c r="K55" s="17"/>
      <c r="L55" s="23"/>
      <c r="M55" s="5"/>
    </row>
    <row r="56" spans="1:13" ht="14">
      <c r="A56" s="60" t="str">
        <f t="shared" si="0"/>
        <v/>
      </c>
      <c r="B56" s="60"/>
      <c r="C56" s="17"/>
      <c r="D56" s="17"/>
      <c r="E56" s="17"/>
      <c r="F56" s="17"/>
      <c r="G56" s="17"/>
      <c r="H56" s="23"/>
      <c r="I56" s="17"/>
      <c r="J56" s="17"/>
      <c r="K56" s="17"/>
      <c r="L56" s="23"/>
      <c r="M56" s="5"/>
    </row>
    <row r="57" spans="1:13" ht="14">
      <c r="A57" s="60" t="str">
        <f t="shared" si="0"/>
        <v/>
      </c>
      <c r="B57" s="60"/>
      <c r="C57" s="17"/>
      <c r="D57" s="17"/>
      <c r="E57" s="17"/>
      <c r="F57" s="17"/>
      <c r="G57" s="17"/>
      <c r="H57" s="23"/>
      <c r="I57" s="17"/>
      <c r="J57" s="17"/>
      <c r="K57" s="17"/>
      <c r="L57" s="23"/>
      <c r="M57" s="5"/>
    </row>
    <row r="58" spans="1:13" ht="14">
      <c r="A58" s="60" t="str">
        <f t="shared" si="0"/>
        <v/>
      </c>
      <c r="B58" s="60"/>
      <c r="C58" s="17"/>
      <c r="D58" s="17"/>
      <c r="E58" s="17"/>
      <c r="F58" s="17"/>
      <c r="G58" s="17"/>
      <c r="H58" s="23"/>
      <c r="I58" s="17"/>
      <c r="J58" s="17"/>
      <c r="K58" s="17"/>
      <c r="L58" s="23"/>
      <c r="M58" s="5"/>
    </row>
    <row r="59" spans="1:13" ht="14">
      <c r="A59" s="60" t="str">
        <f t="shared" si="0"/>
        <v/>
      </c>
      <c r="B59" s="60"/>
      <c r="C59" s="17"/>
      <c r="D59" s="17"/>
      <c r="E59" s="17"/>
      <c r="F59" s="17"/>
      <c r="G59" s="17"/>
      <c r="H59" s="23"/>
      <c r="I59" s="17"/>
      <c r="J59" s="17"/>
      <c r="K59" s="17"/>
      <c r="L59" s="23"/>
      <c r="M59" s="5"/>
    </row>
    <row r="60" spans="1:13" ht="14">
      <c r="A60" s="60" t="str">
        <f t="shared" si="0"/>
        <v/>
      </c>
      <c r="B60" s="60"/>
      <c r="C60" s="17"/>
      <c r="D60" s="17"/>
      <c r="E60" s="17"/>
      <c r="F60" s="17"/>
      <c r="G60" s="17"/>
      <c r="H60" s="23"/>
      <c r="I60" s="17"/>
      <c r="J60" s="17"/>
      <c r="K60" s="17"/>
      <c r="L60" s="23"/>
      <c r="M60" s="5"/>
    </row>
    <row r="61" spans="1:13" ht="14">
      <c r="A61" s="60" t="str">
        <f t="shared" si="0"/>
        <v/>
      </c>
      <c r="B61" s="60"/>
      <c r="C61" s="17"/>
      <c r="D61" s="17"/>
      <c r="E61" s="17"/>
      <c r="F61" s="17"/>
      <c r="G61" s="17"/>
      <c r="H61" s="23"/>
      <c r="I61" s="17"/>
      <c r="J61" s="17"/>
      <c r="K61" s="17"/>
      <c r="L61" s="23"/>
      <c r="M61" s="5"/>
    </row>
    <row r="62" spans="1:13" ht="14">
      <c r="A62" s="60" t="str">
        <f t="shared" si="0"/>
        <v/>
      </c>
      <c r="B62" s="60"/>
      <c r="C62" s="17"/>
      <c r="D62" s="17"/>
      <c r="E62" s="17"/>
      <c r="F62" s="17"/>
      <c r="G62" s="17"/>
      <c r="H62" s="23"/>
      <c r="I62" s="17"/>
      <c r="J62" s="17"/>
      <c r="K62" s="17"/>
      <c r="L62" s="23"/>
      <c r="M62" s="5"/>
    </row>
    <row r="63" spans="1:13" ht="14">
      <c r="A63" s="60" t="str">
        <f t="shared" si="0"/>
        <v/>
      </c>
      <c r="B63" s="60"/>
      <c r="C63" s="17"/>
      <c r="D63" s="17"/>
      <c r="E63" s="17"/>
      <c r="F63" s="17"/>
      <c r="G63" s="17"/>
      <c r="H63" s="23"/>
      <c r="I63" s="17"/>
      <c r="J63" s="17"/>
      <c r="K63" s="17"/>
      <c r="L63" s="23"/>
      <c r="M63" s="5"/>
    </row>
    <row r="64" spans="1:13" ht="14">
      <c r="A64" s="60" t="str">
        <f t="shared" si="0"/>
        <v/>
      </c>
      <c r="B64" s="60"/>
      <c r="C64" s="17"/>
      <c r="D64" s="17"/>
      <c r="E64" s="17"/>
      <c r="F64" s="17"/>
      <c r="G64" s="17"/>
      <c r="H64" s="23"/>
      <c r="I64" s="17"/>
      <c r="J64" s="17"/>
      <c r="K64" s="17"/>
      <c r="L64" s="23"/>
      <c r="M64" s="5"/>
    </row>
    <row r="65" spans="1:13" ht="14">
      <c r="A65" s="60" t="str">
        <f t="shared" si="0"/>
        <v/>
      </c>
      <c r="B65" s="60"/>
      <c r="C65" s="17"/>
      <c r="D65" s="17"/>
      <c r="E65" s="17"/>
      <c r="F65" s="17"/>
      <c r="G65" s="17"/>
      <c r="H65" s="23"/>
      <c r="I65" s="17"/>
      <c r="J65" s="17"/>
      <c r="K65" s="17"/>
      <c r="L65" s="23"/>
      <c r="M65" s="5"/>
    </row>
    <row r="66" spans="1:13" ht="14">
      <c r="A66" s="60" t="str">
        <f t="shared" si="0"/>
        <v/>
      </c>
      <c r="B66" s="60"/>
      <c r="C66" s="17"/>
      <c r="D66" s="17"/>
      <c r="E66" s="17"/>
      <c r="F66" s="17"/>
      <c r="G66" s="17"/>
      <c r="H66" s="23"/>
      <c r="I66" s="17"/>
      <c r="J66" s="17"/>
      <c r="K66" s="17"/>
      <c r="L66" s="23"/>
      <c r="M66" s="5"/>
    </row>
    <row r="67" spans="1:13" ht="14">
      <c r="A67" s="60" t="str">
        <f t="shared" si="0"/>
        <v/>
      </c>
      <c r="B67" s="60"/>
      <c r="C67" s="17"/>
      <c r="D67" s="17"/>
      <c r="E67" s="17"/>
      <c r="F67" s="17"/>
      <c r="G67" s="17"/>
      <c r="H67" s="23"/>
      <c r="I67" s="17"/>
      <c r="J67" s="17"/>
      <c r="K67" s="17"/>
      <c r="L67" s="23"/>
      <c r="M67" s="5"/>
    </row>
    <row r="68" spans="1:13" ht="14">
      <c r="A68" s="60" t="str">
        <f t="shared" si="0"/>
        <v/>
      </c>
      <c r="B68" s="60"/>
      <c r="C68" s="17"/>
      <c r="D68" s="17"/>
      <c r="E68" s="17"/>
      <c r="F68" s="17"/>
      <c r="G68" s="17"/>
      <c r="H68" s="23"/>
      <c r="I68" s="17"/>
      <c r="J68" s="17"/>
      <c r="K68" s="17"/>
      <c r="L68" s="23"/>
      <c r="M68" s="5"/>
    </row>
    <row r="69" spans="1:13" ht="14">
      <c r="A69" s="60" t="str">
        <f t="shared" ref="A69:A96" si="2">+C69&amp;G69&amp;H69</f>
        <v/>
      </c>
      <c r="B69" s="60"/>
      <c r="C69" s="17"/>
      <c r="D69" s="17"/>
      <c r="E69" s="17"/>
      <c r="F69" s="17"/>
      <c r="G69" s="17"/>
      <c r="H69" s="23"/>
      <c r="I69" s="17"/>
      <c r="J69" s="17"/>
      <c r="K69" s="17"/>
      <c r="L69" s="23"/>
      <c r="M69" s="5"/>
    </row>
    <row r="70" spans="1:13" ht="14">
      <c r="A70" s="60" t="str">
        <f t="shared" si="2"/>
        <v/>
      </c>
      <c r="B70" s="60"/>
      <c r="C70" s="17"/>
      <c r="D70" s="17"/>
      <c r="E70" s="17"/>
      <c r="F70" s="17"/>
      <c r="G70" s="17"/>
      <c r="H70" s="23"/>
      <c r="I70" s="17"/>
      <c r="J70" s="17"/>
      <c r="K70" s="17"/>
      <c r="L70" s="23"/>
      <c r="M70" s="5"/>
    </row>
    <row r="71" spans="1:13" ht="14">
      <c r="A71" s="60" t="str">
        <f t="shared" si="2"/>
        <v/>
      </c>
      <c r="B71" s="60"/>
      <c r="C71" s="17"/>
      <c r="D71" s="17"/>
      <c r="E71" s="17"/>
      <c r="F71" s="17"/>
      <c r="G71" s="17"/>
      <c r="H71" s="23"/>
      <c r="I71" s="17"/>
      <c r="J71" s="17"/>
      <c r="K71" s="17"/>
      <c r="L71" s="23"/>
      <c r="M71" s="5"/>
    </row>
    <row r="72" spans="1:13" ht="14">
      <c r="A72" s="60" t="str">
        <f t="shared" si="2"/>
        <v/>
      </c>
      <c r="B72" s="60"/>
      <c r="C72" s="17"/>
      <c r="D72" s="17"/>
      <c r="E72" s="17"/>
      <c r="F72" s="17"/>
      <c r="G72" s="17"/>
      <c r="H72" s="23"/>
      <c r="I72" s="17"/>
      <c r="J72" s="17"/>
      <c r="K72" s="17"/>
      <c r="L72" s="23"/>
      <c r="M72" s="5"/>
    </row>
    <row r="73" spans="1:13" ht="14">
      <c r="A73" s="60" t="str">
        <f t="shared" si="2"/>
        <v/>
      </c>
      <c r="B73" s="60"/>
      <c r="C73" s="17"/>
      <c r="D73" s="17"/>
      <c r="E73" s="17"/>
      <c r="F73" s="17"/>
      <c r="G73" s="17"/>
      <c r="H73" s="23"/>
      <c r="I73" s="17"/>
      <c r="J73" s="17"/>
      <c r="K73" s="17"/>
      <c r="L73" s="23"/>
      <c r="M73" s="5"/>
    </row>
    <row r="74" spans="1:13" ht="14">
      <c r="A74" s="60" t="str">
        <f t="shared" si="2"/>
        <v/>
      </c>
      <c r="B74" s="60"/>
      <c r="C74" s="17"/>
      <c r="D74" s="17"/>
      <c r="E74" s="17"/>
      <c r="F74" s="17"/>
      <c r="G74" s="17"/>
      <c r="H74" s="23"/>
      <c r="I74" s="17"/>
      <c r="J74" s="17"/>
      <c r="K74" s="17"/>
      <c r="L74" s="23"/>
      <c r="M74" s="5"/>
    </row>
    <row r="75" spans="1:13" ht="14">
      <c r="A75" s="60" t="str">
        <f t="shared" si="2"/>
        <v/>
      </c>
      <c r="B75" s="60"/>
      <c r="C75" s="17"/>
      <c r="D75" s="17"/>
      <c r="E75" s="17"/>
      <c r="F75" s="17"/>
      <c r="G75" s="17"/>
      <c r="H75" s="23"/>
      <c r="I75" s="17"/>
      <c r="J75" s="17"/>
      <c r="K75" s="17"/>
      <c r="L75" s="23"/>
      <c r="M75" s="5"/>
    </row>
    <row r="76" spans="1:13" ht="14">
      <c r="A76" s="60" t="str">
        <f t="shared" si="2"/>
        <v/>
      </c>
      <c r="B76" s="60"/>
      <c r="C76" s="17"/>
      <c r="D76" s="17"/>
      <c r="E76" s="17"/>
      <c r="F76" s="17"/>
      <c r="G76" s="17"/>
      <c r="H76" s="23"/>
      <c r="I76" s="17"/>
      <c r="J76" s="17"/>
      <c r="K76" s="17"/>
      <c r="L76" s="23"/>
      <c r="M76" s="5"/>
    </row>
    <row r="77" spans="1:13" ht="14">
      <c r="A77" s="60" t="str">
        <f t="shared" si="2"/>
        <v/>
      </c>
      <c r="B77" s="60"/>
      <c r="C77" s="17"/>
      <c r="D77" s="17"/>
      <c r="E77" s="17"/>
      <c r="F77" s="17"/>
      <c r="G77" s="17"/>
      <c r="H77" s="23"/>
      <c r="I77" s="17"/>
      <c r="J77" s="17"/>
      <c r="K77" s="17"/>
      <c r="L77" s="23"/>
      <c r="M77" s="5"/>
    </row>
    <row r="78" spans="1:13" ht="14">
      <c r="A78" s="60" t="str">
        <f t="shared" si="2"/>
        <v/>
      </c>
      <c r="B78" s="60"/>
      <c r="C78" s="17"/>
      <c r="D78" s="17"/>
      <c r="E78" s="17"/>
      <c r="F78" s="17"/>
      <c r="G78" s="17"/>
      <c r="H78" s="23"/>
      <c r="I78" s="17"/>
      <c r="J78" s="17"/>
      <c r="K78" s="17"/>
      <c r="L78" s="23"/>
      <c r="M78" s="5"/>
    </row>
    <row r="79" spans="1:13" ht="14">
      <c r="A79" s="60" t="str">
        <f t="shared" si="2"/>
        <v/>
      </c>
      <c r="B79" s="60"/>
      <c r="C79" s="17"/>
      <c r="D79" s="17"/>
      <c r="E79" s="17"/>
      <c r="F79" s="17"/>
      <c r="G79" s="17"/>
      <c r="H79" s="23"/>
      <c r="I79" s="17"/>
      <c r="J79" s="17"/>
      <c r="K79" s="17"/>
      <c r="L79" s="23"/>
      <c r="M79" s="5"/>
    </row>
    <row r="80" spans="1:13" ht="14">
      <c r="A80" s="60" t="str">
        <f t="shared" si="2"/>
        <v/>
      </c>
      <c r="B80" s="60"/>
      <c r="C80" s="17"/>
      <c r="D80" s="17"/>
      <c r="E80" s="17"/>
      <c r="F80" s="17"/>
      <c r="G80" s="17"/>
      <c r="H80" s="23"/>
      <c r="I80" s="17"/>
      <c r="J80" s="17"/>
      <c r="K80" s="17"/>
      <c r="L80" s="23"/>
      <c r="M80" s="5"/>
    </row>
    <row r="81" spans="1:13" ht="14">
      <c r="A81" s="60" t="str">
        <f t="shared" si="2"/>
        <v/>
      </c>
      <c r="B81" s="60"/>
      <c r="C81" s="17"/>
      <c r="D81" s="17"/>
      <c r="E81" s="17"/>
      <c r="F81" s="17"/>
      <c r="G81" s="17"/>
      <c r="H81" s="23"/>
      <c r="I81" s="17"/>
      <c r="J81" s="17"/>
      <c r="K81" s="17"/>
      <c r="L81" s="23"/>
      <c r="M81" s="5"/>
    </row>
    <row r="82" spans="1:13" ht="14">
      <c r="A82" s="60" t="str">
        <f t="shared" si="2"/>
        <v/>
      </c>
      <c r="B82" s="60"/>
      <c r="C82" s="17"/>
      <c r="D82" s="17"/>
      <c r="E82" s="17"/>
      <c r="F82" s="17"/>
      <c r="G82" s="17"/>
      <c r="H82" s="23"/>
      <c r="I82" s="17"/>
      <c r="J82" s="17"/>
      <c r="K82" s="17"/>
      <c r="L82" s="23"/>
      <c r="M82" s="5"/>
    </row>
    <row r="83" spans="1:13" ht="14">
      <c r="A83" s="60" t="str">
        <f t="shared" si="2"/>
        <v/>
      </c>
      <c r="B83" s="60"/>
      <c r="C83" s="17"/>
      <c r="D83" s="17"/>
      <c r="E83" s="17"/>
      <c r="F83" s="17"/>
      <c r="G83" s="17"/>
      <c r="H83" s="23"/>
      <c r="I83" s="17"/>
      <c r="J83" s="17"/>
      <c r="K83" s="17"/>
      <c r="L83" s="23"/>
      <c r="M83" s="5"/>
    </row>
    <row r="84" spans="1:13" ht="14">
      <c r="A84" s="60" t="str">
        <f t="shared" si="2"/>
        <v/>
      </c>
      <c r="B84" s="60"/>
      <c r="C84" s="17"/>
      <c r="D84" s="17"/>
      <c r="E84" s="17"/>
      <c r="F84" s="17"/>
      <c r="G84" s="17"/>
      <c r="H84" s="23"/>
      <c r="I84" s="17"/>
      <c r="J84" s="17"/>
      <c r="K84" s="17"/>
      <c r="L84" s="23"/>
      <c r="M84" s="5"/>
    </row>
    <row r="85" spans="1:13" ht="14">
      <c r="A85" s="60" t="str">
        <f t="shared" si="2"/>
        <v/>
      </c>
      <c r="B85" s="60"/>
      <c r="C85" s="17"/>
      <c r="D85" s="17"/>
      <c r="E85" s="17"/>
      <c r="F85" s="17"/>
      <c r="G85" s="17"/>
      <c r="H85" s="23"/>
      <c r="I85" s="17"/>
      <c r="J85" s="17"/>
      <c r="K85" s="17"/>
      <c r="L85" s="23"/>
      <c r="M85" s="5"/>
    </row>
    <row r="86" spans="1:13" ht="14">
      <c r="A86" s="60" t="str">
        <f t="shared" si="2"/>
        <v/>
      </c>
      <c r="B86" s="60"/>
      <c r="C86" s="17"/>
      <c r="D86" s="17"/>
      <c r="E86" s="17"/>
      <c r="F86" s="17"/>
      <c r="G86" s="17"/>
      <c r="H86" s="23"/>
      <c r="I86" s="17"/>
      <c r="J86" s="17"/>
      <c r="K86" s="17"/>
      <c r="L86" s="23"/>
      <c r="M86" s="5"/>
    </row>
    <row r="87" spans="1:13" ht="14">
      <c r="A87" s="60" t="str">
        <f t="shared" si="2"/>
        <v/>
      </c>
      <c r="B87" s="60"/>
      <c r="C87" s="17"/>
      <c r="D87" s="17"/>
      <c r="E87" s="17"/>
      <c r="F87" s="17"/>
      <c r="G87" s="17"/>
      <c r="H87" s="23"/>
      <c r="I87" s="17"/>
      <c r="J87" s="17"/>
      <c r="K87" s="17"/>
      <c r="L87" s="23"/>
      <c r="M87" s="5"/>
    </row>
    <row r="88" spans="1:13" ht="14">
      <c r="A88" s="60" t="str">
        <f t="shared" si="2"/>
        <v/>
      </c>
      <c r="B88" s="60"/>
      <c r="C88" s="17"/>
      <c r="D88" s="17"/>
      <c r="E88" s="17"/>
      <c r="F88" s="17"/>
      <c r="G88" s="17"/>
      <c r="H88" s="23"/>
      <c r="I88" s="17"/>
      <c r="J88" s="17"/>
      <c r="K88" s="17"/>
      <c r="L88" s="23"/>
      <c r="M88" s="5"/>
    </row>
    <row r="89" spans="1:13" ht="14">
      <c r="A89" s="60" t="str">
        <f t="shared" si="2"/>
        <v/>
      </c>
      <c r="B89" s="60"/>
      <c r="C89" s="17"/>
      <c r="D89" s="17"/>
      <c r="E89" s="17"/>
      <c r="F89" s="17"/>
      <c r="G89" s="17"/>
      <c r="H89" s="23"/>
      <c r="I89" s="17"/>
      <c r="J89" s="17"/>
      <c r="K89" s="17"/>
      <c r="L89" s="23"/>
      <c r="M89" s="5"/>
    </row>
    <row r="90" spans="1:13" ht="14">
      <c r="A90" s="60" t="str">
        <f t="shared" si="2"/>
        <v/>
      </c>
      <c r="B90" s="60"/>
      <c r="C90" s="17"/>
      <c r="D90" s="17"/>
      <c r="E90" s="17"/>
      <c r="F90" s="17"/>
      <c r="G90" s="17"/>
      <c r="H90" s="23"/>
      <c r="I90" s="17"/>
      <c r="J90" s="17"/>
      <c r="K90" s="17"/>
      <c r="L90" s="23"/>
      <c r="M90" s="5"/>
    </row>
    <row r="91" spans="1:13" ht="14">
      <c r="A91" s="60" t="str">
        <f t="shared" si="2"/>
        <v/>
      </c>
      <c r="B91" s="60"/>
      <c r="C91" s="17"/>
      <c r="D91" s="17"/>
      <c r="E91" s="17"/>
      <c r="F91" s="17"/>
      <c r="G91" s="17"/>
      <c r="H91" s="23"/>
      <c r="I91" s="17"/>
      <c r="J91" s="17"/>
      <c r="K91" s="17"/>
      <c r="L91" s="23"/>
      <c r="M91" s="5"/>
    </row>
    <row r="92" spans="1:13" ht="14">
      <c r="A92" s="60" t="str">
        <f t="shared" si="2"/>
        <v/>
      </c>
      <c r="B92" s="60"/>
      <c r="C92" s="17"/>
      <c r="D92" s="17"/>
      <c r="E92" s="17"/>
      <c r="F92" s="17"/>
      <c r="G92" s="17"/>
      <c r="H92" s="23"/>
      <c r="I92" s="17"/>
      <c r="J92" s="17"/>
      <c r="K92" s="17"/>
      <c r="L92" s="23"/>
      <c r="M92" s="5"/>
    </row>
    <row r="93" spans="1:13" ht="14">
      <c r="A93" s="60" t="str">
        <f t="shared" si="2"/>
        <v/>
      </c>
      <c r="B93" s="60"/>
      <c r="C93" s="17"/>
      <c r="D93" s="17"/>
      <c r="E93" s="17"/>
      <c r="F93" s="17"/>
      <c r="G93" s="17"/>
      <c r="H93" s="23"/>
      <c r="I93" s="17"/>
      <c r="J93" s="17"/>
      <c r="K93" s="17"/>
      <c r="L93" s="23"/>
      <c r="M93" s="5"/>
    </row>
    <row r="94" spans="1:13" ht="14">
      <c r="A94" s="60" t="str">
        <f t="shared" si="2"/>
        <v/>
      </c>
      <c r="B94" s="60"/>
      <c r="C94" s="17"/>
      <c r="D94" s="17"/>
      <c r="E94" s="17"/>
      <c r="F94" s="17"/>
      <c r="G94" s="17"/>
      <c r="H94" s="23"/>
      <c r="I94" s="17"/>
      <c r="J94" s="17"/>
      <c r="K94" s="17"/>
      <c r="L94" s="23"/>
      <c r="M94" s="5"/>
    </row>
    <row r="95" spans="1:13" ht="14">
      <c r="A95" s="60" t="str">
        <f t="shared" si="2"/>
        <v/>
      </c>
      <c r="B95" s="60"/>
      <c r="C95" s="17"/>
      <c r="D95" s="17"/>
      <c r="E95" s="17"/>
      <c r="F95" s="17"/>
      <c r="G95" s="17"/>
      <c r="H95" s="23"/>
      <c r="I95" s="17"/>
      <c r="J95" s="17"/>
      <c r="K95" s="17"/>
      <c r="L95" s="23"/>
      <c r="M95" s="5"/>
    </row>
    <row r="96" spans="1:13" ht="14">
      <c r="A96" s="60" t="str">
        <f t="shared" si="2"/>
        <v/>
      </c>
      <c r="B96" s="60"/>
      <c r="C96" s="17"/>
      <c r="D96" s="17"/>
      <c r="E96" s="17"/>
      <c r="F96" s="17"/>
      <c r="G96" s="17"/>
      <c r="H96" s="23"/>
      <c r="I96" s="17"/>
      <c r="J96" s="17"/>
      <c r="K96" s="17"/>
      <c r="L96" s="23"/>
      <c r="M96" s="5"/>
    </row>
    <row r="97" spans="1:13" ht="14">
      <c r="A97" s="60" t="str">
        <f t="shared" ref="A97:A100" si="3">+C97&amp;G97&amp;H97</f>
        <v/>
      </c>
      <c r="B97" s="60"/>
      <c r="C97" s="17"/>
      <c r="D97" s="17"/>
      <c r="E97" s="17"/>
      <c r="F97" s="17"/>
      <c r="G97" s="17"/>
      <c r="H97" s="23"/>
      <c r="I97" s="17"/>
      <c r="J97" s="17"/>
      <c r="K97" s="17"/>
      <c r="L97" s="23"/>
      <c r="M97" s="5"/>
    </row>
    <row r="98" spans="1:13" ht="14">
      <c r="A98" s="60" t="str">
        <f t="shared" si="3"/>
        <v/>
      </c>
      <c r="B98" s="60"/>
      <c r="C98" s="17"/>
      <c r="D98" s="17"/>
      <c r="E98" s="17"/>
      <c r="F98" s="17"/>
      <c r="G98" s="17"/>
      <c r="H98" s="23"/>
      <c r="I98" s="17"/>
      <c r="J98" s="17"/>
      <c r="K98" s="17"/>
      <c r="L98" s="23"/>
      <c r="M98" s="5"/>
    </row>
    <row r="99" spans="1:13" ht="14">
      <c r="A99" s="60" t="str">
        <f t="shared" si="3"/>
        <v/>
      </c>
      <c r="B99" s="60"/>
      <c r="C99" s="17"/>
      <c r="D99" s="17"/>
      <c r="E99" s="17"/>
      <c r="F99" s="17"/>
      <c r="G99" s="17"/>
      <c r="H99" s="23"/>
      <c r="I99" s="17"/>
      <c r="J99" s="17"/>
      <c r="K99" s="17"/>
      <c r="L99" s="23"/>
      <c r="M99" s="5"/>
    </row>
    <row r="100" spans="1:13" ht="14">
      <c r="A100" s="60" t="str">
        <f t="shared" si="3"/>
        <v/>
      </c>
      <c r="B100" s="60"/>
      <c r="C100" s="17"/>
      <c r="D100" s="17"/>
      <c r="E100" s="17"/>
      <c r="F100" s="17"/>
      <c r="G100" s="17"/>
      <c r="H100" s="23"/>
      <c r="I100" s="17"/>
      <c r="J100" s="17"/>
      <c r="K100" s="17"/>
      <c r="L100" s="23"/>
      <c r="M100" s="5"/>
    </row>
    <row r="101" spans="1:13" ht="14">
      <c r="M101" s="5"/>
    </row>
    <row r="102" spans="1:13" ht="14" hidden="1"/>
    <row r="103" spans="1:13" ht="14" hidden="1"/>
    <row r="104" spans="1:13" ht="14" hidden="1"/>
    <row r="105" spans="1:13" ht="14" hidden="1"/>
    <row r="106" spans="1:13" ht="14" hidden="1"/>
    <row r="107" spans="1:13" ht="14" hidden="1"/>
    <row r="108" spans="1:13" ht="14" hidden="1"/>
    <row r="109" spans="1:13" ht="14" hidden="1"/>
    <row r="110" spans="1:13" ht="14" hidden="1"/>
    <row r="111" spans="1:13" ht="14" hidden="1"/>
    <row r="112" spans="1:13" ht="14" hidden="1"/>
    <row r="113" ht="14" hidden="1"/>
    <row r="114" ht="14" hidden="1"/>
    <row r="115" ht="14" hidden="1"/>
    <row r="116" ht="14" hidden="1"/>
    <row r="117" ht="14" hidden="1"/>
    <row r="118" ht="14" hidden="1"/>
    <row r="119" ht="14" hidden="1"/>
    <row r="120" ht="14" hidden="1"/>
    <row r="121" ht="14" hidden="1"/>
    <row r="122" ht="14" hidden="1"/>
    <row r="123" ht="14" hidden="1"/>
    <row r="124" ht="14" hidden="1"/>
    <row r="125" ht="14" hidden="1"/>
    <row r="126" ht="14" hidden="1"/>
    <row r="127" ht="14" hidden="1"/>
    <row r="128" ht="14" hidden="1"/>
    <row r="129" ht="14" hidden="1"/>
    <row r="130" ht="14" hidden="1"/>
    <row r="131" ht="14" hidden="1"/>
    <row r="132" ht="14" hidden="1"/>
    <row r="133" ht="14" hidden="1"/>
    <row r="134" ht="14" hidden="1"/>
    <row r="135" ht="14" hidden="1"/>
    <row r="136" ht="14" hidden="1"/>
    <row r="137" ht="14" hidden="1"/>
    <row r="138" ht="14" hidden="1"/>
    <row r="139" ht="14" hidden="1"/>
    <row r="140" ht="14" hidden="1"/>
    <row r="141" ht="14" hidden="1"/>
    <row r="142" ht="14" hidden="1"/>
    <row r="143" ht="14" hidden="1"/>
    <row r="144" ht="14" hidden="1"/>
    <row r="145" ht="14" hidden="1"/>
    <row r="146" ht="14" hidden="1"/>
    <row r="147" ht="14" hidden="1"/>
    <row r="148" ht="14" hidden="1"/>
    <row r="149" ht="14" hidden="1"/>
    <row r="150" ht="14" hidden="1"/>
    <row r="151" ht="14" hidden="1"/>
    <row r="152" ht="14" hidden="1"/>
    <row r="153" ht="14" hidden="1"/>
    <row r="154" ht="14" hidden="1"/>
    <row r="155" ht="14" hidden="1"/>
    <row r="156" ht="14" hidden="1"/>
    <row r="157" ht="14" hidden="1"/>
    <row r="158" ht="14" hidden="1"/>
    <row r="159" ht="14" hidden="1"/>
    <row r="160" ht="14" hidden="1"/>
    <row r="161" ht="14" hidden="1"/>
    <row r="162" ht="14" hidden="1"/>
    <row r="163" ht="14" hidden="1"/>
    <row r="164" ht="14" hidden="1"/>
    <row r="165" ht="14" hidden="1"/>
    <row r="166" ht="14" hidden="1"/>
    <row r="167" ht="14" hidden="1"/>
    <row r="168" ht="14" hidden="1"/>
    <row r="169" ht="14" hidden="1"/>
    <row r="170" ht="14" hidden="1"/>
    <row r="171" ht="14" hidden="1"/>
    <row r="172" ht="14" hidden="1"/>
    <row r="173" ht="14" hidden="1"/>
    <row r="174" ht="14" hidden="1"/>
    <row r="175" ht="14" hidden="1"/>
    <row r="176" ht="14" hidden="1"/>
    <row r="177" ht="14" hidden="1"/>
    <row r="178" ht="14" hidden="1"/>
    <row r="179" ht="14" hidden="1"/>
    <row r="180" ht="14" hidden="1"/>
    <row r="181" ht="14" hidden="1"/>
    <row r="182" ht="14" hidden="1"/>
    <row r="183" ht="14" hidden="1"/>
    <row r="184" ht="14" hidden="1"/>
    <row r="185" ht="14" hidden="1"/>
    <row r="186" ht="14" hidden="1"/>
    <row r="187" ht="14" hidden="1"/>
    <row r="188" ht="14" hidden="1"/>
    <row r="189" ht="14" hidden="1"/>
    <row r="190" ht="14" hidden="1"/>
    <row r="191" ht="14" hidden="1"/>
    <row r="192" ht="14" hidden="1"/>
    <row r="193" ht="14" hidden="1"/>
    <row r="194" ht="14" hidden="1"/>
    <row r="195" ht="14" hidden="1"/>
    <row r="196" ht="14" hidden="1"/>
    <row r="197" ht="14" hidden="1"/>
    <row r="198" ht="14" hidden="1"/>
    <row r="199" ht="14" hidden="1"/>
    <row r="200" ht="14" hidden="1"/>
    <row r="201" ht="14" hidden="1"/>
    <row r="202" ht="14" hidden="1"/>
    <row r="203" ht="14" hidden="1"/>
    <row r="204" ht="14" hidden="1"/>
    <row r="205" ht="14" hidden="1"/>
    <row r="206" ht="14" hidden="1"/>
    <row r="207" ht="14" hidden="1"/>
    <row r="208" ht="14" hidden="1"/>
    <row r="209" ht="14" hidden="1"/>
    <row r="210" ht="14" hidden="1"/>
    <row r="211" ht="14" hidden="1"/>
    <row r="212" ht="14" hidden="1"/>
    <row r="213" ht="14" hidden="1"/>
    <row r="214" ht="14" hidden="1"/>
    <row r="215" ht="14" hidden="1"/>
    <row r="216" ht="14" hidden="1"/>
    <row r="217" ht="14" hidden="1"/>
    <row r="218" ht="14" hidden="1"/>
    <row r="219" ht="14" hidden="1"/>
    <row r="220" ht="14" hidden="1"/>
    <row r="221" ht="14" hidden="1"/>
    <row r="222" ht="14" hidden="1"/>
    <row r="223" ht="14" hidden="1"/>
    <row r="224" ht="14" hidden="1"/>
    <row r="225" ht="14" hidden="1"/>
    <row r="226" ht="14" hidden="1"/>
    <row r="227" ht="14" hidden="1"/>
    <row r="228" ht="14" hidden="1"/>
    <row r="229" ht="14" hidden="1"/>
    <row r="230" ht="14" hidden="1"/>
    <row r="231" ht="14" hidden="1"/>
    <row r="232" ht="14" hidden="1"/>
    <row r="233" ht="14" hidden="1"/>
    <row r="234" ht="14" hidden="1"/>
    <row r="235" ht="14" hidden="1"/>
    <row r="236" ht="14" hidden="1"/>
    <row r="237" ht="14" hidden="1"/>
    <row r="238" ht="14" hidden="1"/>
    <row r="239" ht="14" hidden="1"/>
    <row r="240" ht="14" hidden="1"/>
    <row r="241" ht="14" hidden="1"/>
    <row r="242" ht="14" hidden="1"/>
    <row r="243" ht="14" hidden="1"/>
    <row r="244" ht="14" hidden="1"/>
    <row r="245" ht="14" hidden="1"/>
    <row r="246" ht="14" hidden="1"/>
    <row r="247" ht="14" hidden="1"/>
    <row r="248" ht="14" hidden="1"/>
    <row r="249" ht="14" hidden="1"/>
    <row r="250" ht="14" hidden="1"/>
    <row r="251" ht="14" hidden="1"/>
    <row r="252" ht="14" hidden="1"/>
    <row r="253" ht="14" hidden="1"/>
    <row r="254" ht="14" hidden="1"/>
    <row r="255" ht="14" hidden="1"/>
    <row r="256" ht="14" hidden="1"/>
    <row r="257" ht="14" hidden="1"/>
    <row r="258" ht="14" hidden="1"/>
    <row r="259" ht="14" hidden="1"/>
    <row r="260" ht="14" hidden="1"/>
    <row r="261" ht="14" hidden="1"/>
    <row r="262" ht="14" hidden="1"/>
    <row r="263" ht="14" hidden="1"/>
    <row r="264" ht="14" hidden="1"/>
    <row r="265" ht="14" hidden="1"/>
    <row r="266" ht="14" hidden="1"/>
    <row r="267" ht="14" hidden="1"/>
    <row r="268" ht="14" hidden="1"/>
    <row r="269" ht="14" hidden="1"/>
    <row r="270" ht="14" hidden="1"/>
    <row r="271" ht="14" hidden="1"/>
    <row r="272" ht="14" hidden="1"/>
    <row r="273" ht="14" hidden="1"/>
    <row r="274" ht="14" hidden="1"/>
    <row r="275" ht="14" hidden="1"/>
    <row r="276" ht="14" hidden="1"/>
    <row r="277" ht="14" hidden="1"/>
    <row r="278" ht="14" hidden="1"/>
    <row r="279" ht="14" hidden="1"/>
    <row r="280" ht="14" hidden="1"/>
    <row r="281" ht="14" hidden="1"/>
    <row r="282" ht="14" hidden="1"/>
    <row r="283" ht="14" hidden="1"/>
    <row r="284" ht="14" hidden="1"/>
    <row r="285" ht="14" hidden="1"/>
    <row r="286" ht="14" hidden="1"/>
    <row r="287" ht="14" hidden="1"/>
    <row r="288" ht="14" hidden="1"/>
    <row r="289" ht="14" hidden="1"/>
    <row r="290" ht="14" hidden="1"/>
    <row r="291" ht="14" hidden="1"/>
    <row r="292" ht="14" hidden="1"/>
    <row r="293" ht="14" hidden="1"/>
    <row r="294" ht="14" hidden="1"/>
    <row r="295" ht="14" hidden="1"/>
    <row r="296" ht="14" hidden="1"/>
    <row r="297" ht="14" hidden="1"/>
    <row r="298" ht="14" hidden="1"/>
    <row r="299" ht="14" hidden="1"/>
    <row r="300" ht="14" hidden="1"/>
    <row r="301" ht="14" hidden="1"/>
    <row r="302" ht="14" hidden="1"/>
    <row r="303" ht="14" hidden="1"/>
    <row r="304" ht="14" hidden="1"/>
    <row r="305" ht="14" hidden="1"/>
    <row r="306" ht="14" hidden="1"/>
    <row r="307" ht="14" hidden="1"/>
    <row r="308" ht="14" hidden="1"/>
    <row r="309" ht="14" hidden="1"/>
    <row r="310" ht="14" hidden="1"/>
    <row r="311" ht="14" hidden="1"/>
    <row r="312" ht="14" hidden="1"/>
    <row r="313" ht="14" hidden="1"/>
    <row r="314" ht="14" hidden="1"/>
    <row r="315" ht="14" hidden="1"/>
    <row r="316" ht="14" hidden="1"/>
    <row r="317" ht="14" hidden="1"/>
    <row r="318" ht="14" hidden="1"/>
    <row r="319" ht="14" hidden="1"/>
    <row r="320" ht="14" hidden="1"/>
    <row r="321" ht="14" hidden="1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I13" sqref="I13"/>
    </sheetView>
  </sheetViews>
  <sheetFormatPr defaultRowHeight="14.5"/>
  <sheetData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M159"/>
  <sheetViews>
    <sheetView showGridLines="0" zoomScale="90" zoomScaleNormal="90" workbookViewId="0">
      <selection activeCell="D9" sqref="D9"/>
    </sheetView>
  </sheetViews>
  <sheetFormatPr defaultColWidth="9.08984375" defaultRowHeight="14" zeroHeight="1"/>
  <cols>
    <col min="1" max="1" width="3.6328125" style="2" customWidth="1"/>
    <col min="2" max="2" width="16.1796875" style="2" customWidth="1"/>
    <col min="3" max="3" width="25.81640625" style="2" customWidth="1"/>
    <col min="4" max="4" width="126.6328125" style="2" customWidth="1"/>
    <col min="5" max="119" width="5.6328125" style="2" customWidth="1"/>
    <col min="120" max="16384" width="9.08984375" style="2"/>
  </cols>
  <sheetData>
    <row r="1" spans="1:1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2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spans="1:12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120" ht="14.5" thickBot="1">
      <c r="A6" s="30"/>
      <c r="B6" s="31" t="s">
        <v>137</v>
      </c>
      <c r="C6" s="31"/>
      <c r="D6" s="31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</row>
    <row r="7" spans="1:120"/>
    <row r="8" spans="1:120">
      <c r="B8" s="73" t="s">
        <v>138</v>
      </c>
      <c r="C8" s="73" t="s">
        <v>44</v>
      </c>
      <c r="D8" s="73" t="s">
        <v>57</v>
      </c>
      <c r="E8" s="74" t="s">
        <v>139</v>
      </c>
      <c r="F8" s="74" t="s">
        <v>143</v>
      </c>
      <c r="G8" s="74" t="s">
        <v>144</v>
      </c>
      <c r="H8" s="74" t="s">
        <v>145</v>
      </c>
      <c r="I8" s="74" t="s">
        <v>146</v>
      </c>
      <c r="J8" s="74" t="s">
        <v>147</v>
      </c>
      <c r="K8" s="74" t="s">
        <v>148</v>
      </c>
      <c r="L8" s="74" t="s">
        <v>149</v>
      </c>
      <c r="M8" s="74" t="s">
        <v>150</v>
      </c>
      <c r="N8" s="74" t="s">
        <v>139</v>
      </c>
      <c r="O8" s="74" t="s">
        <v>151</v>
      </c>
      <c r="P8" s="74" t="s">
        <v>139</v>
      </c>
      <c r="Q8" s="74" t="s">
        <v>152</v>
      </c>
      <c r="R8" s="74" t="s">
        <v>153</v>
      </c>
      <c r="S8" s="74" t="s">
        <v>139</v>
      </c>
      <c r="T8" s="74" t="s">
        <v>154</v>
      </c>
      <c r="U8" s="74" t="s">
        <v>155</v>
      </c>
      <c r="V8" s="74" t="s">
        <v>156</v>
      </c>
      <c r="W8" s="74" t="s">
        <v>157</v>
      </c>
      <c r="X8" s="74" t="s">
        <v>158</v>
      </c>
      <c r="Y8" s="74" t="s">
        <v>159</v>
      </c>
      <c r="Z8" s="74" t="s">
        <v>160</v>
      </c>
      <c r="AA8" s="74" t="s">
        <v>156</v>
      </c>
      <c r="AB8" s="74" t="s">
        <v>152</v>
      </c>
      <c r="AC8" s="74" t="s">
        <v>161</v>
      </c>
      <c r="AD8" s="74" t="s">
        <v>162</v>
      </c>
      <c r="AE8" s="74" t="s">
        <v>163</v>
      </c>
      <c r="AF8" s="74" t="s">
        <v>164</v>
      </c>
      <c r="AG8" s="74" t="s">
        <v>165</v>
      </c>
      <c r="AH8" s="74" t="s">
        <v>166</v>
      </c>
      <c r="AI8" s="74" t="s">
        <v>167</v>
      </c>
      <c r="AJ8" s="74" t="s">
        <v>168</v>
      </c>
      <c r="AK8" s="74" t="s">
        <v>169</v>
      </c>
      <c r="AL8" s="74" t="s">
        <v>170</v>
      </c>
      <c r="AM8" s="74" t="s">
        <v>171</v>
      </c>
      <c r="AN8" s="74" t="s">
        <v>172</v>
      </c>
      <c r="AO8" s="74" t="s">
        <v>173</v>
      </c>
      <c r="AP8" s="74" t="s">
        <v>174</v>
      </c>
      <c r="AQ8" s="74" t="s">
        <v>175</v>
      </c>
      <c r="AR8" s="74" t="s">
        <v>176</v>
      </c>
      <c r="AS8" s="74" t="s">
        <v>177</v>
      </c>
      <c r="AT8" s="74" t="s">
        <v>178</v>
      </c>
      <c r="AU8" s="74" t="s">
        <v>158</v>
      </c>
      <c r="AV8" s="74" t="s">
        <v>159</v>
      </c>
      <c r="AW8" s="74" t="s">
        <v>160</v>
      </c>
      <c r="AX8" s="74" t="s">
        <v>156</v>
      </c>
      <c r="AY8" s="74" t="s">
        <v>152</v>
      </c>
      <c r="AZ8" s="74" t="s">
        <v>161</v>
      </c>
      <c r="BA8" s="74" t="s">
        <v>162</v>
      </c>
      <c r="BB8" s="74" t="s">
        <v>163</v>
      </c>
      <c r="BC8" s="74" t="s">
        <v>164</v>
      </c>
      <c r="BD8" s="74" t="s">
        <v>165</v>
      </c>
      <c r="BE8" s="74" t="s">
        <v>166</v>
      </c>
      <c r="BF8" s="74" t="s">
        <v>167</v>
      </c>
      <c r="BG8" s="74" t="s">
        <v>168</v>
      </c>
      <c r="BH8" s="74" t="s">
        <v>169</v>
      </c>
      <c r="BI8" s="74" t="s">
        <v>170</v>
      </c>
      <c r="BJ8" s="74" t="s">
        <v>171</v>
      </c>
      <c r="BK8" s="74" t="s">
        <v>172</v>
      </c>
      <c r="BL8" s="74" t="s">
        <v>173</v>
      </c>
      <c r="BM8" s="74" t="s">
        <v>174</v>
      </c>
      <c r="BN8" s="74" t="s">
        <v>175</v>
      </c>
      <c r="BO8" s="74" t="s">
        <v>176</v>
      </c>
      <c r="BP8" s="74" t="s">
        <v>177</v>
      </c>
      <c r="BQ8" s="74" t="s">
        <v>178</v>
      </c>
      <c r="BR8" s="74" t="s">
        <v>158</v>
      </c>
      <c r="BS8" s="74" t="s">
        <v>159</v>
      </c>
      <c r="BT8" s="74" t="s">
        <v>160</v>
      </c>
      <c r="BU8" s="74" t="s">
        <v>156</v>
      </c>
      <c r="BV8" s="74" t="s">
        <v>152</v>
      </c>
      <c r="BW8" s="74" t="s">
        <v>161</v>
      </c>
      <c r="BX8" s="74" t="s">
        <v>162</v>
      </c>
      <c r="BY8" s="74" t="s">
        <v>163</v>
      </c>
      <c r="BZ8" s="74" t="s">
        <v>164</v>
      </c>
      <c r="CA8" s="74" t="s">
        <v>165</v>
      </c>
      <c r="CB8" s="74" t="s">
        <v>166</v>
      </c>
      <c r="CC8" s="74" t="s">
        <v>167</v>
      </c>
      <c r="CD8" s="74" t="s">
        <v>168</v>
      </c>
      <c r="CE8" s="74" t="s">
        <v>169</v>
      </c>
      <c r="CF8" s="74" t="s">
        <v>170</v>
      </c>
      <c r="CG8" s="74" t="s">
        <v>171</v>
      </c>
      <c r="CH8" s="74" t="s">
        <v>172</v>
      </c>
      <c r="CI8" s="74" t="s">
        <v>173</v>
      </c>
      <c r="CJ8" s="74" t="s">
        <v>174</v>
      </c>
      <c r="CK8" s="74" t="s">
        <v>175</v>
      </c>
      <c r="CL8" s="74" t="s">
        <v>176</v>
      </c>
      <c r="CM8" s="74" t="s">
        <v>177</v>
      </c>
      <c r="CN8" s="74" t="s">
        <v>178</v>
      </c>
      <c r="CO8" s="74" t="s">
        <v>158</v>
      </c>
      <c r="CP8" s="74" t="s">
        <v>159</v>
      </c>
      <c r="CQ8" s="74" t="s">
        <v>160</v>
      </c>
      <c r="CR8" s="74" t="s">
        <v>156</v>
      </c>
      <c r="CS8" s="74" t="s">
        <v>152</v>
      </c>
      <c r="CT8" s="74" t="s">
        <v>161</v>
      </c>
      <c r="CU8" s="74" t="s">
        <v>162</v>
      </c>
      <c r="CV8" s="74" t="s">
        <v>163</v>
      </c>
      <c r="CW8" s="74" t="s">
        <v>164</v>
      </c>
      <c r="CX8" s="74" t="s">
        <v>165</v>
      </c>
      <c r="CY8" s="74" t="s">
        <v>166</v>
      </c>
      <c r="CZ8" s="74" t="s">
        <v>167</v>
      </c>
      <c r="DA8" s="74" t="s">
        <v>168</v>
      </c>
      <c r="DB8" s="74" t="s">
        <v>169</v>
      </c>
      <c r="DC8" s="74" t="s">
        <v>170</v>
      </c>
      <c r="DD8" s="74" t="s">
        <v>171</v>
      </c>
      <c r="DE8" s="74" t="s">
        <v>172</v>
      </c>
      <c r="DF8" s="74" t="s">
        <v>173</v>
      </c>
      <c r="DG8" s="74" t="s">
        <v>174</v>
      </c>
      <c r="DH8" s="74" t="s">
        <v>175</v>
      </c>
      <c r="DI8" s="74" t="s">
        <v>176</v>
      </c>
      <c r="DJ8" s="74" t="s">
        <v>177</v>
      </c>
      <c r="DK8" s="74" t="s">
        <v>178</v>
      </c>
      <c r="DL8" s="74" t="s">
        <v>139</v>
      </c>
      <c r="DM8" s="74" t="s">
        <v>179</v>
      </c>
      <c r="DN8" s="74" t="s">
        <v>180</v>
      </c>
      <c r="DO8" s="74" t="s">
        <v>178</v>
      </c>
      <c r="DP8" s="80"/>
    </row>
    <row r="9" spans="1:120">
      <c r="A9" s="60"/>
      <c r="B9" s="27" t="s">
        <v>181</v>
      </c>
      <c r="C9" s="81" t="s">
        <v>182</v>
      </c>
      <c r="D9" s="75" t="s">
        <v>183</v>
      </c>
      <c r="E9" s="75" t="s">
        <v>184</v>
      </c>
      <c r="F9" s="75" t="s">
        <v>185</v>
      </c>
      <c r="G9" s="75" t="s">
        <v>185</v>
      </c>
      <c r="H9" s="75" t="s">
        <v>185</v>
      </c>
      <c r="I9" s="75" t="s">
        <v>185</v>
      </c>
      <c r="J9" s="75" t="s">
        <v>185</v>
      </c>
      <c r="K9" s="75" t="s">
        <v>185</v>
      </c>
      <c r="L9" s="75" t="s">
        <v>185</v>
      </c>
      <c r="M9" s="75" t="s">
        <v>185</v>
      </c>
      <c r="N9" s="75" t="s">
        <v>184</v>
      </c>
      <c r="O9" s="75" t="s">
        <v>186</v>
      </c>
      <c r="P9" s="75" t="s">
        <v>184</v>
      </c>
      <c r="Q9" s="75" t="s">
        <v>187</v>
      </c>
      <c r="R9" s="75" t="s">
        <v>188</v>
      </c>
      <c r="S9" s="75" t="s">
        <v>184</v>
      </c>
      <c r="T9" s="75" t="s">
        <v>189</v>
      </c>
      <c r="U9" s="75" t="s">
        <v>190</v>
      </c>
      <c r="V9" s="75" t="s">
        <v>191</v>
      </c>
      <c r="W9" s="75" t="s">
        <v>192</v>
      </c>
      <c r="X9" s="75" t="s">
        <v>185</v>
      </c>
      <c r="Y9" s="75" t="s">
        <v>185</v>
      </c>
      <c r="Z9" s="75" t="s">
        <v>185</v>
      </c>
      <c r="AA9" s="75" t="s">
        <v>185</v>
      </c>
      <c r="AB9" s="75" t="s">
        <v>185</v>
      </c>
      <c r="AC9" s="75" t="s">
        <v>185</v>
      </c>
      <c r="AD9" s="75" t="s">
        <v>185</v>
      </c>
      <c r="AE9" s="75" t="s">
        <v>185</v>
      </c>
      <c r="AF9" s="75" t="s">
        <v>185</v>
      </c>
      <c r="AG9" s="75" t="s">
        <v>185</v>
      </c>
      <c r="AH9" s="75" t="s">
        <v>185</v>
      </c>
      <c r="AI9" s="75" t="s">
        <v>185</v>
      </c>
      <c r="AJ9" s="75" t="s">
        <v>185</v>
      </c>
      <c r="AK9" s="75" t="s">
        <v>185</v>
      </c>
      <c r="AL9" s="75" t="s">
        <v>185</v>
      </c>
      <c r="AM9" s="75" t="s">
        <v>185</v>
      </c>
      <c r="AN9" s="75" t="s">
        <v>185</v>
      </c>
      <c r="AO9" s="75" t="s">
        <v>185</v>
      </c>
      <c r="AP9" s="75" t="s">
        <v>185</v>
      </c>
      <c r="AQ9" s="75" t="s">
        <v>185</v>
      </c>
      <c r="AR9" s="75" t="s">
        <v>185</v>
      </c>
      <c r="AS9" s="75" t="s">
        <v>185</v>
      </c>
      <c r="AT9" s="75" t="s">
        <v>185</v>
      </c>
      <c r="AU9" s="75" t="s">
        <v>185</v>
      </c>
      <c r="AV9" s="75" t="s">
        <v>185</v>
      </c>
      <c r="AW9" s="75" t="s">
        <v>185</v>
      </c>
      <c r="AX9" s="75" t="s">
        <v>185</v>
      </c>
      <c r="AY9" s="75" t="s">
        <v>185</v>
      </c>
      <c r="AZ9" s="75" t="s">
        <v>185</v>
      </c>
      <c r="BA9" s="75" t="s">
        <v>185</v>
      </c>
      <c r="BB9" s="75" t="s">
        <v>185</v>
      </c>
      <c r="BC9" s="75" t="s">
        <v>185</v>
      </c>
      <c r="BD9" s="75" t="s">
        <v>185</v>
      </c>
      <c r="BE9" s="75" t="s">
        <v>185</v>
      </c>
      <c r="BF9" s="75" t="s">
        <v>185</v>
      </c>
      <c r="BG9" s="75" t="s">
        <v>185</v>
      </c>
      <c r="BH9" s="75" t="s">
        <v>185</v>
      </c>
      <c r="BI9" s="75" t="s">
        <v>185</v>
      </c>
      <c r="BJ9" s="75" t="s">
        <v>185</v>
      </c>
      <c r="BK9" s="75" t="s">
        <v>185</v>
      </c>
      <c r="BL9" s="75" t="s">
        <v>185</v>
      </c>
      <c r="BM9" s="75" t="s">
        <v>185</v>
      </c>
      <c r="BN9" s="75" t="s">
        <v>185</v>
      </c>
      <c r="BO9" s="75" t="s">
        <v>185</v>
      </c>
      <c r="BP9" s="75" t="s">
        <v>185</v>
      </c>
      <c r="BQ9" s="75" t="s">
        <v>185</v>
      </c>
      <c r="BR9" s="75" t="s">
        <v>185</v>
      </c>
      <c r="BS9" s="75" t="s">
        <v>185</v>
      </c>
      <c r="BT9" s="75" t="s">
        <v>185</v>
      </c>
      <c r="BU9" s="75" t="s">
        <v>185</v>
      </c>
      <c r="BV9" s="75" t="s">
        <v>185</v>
      </c>
      <c r="BW9" s="75" t="s">
        <v>185</v>
      </c>
      <c r="BX9" s="75" t="s">
        <v>185</v>
      </c>
      <c r="BY9" s="75" t="s">
        <v>185</v>
      </c>
      <c r="BZ9" s="75" t="s">
        <v>185</v>
      </c>
      <c r="CA9" s="75" t="s">
        <v>185</v>
      </c>
      <c r="CB9" s="75" t="s">
        <v>185</v>
      </c>
      <c r="CC9" s="75" t="s">
        <v>185</v>
      </c>
      <c r="CD9" s="75" t="s">
        <v>185</v>
      </c>
      <c r="CE9" s="75" t="s">
        <v>185</v>
      </c>
      <c r="CF9" s="75" t="s">
        <v>185</v>
      </c>
      <c r="CG9" s="75" t="s">
        <v>185</v>
      </c>
      <c r="CH9" s="75" t="s">
        <v>185</v>
      </c>
      <c r="CI9" s="75" t="s">
        <v>185</v>
      </c>
      <c r="CJ9" s="75" t="s">
        <v>185</v>
      </c>
      <c r="CK9" s="75" t="s">
        <v>185</v>
      </c>
      <c r="CL9" s="75" t="s">
        <v>185</v>
      </c>
      <c r="CM9" s="75" t="s">
        <v>185</v>
      </c>
      <c r="CN9" s="75" t="s">
        <v>185</v>
      </c>
      <c r="CO9" s="75" t="s">
        <v>185</v>
      </c>
      <c r="CP9" s="75" t="s">
        <v>185</v>
      </c>
      <c r="CQ9" s="75" t="s">
        <v>185</v>
      </c>
      <c r="CR9" s="75" t="s">
        <v>185</v>
      </c>
      <c r="CS9" s="75" t="s">
        <v>185</v>
      </c>
      <c r="CT9" s="75" t="s">
        <v>185</v>
      </c>
      <c r="CU9" s="75" t="s">
        <v>185</v>
      </c>
      <c r="CV9" s="75" t="s">
        <v>185</v>
      </c>
      <c r="CW9" s="75" t="s">
        <v>185</v>
      </c>
      <c r="CX9" s="75" t="s">
        <v>185</v>
      </c>
      <c r="CY9" s="75" t="s">
        <v>185</v>
      </c>
      <c r="CZ9" s="75" t="s">
        <v>185</v>
      </c>
      <c r="DA9" s="75" t="s">
        <v>185</v>
      </c>
      <c r="DB9" s="75" t="s">
        <v>185</v>
      </c>
      <c r="DC9" s="75" t="s">
        <v>185</v>
      </c>
      <c r="DD9" s="75" t="s">
        <v>185</v>
      </c>
      <c r="DE9" s="75" t="s">
        <v>185</v>
      </c>
      <c r="DF9" s="75" t="s">
        <v>185</v>
      </c>
      <c r="DG9" s="75" t="s">
        <v>185</v>
      </c>
      <c r="DH9" s="75" t="s">
        <v>185</v>
      </c>
      <c r="DI9" s="75" t="s">
        <v>185</v>
      </c>
      <c r="DJ9" s="75" t="s">
        <v>185</v>
      </c>
      <c r="DK9" s="75" t="s">
        <v>185</v>
      </c>
      <c r="DL9" s="75" t="s">
        <v>184</v>
      </c>
      <c r="DM9" s="75" t="s">
        <v>193</v>
      </c>
      <c r="DN9" s="75" t="s">
        <v>141</v>
      </c>
      <c r="DO9" s="75" t="s">
        <v>141</v>
      </c>
      <c r="DP9" s="80"/>
    </row>
    <row r="10" spans="1:120">
      <c r="A10" s="60"/>
      <c r="B10" s="27" t="s">
        <v>181</v>
      </c>
      <c r="C10" s="81" t="s">
        <v>182</v>
      </c>
      <c r="D10" s="75" t="s">
        <v>183</v>
      </c>
      <c r="E10" s="75" t="s">
        <v>194</v>
      </c>
      <c r="F10" s="75" t="s">
        <v>185</v>
      </c>
      <c r="G10" s="75" t="s">
        <v>185</v>
      </c>
      <c r="H10" s="75" t="s">
        <v>185</v>
      </c>
      <c r="I10" s="75" t="s">
        <v>185</v>
      </c>
      <c r="J10" s="75" t="s">
        <v>185</v>
      </c>
      <c r="K10" s="75" t="s">
        <v>185</v>
      </c>
      <c r="L10" s="75" t="s">
        <v>185</v>
      </c>
      <c r="M10" s="75" t="s">
        <v>185</v>
      </c>
      <c r="N10" s="75" t="s">
        <v>194</v>
      </c>
      <c r="O10" s="75" t="s">
        <v>195</v>
      </c>
      <c r="P10" s="75" t="s">
        <v>194</v>
      </c>
      <c r="Q10" s="75" t="s">
        <v>187</v>
      </c>
      <c r="R10" s="75" t="s">
        <v>188</v>
      </c>
      <c r="S10" s="75" t="s">
        <v>194</v>
      </c>
      <c r="T10" s="75" t="s">
        <v>189</v>
      </c>
      <c r="U10" s="75" t="s">
        <v>190</v>
      </c>
      <c r="V10" s="75" t="s">
        <v>191</v>
      </c>
      <c r="W10" s="75" t="s">
        <v>192</v>
      </c>
      <c r="X10" s="75" t="s">
        <v>185</v>
      </c>
      <c r="Y10" s="75" t="s">
        <v>185</v>
      </c>
      <c r="Z10" s="75" t="s">
        <v>185</v>
      </c>
      <c r="AA10" s="75" t="s">
        <v>185</v>
      </c>
      <c r="AB10" s="75" t="s">
        <v>185</v>
      </c>
      <c r="AC10" s="75" t="s">
        <v>185</v>
      </c>
      <c r="AD10" s="75" t="s">
        <v>185</v>
      </c>
      <c r="AE10" s="75" t="s">
        <v>185</v>
      </c>
      <c r="AF10" s="75" t="s">
        <v>185</v>
      </c>
      <c r="AG10" s="75" t="s">
        <v>185</v>
      </c>
      <c r="AH10" s="75" t="s">
        <v>185</v>
      </c>
      <c r="AI10" s="75" t="s">
        <v>185</v>
      </c>
      <c r="AJ10" s="75" t="s">
        <v>185</v>
      </c>
      <c r="AK10" s="75" t="s">
        <v>185</v>
      </c>
      <c r="AL10" s="75" t="s">
        <v>185</v>
      </c>
      <c r="AM10" s="75" t="s">
        <v>185</v>
      </c>
      <c r="AN10" s="75" t="s">
        <v>185</v>
      </c>
      <c r="AO10" s="75" t="s">
        <v>185</v>
      </c>
      <c r="AP10" s="75" t="s">
        <v>185</v>
      </c>
      <c r="AQ10" s="75" t="s">
        <v>185</v>
      </c>
      <c r="AR10" s="75" t="s">
        <v>185</v>
      </c>
      <c r="AS10" s="75" t="s">
        <v>185</v>
      </c>
      <c r="AT10" s="75" t="s">
        <v>185</v>
      </c>
      <c r="AU10" s="75" t="s">
        <v>185</v>
      </c>
      <c r="AV10" s="75" t="s">
        <v>185</v>
      </c>
      <c r="AW10" s="75" t="s">
        <v>185</v>
      </c>
      <c r="AX10" s="75" t="s">
        <v>185</v>
      </c>
      <c r="AY10" s="75" t="s">
        <v>185</v>
      </c>
      <c r="AZ10" s="75" t="s">
        <v>185</v>
      </c>
      <c r="BA10" s="75" t="s">
        <v>185</v>
      </c>
      <c r="BB10" s="75" t="s">
        <v>185</v>
      </c>
      <c r="BC10" s="75" t="s">
        <v>185</v>
      </c>
      <c r="BD10" s="75" t="s">
        <v>185</v>
      </c>
      <c r="BE10" s="75" t="s">
        <v>185</v>
      </c>
      <c r="BF10" s="75" t="s">
        <v>185</v>
      </c>
      <c r="BG10" s="75" t="s">
        <v>185</v>
      </c>
      <c r="BH10" s="75" t="s">
        <v>185</v>
      </c>
      <c r="BI10" s="75" t="s">
        <v>185</v>
      </c>
      <c r="BJ10" s="75" t="s">
        <v>185</v>
      </c>
      <c r="BK10" s="75" t="s">
        <v>185</v>
      </c>
      <c r="BL10" s="75" t="s">
        <v>185</v>
      </c>
      <c r="BM10" s="75" t="s">
        <v>185</v>
      </c>
      <c r="BN10" s="75" t="s">
        <v>185</v>
      </c>
      <c r="BO10" s="75" t="s">
        <v>185</v>
      </c>
      <c r="BP10" s="75" t="s">
        <v>185</v>
      </c>
      <c r="BQ10" s="75" t="s">
        <v>185</v>
      </c>
      <c r="BR10" s="75" t="s">
        <v>185</v>
      </c>
      <c r="BS10" s="75" t="s">
        <v>185</v>
      </c>
      <c r="BT10" s="75" t="s">
        <v>185</v>
      </c>
      <c r="BU10" s="75" t="s">
        <v>185</v>
      </c>
      <c r="BV10" s="75" t="s">
        <v>185</v>
      </c>
      <c r="BW10" s="75" t="s">
        <v>185</v>
      </c>
      <c r="BX10" s="75" t="s">
        <v>185</v>
      </c>
      <c r="BY10" s="75" t="s">
        <v>185</v>
      </c>
      <c r="BZ10" s="75" t="s">
        <v>185</v>
      </c>
      <c r="CA10" s="75" t="s">
        <v>185</v>
      </c>
      <c r="CB10" s="75" t="s">
        <v>185</v>
      </c>
      <c r="CC10" s="75" t="s">
        <v>185</v>
      </c>
      <c r="CD10" s="75" t="s">
        <v>185</v>
      </c>
      <c r="CE10" s="75" t="s">
        <v>185</v>
      </c>
      <c r="CF10" s="75" t="s">
        <v>185</v>
      </c>
      <c r="CG10" s="75" t="s">
        <v>185</v>
      </c>
      <c r="CH10" s="75" t="s">
        <v>185</v>
      </c>
      <c r="CI10" s="75" t="s">
        <v>185</v>
      </c>
      <c r="CJ10" s="75" t="s">
        <v>185</v>
      </c>
      <c r="CK10" s="75" t="s">
        <v>185</v>
      </c>
      <c r="CL10" s="75" t="s">
        <v>185</v>
      </c>
      <c r="CM10" s="75" t="s">
        <v>185</v>
      </c>
      <c r="CN10" s="75" t="s">
        <v>185</v>
      </c>
      <c r="CO10" s="75" t="s">
        <v>185</v>
      </c>
      <c r="CP10" s="75" t="s">
        <v>185</v>
      </c>
      <c r="CQ10" s="75" t="s">
        <v>185</v>
      </c>
      <c r="CR10" s="75" t="s">
        <v>185</v>
      </c>
      <c r="CS10" s="75" t="s">
        <v>185</v>
      </c>
      <c r="CT10" s="75" t="s">
        <v>185</v>
      </c>
      <c r="CU10" s="75" t="s">
        <v>185</v>
      </c>
      <c r="CV10" s="75" t="s">
        <v>185</v>
      </c>
      <c r="CW10" s="75" t="s">
        <v>185</v>
      </c>
      <c r="CX10" s="75" t="s">
        <v>185</v>
      </c>
      <c r="CY10" s="75" t="s">
        <v>185</v>
      </c>
      <c r="CZ10" s="75" t="s">
        <v>185</v>
      </c>
      <c r="DA10" s="75" t="s">
        <v>185</v>
      </c>
      <c r="DB10" s="75" t="s">
        <v>185</v>
      </c>
      <c r="DC10" s="75" t="s">
        <v>185</v>
      </c>
      <c r="DD10" s="75" t="s">
        <v>185</v>
      </c>
      <c r="DE10" s="75" t="s">
        <v>185</v>
      </c>
      <c r="DF10" s="75" t="s">
        <v>185</v>
      </c>
      <c r="DG10" s="75" t="s">
        <v>185</v>
      </c>
      <c r="DH10" s="75" t="s">
        <v>185</v>
      </c>
      <c r="DI10" s="75" t="s">
        <v>185</v>
      </c>
      <c r="DJ10" s="75" t="s">
        <v>185</v>
      </c>
      <c r="DK10" s="75" t="s">
        <v>185</v>
      </c>
      <c r="DL10" s="75" t="s">
        <v>194</v>
      </c>
      <c r="DM10" s="75" t="s">
        <v>196</v>
      </c>
      <c r="DN10" s="75" t="s">
        <v>141</v>
      </c>
      <c r="DO10" s="75" t="s">
        <v>141</v>
      </c>
      <c r="DP10" s="80"/>
    </row>
    <row r="11" spans="1:120">
      <c r="A11" s="60"/>
      <c r="B11" s="27" t="s">
        <v>181</v>
      </c>
      <c r="C11" s="81" t="s">
        <v>182</v>
      </c>
      <c r="D11" s="75" t="s">
        <v>183</v>
      </c>
      <c r="E11" s="75" t="s">
        <v>197</v>
      </c>
      <c r="F11" s="75" t="s">
        <v>185</v>
      </c>
      <c r="G11" s="75" t="s">
        <v>185</v>
      </c>
      <c r="H11" s="75" t="s">
        <v>185</v>
      </c>
      <c r="I11" s="75" t="s">
        <v>185</v>
      </c>
      <c r="J11" s="75" t="s">
        <v>185</v>
      </c>
      <c r="K11" s="75" t="s">
        <v>185</v>
      </c>
      <c r="L11" s="75" t="s">
        <v>185</v>
      </c>
      <c r="M11" s="75" t="s">
        <v>185</v>
      </c>
      <c r="N11" s="75" t="s">
        <v>197</v>
      </c>
      <c r="O11" s="75" t="s">
        <v>198</v>
      </c>
      <c r="P11" s="75" t="s">
        <v>197</v>
      </c>
      <c r="Q11" s="75" t="s">
        <v>187</v>
      </c>
      <c r="R11" s="75" t="s">
        <v>188</v>
      </c>
      <c r="S11" s="75" t="s">
        <v>197</v>
      </c>
      <c r="T11" s="75" t="s">
        <v>189</v>
      </c>
      <c r="U11" s="75" t="s">
        <v>190</v>
      </c>
      <c r="V11" s="75" t="s">
        <v>191</v>
      </c>
      <c r="W11" s="75" t="s">
        <v>192</v>
      </c>
      <c r="X11" s="75" t="s">
        <v>185</v>
      </c>
      <c r="Y11" s="75" t="s">
        <v>185</v>
      </c>
      <c r="Z11" s="75" t="s">
        <v>185</v>
      </c>
      <c r="AA11" s="75" t="s">
        <v>185</v>
      </c>
      <c r="AB11" s="75" t="s">
        <v>185</v>
      </c>
      <c r="AC11" s="75" t="s">
        <v>185</v>
      </c>
      <c r="AD11" s="75" t="s">
        <v>185</v>
      </c>
      <c r="AE11" s="75" t="s">
        <v>185</v>
      </c>
      <c r="AF11" s="75" t="s">
        <v>185</v>
      </c>
      <c r="AG11" s="75" t="s">
        <v>185</v>
      </c>
      <c r="AH11" s="75" t="s">
        <v>185</v>
      </c>
      <c r="AI11" s="75" t="s">
        <v>185</v>
      </c>
      <c r="AJ11" s="75" t="s">
        <v>185</v>
      </c>
      <c r="AK11" s="75" t="s">
        <v>185</v>
      </c>
      <c r="AL11" s="75" t="s">
        <v>185</v>
      </c>
      <c r="AM11" s="75" t="s">
        <v>185</v>
      </c>
      <c r="AN11" s="75" t="s">
        <v>185</v>
      </c>
      <c r="AO11" s="75" t="s">
        <v>185</v>
      </c>
      <c r="AP11" s="75" t="s">
        <v>185</v>
      </c>
      <c r="AQ11" s="75" t="s">
        <v>185</v>
      </c>
      <c r="AR11" s="75" t="s">
        <v>185</v>
      </c>
      <c r="AS11" s="75" t="s">
        <v>185</v>
      </c>
      <c r="AT11" s="75" t="s">
        <v>185</v>
      </c>
      <c r="AU11" s="75" t="s">
        <v>185</v>
      </c>
      <c r="AV11" s="75" t="s">
        <v>185</v>
      </c>
      <c r="AW11" s="75" t="s">
        <v>185</v>
      </c>
      <c r="AX11" s="75" t="s">
        <v>185</v>
      </c>
      <c r="AY11" s="75" t="s">
        <v>185</v>
      </c>
      <c r="AZ11" s="75" t="s">
        <v>185</v>
      </c>
      <c r="BA11" s="75" t="s">
        <v>185</v>
      </c>
      <c r="BB11" s="75" t="s">
        <v>185</v>
      </c>
      <c r="BC11" s="75" t="s">
        <v>185</v>
      </c>
      <c r="BD11" s="75" t="s">
        <v>185</v>
      </c>
      <c r="BE11" s="75" t="s">
        <v>185</v>
      </c>
      <c r="BF11" s="75" t="s">
        <v>185</v>
      </c>
      <c r="BG11" s="75" t="s">
        <v>185</v>
      </c>
      <c r="BH11" s="75" t="s">
        <v>185</v>
      </c>
      <c r="BI11" s="75" t="s">
        <v>185</v>
      </c>
      <c r="BJ11" s="75" t="s">
        <v>185</v>
      </c>
      <c r="BK11" s="75" t="s">
        <v>185</v>
      </c>
      <c r="BL11" s="75" t="s">
        <v>185</v>
      </c>
      <c r="BM11" s="75" t="s">
        <v>185</v>
      </c>
      <c r="BN11" s="75" t="s">
        <v>185</v>
      </c>
      <c r="BO11" s="75" t="s">
        <v>185</v>
      </c>
      <c r="BP11" s="75" t="s">
        <v>185</v>
      </c>
      <c r="BQ11" s="75" t="s">
        <v>185</v>
      </c>
      <c r="BR11" s="75" t="s">
        <v>185</v>
      </c>
      <c r="BS11" s="75" t="s">
        <v>185</v>
      </c>
      <c r="BT11" s="75" t="s">
        <v>185</v>
      </c>
      <c r="BU11" s="75" t="s">
        <v>185</v>
      </c>
      <c r="BV11" s="75" t="s">
        <v>185</v>
      </c>
      <c r="BW11" s="75" t="s">
        <v>185</v>
      </c>
      <c r="BX11" s="75" t="s">
        <v>185</v>
      </c>
      <c r="BY11" s="75" t="s">
        <v>185</v>
      </c>
      <c r="BZ11" s="75" t="s">
        <v>185</v>
      </c>
      <c r="CA11" s="75" t="s">
        <v>185</v>
      </c>
      <c r="CB11" s="75" t="s">
        <v>185</v>
      </c>
      <c r="CC11" s="75" t="s">
        <v>185</v>
      </c>
      <c r="CD11" s="75" t="s">
        <v>185</v>
      </c>
      <c r="CE11" s="75" t="s">
        <v>185</v>
      </c>
      <c r="CF11" s="75" t="s">
        <v>185</v>
      </c>
      <c r="CG11" s="75" t="s">
        <v>185</v>
      </c>
      <c r="CH11" s="75" t="s">
        <v>185</v>
      </c>
      <c r="CI11" s="75" t="s">
        <v>185</v>
      </c>
      <c r="CJ11" s="75" t="s">
        <v>185</v>
      </c>
      <c r="CK11" s="75" t="s">
        <v>185</v>
      </c>
      <c r="CL11" s="75" t="s">
        <v>185</v>
      </c>
      <c r="CM11" s="75" t="s">
        <v>185</v>
      </c>
      <c r="CN11" s="75" t="s">
        <v>185</v>
      </c>
      <c r="CO11" s="75" t="s">
        <v>185</v>
      </c>
      <c r="CP11" s="75" t="s">
        <v>185</v>
      </c>
      <c r="CQ11" s="75" t="s">
        <v>185</v>
      </c>
      <c r="CR11" s="75" t="s">
        <v>185</v>
      </c>
      <c r="CS11" s="75" t="s">
        <v>185</v>
      </c>
      <c r="CT11" s="75" t="s">
        <v>185</v>
      </c>
      <c r="CU11" s="75" t="s">
        <v>185</v>
      </c>
      <c r="CV11" s="75" t="s">
        <v>185</v>
      </c>
      <c r="CW11" s="75" t="s">
        <v>185</v>
      </c>
      <c r="CX11" s="75" t="s">
        <v>185</v>
      </c>
      <c r="CY11" s="75" t="s">
        <v>185</v>
      </c>
      <c r="CZ11" s="75" t="s">
        <v>185</v>
      </c>
      <c r="DA11" s="75" t="s">
        <v>185</v>
      </c>
      <c r="DB11" s="75" t="s">
        <v>185</v>
      </c>
      <c r="DC11" s="75" t="s">
        <v>185</v>
      </c>
      <c r="DD11" s="75" t="s">
        <v>185</v>
      </c>
      <c r="DE11" s="75" t="s">
        <v>185</v>
      </c>
      <c r="DF11" s="75" t="s">
        <v>185</v>
      </c>
      <c r="DG11" s="75" t="s">
        <v>185</v>
      </c>
      <c r="DH11" s="75" t="s">
        <v>185</v>
      </c>
      <c r="DI11" s="75" t="s">
        <v>185</v>
      </c>
      <c r="DJ11" s="75" t="s">
        <v>185</v>
      </c>
      <c r="DK11" s="75" t="s">
        <v>185</v>
      </c>
      <c r="DL11" s="75" t="s">
        <v>197</v>
      </c>
      <c r="DM11" s="75" t="s">
        <v>199</v>
      </c>
      <c r="DN11" s="75" t="s">
        <v>141</v>
      </c>
      <c r="DO11" s="75" t="s">
        <v>141</v>
      </c>
      <c r="DP11" s="80"/>
    </row>
    <row r="12" spans="1:120">
      <c r="A12" s="60"/>
      <c r="B12" s="27" t="s">
        <v>181</v>
      </c>
      <c r="C12" s="81" t="s">
        <v>182</v>
      </c>
      <c r="D12" s="75" t="s">
        <v>183</v>
      </c>
      <c r="E12" s="75" t="s">
        <v>200</v>
      </c>
      <c r="F12" s="75" t="s">
        <v>185</v>
      </c>
      <c r="G12" s="75" t="s">
        <v>185</v>
      </c>
      <c r="H12" s="75" t="s">
        <v>185</v>
      </c>
      <c r="I12" s="75" t="s">
        <v>185</v>
      </c>
      <c r="J12" s="75" t="s">
        <v>185</v>
      </c>
      <c r="K12" s="75" t="s">
        <v>185</v>
      </c>
      <c r="L12" s="75" t="s">
        <v>185</v>
      </c>
      <c r="M12" s="75" t="s">
        <v>185</v>
      </c>
      <c r="N12" s="75" t="s">
        <v>200</v>
      </c>
      <c r="O12" s="75" t="s">
        <v>201</v>
      </c>
      <c r="P12" s="75" t="s">
        <v>200</v>
      </c>
      <c r="Q12" s="75" t="s">
        <v>187</v>
      </c>
      <c r="R12" s="75" t="s">
        <v>188</v>
      </c>
      <c r="S12" s="75" t="s">
        <v>200</v>
      </c>
      <c r="T12" s="75" t="s">
        <v>189</v>
      </c>
      <c r="U12" s="75" t="s">
        <v>190</v>
      </c>
      <c r="V12" s="75" t="s">
        <v>191</v>
      </c>
      <c r="W12" s="75" t="s">
        <v>192</v>
      </c>
      <c r="X12" s="75" t="s">
        <v>185</v>
      </c>
      <c r="Y12" s="75" t="s">
        <v>185</v>
      </c>
      <c r="Z12" s="75" t="s">
        <v>185</v>
      </c>
      <c r="AA12" s="75" t="s">
        <v>185</v>
      </c>
      <c r="AB12" s="75" t="s">
        <v>185</v>
      </c>
      <c r="AC12" s="75" t="s">
        <v>185</v>
      </c>
      <c r="AD12" s="75" t="s">
        <v>185</v>
      </c>
      <c r="AE12" s="75" t="s">
        <v>185</v>
      </c>
      <c r="AF12" s="75" t="s">
        <v>185</v>
      </c>
      <c r="AG12" s="75" t="s">
        <v>185</v>
      </c>
      <c r="AH12" s="75" t="s">
        <v>185</v>
      </c>
      <c r="AI12" s="75" t="s">
        <v>185</v>
      </c>
      <c r="AJ12" s="75" t="s">
        <v>185</v>
      </c>
      <c r="AK12" s="75" t="s">
        <v>185</v>
      </c>
      <c r="AL12" s="75" t="s">
        <v>185</v>
      </c>
      <c r="AM12" s="75" t="s">
        <v>185</v>
      </c>
      <c r="AN12" s="75" t="s">
        <v>185</v>
      </c>
      <c r="AO12" s="75" t="s">
        <v>185</v>
      </c>
      <c r="AP12" s="75" t="s">
        <v>185</v>
      </c>
      <c r="AQ12" s="75" t="s">
        <v>185</v>
      </c>
      <c r="AR12" s="75" t="s">
        <v>185</v>
      </c>
      <c r="AS12" s="75" t="s">
        <v>185</v>
      </c>
      <c r="AT12" s="75" t="s">
        <v>185</v>
      </c>
      <c r="AU12" s="75" t="s">
        <v>185</v>
      </c>
      <c r="AV12" s="75" t="s">
        <v>185</v>
      </c>
      <c r="AW12" s="75" t="s">
        <v>185</v>
      </c>
      <c r="AX12" s="75" t="s">
        <v>185</v>
      </c>
      <c r="AY12" s="75" t="s">
        <v>185</v>
      </c>
      <c r="AZ12" s="75" t="s">
        <v>185</v>
      </c>
      <c r="BA12" s="75" t="s">
        <v>185</v>
      </c>
      <c r="BB12" s="75" t="s">
        <v>185</v>
      </c>
      <c r="BC12" s="75" t="s">
        <v>185</v>
      </c>
      <c r="BD12" s="75" t="s">
        <v>185</v>
      </c>
      <c r="BE12" s="75" t="s">
        <v>185</v>
      </c>
      <c r="BF12" s="75" t="s">
        <v>185</v>
      </c>
      <c r="BG12" s="75" t="s">
        <v>185</v>
      </c>
      <c r="BH12" s="75" t="s">
        <v>185</v>
      </c>
      <c r="BI12" s="75" t="s">
        <v>185</v>
      </c>
      <c r="BJ12" s="75" t="s">
        <v>185</v>
      </c>
      <c r="BK12" s="75" t="s">
        <v>185</v>
      </c>
      <c r="BL12" s="75" t="s">
        <v>185</v>
      </c>
      <c r="BM12" s="75" t="s">
        <v>185</v>
      </c>
      <c r="BN12" s="75" t="s">
        <v>185</v>
      </c>
      <c r="BO12" s="75" t="s">
        <v>185</v>
      </c>
      <c r="BP12" s="75" t="s">
        <v>185</v>
      </c>
      <c r="BQ12" s="75" t="s">
        <v>185</v>
      </c>
      <c r="BR12" s="75" t="s">
        <v>185</v>
      </c>
      <c r="BS12" s="75" t="s">
        <v>185</v>
      </c>
      <c r="BT12" s="75" t="s">
        <v>185</v>
      </c>
      <c r="BU12" s="75" t="s">
        <v>185</v>
      </c>
      <c r="BV12" s="75" t="s">
        <v>185</v>
      </c>
      <c r="BW12" s="75" t="s">
        <v>185</v>
      </c>
      <c r="BX12" s="75" t="s">
        <v>185</v>
      </c>
      <c r="BY12" s="75" t="s">
        <v>185</v>
      </c>
      <c r="BZ12" s="75" t="s">
        <v>185</v>
      </c>
      <c r="CA12" s="75" t="s">
        <v>185</v>
      </c>
      <c r="CB12" s="75" t="s">
        <v>185</v>
      </c>
      <c r="CC12" s="75" t="s">
        <v>185</v>
      </c>
      <c r="CD12" s="75" t="s">
        <v>185</v>
      </c>
      <c r="CE12" s="75" t="s">
        <v>185</v>
      </c>
      <c r="CF12" s="75" t="s">
        <v>185</v>
      </c>
      <c r="CG12" s="75" t="s">
        <v>185</v>
      </c>
      <c r="CH12" s="75" t="s">
        <v>185</v>
      </c>
      <c r="CI12" s="75" t="s">
        <v>185</v>
      </c>
      <c r="CJ12" s="75" t="s">
        <v>185</v>
      </c>
      <c r="CK12" s="75" t="s">
        <v>185</v>
      </c>
      <c r="CL12" s="75" t="s">
        <v>185</v>
      </c>
      <c r="CM12" s="75" t="s">
        <v>185</v>
      </c>
      <c r="CN12" s="75" t="s">
        <v>185</v>
      </c>
      <c r="CO12" s="75" t="s">
        <v>185</v>
      </c>
      <c r="CP12" s="75" t="s">
        <v>185</v>
      </c>
      <c r="CQ12" s="75" t="s">
        <v>185</v>
      </c>
      <c r="CR12" s="75" t="s">
        <v>185</v>
      </c>
      <c r="CS12" s="75" t="s">
        <v>185</v>
      </c>
      <c r="CT12" s="75" t="s">
        <v>185</v>
      </c>
      <c r="CU12" s="75" t="s">
        <v>185</v>
      </c>
      <c r="CV12" s="75" t="s">
        <v>185</v>
      </c>
      <c r="CW12" s="75" t="s">
        <v>185</v>
      </c>
      <c r="CX12" s="75" t="s">
        <v>185</v>
      </c>
      <c r="CY12" s="75" t="s">
        <v>185</v>
      </c>
      <c r="CZ12" s="75" t="s">
        <v>185</v>
      </c>
      <c r="DA12" s="75" t="s">
        <v>185</v>
      </c>
      <c r="DB12" s="75" t="s">
        <v>185</v>
      </c>
      <c r="DC12" s="75" t="s">
        <v>185</v>
      </c>
      <c r="DD12" s="75" t="s">
        <v>185</v>
      </c>
      <c r="DE12" s="75" t="s">
        <v>185</v>
      </c>
      <c r="DF12" s="75" t="s">
        <v>185</v>
      </c>
      <c r="DG12" s="75" t="s">
        <v>185</v>
      </c>
      <c r="DH12" s="75" t="s">
        <v>185</v>
      </c>
      <c r="DI12" s="75" t="s">
        <v>185</v>
      </c>
      <c r="DJ12" s="75" t="s">
        <v>185</v>
      </c>
      <c r="DK12" s="75" t="s">
        <v>185</v>
      </c>
      <c r="DL12" s="75" t="s">
        <v>200</v>
      </c>
      <c r="DM12" s="75" t="s">
        <v>202</v>
      </c>
      <c r="DN12" s="75" t="s">
        <v>141</v>
      </c>
      <c r="DO12" s="75" t="s">
        <v>141</v>
      </c>
      <c r="DP12" s="80"/>
    </row>
    <row r="13" spans="1:120">
      <c r="A13" s="60"/>
      <c r="B13" s="27" t="s">
        <v>181</v>
      </c>
      <c r="C13" s="81" t="s">
        <v>182</v>
      </c>
      <c r="D13" s="75" t="s">
        <v>183</v>
      </c>
      <c r="E13" s="75" t="s">
        <v>203</v>
      </c>
      <c r="F13" s="75" t="s">
        <v>185</v>
      </c>
      <c r="G13" s="75" t="s">
        <v>185</v>
      </c>
      <c r="H13" s="75" t="s">
        <v>185</v>
      </c>
      <c r="I13" s="75" t="s">
        <v>185</v>
      </c>
      <c r="J13" s="75" t="s">
        <v>185</v>
      </c>
      <c r="K13" s="75" t="s">
        <v>185</v>
      </c>
      <c r="L13" s="75" t="s">
        <v>185</v>
      </c>
      <c r="M13" s="75" t="s">
        <v>185</v>
      </c>
      <c r="N13" s="75" t="s">
        <v>203</v>
      </c>
      <c r="O13" s="75" t="s">
        <v>201</v>
      </c>
      <c r="P13" s="75" t="s">
        <v>203</v>
      </c>
      <c r="Q13" s="75" t="s">
        <v>187</v>
      </c>
      <c r="R13" s="75" t="s">
        <v>188</v>
      </c>
      <c r="S13" s="75" t="s">
        <v>203</v>
      </c>
      <c r="T13" s="75" t="s">
        <v>189</v>
      </c>
      <c r="U13" s="75" t="s">
        <v>190</v>
      </c>
      <c r="V13" s="75" t="s">
        <v>191</v>
      </c>
      <c r="W13" s="75" t="s">
        <v>192</v>
      </c>
      <c r="X13" s="75" t="s">
        <v>185</v>
      </c>
      <c r="Y13" s="75" t="s">
        <v>185</v>
      </c>
      <c r="Z13" s="75" t="s">
        <v>185</v>
      </c>
      <c r="AA13" s="75" t="s">
        <v>185</v>
      </c>
      <c r="AB13" s="75" t="s">
        <v>185</v>
      </c>
      <c r="AC13" s="75" t="s">
        <v>185</v>
      </c>
      <c r="AD13" s="75" t="s">
        <v>185</v>
      </c>
      <c r="AE13" s="75" t="s">
        <v>185</v>
      </c>
      <c r="AF13" s="75" t="s">
        <v>185</v>
      </c>
      <c r="AG13" s="75" t="s">
        <v>185</v>
      </c>
      <c r="AH13" s="75" t="s">
        <v>185</v>
      </c>
      <c r="AI13" s="75" t="s">
        <v>185</v>
      </c>
      <c r="AJ13" s="75" t="s">
        <v>185</v>
      </c>
      <c r="AK13" s="75" t="s">
        <v>185</v>
      </c>
      <c r="AL13" s="75" t="s">
        <v>185</v>
      </c>
      <c r="AM13" s="75" t="s">
        <v>185</v>
      </c>
      <c r="AN13" s="75" t="s">
        <v>185</v>
      </c>
      <c r="AO13" s="75" t="s">
        <v>185</v>
      </c>
      <c r="AP13" s="75" t="s">
        <v>185</v>
      </c>
      <c r="AQ13" s="75" t="s">
        <v>185</v>
      </c>
      <c r="AR13" s="75" t="s">
        <v>185</v>
      </c>
      <c r="AS13" s="75" t="s">
        <v>185</v>
      </c>
      <c r="AT13" s="75" t="s">
        <v>185</v>
      </c>
      <c r="AU13" s="75" t="s">
        <v>185</v>
      </c>
      <c r="AV13" s="75" t="s">
        <v>185</v>
      </c>
      <c r="AW13" s="75" t="s">
        <v>185</v>
      </c>
      <c r="AX13" s="75" t="s">
        <v>185</v>
      </c>
      <c r="AY13" s="75" t="s">
        <v>185</v>
      </c>
      <c r="AZ13" s="75" t="s">
        <v>185</v>
      </c>
      <c r="BA13" s="75" t="s">
        <v>185</v>
      </c>
      <c r="BB13" s="75" t="s">
        <v>185</v>
      </c>
      <c r="BC13" s="75" t="s">
        <v>185</v>
      </c>
      <c r="BD13" s="75" t="s">
        <v>185</v>
      </c>
      <c r="BE13" s="75" t="s">
        <v>185</v>
      </c>
      <c r="BF13" s="75" t="s">
        <v>185</v>
      </c>
      <c r="BG13" s="75" t="s">
        <v>185</v>
      </c>
      <c r="BH13" s="75" t="s">
        <v>185</v>
      </c>
      <c r="BI13" s="75" t="s">
        <v>185</v>
      </c>
      <c r="BJ13" s="75" t="s">
        <v>185</v>
      </c>
      <c r="BK13" s="75" t="s">
        <v>185</v>
      </c>
      <c r="BL13" s="75" t="s">
        <v>185</v>
      </c>
      <c r="BM13" s="75" t="s">
        <v>185</v>
      </c>
      <c r="BN13" s="75" t="s">
        <v>185</v>
      </c>
      <c r="BO13" s="75" t="s">
        <v>185</v>
      </c>
      <c r="BP13" s="75" t="s">
        <v>185</v>
      </c>
      <c r="BQ13" s="75" t="s">
        <v>185</v>
      </c>
      <c r="BR13" s="75" t="s">
        <v>185</v>
      </c>
      <c r="BS13" s="75" t="s">
        <v>185</v>
      </c>
      <c r="BT13" s="75" t="s">
        <v>185</v>
      </c>
      <c r="BU13" s="75" t="s">
        <v>185</v>
      </c>
      <c r="BV13" s="75" t="s">
        <v>185</v>
      </c>
      <c r="BW13" s="75" t="s">
        <v>185</v>
      </c>
      <c r="BX13" s="75" t="s">
        <v>185</v>
      </c>
      <c r="BY13" s="75" t="s">
        <v>185</v>
      </c>
      <c r="BZ13" s="75" t="s">
        <v>185</v>
      </c>
      <c r="CA13" s="75" t="s">
        <v>185</v>
      </c>
      <c r="CB13" s="75" t="s">
        <v>185</v>
      </c>
      <c r="CC13" s="75" t="s">
        <v>185</v>
      </c>
      <c r="CD13" s="75" t="s">
        <v>185</v>
      </c>
      <c r="CE13" s="75" t="s">
        <v>185</v>
      </c>
      <c r="CF13" s="75" t="s">
        <v>185</v>
      </c>
      <c r="CG13" s="75" t="s">
        <v>185</v>
      </c>
      <c r="CH13" s="75" t="s">
        <v>185</v>
      </c>
      <c r="CI13" s="75" t="s">
        <v>185</v>
      </c>
      <c r="CJ13" s="75" t="s">
        <v>185</v>
      </c>
      <c r="CK13" s="75" t="s">
        <v>185</v>
      </c>
      <c r="CL13" s="75" t="s">
        <v>185</v>
      </c>
      <c r="CM13" s="75" t="s">
        <v>185</v>
      </c>
      <c r="CN13" s="75" t="s">
        <v>185</v>
      </c>
      <c r="CO13" s="75" t="s">
        <v>185</v>
      </c>
      <c r="CP13" s="75" t="s">
        <v>185</v>
      </c>
      <c r="CQ13" s="75" t="s">
        <v>185</v>
      </c>
      <c r="CR13" s="75" t="s">
        <v>185</v>
      </c>
      <c r="CS13" s="75" t="s">
        <v>185</v>
      </c>
      <c r="CT13" s="75" t="s">
        <v>185</v>
      </c>
      <c r="CU13" s="75" t="s">
        <v>185</v>
      </c>
      <c r="CV13" s="75" t="s">
        <v>185</v>
      </c>
      <c r="CW13" s="75" t="s">
        <v>185</v>
      </c>
      <c r="CX13" s="75" t="s">
        <v>185</v>
      </c>
      <c r="CY13" s="75" t="s">
        <v>185</v>
      </c>
      <c r="CZ13" s="75" t="s">
        <v>185</v>
      </c>
      <c r="DA13" s="75" t="s">
        <v>185</v>
      </c>
      <c r="DB13" s="75" t="s">
        <v>185</v>
      </c>
      <c r="DC13" s="75" t="s">
        <v>185</v>
      </c>
      <c r="DD13" s="75" t="s">
        <v>185</v>
      </c>
      <c r="DE13" s="75" t="s">
        <v>185</v>
      </c>
      <c r="DF13" s="75" t="s">
        <v>185</v>
      </c>
      <c r="DG13" s="75" t="s">
        <v>185</v>
      </c>
      <c r="DH13" s="75" t="s">
        <v>185</v>
      </c>
      <c r="DI13" s="75" t="s">
        <v>185</v>
      </c>
      <c r="DJ13" s="75" t="s">
        <v>185</v>
      </c>
      <c r="DK13" s="75" t="s">
        <v>185</v>
      </c>
      <c r="DL13" s="75" t="s">
        <v>203</v>
      </c>
      <c r="DM13" s="75" t="s">
        <v>204</v>
      </c>
      <c r="DN13" s="75" t="s">
        <v>141</v>
      </c>
      <c r="DO13" s="75" t="s">
        <v>141</v>
      </c>
      <c r="DP13" s="80"/>
    </row>
    <row r="14" spans="1:120">
      <c r="A14" s="60"/>
      <c r="B14" s="27" t="s">
        <v>181</v>
      </c>
      <c r="C14" s="81" t="s">
        <v>182</v>
      </c>
      <c r="D14" s="75" t="s">
        <v>183</v>
      </c>
      <c r="E14" s="75" t="s">
        <v>205</v>
      </c>
      <c r="F14" s="75" t="s">
        <v>185</v>
      </c>
      <c r="G14" s="75" t="s">
        <v>185</v>
      </c>
      <c r="H14" s="75" t="s">
        <v>185</v>
      </c>
      <c r="I14" s="75" t="s">
        <v>185</v>
      </c>
      <c r="J14" s="75" t="s">
        <v>185</v>
      </c>
      <c r="K14" s="75" t="s">
        <v>185</v>
      </c>
      <c r="L14" s="75" t="s">
        <v>185</v>
      </c>
      <c r="M14" s="75" t="s">
        <v>185</v>
      </c>
      <c r="N14" s="75" t="s">
        <v>205</v>
      </c>
      <c r="O14" s="75" t="s">
        <v>201</v>
      </c>
      <c r="P14" s="75" t="s">
        <v>205</v>
      </c>
      <c r="Q14" s="75" t="s">
        <v>187</v>
      </c>
      <c r="R14" s="75" t="s">
        <v>188</v>
      </c>
      <c r="S14" s="75" t="s">
        <v>205</v>
      </c>
      <c r="T14" s="75" t="s">
        <v>189</v>
      </c>
      <c r="U14" s="75" t="s">
        <v>190</v>
      </c>
      <c r="V14" s="75" t="s">
        <v>191</v>
      </c>
      <c r="W14" s="75" t="s">
        <v>192</v>
      </c>
      <c r="X14" s="75" t="s">
        <v>185</v>
      </c>
      <c r="Y14" s="75" t="s">
        <v>185</v>
      </c>
      <c r="Z14" s="75" t="s">
        <v>185</v>
      </c>
      <c r="AA14" s="75" t="s">
        <v>185</v>
      </c>
      <c r="AB14" s="75" t="s">
        <v>185</v>
      </c>
      <c r="AC14" s="75" t="s">
        <v>185</v>
      </c>
      <c r="AD14" s="75" t="s">
        <v>185</v>
      </c>
      <c r="AE14" s="75" t="s">
        <v>185</v>
      </c>
      <c r="AF14" s="75" t="s">
        <v>185</v>
      </c>
      <c r="AG14" s="75" t="s">
        <v>185</v>
      </c>
      <c r="AH14" s="75" t="s">
        <v>185</v>
      </c>
      <c r="AI14" s="75" t="s">
        <v>185</v>
      </c>
      <c r="AJ14" s="75" t="s">
        <v>185</v>
      </c>
      <c r="AK14" s="75" t="s">
        <v>185</v>
      </c>
      <c r="AL14" s="75" t="s">
        <v>185</v>
      </c>
      <c r="AM14" s="75" t="s">
        <v>185</v>
      </c>
      <c r="AN14" s="75" t="s">
        <v>185</v>
      </c>
      <c r="AO14" s="75" t="s">
        <v>185</v>
      </c>
      <c r="AP14" s="75" t="s">
        <v>185</v>
      </c>
      <c r="AQ14" s="75" t="s">
        <v>185</v>
      </c>
      <c r="AR14" s="75" t="s">
        <v>185</v>
      </c>
      <c r="AS14" s="75" t="s">
        <v>185</v>
      </c>
      <c r="AT14" s="75" t="s">
        <v>185</v>
      </c>
      <c r="AU14" s="75" t="s">
        <v>185</v>
      </c>
      <c r="AV14" s="75" t="s">
        <v>185</v>
      </c>
      <c r="AW14" s="75" t="s">
        <v>185</v>
      </c>
      <c r="AX14" s="75" t="s">
        <v>185</v>
      </c>
      <c r="AY14" s="75" t="s">
        <v>185</v>
      </c>
      <c r="AZ14" s="75" t="s">
        <v>185</v>
      </c>
      <c r="BA14" s="75" t="s">
        <v>185</v>
      </c>
      <c r="BB14" s="75" t="s">
        <v>185</v>
      </c>
      <c r="BC14" s="75" t="s">
        <v>185</v>
      </c>
      <c r="BD14" s="75" t="s">
        <v>185</v>
      </c>
      <c r="BE14" s="75" t="s">
        <v>185</v>
      </c>
      <c r="BF14" s="75" t="s">
        <v>185</v>
      </c>
      <c r="BG14" s="75" t="s">
        <v>185</v>
      </c>
      <c r="BH14" s="75" t="s">
        <v>185</v>
      </c>
      <c r="BI14" s="75" t="s">
        <v>185</v>
      </c>
      <c r="BJ14" s="75" t="s">
        <v>185</v>
      </c>
      <c r="BK14" s="75" t="s">
        <v>185</v>
      </c>
      <c r="BL14" s="75" t="s">
        <v>185</v>
      </c>
      <c r="BM14" s="75" t="s">
        <v>185</v>
      </c>
      <c r="BN14" s="75" t="s">
        <v>185</v>
      </c>
      <c r="BO14" s="75" t="s">
        <v>185</v>
      </c>
      <c r="BP14" s="75" t="s">
        <v>185</v>
      </c>
      <c r="BQ14" s="75" t="s">
        <v>185</v>
      </c>
      <c r="BR14" s="75" t="s">
        <v>185</v>
      </c>
      <c r="BS14" s="75" t="s">
        <v>185</v>
      </c>
      <c r="BT14" s="75" t="s">
        <v>185</v>
      </c>
      <c r="BU14" s="75" t="s">
        <v>185</v>
      </c>
      <c r="BV14" s="75" t="s">
        <v>185</v>
      </c>
      <c r="BW14" s="75" t="s">
        <v>185</v>
      </c>
      <c r="BX14" s="75" t="s">
        <v>185</v>
      </c>
      <c r="BY14" s="75" t="s">
        <v>185</v>
      </c>
      <c r="BZ14" s="75" t="s">
        <v>185</v>
      </c>
      <c r="CA14" s="75" t="s">
        <v>185</v>
      </c>
      <c r="CB14" s="75" t="s">
        <v>185</v>
      </c>
      <c r="CC14" s="75" t="s">
        <v>185</v>
      </c>
      <c r="CD14" s="75" t="s">
        <v>185</v>
      </c>
      <c r="CE14" s="75" t="s">
        <v>185</v>
      </c>
      <c r="CF14" s="75" t="s">
        <v>185</v>
      </c>
      <c r="CG14" s="75" t="s">
        <v>185</v>
      </c>
      <c r="CH14" s="75" t="s">
        <v>185</v>
      </c>
      <c r="CI14" s="75" t="s">
        <v>185</v>
      </c>
      <c r="CJ14" s="75" t="s">
        <v>185</v>
      </c>
      <c r="CK14" s="75" t="s">
        <v>185</v>
      </c>
      <c r="CL14" s="75" t="s">
        <v>185</v>
      </c>
      <c r="CM14" s="75" t="s">
        <v>185</v>
      </c>
      <c r="CN14" s="75" t="s">
        <v>185</v>
      </c>
      <c r="CO14" s="75" t="s">
        <v>185</v>
      </c>
      <c r="CP14" s="75" t="s">
        <v>185</v>
      </c>
      <c r="CQ14" s="75" t="s">
        <v>185</v>
      </c>
      <c r="CR14" s="75" t="s">
        <v>185</v>
      </c>
      <c r="CS14" s="75" t="s">
        <v>185</v>
      </c>
      <c r="CT14" s="75" t="s">
        <v>185</v>
      </c>
      <c r="CU14" s="75" t="s">
        <v>185</v>
      </c>
      <c r="CV14" s="75" t="s">
        <v>185</v>
      </c>
      <c r="CW14" s="75" t="s">
        <v>185</v>
      </c>
      <c r="CX14" s="75" t="s">
        <v>185</v>
      </c>
      <c r="CY14" s="75" t="s">
        <v>185</v>
      </c>
      <c r="CZ14" s="75" t="s">
        <v>185</v>
      </c>
      <c r="DA14" s="75" t="s">
        <v>185</v>
      </c>
      <c r="DB14" s="75" t="s">
        <v>185</v>
      </c>
      <c r="DC14" s="75" t="s">
        <v>185</v>
      </c>
      <c r="DD14" s="75" t="s">
        <v>185</v>
      </c>
      <c r="DE14" s="75" t="s">
        <v>185</v>
      </c>
      <c r="DF14" s="75" t="s">
        <v>185</v>
      </c>
      <c r="DG14" s="75" t="s">
        <v>185</v>
      </c>
      <c r="DH14" s="75" t="s">
        <v>185</v>
      </c>
      <c r="DI14" s="75" t="s">
        <v>185</v>
      </c>
      <c r="DJ14" s="75" t="s">
        <v>185</v>
      </c>
      <c r="DK14" s="75" t="s">
        <v>185</v>
      </c>
      <c r="DL14" s="75" t="s">
        <v>205</v>
      </c>
      <c r="DM14" s="75" t="s">
        <v>206</v>
      </c>
      <c r="DN14" s="75" t="s">
        <v>141</v>
      </c>
      <c r="DO14" s="75" t="s">
        <v>141</v>
      </c>
      <c r="DP14" s="80"/>
    </row>
    <row r="15" spans="1:120">
      <c r="A15" s="60"/>
      <c r="B15" s="27" t="s">
        <v>181</v>
      </c>
      <c r="C15" s="81" t="s">
        <v>182</v>
      </c>
      <c r="D15" s="75" t="s">
        <v>183</v>
      </c>
      <c r="E15" s="75" t="s">
        <v>207</v>
      </c>
      <c r="F15" s="75" t="s">
        <v>185</v>
      </c>
      <c r="G15" s="75" t="s">
        <v>185</v>
      </c>
      <c r="H15" s="75" t="s">
        <v>185</v>
      </c>
      <c r="I15" s="75" t="s">
        <v>185</v>
      </c>
      <c r="J15" s="75" t="s">
        <v>185</v>
      </c>
      <c r="K15" s="75" t="s">
        <v>185</v>
      </c>
      <c r="L15" s="75" t="s">
        <v>185</v>
      </c>
      <c r="M15" s="75" t="s">
        <v>185</v>
      </c>
      <c r="N15" s="75" t="s">
        <v>207</v>
      </c>
      <c r="O15" s="75" t="s">
        <v>208</v>
      </c>
      <c r="P15" s="75" t="s">
        <v>207</v>
      </c>
      <c r="Q15" s="75" t="s">
        <v>187</v>
      </c>
      <c r="R15" s="75" t="s">
        <v>188</v>
      </c>
      <c r="S15" s="75" t="s">
        <v>207</v>
      </c>
      <c r="T15" s="75" t="s">
        <v>189</v>
      </c>
      <c r="U15" s="75" t="s">
        <v>190</v>
      </c>
      <c r="V15" s="75" t="s">
        <v>191</v>
      </c>
      <c r="W15" s="75" t="s">
        <v>192</v>
      </c>
      <c r="X15" s="75" t="s">
        <v>185</v>
      </c>
      <c r="Y15" s="75" t="s">
        <v>185</v>
      </c>
      <c r="Z15" s="75" t="s">
        <v>185</v>
      </c>
      <c r="AA15" s="75" t="s">
        <v>185</v>
      </c>
      <c r="AB15" s="75" t="s">
        <v>185</v>
      </c>
      <c r="AC15" s="75" t="s">
        <v>185</v>
      </c>
      <c r="AD15" s="75" t="s">
        <v>185</v>
      </c>
      <c r="AE15" s="75" t="s">
        <v>185</v>
      </c>
      <c r="AF15" s="75" t="s">
        <v>185</v>
      </c>
      <c r="AG15" s="75" t="s">
        <v>185</v>
      </c>
      <c r="AH15" s="75" t="s">
        <v>185</v>
      </c>
      <c r="AI15" s="75" t="s">
        <v>185</v>
      </c>
      <c r="AJ15" s="75" t="s">
        <v>185</v>
      </c>
      <c r="AK15" s="75" t="s">
        <v>185</v>
      </c>
      <c r="AL15" s="75" t="s">
        <v>185</v>
      </c>
      <c r="AM15" s="75" t="s">
        <v>185</v>
      </c>
      <c r="AN15" s="75" t="s">
        <v>185</v>
      </c>
      <c r="AO15" s="75" t="s">
        <v>185</v>
      </c>
      <c r="AP15" s="75" t="s">
        <v>185</v>
      </c>
      <c r="AQ15" s="75" t="s">
        <v>185</v>
      </c>
      <c r="AR15" s="75" t="s">
        <v>185</v>
      </c>
      <c r="AS15" s="75" t="s">
        <v>185</v>
      </c>
      <c r="AT15" s="75" t="s">
        <v>185</v>
      </c>
      <c r="AU15" s="75" t="s">
        <v>185</v>
      </c>
      <c r="AV15" s="75" t="s">
        <v>185</v>
      </c>
      <c r="AW15" s="75" t="s">
        <v>185</v>
      </c>
      <c r="AX15" s="75" t="s">
        <v>185</v>
      </c>
      <c r="AY15" s="75" t="s">
        <v>185</v>
      </c>
      <c r="AZ15" s="75" t="s">
        <v>185</v>
      </c>
      <c r="BA15" s="75" t="s">
        <v>185</v>
      </c>
      <c r="BB15" s="75" t="s">
        <v>185</v>
      </c>
      <c r="BC15" s="75" t="s">
        <v>185</v>
      </c>
      <c r="BD15" s="75" t="s">
        <v>185</v>
      </c>
      <c r="BE15" s="75" t="s">
        <v>185</v>
      </c>
      <c r="BF15" s="75" t="s">
        <v>185</v>
      </c>
      <c r="BG15" s="75" t="s">
        <v>185</v>
      </c>
      <c r="BH15" s="75" t="s">
        <v>185</v>
      </c>
      <c r="BI15" s="75" t="s">
        <v>185</v>
      </c>
      <c r="BJ15" s="75" t="s">
        <v>185</v>
      </c>
      <c r="BK15" s="75" t="s">
        <v>185</v>
      </c>
      <c r="BL15" s="75" t="s">
        <v>185</v>
      </c>
      <c r="BM15" s="75" t="s">
        <v>185</v>
      </c>
      <c r="BN15" s="75" t="s">
        <v>185</v>
      </c>
      <c r="BO15" s="75" t="s">
        <v>185</v>
      </c>
      <c r="BP15" s="75" t="s">
        <v>185</v>
      </c>
      <c r="BQ15" s="75" t="s">
        <v>185</v>
      </c>
      <c r="BR15" s="75" t="s">
        <v>185</v>
      </c>
      <c r="BS15" s="75" t="s">
        <v>185</v>
      </c>
      <c r="BT15" s="75" t="s">
        <v>185</v>
      </c>
      <c r="BU15" s="75" t="s">
        <v>185</v>
      </c>
      <c r="BV15" s="75" t="s">
        <v>185</v>
      </c>
      <c r="BW15" s="75" t="s">
        <v>185</v>
      </c>
      <c r="BX15" s="75" t="s">
        <v>185</v>
      </c>
      <c r="BY15" s="75" t="s">
        <v>185</v>
      </c>
      <c r="BZ15" s="75" t="s">
        <v>185</v>
      </c>
      <c r="CA15" s="75" t="s">
        <v>185</v>
      </c>
      <c r="CB15" s="75" t="s">
        <v>185</v>
      </c>
      <c r="CC15" s="75" t="s">
        <v>185</v>
      </c>
      <c r="CD15" s="75" t="s">
        <v>185</v>
      </c>
      <c r="CE15" s="75" t="s">
        <v>185</v>
      </c>
      <c r="CF15" s="75" t="s">
        <v>185</v>
      </c>
      <c r="CG15" s="75" t="s">
        <v>185</v>
      </c>
      <c r="CH15" s="75" t="s">
        <v>185</v>
      </c>
      <c r="CI15" s="75" t="s">
        <v>185</v>
      </c>
      <c r="CJ15" s="75" t="s">
        <v>185</v>
      </c>
      <c r="CK15" s="75" t="s">
        <v>185</v>
      </c>
      <c r="CL15" s="75" t="s">
        <v>185</v>
      </c>
      <c r="CM15" s="75" t="s">
        <v>185</v>
      </c>
      <c r="CN15" s="75" t="s">
        <v>185</v>
      </c>
      <c r="CO15" s="75" t="s">
        <v>185</v>
      </c>
      <c r="CP15" s="75" t="s">
        <v>185</v>
      </c>
      <c r="CQ15" s="75" t="s">
        <v>185</v>
      </c>
      <c r="CR15" s="75" t="s">
        <v>185</v>
      </c>
      <c r="CS15" s="75" t="s">
        <v>185</v>
      </c>
      <c r="CT15" s="75" t="s">
        <v>185</v>
      </c>
      <c r="CU15" s="75" t="s">
        <v>185</v>
      </c>
      <c r="CV15" s="75" t="s">
        <v>185</v>
      </c>
      <c r="CW15" s="75" t="s">
        <v>185</v>
      </c>
      <c r="CX15" s="75" t="s">
        <v>185</v>
      </c>
      <c r="CY15" s="75" t="s">
        <v>185</v>
      </c>
      <c r="CZ15" s="75" t="s">
        <v>185</v>
      </c>
      <c r="DA15" s="75" t="s">
        <v>185</v>
      </c>
      <c r="DB15" s="75" t="s">
        <v>185</v>
      </c>
      <c r="DC15" s="75" t="s">
        <v>185</v>
      </c>
      <c r="DD15" s="75" t="s">
        <v>185</v>
      </c>
      <c r="DE15" s="75" t="s">
        <v>185</v>
      </c>
      <c r="DF15" s="75" t="s">
        <v>185</v>
      </c>
      <c r="DG15" s="75" t="s">
        <v>185</v>
      </c>
      <c r="DH15" s="75" t="s">
        <v>185</v>
      </c>
      <c r="DI15" s="75" t="s">
        <v>185</v>
      </c>
      <c r="DJ15" s="75" t="s">
        <v>185</v>
      </c>
      <c r="DK15" s="75" t="s">
        <v>185</v>
      </c>
      <c r="DL15" s="75" t="s">
        <v>207</v>
      </c>
      <c r="DM15" s="75" t="s">
        <v>209</v>
      </c>
      <c r="DN15" s="75" t="s">
        <v>141</v>
      </c>
      <c r="DO15" s="75" t="s">
        <v>141</v>
      </c>
      <c r="DP15" s="80"/>
    </row>
    <row r="16" spans="1:120">
      <c r="A16" s="60"/>
      <c r="B16" s="27" t="s">
        <v>181</v>
      </c>
      <c r="C16" s="81" t="s">
        <v>182</v>
      </c>
      <c r="D16" s="75" t="s">
        <v>183</v>
      </c>
      <c r="E16" s="75" t="s">
        <v>210</v>
      </c>
      <c r="F16" s="75" t="s">
        <v>185</v>
      </c>
      <c r="G16" s="75" t="s">
        <v>185</v>
      </c>
      <c r="H16" s="75" t="s">
        <v>185</v>
      </c>
      <c r="I16" s="75" t="s">
        <v>185</v>
      </c>
      <c r="J16" s="75" t="s">
        <v>185</v>
      </c>
      <c r="K16" s="75" t="s">
        <v>185</v>
      </c>
      <c r="L16" s="75" t="s">
        <v>185</v>
      </c>
      <c r="M16" s="75" t="s">
        <v>185</v>
      </c>
      <c r="N16" s="75" t="s">
        <v>210</v>
      </c>
      <c r="O16" s="75" t="s">
        <v>211</v>
      </c>
      <c r="P16" s="75" t="s">
        <v>210</v>
      </c>
      <c r="Q16" s="75" t="s">
        <v>187</v>
      </c>
      <c r="R16" s="75" t="s">
        <v>188</v>
      </c>
      <c r="S16" s="75" t="s">
        <v>210</v>
      </c>
      <c r="T16" s="75" t="s">
        <v>189</v>
      </c>
      <c r="U16" s="75" t="s">
        <v>190</v>
      </c>
      <c r="V16" s="75" t="s">
        <v>191</v>
      </c>
      <c r="W16" s="75" t="s">
        <v>192</v>
      </c>
      <c r="X16" s="75" t="s">
        <v>185</v>
      </c>
      <c r="Y16" s="75" t="s">
        <v>185</v>
      </c>
      <c r="Z16" s="75" t="s">
        <v>185</v>
      </c>
      <c r="AA16" s="75" t="s">
        <v>185</v>
      </c>
      <c r="AB16" s="75" t="s">
        <v>185</v>
      </c>
      <c r="AC16" s="75" t="s">
        <v>185</v>
      </c>
      <c r="AD16" s="75" t="s">
        <v>185</v>
      </c>
      <c r="AE16" s="75" t="s">
        <v>185</v>
      </c>
      <c r="AF16" s="75" t="s">
        <v>185</v>
      </c>
      <c r="AG16" s="75" t="s">
        <v>185</v>
      </c>
      <c r="AH16" s="75" t="s">
        <v>185</v>
      </c>
      <c r="AI16" s="75" t="s">
        <v>185</v>
      </c>
      <c r="AJ16" s="75" t="s">
        <v>185</v>
      </c>
      <c r="AK16" s="75" t="s">
        <v>185</v>
      </c>
      <c r="AL16" s="75" t="s">
        <v>185</v>
      </c>
      <c r="AM16" s="75" t="s">
        <v>185</v>
      </c>
      <c r="AN16" s="75" t="s">
        <v>185</v>
      </c>
      <c r="AO16" s="75" t="s">
        <v>185</v>
      </c>
      <c r="AP16" s="75" t="s">
        <v>185</v>
      </c>
      <c r="AQ16" s="75" t="s">
        <v>185</v>
      </c>
      <c r="AR16" s="75" t="s">
        <v>185</v>
      </c>
      <c r="AS16" s="75" t="s">
        <v>185</v>
      </c>
      <c r="AT16" s="75" t="s">
        <v>185</v>
      </c>
      <c r="AU16" s="75" t="s">
        <v>185</v>
      </c>
      <c r="AV16" s="75" t="s">
        <v>185</v>
      </c>
      <c r="AW16" s="75" t="s">
        <v>185</v>
      </c>
      <c r="AX16" s="75" t="s">
        <v>185</v>
      </c>
      <c r="AY16" s="75" t="s">
        <v>185</v>
      </c>
      <c r="AZ16" s="75" t="s">
        <v>185</v>
      </c>
      <c r="BA16" s="75" t="s">
        <v>185</v>
      </c>
      <c r="BB16" s="75" t="s">
        <v>185</v>
      </c>
      <c r="BC16" s="75" t="s">
        <v>185</v>
      </c>
      <c r="BD16" s="75" t="s">
        <v>185</v>
      </c>
      <c r="BE16" s="75" t="s">
        <v>185</v>
      </c>
      <c r="BF16" s="75" t="s">
        <v>185</v>
      </c>
      <c r="BG16" s="75" t="s">
        <v>185</v>
      </c>
      <c r="BH16" s="75" t="s">
        <v>185</v>
      </c>
      <c r="BI16" s="75" t="s">
        <v>185</v>
      </c>
      <c r="BJ16" s="75" t="s">
        <v>185</v>
      </c>
      <c r="BK16" s="75" t="s">
        <v>185</v>
      </c>
      <c r="BL16" s="75" t="s">
        <v>185</v>
      </c>
      <c r="BM16" s="75" t="s">
        <v>185</v>
      </c>
      <c r="BN16" s="75" t="s">
        <v>185</v>
      </c>
      <c r="BO16" s="75" t="s">
        <v>185</v>
      </c>
      <c r="BP16" s="75" t="s">
        <v>185</v>
      </c>
      <c r="BQ16" s="75" t="s">
        <v>185</v>
      </c>
      <c r="BR16" s="75" t="s">
        <v>185</v>
      </c>
      <c r="BS16" s="75" t="s">
        <v>185</v>
      </c>
      <c r="BT16" s="75" t="s">
        <v>185</v>
      </c>
      <c r="BU16" s="75" t="s">
        <v>185</v>
      </c>
      <c r="BV16" s="75" t="s">
        <v>185</v>
      </c>
      <c r="BW16" s="75" t="s">
        <v>185</v>
      </c>
      <c r="BX16" s="75" t="s">
        <v>185</v>
      </c>
      <c r="BY16" s="75" t="s">
        <v>185</v>
      </c>
      <c r="BZ16" s="75" t="s">
        <v>185</v>
      </c>
      <c r="CA16" s="75" t="s">
        <v>185</v>
      </c>
      <c r="CB16" s="75" t="s">
        <v>185</v>
      </c>
      <c r="CC16" s="75" t="s">
        <v>185</v>
      </c>
      <c r="CD16" s="75" t="s">
        <v>185</v>
      </c>
      <c r="CE16" s="75" t="s">
        <v>185</v>
      </c>
      <c r="CF16" s="75" t="s">
        <v>185</v>
      </c>
      <c r="CG16" s="75" t="s">
        <v>185</v>
      </c>
      <c r="CH16" s="75" t="s">
        <v>185</v>
      </c>
      <c r="CI16" s="75" t="s">
        <v>185</v>
      </c>
      <c r="CJ16" s="75" t="s">
        <v>185</v>
      </c>
      <c r="CK16" s="75" t="s">
        <v>185</v>
      </c>
      <c r="CL16" s="75" t="s">
        <v>185</v>
      </c>
      <c r="CM16" s="75" t="s">
        <v>185</v>
      </c>
      <c r="CN16" s="75" t="s">
        <v>185</v>
      </c>
      <c r="CO16" s="75" t="s">
        <v>185</v>
      </c>
      <c r="CP16" s="75" t="s">
        <v>185</v>
      </c>
      <c r="CQ16" s="75" t="s">
        <v>185</v>
      </c>
      <c r="CR16" s="75" t="s">
        <v>185</v>
      </c>
      <c r="CS16" s="75" t="s">
        <v>185</v>
      </c>
      <c r="CT16" s="75" t="s">
        <v>185</v>
      </c>
      <c r="CU16" s="75" t="s">
        <v>185</v>
      </c>
      <c r="CV16" s="75" t="s">
        <v>185</v>
      </c>
      <c r="CW16" s="75" t="s">
        <v>185</v>
      </c>
      <c r="CX16" s="75" t="s">
        <v>185</v>
      </c>
      <c r="CY16" s="75" t="s">
        <v>185</v>
      </c>
      <c r="CZ16" s="75" t="s">
        <v>185</v>
      </c>
      <c r="DA16" s="75" t="s">
        <v>185</v>
      </c>
      <c r="DB16" s="75" t="s">
        <v>185</v>
      </c>
      <c r="DC16" s="75" t="s">
        <v>185</v>
      </c>
      <c r="DD16" s="75" t="s">
        <v>185</v>
      </c>
      <c r="DE16" s="75" t="s">
        <v>185</v>
      </c>
      <c r="DF16" s="75" t="s">
        <v>185</v>
      </c>
      <c r="DG16" s="75" t="s">
        <v>185</v>
      </c>
      <c r="DH16" s="75" t="s">
        <v>185</v>
      </c>
      <c r="DI16" s="75" t="s">
        <v>185</v>
      </c>
      <c r="DJ16" s="75" t="s">
        <v>185</v>
      </c>
      <c r="DK16" s="75" t="s">
        <v>185</v>
      </c>
      <c r="DL16" s="75" t="s">
        <v>210</v>
      </c>
      <c r="DM16" s="75" t="s">
        <v>212</v>
      </c>
      <c r="DN16" s="75" t="s">
        <v>141</v>
      </c>
      <c r="DO16" s="75" t="s">
        <v>141</v>
      </c>
      <c r="DP16" s="80"/>
    </row>
    <row r="17" spans="1:143">
      <c r="A17" s="60"/>
      <c r="B17" s="27" t="s">
        <v>181</v>
      </c>
      <c r="C17" s="81" t="s">
        <v>182</v>
      </c>
      <c r="D17" s="75" t="s">
        <v>183</v>
      </c>
      <c r="E17" s="75" t="s">
        <v>213</v>
      </c>
      <c r="F17" s="75" t="s">
        <v>185</v>
      </c>
      <c r="G17" s="75" t="s">
        <v>185</v>
      </c>
      <c r="H17" s="75" t="s">
        <v>185</v>
      </c>
      <c r="I17" s="75" t="s">
        <v>185</v>
      </c>
      <c r="J17" s="75" t="s">
        <v>185</v>
      </c>
      <c r="K17" s="75" t="s">
        <v>185</v>
      </c>
      <c r="L17" s="75" t="s">
        <v>185</v>
      </c>
      <c r="M17" s="75" t="s">
        <v>185</v>
      </c>
      <c r="N17" s="75" t="s">
        <v>213</v>
      </c>
      <c r="O17" s="75" t="s">
        <v>214</v>
      </c>
      <c r="P17" s="75" t="s">
        <v>213</v>
      </c>
      <c r="Q17" s="75" t="s">
        <v>187</v>
      </c>
      <c r="R17" s="75" t="s">
        <v>188</v>
      </c>
      <c r="S17" s="75" t="s">
        <v>213</v>
      </c>
      <c r="T17" s="75" t="s">
        <v>189</v>
      </c>
      <c r="U17" s="75" t="s">
        <v>190</v>
      </c>
      <c r="V17" s="75" t="s">
        <v>191</v>
      </c>
      <c r="W17" s="75" t="s">
        <v>192</v>
      </c>
      <c r="X17" s="75" t="s">
        <v>185</v>
      </c>
      <c r="Y17" s="75" t="s">
        <v>185</v>
      </c>
      <c r="Z17" s="75" t="s">
        <v>185</v>
      </c>
      <c r="AA17" s="75" t="s">
        <v>185</v>
      </c>
      <c r="AB17" s="75" t="s">
        <v>185</v>
      </c>
      <c r="AC17" s="75" t="s">
        <v>185</v>
      </c>
      <c r="AD17" s="75" t="s">
        <v>185</v>
      </c>
      <c r="AE17" s="75" t="s">
        <v>185</v>
      </c>
      <c r="AF17" s="75" t="s">
        <v>185</v>
      </c>
      <c r="AG17" s="75" t="s">
        <v>185</v>
      </c>
      <c r="AH17" s="75" t="s">
        <v>185</v>
      </c>
      <c r="AI17" s="75" t="s">
        <v>185</v>
      </c>
      <c r="AJ17" s="75" t="s">
        <v>185</v>
      </c>
      <c r="AK17" s="75" t="s">
        <v>185</v>
      </c>
      <c r="AL17" s="75" t="s">
        <v>185</v>
      </c>
      <c r="AM17" s="75" t="s">
        <v>185</v>
      </c>
      <c r="AN17" s="75" t="s">
        <v>185</v>
      </c>
      <c r="AO17" s="75" t="s">
        <v>185</v>
      </c>
      <c r="AP17" s="75" t="s">
        <v>185</v>
      </c>
      <c r="AQ17" s="75" t="s">
        <v>185</v>
      </c>
      <c r="AR17" s="75" t="s">
        <v>185</v>
      </c>
      <c r="AS17" s="75" t="s">
        <v>185</v>
      </c>
      <c r="AT17" s="75" t="s">
        <v>185</v>
      </c>
      <c r="AU17" s="75" t="s">
        <v>185</v>
      </c>
      <c r="AV17" s="75" t="s">
        <v>185</v>
      </c>
      <c r="AW17" s="75" t="s">
        <v>185</v>
      </c>
      <c r="AX17" s="75" t="s">
        <v>185</v>
      </c>
      <c r="AY17" s="75" t="s">
        <v>185</v>
      </c>
      <c r="AZ17" s="75" t="s">
        <v>185</v>
      </c>
      <c r="BA17" s="75" t="s">
        <v>185</v>
      </c>
      <c r="BB17" s="75" t="s">
        <v>185</v>
      </c>
      <c r="BC17" s="75" t="s">
        <v>185</v>
      </c>
      <c r="BD17" s="75" t="s">
        <v>185</v>
      </c>
      <c r="BE17" s="75" t="s">
        <v>185</v>
      </c>
      <c r="BF17" s="75" t="s">
        <v>185</v>
      </c>
      <c r="BG17" s="75" t="s">
        <v>185</v>
      </c>
      <c r="BH17" s="75" t="s">
        <v>185</v>
      </c>
      <c r="BI17" s="75" t="s">
        <v>185</v>
      </c>
      <c r="BJ17" s="75" t="s">
        <v>185</v>
      </c>
      <c r="BK17" s="75" t="s">
        <v>185</v>
      </c>
      <c r="BL17" s="75" t="s">
        <v>185</v>
      </c>
      <c r="BM17" s="75" t="s">
        <v>185</v>
      </c>
      <c r="BN17" s="75" t="s">
        <v>185</v>
      </c>
      <c r="BO17" s="75" t="s">
        <v>185</v>
      </c>
      <c r="BP17" s="75" t="s">
        <v>185</v>
      </c>
      <c r="BQ17" s="75" t="s">
        <v>185</v>
      </c>
      <c r="BR17" s="75" t="s">
        <v>185</v>
      </c>
      <c r="BS17" s="75" t="s">
        <v>185</v>
      </c>
      <c r="BT17" s="75" t="s">
        <v>185</v>
      </c>
      <c r="BU17" s="75" t="s">
        <v>185</v>
      </c>
      <c r="BV17" s="75" t="s">
        <v>185</v>
      </c>
      <c r="BW17" s="75" t="s">
        <v>185</v>
      </c>
      <c r="BX17" s="75" t="s">
        <v>185</v>
      </c>
      <c r="BY17" s="75" t="s">
        <v>185</v>
      </c>
      <c r="BZ17" s="75" t="s">
        <v>185</v>
      </c>
      <c r="CA17" s="75" t="s">
        <v>185</v>
      </c>
      <c r="CB17" s="75" t="s">
        <v>185</v>
      </c>
      <c r="CC17" s="75" t="s">
        <v>185</v>
      </c>
      <c r="CD17" s="75" t="s">
        <v>185</v>
      </c>
      <c r="CE17" s="75" t="s">
        <v>185</v>
      </c>
      <c r="CF17" s="75" t="s">
        <v>185</v>
      </c>
      <c r="CG17" s="75" t="s">
        <v>185</v>
      </c>
      <c r="CH17" s="75" t="s">
        <v>185</v>
      </c>
      <c r="CI17" s="75" t="s">
        <v>185</v>
      </c>
      <c r="CJ17" s="75" t="s">
        <v>185</v>
      </c>
      <c r="CK17" s="75" t="s">
        <v>185</v>
      </c>
      <c r="CL17" s="75" t="s">
        <v>185</v>
      </c>
      <c r="CM17" s="75" t="s">
        <v>185</v>
      </c>
      <c r="CN17" s="75" t="s">
        <v>185</v>
      </c>
      <c r="CO17" s="75" t="s">
        <v>185</v>
      </c>
      <c r="CP17" s="75" t="s">
        <v>185</v>
      </c>
      <c r="CQ17" s="75" t="s">
        <v>185</v>
      </c>
      <c r="CR17" s="75" t="s">
        <v>185</v>
      </c>
      <c r="CS17" s="75" t="s">
        <v>185</v>
      </c>
      <c r="CT17" s="75" t="s">
        <v>185</v>
      </c>
      <c r="CU17" s="75" t="s">
        <v>185</v>
      </c>
      <c r="CV17" s="75" t="s">
        <v>185</v>
      </c>
      <c r="CW17" s="75" t="s">
        <v>185</v>
      </c>
      <c r="CX17" s="75" t="s">
        <v>185</v>
      </c>
      <c r="CY17" s="75" t="s">
        <v>185</v>
      </c>
      <c r="CZ17" s="75" t="s">
        <v>185</v>
      </c>
      <c r="DA17" s="75" t="s">
        <v>185</v>
      </c>
      <c r="DB17" s="75" t="s">
        <v>185</v>
      </c>
      <c r="DC17" s="75" t="s">
        <v>185</v>
      </c>
      <c r="DD17" s="75" t="s">
        <v>185</v>
      </c>
      <c r="DE17" s="75" t="s">
        <v>185</v>
      </c>
      <c r="DF17" s="75" t="s">
        <v>185</v>
      </c>
      <c r="DG17" s="75" t="s">
        <v>185</v>
      </c>
      <c r="DH17" s="75" t="s">
        <v>185</v>
      </c>
      <c r="DI17" s="75" t="s">
        <v>185</v>
      </c>
      <c r="DJ17" s="75" t="s">
        <v>185</v>
      </c>
      <c r="DK17" s="75" t="s">
        <v>185</v>
      </c>
      <c r="DL17" s="75" t="s">
        <v>213</v>
      </c>
      <c r="DM17" s="75" t="s">
        <v>215</v>
      </c>
      <c r="DN17" s="75" t="s">
        <v>141</v>
      </c>
      <c r="DO17" s="75" t="s">
        <v>141</v>
      </c>
      <c r="DP17" s="80"/>
    </row>
    <row r="18" spans="1:143">
      <c r="A18" s="60"/>
      <c r="B18" s="27" t="s">
        <v>181</v>
      </c>
      <c r="C18" s="81" t="s">
        <v>182</v>
      </c>
      <c r="D18" s="75" t="s">
        <v>183</v>
      </c>
      <c r="E18" s="75" t="s">
        <v>216</v>
      </c>
      <c r="F18" s="75" t="s">
        <v>185</v>
      </c>
      <c r="G18" s="75" t="s">
        <v>185</v>
      </c>
      <c r="H18" s="75" t="s">
        <v>185</v>
      </c>
      <c r="I18" s="75" t="s">
        <v>185</v>
      </c>
      <c r="J18" s="75" t="s">
        <v>185</v>
      </c>
      <c r="K18" s="75" t="s">
        <v>185</v>
      </c>
      <c r="L18" s="75" t="s">
        <v>185</v>
      </c>
      <c r="M18" s="75" t="s">
        <v>185</v>
      </c>
      <c r="N18" s="75" t="s">
        <v>216</v>
      </c>
      <c r="O18" s="75" t="s">
        <v>217</v>
      </c>
      <c r="P18" s="75" t="s">
        <v>216</v>
      </c>
      <c r="Q18" s="75" t="s">
        <v>187</v>
      </c>
      <c r="R18" s="75" t="s">
        <v>188</v>
      </c>
      <c r="S18" s="75" t="s">
        <v>216</v>
      </c>
      <c r="T18" s="75" t="s">
        <v>189</v>
      </c>
      <c r="U18" s="75" t="s">
        <v>190</v>
      </c>
      <c r="V18" s="75" t="s">
        <v>191</v>
      </c>
      <c r="W18" s="75" t="s">
        <v>192</v>
      </c>
      <c r="X18" s="75" t="s">
        <v>185</v>
      </c>
      <c r="Y18" s="75" t="s">
        <v>185</v>
      </c>
      <c r="Z18" s="75" t="s">
        <v>185</v>
      </c>
      <c r="AA18" s="75" t="s">
        <v>185</v>
      </c>
      <c r="AB18" s="75" t="s">
        <v>185</v>
      </c>
      <c r="AC18" s="75" t="s">
        <v>185</v>
      </c>
      <c r="AD18" s="75" t="s">
        <v>185</v>
      </c>
      <c r="AE18" s="75" t="s">
        <v>185</v>
      </c>
      <c r="AF18" s="75" t="s">
        <v>185</v>
      </c>
      <c r="AG18" s="75" t="s">
        <v>185</v>
      </c>
      <c r="AH18" s="75" t="s">
        <v>185</v>
      </c>
      <c r="AI18" s="75" t="s">
        <v>185</v>
      </c>
      <c r="AJ18" s="75" t="s">
        <v>185</v>
      </c>
      <c r="AK18" s="75" t="s">
        <v>185</v>
      </c>
      <c r="AL18" s="75" t="s">
        <v>185</v>
      </c>
      <c r="AM18" s="75" t="s">
        <v>185</v>
      </c>
      <c r="AN18" s="75" t="s">
        <v>185</v>
      </c>
      <c r="AO18" s="75" t="s">
        <v>185</v>
      </c>
      <c r="AP18" s="75" t="s">
        <v>185</v>
      </c>
      <c r="AQ18" s="75" t="s">
        <v>185</v>
      </c>
      <c r="AR18" s="75" t="s">
        <v>185</v>
      </c>
      <c r="AS18" s="75" t="s">
        <v>185</v>
      </c>
      <c r="AT18" s="75" t="s">
        <v>185</v>
      </c>
      <c r="AU18" s="75" t="s">
        <v>185</v>
      </c>
      <c r="AV18" s="75" t="s">
        <v>185</v>
      </c>
      <c r="AW18" s="75" t="s">
        <v>185</v>
      </c>
      <c r="AX18" s="75" t="s">
        <v>185</v>
      </c>
      <c r="AY18" s="75" t="s">
        <v>185</v>
      </c>
      <c r="AZ18" s="75" t="s">
        <v>185</v>
      </c>
      <c r="BA18" s="75" t="s">
        <v>185</v>
      </c>
      <c r="BB18" s="75" t="s">
        <v>185</v>
      </c>
      <c r="BC18" s="75" t="s">
        <v>185</v>
      </c>
      <c r="BD18" s="75" t="s">
        <v>185</v>
      </c>
      <c r="BE18" s="75" t="s">
        <v>185</v>
      </c>
      <c r="BF18" s="75" t="s">
        <v>185</v>
      </c>
      <c r="BG18" s="75" t="s">
        <v>185</v>
      </c>
      <c r="BH18" s="75" t="s">
        <v>185</v>
      </c>
      <c r="BI18" s="75" t="s">
        <v>185</v>
      </c>
      <c r="BJ18" s="75" t="s">
        <v>185</v>
      </c>
      <c r="BK18" s="75" t="s">
        <v>185</v>
      </c>
      <c r="BL18" s="75" t="s">
        <v>185</v>
      </c>
      <c r="BM18" s="75" t="s">
        <v>185</v>
      </c>
      <c r="BN18" s="75" t="s">
        <v>185</v>
      </c>
      <c r="BO18" s="75" t="s">
        <v>185</v>
      </c>
      <c r="BP18" s="75" t="s">
        <v>185</v>
      </c>
      <c r="BQ18" s="75" t="s">
        <v>185</v>
      </c>
      <c r="BR18" s="75" t="s">
        <v>185</v>
      </c>
      <c r="BS18" s="75" t="s">
        <v>185</v>
      </c>
      <c r="BT18" s="75" t="s">
        <v>185</v>
      </c>
      <c r="BU18" s="75" t="s">
        <v>185</v>
      </c>
      <c r="BV18" s="75" t="s">
        <v>185</v>
      </c>
      <c r="BW18" s="75" t="s">
        <v>185</v>
      </c>
      <c r="BX18" s="75" t="s">
        <v>185</v>
      </c>
      <c r="BY18" s="75" t="s">
        <v>185</v>
      </c>
      <c r="BZ18" s="75" t="s">
        <v>185</v>
      </c>
      <c r="CA18" s="75" t="s">
        <v>185</v>
      </c>
      <c r="CB18" s="75" t="s">
        <v>185</v>
      </c>
      <c r="CC18" s="75" t="s">
        <v>185</v>
      </c>
      <c r="CD18" s="75" t="s">
        <v>185</v>
      </c>
      <c r="CE18" s="75" t="s">
        <v>185</v>
      </c>
      <c r="CF18" s="75" t="s">
        <v>185</v>
      </c>
      <c r="CG18" s="75" t="s">
        <v>185</v>
      </c>
      <c r="CH18" s="75" t="s">
        <v>185</v>
      </c>
      <c r="CI18" s="75" t="s">
        <v>185</v>
      </c>
      <c r="CJ18" s="75" t="s">
        <v>185</v>
      </c>
      <c r="CK18" s="75" t="s">
        <v>185</v>
      </c>
      <c r="CL18" s="75" t="s">
        <v>185</v>
      </c>
      <c r="CM18" s="75" t="s">
        <v>185</v>
      </c>
      <c r="CN18" s="75" t="s">
        <v>185</v>
      </c>
      <c r="CO18" s="75" t="s">
        <v>185</v>
      </c>
      <c r="CP18" s="75" t="s">
        <v>185</v>
      </c>
      <c r="CQ18" s="75" t="s">
        <v>185</v>
      </c>
      <c r="CR18" s="75" t="s">
        <v>185</v>
      </c>
      <c r="CS18" s="75" t="s">
        <v>185</v>
      </c>
      <c r="CT18" s="75" t="s">
        <v>185</v>
      </c>
      <c r="CU18" s="75" t="s">
        <v>185</v>
      </c>
      <c r="CV18" s="75" t="s">
        <v>185</v>
      </c>
      <c r="CW18" s="75" t="s">
        <v>185</v>
      </c>
      <c r="CX18" s="75" t="s">
        <v>185</v>
      </c>
      <c r="CY18" s="75" t="s">
        <v>185</v>
      </c>
      <c r="CZ18" s="75" t="s">
        <v>185</v>
      </c>
      <c r="DA18" s="75" t="s">
        <v>185</v>
      </c>
      <c r="DB18" s="75" t="s">
        <v>185</v>
      </c>
      <c r="DC18" s="75" t="s">
        <v>185</v>
      </c>
      <c r="DD18" s="75" t="s">
        <v>185</v>
      </c>
      <c r="DE18" s="75" t="s">
        <v>185</v>
      </c>
      <c r="DF18" s="75" t="s">
        <v>185</v>
      </c>
      <c r="DG18" s="75" t="s">
        <v>185</v>
      </c>
      <c r="DH18" s="75" t="s">
        <v>185</v>
      </c>
      <c r="DI18" s="75" t="s">
        <v>185</v>
      </c>
      <c r="DJ18" s="75" t="s">
        <v>185</v>
      </c>
      <c r="DK18" s="75" t="s">
        <v>185</v>
      </c>
      <c r="DL18" s="75" t="s">
        <v>216</v>
      </c>
      <c r="DM18" s="75" t="s">
        <v>218</v>
      </c>
      <c r="DN18" s="75" t="s">
        <v>141</v>
      </c>
      <c r="DO18" s="75" t="s">
        <v>141</v>
      </c>
      <c r="DP18" s="80"/>
    </row>
    <row r="19" spans="1:143">
      <c r="A19" s="60"/>
      <c r="B19" s="27" t="s">
        <v>181</v>
      </c>
      <c r="C19" s="81" t="s">
        <v>182</v>
      </c>
      <c r="D19" s="75" t="s">
        <v>183</v>
      </c>
      <c r="E19" s="75" t="s">
        <v>219</v>
      </c>
      <c r="F19" s="75" t="s">
        <v>185</v>
      </c>
      <c r="G19" s="75" t="s">
        <v>185</v>
      </c>
      <c r="H19" s="75" t="s">
        <v>185</v>
      </c>
      <c r="I19" s="75" t="s">
        <v>185</v>
      </c>
      <c r="J19" s="75" t="s">
        <v>185</v>
      </c>
      <c r="K19" s="75" t="s">
        <v>185</v>
      </c>
      <c r="L19" s="75" t="s">
        <v>185</v>
      </c>
      <c r="M19" s="75" t="s">
        <v>185</v>
      </c>
      <c r="N19" s="75" t="s">
        <v>219</v>
      </c>
      <c r="O19" s="75" t="s">
        <v>220</v>
      </c>
      <c r="P19" s="75" t="s">
        <v>219</v>
      </c>
      <c r="Q19" s="75" t="s">
        <v>187</v>
      </c>
      <c r="R19" s="75" t="s">
        <v>188</v>
      </c>
      <c r="S19" s="75" t="s">
        <v>219</v>
      </c>
      <c r="T19" s="75" t="s">
        <v>189</v>
      </c>
      <c r="U19" s="75" t="s">
        <v>190</v>
      </c>
      <c r="V19" s="75" t="s">
        <v>191</v>
      </c>
      <c r="W19" s="75" t="s">
        <v>192</v>
      </c>
      <c r="X19" s="75" t="s">
        <v>185</v>
      </c>
      <c r="Y19" s="75" t="s">
        <v>185</v>
      </c>
      <c r="Z19" s="75" t="s">
        <v>185</v>
      </c>
      <c r="AA19" s="75" t="s">
        <v>185</v>
      </c>
      <c r="AB19" s="75" t="s">
        <v>185</v>
      </c>
      <c r="AC19" s="75" t="s">
        <v>185</v>
      </c>
      <c r="AD19" s="75" t="s">
        <v>185</v>
      </c>
      <c r="AE19" s="75" t="s">
        <v>185</v>
      </c>
      <c r="AF19" s="75" t="s">
        <v>185</v>
      </c>
      <c r="AG19" s="75" t="s">
        <v>185</v>
      </c>
      <c r="AH19" s="75" t="s">
        <v>185</v>
      </c>
      <c r="AI19" s="75" t="s">
        <v>185</v>
      </c>
      <c r="AJ19" s="75" t="s">
        <v>185</v>
      </c>
      <c r="AK19" s="75" t="s">
        <v>185</v>
      </c>
      <c r="AL19" s="75" t="s">
        <v>185</v>
      </c>
      <c r="AM19" s="75" t="s">
        <v>185</v>
      </c>
      <c r="AN19" s="75" t="s">
        <v>185</v>
      </c>
      <c r="AO19" s="75" t="s">
        <v>185</v>
      </c>
      <c r="AP19" s="75" t="s">
        <v>185</v>
      </c>
      <c r="AQ19" s="75" t="s">
        <v>185</v>
      </c>
      <c r="AR19" s="75" t="s">
        <v>185</v>
      </c>
      <c r="AS19" s="75" t="s">
        <v>185</v>
      </c>
      <c r="AT19" s="75" t="s">
        <v>185</v>
      </c>
      <c r="AU19" s="75" t="s">
        <v>185</v>
      </c>
      <c r="AV19" s="75" t="s">
        <v>185</v>
      </c>
      <c r="AW19" s="75" t="s">
        <v>185</v>
      </c>
      <c r="AX19" s="75" t="s">
        <v>185</v>
      </c>
      <c r="AY19" s="75" t="s">
        <v>185</v>
      </c>
      <c r="AZ19" s="75" t="s">
        <v>185</v>
      </c>
      <c r="BA19" s="75" t="s">
        <v>185</v>
      </c>
      <c r="BB19" s="75" t="s">
        <v>185</v>
      </c>
      <c r="BC19" s="75" t="s">
        <v>185</v>
      </c>
      <c r="BD19" s="75" t="s">
        <v>185</v>
      </c>
      <c r="BE19" s="75" t="s">
        <v>185</v>
      </c>
      <c r="BF19" s="75" t="s">
        <v>185</v>
      </c>
      <c r="BG19" s="75" t="s">
        <v>185</v>
      </c>
      <c r="BH19" s="75" t="s">
        <v>185</v>
      </c>
      <c r="BI19" s="75" t="s">
        <v>185</v>
      </c>
      <c r="BJ19" s="75" t="s">
        <v>185</v>
      </c>
      <c r="BK19" s="75" t="s">
        <v>185</v>
      </c>
      <c r="BL19" s="75" t="s">
        <v>185</v>
      </c>
      <c r="BM19" s="75" t="s">
        <v>185</v>
      </c>
      <c r="BN19" s="75" t="s">
        <v>185</v>
      </c>
      <c r="BO19" s="75" t="s">
        <v>185</v>
      </c>
      <c r="BP19" s="75" t="s">
        <v>185</v>
      </c>
      <c r="BQ19" s="75" t="s">
        <v>185</v>
      </c>
      <c r="BR19" s="75" t="s">
        <v>185</v>
      </c>
      <c r="BS19" s="75" t="s">
        <v>185</v>
      </c>
      <c r="BT19" s="75" t="s">
        <v>185</v>
      </c>
      <c r="BU19" s="75" t="s">
        <v>185</v>
      </c>
      <c r="BV19" s="75" t="s">
        <v>185</v>
      </c>
      <c r="BW19" s="75" t="s">
        <v>185</v>
      </c>
      <c r="BX19" s="75" t="s">
        <v>185</v>
      </c>
      <c r="BY19" s="75" t="s">
        <v>185</v>
      </c>
      <c r="BZ19" s="75" t="s">
        <v>185</v>
      </c>
      <c r="CA19" s="75" t="s">
        <v>185</v>
      </c>
      <c r="CB19" s="75" t="s">
        <v>185</v>
      </c>
      <c r="CC19" s="75" t="s">
        <v>185</v>
      </c>
      <c r="CD19" s="75" t="s">
        <v>185</v>
      </c>
      <c r="CE19" s="75" t="s">
        <v>185</v>
      </c>
      <c r="CF19" s="75" t="s">
        <v>185</v>
      </c>
      <c r="CG19" s="75" t="s">
        <v>185</v>
      </c>
      <c r="CH19" s="75" t="s">
        <v>185</v>
      </c>
      <c r="CI19" s="75" t="s">
        <v>185</v>
      </c>
      <c r="CJ19" s="75" t="s">
        <v>185</v>
      </c>
      <c r="CK19" s="75" t="s">
        <v>185</v>
      </c>
      <c r="CL19" s="75" t="s">
        <v>185</v>
      </c>
      <c r="CM19" s="75" t="s">
        <v>185</v>
      </c>
      <c r="CN19" s="75" t="s">
        <v>185</v>
      </c>
      <c r="CO19" s="75" t="s">
        <v>185</v>
      </c>
      <c r="CP19" s="75" t="s">
        <v>185</v>
      </c>
      <c r="CQ19" s="75" t="s">
        <v>185</v>
      </c>
      <c r="CR19" s="75" t="s">
        <v>185</v>
      </c>
      <c r="CS19" s="75" t="s">
        <v>185</v>
      </c>
      <c r="CT19" s="75" t="s">
        <v>185</v>
      </c>
      <c r="CU19" s="75" t="s">
        <v>185</v>
      </c>
      <c r="CV19" s="75" t="s">
        <v>185</v>
      </c>
      <c r="CW19" s="75" t="s">
        <v>185</v>
      </c>
      <c r="CX19" s="75" t="s">
        <v>185</v>
      </c>
      <c r="CY19" s="75" t="s">
        <v>185</v>
      </c>
      <c r="CZ19" s="75" t="s">
        <v>185</v>
      </c>
      <c r="DA19" s="75" t="s">
        <v>185</v>
      </c>
      <c r="DB19" s="75" t="s">
        <v>185</v>
      </c>
      <c r="DC19" s="75" t="s">
        <v>185</v>
      </c>
      <c r="DD19" s="75" t="s">
        <v>185</v>
      </c>
      <c r="DE19" s="75" t="s">
        <v>185</v>
      </c>
      <c r="DF19" s="75" t="s">
        <v>185</v>
      </c>
      <c r="DG19" s="75" t="s">
        <v>185</v>
      </c>
      <c r="DH19" s="75" t="s">
        <v>185</v>
      </c>
      <c r="DI19" s="75" t="s">
        <v>185</v>
      </c>
      <c r="DJ19" s="75" t="s">
        <v>185</v>
      </c>
      <c r="DK19" s="75" t="s">
        <v>185</v>
      </c>
      <c r="DL19" s="75" t="s">
        <v>219</v>
      </c>
      <c r="DM19" s="75" t="s">
        <v>221</v>
      </c>
      <c r="DN19" s="75" t="s">
        <v>141</v>
      </c>
      <c r="DO19" s="75" t="s">
        <v>141</v>
      </c>
      <c r="DP19" s="80"/>
    </row>
    <row r="20" spans="1:143">
      <c r="A20" s="60"/>
      <c r="B20" s="27" t="s">
        <v>181</v>
      </c>
      <c r="C20" s="81" t="s">
        <v>182</v>
      </c>
      <c r="D20" s="75" t="s">
        <v>183</v>
      </c>
      <c r="E20" s="75" t="s">
        <v>222</v>
      </c>
      <c r="F20" s="75" t="s">
        <v>185</v>
      </c>
      <c r="G20" s="75" t="s">
        <v>185</v>
      </c>
      <c r="H20" s="75" t="s">
        <v>185</v>
      </c>
      <c r="I20" s="75" t="s">
        <v>185</v>
      </c>
      <c r="J20" s="75" t="s">
        <v>185</v>
      </c>
      <c r="K20" s="75" t="s">
        <v>185</v>
      </c>
      <c r="L20" s="75" t="s">
        <v>185</v>
      </c>
      <c r="M20" s="75" t="s">
        <v>185</v>
      </c>
      <c r="N20" s="75" t="s">
        <v>222</v>
      </c>
      <c r="O20" s="75" t="s">
        <v>223</v>
      </c>
      <c r="P20" s="75" t="s">
        <v>222</v>
      </c>
      <c r="Q20" s="75" t="s">
        <v>187</v>
      </c>
      <c r="R20" s="75" t="s">
        <v>188</v>
      </c>
      <c r="S20" s="75" t="s">
        <v>222</v>
      </c>
      <c r="T20" s="75" t="s">
        <v>189</v>
      </c>
      <c r="U20" s="75" t="s">
        <v>190</v>
      </c>
      <c r="V20" s="75" t="s">
        <v>191</v>
      </c>
      <c r="W20" s="75" t="s">
        <v>192</v>
      </c>
      <c r="X20" s="75" t="s">
        <v>185</v>
      </c>
      <c r="Y20" s="75" t="s">
        <v>185</v>
      </c>
      <c r="Z20" s="75" t="s">
        <v>185</v>
      </c>
      <c r="AA20" s="75" t="s">
        <v>185</v>
      </c>
      <c r="AB20" s="75" t="s">
        <v>185</v>
      </c>
      <c r="AC20" s="75" t="s">
        <v>185</v>
      </c>
      <c r="AD20" s="75" t="s">
        <v>185</v>
      </c>
      <c r="AE20" s="75" t="s">
        <v>185</v>
      </c>
      <c r="AF20" s="75" t="s">
        <v>185</v>
      </c>
      <c r="AG20" s="75" t="s">
        <v>185</v>
      </c>
      <c r="AH20" s="75" t="s">
        <v>185</v>
      </c>
      <c r="AI20" s="75" t="s">
        <v>185</v>
      </c>
      <c r="AJ20" s="75" t="s">
        <v>185</v>
      </c>
      <c r="AK20" s="75" t="s">
        <v>185</v>
      </c>
      <c r="AL20" s="75" t="s">
        <v>185</v>
      </c>
      <c r="AM20" s="75" t="s">
        <v>185</v>
      </c>
      <c r="AN20" s="75" t="s">
        <v>185</v>
      </c>
      <c r="AO20" s="75" t="s">
        <v>185</v>
      </c>
      <c r="AP20" s="75" t="s">
        <v>185</v>
      </c>
      <c r="AQ20" s="75" t="s">
        <v>185</v>
      </c>
      <c r="AR20" s="75" t="s">
        <v>185</v>
      </c>
      <c r="AS20" s="75" t="s">
        <v>185</v>
      </c>
      <c r="AT20" s="75" t="s">
        <v>185</v>
      </c>
      <c r="AU20" s="75" t="s">
        <v>185</v>
      </c>
      <c r="AV20" s="75" t="s">
        <v>185</v>
      </c>
      <c r="AW20" s="75" t="s">
        <v>185</v>
      </c>
      <c r="AX20" s="75" t="s">
        <v>185</v>
      </c>
      <c r="AY20" s="75" t="s">
        <v>185</v>
      </c>
      <c r="AZ20" s="75" t="s">
        <v>185</v>
      </c>
      <c r="BA20" s="75" t="s">
        <v>185</v>
      </c>
      <c r="BB20" s="75" t="s">
        <v>185</v>
      </c>
      <c r="BC20" s="75" t="s">
        <v>185</v>
      </c>
      <c r="BD20" s="75" t="s">
        <v>185</v>
      </c>
      <c r="BE20" s="75" t="s">
        <v>185</v>
      </c>
      <c r="BF20" s="75" t="s">
        <v>185</v>
      </c>
      <c r="BG20" s="75" t="s">
        <v>185</v>
      </c>
      <c r="BH20" s="75" t="s">
        <v>185</v>
      </c>
      <c r="BI20" s="75" t="s">
        <v>185</v>
      </c>
      <c r="BJ20" s="75" t="s">
        <v>185</v>
      </c>
      <c r="BK20" s="75" t="s">
        <v>185</v>
      </c>
      <c r="BL20" s="75" t="s">
        <v>185</v>
      </c>
      <c r="BM20" s="75" t="s">
        <v>185</v>
      </c>
      <c r="BN20" s="75" t="s">
        <v>185</v>
      </c>
      <c r="BO20" s="75" t="s">
        <v>185</v>
      </c>
      <c r="BP20" s="75" t="s">
        <v>185</v>
      </c>
      <c r="BQ20" s="75" t="s">
        <v>185</v>
      </c>
      <c r="BR20" s="75" t="s">
        <v>185</v>
      </c>
      <c r="BS20" s="75" t="s">
        <v>185</v>
      </c>
      <c r="BT20" s="75" t="s">
        <v>185</v>
      </c>
      <c r="BU20" s="75" t="s">
        <v>185</v>
      </c>
      <c r="BV20" s="75" t="s">
        <v>185</v>
      </c>
      <c r="BW20" s="75" t="s">
        <v>185</v>
      </c>
      <c r="BX20" s="75" t="s">
        <v>185</v>
      </c>
      <c r="BY20" s="75" t="s">
        <v>185</v>
      </c>
      <c r="BZ20" s="75" t="s">
        <v>185</v>
      </c>
      <c r="CA20" s="75" t="s">
        <v>185</v>
      </c>
      <c r="CB20" s="75" t="s">
        <v>185</v>
      </c>
      <c r="CC20" s="75" t="s">
        <v>185</v>
      </c>
      <c r="CD20" s="75" t="s">
        <v>185</v>
      </c>
      <c r="CE20" s="75" t="s">
        <v>185</v>
      </c>
      <c r="CF20" s="75" t="s">
        <v>185</v>
      </c>
      <c r="CG20" s="75" t="s">
        <v>185</v>
      </c>
      <c r="CH20" s="75" t="s">
        <v>185</v>
      </c>
      <c r="CI20" s="75" t="s">
        <v>185</v>
      </c>
      <c r="CJ20" s="75" t="s">
        <v>185</v>
      </c>
      <c r="CK20" s="75" t="s">
        <v>185</v>
      </c>
      <c r="CL20" s="75" t="s">
        <v>185</v>
      </c>
      <c r="CM20" s="75" t="s">
        <v>185</v>
      </c>
      <c r="CN20" s="75" t="s">
        <v>185</v>
      </c>
      <c r="CO20" s="75" t="s">
        <v>185</v>
      </c>
      <c r="CP20" s="75" t="s">
        <v>185</v>
      </c>
      <c r="CQ20" s="75" t="s">
        <v>185</v>
      </c>
      <c r="CR20" s="75" t="s">
        <v>185</v>
      </c>
      <c r="CS20" s="75" t="s">
        <v>185</v>
      </c>
      <c r="CT20" s="75" t="s">
        <v>185</v>
      </c>
      <c r="CU20" s="75" t="s">
        <v>185</v>
      </c>
      <c r="CV20" s="75" t="s">
        <v>185</v>
      </c>
      <c r="CW20" s="75" t="s">
        <v>185</v>
      </c>
      <c r="CX20" s="75" t="s">
        <v>185</v>
      </c>
      <c r="CY20" s="75" t="s">
        <v>185</v>
      </c>
      <c r="CZ20" s="75" t="s">
        <v>185</v>
      </c>
      <c r="DA20" s="75" t="s">
        <v>185</v>
      </c>
      <c r="DB20" s="75" t="s">
        <v>185</v>
      </c>
      <c r="DC20" s="75" t="s">
        <v>185</v>
      </c>
      <c r="DD20" s="75" t="s">
        <v>185</v>
      </c>
      <c r="DE20" s="75" t="s">
        <v>185</v>
      </c>
      <c r="DF20" s="75" t="s">
        <v>185</v>
      </c>
      <c r="DG20" s="75" t="s">
        <v>185</v>
      </c>
      <c r="DH20" s="75" t="s">
        <v>185</v>
      </c>
      <c r="DI20" s="75" t="s">
        <v>185</v>
      </c>
      <c r="DJ20" s="75" t="s">
        <v>185</v>
      </c>
      <c r="DK20" s="75" t="s">
        <v>185</v>
      </c>
      <c r="DL20" s="75" t="s">
        <v>222</v>
      </c>
      <c r="DM20" s="75" t="s">
        <v>224</v>
      </c>
      <c r="DN20" s="75" t="s">
        <v>141</v>
      </c>
      <c r="DO20" s="75" t="s">
        <v>141</v>
      </c>
      <c r="DP20" s="80"/>
    </row>
    <row r="21" spans="1:143">
      <c r="A21" s="60"/>
      <c r="B21" s="27" t="s">
        <v>181</v>
      </c>
      <c r="C21" s="81" t="s">
        <v>182</v>
      </c>
      <c r="D21" s="75" t="s">
        <v>183</v>
      </c>
      <c r="E21" s="75" t="s">
        <v>225</v>
      </c>
      <c r="F21" s="75" t="s">
        <v>185</v>
      </c>
      <c r="G21" s="75" t="s">
        <v>185</v>
      </c>
      <c r="H21" s="75" t="s">
        <v>185</v>
      </c>
      <c r="I21" s="75" t="s">
        <v>185</v>
      </c>
      <c r="J21" s="75" t="s">
        <v>185</v>
      </c>
      <c r="K21" s="75" t="s">
        <v>185</v>
      </c>
      <c r="L21" s="75" t="s">
        <v>185</v>
      </c>
      <c r="M21" s="75" t="s">
        <v>185</v>
      </c>
      <c r="N21" s="75" t="s">
        <v>225</v>
      </c>
      <c r="O21" s="75" t="s">
        <v>226</v>
      </c>
      <c r="P21" s="75" t="s">
        <v>225</v>
      </c>
      <c r="Q21" s="75" t="s">
        <v>187</v>
      </c>
      <c r="R21" s="75" t="s">
        <v>188</v>
      </c>
      <c r="S21" s="75" t="s">
        <v>225</v>
      </c>
      <c r="T21" s="75" t="s">
        <v>189</v>
      </c>
      <c r="U21" s="75" t="s">
        <v>190</v>
      </c>
      <c r="V21" s="75" t="s">
        <v>191</v>
      </c>
      <c r="W21" s="75" t="s">
        <v>192</v>
      </c>
      <c r="X21" s="75" t="s">
        <v>185</v>
      </c>
      <c r="Y21" s="75" t="s">
        <v>185</v>
      </c>
      <c r="Z21" s="75" t="s">
        <v>185</v>
      </c>
      <c r="AA21" s="75" t="s">
        <v>185</v>
      </c>
      <c r="AB21" s="75" t="s">
        <v>185</v>
      </c>
      <c r="AC21" s="75" t="s">
        <v>185</v>
      </c>
      <c r="AD21" s="75" t="s">
        <v>185</v>
      </c>
      <c r="AE21" s="75" t="s">
        <v>185</v>
      </c>
      <c r="AF21" s="75" t="s">
        <v>185</v>
      </c>
      <c r="AG21" s="75" t="s">
        <v>185</v>
      </c>
      <c r="AH21" s="75" t="s">
        <v>185</v>
      </c>
      <c r="AI21" s="75" t="s">
        <v>185</v>
      </c>
      <c r="AJ21" s="75" t="s">
        <v>185</v>
      </c>
      <c r="AK21" s="75" t="s">
        <v>185</v>
      </c>
      <c r="AL21" s="75" t="s">
        <v>185</v>
      </c>
      <c r="AM21" s="75" t="s">
        <v>185</v>
      </c>
      <c r="AN21" s="75" t="s">
        <v>185</v>
      </c>
      <c r="AO21" s="75" t="s">
        <v>185</v>
      </c>
      <c r="AP21" s="75" t="s">
        <v>185</v>
      </c>
      <c r="AQ21" s="75" t="s">
        <v>185</v>
      </c>
      <c r="AR21" s="75" t="s">
        <v>185</v>
      </c>
      <c r="AS21" s="75" t="s">
        <v>185</v>
      </c>
      <c r="AT21" s="75" t="s">
        <v>185</v>
      </c>
      <c r="AU21" s="75" t="s">
        <v>185</v>
      </c>
      <c r="AV21" s="75" t="s">
        <v>185</v>
      </c>
      <c r="AW21" s="75" t="s">
        <v>185</v>
      </c>
      <c r="AX21" s="75" t="s">
        <v>185</v>
      </c>
      <c r="AY21" s="75" t="s">
        <v>185</v>
      </c>
      <c r="AZ21" s="75" t="s">
        <v>185</v>
      </c>
      <c r="BA21" s="75" t="s">
        <v>185</v>
      </c>
      <c r="BB21" s="75" t="s">
        <v>185</v>
      </c>
      <c r="BC21" s="75" t="s">
        <v>185</v>
      </c>
      <c r="BD21" s="75" t="s">
        <v>185</v>
      </c>
      <c r="BE21" s="75" t="s">
        <v>185</v>
      </c>
      <c r="BF21" s="75" t="s">
        <v>185</v>
      </c>
      <c r="BG21" s="75" t="s">
        <v>185</v>
      </c>
      <c r="BH21" s="75" t="s">
        <v>185</v>
      </c>
      <c r="BI21" s="75" t="s">
        <v>185</v>
      </c>
      <c r="BJ21" s="75" t="s">
        <v>185</v>
      </c>
      <c r="BK21" s="75" t="s">
        <v>185</v>
      </c>
      <c r="BL21" s="75" t="s">
        <v>185</v>
      </c>
      <c r="BM21" s="75" t="s">
        <v>185</v>
      </c>
      <c r="BN21" s="75" t="s">
        <v>185</v>
      </c>
      <c r="BO21" s="75" t="s">
        <v>185</v>
      </c>
      <c r="BP21" s="75" t="s">
        <v>185</v>
      </c>
      <c r="BQ21" s="75" t="s">
        <v>185</v>
      </c>
      <c r="BR21" s="75" t="s">
        <v>185</v>
      </c>
      <c r="BS21" s="75" t="s">
        <v>185</v>
      </c>
      <c r="BT21" s="75" t="s">
        <v>185</v>
      </c>
      <c r="BU21" s="75" t="s">
        <v>185</v>
      </c>
      <c r="BV21" s="75" t="s">
        <v>185</v>
      </c>
      <c r="BW21" s="75" t="s">
        <v>185</v>
      </c>
      <c r="BX21" s="75" t="s">
        <v>185</v>
      </c>
      <c r="BY21" s="75" t="s">
        <v>185</v>
      </c>
      <c r="BZ21" s="75" t="s">
        <v>185</v>
      </c>
      <c r="CA21" s="75" t="s">
        <v>185</v>
      </c>
      <c r="CB21" s="75" t="s">
        <v>185</v>
      </c>
      <c r="CC21" s="75" t="s">
        <v>185</v>
      </c>
      <c r="CD21" s="75" t="s">
        <v>185</v>
      </c>
      <c r="CE21" s="75" t="s">
        <v>185</v>
      </c>
      <c r="CF21" s="75" t="s">
        <v>185</v>
      </c>
      <c r="CG21" s="75" t="s">
        <v>185</v>
      </c>
      <c r="CH21" s="75" t="s">
        <v>185</v>
      </c>
      <c r="CI21" s="75" t="s">
        <v>185</v>
      </c>
      <c r="CJ21" s="75" t="s">
        <v>185</v>
      </c>
      <c r="CK21" s="75" t="s">
        <v>185</v>
      </c>
      <c r="CL21" s="75" t="s">
        <v>185</v>
      </c>
      <c r="CM21" s="75" t="s">
        <v>185</v>
      </c>
      <c r="CN21" s="75" t="s">
        <v>185</v>
      </c>
      <c r="CO21" s="75" t="s">
        <v>185</v>
      </c>
      <c r="CP21" s="75" t="s">
        <v>185</v>
      </c>
      <c r="CQ21" s="75" t="s">
        <v>185</v>
      </c>
      <c r="CR21" s="75" t="s">
        <v>185</v>
      </c>
      <c r="CS21" s="75" t="s">
        <v>185</v>
      </c>
      <c r="CT21" s="75" t="s">
        <v>185</v>
      </c>
      <c r="CU21" s="75" t="s">
        <v>185</v>
      </c>
      <c r="CV21" s="75" t="s">
        <v>185</v>
      </c>
      <c r="CW21" s="75" t="s">
        <v>185</v>
      </c>
      <c r="CX21" s="75" t="s">
        <v>185</v>
      </c>
      <c r="CY21" s="75" t="s">
        <v>185</v>
      </c>
      <c r="CZ21" s="75" t="s">
        <v>185</v>
      </c>
      <c r="DA21" s="75" t="s">
        <v>185</v>
      </c>
      <c r="DB21" s="75" t="s">
        <v>185</v>
      </c>
      <c r="DC21" s="75" t="s">
        <v>185</v>
      </c>
      <c r="DD21" s="75" t="s">
        <v>185</v>
      </c>
      <c r="DE21" s="75" t="s">
        <v>185</v>
      </c>
      <c r="DF21" s="75" t="s">
        <v>185</v>
      </c>
      <c r="DG21" s="75" t="s">
        <v>185</v>
      </c>
      <c r="DH21" s="75" t="s">
        <v>185</v>
      </c>
      <c r="DI21" s="75" t="s">
        <v>185</v>
      </c>
      <c r="DJ21" s="75" t="s">
        <v>185</v>
      </c>
      <c r="DK21" s="75" t="s">
        <v>185</v>
      </c>
      <c r="DL21" s="75" t="s">
        <v>225</v>
      </c>
      <c r="DM21" s="75" t="s">
        <v>227</v>
      </c>
      <c r="DN21" s="75" t="s">
        <v>141</v>
      </c>
      <c r="DO21" s="75" t="s">
        <v>141</v>
      </c>
      <c r="DP21" s="80"/>
    </row>
    <row r="22" spans="1:143">
      <c r="A22" s="60"/>
      <c r="B22" s="27" t="s">
        <v>181</v>
      </c>
      <c r="C22" s="81" t="s">
        <v>182</v>
      </c>
      <c r="D22" s="75" t="s">
        <v>183</v>
      </c>
      <c r="E22" s="75" t="s">
        <v>228</v>
      </c>
      <c r="F22" s="75" t="s">
        <v>185</v>
      </c>
      <c r="G22" s="75" t="s">
        <v>185</v>
      </c>
      <c r="H22" s="75" t="s">
        <v>185</v>
      </c>
      <c r="I22" s="75" t="s">
        <v>185</v>
      </c>
      <c r="J22" s="75" t="s">
        <v>185</v>
      </c>
      <c r="K22" s="75" t="s">
        <v>185</v>
      </c>
      <c r="L22" s="75" t="s">
        <v>185</v>
      </c>
      <c r="M22" s="75" t="s">
        <v>185</v>
      </c>
      <c r="N22" s="75" t="s">
        <v>228</v>
      </c>
      <c r="O22" s="75" t="s">
        <v>229</v>
      </c>
      <c r="P22" s="75" t="s">
        <v>228</v>
      </c>
      <c r="Q22" s="75" t="s">
        <v>187</v>
      </c>
      <c r="R22" s="75" t="s">
        <v>188</v>
      </c>
      <c r="S22" s="75" t="s">
        <v>228</v>
      </c>
      <c r="T22" s="75" t="s">
        <v>189</v>
      </c>
      <c r="U22" s="75" t="s">
        <v>190</v>
      </c>
      <c r="V22" s="75" t="s">
        <v>191</v>
      </c>
      <c r="W22" s="75" t="s">
        <v>192</v>
      </c>
      <c r="X22" s="75" t="s">
        <v>185</v>
      </c>
      <c r="Y22" s="75" t="s">
        <v>185</v>
      </c>
      <c r="Z22" s="75" t="s">
        <v>185</v>
      </c>
      <c r="AA22" s="75" t="s">
        <v>185</v>
      </c>
      <c r="AB22" s="75" t="s">
        <v>185</v>
      </c>
      <c r="AC22" s="75" t="s">
        <v>185</v>
      </c>
      <c r="AD22" s="75" t="s">
        <v>185</v>
      </c>
      <c r="AE22" s="75" t="s">
        <v>185</v>
      </c>
      <c r="AF22" s="75" t="s">
        <v>185</v>
      </c>
      <c r="AG22" s="75" t="s">
        <v>185</v>
      </c>
      <c r="AH22" s="75" t="s">
        <v>185</v>
      </c>
      <c r="AI22" s="75" t="s">
        <v>185</v>
      </c>
      <c r="AJ22" s="75" t="s">
        <v>185</v>
      </c>
      <c r="AK22" s="75" t="s">
        <v>185</v>
      </c>
      <c r="AL22" s="75" t="s">
        <v>185</v>
      </c>
      <c r="AM22" s="75" t="s">
        <v>185</v>
      </c>
      <c r="AN22" s="75" t="s">
        <v>185</v>
      </c>
      <c r="AO22" s="75" t="s">
        <v>185</v>
      </c>
      <c r="AP22" s="75" t="s">
        <v>185</v>
      </c>
      <c r="AQ22" s="75" t="s">
        <v>185</v>
      </c>
      <c r="AR22" s="75" t="s">
        <v>185</v>
      </c>
      <c r="AS22" s="75" t="s">
        <v>185</v>
      </c>
      <c r="AT22" s="75" t="s">
        <v>185</v>
      </c>
      <c r="AU22" s="75" t="s">
        <v>185</v>
      </c>
      <c r="AV22" s="75" t="s">
        <v>185</v>
      </c>
      <c r="AW22" s="75" t="s">
        <v>185</v>
      </c>
      <c r="AX22" s="75" t="s">
        <v>185</v>
      </c>
      <c r="AY22" s="75" t="s">
        <v>185</v>
      </c>
      <c r="AZ22" s="75" t="s">
        <v>185</v>
      </c>
      <c r="BA22" s="75" t="s">
        <v>185</v>
      </c>
      <c r="BB22" s="75" t="s">
        <v>185</v>
      </c>
      <c r="BC22" s="75" t="s">
        <v>185</v>
      </c>
      <c r="BD22" s="75" t="s">
        <v>185</v>
      </c>
      <c r="BE22" s="75" t="s">
        <v>185</v>
      </c>
      <c r="BF22" s="75" t="s">
        <v>185</v>
      </c>
      <c r="BG22" s="75" t="s">
        <v>185</v>
      </c>
      <c r="BH22" s="75" t="s">
        <v>185</v>
      </c>
      <c r="BI22" s="75" t="s">
        <v>185</v>
      </c>
      <c r="BJ22" s="75" t="s">
        <v>185</v>
      </c>
      <c r="BK22" s="75" t="s">
        <v>185</v>
      </c>
      <c r="BL22" s="75" t="s">
        <v>185</v>
      </c>
      <c r="BM22" s="75" t="s">
        <v>185</v>
      </c>
      <c r="BN22" s="75" t="s">
        <v>185</v>
      </c>
      <c r="BO22" s="75" t="s">
        <v>185</v>
      </c>
      <c r="BP22" s="75" t="s">
        <v>185</v>
      </c>
      <c r="BQ22" s="75" t="s">
        <v>185</v>
      </c>
      <c r="BR22" s="75" t="s">
        <v>185</v>
      </c>
      <c r="BS22" s="75" t="s">
        <v>185</v>
      </c>
      <c r="BT22" s="75" t="s">
        <v>185</v>
      </c>
      <c r="BU22" s="75" t="s">
        <v>185</v>
      </c>
      <c r="BV22" s="75" t="s">
        <v>185</v>
      </c>
      <c r="BW22" s="75" t="s">
        <v>185</v>
      </c>
      <c r="BX22" s="75" t="s">
        <v>185</v>
      </c>
      <c r="BY22" s="75" t="s">
        <v>185</v>
      </c>
      <c r="BZ22" s="75" t="s">
        <v>185</v>
      </c>
      <c r="CA22" s="75" t="s">
        <v>185</v>
      </c>
      <c r="CB22" s="75" t="s">
        <v>185</v>
      </c>
      <c r="CC22" s="75" t="s">
        <v>185</v>
      </c>
      <c r="CD22" s="75" t="s">
        <v>185</v>
      </c>
      <c r="CE22" s="75" t="s">
        <v>185</v>
      </c>
      <c r="CF22" s="75" t="s">
        <v>185</v>
      </c>
      <c r="CG22" s="75" t="s">
        <v>185</v>
      </c>
      <c r="CH22" s="75" t="s">
        <v>185</v>
      </c>
      <c r="CI22" s="75" t="s">
        <v>185</v>
      </c>
      <c r="CJ22" s="75" t="s">
        <v>185</v>
      </c>
      <c r="CK22" s="75" t="s">
        <v>185</v>
      </c>
      <c r="CL22" s="75" t="s">
        <v>185</v>
      </c>
      <c r="CM22" s="75" t="s">
        <v>185</v>
      </c>
      <c r="CN22" s="75" t="s">
        <v>185</v>
      </c>
      <c r="CO22" s="75" t="s">
        <v>185</v>
      </c>
      <c r="CP22" s="75" t="s">
        <v>185</v>
      </c>
      <c r="CQ22" s="75" t="s">
        <v>185</v>
      </c>
      <c r="CR22" s="75" t="s">
        <v>185</v>
      </c>
      <c r="CS22" s="75" t="s">
        <v>185</v>
      </c>
      <c r="CT22" s="75" t="s">
        <v>185</v>
      </c>
      <c r="CU22" s="75" t="s">
        <v>185</v>
      </c>
      <c r="CV22" s="75" t="s">
        <v>185</v>
      </c>
      <c r="CW22" s="75" t="s">
        <v>185</v>
      </c>
      <c r="CX22" s="75" t="s">
        <v>185</v>
      </c>
      <c r="CY22" s="75" t="s">
        <v>185</v>
      </c>
      <c r="CZ22" s="75" t="s">
        <v>185</v>
      </c>
      <c r="DA22" s="75" t="s">
        <v>185</v>
      </c>
      <c r="DB22" s="75" t="s">
        <v>185</v>
      </c>
      <c r="DC22" s="75" t="s">
        <v>185</v>
      </c>
      <c r="DD22" s="75" t="s">
        <v>185</v>
      </c>
      <c r="DE22" s="75" t="s">
        <v>185</v>
      </c>
      <c r="DF22" s="75" t="s">
        <v>185</v>
      </c>
      <c r="DG22" s="75" t="s">
        <v>185</v>
      </c>
      <c r="DH22" s="75" t="s">
        <v>185</v>
      </c>
      <c r="DI22" s="75" t="s">
        <v>185</v>
      </c>
      <c r="DJ22" s="75" t="s">
        <v>185</v>
      </c>
      <c r="DK22" s="75" t="s">
        <v>185</v>
      </c>
      <c r="DL22" s="75" t="s">
        <v>228</v>
      </c>
      <c r="DM22" s="75" t="s">
        <v>230</v>
      </c>
      <c r="DN22" s="75" t="s">
        <v>141</v>
      </c>
      <c r="DO22" s="75" t="s">
        <v>141</v>
      </c>
      <c r="DP22" s="80"/>
    </row>
    <row r="23" spans="1:143">
      <c r="A23" s="60"/>
      <c r="B23" s="27" t="s">
        <v>181</v>
      </c>
      <c r="C23" s="81" t="s">
        <v>182</v>
      </c>
      <c r="D23" s="75" t="s">
        <v>183</v>
      </c>
      <c r="E23" s="75" t="s">
        <v>231</v>
      </c>
      <c r="F23" s="75" t="s">
        <v>185</v>
      </c>
      <c r="G23" s="75" t="s">
        <v>185</v>
      </c>
      <c r="H23" s="75" t="s">
        <v>185</v>
      </c>
      <c r="I23" s="75" t="s">
        <v>185</v>
      </c>
      <c r="J23" s="75" t="s">
        <v>185</v>
      </c>
      <c r="K23" s="75" t="s">
        <v>185</v>
      </c>
      <c r="L23" s="75" t="s">
        <v>185</v>
      </c>
      <c r="M23" s="75" t="s">
        <v>185</v>
      </c>
      <c r="N23" s="75" t="s">
        <v>231</v>
      </c>
      <c r="O23" s="75" t="s">
        <v>195</v>
      </c>
      <c r="P23" s="75" t="s">
        <v>231</v>
      </c>
      <c r="Q23" s="75" t="s">
        <v>187</v>
      </c>
      <c r="R23" s="75" t="s">
        <v>188</v>
      </c>
      <c r="S23" s="75" t="s">
        <v>231</v>
      </c>
      <c r="T23" s="75" t="s">
        <v>189</v>
      </c>
      <c r="U23" s="75" t="s">
        <v>190</v>
      </c>
      <c r="V23" s="75" t="s">
        <v>191</v>
      </c>
      <c r="W23" s="75" t="s">
        <v>192</v>
      </c>
      <c r="X23" s="75" t="s">
        <v>185</v>
      </c>
      <c r="Y23" s="75" t="s">
        <v>185</v>
      </c>
      <c r="Z23" s="75" t="s">
        <v>185</v>
      </c>
      <c r="AA23" s="75" t="s">
        <v>185</v>
      </c>
      <c r="AB23" s="75" t="s">
        <v>185</v>
      </c>
      <c r="AC23" s="75" t="s">
        <v>185</v>
      </c>
      <c r="AD23" s="75" t="s">
        <v>185</v>
      </c>
      <c r="AE23" s="75" t="s">
        <v>185</v>
      </c>
      <c r="AF23" s="75" t="s">
        <v>185</v>
      </c>
      <c r="AG23" s="75" t="s">
        <v>185</v>
      </c>
      <c r="AH23" s="75" t="s">
        <v>185</v>
      </c>
      <c r="AI23" s="75" t="s">
        <v>185</v>
      </c>
      <c r="AJ23" s="75" t="s">
        <v>185</v>
      </c>
      <c r="AK23" s="75" t="s">
        <v>185</v>
      </c>
      <c r="AL23" s="75" t="s">
        <v>185</v>
      </c>
      <c r="AM23" s="75" t="s">
        <v>185</v>
      </c>
      <c r="AN23" s="75" t="s">
        <v>185</v>
      </c>
      <c r="AO23" s="75" t="s">
        <v>185</v>
      </c>
      <c r="AP23" s="75" t="s">
        <v>185</v>
      </c>
      <c r="AQ23" s="75" t="s">
        <v>185</v>
      </c>
      <c r="AR23" s="75" t="s">
        <v>185</v>
      </c>
      <c r="AS23" s="75" t="s">
        <v>185</v>
      </c>
      <c r="AT23" s="75" t="s">
        <v>185</v>
      </c>
      <c r="AU23" s="75" t="s">
        <v>185</v>
      </c>
      <c r="AV23" s="75" t="s">
        <v>185</v>
      </c>
      <c r="AW23" s="75" t="s">
        <v>185</v>
      </c>
      <c r="AX23" s="75" t="s">
        <v>185</v>
      </c>
      <c r="AY23" s="75" t="s">
        <v>185</v>
      </c>
      <c r="AZ23" s="75" t="s">
        <v>185</v>
      </c>
      <c r="BA23" s="75" t="s">
        <v>185</v>
      </c>
      <c r="BB23" s="75" t="s">
        <v>185</v>
      </c>
      <c r="BC23" s="75" t="s">
        <v>185</v>
      </c>
      <c r="BD23" s="75" t="s">
        <v>185</v>
      </c>
      <c r="BE23" s="75" t="s">
        <v>185</v>
      </c>
      <c r="BF23" s="75" t="s">
        <v>185</v>
      </c>
      <c r="BG23" s="75" t="s">
        <v>185</v>
      </c>
      <c r="BH23" s="75" t="s">
        <v>185</v>
      </c>
      <c r="BI23" s="75" t="s">
        <v>185</v>
      </c>
      <c r="BJ23" s="75" t="s">
        <v>185</v>
      </c>
      <c r="BK23" s="75" t="s">
        <v>185</v>
      </c>
      <c r="BL23" s="75" t="s">
        <v>185</v>
      </c>
      <c r="BM23" s="75" t="s">
        <v>185</v>
      </c>
      <c r="BN23" s="75" t="s">
        <v>185</v>
      </c>
      <c r="BO23" s="75" t="s">
        <v>185</v>
      </c>
      <c r="BP23" s="75" t="s">
        <v>185</v>
      </c>
      <c r="BQ23" s="75" t="s">
        <v>185</v>
      </c>
      <c r="BR23" s="75" t="s">
        <v>185</v>
      </c>
      <c r="BS23" s="75" t="s">
        <v>185</v>
      </c>
      <c r="BT23" s="75" t="s">
        <v>185</v>
      </c>
      <c r="BU23" s="75" t="s">
        <v>185</v>
      </c>
      <c r="BV23" s="75" t="s">
        <v>185</v>
      </c>
      <c r="BW23" s="75" t="s">
        <v>185</v>
      </c>
      <c r="BX23" s="75" t="s">
        <v>185</v>
      </c>
      <c r="BY23" s="75" t="s">
        <v>185</v>
      </c>
      <c r="BZ23" s="75" t="s">
        <v>185</v>
      </c>
      <c r="CA23" s="75" t="s">
        <v>185</v>
      </c>
      <c r="CB23" s="75" t="s">
        <v>185</v>
      </c>
      <c r="CC23" s="75" t="s">
        <v>185</v>
      </c>
      <c r="CD23" s="75" t="s">
        <v>185</v>
      </c>
      <c r="CE23" s="75" t="s">
        <v>185</v>
      </c>
      <c r="CF23" s="75" t="s">
        <v>185</v>
      </c>
      <c r="CG23" s="75" t="s">
        <v>185</v>
      </c>
      <c r="CH23" s="75" t="s">
        <v>185</v>
      </c>
      <c r="CI23" s="75" t="s">
        <v>185</v>
      </c>
      <c r="CJ23" s="75" t="s">
        <v>185</v>
      </c>
      <c r="CK23" s="75" t="s">
        <v>185</v>
      </c>
      <c r="CL23" s="75" t="s">
        <v>185</v>
      </c>
      <c r="CM23" s="75" t="s">
        <v>185</v>
      </c>
      <c r="CN23" s="75" t="s">
        <v>185</v>
      </c>
      <c r="CO23" s="75" t="s">
        <v>185</v>
      </c>
      <c r="CP23" s="75" t="s">
        <v>185</v>
      </c>
      <c r="CQ23" s="75" t="s">
        <v>185</v>
      </c>
      <c r="CR23" s="75" t="s">
        <v>185</v>
      </c>
      <c r="CS23" s="75" t="s">
        <v>185</v>
      </c>
      <c r="CT23" s="75" t="s">
        <v>185</v>
      </c>
      <c r="CU23" s="75" t="s">
        <v>185</v>
      </c>
      <c r="CV23" s="75" t="s">
        <v>185</v>
      </c>
      <c r="CW23" s="75" t="s">
        <v>185</v>
      </c>
      <c r="CX23" s="75" t="s">
        <v>185</v>
      </c>
      <c r="CY23" s="75" t="s">
        <v>185</v>
      </c>
      <c r="CZ23" s="75" t="s">
        <v>185</v>
      </c>
      <c r="DA23" s="75" t="s">
        <v>185</v>
      </c>
      <c r="DB23" s="75" t="s">
        <v>185</v>
      </c>
      <c r="DC23" s="75" t="s">
        <v>185</v>
      </c>
      <c r="DD23" s="75" t="s">
        <v>185</v>
      </c>
      <c r="DE23" s="75" t="s">
        <v>185</v>
      </c>
      <c r="DF23" s="75" t="s">
        <v>185</v>
      </c>
      <c r="DG23" s="75" t="s">
        <v>185</v>
      </c>
      <c r="DH23" s="75" t="s">
        <v>185</v>
      </c>
      <c r="DI23" s="75" t="s">
        <v>185</v>
      </c>
      <c r="DJ23" s="75" t="s">
        <v>185</v>
      </c>
      <c r="DK23" s="75" t="s">
        <v>185</v>
      </c>
      <c r="DL23" s="75" t="s">
        <v>231</v>
      </c>
      <c r="DM23" s="75" t="s">
        <v>232</v>
      </c>
      <c r="DN23" s="75" t="s">
        <v>141</v>
      </c>
      <c r="DO23" s="75" t="s">
        <v>141</v>
      </c>
      <c r="DP23" s="80"/>
    </row>
    <row r="24" spans="1:143">
      <c r="A24" s="60"/>
      <c r="B24" s="27" t="s">
        <v>181</v>
      </c>
      <c r="C24" s="81" t="s">
        <v>182</v>
      </c>
      <c r="D24" s="75" t="s">
        <v>183</v>
      </c>
      <c r="E24" s="75" t="s">
        <v>233</v>
      </c>
      <c r="F24" s="75" t="s">
        <v>185</v>
      </c>
      <c r="G24" s="75" t="s">
        <v>185</v>
      </c>
      <c r="H24" s="75" t="s">
        <v>185</v>
      </c>
      <c r="I24" s="75" t="s">
        <v>185</v>
      </c>
      <c r="J24" s="75" t="s">
        <v>185</v>
      </c>
      <c r="K24" s="75" t="s">
        <v>185</v>
      </c>
      <c r="L24" s="75" t="s">
        <v>185</v>
      </c>
      <c r="M24" s="75" t="s">
        <v>185</v>
      </c>
      <c r="N24" s="75" t="s">
        <v>233</v>
      </c>
      <c r="O24" s="75" t="s">
        <v>234</v>
      </c>
      <c r="P24" s="75" t="s">
        <v>233</v>
      </c>
      <c r="Q24" s="75" t="s">
        <v>187</v>
      </c>
      <c r="R24" s="75" t="s">
        <v>188</v>
      </c>
      <c r="S24" s="75" t="s">
        <v>233</v>
      </c>
      <c r="T24" s="75" t="s">
        <v>189</v>
      </c>
      <c r="U24" s="75" t="s">
        <v>190</v>
      </c>
      <c r="V24" s="75" t="s">
        <v>191</v>
      </c>
      <c r="W24" s="75" t="s">
        <v>192</v>
      </c>
      <c r="X24" s="75" t="s">
        <v>185</v>
      </c>
      <c r="Y24" s="75" t="s">
        <v>185</v>
      </c>
      <c r="Z24" s="75" t="s">
        <v>185</v>
      </c>
      <c r="AA24" s="75" t="s">
        <v>185</v>
      </c>
      <c r="AB24" s="75" t="s">
        <v>185</v>
      </c>
      <c r="AC24" s="75" t="s">
        <v>185</v>
      </c>
      <c r="AD24" s="75" t="s">
        <v>185</v>
      </c>
      <c r="AE24" s="75" t="s">
        <v>185</v>
      </c>
      <c r="AF24" s="75" t="s">
        <v>185</v>
      </c>
      <c r="AG24" s="75" t="s">
        <v>185</v>
      </c>
      <c r="AH24" s="75" t="s">
        <v>185</v>
      </c>
      <c r="AI24" s="75" t="s">
        <v>185</v>
      </c>
      <c r="AJ24" s="75" t="s">
        <v>185</v>
      </c>
      <c r="AK24" s="75" t="s">
        <v>185</v>
      </c>
      <c r="AL24" s="75" t="s">
        <v>185</v>
      </c>
      <c r="AM24" s="75" t="s">
        <v>185</v>
      </c>
      <c r="AN24" s="75" t="s">
        <v>185</v>
      </c>
      <c r="AO24" s="75" t="s">
        <v>185</v>
      </c>
      <c r="AP24" s="75" t="s">
        <v>185</v>
      </c>
      <c r="AQ24" s="75" t="s">
        <v>185</v>
      </c>
      <c r="AR24" s="75" t="s">
        <v>185</v>
      </c>
      <c r="AS24" s="75" t="s">
        <v>185</v>
      </c>
      <c r="AT24" s="75" t="s">
        <v>185</v>
      </c>
      <c r="AU24" s="75" t="s">
        <v>185</v>
      </c>
      <c r="AV24" s="75" t="s">
        <v>185</v>
      </c>
      <c r="AW24" s="75" t="s">
        <v>185</v>
      </c>
      <c r="AX24" s="75" t="s">
        <v>185</v>
      </c>
      <c r="AY24" s="75" t="s">
        <v>185</v>
      </c>
      <c r="AZ24" s="75" t="s">
        <v>185</v>
      </c>
      <c r="BA24" s="75" t="s">
        <v>185</v>
      </c>
      <c r="BB24" s="75" t="s">
        <v>185</v>
      </c>
      <c r="BC24" s="75" t="s">
        <v>185</v>
      </c>
      <c r="BD24" s="75" t="s">
        <v>185</v>
      </c>
      <c r="BE24" s="75" t="s">
        <v>185</v>
      </c>
      <c r="BF24" s="75" t="s">
        <v>185</v>
      </c>
      <c r="BG24" s="75" t="s">
        <v>185</v>
      </c>
      <c r="BH24" s="75" t="s">
        <v>185</v>
      </c>
      <c r="BI24" s="75" t="s">
        <v>185</v>
      </c>
      <c r="BJ24" s="75" t="s">
        <v>185</v>
      </c>
      <c r="BK24" s="75" t="s">
        <v>185</v>
      </c>
      <c r="BL24" s="75" t="s">
        <v>185</v>
      </c>
      <c r="BM24" s="75" t="s">
        <v>185</v>
      </c>
      <c r="BN24" s="75" t="s">
        <v>185</v>
      </c>
      <c r="BO24" s="75" t="s">
        <v>185</v>
      </c>
      <c r="BP24" s="75" t="s">
        <v>185</v>
      </c>
      <c r="BQ24" s="75" t="s">
        <v>185</v>
      </c>
      <c r="BR24" s="75" t="s">
        <v>185</v>
      </c>
      <c r="BS24" s="75" t="s">
        <v>185</v>
      </c>
      <c r="BT24" s="75" t="s">
        <v>185</v>
      </c>
      <c r="BU24" s="75" t="s">
        <v>185</v>
      </c>
      <c r="BV24" s="75" t="s">
        <v>185</v>
      </c>
      <c r="BW24" s="75" t="s">
        <v>185</v>
      </c>
      <c r="BX24" s="75" t="s">
        <v>185</v>
      </c>
      <c r="BY24" s="75" t="s">
        <v>185</v>
      </c>
      <c r="BZ24" s="75" t="s">
        <v>185</v>
      </c>
      <c r="CA24" s="75" t="s">
        <v>185</v>
      </c>
      <c r="CB24" s="75" t="s">
        <v>185</v>
      </c>
      <c r="CC24" s="75" t="s">
        <v>185</v>
      </c>
      <c r="CD24" s="75" t="s">
        <v>185</v>
      </c>
      <c r="CE24" s="75" t="s">
        <v>185</v>
      </c>
      <c r="CF24" s="75" t="s">
        <v>185</v>
      </c>
      <c r="CG24" s="75" t="s">
        <v>185</v>
      </c>
      <c r="CH24" s="75" t="s">
        <v>185</v>
      </c>
      <c r="CI24" s="75" t="s">
        <v>185</v>
      </c>
      <c r="CJ24" s="75" t="s">
        <v>185</v>
      </c>
      <c r="CK24" s="75" t="s">
        <v>185</v>
      </c>
      <c r="CL24" s="75" t="s">
        <v>185</v>
      </c>
      <c r="CM24" s="75" t="s">
        <v>185</v>
      </c>
      <c r="CN24" s="75" t="s">
        <v>185</v>
      </c>
      <c r="CO24" s="75" t="s">
        <v>185</v>
      </c>
      <c r="CP24" s="75" t="s">
        <v>185</v>
      </c>
      <c r="CQ24" s="75" t="s">
        <v>185</v>
      </c>
      <c r="CR24" s="75" t="s">
        <v>185</v>
      </c>
      <c r="CS24" s="75" t="s">
        <v>185</v>
      </c>
      <c r="CT24" s="75" t="s">
        <v>185</v>
      </c>
      <c r="CU24" s="75" t="s">
        <v>185</v>
      </c>
      <c r="CV24" s="75" t="s">
        <v>185</v>
      </c>
      <c r="CW24" s="75" t="s">
        <v>185</v>
      </c>
      <c r="CX24" s="75" t="s">
        <v>185</v>
      </c>
      <c r="CY24" s="75" t="s">
        <v>185</v>
      </c>
      <c r="CZ24" s="75" t="s">
        <v>185</v>
      </c>
      <c r="DA24" s="75" t="s">
        <v>185</v>
      </c>
      <c r="DB24" s="75" t="s">
        <v>185</v>
      </c>
      <c r="DC24" s="75" t="s">
        <v>185</v>
      </c>
      <c r="DD24" s="75" t="s">
        <v>185</v>
      </c>
      <c r="DE24" s="75" t="s">
        <v>185</v>
      </c>
      <c r="DF24" s="75" t="s">
        <v>185</v>
      </c>
      <c r="DG24" s="75" t="s">
        <v>185</v>
      </c>
      <c r="DH24" s="75" t="s">
        <v>185</v>
      </c>
      <c r="DI24" s="75" t="s">
        <v>185</v>
      </c>
      <c r="DJ24" s="75" t="s">
        <v>185</v>
      </c>
      <c r="DK24" s="75" t="s">
        <v>185</v>
      </c>
      <c r="DL24" s="75" t="s">
        <v>233</v>
      </c>
      <c r="DM24" s="75" t="s">
        <v>235</v>
      </c>
      <c r="DN24" s="75" t="s">
        <v>141</v>
      </c>
      <c r="DO24" s="75" t="s">
        <v>141</v>
      </c>
      <c r="DP24" s="80"/>
    </row>
    <row r="25" spans="1:143">
      <c r="A25" s="60"/>
      <c r="B25" s="27" t="s">
        <v>181</v>
      </c>
      <c r="C25" s="81" t="s">
        <v>182</v>
      </c>
      <c r="D25" s="75" t="s">
        <v>236</v>
      </c>
      <c r="E25" s="75" t="s">
        <v>237</v>
      </c>
      <c r="F25" s="75" t="s">
        <v>185</v>
      </c>
      <c r="G25" s="75" t="s">
        <v>185</v>
      </c>
      <c r="H25" s="75" t="s">
        <v>185</v>
      </c>
      <c r="I25" s="75" t="s">
        <v>185</v>
      </c>
      <c r="J25" s="75" t="s">
        <v>185</v>
      </c>
      <c r="K25" s="75" t="s">
        <v>185</v>
      </c>
      <c r="L25" s="75" t="s">
        <v>185</v>
      </c>
      <c r="M25" s="75" t="s">
        <v>185</v>
      </c>
      <c r="N25" s="75" t="s">
        <v>237</v>
      </c>
      <c r="O25" s="75" t="s">
        <v>238</v>
      </c>
      <c r="P25" s="75" t="s">
        <v>237</v>
      </c>
      <c r="Q25" s="75" t="s">
        <v>187</v>
      </c>
      <c r="R25" s="75" t="s">
        <v>188</v>
      </c>
      <c r="S25" s="75" t="s">
        <v>237</v>
      </c>
      <c r="T25" s="75" t="s">
        <v>239</v>
      </c>
      <c r="U25" s="75" t="s">
        <v>240</v>
      </c>
      <c r="V25" s="75" t="s">
        <v>241</v>
      </c>
      <c r="W25" s="75" t="s">
        <v>192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80"/>
      <c r="DQ25" s="80"/>
      <c r="DR25" s="80"/>
      <c r="DS25" s="80"/>
      <c r="DT25" s="80"/>
      <c r="DU25" s="80"/>
      <c r="DV25" s="80"/>
      <c r="DW25" s="80"/>
      <c r="DX25" s="80"/>
      <c r="DY25" s="80"/>
      <c r="DZ25" s="80"/>
      <c r="EA25" s="80"/>
      <c r="EB25" s="80"/>
      <c r="EC25" s="80"/>
      <c r="ED25" s="80"/>
      <c r="EE25" s="80"/>
      <c r="EF25" s="80"/>
      <c r="EG25" s="80"/>
      <c r="EH25" s="80"/>
      <c r="EI25" s="80"/>
      <c r="EJ25" s="80"/>
      <c r="EK25" s="80"/>
      <c r="EL25" s="80"/>
      <c r="EM25" s="80"/>
    </row>
    <row r="26" spans="1:143">
      <c r="A26" s="60"/>
      <c r="B26" s="27" t="s">
        <v>181</v>
      </c>
      <c r="C26" s="81" t="s">
        <v>182</v>
      </c>
      <c r="D26" s="75" t="s">
        <v>236</v>
      </c>
      <c r="E26" s="75" t="s">
        <v>242</v>
      </c>
      <c r="F26" s="75" t="s">
        <v>185</v>
      </c>
      <c r="G26" s="75" t="s">
        <v>185</v>
      </c>
      <c r="H26" s="75" t="s">
        <v>185</v>
      </c>
      <c r="I26" s="75" t="s">
        <v>185</v>
      </c>
      <c r="J26" s="75" t="s">
        <v>185</v>
      </c>
      <c r="K26" s="75" t="s">
        <v>185</v>
      </c>
      <c r="L26" s="75" t="s">
        <v>185</v>
      </c>
      <c r="M26" s="75" t="s">
        <v>185</v>
      </c>
      <c r="N26" s="75" t="s">
        <v>242</v>
      </c>
      <c r="O26" s="75" t="s">
        <v>243</v>
      </c>
      <c r="P26" s="75" t="s">
        <v>242</v>
      </c>
      <c r="Q26" s="75" t="s">
        <v>187</v>
      </c>
      <c r="R26" s="75" t="s">
        <v>188</v>
      </c>
      <c r="S26" s="75" t="s">
        <v>242</v>
      </c>
      <c r="T26" s="75" t="s">
        <v>239</v>
      </c>
      <c r="U26" s="75" t="s">
        <v>240</v>
      </c>
      <c r="V26" s="75" t="s">
        <v>241</v>
      </c>
      <c r="W26" s="75" t="s">
        <v>192</v>
      </c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</row>
    <row r="27" spans="1:143">
      <c r="A27" s="60"/>
      <c r="B27" s="27" t="s">
        <v>181</v>
      </c>
      <c r="C27" s="81" t="s">
        <v>182</v>
      </c>
      <c r="D27" s="75" t="s">
        <v>236</v>
      </c>
      <c r="E27" s="75" t="s">
        <v>244</v>
      </c>
      <c r="F27" s="75" t="s">
        <v>185</v>
      </c>
      <c r="G27" s="75" t="s">
        <v>185</v>
      </c>
      <c r="H27" s="75" t="s">
        <v>185</v>
      </c>
      <c r="I27" s="75" t="s">
        <v>185</v>
      </c>
      <c r="J27" s="75" t="s">
        <v>185</v>
      </c>
      <c r="K27" s="75" t="s">
        <v>185</v>
      </c>
      <c r="L27" s="75" t="s">
        <v>185</v>
      </c>
      <c r="M27" s="75" t="s">
        <v>185</v>
      </c>
      <c r="N27" s="75" t="s">
        <v>244</v>
      </c>
      <c r="O27" s="75" t="s">
        <v>245</v>
      </c>
      <c r="P27" s="75" t="s">
        <v>244</v>
      </c>
      <c r="Q27" s="75" t="s">
        <v>187</v>
      </c>
      <c r="R27" s="75" t="s">
        <v>188</v>
      </c>
      <c r="S27" s="75" t="s">
        <v>244</v>
      </c>
      <c r="T27" s="75" t="s">
        <v>246</v>
      </c>
      <c r="U27" s="75" t="s">
        <v>247</v>
      </c>
      <c r="V27" s="75" t="s">
        <v>248</v>
      </c>
      <c r="W27" s="75" t="s">
        <v>192</v>
      </c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80"/>
      <c r="DQ27" s="80"/>
      <c r="DR27" s="80"/>
      <c r="DS27" s="80"/>
      <c r="DT27" s="80"/>
      <c r="DU27" s="80"/>
      <c r="DV27" s="80"/>
      <c r="DW27" s="80"/>
      <c r="DX27" s="80"/>
      <c r="DY27" s="80"/>
      <c r="DZ27" s="80"/>
      <c r="EA27" s="80"/>
      <c r="EB27" s="80"/>
      <c r="EC27" s="80"/>
      <c r="ED27" s="80"/>
      <c r="EE27" s="80"/>
      <c r="EF27" s="80"/>
      <c r="EG27" s="80"/>
      <c r="EH27" s="80"/>
      <c r="EI27" s="80"/>
      <c r="EJ27" s="80"/>
      <c r="EK27" s="80"/>
      <c r="EL27" s="80"/>
      <c r="EM27" s="80"/>
    </row>
    <row r="28" spans="1:143">
      <c r="A28" s="60"/>
      <c r="B28" s="27" t="s">
        <v>181</v>
      </c>
      <c r="C28" s="81" t="s">
        <v>182</v>
      </c>
      <c r="D28" s="75" t="s">
        <v>236</v>
      </c>
      <c r="E28" s="75" t="s">
        <v>249</v>
      </c>
      <c r="F28" s="75" t="s">
        <v>185</v>
      </c>
      <c r="G28" s="75" t="s">
        <v>185</v>
      </c>
      <c r="H28" s="75" t="s">
        <v>185</v>
      </c>
      <c r="I28" s="75" t="s">
        <v>185</v>
      </c>
      <c r="J28" s="75" t="s">
        <v>185</v>
      </c>
      <c r="K28" s="75" t="s">
        <v>185</v>
      </c>
      <c r="L28" s="75" t="s">
        <v>185</v>
      </c>
      <c r="M28" s="75" t="s">
        <v>185</v>
      </c>
      <c r="N28" s="75" t="s">
        <v>249</v>
      </c>
      <c r="O28" s="75" t="s">
        <v>250</v>
      </c>
      <c r="P28" s="75" t="s">
        <v>249</v>
      </c>
      <c r="Q28" s="75" t="s">
        <v>187</v>
      </c>
      <c r="R28" s="75" t="s">
        <v>188</v>
      </c>
      <c r="S28" s="75">
        <v>3.1003215729439999E+31</v>
      </c>
      <c r="T28" s="75">
        <v>4</v>
      </c>
      <c r="U28" s="75" t="s">
        <v>251</v>
      </c>
      <c r="V28" s="75" t="s">
        <v>252</v>
      </c>
      <c r="W28" s="75" t="s">
        <v>192</v>
      </c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</row>
    <row r="29" spans="1:143">
      <c r="A29" s="60"/>
      <c r="B29" s="60"/>
      <c r="C29" s="60"/>
      <c r="D29" s="60"/>
    </row>
    <row r="30" spans="1:143">
      <c r="A30" s="60"/>
      <c r="B30" s="73" t="s">
        <v>138</v>
      </c>
      <c r="C30" s="73" t="s">
        <v>44</v>
      </c>
      <c r="D30" s="73" t="s">
        <v>57</v>
      </c>
      <c r="E30" s="74" t="s">
        <v>139</v>
      </c>
      <c r="F30" s="74" t="s">
        <v>143</v>
      </c>
      <c r="G30" s="74" t="s">
        <v>144</v>
      </c>
      <c r="H30" s="74" t="s">
        <v>146</v>
      </c>
      <c r="I30" s="74" t="s">
        <v>147</v>
      </c>
      <c r="J30" s="74" t="s">
        <v>253</v>
      </c>
      <c r="K30" s="74" t="s">
        <v>254</v>
      </c>
      <c r="L30" s="74" t="s">
        <v>144</v>
      </c>
      <c r="M30" s="74" t="s">
        <v>146</v>
      </c>
      <c r="N30" s="74" t="s">
        <v>147</v>
      </c>
    </row>
    <row r="31" spans="1:143">
      <c r="A31" s="60"/>
      <c r="B31" s="76" t="s">
        <v>140</v>
      </c>
      <c r="C31" s="77" t="s">
        <v>255</v>
      </c>
      <c r="D31" s="75" t="s">
        <v>256</v>
      </c>
      <c r="E31" s="75" t="s">
        <v>257</v>
      </c>
      <c r="F31" s="75" t="s">
        <v>185</v>
      </c>
      <c r="G31" s="75" t="s">
        <v>258</v>
      </c>
      <c r="H31" s="75" t="s">
        <v>185</v>
      </c>
      <c r="I31" s="75" t="s">
        <v>259</v>
      </c>
      <c r="J31" s="75" t="s">
        <v>257</v>
      </c>
      <c r="K31" s="75" t="s">
        <v>258</v>
      </c>
      <c r="L31" s="75" t="s">
        <v>258</v>
      </c>
      <c r="M31" s="75" t="s">
        <v>185</v>
      </c>
      <c r="N31" s="75" t="s">
        <v>260</v>
      </c>
    </row>
    <row r="32" spans="1:143">
      <c r="A32" s="60"/>
      <c r="B32" s="76" t="s">
        <v>140</v>
      </c>
      <c r="C32" s="77" t="s">
        <v>255</v>
      </c>
      <c r="D32" s="75" t="s">
        <v>261</v>
      </c>
      <c r="E32" s="75" t="s">
        <v>262</v>
      </c>
      <c r="F32" s="75" t="s">
        <v>263</v>
      </c>
      <c r="G32" s="75" t="s">
        <v>263</v>
      </c>
      <c r="H32" s="75" t="s">
        <v>264</v>
      </c>
      <c r="I32" s="75" t="s">
        <v>265</v>
      </c>
      <c r="J32" s="75" t="s">
        <v>262</v>
      </c>
      <c r="K32" s="75" t="s">
        <v>258</v>
      </c>
      <c r="L32" s="75" t="s">
        <v>258</v>
      </c>
      <c r="M32" s="75" t="s">
        <v>266</v>
      </c>
      <c r="N32" s="75" t="s">
        <v>267</v>
      </c>
    </row>
    <row r="33" spans="1:14">
      <c r="A33" s="60"/>
      <c r="B33" s="76" t="s">
        <v>140</v>
      </c>
      <c r="C33" s="77" t="s">
        <v>255</v>
      </c>
      <c r="D33" s="75" t="s">
        <v>268</v>
      </c>
      <c r="E33" s="75" t="s">
        <v>269</v>
      </c>
      <c r="F33" s="75" t="s">
        <v>185</v>
      </c>
      <c r="G33" s="75" t="s">
        <v>185</v>
      </c>
      <c r="H33" s="75" t="s">
        <v>185</v>
      </c>
      <c r="I33" s="75" t="s">
        <v>185</v>
      </c>
      <c r="J33" s="75" t="s">
        <v>269</v>
      </c>
      <c r="K33" s="75" t="s">
        <v>263</v>
      </c>
      <c r="L33" s="75" t="s">
        <v>263</v>
      </c>
      <c r="M33" s="75" t="s">
        <v>270</v>
      </c>
      <c r="N33" s="75" t="s">
        <v>271</v>
      </c>
    </row>
    <row r="34" spans="1:14">
      <c r="A34" s="60"/>
      <c r="B34" s="60"/>
      <c r="C34" s="60"/>
      <c r="D34" s="60"/>
    </row>
    <row r="35" spans="1:14" hidden="1">
      <c r="A35" s="60"/>
      <c r="B35" s="60"/>
      <c r="C35" s="60"/>
      <c r="D35" s="60"/>
    </row>
    <row r="36" spans="1:14" hidden="1">
      <c r="A36" s="60"/>
      <c r="B36" s="60"/>
      <c r="C36" s="60"/>
      <c r="D36" s="60"/>
    </row>
    <row r="37" spans="1:14" hidden="1">
      <c r="A37" s="60"/>
      <c r="B37" s="60"/>
      <c r="C37" s="60"/>
      <c r="D37" s="60"/>
    </row>
    <row r="38" spans="1:14" hidden="1">
      <c r="A38" s="60"/>
      <c r="B38" s="60"/>
      <c r="C38" s="60"/>
      <c r="D38" s="60"/>
    </row>
    <row r="39" spans="1:14" hidden="1">
      <c r="A39" s="60"/>
      <c r="B39" s="60"/>
      <c r="C39" s="60"/>
      <c r="D39" s="60"/>
    </row>
    <row r="40" spans="1:14" hidden="1">
      <c r="A40" s="60"/>
      <c r="B40" s="60"/>
      <c r="C40" s="60"/>
      <c r="D40" s="60"/>
    </row>
    <row r="41" spans="1:14" hidden="1">
      <c r="A41" s="60"/>
      <c r="B41" s="60"/>
      <c r="C41" s="60"/>
      <c r="D41" s="60"/>
    </row>
    <row r="42" spans="1:14" hidden="1">
      <c r="A42" s="60"/>
      <c r="B42" s="60"/>
      <c r="C42" s="60"/>
      <c r="D42" s="60"/>
    </row>
    <row r="43" spans="1:14" hidden="1">
      <c r="A43" s="60"/>
      <c r="B43" s="60"/>
      <c r="C43" s="60"/>
      <c r="D43" s="60"/>
    </row>
    <row r="44" spans="1:14" hidden="1">
      <c r="A44" s="60"/>
      <c r="B44" s="60"/>
      <c r="C44" s="60"/>
      <c r="D44" s="60"/>
    </row>
    <row r="45" spans="1:14" hidden="1">
      <c r="A45" s="60"/>
      <c r="B45" s="60"/>
      <c r="C45" s="60"/>
      <c r="D45" s="60"/>
    </row>
    <row r="46" spans="1:14" hidden="1">
      <c r="A46" s="60"/>
      <c r="B46" s="60"/>
      <c r="C46" s="60"/>
      <c r="D46" s="60"/>
    </row>
    <row r="47" spans="1:14" hidden="1">
      <c r="A47" s="60"/>
      <c r="B47" s="60"/>
      <c r="C47" s="60"/>
      <c r="D47" s="60"/>
    </row>
    <row r="48" spans="1:14" hidden="1">
      <c r="A48" s="60"/>
      <c r="B48" s="60"/>
      <c r="C48" s="60"/>
      <c r="D48" s="60"/>
    </row>
    <row r="49" spans="1:4" hidden="1">
      <c r="A49" s="60"/>
      <c r="B49" s="60"/>
      <c r="C49" s="60"/>
      <c r="D49" s="60"/>
    </row>
    <row r="50" spans="1:4" hidden="1">
      <c r="A50" s="60"/>
      <c r="B50" s="60"/>
      <c r="C50" s="60"/>
      <c r="D50" s="60"/>
    </row>
    <row r="51" spans="1:4" hidden="1">
      <c r="A51" s="60"/>
      <c r="B51" s="60"/>
      <c r="C51" s="60"/>
      <c r="D51" s="60"/>
    </row>
    <row r="52" spans="1:4" hidden="1">
      <c r="A52" s="60"/>
      <c r="B52" s="60"/>
      <c r="C52" s="60"/>
      <c r="D52" s="60"/>
    </row>
    <row r="53" spans="1:4" hidden="1">
      <c r="A53" s="60"/>
      <c r="B53" s="60"/>
      <c r="C53" s="60"/>
      <c r="D53" s="60"/>
    </row>
    <row r="54" spans="1:4" hidden="1">
      <c r="A54" s="60"/>
      <c r="B54" s="60"/>
      <c r="C54" s="60"/>
      <c r="D54" s="60"/>
    </row>
    <row r="55" spans="1:4" hidden="1">
      <c r="A55" s="60"/>
      <c r="B55" s="60"/>
      <c r="C55" s="60"/>
      <c r="D55" s="60"/>
    </row>
    <row r="56" spans="1:4" hidden="1">
      <c r="A56" s="60"/>
      <c r="B56" s="60"/>
      <c r="C56" s="60"/>
      <c r="D56" s="60"/>
    </row>
    <row r="57" spans="1:4" hidden="1">
      <c r="A57" s="60"/>
      <c r="B57" s="60"/>
      <c r="C57" s="60"/>
      <c r="D57" s="60"/>
    </row>
    <row r="58" spans="1:4" hidden="1">
      <c r="A58" s="60"/>
      <c r="B58" s="60"/>
      <c r="C58" s="60"/>
      <c r="D58" s="60"/>
    </row>
    <row r="59" spans="1:4" hidden="1">
      <c r="A59" s="60"/>
      <c r="B59" s="60"/>
      <c r="C59" s="60"/>
      <c r="D59" s="60"/>
    </row>
    <row r="60" spans="1:4" hidden="1">
      <c r="A60" s="60"/>
      <c r="B60" s="60"/>
      <c r="C60" s="60"/>
      <c r="D60" s="60"/>
    </row>
    <row r="61" spans="1:4" hidden="1">
      <c r="A61" s="60"/>
      <c r="B61" s="60"/>
      <c r="C61" s="60"/>
      <c r="D61" s="60"/>
    </row>
    <row r="62" spans="1:4" hidden="1">
      <c r="A62" s="60"/>
      <c r="B62" s="60"/>
      <c r="C62" s="60"/>
      <c r="D62" s="60"/>
    </row>
    <row r="63" spans="1:4" hidden="1">
      <c r="A63" s="60"/>
      <c r="B63" s="60"/>
      <c r="C63" s="60"/>
      <c r="D63" s="60"/>
    </row>
    <row r="64" spans="1:4" hidden="1">
      <c r="A64" s="60"/>
      <c r="B64" s="60"/>
      <c r="C64" s="60"/>
      <c r="D64" s="60"/>
    </row>
    <row r="65" spans="1:4" hidden="1">
      <c r="A65" s="60"/>
      <c r="B65" s="60"/>
      <c r="C65" s="60"/>
      <c r="D65" s="60"/>
    </row>
    <row r="66" spans="1:4" hidden="1">
      <c r="A66" s="60"/>
      <c r="B66" s="60"/>
      <c r="C66" s="60"/>
      <c r="D66" s="60"/>
    </row>
    <row r="67" spans="1:4" hidden="1">
      <c r="A67" s="60"/>
      <c r="B67" s="60"/>
      <c r="C67" s="60"/>
      <c r="D67" s="60"/>
    </row>
    <row r="68" spans="1:4" hidden="1">
      <c r="A68" s="60"/>
      <c r="B68" s="60"/>
      <c r="C68" s="60"/>
      <c r="D68" s="60"/>
    </row>
    <row r="69" spans="1:4" hidden="1">
      <c r="A69" s="60"/>
      <c r="B69" s="60"/>
      <c r="C69" s="60"/>
      <c r="D69" s="60"/>
    </row>
    <row r="70" spans="1:4" hidden="1">
      <c r="A70" s="60"/>
      <c r="B70" s="60"/>
      <c r="C70" s="60"/>
      <c r="D70" s="60"/>
    </row>
    <row r="71" spans="1:4" hidden="1">
      <c r="A71" s="60"/>
      <c r="B71" s="60"/>
      <c r="C71" s="60"/>
      <c r="D71" s="60"/>
    </row>
    <row r="72" spans="1:4" hidden="1">
      <c r="A72" s="60"/>
      <c r="B72" s="60"/>
      <c r="C72" s="60"/>
      <c r="D72" s="60"/>
    </row>
    <row r="73" spans="1:4" hidden="1">
      <c r="A73" s="60"/>
      <c r="B73" s="60"/>
      <c r="C73" s="60"/>
      <c r="D73" s="60"/>
    </row>
    <row r="74" spans="1:4" hidden="1">
      <c r="A74" s="60"/>
      <c r="B74" s="60"/>
      <c r="C74" s="60"/>
      <c r="D74" s="60"/>
    </row>
    <row r="75" spans="1:4" hidden="1">
      <c r="A75" s="60"/>
      <c r="B75" s="60"/>
      <c r="C75" s="60"/>
      <c r="D75" s="60"/>
    </row>
    <row r="76" spans="1:4" hidden="1">
      <c r="A76" s="60"/>
      <c r="B76" s="60"/>
      <c r="C76" s="60"/>
      <c r="D76" s="60"/>
    </row>
    <row r="77" spans="1:4" hidden="1">
      <c r="A77" s="60"/>
      <c r="B77" s="60"/>
      <c r="C77" s="60"/>
      <c r="D77" s="60"/>
    </row>
    <row r="78" spans="1:4" hidden="1">
      <c r="A78" s="60"/>
      <c r="B78" s="60"/>
      <c r="C78" s="60"/>
      <c r="D78" s="60"/>
    </row>
    <row r="79" spans="1:4" hidden="1">
      <c r="A79" s="60"/>
      <c r="B79" s="60"/>
      <c r="C79" s="60"/>
      <c r="D79" s="60"/>
    </row>
    <row r="80" spans="1:4" hidden="1">
      <c r="A80" s="60"/>
      <c r="B80" s="60"/>
      <c r="C80" s="60"/>
      <c r="D80" s="60"/>
    </row>
    <row r="81" spans="1:4" hidden="1">
      <c r="A81" s="60"/>
      <c r="B81" s="60"/>
      <c r="C81" s="60"/>
      <c r="D81" s="60"/>
    </row>
    <row r="82" spans="1:4" hidden="1">
      <c r="A82" s="60"/>
      <c r="B82" s="60"/>
      <c r="C82" s="60"/>
      <c r="D82" s="60"/>
    </row>
    <row r="83" spans="1:4" hidden="1">
      <c r="A83" s="60"/>
      <c r="B83" s="60"/>
      <c r="C83" s="60"/>
      <c r="D83" s="60"/>
    </row>
    <row r="84" spans="1:4" hidden="1">
      <c r="A84" s="60"/>
      <c r="B84" s="60"/>
      <c r="C84" s="60"/>
      <c r="D84" s="60"/>
    </row>
    <row r="85" spans="1:4" hidden="1">
      <c r="A85" s="60"/>
      <c r="B85" s="60"/>
      <c r="C85" s="60"/>
      <c r="D85" s="60"/>
    </row>
    <row r="86" spans="1:4" hidden="1">
      <c r="A86" s="60"/>
      <c r="B86" s="60"/>
      <c r="C86" s="60"/>
      <c r="D86" s="60"/>
    </row>
    <row r="87" spans="1:4" hidden="1">
      <c r="A87" s="60"/>
      <c r="B87" s="60"/>
      <c r="C87" s="60"/>
      <c r="D87" s="60"/>
    </row>
    <row r="88" spans="1:4" hidden="1">
      <c r="A88" s="60"/>
      <c r="B88" s="60"/>
      <c r="C88" s="60"/>
      <c r="D88" s="60"/>
    </row>
    <row r="89" spans="1:4" hidden="1">
      <c r="A89" s="60"/>
      <c r="B89" s="60"/>
      <c r="C89" s="60"/>
      <c r="D89" s="60"/>
    </row>
    <row r="90" spans="1:4" hidden="1">
      <c r="A90" s="60"/>
      <c r="B90" s="60"/>
      <c r="C90" s="60"/>
      <c r="D90" s="60"/>
    </row>
    <row r="91" spans="1:4" hidden="1">
      <c r="A91" s="60"/>
      <c r="B91" s="60"/>
      <c r="C91" s="60"/>
      <c r="D91" s="60"/>
    </row>
    <row r="92" spans="1:4" hidden="1">
      <c r="A92" s="60"/>
      <c r="B92" s="60"/>
      <c r="C92" s="60"/>
      <c r="D92" s="60"/>
    </row>
    <row r="93" spans="1:4" hidden="1">
      <c r="A93" s="60"/>
      <c r="B93" s="60"/>
      <c r="C93" s="60"/>
      <c r="D93" s="60"/>
    </row>
    <row r="94" spans="1:4" hidden="1">
      <c r="A94" s="60"/>
      <c r="B94" s="60"/>
      <c r="C94" s="60"/>
      <c r="D94" s="60"/>
    </row>
    <row r="95" spans="1:4" hidden="1">
      <c r="A95" s="60"/>
      <c r="B95" s="60"/>
      <c r="C95" s="60"/>
      <c r="D95" s="60"/>
    </row>
    <row r="96" spans="1:4" hidden="1">
      <c r="A96" s="60"/>
      <c r="B96" s="60"/>
      <c r="C96" s="60"/>
      <c r="D96" s="60"/>
    </row>
    <row r="97" spans="1:4" hidden="1">
      <c r="A97" s="60"/>
      <c r="B97" s="60"/>
      <c r="C97" s="60"/>
      <c r="D97" s="60"/>
    </row>
    <row r="98" spans="1:4" hidden="1">
      <c r="A98" s="60"/>
      <c r="B98" s="60"/>
      <c r="C98" s="60"/>
      <c r="D98" s="60"/>
    </row>
    <row r="99" spans="1:4" hidden="1">
      <c r="A99" s="60"/>
      <c r="B99" s="60"/>
      <c r="C99" s="60"/>
      <c r="D99" s="60"/>
    </row>
    <row r="100" spans="1:4" hidden="1">
      <c r="A100" s="60"/>
      <c r="B100" s="60"/>
      <c r="C100" s="60"/>
      <c r="D100" s="60"/>
    </row>
    <row r="101" spans="1:4" hidden="1">
      <c r="A101" s="60"/>
      <c r="B101" s="60"/>
      <c r="C101" s="60"/>
      <c r="D101" s="60"/>
    </row>
    <row r="102" spans="1:4" hidden="1">
      <c r="A102" s="60"/>
      <c r="B102" s="60"/>
      <c r="C102" s="60"/>
      <c r="D102" s="60"/>
    </row>
    <row r="103" spans="1:4" hidden="1">
      <c r="A103" s="60"/>
      <c r="B103" s="60"/>
      <c r="C103" s="60"/>
      <c r="D103" s="60"/>
    </row>
    <row r="104" spans="1:4" hidden="1">
      <c r="A104" s="60"/>
      <c r="B104" s="60"/>
      <c r="C104" s="60"/>
      <c r="D104" s="60"/>
    </row>
    <row r="105" spans="1:4" hidden="1">
      <c r="A105" s="60"/>
      <c r="B105" s="60"/>
      <c r="C105" s="60"/>
      <c r="D105" s="60"/>
    </row>
    <row r="106" spans="1:4" hidden="1">
      <c r="A106" s="60"/>
      <c r="B106" s="60"/>
      <c r="C106" s="60"/>
      <c r="D106" s="60"/>
    </row>
    <row r="107" spans="1:4" hidden="1">
      <c r="A107" s="60"/>
      <c r="B107" s="60"/>
      <c r="C107" s="60"/>
      <c r="D107" s="60"/>
    </row>
    <row r="108" spans="1:4" hidden="1">
      <c r="A108" s="60"/>
      <c r="B108" s="60"/>
      <c r="C108" s="60"/>
      <c r="D108" s="60"/>
    </row>
    <row r="109" spans="1:4" hidden="1">
      <c r="A109" s="60"/>
      <c r="B109" s="60"/>
      <c r="C109" s="60"/>
      <c r="D109" s="60"/>
    </row>
    <row r="110" spans="1:4" hidden="1">
      <c r="A110" s="60"/>
      <c r="B110" s="60"/>
      <c r="C110" s="60"/>
      <c r="D110" s="60"/>
    </row>
    <row r="111" spans="1:4" hidden="1">
      <c r="A111" s="60"/>
      <c r="B111" s="60"/>
      <c r="C111" s="60"/>
      <c r="D111" s="60"/>
    </row>
    <row r="112" spans="1:4" hidden="1">
      <c r="A112" s="60"/>
      <c r="B112" s="60"/>
      <c r="C112" s="60"/>
      <c r="D112" s="60"/>
    </row>
    <row r="113" spans="1:4" hidden="1">
      <c r="A113" s="60"/>
      <c r="B113" s="60"/>
      <c r="C113" s="60"/>
      <c r="D113" s="60"/>
    </row>
    <row r="114" spans="1:4" hidden="1">
      <c r="A114" s="60"/>
      <c r="B114" s="60"/>
      <c r="C114" s="60"/>
      <c r="D114" s="60"/>
    </row>
    <row r="115" spans="1:4" hidden="1">
      <c r="A115" s="60"/>
      <c r="B115" s="60"/>
      <c r="C115" s="60"/>
      <c r="D115" s="60"/>
    </row>
    <row r="116" spans="1:4" hidden="1">
      <c r="A116" s="60"/>
      <c r="B116" s="60"/>
      <c r="C116" s="60"/>
      <c r="D116" s="60"/>
    </row>
    <row r="117" spans="1:4" hidden="1">
      <c r="A117" s="60"/>
      <c r="B117" s="60"/>
      <c r="C117" s="60"/>
      <c r="D117" s="60"/>
    </row>
    <row r="118" spans="1:4" hidden="1">
      <c r="A118" s="60"/>
      <c r="B118" s="60"/>
      <c r="C118" s="60"/>
      <c r="D118" s="60"/>
    </row>
    <row r="119" spans="1:4" hidden="1">
      <c r="A119" s="60"/>
      <c r="B119" s="60"/>
      <c r="C119" s="60"/>
      <c r="D119" s="60"/>
    </row>
    <row r="120" spans="1:4" hidden="1">
      <c r="A120" s="60"/>
      <c r="B120" s="60"/>
      <c r="C120" s="60"/>
      <c r="D120" s="60"/>
    </row>
    <row r="121" spans="1:4" hidden="1">
      <c r="A121" s="60"/>
      <c r="B121" s="60"/>
      <c r="C121" s="60"/>
      <c r="D121" s="60"/>
    </row>
    <row r="122" spans="1:4" hidden="1">
      <c r="A122" s="60"/>
      <c r="B122" s="60"/>
      <c r="C122" s="60"/>
      <c r="D122" s="60"/>
    </row>
    <row r="123" spans="1:4" hidden="1">
      <c r="A123" s="60"/>
      <c r="B123" s="60"/>
      <c r="C123" s="60"/>
      <c r="D123" s="60"/>
    </row>
    <row r="124" spans="1:4" hidden="1">
      <c r="A124" s="60"/>
      <c r="B124" s="60"/>
      <c r="C124" s="60"/>
      <c r="D124" s="60"/>
    </row>
    <row r="125" spans="1:4" hidden="1">
      <c r="A125" s="60"/>
      <c r="B125" s="60"/>
      <c r="C125" s="60"/>
      <c r="D125" s="60"/>
    </row>
    <row r="126" spans="1:4" hidden="1">
      <c r="A126" s="60"/>
      <c r="B126" s="60"/>
      <c r="C126" s="60"/>
      <c r="D126" s="60"/>
    </row>
    <row r="127" spans="1:4" hidden="1">
      <c r="A127" s="60"/>
      <c r="B127" s="60"/>
      <c r="C127" s="60"/>
      <c r="D127" s="60"/>
    </row>
    <row r="128" spans="1:4" hidden="1">
      <c r="A128" s="60"/>
      <c r="B128" s="60"/>
      <c r="C128" s="60"/>
      <c r="D128" s="60"/>
    </row>
    <row r="129" spans="1:4" hidden="1">
      <c r="A129" s="60"/>
      <c r="B129" s="60"/>
      <c r="C129" s="60"/>
      <c r="D129" s="60"/>
    </row>
    <row r="130" spans="1:4" hidden="1">
      <c r="A130" s="60"/>
      <c r="B130" s="60"/>
      <c r="C130" s="60"/>
      <c r="D130" s="60"/>
    </row>
    <row r="131" spans="1:4" hidden="1">
      <c r="A131" s="60"/>
      <c r="B131" s="60"/>
      <c r="C131" s="60"/>
      <c r="D131" s="60"/>
    </row>
    <row r="132" spans="1:4" hidden="1">
      <c r="A132" s="60"/>
      <c r="B132" s="60"/>
      <c r="C132" s="60"/>
      <c r="D132" s="60"/>
    </row>
    <row r="133" spans="1:4" hidden="1">
      <c r="A133" s="60"/>
      <c r="B133" s="60"/>
      <c r="C133" s="60"/>
      <c r="D133" s="60"/>
    </row>
    <row r="134" spans="1:4" hidden="1">
      <c r="A134" s="60"/>
      <c r="B134" s="60"/>
      <c r="C134" s="60"/>
      <c r="D134" s="60"/>
    </row>
    <row r="135" spans="1:4" hidden="1">
      <c r="A135" s="60"/>
      <c r="B135" s="60"/>
      <c r="C135" s="60"/>
      <c r="D135" s="60"/>
    </row>
    <row r="136" spans="1:4" hidden="1">
      <c r="A136" s="60"/>
      <c r="B136" s="60"/>
      <c r="C136" s="60"/>
      <c r="D136" s="60"/>
    </row>
    <row r="137" spans="1:4" hidden="1">
      <c r="A137" s="60"/>
      <c r="B137" s="60"/>
      <c r="C137" s="60"/>
      <c r="D137" s="60"/>
    </row>
    <row r="138" spans="1:4" hidden="1">
      <c r="A138" s="60"/>
      <c r="B138" s="60"/>
      <c r="C138" s="60"/>
      <c r="D138" s="60"/>
    </row>
    <row r="139" spans="1:4" hidden="1">
      <c r="A139" s="60"/>
      <c r="B139" s="60"/>
      <c r="C139" s="60"/>
      <c r="D139" s="60"/>
    </row>
    <row r="140" spans="1:4" hidden="1">
      <c r="A140" s="60"/>
      <c r="B140" s="60"/>
      <c r="C140" s="60"/>
      <c r="D140" s="60"/>
    </row>
    <row r="141" spans="1:4" hidden="1">
      <c r="A141" s="60"/>
      <c r="B141" s="60"/>
      <c r="C141" s="60"/>
      <c r="D141" s="60"/>
    </row>
    <row r="142" spans="1:4" hidden="1">
      <c r="A142" s="60"/>
      <c r="B142" s="60"/>
      <c r="C142" s="60"/>
      <c r="D142" s="60"/>
    </row>
    <row r="143" spans="1:4" hidden="1">
      <c r="A143" s="60"/>
      <c r="B143" s="60"/>
      <c r="C143" s="60"/>
      <c r="D143" s="60"/>
    </row>
    <row r="144" spans="1:4" hidden="1">
      <c r="A144" s="60"/>
      <c r="B144" s="60"/>
      <c r="C144" s="60"/>
      <c r="D144" s="60"/>
    </row>
    <row r="145" spans="1:4" hidden="1">
      <c r="A145" s="60"/>
      <c r="B145" s="60"/>
      <c r="C145" s="60"/>
      <c r="D145" s="60"/>
    </row>
    <row r="146" spans="1:4" hidden="1">
      <c r="A146" s="60"/>
      <c r="B146" s="60"/>
      <c r="C146" s="60"/>
      <c r="D146" s="60"/>
    </row>
    <row r="147" spans="1:4" hidden="1">
      <c r="A147" s="60"/>
      <c r="B147" s="60"/>
      <c r="C147" s="60"/>
      <c r="D147" s="60"/>
    </row>
    <row r="148" spans="1:4" hidden="1">
      <c r="A148" s="60"/>
      <c r="B148" s="60"/>
      <c r="C148" s="60"/>
      <c r="D148" s="60"/>
    </row>
    <row r="149" spans="1:4" hidden="1">
      <c r="A149" s="60"/>
      <c r="B149" s="60"/>
      <c r="C149" s="60"/>
      <c r="D149" s="60"/>
    </row>
    <row r="150" spans="1:4" hidden="1">
      <c r="A150" s="60"/>
      <c r="B150" s="60"/>
      <c r="C150" s="60"/>
      <c r="D150" s="60"/>
    </row>
    <row r="151" spans="1:4" hidden="1">
      <c r="A151" s="60"/>
      <c r="B151" s="60"/>
      <c r="C151" s="60"/>
      <c r="D151" s="60"/>
    </row>
    <row r="152" spans="1:4" hidden="1">
      <c r="A152" s="60"/>
      <c r="B152" s="60"/>
      <c r="C152" s="60"/>
      <c r="D152" s="60"/>
    </row>
    <row r="153" spans="1:4" hidden="1">
      <c r="A153" s="60"/>
      <c r="B153" s="60"/>
      <c r="C153" s="60"/>
      <c r="D153" s="60"/>
    </row>
    <row r="154" spans="1:4" hidden="1">
      <c r="A154" s="60"/>
      <c r="B154" s="60"/>
      <c r="C154" s="60"/>
      <c r="D154" s="60"/>
    </row>
    <row r="155" spans="1:4" hidden="1">
      <c r="A155" s="60"/>
      <c r="B155" s="60"/>
      <c r="C155" s="60"/>
      <c r="D155" s="60"/>
    </row>
    <row r="156" spans="1:4" hidden="1">
      <c r="A156" s="60"/>
      <c r="B156" s="60"/>
      <c r="C156" s="60"/>
      <c r="D156" s="60"/>
    </row>
    <row r="157" spans="1:4" hidden="1">
      <c r="A157" s="60"/>
      <c r="B157" s="60"/>
      <c r="C157" s="60"/>
      <c r="D157" s="60"/>
    </row>
    <row r="158" spans="1:4" hidden="1">
      <c r="A158" s="60"/>
      <c r="B158" s="60"/>
      <c r="C158" s="60"/>
      <c r="D158" s="60"/>
    </row>
    <row r="159" spans="1:4" hidden="1">
      <c r="A159" s="60"/>
      <c r="B159" s="60"/>
      <c r="C159" s="60"/>
      <c r="D159" s="60"/>
    </row>
  </sheetData>
  <conditionalFormatting sqref="B9:C9">
    <cfRule type="cellIs" dxfId="15" priority="9" operator="equal">
      <formula>"Por iniciar"</formula>
    </cfRule>
    <cfRule type="cellIs" dxfId="14" priority="10" operator="equal">
      <formula>"EM TESTES"</formula>
    </cfRule>
    <cfRule type="cellIs" dxfId="13" priority="11" operator="equal">
      <formula>"NOK"</formula>
    </cfRule>
    <cfRule type="cellIs" dxfId="12" priority="12" operator="equal">
      <formula>"OK"</formula>
    </cfRule>
  </conditionalFormatting>
  <conditionalFormatting sqref="B31:C33">
    <cfRule type="cellIs" dxfId="11" priority="1" operator="equal">
      <formula>"Por iniciar"</formula>
    </cfRule>
    <cfRule type="cellIs" dxfId="10" priority="2" operator="equal">
      <formula>"EM TESTES"</formula>
    </cfRule>
    <cfRule type="cellIs" dxfId="9" priority="3" operator="equal">
      <formula>"NOK"</formula>
    </cfRule>
    <cfRule type="cellIs" dxfId="8" priority="4" operator="equal">
      <formula>"OK"</formula>
    </cfRule>
  </conditionalFormatting>
  <conditionalFormatting sqref="B10:D28">
    <cfRule type="cellIs" dxfId="7" priority="5" operator="equal">
      <formula>"Por iniciar"</formula>
    </cfRule>
    <cfRule type="cellIs" dxfId="6" priority="6" operator="equal">
      <formula>"EM TESTES"</formula>
    </cfRule>
    <cfRule type="cellIs" dxfId="5" priority="7" operator="equal">
      <formula>"NOK"</formula>
    </cfRule>
    <cfRule type="cellIs" dxfId="4" priority="8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8"/>
  <sheetViews>
    <sheetView showGridLines="0" workbookViewId="0">
      <selection activeCell="D11" sqref="D11"/>
    </sheetView>
  </sheetViews>
  <sheetFormatPr defaultRowHeight="14.5"/>
  <cols>
    <col min="1" max="1" width="3.6328125" customWidth="1"/>
    <col min="2" max="2" width="18.6328125" bestFit="1" customWidth="1"/>
    <col min="3" max="3" width="18.1796875" bestFit="1" customWidth="1"/>
    <col min="4" max="4" width="28.453125" bestFit="1" customWidth="1"/>
    <col min="5" max="5" width="9.90625" bestFit="1" customWidth="1"/>
    <col min="6" max="6" width="11" bestFit="1" customWidth="1"/>
  </cols>
  <sheetData>
    <row r="2" spans="2:7">
      <c r="B2" t="s">
        <v>274</v>
      </c>
      <c r="C2" t="s">
        <v>275</v>
      </c>
      <c r="D2" t="s">
        <v>276</v>
      </c>
      <c r="E2" t="s">
        <v>174</v>
      </c>
      <c r="F2" t="s">
        <v>277</v>
      </c>
    </row>
    <row r="3" spans="2:7">
      <c r="B3" t="s">
        <v>278</v>
      </c>
      <c r="C3" t="s">
        <v>279</v>
      </c>
      <c r="D3" t="s">
        <v>280</v>
      </c>
      <c r="E3" s="87">
        <v>45657</v>
      </c>
      <c r="F3">
        <v>16511</v>
      </c>
      <c r="G3" t="s">
        <v>281</v>
      </c>
    </row>
    <row r="4" spans="2:7">
      <c r="B4" t="s">
        <v>278</v>
      </c>
      <c r="C4" t="s">
        <v>279</v>
      </c>
      <c r="D4" t="s">
        <v>282</v>
      </c>
      <c r="E4" s="87">
        <v>45657</v>
      </c>
      <c r="F4">
        <v>51078</v>
      </c>
      <c r="G4" t="s">
        <v>283</v>
      </c>
    </row>
    <row r="5" spans="2:7">
      <c r="B5" t="s">
        <v>278</v>
      </c>
      <c r="C5" t="s">
        <v>284</v>
      </c>
      <c r="D5" t="s">
        <v>285</v>
      </c>
      <c r="E5" s="87">
        <v>45657</v>
      </c>
      <c r="F5">
        <v>482441</v>
      </c>
      <c r="G5" t="s">
        <v>286</v>
      </c>
    </row>
    <row r="6" spans="2:7">
      <c r="B6" t="s">
        <v>278</v>
      </c>
      <c r="C6" t="s">
        <v>287</v>
      </c>
      <c r="D6" t="s">
        <v>288</v>
      </c>
      <c r="E6" s="87">
        <v>45657</v>
      </c>
      <c r="F6">
        <v>994709</v>
      </c>
      <c r="G6" t="s">
        <v>289</v>
      </c>
    </row>
    <row r="7" spans="2:7">
      <c r="B7" t="s">
        <v>278</v>
      </c>
      <c r="C7" t="s">
        <v>287</v>
      </c>
      <c r="D7" t="s">
        <v>290</v>
      </c>
      <c r="E7" s="87">
        <v>45657</v>
      </c>
      <c r="F7">
        <v>994709</v>
      </c>
      <c r="G7" t="s">
        <v>289</v>
      </c>
    </row>
    <row r="8" spans="2:7">
      <c r="B8" t="s">
        <v>278</v>
      </c>
      <c r="C8" t="s">
        <v>287</v>
      </c>
      <c r="D8" t="s">
        <v>291</v>
      </c>
      <c r="E8" s="87">
        <v>45657</v>
      </c>
      <c r="F8">
        <v>994709</v>
      </c>
      <c r="G8" t="s">
        <v>289</v>
      </c>
    </row>
    <row r="9" spans="2:7">
      <c r="B9" t="s">
        <v>278</v>
      </c>
      <c r="C9" t="s">
        <v>287</v>
      </c>
      <c r="D9" t="s">
        <v>292</v>
      </c>
      <c r="E9" s="87">
        <v>45657</v>
      </c>
      <c r="F9">
        <v>1178229</v>
      </c>
      <c r="G9" t="s">
        <v>289</v>
      </c>
    </row>
    <row r="10" spans="2:7">
      <c r="B10" t="s">
        <v>278</v>
      </c>
      <c r="C10" t="s">
        <v>287</v>
      </c>
      <c r="D10" t="s">
        <v>293</v>
      </c>
      <c r="E10" s="87">
        <v>45657</v>
      </c>
      <c r="F10">
        <v>1878</v>
      </c>
      <c r="G10" t="s">
        <v>289</v>
      </c>
    </row>
    <row r="11" spans="2:7">
      <c r="B11" t="s">
        <v>278</v>
      </c>
      <c r="C11" t="s">
        <v>287</v>
      </c>
      <c r="D11" t="s">
        <v>294</v>
      </c>
      <c r="E11" s="87">
        <v>45657</v>
      </c>
      <c r="F11">
        <v>181475</v>
      </c>
      <c r="G11" t="s">
        <v>289</v>
      </c>
    </row>
    <row r="12" spans="2:7">
      <c r="B12" t="s">
        <v>278</v>
      </c>
      <c r="C12" t="s">
        <v>287</v>
      </c>
      <c r="D12" t="s">
        <v>295</v>
      </c>
      <c r="E12" s="87">
        <v>45657</v>
      </c>
      <c r="F12">
        <v>81757</v>
      </c>
      <c r="G12" t="s">
        <v>289</v>
      </c>
    </row>
    <row r="13" spans="2:7">
      <c r="B13" t="s">
        <v>278</v>
      </c>
      <c r="C13" t="s">
        <v>287</v>
      </c>
      <c r="D13" t="s">
        <v>296</v>
      </c>
      <c r="E13" s="87">
        <v>45657</v>
      </c>
      <c r="F13">
        <v>129958</v>
      </c>
      <c r="G13" t="s">
        <v>289</v>
      </c>
    </row>
    <row r="14" spans="2:7">
      <c r="B14" t="s">
        <v>278</v>
      </c>
      <c r="C14" t="s">
        <v>287</v>
      </c>
      <c r="D14" t="s">
        <v>297</v>
      </c>
      <c r="E14" s="87">
        <v>45657</v>
      </c>
      <c r="F14">
        <v>176</v>
      </c>
      <c r="G14" t="s">
        <v>298</v>
      </c>
    </row>
    <row r="15" spans="2:7">
      <c r="B15" t="s">
        <v>278</v>
      </c>
      <c r="C15" t="s">
        <v>287</v>
      </c>
      <c r="D15" t="s">
        <v>299</v>
      </c>
      <c r="E15" s="87">
        <v>45657</v>
      </c>
      <c r="F15">
        <v>598</v>
      </c>
      <c r="G15" t="s">
        <v>289</v>
      </c>
    </row>
    <row r="16" spans="2:7">
      <c r="B16" t="s">
        <v>278</v>
      </c>
      <c r="C16" t="s">
        <v>287</v>
      </c>
      <c r="D16" t="s">
        <v>300</v>
      </c>
      <c r="E16" s="87">
        <v>45657</v>
      </c>
      <c r="F16">
        <v>982874</v>
      </c>
      <c r="G16" t="s">
        <v>289</v>
      </c>
    </row>
    <row r="17" spans="2:7">
      <c r="B17" t="s">
        <v>278</v>
      </c>
      <c r="C17" t="s">
        <v>287</v>
      </c>
      <c r="D17" t="s">
        <v>301</v>
      </c>
      <c r="E17" s="87">
        <v>45657</v>
      </c>
      <c r="F17">
        <v>2090803</v>
      </c>
      <c r="G17" t="s">
        <v>289</v>
      </c>
    </row>
    <row r="18" spans="2:7">
      <c r="B18" t="s">
        <v>278</v>
      </c>
      <c r="C18" t="s">
        <v>287</v>
      </c>
      <c r="D18" t="s">
        <v>302</v>
      </c>
      <c r="E18" s="87">
        <v>45657</v>
      </c>
      <c r="F18">
        <v>1</v>
      </c>
      <c r="G18" t="s">
        <v>303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68"/>
  <sheetViews>
    <sheetView showGridLines="0" topLeftCell="F1" workbookViewId="0"/>
  </sheetViews>
  <sheetFormatPr defaultRowHeight="14.5"/>
  <cols>
    <col min="1" max="1" width="3.6328125" style="98" customWidth="1"/>
    <col min="2" max="2" width="19.6328125" bestFit="1" customWidth="1"/>
    <col min="3" max="3" width="35" bestFit="1" customWidth="1"/>
    <col min="4" max="4" width="3.6328125" style="98" customWidth="1"/>
    <col min="5" max="5" width="19.6328125" bestFit="1" customWidth="1"/>
    <col min="6" max="6" width="35" bestFit="1" customWidth="1"/>
    <col min="7" max="7" width="3.6328125" style="98" customWidth="1"/>
    <col min="8" max="8" width="19.6328125" bestFit="1" customWidth="1"/>
    <col min="9" max="9" width="35" bestFit="1" customWidth="1"/>
    <col min="10" max="10" width="3.6328125" style="98" customWidth="1"/>
    <col min="11" max="11" width="19.6328125" bestFit="1" customWidth="1"/>
    <col min="12" max="12" width="35" bestFit="1" customWidth="1"/>
    <col min="13" max="13" width="47" bestFit="1" customWidth="1"/>
  </cols>
  <sheetData>
    <row r="2" spans="2:14">
      <c r="B2" s="97" t="s">
        <v>1069</v>
      </c>
      <c r="E2" s="97" t="s">
        <v>1070</v>
      </c>
      <c r="H2" s="97" t="s">
        <v>1071</v>
      </c>
    </row>
    <row r="3" spans="2:14">
      <c r="B3" s="97"/>
      <c r="E3" s="97"/>
      <c r="H3" s="97"/>
    </row>
    <row r="4" spans="2:14">
      <c r="B4" s="88" t="s">
        <v>0</v>
      </c>
      <c r="C4" s="88" t="s">
        <v>6</v>
      </c>
      <c r="E4" s="88" t="s">
        <v>0</v>
      </c>
      <c r="F4" s="88" t="s">
        <v>6</v>
      </c>
      <c r="H4" s="88" t="s">
        <v>0</v>
      </c>
      <c r="I4" s="88" t="s">
        <v>6</v>
      </c>
      <c r="K4" s="88" t="s">
        <v>0</v>
      </c>
      <c r="L4" s="88" t="s">
        <v>6</v>
      </c>
      <c r="M4" s="88" t="s">
        <v>1072</v>
      </c>
    </row>
    <row r="5" spans="2:14">
      <c r="B5" t="s">
        <v>114</v>
      </c>
      <c r="C5" t="s">
        <v>96</v>
      </c>
      <c r="E5" t="s">
        <v>114</v>
      </c>
      <c r="F5" t="s">
        <v>96</v>
      </c>
      <c r="H5" t="s">
        <v>114</v>
      </c>
      <c r="I5" t="s">
        <v>96</v>
      </c>
      <c r="J5" s="99" t="str">
        <f>+K5&amp;L5</f>
        <v>ENTITYCOD_SOC</v>
      </c>
      <c r="K5" t="s">
        <v>114</v>
      </c>
      <c r="L5" t="s">
        <v>96</v>
      </c>
      <c r="M5" t="str">
        <f>+VLOOKUP(J5,'2. Script '!A:A,1,FALSE)</f>
        <v>ENTITYCOD_SOC</v>
      </c>
      <c r="N5">
        <f>+VLOOKUP(J5,ANL_CAMPOS_PDS!E:K,7,FALSE)</f>
        <v>0</v>
      </c>
    </row>
    <row r="6" spans="2:14">
      <c r="B6" t="s">
        <v>114</v>
      </c>
      <c r="C6" t="s">
        <v>100</v>
      </c>
      <c r="E6" t="s">
        <v>114</v>
      </c>
      <c r="F6" t="s">
        <v>100</v>
      </c>
      <c r="H6" t="s">
        <v>114</v>
      </c>
      <c r="I6" t="s">
        <v>100</v>
      </c>
      <c r="J6" s="99" t="str">
        <f t="shared" ref="J6:J68" si="0">+K6&amp;L6</f>
        <v>ENTITYCNTRY</v>
      </c>
      <c r="K6" t="s">
        <v>114</v>
      </c>
      <c r="L6" t="s">
        <v>100</v>
      </c>
      <c r="M6" t="str">
        <f>+VLOOKUP(J6,'2. Script '!A:A,1,FALSE)</f>
        <v>ENTITYCNTRY</v>
      </c>
      <c r="N6">
        <f>+VLOOKUP(J6,ANL_CAMPOS_PDS!E:K,7,FALSE)</f>
        <v>0</v>
      </c>
    </row>
    <row r="7" spans="2:14">
      <c r="B7" t="s">
        <v>114</v>
      </c>
      <c r="C7" t="s">
        <v>580</v>
      </c>
      <c r="E7" t="s">
        <v>114</v>
      </c>
      <c r="F7" t="s">
        <v>580</v>
      </c>
      <c r="H7" t="s">
        <v>114</v>
      </c>
      <c r="I7" t="s">
        <v>580</v>
      </c>
      <c r="J7" s="99" t="str">
        <f t="shared" si="0"/>
        <v>ENTITYDT_RFRNC</v>
      </c>
      <c r="K7" t="s">
        <v>114</v>
      </c>
      <c r="L7" t="s">
        <v>580</v>
      </c>
      <c r="M7" t="e">
        <f>+VLOOKUP(J7,'2. Script '!A:A,1,FALSE)</f>
        <v>#N/A</v>
      </c>
      <c r="N7">
        <f>+VLOOKUP(J7,ANL_CAMPOS_PDS!E:K,7,FALSE)</f>
        <v>0</v>
      </c>
    </row>
    <row r="8" spans="2:14">
      <c r="B8" t="s">
        <v>114</v>
      </c>
      <c r="C8" t="s">
        <v>581</v>
      </c>
      <c r="E8" t="s">
        <v>114</v>
      </c>
      <c r="F8" t="s">
        <v>581</v>
      </c>
      <c r="H8" t="s">
        <v>114</v>
      </c>
      <c r="I8" t="s">
        <v>581</v>
      </c>
      <c r="J8" s="99" t="str">
        <f t="shared" si="0"/>
        <v>ENTITYENTTY_ID</v>
      </c>
      <c r="K8" t="s">
        <v>114</v>
      </c>
      <c r="L8" t="s">
        <v>581</v>
      </c>
      <c r="M8" t="e">
        <f>+VLOOKUP(J8,'2. Script '!A:A,1,FALSE)</f>
        <v>#N/A</v>
      </c>
      <c r="N8">
        <f>+VLOOKUP(J8,ANL_CAMPOS_PDS!E:K,7,FALSE)</f>
        <v>0</v>
      </c>
    </row>
    <row r="9" spans="2:14">
      <c r="B9" t="s">
        <v>114</v>
      </c>
      <c r="C9" t="s">
        <v>101</v>
      </c>
      <c r="E9" t="s">
        <v>114</v>
      </c>
      <c r="F9" t="s">
        <v>101</v>
      </c>
      <c r="H9" t="s">
        <v>114</v>
      </c>
      <c r="I9" t="s">
        <v>101</v>
      </c>
      <c r="J9" s="99" t="str">
        <f t="shared" si="0"/>
        <v>ENTITYLEI</v>
      </c>
      <c r="K9" t="s">
        <v>114</v>
      </c>
      <c r="L9" t="s">
        <v>101</v>
      </c>
      <c r="M9" t="str">
        <f>+VLOOKUP(J9,'2. Script '!A:A,1,FALSE)</f>
        <v>ENTITYLEI</v>
      </c>
      <c r="N9">
        <f>+VLOOKUP(J9,ANL_CAMPOS_PDS!E:K,7,FALSE)</f>
        <v>0</v>
      </c>
    </row>
    <row r="10" spans="2:14">
      <c r="B10" t="s">
        <v>114</v>
      </c>
      <c r="C10" t="s">
        <v>102</v>
      </c>
      <c r="E10" t="s">
        <v>114</v>
      </c>
      <c r="F10" t="s">
        <v>317</v>
      </c>
      <c r="H10" t="s">
        <v>114</v>
      </c>
      <c r="I10" t="s">
        <v>317</v>
      </c>
      <c r="J10" s="99" t="str">
        <f t="shared" si="0"/>
        <v>ENTITYECNMC_ACTVTY</v>
      </c>
      <c r="K10" t="s">
        <v>114</v>
      </c>
      <c r="L10" t="s">
        <v>102</v>
      </c>
      <c r="M10" t="e">
        <f>+VLOOKUP(J10,'2. Script '!A:A,1,FALSE)</f>
        <v>#N/A</v>
      </c>
      <c r="N10">
        <f>+VLOOKUP(J10,ANL_CAMPOS_PDS!E:K,7,FALSE)</f>
        <v>0</v>
      </c>
    </row>
    <row r="11" spans="2:14">
      <c r="B11" t="s">
        <v>114</v>
      </c>
      <c r="C11" t="s">
        <v>103</v>
      </c>
      <c r="E11" t="s">
        <v>114</v>
      </c>
      <c r="F11" t="s">
        <v>102</v>
      </c>
      <c r="H11" t="s">
        <v>114</v>
      </c>
      <c r="I11" t="s">
        <v>102</v>
      </c>
      <c r="J11" s="99" t="str">
        <f t="shared" si="0"/>
        <v>ENTITYGRP_EQTY</v>
      </c>
      <c r="K11" t="s">
        <v>114</v>
      </c>
      <c r="L11" t="s">
        <v>103</v>
      </c>
      <c r="M11" t="e">
        <f>+VLOOKUP(J11,'2. Script '!A:A,1,FALSE)</f>
        <v>#N/A</v>
      </c>
      <c r="N11">
        <f>+VLOOKUP(J11,ANL_CAMPOS_PDS!E:K,7,FALSE)</f>
        <v>0</v>
      </c>
    </row>
    <row r="12" spans="2:14">
      <c r="B12" t="s">
        <v>114</v>
      </c>
      <c r="C12" t="s">
        <v>104</v>
      </c>
      <c r="E12" t="s">
        <v>114</v>
      </c>
      <c r="F12" t="s">
        <v>103</v>
      </c>
      <c r="H12" t="s">
        <v>114</v>
      </c>
      <c r="I12" t="s">
        <v>103</v>
      </c>
      <c r="J12" s="99" t="str">
        <f t="shared" si="0"/>
        <v>ENTITYANNL_TRNVR_LE</v>
      </c>
      <c r="K12" t="s">
        <v>114</v>
      </c>
      <c r="L12" t="s">
        <v>104</v>
      </c>
      <c r="M12" t="e">
        <f>+VLOOKUP(J12,'2. Script '!A:A,1,FALSE)</f>
        <v>#N/A</v>
      </c>
      <c r="N12">
        <f>+VLOOKUP(J12,ANL_CAMPOS_PDS!E:K,7,FALSE)</f>
        <v>0</v>
      </c>
    </row>
    <row r="13" spans="2:14">
      <c r="B13" t="s">
        <v>114</v>
      </c>
      <c r="C13" t="s">
        <v>105</v>
      </c>
      <c r="E13" t="s">
        <v>114</v>
      </c>
      <c r="F13" t="s">
        <v>104</v>
      </c>
      <c r="H13" t="s">
        <v>114</v>
      </c>
      <c r="I13" t="s">
        <v>104</v>
      </c>
      <c r="J13" s="99" t="str">
        <f t="shared" si="0"/>
        <v>ENTITYEQTY</v>
      </c>
      <c r="K13" t="s">
        <v>114</v>
      </c>
      <c r="L13" t="s">
        <v>105</v>
      </c>
      <c r="M13" t="e">
        <f>+VLOOKUP(J13,'2. Script '!A:A,1,FALSE)</f>
        <v>#N/A</v>
      </c>
      <c r="N13">
        <f>+VLOOKUP(J13,ANL_CAMPOS_PDS!E:K,7,FALSE)</f>
        <v>0</v>
      </c>
    </row>
    <row r="14" spans="2:14">
      <c r="B14" t="s">
        <v>114</v>
      </c>
      <c r="C14" t="s">
        <v>106</v>
      </c>
      <c r="E14" t="s">
        <v>114</v>
      </c>
      <c r="F14" t="s">
        <v>105</v>
      </c>
      <c r="H14" t="s">
        <v>114</v>
      </c>
      <c r="I14" t="s">
        <v>105</v>
      </c>
      <c r="J14" s="99" t="str">
        <f t="shared" si="0"/>
        <v>ENTITYGRP_TTL_DBT</v>
      </c>
      <c r="K14" t="s">
        <v>114</v>
      </c>
      <c r="L14" t="s">
        <v>106</v>
      </c>
      <c r="M14" t="e">
        <f>+VLOOKUP(J14,'2. Script '!A:A,1,FALSE)</f>
        <v>#N/A</v>
      </c>
      <c r="N14">
        <f>+VLOOKUP(J14,ANL_CAMPOS_PDS!E:K,7,FALSE)</f>
        <v>0</v>
      </c>
    </row>
    <row r="15" spans="2:14">
      <c r="B15" t="s">
        <v>114</v>
      </c>
      <c r="C15" t="s">
        <v>107</v>
      </c>
      <c r="E15" t="s">
        <v>114</v>
      </c>
      <c r="F15" t="s">
        <v>106</v>
      </c>
      <c r="H15" t="s">
        <v>114</v>
      </c>
      <c r="I15" t="s">
        <v>106</v>
      </c>
      <c r="J15" s="99" t="str">
        <f t="shared" si="0"/>
        <v>ENTITYTTL_DBT</v>
      </c>
      <c r="K15" t="s">
        <v>114</v>
      </c>
      <c r="L15" t="s">
        <v>107</v>
      </c>
      <c r="M15" t="e">
        <f>+VLOOKUP(J15,'2. Script '!A:A,1,FALSE)</f>
        <v>#N/A</v>
      </c>
      <c r="N15">
        <f>+VLOOKUP(J15,ANL_CAMPOS_PDS!E:K,7,FALSE)</f>
        <v>0</v>
      </c>
    </row>
    <row r="16" spans="2:14">
      <c r="B16" t="s">
        <v>304</v>
      </c>
      <c r="C16" t="s">
        <v>96</v>
      </c>
      <c r="E16" t="s">
        <v>114</v>
      </c>
      <c r="F16" t="s">
        <v>107</v>
      </c>
      <c r="H16" t="s">
        <v>114</v>
      </c>
      <c r="I16" t="s">
        <v>107</v>
      </c>
      <c r="J16" s="99" t="str">
        <f t="shared" si="0"/>
        <v>INSTR_ENTITYCOD_SOC</v>
      </c>
      <c r="K16" t="s">
        <v>304</v>
      </c>
      <c r="L16" t="s">
        <v>96</v>
      </c>
      <c r="M16" t="str">
        <f>+VLOOKUP(J16,'2. Script '!A:A,1,FALSE)</f>
        <v>INSTR_ENTITYCOD_SOC</v>
      </c>
      <c r="N16">
        <f>+VLOOKUP(J16,ANL_CAMPOS_PDS!E:K,7,FALSE)</f>
        <v>0</v>
      </c>
    </row>
    <row r="17" spans="2:14">
      <c r="B17" t="s">
        <v>304</v>
      </c>
      <c r="C17" t="s">
        <v>580</v>
      </c>
      <c r="E17" t="s">
        <v>114</v>
      </c>
      <c r="F17" t="s">
        <v>386</v>
      </c>
      <c r="H17" t="s">
        <v>114</v>
      </c>
      <c r="I17" t="s">
        <v>385</v>
      </c>
      <c r="J17" s="99" t="str">
        <f t="shared" si="0"/>
        <v>INSTR_ENTITYDT_RFRNC</v>
      </c>
      <c r="K17" t="s">
        <v>304</v>
      </c>
      <c r="L17" t="s">
        <v>580</v>
      </c>
      <c r="M17" t="e">
        <f>+VLOOKUP(J17,'2. Script '!A:A,1,FALSE)</f>
        <v>#N/A</v>
      </c>
      <c r="N17">
        <f>+VLOOKUP(J17,ANL_CAMPOS_PDS!E:K,7,FALSE)</f>
        <v>0</v>
      </c>
    </row>
    <row r="18" spans="2:14">
      <c r="B18" t="s">
        <v>304</v>
      </c>
      <c r="C18" t="s">
        <v>581</v>
      </c>
      <c r="E18" t="s">
        <v>304</v>
      </c>
      <c r="F18" t="s">
        <v>96</v>
      </c>
      <c r="H18" t="s">
        <v>114</v>
      </c>
      <c r="I18" t="s">
        <v>386</v>
      </c>
      <c r="J18" s="99" t="str">
        <f t="shared" si="0"/>
        <v>INSTR_ENTITYENTTY_ID</v>
      </c>
      <c r="K18" t="s">
        <v>304</v>
      </c>
      <c r="L18" t="s">
        <v>581</v>
      </c>
      <c r="M18" t="e">
        <f>+VLOOKUP(J18,'2. Script '!A:A,1,FALSE)</f>
        <v>#N/A</v>
      </c>
      <c r="N18">
        <f>+VLOOKUP(J18,ANL_CAMPOS_PDS!E:K,7,FALSE)</f>
        <v>0</v>
      </c>
    </row>
    <row r="19" spans="2:14">
      <c r="B19" t="s">
        <v>304</v>
      </c>
      <c r="C19" t="s">
        <v>582</v>
      </c>
      <c r="E19" t="s">
        <v>304</v>
      </c>
      <c r="F19" t="s">
        <v>580</v>
      </c>
      <c r="H19" t="s">
        <v>304</v>
      </c>
      <c r="I19" t="s">
        <v>96</v>
      </c>
      <c r="J19" s="99" t="str">
        <f t="shared" si="0"/>
        <v>INSTR_ENTITYINSTRMNT_ID</v>
      </c>
      <c r="K19" t="s">
        <v>304</v>
      </c>
      <c r="L19" t="s">
        <v>582</v>
      </c>
      <c r="M19" t="e">
        <f>+VLOOKUP(J19,'2. Script '!A:A,1,FALSE)</f>
        <v>#N/A</v>
      </c>
      <c r="N19">
        <f>+VLOOKUP(J19,ANL_CAMPOS_PDS!E:K,7,FALSE)</f>
        <v>0</v>
      </c>
    </row>
    <row r="20" spans="2:14">
      <c r="B20" t="s">
        <v>304</v>
      </c>
      <c r="C20" t="s">
        <v>393</v>
      </c>
      <c r="E20" t="s">
        <v>304</v>
      </c>
      <c r="F20" t="s">
        <v>581</v>
      </c>
      <c r="H20" t="s">
        <v>304</v>
      </c>
      <c r="I20" t="s">
        <v>580</v>
      </c>
      <c r="J20" s="99" t="str">
        <f t="shared" si="0"/>
        <v>INSTR_ENTITYMN_ENTTY_ID</v>
      </c>
      <c r="K20" t="s">
        <v>304</v>
      </c>
      <c r="L20" t="s">
        <v>393</v>
      </c>
      <c r="M20" t="str">
        <f>+VLOOKUP(J20,'2. Script '!A:A,1,FALSE)</f>
        <v>INSTR_ENTITYMN_ENTTY_ID</v>
      </c>
      <c r="N20">
        <f>+VLOOKUP(J20,ANL_CAMPOS_PDS!E:K,7,FALSE)</f>
        <v>0</v>
      </c>
    </row>
    <row r="21" spans="2:14">
      <c r="B21" t="s">
        <v>113</v>
      </c>
      <c r="C21" t="s">
        <v>88</v>
      </c>
      <c r="E21" t="s">
        <v>304</v>
      </c>
      <c r="F21" t="s">
        <v>582</v>
      </c>
      <c r="H21" t="s">
        <v>304</v>
      </c>
      <c r="I21" t="s">
        <v>581</v>
      </c>
      <c r="J21" s="99" t="str">
        <f t="shared" si="0"/>
        <v>INSTRUMENTACCMLTD_CHNGS_FV_CR_INSTRMNT</v>
      </c>
      <c r="K21" t="s">
        <v>113</v>
      </c>
      <c r="L21" t="s">
        <v>88</v>
      </c>
      <c r="M21" t="e">
        <f>+VLOOKUP(J21,'2. Script '!A:A,1,FALSE)</f>
        <v>#N/A</v>
      </c>
      <c r="N21">
        <f>+VLOOKUP(J21,ANL_CAMPOS_PDS!E:K,7,FALSE)</f>
        <v>0</v>
      </c>
    </row>
    <row r="22" spans="2:14">
      <c r="B22" t="s">
        <v>113</v>
      </c>
      <c r="C22" t="s">
        <v>91</v>
      </c>
      <c r="E22" t="s">
        <v>304</v>
      </c>
      <c r="F22" t="s">
        <v>393</v>
      </c>
      <c r="H22" t="s">
        <v>304</v>
      </c>
      <c r="I22" t="s">
        <v>582</v>
      </c>
      <c r="J22" s="99" t="str">
        <f t="shared" si="0"/>
        <v>INSTRUMENTACCMLTD_IMPRMNT_INSTRMNT</v>
      </c>
      <c r="K22" t="s">
        <v>113</v>
      </c>
      <c r="L22" t="s">
        <v>91</v>
      </c>
      <c r="M22" t="e">
        <f>+VLOOKUP(J22,'2. Script '!A:A,1,FALSE)</f>
        <v>#N/A</v>
      </c>
      <c r="N22">
        <f>+VLOOKUP(J22,ANL_CAMPOS_PDS!E:K,7,FALSE)</f>
        <v>0</v>
      </c>
    </row>
    <row r="23" spans="2:14">
      <c r="B23" t="s">
        <v>113</v>
      </c>
      <c r="C23" t="s">
        <v>89</v>
      </c>
      <c r="E23" t="s">
        <v>113</v>
      </c>
      <c r="F23" t="s">
        <v>96</v>
      </c>
      <c r="H23" t="s">
        <v>304</v>
      </c>
      <c r="I23" t="s">
        <v>393</v>
      </c>
      <c r="J23" s="99" t="str">
        <f t="shared" si="0"/>
        <v>INSTRUMENTACCNTNG_CLSSFCTN</v>
      </c>
      <c r="K23" t="s">
        <v>113</v>
      </c>
      <c r="L23" t="s">
        <v>89</v>
      </c>
      <c r="M23" t="str">
        <f>+VLOOKUP(J23,'2. Script '!A:A,1,FALSE)</f>
        <v>INSTRUMENTACCNTNG_CLSSFCTN</v>
      </c>
      <c r="N23">
        <f>+VLOOKUP(J23,ANL_CAMPOS_PDS!E:K,7,FALSE)</f>
        <v>0</v>
      </c>
    </row>
    <row r="24" spans="2:14">
      <c r="B24" t="s">
        <v>113</v>
      </c>
      <c r="C24" t="s">
        <v>81</v>
      </c>
      <c r="E24" t="s">
        <v>113</v>
      </c>
      <c r="F24" t="s">
        <v>95</v>
      </c>
      <c r="H24" t="s">
        <v>113</v>
      </c>
      <c r="I24" t="s">
        <v>96</v>
      </c>
      <c r="J24" s="99" t="str">
        <f t="shared" si="0"/>
        <v>INSTRUMENTDT_INCPTN</v>
      </c>
      <c r="K24" t="s">
        <v>113</v>
      </c>
      <c r="L24" t="s">
        <v>81</v>
      </c>
      <c r="M24" t="str">
        <f>+VLOOKUP(J24,'2. Script '!A:A,1,FALSE)</f>
        <v>INSTRUMENTDT_INCPTN</v>
      </c>
      <c r="N24">
        <f>+VLOOKUP(J24,ANL_CAMPOS_PDS!E:K,7,FALSE)</f>
        <v>0</v>
      </c>
    </row>
    <row r="25" spans="2:14">
      <c r="B25" t="s">
        <v>113</v>
      </c>
      <c r="C25" t="s">
        <v>85</v>
      </c>
      <c r="E25" t="s">
        <v>113</v>
      </c>
      <c r="F25" t="s">
        <v>580</v>
      </c>
      <c r="H25" t="s">
        <v>113</v>
      </c>
      <c r="I25" t="s">
        <v>95</v>
      </c>
      <c r="J25" s="99" t="str">
        <f t="shared" si="0"/>
        <v>INSTRUMENTPRJCT_FNNC_LN</v>
      </c>
      <c r="K25" t="s">
        <v>113</v>
      </c>
      <c r="L25" t="s">
        <v>85</v>
      </c>
      <c r="M25" t="e">
        <f>+VLOOKUP(J25,'2. Script '!A:A,1,FALSE)</f>
        <v>#N/A</v>
      </c>
      <c r="N25">
        <f>+VLOOKUP(J25,ANL_CAMPOS_PDS!E:K,7,FALSE)</f>
        <v>0</v>
      </c>
    </row>
    <row r="26" spans="2:14">
      <c r="B26" t="s">
        <v>113</v>
      </c>
      <c r="C26" t="s">
        <v>96</v>
      </c>
      <c r="E26" t="s">
        <v>113</v>
      </c>
      <c r="F26" t="s">
        <v>582</v>
      </c>
      <c r="H26" t="s">
        <v>113</v>
      </c>
      <c r="I26" t="s">
        <v>580</v>
      </c>
      <c r="J26" s="99" t="str">
        <f t="shared" si="0"/>
        <v>INSTRUMENTCOD_SOC</v>
      </c>
      <c r="K26" t="s">
        <v>113</v>
      </c>
      <c r="L26" t="s">
        <v>96</v>
      </c>
      <c r="M26" t="str">
        <f>+VLOOKUP(J26,'2. Script '!A:A,1,FALSE)</f>
        <v>INSTRUMENTCOD_SOC</v>
      </c>
      <c r="N26">
        <f>+VLOOKUP(J26,ANL_CAMPOS_PDS!E:K,7,FALSE)</f>
        <v>0</v>
      </c>
    </row>
    <row r="27" spans="2:14">
      <c r="B27" t="s">
        <v>113</v>
      </c>
      <c r="C27" t="s">
        <v>90</v>
      </c>
      <c r="E27" t="s">
        <v>113</v>
      </c>
      <c r="F27" t="s">
        <v>81</v>
      </c>
      <c r="H27" t="s">
        <v>113</v>
      </c>
      <c r="I27" t="s">
        <v>582</v>
      </c>
      <c r="J27" s="99" t="str">
        <f t="shared" si="0"/>
        <v>INSTRUMENTDT_LGL_FNL_MTRTY</v>
      </c>
      <c r="K27" t="s">
        <v>113</v>
      </c>
      <c r="L27" t="s">
        <v>90</v>
      </c>
      <c r="M27" t="str">
        <f>+VLOOKUP(J27,'2. Script '!A:A,1,FALSE)</f>
        <v>INSTRUMENTDT_LGL_FNL_MTRTY</v>
      </c>
      <c r="N27">
        <f>+VLOOKUP(J27,ANL_CAMPOS_PDS!E:K,7,FALSE)</f>
        <v>0</v>
      </c>
    </row>
    <row r="28" spans="2:14">
      <c r="B28" t="s">
        <v>113</v>
      </c>
      <c r="C28" t="s">
        <v>82</v>
      </c>
      <c r="E28" t="s">
        <v>113</v>
      </c>
      <c r="F28" t="s">
        <v>82</v>
      </c>
      <c r="H28" t="s">
        <v>113</v>
      </c>
      <c r="I28" t="s">
        <v>81</v>
      </c>
      <c r="J28" s="99" t="str">
        <f t="shared" si="0"/>
        <v>INSTRUMENTDFLT_STTS_INSTRMNT</v>
      </c>
      <c r="K28" t="s">
        <v>113</v>
      </c>
      <c r="L28" t="s">
        <v>82</v>
      </c>
      <c r="M28" t="e">
        <f>+VLOOKUP(J28,'2. Script '!A:A,1,FALSE)</f>
        <v>#N/A</v>
      </c>
      <c r="N28">
        <f>+VLOOKUP(J28,ANL_CAMPOS_PDS!E:K,7,FALSE)</f>
        <v>0</v>
      </c>
    </row>
    <row r="29" spans="2:14">
      <c r="B29" t="s">
        <v>113</v>
      </c>
      <c r="C29" t="s">
        <v>580</v>
      </c>
      <c r="E29" t="s">
        <v>113</v>
      </c>
      <c r="F29" t="s">
        <v>413</v>
      </c>
      <c r="H29" t="s">
        <v>113</v>
      </c>
      <c r="I29" t="s">
        <v>82</v>
      </c>
      <c r="J29" s="99" t="str">
        <f t="shared" si="0"/>
        <v>INSTRUMENTDT_RFRNC</v>
      </c>
      <c r="K29" t="s">
        <v>113</v>
      </c>
      <c r="L29" t="s">
        <v>580</v>
      </c>
      <c r="M29" t="e">
        <f>+VLOOKUP(J29,'2. Script '!A:A,1,FALSE)</f>
        <v>#N/A</v>
      </c>
      <c r="N29">
        <f>+VLOOKUP(J29,ANL_CAMPOS_PDS!E:K,7,FALSE)</f>
        <v>0</v>
      </c>
    </row>
    <row r="30" spans="2:14">
      <c r="B30" t="s">
        <v>113</v>
      </c>
      <c r="C30" t="s">
        <v>92</v>
      </c>
      <c r="E30" t="s">
        <v>113</v>
      </c>
      <c r="F30" t="s">
        <v>83</v>
      </c>
      <c r="H30" t="s">
        <v>113</v>
      </c>
      <c r="I30" t="s">
        <v>413</v>
      </c>
      <c r="J30" s="99" t="str">
        <f t="shared" si="0"/>
        <v>INSTRUMENTISSR_CNTRY</v>
      </c>
      <c r="K30" t="s">
        <v>113</v>
      </c>
      <c r="L30" t="s">
        <v>92</v>
      </c>
      <c r="M30" t="e">
        <f>+VLOOKUP(J30,'2. Script '!A:A,1,FALSE)</f>
        <v>#N/A</v>
      </c>
      <c r="N30">
        <f>+VLOOKUP(J30,ANL_CAMPOS_PDS!E:K,7,FALSE)</f>
        <v>0</v>
      </c>
    </row>
    <row r="31" spans="2:14">
      <c r="B31" t="s">
        <v>113</v>
      </c>
      <c r="C31" t="s">
        <v>93</v>
      </c>
      <c r="E31" t="s">
        <v>113</v>
      </c>
      <c r="F31" t="s">
        <v>84</v>
      </c>
      <c r="H31" t="s">
        <v>113</v>
      </c>
      <c r="I31" t="s">
        <v>83</v>
      </c>
      <c r="J31" s="99" t="str">
        <f t="shared" si="0"/>
        <v>INSTRUMENTISSR_NACE_SCTR</v>
      </c>
      <c r="K31" t="s">
        <v>113</v>
      </c>
      <c r="L31" t="s">
        <v>93</v>
      </c>
      <c r="M31" t="e">
        <f>+VLOOKUP(J31,'2. Script '!A:A,1,FALSE)</f>
        <v>#N/A</v>
      </c>
      <c r="N31">
        <f>+VLOOKUP(J31,ANL_CAMPOS_PDS!E:K,7,FALSE)</f>
        <v>0</v>
      </c>
    </row>
    <row r="32" spans="2:14">
      <c r="B32" t="s">
        <v>113</v>
      </c>
      <c r="C32" t="s">
        <v>94</v>
      </c>
      <c r="E32" t="s">
        <v>113</v>
      </c>
      <c r="F32" t="s">
        <v>85</v>
      </c>
      <c r="H32" t="s">
        <v>113</v>
      </c>
      <c r="I32" t="s">
        <v>84</v>
      </c>
      <c r="J32" s="99" t="str">
        <f t="shared" si="0"/>
        <v>INSTRUMENTPRMRY_ASST_CLSSF</v>
      </c>
      <c r="K32" t="s">
        <v>113</v>
      </c>
      <c r="L32" t="s">
        <v>94</v>
      </c>
      <c r="M32" t="e">
        <f>+VLOOKUP(J32,'2. Script '!A:A,1,FALSE)</f>
        <v>#N/A</v>
      </c>
      <c r="N32">
        <f>+VLOOKUP(J32,ANL_CAMPOS_PDS!E:K,7,FALSE)</f>
        <v>0</v>
      </c>
    </row>
    <row r="33" spans="2:14">
      <c r="B33" t="s">
        <v>113</v>
      </c>
      <c r="C33" t="s">
        <v>87</v>
      </c>
      <c r="E33" t="s">
        <v>113</v>
      </c>
      <c r="F33" t="s">
        <v>86</v>
      </c>
      <c r="H33" t="s">
        <v>113</v>
      </c>
      <c r="I33" t="s">
        <v>85</v>
      </c>
      <c r="J33" s="99" t="str">
        <f t="shared" si="0"/>
        <v>INSTRUMENTGRSS_CRRYNG_AMNT_INSTRMNT</v>
      </c>
      <c r="K33" t="s">
        <v>113</v>
      </c>
      <c r="L33" t="s">
        <v>87</v>
      </c>
      <c r="M33" t="str">
        <f>+VLOOKUP(J33,'2. Script '!A:A,1,FALSE)</f>
        <v>INSTRUMENTGRSS_CRRYNG_AMNT_INSTRMNT</v>
      </c>
      <c r="N33">
        <f>+VLOOKUP(J33,ANL_CAMPOS_PDS!E:K,7,FALSE)</f>
        <v>0</v>
      </c>
    </row>
    <row r="34" spans="2:14">
      <c r="B34" t="s">
        <v>113</v>
      </c>
      <c r="C34" t="s">
        <v>98</v>
      </c>
      <c r="E34" t="s">
        <v>113</v>
      </c>
      <c r="F34" t="s">
        <v>87</v>
      </c>
      <c r="H34" t="s">
        <v>113</v>
      </c>
      <c r="I34" t="s">
        <v>86</v>
      </c>
      <c r="J34" s="99" t="str">
        <f t="shared" si="0"/>
        <v>INSTRUMENTIDCMB</v>
      </c>
      <c r="K34" t="s">
        <v>113</v>
      </c>
      <c r="L34" t="s">
        <v>98</v>
      </c>
      <c r="M34" t="e">
        <f>+VLOOKUP(J34,'2. Script '!A:A,1,FALSE)</f>
        <v>#N/A</v>
      </c>
      <c r="N34">
        <f>+VLOOKUP(J34,ANL_CAMPOS_PDS!E:K,7,FALSE)</f>
        <v>0</v>
      </c>
    </row>
    <row r="35" spans="2:14">
      <c r="B35" t="s">
        <v>113</v>
      </c>
      <c r="C35" t="s">
        <v>83</v>
      </c>
      <c r="E35" t="s">
        <v>113</v>
      </c>
      <c r="F35" t="s">
        <v>88</v>
      </c>
      <c r="H35" t="s">
        <v>113</v>
      </c>
      <c r="I35" t="s">
        <v>87</v>
      </c>
      <c r="J35" s="99" t="str">
        <f t="shared" si="0"/>
        <v>INSTRUMENTIMPRMNT_STTS</v>
      </c>
      <c r="K35" t="s">
        <v>113</v>
      </c>
      <c r="L35" t="s">
        <v>83</v>
      </c>
      <c r="M35" t="e">
        <f>+VLOOKUP(J35,'2. Script '!A:A,1,FALSE)</f>
        <v>#N/A</v>
      </c>
      <c r="N35">
        <f>+VLOOKUP(J35,ANL_CAMPOS_PDS!E:K,7,FALSE)</f>
        <v>0</v>
      </c>
    </row>
    <row r="36" spans="2:14">
      <c r="B36" t="s">
        <v>113</v>
      </c>
      <c r="C36" t="s">
        <v>582</v>
      </c>
      <c r="E36" t="s">
        <v>113</v>
      </c>
      <c r="F36" t="s">
        <v>89</v>
      </c>
      <c r="H36" t="s">
        <v>113</v>
      </c>
      <c r="I36" t="s">
        <v>88</v>
      </c>
      <c r="J36" s="99" t="str">
        <f t="shared" si="0"/>
        <v>INSTRUMENTINSTRMNT_ID</v>
      </c>
      <c r="K36" t="s">
        <v>113</v>
      </c>
      <c r="L36" t="s">
        <v>582</v>
      </c>
      <c r="M36" t="e">
        <f>+VLOOKUP(J36,'2. Script '!A:A,1,FALSE)</f>
        <v>#N/A</v>
      </c>
      <c r="N36">
        <f>+VLOOKUP(J36,ANL_CAMPOS_PDS!E:K,7,FALSE)</f>
        <v>0</v>
      </c>
    </row>
    <row r="37" spans="2:14">
      <c r="B37" t="s">
        <v>113</v>
      </c>
      <c r="C37" t="s">
        <v>97</v>
      </c>
      <c r="E37" t="s">
        <v>113</v>
      </c>
      <c r="F37" t="s">
        <v>90</v>
      </c>
      <c r="H37" t="s">
        <v>113</v>
      </c>
      <c r="I37" t="s">
        <v>89</v>
      </c>
      <c r="J37" s="99" t="str">
        <f t="shared" si="0"/>
        <v>INSTRUMENTLCL_INSTMRNT_ID</v>
      </c>
      <c r="K37" t="s">
        <v>113</v>
      </c>
      <c r="L37" t="s">
        <v>97</v>
      </c>
      <c r="M37" t="e">
        <f>+VLOOKUP(J37,'2. Script '!A:A,1,FALSE)</f>
        <v>#N/A</v>
      </c>
      <c r="N37">
        <f>+VLOOKUP(J37,ANL_CAMPOS_PDS!E:K,7,FALSE)</f>
        <v>0</v>
      </c>
    </row>
    <row r="38" spans="2:14">
      <c r="B38" t="s">
        <v>113</v>
      </c>
      <c r="C38" t="s">
        <v>84</v>
      </c>
      <c r="E38" t="s">
        <v>113</v>
      </c>
      <c r="F38" t="s">
        <v>440</v>
      </c>
      <c r="H38" t="s">
        <v>113</v>
      </c>
      <c r="I38" t="s">
        <v>90</v>
      </c>
      <c r="J38" s="99" t="str">
        <f t="shared" si="0"/>
        <v>INSTRUMENTPRFRMNG_STTS</v>
      </c>
      <c r="K38" t="s">
        <v>113</v>
      </c>
      <c r="L38" t="s">
        <v>84</v>
      </c>
      <c r="M38" t="e">
        <f>+VLOOKUP(J38,'2. Script '!A:A,1,FALSE)</f>
        <v>#N/A</v>
      </c>
      <c r="N38">
        <f>+VLOOKUP(J38,ANL_CAMPOS_PDS!E:K,7,FALSE)</f>
        <v>0</v>
      </c>
    </row>
    <row r="39" spans="2:14">
      <c r="B39" t="s">
        <v>113</v>
      </c>
      <c r="C39" t="s">
        <v>95</v>
      </c>
      <c r="E39" t="s">
        <v>113</v>
      </c>
      <c r="F39" t="s">
        <v>91</v>
      </c>
      <c r="H39" t="s">
        <v>113</v>
      </c>
      <c r="I39" t="s">
        <v>439</v>
      </c>
      <c r="J39" s="99" t="str">
        <f t="shared" si="0"/>
        <v>INSTRUMENTSUBPORTFOLIO_ID</v>
      </c>
      <c r="K39" t="s">
        <v>113</v>
      </c>
      <c r="L39" t="s">
        <v>95</v>
      </c>
      <c r="M39" t="e">
        <f>+VLOOKUP(J39,'2. Script '!A:A,1,FALSE)</f>
        <v>#N/A</v>
      </c>
      <c r="N39">
        <f>+VLOOKUP(J39,ANL_CAMPOS_PDS!E:K,7,FALSE)</f>
        <v>0</v>
      </c>
    </row>
    <row r="40" spans="2:14">
      <c r="B40" t="s">
        <v>113</v>
      </c>
      <c r="C40" t="s">
        <v>86</v>
      </c>
      <c r="E40" t="s">
        <v>113</v>
      </c>
      <c r="F40" t="s">
        <v>473</v>
      </c>
      <c r="H40" t="s">
        <v>113</v>
      </c>
      <c r="I40" t="s">
        <v>452</v>
      </c>
      <c r="J40" s="99" t="str">
        <f t="shared" si="0"/>
        <v>INSTRUMENTTYP_INSTRMNT</v>
      </c>
      <c r="K40" t="s">
        <v>113</v>
      </c>
      <c r="L40" t="s">
        <v>86</v>
      </c>
      <c r="M40" t="str">
        <f>+VLOOKUP(J40,'2. Script '!A:A,1,FALSE)</f>
        <v>INSTRUMENTTYP_INSTRMNT</v>
      </c>
      <c r="N40">
        <f>+VLOOKUP(J40,ANL_CAMPOS_PDS!E:K,7,FALSE)</f>
        <v>0</v>
      </c>
    </row>
    <row r="41" spans="2:14">
      <c r="B41" t="s">
        <v>305</v>
      </c>
      <c r="C41" t="s">
        <v>96</v>
      </c>
      <c r="E41" t="s">
        <v>113</v>
      </c>
      <c r="F41" t="s">
        <v>474</v>
      </c>
      <c r="H41" t="s">
        <v>113</v>
      </c>
      <c r="I41" t="s">
        <v>91</v>
      </c>
      <c r="J41" s="99" t="str">
        <f t="shared" si="0"/>
        <v>INSTR_PROTECTIONCOD_SOC</v>
      </c>
      <c r="K41" t="s">
        <v>305</v>
      </c>
      <c r="L41" t="s">
        <v>96</v>
      </c>
      <c r="M41" t="e">
        <f>+VLOOKUP(J41,'2. Script '!A:A,1,FALSE)</f>
        <v>#N/A</v>
      </c>
      <c r="N41">
        <f>+VLOOKUP(J41,ANL_CAMPOS_PDS!E:K,7,FALSE)</f>
        <v>0</v>
      </c>
    </row>
    <row r="42" spans="2:14">
      <c r="B42" t="s">
        <v>305</v>
      </c>
      <c r="C42" t="s">
        <v>580</v>
      </c>
      <c r="E42" t="s">
        <v>113</v>
      </c>
      <c r="F42" t="s">
        <v>482</v>
      </c>
      <c r="H42" t="s">
        <v>113</v>
      </c>
      <c r="I42" t="s">
        <v>473</v>
      </c>
      <c r="J42" s="99" t="str">
        <f t="shared" si="0"/>
        <v>INSTR_PROTECTIONDT_RFRNC</v>
      </c>
      <c r="K42" t="s">
        <v>305</v>
      </c>
      <c r="L42" t="s">
        <v>580</v>
      </c>
      <c r="M42" t="e">
        <f>+VLOOKUP(J42,'2. Script '!A:A,1,FALSE)</f>
        <v>#N/A</v>
      </c>
      <c r="N42">
        <f>+VLOOKUP(J42,ANL_CAMPOS_PDS!E:K,7,FALSE)</f>
        <v>0</v>
      </c>
    </row>
    <row r="43" spans="2:14">
      <c r="B43" t="s">
        <v>305</v>
      </c>
      <c r="C43" t="s">
        <v>582</v>
      </c>
      <c r="E43" t="s">
        <v>113</v>
      </c>
      <c r="F43" t="s">
        <v>484</v>
      </c>
      <c r="H43" t="s">
        <v>113</v>
      </c>
      <c r="I43" t="s">
        <v>474</v>
      </c>
      <c r="J43" s="99" t="str">
        <f t="shared" si="0"/>
        <v>INSTR_PROTECTIONINSTRMNT_ID</v>
      </c>
      <c r="K43" t="s">
        <v>305</v>
      </c>
      <c r="L43" t="s">
        <v>582</v>
      </c>
      <c r="M43" t="e">
        <f>+VLOOKUP(J43,'2. Script '!A:A,1,FALSE)</f>
        <v>#N/A</v>
      </c>
      <c r="N43">
        <f>+VLOOKUP(J43,ANL_CAMPOS_PDS!E:K,7,FALSE)</f>
        <v>0</v>
      </c>
    </row>
    <row r="44" spans="2:14">
      <c r="B44" t="s">
        <v>305</v>
      </c>
      <c r="C44" t="s">
        <v>583</v>
      </c>
      <c r="E44" t="s">
        <v>113</v>
      </c>
      <c r="F44" t="s">
        <v>92</v>
      </c>
      <c r="H44" t="s">
        <v>113</v>
      </c>
      <c r="I44" t="s">
        <v>483</v>
      </c>
      <c r="J44" s="99" t="str">
        <f t="shared" si="0"/>
        <v>INSTR_PROTECTIONPRTCTN_ID</v>
      </c>
      <c r="K44" t="s">
        <v>305</v>
      </c>
      <c r="L44" t="s">
        <v>583</v>
      </c>
      <c r="M44" t="e">
        <f>+VLOOKUP(J44,'2. Script '!A:A,1,FALSE)</f>
        <v>#N/A</v>
      </c>
      <c r="N44">
        <f>+VLOOKUP(J44,ANL_CAMPOS_PDS!E:K,7,FALSE)</f>
        <v>0</v>
      </c>
    </row>
    <row r="45" spans="2:14">
      <c r="B45" t="s">
        <v>305</v>
      </c>
      <c r="C45" t="s">
        <v>545</v>
      </c>
      <c r="E45" t="s">
        <v>113</v>
      </c>
      <c r="F45" t="s">
        <v>93</v>
      </c>
      <c r="H45" t="s">
        <v>113</v>
      </c>
      <c r="I45" t="s">
        <v>484</v>
      </c>
      <c r="J45" s="99" t="str">
        <f t="shared" si="0"/>
        <v>INSTR_PROTECTIONPRTCTN_ALLCTD_VL</v>
      </c>
      <c r="K45" t="s">
        <v>305</v>
      </c>
      <c r="L45" t="s">
        <v>545</v>
      </c>
      <c r="M45" t="str">
        <f>+VLOOKUP(J45,'2. Script '!A:A,1,FALSE)</f>
        <v>INSTR_PROTECTIONPRTCTN_ALLCTD_VL</v>
      </c>
      <c r="N45" t="str">
        <f>+VLOOKUP(J45,ANL_CAMPOS_PDS!E:K,7,FALSE)</f>
        <v>Package 2</v>
      </c>
    </row>
    <row r="46" spans="2:14">
      <c r="B46" t="s">
        <v>115</v>
      </c>
      <c r="C46" t="s">
        <v>96</v>
      </c>
      <c r="E46" t="s">
        <v>113</v>
      </c>
      <c r="F46" t="s">
        <v>94</v>
      </c>
      <c r="H46" t="s">
        <v>113</v>
      </c>
      <c r="I46" t="s">
        <v>92</v>
      </c>
      <c r="J46" s="99" t="str">
        <f t="shared" si="0"/>
        <v>PROTECTIONCOD_SOC</v>
      </c>
      <c r="K46" t="s">
        <v>115</v>
      </c>
      <c r="L46" t="s">
        <v>96</v>
      </c>
      <c r="M46" t="str">
        <f>+VLOOKUP(J46,'2. Script '!A:A,1,FALSE)</f>
        <v>PROTECTIONCOD_SOC</v>
      </c>
      <c r="N46">
        <f>+VLOOKUP(J46,ANL_CAMPOS_PDS!E:K,7,FALSE)</f>
        <v>0</v>
      </c>
    </row>
    <row r="47" spans="2:14">
      <c r="B47" t="s">
        <v>115</v>
      </c>
      <c r="C47" t="s">
        <v>580</v>
      </c>
      <c r="E47" t="s">
        <v>113</v>
      </c>
      <c r="F47" t="s">
        <v>97</v>
      </c>
      <c r="H47" t="s">
        <v>113</v>
      </c>
      <c r="I47" t="s">
        <v>93</v>
      </c>
      <c r="J47" s="99" t="str">
        <f t="shared" si="0"/>
        <v>PROTECTIONDT_RFRNC</v>
      </c>
      <c r="K47" t="s">
        <v>115</v>
      </c>
      <c r="L47" t="s">
        <v>580</v>
      </c>
      <c r="M47" t="e">
        <f>+VLOOKUP(J47,'2. Script '!A:A,1,FALSE)</f>
        <v>#N/A</v>
      </c>
      <c r="N47">
        <f>+VLOOKUP(J47,ANL_CAMPOS_PDS!E:K,7,FALSE)</f>
        <v>0</v>
      </c>
    </row>
    <row r="48" spans="2:14">
      <c r="B48" t="s">
        <v>115</v>
      </c>
      <c r="C48" t="s">
        <v>583</v>
      </c>
      <c r="E48" t="s">
        <v>113</v>
      </c>
      <c r="F48" t="s">
        <v>98</v>
      </c>
      <c r="H48" t="s">
        <v>113</v>
      </c>
      <c r="I48" t="s">
        <v>94</v>
      </c>
      <c r="J48" s="99" t="str">
        <f t="shared" si="0"/>
        <v>PROTECTIONPRTCTN_ID</v>
      </c>
      <c r="K48" t="s">
        <v>115</v>
      </c>
      <c r="L48" t="s">
        <v>583</v>
      </c>
      <c r="M48" t="e">
        <f>+VLOOKUP(J48,'2. Script '!A:A,1,FALSE)</f>
        <v>#N/A</v>
      </c>
      <c r="N48">
        <f>+VLOOKUP(J48,ANL_CAMPOS_PDS!E:K,7,FALSE)</f>
        <v>0</v>
      </c>
    </row>
    <row r="49" spans="2:14">
      <c r="B49" t="s">
        <v>115</v>
      </c>
      <c r="C49" t="s">
        <v>108</v>
      </c>
      <c r="E49" t="s">
        <v>113</v>
      </c>
      <c r="F49" t="s">
        <v>544</v>
      </c>
      <c r="H49" t="s">
        <v>113</v>
      </c>
      <c r="I49" t="s">
        <v>97</v>
      </c>
      <c r="J49" s="99" t="str">
        <f t="shared" si="0"/>
        <v>PROTECTIONRL_ESTT_CLLTRL_LCTN</v>
      </c>
      <c r="K49" t="s">
        <v>115</v>
      </c>
      <c r="L49" t="s">
        <v>108</v>
      </c>
      <c r="M49" t="e">
        <f>+VLOOKUP(J49,'2. Script '!A:A,1,FALSE)</f>
        <v>#N/A</v>
      </c>
      <c r="N49">
        <f>+VLOOKUP(J49,ANL_CAMPOS_PDS!E:K,7,FALSE)</f>
        <v>0</v>
      </c>
    </row>
    <row r="50" spans="2:14">
      <c r="B50" t="s">
        <v>115</v>
      </c>
      <c r="C50" t="s">
        <v>109</v>
      </c>
      <c r="E50" t="s">
        <v>305</v>
      </c>
      <c r="F50" t="s">
        <v>96</v>
      </c>
      <c r="H50" t="s">
        <v>113</v>
      </c>
      <c r="I50" t="s">
        <v>98</v>
      </c>
      <c r="J50" s="99" t="str">
        <f t="shared" si="0"/>
        <v>PROTECTIONRL_ESTT_PST_CD</v>
      </c>
      <c r="K50" t="s">
        <v>115</v>
      </c>
      <c r="L50" t="s">
        <v>109</v>
      </c>
      <c r="M50" t="e">
        <f>+VLOOKUP(J50,'2. Script '!A:A,1,FALSE)</f>
        <v>#N/A</v>
      </c>
      <c r="N50">
        <f>+VLOOKUP(J50,ANL_CAMPOS_PDS!E:K,7,FALSE)</f>
        <v>0</v>
      </c>
    </row>
    <row r="51" spans="2:14">
      <c r="B51" t="s">
        <v>115</v>
      </c>
      <c r="C51" t="s">
        <v>110</v>
      </c>
      <c r="E51" t="s">
        <v>305</v>
      </c>
      <c r="F51" t="s">
        <v>580</v>
      </c>
      <c r="H51" t="s">
        <v>113</v>
      </c>
      <c r="I51" t="s">
        <v>544</v>
      </c>
      <c r="J51" s="99" t="str">
        <f t="shared" si="0"/>
        <v>PROTECTIONTYP_PRTCTN</v>
      </c>
      <c r="K51" t="s">
        <v>115</v>
      </c>
      <c r="L51" t="s">
        <v>110</v>
      </c>
      <c r="M51" t="str">
        <f>+VLOOKUP(J51,'2. Script '!A:A,1,FALSE)</f>
        <v>PROTECTIONTYP_PRTCTN</v>
      </c>
      <c r="N51">
        <f>+VLOOKUP(J51,ANL_CAMPOS_PDS!E:K,7,FALSE)</f>
        <v>0</v>
      </c>
    </row>
    <row r="52" spans="2:14">
      <c r="B52" t="s">
        <v>115</v>
      </c>
      <c r="C52" t="s">
        <v>111</v>
      </c>
      <c r="E52" t="s">
        <v>305</v>
      </c>
      <c r="F52" t="s">
        <v>582</v>
      </c>
      <c r="H52" t="s">
        <v>305</v>
      </c>
      <c r="I52" t="s">
        <v>96</v>
      </c>
      <c r="J52" s="99" t="str">
        <f t="shared" si="0"/>
        <v>PROTECTIONORGNL_PRTCTN_VL</v>
      </c>
      <c r="K52" t="s">
        <v>115</v>
      </c>
      <c r="L52" t="s">
        <v>111</v>
      </c>
      <c r="M52" t="e">
        <f>+VLOOKUP(J52,'2. Script '!A:A,1,FALSE)</f>
        <v>#N/A</v>
      </c>
      <c r="N52">
        <f>+VLOOKUP(J52,ANL_CAMPOS_PDS!E:K,7,FALSE)</f>
        <v>0</v>
      </c>
    </row>
    <row r="53" spans="2:14">
      <c r="B53" t="s">
        <v>115</v>
      </c>
      <c r="C53" t="s">
        <v>112</v>
      </c>
      <c r="E53" t="s">
        <v>305</v>
      </c>
      <c r="F53" t="s">
        <v>583</v>
      </c>
      <c r="H53" t="s">
        <v>305</v>
      </c>
      <c r="I53" t="s">
        <v>580</v>
      </c>
      <c r="J53" s="99" t="str">
        <f t="shared" si="0"/>
        <v>PROTECTIONPRTCTN_VL</v>
      </c>
      <c r="K53" t="s">
        <v>115</v>
      </c>
      <c r="L53" t="s">
        <v>112</v>
      </c>
      <c r="M53" t="str">
        <f>+VLOOKUP(J53,'2. Script '!A:A,1,FALSE)</f>
        <v>PROTECTIONPRTCTN_VL</v>
      </c>
      <c r="N53">
        <f>+VLOOKUP(J53,ANL_CAMPOS_PDS!E:K,7,FALSE)</f>
        <v>0</v>
      </c>
    </row>
    <row r="54" spans="2:14">
      <c r="E54" t="s">
        <v>305</v>
      </c>
      <c r="F54" t="s">
        <v>545</v>
      </c>
      <c r="H54" t="s">
        <v>305</v>
      </c>
      <c r="I54" t="s">
        <v>582</v>
      </c>
      <c r="J54" s="99" t="str">
        <f t="shared" si="0"/>
        <v>ENTITYENTTY_NM</v>
      </c>
      <c r="K54" t="s">
        <v>114</v>
      </c>
      <c r="L54" t="s">
        <v>317</v>
      </c>
      <c r="M54" t="str">
        <f>+VLOOKUP(J54,'2. Script '!A:A,1,FALSE)</f>
        <v>ENTITYENTTY_NM</v>
      </c>
      <c r="N54" t="str">
        <f>+VLOOKUP(J54,ANL_CAMPOS_PDS!E:K,7,FALSE)</f>
        <v>Package 3</v>
      </c>
    </row>
    <row r="55" spans="2:14">
      <c r="E55" t="s">
        <v>115</v>
      </c>
      <c r="F55" t="s">
        <v>96</v>
      </c>
      <c r="H55" t="s">
        <v>305</v>
      </c>
      <c r="I55" t="s">
        <v>583</v>
      </c>
      <c r="J55" s="99" t="str">
        <f t="shared" si="0"/>
        <v>ENTITYEC_GRP_NM</v>
      </c>
      <c r="K55" t="s">
        <v>114</v>
      </c>
      <c r="L55" t="s">
        <v>386</v>
      </c>
      <c r="M55" t="e">
        <f>+VLOOKUP(J55,'2. Script '!A:A,1,FALSE)</f>
        <v>#N/A</v>
      </c>
      <c r="N55" t="str">
        <f>+VLOOKUP(J55,ANL_CAMPOS_PDS!E:K,7,FALSE)</f>
        <v>Package 4</v>
      </c>
    </row>
    <row r="56" spans="2:14">
      <c r="E56" t="s">
        <v>115</v>
      </c>
      <c r="F56" t="s">
        <v>580</v>
      </c>
      <c r="H56" t="s">
        <v>305</v>
      </c>
      <c r="I56" t="s">
        <v>545</v>
      </c>
      <c r="J56" s="99" t="str">
        <f t="shared" si="0"/>
        <v>INSTRUMENTFRBRNC_STTS_INSTRMNT</v>
      </c>
      <c r="K56" t="s">
        <v>113</v>
      </c>
      <c r="L56" t="s">
        <v>413</v>
      </c>
      <c r="M56" t="e">
        <f>+VLOOKUP(J56,'2. Script '!A:A,1,FALSE)</f>
        <v>#N/A</v>
      </c>
      <c r="N56" t="str">
        <f>+VLOOKUP(J56,ANL_CAMPOS_PDS!E:K,7,FALSE)</f>
        <v>Package 2</v>
      </c>
    </row>
    <row r="57" spans="2:14">
      <c r="E57" t="s">
        <v>115</v>
      </c>
      <c r="F57" t="s">
        <v>583</v>
      </c>
      <c r="H57" t="s">
        <v>115</v>
      </c>
      <c r="I57" t="s">
        <v>96</v>
      </c>
      <c r="J57" s="99" t="str">
        <f t="shared" si="0"/>
        <v>INSTRUMENTIFRS9_BHVRL_MTRTY</v>
      </c>
      <c r="K57" t="s">
        <v>113</v>
      </c>
      <c r="L57" t="s">
        <v>440</v>
      </c>
      <c r="M57" t="e">
        <f>+VLOOKUP(J57,'2. Script '!A:A,1,FALSE)</f>
        <v>#N/A</v>
      </c>
      <c r="N57" t="e">
        <f>+VLOOKUP(J57,ANL_CAMPOS_PDS!E:K,7,FALSE)</f>
        <v>#N/A</v>
      </c>
    </row>
    <row r="58" spans="2:14">
      <c r="E58" t="s">
        <v>115</v>
      </c>
      <c r="F58" t="s">
        <v>108</v>
      </c>
      <c r="H58" t="s">
        <v>115</v>
      </c>
      <c r="I58" t="s">
        <v>580</v>
      </c>
      <c r="J58" s="99" t="str">
        <f t="shared" si="0"/>
        <v>INSTRUMENTLTV</v>
      </c>
      <c r="K58" t="s">
        <v>113</v>
      </c>
      <c r="L58" t="s">
        <v>473</v>
      </c>
      <c r="M58" t="e">
        <f>+VLOOKUP(J58,'2. Script '!A:A,1,FALSE)</f>
        <v>#N/A</v>
      </c>
      <c r="N58" t="str">
        <f>+VLOOKUP(J58,ANL_CAMPOS_PDS!E:K,7,FALSE)</f>
        <v>Package 3</v>
      </c>
    </row>
    <row r="59" spans="2:14">
      <c r="E59" t="s">
        <v>115</v>
      </c>
      <c r="F59" t="s">
        <v>109</v>
      </c>
      <c r="H59" t="s">
        <v>115</v>
      </c>
      <c r="I59" t="s">
        <v>583</v>
      </c>
      <c r="J59" s="99" t="str">
        <f t="shared" si="0"/>
        <v>INSTRUMENTLTV_INCPTN</v>
      </c>
      <c r="K59" t="s">
        <v>113</v>
      </c>
      <c r="L59" t="s">
        <v>474</v>
      </c>
      <c r="M59" t="e">
        <f>+VLOOKUP(J59,'2. Script '!A:A,1,FALSE)</f>
        <v>#N/A</v>
      </c>
      <c r="N59" t="str">
        <f>+VLOOKUP(J59,ANL_CAMPOS_PDS!E:K,7,FALSE)</f>
        <v>Package 3</v>
      </c>
    </row>
    <row r="60" spans="2:14">
      <c r="E60" t="s">
        <v>115</v>
      </c>
      <c r="F60" t="s">
        <v>110</v>
      </c>
      <c r="H60" t="s">
        <v>115</v>
      </c>
      <c r="I60" t="s">
        <v>108</v>
      </c>
      <c r="J60" s="99" t="str">
        <f t="shared" si="0"/>
        <v>INSTRUMENTANNLSD_AGRD_RT</v>
      </c>
      <c r="K60" t="s">
        <v>113</v>
      </c>
      <c r="L60" t="s">
        <v>482</v>
      </c>
      <c r="M60" t="e">
        <f>+VLOOKUP(J60,'2. Script '!A:A,1,FALSE)</f>
        <v>#N/A</v>
      </c>
      <c r="N60" t="e">
        <f>+VLOOKUP(J60,ANL_CAMPOS_PDS!E:K,7,FALSE)</f>
        <v>#N/A</v>
      </c>
    </row>
    <row r="61" spans="2:14">
      <c r="E61" t="s">
        <v>115</v>
      </c>
      <c r="F61" t="s">
        <v>111</v>
      </c>
      <c r="H61" t="s">
        <v>115</v>
      </c>
      <c r="I61" t="s">
        <v>109</v>
      </c>
      <c r="J61" s="99" t="str">
        <f t="shared" si="0"/>
        <v>INSTRUMENTEIR_INCPTN</v>
      </c>
      <c r="K61" t="s">
        <v>113</v>
      </c>
      <c r="L61" t="s">
        <v>484</v>
      </c>
      <c r="M61" t="e">
        <f>+VLOOKUP(J61,'2. Script '!A:A,1,FALSE)</f>
        <v>#N/A</v>
      </c>
      <c r="N61" t="str">
        <f>+VLOOKUP(J61,ANL_CAMPOS_PDS!E:K,7,FALSE)</f>
        <v>Package 3</v>
      </c>
    </row>
    <row r="62" spans="2:14">
      <c r="E62" t="s">
        <v>115</v>
      </c>
      <c r="F62" t="s">
        <v>112</v>
      </c>
      <c r="H62" t="s">
        <v>115</v>
      </c>
      <c r="I62" t="s">
        <v>110</v>
      </c>
      <c r="J62" s="99" t="str">
        <f t="shared" si="0"/>
        <v>INSTRUMENTTYP_OFF_BLNC_PRDCT</v>
      </c>
      <c r="K62" t="s">
        <v>113</v>
      </c>
      <c r="L62" t="s">
        <v>544</v>
      </c>
      <c r="M62" t="e">
        <f>+VLOOKUP(J62,'2. Script '!A:A,1,FALSE)</f>
        <v>#N/A</v>
      </c>
      <c r="N62" t="str">
        <f>+VLOOKUP(J62,ANL_CAMPOS_PDS!E:K,7,FALSE)</f>
        <v>Package 4 --&gt; Não está especificado no LT - não conseguimos testar</v>
      </c>
    </row>
    <row r="63" spans="2:14">
      <c r="E63" t="s">
        <v>115</v>
      </c>
      <c r="F63" t="s">
        <v>577</v>
      </c>
      <c r="H63" t="s">
        <v>115</v>
      </c>
      <c r="I63" t="s">
        <v>111</v>
      </c>
      <c r="J63" s="99" t="str">
        <f t="shared" si="0"/>
        <v>PROTECTIONYR_CNSTRCTN</v>
      </c>
      <c r="K63" t="s">
        <v>115</v>
      </c>
      <c r="L63" t="s">
        <v>577</v>
      </c>
      <c r="M63" t="e">
        <f>+VLOOKUP(J63,'2. Script '!A:A,1,FALSE)</f>
        <v>#N/A</v>
      </c>
      <c r="N63" t="str">
        <f>+VLOOKUP(J63,ANL_CAMPOS_PDS!E:K,7,FALSE)</f>
        <v>Package 3</v>
      </c>
    </row>
    <row r="64" spans="2:14">
      <c r="E64" t="s">
        <v>306</v>
      </c>
      <c r="F64" t="s">
        <v>578</v>
      </c>
      <c r="H64" t="s">
        <v>115</v>
      </c>
      <c r="I64" t="s">
        <v>112</v>
      </c>
      <c r="J64" s="99" t="str">
        <f t="shared" si="0"/>
        <v>INSTR_ACTIVITYPRCNTG_ACTVTY</v>
      </c>
      <c r="K64" t="s">
        <v>306</v>
      </c>
      <c r="L64" t="s">
        <v>578</v>
      </c>
      <c r="M64" t="e">
        <f>+VLOOKUP(J64,'2. Script '!A:A,1,FALSE)</f>
        <v>#N/A</v>
      </c>
      <c r="N64" t="str">
        <f>+VLOOKUP(J64,ANL_CAMPOS_PDS!E:K,7,FALSE)</f>
        <v>Package 5</v>
      </c>
    </row>
    <row r="65" spans="8:14">
      <c r="H65" t="s">
        <v>115</v>
      </c>
      <c r="I65" t="s">
        <v>577</v>
      </c>
      <c r="J65" s="99" t="str">
        <f t="shared" si="0"/>
        <v>ENTITYEC_GRP_ID</v>
      </c>
      <c r="K65" t="s">
        <v>114</v>
      </c>
      <c r="L65" t="s">
        <v>385</v>
      </c>
      <c r="M65" t="e">
        <f>+VLOOKUP(J65,'2. Script '!A:A,1,FALSE)</f>
        <v>#N/A</v>
      </c>
      <c r="N65" t="str">
        <f>+VLOOKUP(J65,ANL_CAMPOS_PDS!E:K,7,FALSE)</f>
        <v>Package 4</v>
      </c>
    </row>
    <row r="66" spans="8:14">
      <c r="J66" s="99" t="str">
        <f t="shared" si="0"/>
        <v>INSTRUMENTDT_ORGNL_MTRTY</v>
      </c>
      <c r="K66" t="s">
        <v>113</v>
      </c>
      <c r="L66" t="s">
        <v>439</v>
      </c>
      <c r="M66" t="e">
        <f>+VLOOKUP(J66,'2. Script '!A:A,1,FALSE)</f>
        <v>#N/A</v>
      </c>
      <c r="N66" t="str">
        <f>+VLOOKUP(J66,ANL_CAMPOS_PDS!E:K,7,FALSE)</f>
        <v>Package 3</v>
      </c>
    </row>
    <row r="67" spans="8:14">
      <c r="J67" s="99" t="str">
        <f t="shared" si="0"/>
        <v>INSTRUMENTRWA</v>
      </c>
      <c r="K67" t="s">
        <v>113</v>
      </c>
      <c r="L67" t="s">
        <v>452</v>
      </c>
      <c r="M67" t="e">
        <f>+VLOOKUP(J67,'2. Script '!A:A,1,FALSE)</f>
        <v>#N/A</v>
      </c>
      <c r="N67" t="str">
        <f>+VLOOKUP(J67,ANL_CAMPOS_PDS!E:K,7,FALSE)</f>
        <v>Package 3</v>
      </c>
    </row>
    <row r="68" spans="8:14">
      <c r="J68" s="99" t="str">
        <f t="shared" si="0"/>
        <v>INSTRUMENTEIR</v>
      </c>
      <c r="K68" t="s">
        <v>113</v>
      </c>
      <c r="L68" t="s">
        <v>483</v>
      </c>
      <c r="M68" t="e">
        <f>+VLOOKUP(J68,'2. Script '!A:A,1,FALSE)</f>
        <v>#N/A</v>
      </c>
      <c r="N68" t="str">
        <f>+VLOOKUP(J68,ANL_CAMPOS_PDS!E:K,7,FALSE)</f>
        <v>Package 3</v>
      </c>
    </row>
  </sheetData>
  <autoFilter ref="K4:N68" xr:uid="{00000000-0009-0000-0000-000009000000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M324"/>
  <sheetViews>
    <sheetView showGridLines="0" workbookViewId="0">
      <selection activeCell="B1" sqref="B1"/>
    </sheetView>
  </sheetViews>
  <sheetFormatPr defaultRowHeight="14.5"/>
  <cols>
    <col min="1" max="1" width="3.6328125" customWidth="1"/>
    <col min="2" max="5" width="13.36328125" customWidth="1"/>
    <col min="6" max="6" width="6.08984375" customWidth="1"/>
    <col min="7" max="7" width="15.90625" bestFit="1" customWidth="1"/>
    <col min="8" max="8" width="29.81640625" bestFit="1" customWidth="1"/>
    <col min="9" max="10" width="34.6328125" bestFit="1" customWidth="1"/>
    <col min="11" max="11" width="28.453125" bestFit="1" customWidth="1"/>
  </cols>
  <sheetData>
    <row r="2" spans="2:13">
      <c r="B2" s="91" t="s">
        <v>1067</v>
      </c>
      <c r="C2" s="91" t="s">
        <v>1067</v>
      </c>
      <c r="D2" s="91" t="s">
        <v>1067</v>
      </c>
      <c r="E2" s="91"/>
      <c r="F2" s="89" t="s">
        <v>743</v>
      </c>
      <c r="G2" s="88" t="s">
        <v>44</v>
      </c>
      <c r="H2" s="88" t="s">
        <v>45</v>
      </c>
      <c r="I2" s="88" t="s">
        <v>673</v>
      </c>
      <c r="J2" s="88" t="s">
        <v>674</v>
      </c>
      <c r="K2" s="88" t="s">
        <v>675</v>
      </c>
      <c r="L2" s="88" t="s">
        <v>744</v>
      </c>
      <c r="M2" s="88" t="s">
        <v>1067</v>
      </c>
    </row>
    <row r="3" spans="2:13">
      <c r="B3" s="92" t="s">
        <v>113</v>
      </c>
      <c r="C3" s="92" t="s">
        <v>88</v>
      </c>
      <c r="D3" s="92" t="s">
        <v>773</v>
      </c>
      <c r="E3" s="92" t="str">
        <f>+F3&amp;H3</f>
        <v>ENTITYnace_esg</v>
      </c>
      <c r="F3" s="90" t="s">
        <v>114</v>
      </c>
      <c r="G3" t="s">
        <v>23</v>
      </c>
      <c r="H3" t="s">
        <v>584</v>
      </c>
      <c r="I3" t="s">
        <v>676</v>
      </c>
      <c r="J3" t="s">
        <v>676</v>
      </c>
      <c r="L3" t="str">
        <f>+IF(IFERROR(VLOOKUP(CONCATENATE(F3,H3),'2. Script '!A:A,1,FALSE),"#")=CONCATENATE(F3,H3),"Y","N")</f>
        <v>N</v>
      </c>
      <c r="M3" t="str">
        <f t="shared" ref="M3:M34" si="0">+IF(IFERROR(VLOOKUP(CONCATENATE(F3,H3),D:D,1,FALSE),"#")=CONCATENATE(F3,H3),"Y","N")</f>
        <v>N</v>
      </c>
    </row>
    <row r="4" spans="2:13">
      <c r="B4" s="92" t="s">
        <v>113</v>
      </c>
      <c r="C4" s="92" t="s">
        <v>91</v>
      </c>
      <c r="D4" s="92" t="s">
        <v>776</v>
      </c>
      <c r="E4" s="92" t="str">
        <f t="shared" ref="E4:E67" si="1">+F4&amp;H4</f>
        <v>ENTITYtxnmy_elgbl_capex_ccm</v>
      </c>
      <c r="F4" s="90" t="s">
        <v>114</v>
      </c>
      <c r="G4" t="s">
        <v>23</v>
      </c>
      <c r="H4" t="s">
        <v>585</v>
      </c>
      <c r="I4" t="s">
        <v>677</v>
      </c>
      <c r="J4" t="s">
        <v>677</v>
      </c>
      <c r="L4" t="str">
        <f>+IF(IFERROR(VLOOKUP(CONCATENATE(F4,H4),'2. Script '!A:A,1,FALSE),"#")=CONCATENATE(F4,H4),"Y","N")</f>
        <v>N</v>
      </c>
      <c r="M4" t="str">
        <f t="shared" si="0"/>
        <v>N</v>
      </c>
    </row>
    <row r="5" spans="2:13">
      <c r="B5" s="92" t="s">
        <v>113</v>
      </c>
      <c r="C5" s="92" t="s">
        <v>455</v>
      </c>
      <c r="D5" s="92" t="s">
        <v>799</v>
      </c>
      <c r="E5" s="92" t="str">
        <f t="shared" si="1"/>
        <v>ENTITYtxnmy_elgbl_trnvr_ccm</v>
      </c>
      <c r="F5" s="90" t="s">
        <v>114</v>
      </c>
      <c r="G5" t="s">
        <v>23</v>
      </c>
      <c r="H5" t="s">
        <v>586</v>
      </c>
      <c r="I5" t="s">
        <v>677</v>
      </c>
      <c r="J5" t="s">
        <v>677</v>
      </c>
      <c r="L5" t="str">
        <f>+IF(IFERROR(VLOOKUP(CONCATENATE(F5,H5),'2. Script '!A:A,1,FALSE),"#")=CONCATENATE(F5,H5),"Y","N")</f>
        <v>N</v>
      </c>
      <c r="M5" t="str">
        <f t="shared" si="0"/>
        <v>N</v>
      </c>
    </row>
    <row r="6" spans="2:13">
      <c r="B6" s="92" t="s">
        <v>113</v>
      </c>
      <c r="C6" s="92" t="s">
        <v>456</v>
      </c>
      <c r="D6" s="92" t="s">
        <v>800</v>
      </c>
      <c r="E6" s="92" t="str">
        <f t="shared" si="1"/>
        <v>ENTITYtxnmy_elgbl_capex_cca</v>
      </c>
      <c r="F6" s="90" t="s">
        <v>114</v>
      </c>
      <c r="G6" t="s">
        <v>23</v>
      </c>
      <c r="H6" t="s">
        <v>587</v>
      </c>
      <c r="I6" t="s">
        <v>677</v>
      </c>
      <c r="J6" t="s">
        <v>677</v>
      </c>
      <c r="L6" t="str">
        <f>+IF(IFERROR(VLOOKUP(CONCATENATE(F6,H6),'2. Script '!A:A,1,FALSE),"#")=CONCATENATE(F6,H6),"Y","N")</f>
        <v>N</v>
      </c>
      <c r="M6" t="str">
        <f t="shared" si="0"/>
        <v>N</v>
      </c>
    </row>
    <row r="7" spans="2:13">
      <c r="B7" s="92" t="s">
        <v>113</v>
      </c>
      <c r="C7" s="92" t="s">
        <v>89</v>
      </c>
      <c r="D7" s="92" t="s">
        <v>774</v>
      </c>
      <c r="E7" s="92" t="str">
        <f t="shared" si="1"/>
        <v>ENTITYtxnmy_elgbl_trnvr_cca</v>
      </c>
      <c r="F7" s="90" t="s">
        <v>114</v>
      </c>
      <c r="G7" t="s">
        <v>23</v>
      </c>
      <c r="H7" t="s">
        <v>588</v>
      </c>
      <c r="I7" t="s">
        <v>677</v>
      </c>
      <c r="J7" t="s">
        <v>677</v>
      </c>
      <c r="L7" t="str">
        <f>+IF(IFERROR(VLOOKUP(CONCATENATE(F7,H7),'2. Script '!A:A,1,FALSE),"#")=CONCATENATE(F7,H7),"Y","N")</f>
        <v>N</v>
      </c>
      <c r="M7" t="str">
        <f t="shared" si="0"/>
        <v>N</v>
      </c>
    </row>
    <row r="8" spans="2:13">
      <c r="B8" s="92" t="s">
        <v>113</v>
      </c>
      <c r="C8" s="92" t="s">
        <v>432</v>
      </c>
      <c r="D8" s="92" t="s">
        <v>801</v>
      </c>
      <c r="E8" s="92" t="str">
        <f t="shared" si="1"/>
        <v>ENTITYenblng_capex_ccm</v>
      </c>
      <c r="F8" s="90" t="s">
        <v>114</v>
      </c>
      <c r="G8" t="s">
        <v>23</v>
      </c>
      <c r="H8" t="s">
        <v>589</v>
      </c>
      <c r="I8" t="s">
        <v>677</v>
      </c>
      <c r="J8" t="s">
        <v>677</v>
      </c>
      <c r="L8" t="str">
        <f>+IF(IFERROR(VLOOKUP(CONCATENATE(F8,H8),'2. Script '!A:A,1,FALSE),"#")=CONCATENATE(F8,H8),"Y","N")</f>
        <v>N</v>
      </c>
      <c r="M8" t="str">
        <f t="shared" si="0"/>
        <v>N</v>
      </c>
    </row>
    <row r="9" spans="2:13">
      <c r="B9" s="92" t="s">
        <v>113</v>
      </c>
      <c r="C9" s="92" t="s">
        <v>433</v>
      </c>
      <c r="D9" s="92" t="s">
        <v>802</v>
      </c>
      <c r="E9" s="92" t="str">
        <f t="shared" si="1"/>
        <v>ENTITYenblng_capex_cca</v>
      </c>
      <c r="F9" s="90" t="s">
        <v>114</v>
      </c>
      <c r="G9" t="s">
        <v>23</v>
      </c>
      <c r="H9" t="s">
        <v>590</v>
      </c>
      <c r="I9" t="s">
        <v>677</v>
      </c>
      <c r="J9" t="s">
        <v>677</v>
      </c>
      <c r="L9" t="str">
        <f>+IF(IFERROR(VLOOKUP(CONCATENATE(F9,H9),'2. Script '!A:A,1,FALSE),"#")=CONCATENATE(F9,H9),"Y","N")</f>
        <v>N</v>
      </c>
      <c r="M9" t="str">
        <f t="shared" si="0"/>
        <v>N</v>
      </c>
    </row>
    <row r="10" spans="2:13">
      <c r="B10" s="92" t="s">
        <v>113</v>
      </c>
      <c r="C10" s="92" t="s">
        <v>482</v>
      </c>
      <c r="D10" s="92" t="s">
        <v>779</v>
      </c>
      <c r="E10" s="92" t="str">
        <f t="shared" si="1"/>
        <v>ENTITYtrnstnl_capex</v>
      </c>
      <c r="F10" s="90" t="s">
        <v>114</v>
      </c>
      <c r="G10" t="s">
        <v>23</v>
      </c>
      <c r="H10" t="s">
        <v>591</v>
      </c>
      <c r="I10" t="s">
        <v>677</v>
      </c>
      <c r="J10" t="s">
        <v>677</v>
      </c>
      <c r="L10" t="str">
        <f>+IF(IFERROR(VLOOKUP(CONCATENATE(F10,H10),'2. Script '!A:A,1,FALSE),"#")=CONCATENATE(F10,H10),"Y","N")</f>
        <v>N</v>
      </c>
      <c r="M10" t="str">
        <f t="shared" si="0"/>
        <v>N</v>
      </c>
    </row>
    <row r="11" spans="2:13">
      <c r="B11" s="92" t="s">
        <v>113</v>
      </c>
      <c r="C11" s="92" t="s">
        <v>457</v>
      </c>
      <c r="D11" s="92" t="s">
        <v>803</v>
      </c>
      <c r="E11" s="92" t="str">
        <f t="shared" si="1"/>
        <v>ENTITYpure_capex_ccm</v>
      </c>
      <c r="F11" s="90" t="s">
        <v>114</v>
      </c>
      <c r="G11" t="s">
        <v>23</v>
      </c>
      <c r="H11" t="s">
        <v>592</v>
      </c>
      <c r="I11" t="s">
        <v>677</v>
      </c>
      <c r="J11" t="s">
        <v>677</v>
      </c>
      <c r="L11" t="str">
        <f>+IF(IFERROR(VLOOKUP(CONCATENATE(F11,H11),'2. Script '!A:A,1,FALSE),"#")=CONCATENATE(F11,H11),"Y","N")</f>
        <v>N</v>
      </c>
      <c r="M11" t="str">
        <f t="shared" si="0"/>
        <v>N</v>
      </c>
    </row>
    <row r="12" spans="2:13">
      <c r="B12" s="92" t="s">
        <v>113</v>
      </c>
      <c r="C12" s="92" t="s">
        <v>458</v>
      </c>
      <c r="D12" s="92" t="s">
        <v>804</v>
      </c>
      <c r="E12" s="92" t="str">
        <f t="shared" si="1"/>
        <v>ENTITYpure_capex_cca</v>
      </c>
      <c r="F12" s="90" t="s">
        <v>114</v>
      </c>
      <c r="G12" t="s">
        <v>23</v>
      </c>
      <c r="H12" t="s">
        <v>593</v>
      </c>
      <c r="I12" t="s">
        <v>677</v>
      </c>
      <c r="J12" t="s">
        <v>677</v>
      </c>
      <c r="L12" t="str">
        <f>+IF(IFERROR(VLOOKUP(CONCATENATE(F12,H12),'2. Script '!A:A,1,FALSE),"#")=CONCATENATE(F12,H12),"Y","N")</f>
        <v>N</v>
      </c>
      <c r="M12" t="str">
        <f t="shared" si="0"/>
        <v>N</v>
      </c>
    </row>
    <row r="13" spans="2:13">
      <c r="B13" s="92" t="s">
        <v>113</v>
      </c>
      <c r="C13" s="92" t="s">
        <v>510</v>
      </c>
      <c r="D13" s="92" t="s">
        <v>805</v>
      </c>
      <c r="E13" s="92" t="str">
        <f t="shared" si="1"/>
        <v>ENTITYenblng_trnvr_ccm</v>
      </c>
      <c r="F13" s="90" t="s">
        <v>114</v>
      </c>
      <c r="G13" t="s">
        <v>23</v>
      </c>
      <c r="H13" t="s">
        <v>594</v>
      </c>
      <c r="I13" t="s">
        <v>677</v>
      </c>
      <c r="J13" t="s">
        <v>677</v>
      </c>
      <c r="L13" t="str">
        <f>+IF(IFERROR(VLOOKUP(CONCATENATE(F13,H13),'2. Script '!A:A,1,FALSE),"#")=CONCATENATE(F13,H13),"Y","N")</f>
        <v>N</v>
      </c>
      <c r="M13" t="str">
        <f t="shared" si="0"/>
        <v>N</v>
      </c>
    </row>
    <row r="14" spans="2:13">
      <c r="B14" s="92" t="s">
        <v>113</v>
      </c>
      <c r="C14" s="92" t="s">
        <v>403</v>
      </c>
      <c r="D14" s="92" t="s">
        <v>806</v>
      </c>
      <c r="E14" s="92" t="str">
        <f t="shared" si="1"/>
        <v>ENTITYenblng_trnvr_cca</v>
      </c>
      <c r="F14" s="90" t="s">
        <v>114</v>
      </c>
      <c r="G14" t="s">
        <v>23</v>
      </c>
      <c r="H14" t="s">
        <v>595</v>
      </c>
      <c r="I14" t="s">
        <v>677</v>
      </c>
      <c r="J14" t="s">
        <v>677</v>
      </c>
      <c r="L14" t="str">
        <f>+IF(IFERROR(VLOOKUP(CONCATENATE(F14,H14),'2. Script '!A:A,1,FALSE),"#")=CONCATENATE(F14,H14),"Y","N")</f>
        <v>N</v>
      </c>
      <c r="M14" t="str">
        <f t="shared" si="0"/>
        <v>N</v>
      </c>
    </row>
    <row r="15" spans="2:13">
      <c r="B15" s="92" t="s">
        <v>113</v>
      </c>
      <c r="C15" s="92" t="s">
        <v>434</v>
      </c>
      <c r="D15" s="92" t="s">
        <v>807</v>
      </c>
      <c r="E15" s="92" t="str">
        <f t="shared" si="1"/>
        <v>ENTITYtrnstnl_trnvr</v>
      </c>
      <c r="F15" s="90" t="s">
        <v>114</v>
      </c>
      <c r="G15" t="s">
        <v>23</v>
      </c>
      <c r="H15" t="s">
        <v>596</v>
      </c>
      <c r="I15" t="s">
        <v>677</v>
      </c>
      <c r="J15" t="s">
        <v>677</v>
      </c>
      <c r="L15" t="str">
        <f>+IF(IFERROR(VLOOKUP(CONCATENATE(F15,H15),'2. Script '!A:A,1,FALSE),"#")=CONCATENATE(F15,H15),"Y","N")</f>
        <v>N</v>
      </c>
      <c r="M15" t="str">
        <f t="shared" si="0"/>
        <v>N</v>
      </c>
    </row>
    <row r="16" spans="2:13">
      <c r="B16" s="92" t="s">
        <v>113</v>
      </c>
      <c r="C16" s="92" t="s">
        <v>404</v>
      </c>
      <c r="D16" s="92" t="s">
        <v>808</v>
      </c>
      <c r="E16" s="92" t="str">
        <f t="shared" si="1"/>
        <v>ENTITYpure_trnvr_ccm</v>
      </c>
      <c r="F16" s="90" t="s">
        <v>114</v>
      </c>
      <c r="G16" t="s">
        <v>23</v>
      </c>
      <c r="H16" t="s">
        <v>597</v>
      </c>
      <c r="I16" t="s">
        <v>677</v>
      </c>
      <c r="J16" t="s">
        <v>677</v>
      </c>
      <c r="L16" t="str">
        <f>+IF(IFERROR(VLOOKUP(CONCATENATE(F16,H16),'2. Script '!A:A,1,FALSE),"#")=CONCATENATE(F16,H16),"Y","N")</f>
        <v>N</v>
      </c>
      <c r="M16" t="str">
        <f t="shared" si="0"/>
        <v>N</v>
      </c>
    </row>
    <row r="17" spans="2:13">
      <c r="B17" s="92" t="s">
        <v>113</v>
      </c>
      <c r="C17" s="92" t="s">
        <v>459</v>
      </c>
      <c r="D17" s="92" t="s">
        <v>809</v>
      </c>
      <c r="E17" s="92" t="str">
        <f t="shared" si="1"/>
        <v>ENTITYpure_trnvr_cca</v>
      </c>
      <c r="F17" s="90" t="s">
        <v>114</v>
      </c>
      <c r="G17" t="s">
        <v>23</v>
      </c>
      <c r="H17" t="s">
        <v>598</v>
      </c>
      <c r="I17" t="s">
        <v>677</v>
      </c>
      <c r="J17" t="s">
        <v>677</v>
      </c>
      <c r="L17" t="str">
        <f>+IF(IFERROR(VLOOKUP(CONCATENATE(F17,H17),'2. Script '!A:A,1,FALSE),"#")=CONCATENATE(F17,H17),"Y","N")</f>
        <v>N</v>
      </c>
      <c r="M17" t="str">
        <f t="shared" si="0"/>
        <v>N</v>
      </c>
    </row>
    <row r="18" spans="2:13">
      <c r="B18" s="92" t="s">
        <v>113</v>
      </c>
      <c r="C18" s="92" t="s">
        <v>435</v>
      </c>
      <c r="D18" s="92" t="s">
        <v>810</v>
      </c>
      <c r="E18" s="92" t="str">
        <f t="shared" si="1"/>
        <v>ENTITYflg_nfrd_applcblty</v>
      </c>
      <c r="F18" s="90" t="s">
        <v>114</v>
      </c>
      <c r="G18" t="s">
        <v>23</v>
      </c>
      <c r="H18" t="s">
        <v>599</v>
      </c>
      <c r="I18" t="s">
        <v>677</v>
      </c>
      <c r="J18" t="s">
        <v>677</v>
      </c>
      <c r="L18" t="str">
        <f>+IF(IFERROR(VLOOKUP(CONCATENATE(F18,H18),'2. Script '!A:A,1,FALSE),"#")=CONCATENATE(F18,H18),"Y","N")</f>
        <v>N</v>
      </c>
      <c r="M18" t="str">
        <f t="shared" si="0"/>
        <v>N</v>
      </c>
    </row>
    <row r="19" spans="2:13">
      <c r="B19" s="92" t="s">
        <v>113</v>
      </c>
      <c r="C19" s="92" t="s">
        <v>436</v>
      </c>
      <c r="D19" s="92" t="s">
        <v>811</v>
      </c>
      <c r="E19" s="92" t="str">
        <f t="shared" si="1"/>
        <v>ENTITYcntrprty_emssns_scp1</v>
      </c>
      <c r="F19" s="90" t="s">
        <v>114</v>
      </c>
      <c r="G19" t="s">
        <v>23</v>
      </c>
      <c r="H19" t="s">
        <v>600</v>
      </c>
      <c r="I19" t="s">
        <v>677</v>
      </c>
      <c r="J19" t="s">
        <v>677</v>
      </c>
      <c r="L19" t="str">
        <f>+IF(IFERROR(VLOOKUP(CONCATENATE(F19,H19),'2. Script '!A:A,1,FALSE),"#")=CONCATENATE(F19,H19),"Y","N")</f>
        <v>N</v>
      </c>
      <c r="M19" t="str">
        <f t="shared" si="0"/>
        <v>N</v>
      </c>
    </row>
    <row r="20" spans="2:13">
      <c r="B20" s="92" t="s">
        <v>113</v>
      </c>
      <c r="C20" s="92" t="s">
        <v>501</v>
      </c>
      <c r="D20" s="92" t="s">
        <v>812</v>
      </c>
      <c r="E20" s="92" t="str">
        <f t="shared" si="1"/>
        <v>ENTITYcntrprty_emssns_scp2</v>
      </c>
      <c r="F20" s="90" t="s">
        <v>114</v>
      </c>
      <c r="G20" t="s">
        <v>23</v>
      </c>
      <c r="H20" t="s">
        <v>601</v>
      </c>
      <c r="I20" t="s">
        <v>677</v>
      </c>
      <c r="J20" t="s">
        <v>677</v>
      </c>
      <c r="L20" t="str">
        <f>+IF(IFERROR(VLOOKUP(CONCATENATE(F20,H20),'2. Script '!A:A,1,FALSE),"#")=CONCATENATE(F20,H20),"Y","N")</f>
        <v>N</v>
      </c>
      <c r="M20" t="str">
        <f t="shared" si="0"/>
        <v>N</v>
      </c>
    </row>
    <row r="21" spans="2:13">
      <c r="B21" s="92" t="s">
        <v>113</v>
      </c>
      <c r="C21" s="92" t="s">
        <v>397</v>
      </c>
      <c r="D21" s="92" t="s">
        <v>813</v>
      </c>
      <c r="E21" s="92" t="str">
        <f t="shared" si="1"/>
        <v>ENTITYcntrprty_emssns_scp3</v>
      </c>
      <c r="F21" s="90" t="s">
        <v>114</v>
      </c>
      <c r="G21" t="s">
        <v>23</v>
      </c>
      <c r="H21" t="s">
        <v>602</v>
      </c>
      <c r="I21" t="s">
        <v>677</v>
      </c>
      <c r="J21" t="s">
        <v>677</v>
      </c>
      <c r="L21" t="str">
        <f>+IF(IFERROR(VLOOKUP(CONCATENATE(F21,H21),'2. Script '!A:A,1,FALSE),"#")=CONCATENATE(F21,H21),"Y","N")</f>
        <v>N</v>
      </c>
      <c r="M21" t="str">
        <f t="shared" si="0"/>
        <v>N</v>
      </c>
    </row>
    <row r="22" spans="2:13">
      <c r="B22" s="92" t="s">
        <v>113</v>
      </c>
      <c r="C22" s="92" t="s">
        <v>398</v>
      </c>
      <c r="D22" s="92" t="s">
        <v>814</v>
      </c>
      <c r="E22" s="92" t="str">
        <f t="shared" si="1"/>
        <v>ENTITYflg_excldd_eu_prs_algnd_bnchmrk</v>
      </c>
      <c r="F22" s="90" t="s">
        <v>114</v>
      </c>
      <c r="G22" t="s">
        <v>23</v>
      </c>
      <c r="H22" t="s">
        <v>603</v>
      </c>
      <c r="I22" t="s">
        <v>677</v>
      </c>
      <c r="J22" t="s">
        <v>677</v>
      </c>
      <c r="L22" t="str">
        <f>+IF(IFERROR(VLOOKUP(CONCATENATE(F22,H22),'2. Script '!A:A,1,FALSE),"#")=CONCATENATE(F22,H22),"Y","N")</f>
        <v>N</v>
      </c>
      <c r="M22" t="str">
        <f t="shared" si="0"/>
        <v>N</v>
      </c>
    </row>
    <row r="23" spans="2:13">
      <c r="B23" s="92" t="s">
        <v>113</v>
      </c>
      <c r="C23" s="92" t="s">
        <v>538</v>
      </c>
      <c r="D23" s="92" t="s">
        <v>815</v>
      </c>
      <c r="E23" s="92" t="str">
        <f t="shared" si="1"/>
        <v>ENTITYflg_act_physcl_rsk</v>
      </c>
      <c r="F23" s="90" t="s">
        <v>114</v>
      </c>
      <c r="G23" t="s">
        <v>23</v>
      </c>
      <c r="H23" t="s">
        <v>604</v>
      </c>
      <c r="I23" t="s">
        <v>676</v>
      </c>
      <c r="J23" t="s">
        <v>676</v>
      </c>
      <c r="L23" t="str">
        <f>+IF(IFERROR(VLOOKUP(CONCATENATE(F23,H23),'2. Script '!A:A,1,FALSE),"#")=CONCATENATE(F23,H23),"Y","N")</f>
        <v>N</v>
      </c>
      <c r="M23" t="str">
        <f t="shared" si="0"/>
        <v>N</v>
      </c>
    </row>
    <row r="24" spans="2:13">
      <c r="B24" s="92" t="s">
        <v>113</v>
      </c>
      <c r="C24" s="92" t="s">
        <v>96</v>
      </c>
      <c r="D24" s="92" t="s">
        <v>763</v>
      </c>
      <c r="E24" s="92" t="str">
        <f t="shared" si="1"/>
        <v>ENTITYflg_chrnc_physcl_rsk</v>
      </c>
      <c r="F24" s="90" t="s">
        <v>114</v>
      </c>
      <c r="G24" t="s">
        <v>23</v>
      </c>
      <c r="H24" t="s">
        <v>605</v>
      </c>
      <c r="I24" t="s">
        <v>676</v>
      </c>
      <c r="J24" t="s">
        <v>676</v>
      </c>
      <c r="L24" t="str">
        <f>+IF(IFERROR(VLOOKUP(CONCATENATE(F24,H24),'2. Script '!A:A,1,FALSE),"#")=CONCATENATE(F24,H24),"Y","N")</f>
        <v>N</v>
      </c>
      <c r="M24" t="str">
        <f t="shared" si="0"/>
        <v>N</v>
      </c>
    </row>
    <row r="25" spans="2:13">
      <c r="B25" s="92" t="s">
        <v>113</v>
      </c>
      <c r="C25" s="92" t="s">
        <v>539</v>
      </c>
      <c r="D25" s="92" t="s">
        <v>816</v>
      </c>
      <c r="E25" s="92" t="str">
        <f t="shared" si="1"/>
        <v>ENTITYpst_cd</v>
      </c>
      <c r="F25" s="90" t="s">
        <v>114</v>
      </c>
      <c r="G25" t="s">
        <v>23</v>
      </c>
      <c r="H25" s="93" t="s">
        <v>606</v>
      </c>
      <c r="I25" t="s">
        <v>677</v>
      </c>
      <c r="J25" t="s">
        <v>677</v>
      </c>
      <c r="L25" t="str">
        <f>+IF(IFERROR(VLOOKUP(CONCATENATE(F25,H25),'2. Script '!A:A,1,FALSE),"#")=CONCATENATE(F25,H25),"Y","N")</f>
        <v>N</v>
      </c>
      <c r="M25" t="str">
        <f t="shared" si="0"/>
        <v>N</v>
      </c>
    </row>
    <row r="26" spans="2:13">
      <c r="B26" s="92" t="s">
        <v>113</v>
      </c>
      <c r="C26" s="92" t="s">
        <v>511</v>
      </c>
      <c r="D26" s="92" t="s">
        <v>817</v>
      </c>
      <c r="E26" s="92" t="str">
        <f t="shared" si="1"/>
        <v>ENTITYesg_sbsctr</v>
      </c>
      <c r="F26" s="90" t="s">
        <v>114</v>
      </c>
      <c r="G26" t="s">
        <v>23</v>
      </c>
      <c r="H26" t="s">
        <v>678</v>
      </c>
      <c r="I26" t="s">
        <v>676</v>
      </c>
      <c r="J26" t="s">
        <v>676</v>
      </c>
      <c r="K26" t="s">
        <v>679</v>
      </c>
      <c r="L26" t="str">
        <f>+IF(IFERROR(VLOOKUP(CONCATENATE(F26,H26),'2. Script '!A:A,1,FALSE),"#")=CONCATENATE(F26,H26),"Y","N")</f>
        <v>N</v>
      </c>
      <c r="M26" t="str">
        <f t="shared" si="0"/>
        <v>N</v>
      </c>
    </row>
    <row r="27" spans="2:13">
      <c r="B27" s="92" t="s">
        <v>113</v>
      </c>
      <c r="C27" s="92" t="s">
        <v>579</v>
      </c>
      <c r="D27" s="92" t="s">
        <v>818</v>
      </c>
      <c r="E27" s="92" t="str">
        <f t="shared" si="1"/>
        <v>ENTITYttl_lblty</v>
      </c>
      <c r="F27" s="90" t="s">
        <v>114</v>
      </c>
      <c r="G27" t="s">
        <v>23</v>
      </c>
      <c r="H27" s="93" t="s">
        <v>607</v>
      </c>
      <c r="I27" t="s">
        <v>677</v>
      </c>
      <c r="J27" t="s">
        <v>677</v>
      </c>
      <c r="L27" t="str">
        <f>+IF(IFERROR(VLOOKUP(CONCATENATE(F27,H27),'2. Script '!A:A,1,FALSE),"#")=CONCATENATE(F27,H27),"Y","N")</f>
        <v>N</v>
      </c>
      <c r="M27" t="str">
        <f t="shared" si="0"/>
        <v>N</v>
      </c>
    </row>
    <row r="28" spans="2:13">
      <c r="B28" s="92" t="s">
        <v>113</v>
      </c>
      <c r="C28" s="92" t="s">
        <v>394</v>
      </c>
      <c r="D28" s="92" t="s">
        <v>819</v>
      </c>
      <c r="E28" s="92" t="str">
        <f t="shared" si="1"/>
        <v>ENTITYisin</v>
      </c>
      <c r="F28" s="90" t="s">
        <v>114</v>
      </c>
      <c r="G28" t="s">
        <v>23</v>
      </c>
      <c r="H28" s="93" t="s">
        <v>608</v>
      </c>
      <c r="I28" t="s">
        <v>677</v>
      </c>
      <c r="J28" t="s">
        <v>677</v>
      </c>
      <c r="L28" t="str">
        <f>+IF(IFERROR(VLOOKUP(CONCATENATE(F28,H28),'2. Script '!A:A,1,FALSE),"#")=CONCATENATE(F28,H28),"Y","N")</f>
        <v>N</v>
      </c>
      <c r="M28" t="str">
        <f t="shared" si="0"/>
        <v>N</v>
      </c>
    </row>
    <row r="29" spans="2:13">
      <c r="B29" s="92" t="s">
        <v>113</v>
      </c>
      <c r="C29" s="92" t="s">
        <v>536</v>
      </c>
      <c r="D29" s="92" t="s">
        <v>820</v>
      </c>
      <c r="E29" s="92" t="str">
        <f t="shared" si="1"/>
        <v>ENTITYgrp_annl_trnvr_le</v>
      </c>
      <c r="F29" s="90" t="s">
        <v>114</v>
      </c>
      <c r="G29" t="s">
        <v>23</v>
      </c>
      <c r="H29" s="93" t="s">
        <v>609</v>
      </c>
      <c r="I29" t="s">
        <v>677</v>
      </c>
      <c r="J29" t="s">
        <v>677</v>
      </c>
      <c r="L29" t="str">
        <f>+IF(IFERROR(VLOOKUP(CONCATENATE(F29,H29),'2. Script '!A:A,1,FALSE),"#")=CONCATENATE(F29,H29),"Y","N")</f>
        <v>N</v>
      </c>
      <c r="M29" t="str">
        <f t="shared" si="0"/>
        <v>N</v>
      </c>
    </row>
    <row r="30" spans="2:13">
      <c r="B30" s="92" t="s">
        <v>113</v>
      </c>
      <c r="C30" s="92" t="s">
        <v>399</v>
      </c>
      <c r="D30" s="92" t="s">
        <v>821</v>
      </c>
      <c r="E30" s="92" t="str">
        <f t="shared" si="1"/>
        <v>ENTITYgrp_ttl_lblty</v>
      </c>
      <c r="F30" s="90" t="s">
        <v>114</v>
      </c>
      <c r="G30" t="s">
        <v>23</v>
      </c>
      <c r="H30" s="93" t="s">
        <v>610</v>
      </c>
      <c r="I30" t="s">
        <v>677</v>
      </c>
      <c r="J30" t="s">
        <v>677</v>
      </c>
      <c r="L30" t="str">
        <f>+IF(IFERROR(VLOOKUP(CONCATENATE(F30,H30),'2. Script '!A:A,1,FALSE),"#")=CONCATENATE(F30,H30),"Y","N")</f>
        <v>N</v>
      </c>
      <c r="M30" t="str">
        <f t="shared" si="0"/>
        <v>N</v>
      </c>
    </row>
    <row r="31" spans="2:13">
      <c r="B31" s="92" t="s">
        <v>113</v>
      </c>
      <c r="C31" s="92" t="s">
        <v>437</v>
      </c>
      <c r="D31" s="92" t="s">
        <v>822</v>
      </c>
      <c r="E31" s="92" t="str">
        <f t="shared" si="1"/>
        <v>ENTITYflg_grp_nfrd_applcblty</v>
      </c>
      <c r="F31" s="90" t="s">
        <v>114</v>
      </c>
      <c r="G31" t="s">
        <v>23</v>
      </c>
      <c r="H31" t="s">
        <v>611</v>
      </c>
      <c r="I31" t="s">
        <v>677</v>
      </c>
      <c r="J31" t="s">
        <v>677</v>
      </c>
      <c r="L31" t="str">
        <f>+IF(IFERROR(VLOOKUP(CONCATENATE(F31,H31),'2. Script '!A:A,1,FALSE),"#")=CONCATENATE(F31,H31),"Y","N")</f>
        <v>N</v>
      </c>
      <c r="M31" t="str">
        <f t="shared" si="0"/>
        <v>N</v>
      </c>
    </row>
    <row r="32" spans="2:13">
      <c r="B32" s="92" t="s">
        <v>113</v>
      </c>
      <c r="C32" s="92" t="s">
        <v>405</v>
      </c>
      <c r="D32" s="92" t="s">
        <v>823</v>
      </c>
      <c r="E32" s="92" t="str">
        <f t="shared" si="1"/>
        <v>ENTITYgrp_emssns_scp1</v>
      </c>
      <c r="F32" s="90" t="s">
        <v>114</v>
      </c>
      <c r="G32" t="s">
        <v>23</v>
      </c>
      <c r="H32" t="s">
        <v>612</v>
      </c>
      <c r="I32" t="s">
        <v>677</v>
      </c>
      <c r="J32" t="s">
        <v>677</v>
      </c>
      <c r="L32" t="str">
        <f>+IF(IFERROR(VLOOKUP(CONCATENATE(F32,H32),'2. Script '!A:A,1,FALSE),"#")=CONCATENATE(F32,H32),"Y","N")</f>
        <v>N</v>
      </c>
      <c r="M32" t="str">
        <f t="shared" si="0"/>
        <v>N</v>
      </c>
    </row>
    <row r="33" spans="2:13">
      <c r="B33" s="92" t="s">
        <v>113</v>
      </c>
      <c r="C33" s="92" t="s">
        <v>406</v>
      </c>
      <c r="D33" s="92" t="s">
        <v>824</v>
      </c>
      <c r="E33" s="92" t="str">
        <f t="shared" si="1"/>
        <v>ENTITYgrp_emssns_scp2</v>
      </c>
      <c r="F33" s="90" t="s">
        <v>114</v>
      </c>
      <c r="G33" t="s">
        <v>23</v>
      </c>
      <c r="H33" t="s">
        <v>613</v>
      </c>
      <c r="I33" t="s">
        <v>677</v>
      </c>
      <c r="J33" t="s">
        <v>677</v>
      </c>
      <c r="L33" t="str">
        <f>+IF(IFERROR(VLOOKUP(CONCATENATE(F33,H33),'2. Script '!A:A,1,FALSE),"#")=CONCATENATE(F33,H33),"Y","N")</f>
        <v>N</v>
      </c>
      <c r="M33" t="str">
        <f t="shared" si="0"/>
        <v>N</v>
      </c>
    </row>
    <row r="34" spans="2:13">
      <c r="B34" s="92" t="s">
        <v>113</v>
      </c>
      <c r="C34" s="92" t="s">
        <v>407</v>
      </c>
      <c r="D34" s="92" t="s">
        <v>825</v>
      </c>
      <c r="E34" s="92" t="str">
        <f t="shared" si="1"/>
        <v>ENTITYgrp_emssns_scp3</v>
      </c>
      <c r="F34" s="90" t="s">
        <v>114</v>
      </c>
      <c r="G34" t="s">
        <v>23</v>
      </c>
      <c r="H34" t="s">
        <v>614</v>
      </c>
      <c r="I34" t="s">
        <v>677</v>
      </c>
      <c r="J34" t="s">
        <v>677</v>
      </c>
      <c r="L34" t="str">
        <f>+IF(IFERROR(VLOOKUP(CONCATENATE(F34,H34),'2. Script '!A:A,1,FALSE),"#")=CONCATENATE(F34,H34),"Y","N")</f>
        <v>N</v>
      </c>
      <c r="M34" t="str">
        <f t="shared" si="0"/>
        <v>N</v>
      </c>
    </row>
    <row r="35" spans="2:13">
      <c r="B35" s="92" t="s">
        <v>113</v>
      </c>
      <c r="C35" s="92" t="s">
        <v>438</v>
      </c>
      <c r="D35" s="92" t="s">
        <v>826</v>
      </c>
      <c r="E35" s="92" t="str">
        <f t="shared" si="1"/>
        <v>PROTECTIONtyp_ep_scr</v>
      </c>
      <c r="F35" s="90" t="s">
        <v>115</v>
      </c>
      <c r="G35" t="s">
        <v>29</v>
      </c>
      <c r="H35" t="s">
        <v>615</v>
      </c>
      <c r="I35" t="s">
        <v>677</v>
      </c>
      <c r="J35" t="s">
        <v>677</v>
      </c>
      <c r="L35" t="str">
        <f>+IF(IFERROR(VLOOKUP(CONCATENATE(F35,H35),'2. Script '!A:A,1,FALSE),"#")=CONCATENATE(F35,H35),"Y","N")</f>
        <v>N</v>
      </c>
      <c r="M35" t="str">
        <f t="shared" ref="M35:M66" si="2">+IF(IFERROR(VLOOKUP(CONCATENATE(F35,H35),D:D,1,FALSE),"#")=CONCATENATE(F35,H35),"Y","N")</f>
        <v>N</v>
      </c>
    </row>
    <row r="36" spans="2:13">
      <c r="B36" s="92" t="s">
        <v>113</v>
      </c>
      <c r="C36" s="92" t="s">
        <v>82</v>
      </c>
      <c r="D36" s="92" t="s">
        <v>766</v>
      </c>
      <c r="E36" s="92" t="str">
        <f t="shared" si="1"/>
        <v>PROTECTIONep_scr</v>
      </c>
      <c r="F36" s="90" t="s">
        <v>115</v>
      </c>
      <c r="G36" t="s">
        <v>29</v>
      </c>
      <c r="H36" t="s">
        <v>616</v>
      </c>
      <c r="I36" t="s">
        <v>677</v>
      </c>
      <c r="J36" t="s">
        <v>677</v>
      </c>
      <c r="L36" t="str">
        <f>+IF(IFERROR(VLOOKUP(CONCATENATE(F36,H36),'2. Script '!A:A,1,FALSE),"#")=CONCATENATE(F36,H36),"Y","N")</f>
        <v>N</v>
      </c>
      <c r="M36" t="str">
        <f t="shared" si="2"/>
        <v>N</v>
      </c>
    </row>
    <row r="37" spans="2:13">
      <c r="B37" s="92" t="s">
        <v>113</v>
      </c>
      <c r="C37" s="92" t="s">
        <v>460</v>
      </c>
      <c r="D37" s="92" t="s">
        <v>827</v>
      </c>
      <c r="E37" s="92" t="str">
        <f t="shared" si="1"/>
        <v>PROTECTIONtyp_epc_lbl</v>
      </c>
      <c r="F37" s="90" t="s">
        <v>115</v>
      </c>
      <c r="G37" t="s">
        <v>29</v>
      </c>
      <c r="H37" t="s">
        <v>617</v>
      </c>
      <c r="I37" t="s">
        <v>677</v>
      </c>
      <c r="J37" t="s">
        <v>677</v>
      </c>
      <c r="L37" t="str">
        <f>+IF(IFERROR(VLOOKUP(CONCATENATE(F37,H37),'2. Script '!A:A,1,FALSE),"#")=CONCATENATE(F37,H37),"Y","N")</f>
        <v>N</v>
      </c>
      <c r="M37" t="str">
        <f t="shared" si="2"/>
        <v>N</v>
      </c>
    </row>
    <row r="38" spans="2:13">
      <c r="B38" s="92" t="s">
        <v>113</v>
      </c>
      <c r="C38" s="92" t="s">
        <v>461</v>
      </c>
      <c r="D38" s="92" t="s">
        <v>828</v>
      </c>
      <c r="E38" s="92" t="str">
        <f t="shared" si="1"/>
        <v>PROTECTIONepc_lbl</v>
      </c>
      <c r="F38" s="90" t="s">
        <v>115</v>
      </c>
      <c r="G38" t="s">
        <v>29</v>
      </c>
      <c r="H38" t="s">
        <v>618</v>
      </c>
      <c r="I38" t="s">
        <v>677</v>
      </c>
      <c r="J38" t="s">
        <v>677</v>
      </c>
      <c r="L38" t="str">
        <f>+IF(IFERROR(VLOOKUP(CONCATENATE(F38,H38),'2. Script '!A:A,1,FALSE),"#")=CONCATENATE(F38,H38),"Y","N")</f>
        <v>N</v>
      </c>
      <c r="M38" t="str">
        <f t="shared" si="2"/>
        <v>N</v>
      </c>
    </row>
    <row r="39" spans="2:13">
      <c r="B39" s="92" t="s">
        <v>113</v>
      </c>
      <c r="C39" s="92" t="s">
        <v>462</v>
      </c>
      <c r="D39" s="92" t="s">
        <v>829</v>
      </c>
      <c r="E39" s="92" t="str">
        <f t="shared" si="1"/>
        <v>PROTECTIONemssns_scp1_prtctn</v>
      </c>
      <c r="F39" s="90" t="s">
        <v>115</v>
      </c>
      <c r="G39" t="s">
        <v>29</v>
      </c>
      <c r="H39" t="s">
        <v>619</v>
      </c>
      <c r="I39" t="s">
        <v>677</v>
      </c>
      <c r="J39" t="s">
        <v>677</v>
      </c>
      <c r="L39" t="str">
        <f>+IF(IFERROR(VLOOKUP(CONCATENATE(F39,H39),'2. Script '!A:A,1,FALSE),"#")=CONCATENATE(F39,H39),"Y","N")</f>
        <v>N</v>
      </c>
      <c r="M39" t="str">
        <f t="shared" si="2"/>
        <v>N</v>
      </c>
    </row>
    <row r="40" spans="2:13">
      <c r="B40" s="92" t="s">
        <v>113</v>
      </c>
      <c r="C40" s="92" t="s">
        <v>463</v>
      </c>
      <c r="D40" s="92" t="s">
        <v>830</v>
      </c>
      <c r="E40" s="92" t="str">
        <f t="shared" si="1"/>
        <v>PROTECTIONemssns_scp2_prtctn</v>
      </c>
      <c r="F40" s="90" t="s">
        <v>115</v>
      </c>
      <c r="G40" t="s">
        <v>29</v>
      </c>
      <c r="H40" t="s">
        <v>620</v>
      </c>
      <c r="I40" t="s">
        <v>677</v>
      </c>
      <c r="J40" t="s">
        <v>677</v>
      </c>
      <c r="L40" t="str">
        <f>+IF(IFERROR(VLOOKUP(CONCATENATE(F40,H40),'2. Script '!A:A,1,FALSE),"#")=CONCATENATE(F40,H40),"Y","N")</f>
        <v>N</v>
      </c>
      <c r="M40" t="str">
        <f t="shared" si="2"/>
        <v>N</v>
      </c>
    </row>
    <row r="41" spans="2:13">
      <c r="B41" s="92" t="s">
        <v>113</v>
      </c>
      <c r="C41" s="92" t="s">
        <v>464</v>
      </c>
      <c r="D41" s="92" t="s">
        <v>831</v>
      </c>
      <c r="E41" s="92" t="str">
        <f t="shared" si="1"/>
        <v>PROTECTIONemssns_scp3_prtctn</v>
      </c>
      <c r="F41" s="90" t="s">
        <v>115</v>
      </c>
      <c r="G41" t="s">
        <v>29</v>
      </c>
      <c r="H41" t="s">
        <v>621</v>
      </c>
      <c r="I41" t="s">
        <v>677</v>
      </c>
      <c r="J41" t="s">
        <v>677</v>
      </c>
      <c r="L41" t="str">
        <f>+IF(IFERROR(VLOOKUP(CONCATENATE(F41,H41),'2. Script '!A:A,1,FALSE),"#")=CONCATENATE(F41,H41),"Y","N")</f>
        <v>N</v>
      </c>
      <c r="M41" t="str">
        <f t="shared" si="2"/>
        <v>N</v>
      </c>
    </row>
    <row r="42" spans="2:13">
      <c r="B42" s="92" t="s">
        <v>113</v>
      </c>
      <c r="C42" s="92" t="s">
        <v>465</v>
      </c>
      <c r="D42" s="92" t="s">
        <v>832</v>
      </c>
      <c r="E42" s="92" t="str">
        <f t="shared" si="1"/>
        <v>PROTECTIONmthd_usd_prtctn_scp_1</v>
      </c>
      <c r="F42" s="90" t="s">
        <v>115</v>
      </c>
      <c r="G42" t="s">
        <v>29</v>
      </c>
      <c r="H42" t="s">
        <v>622</v>
      </c>
      <c r="I42" t="s">
        <v>677</v>
      </c>
      <c r="J42" t="s">
        <v>677</v>
      </c>
      <c r="L42" t="str">
        <f>+IF(IFERROR(VLOOKUP(CONCATENATE(F42,H42),'2. Script '!A:A,1,FALSE),"#")=CONCATENATE(F42,H42),"Y","N")</f>
        <v>N</v>
      </c>
      <c r="M42" t="str">
        <f t="shared" si="2"/>
        <v>N</v>
      </c>
    </row>
    <row r="43" spans="2:13">
      <c r="B43" s="92" t="s">
        <v>113</v>
      </c>
      <c r="C43" s="92" t="s">
        <v>466</v>
      </c>
      <c r="D43" s="92" t="s">
        <v>833</v>
      </c>
      <c r="E43" s="92" t="str">
        <f t="shared" si="1"/>
        <v>PROTECTIONmthd_usd_prtctn_scp_2</v>
      </c>
      <c r="F43" s="90" t="s">
        <v>115</v>
      </c>
      <c r="G43" t="s">
        <v>29</v>
      </c>
      <c r="H43" t="s">
        <v>623</v>
      </c>
      <c r="I43" t="s">
        <v>677</v>
      </c>
      <c r="J43" t="s">
        <v>677</v>
      </c>
      <c r="L43" t="str">
        <f>+IF(IFERROR(VLOOKUP(CONCATENATE(F43,H43),'2. Script '!A:A,1,FALSE),"#")=CONCATENATE(F43,H43),"Y","N")</f>
        <v>N</v>
      </c>
      <c r="M43" t="str">
        <f t="shared" si="2"/>
        <v>N</v>
      </c>
    </row>
    <row r="44" spans="2:13">
      <c r="B44" s="92" t="s">
        <v>113</v>
      </c>
      <c r="C44" s="92" t="s">
        <v>467</v>
      </c>
      <c r="D44" s="92" t="s">
        <v>834</v>
      </c>
      <c r="E44" s="92" t="str">
        <f t="shared" si="1"/>
        <v>PROTECTIONmthd_usd_prtctn_scp_3</v>
      </c>
      <c r="F44" s="90" t="s">
        <v>115</v>
      </c>
      <c r="G44" t="s">
        <v>29</v>
      </c>
      <c r="H44" t="s">
        <v>624</v>
      </c>
      <c r="I44" t="s">
        <v>677</v>
      </c>
      <c r="J44" t="s">
        <v>677</v>
      </c>
      <c r="L44" t="str">
        <f>+IF(IFERROR(VLOOKUP(CONCATENATE(F44,H44),'2. Script '!A:A,1,FALSE),"#")=CONCATENATE(F44,H44),"Y","N")</f>
        <v>N</v>
      </c>
      <c r="M44" t="str">
        <f t="shared" si="2"/>
        <v>N</v>
      </c>
    </row>
    <row r="45" spans="2:13">
      <c r="B45" s="92" t="s">
        <v>113</v>
      </c>
      <c r="C45" s="92" t="s">
        <v>541</v>
      </c>
      <c r="D45" s="92" t="s">
        <v>835</v>
      </c>
      <c r="E45" s="92" t="str">
        <f t="shared" si="1"/>
        <v>PROTECTIONflg_act_physcl_rsk</v>
      </c>
      <c r="F45" s="90" t="s">
        <v>115</v>
      </c>
      <c r="G45" t="s">
        <v>29</v>
      </c>
      <c r="H45" t="s">
        <v>604</v>
      </c>
      <c r="I45" t="s">
        <v>676</v>
      </c>
      <c r="J45" t="s">
        <v>676</v>
      </c>
      <c r="L45" t="str">
        <f>+IF(IFERROR(VLOOKUP(CONCATENATE(F45,H45),'2. Script '!A:A,1,FALSE),"#")=CONCATENATE(F45,H45),"Y","N")</f>
        <v>N</v>
      </c>
      <c r="M45" t="str">
        <f t="shared" si="2"/>
        <v>N</v>
      </c>
    </row>
    <row r="46" spans="2:13">
      <c r="B46" s="92" t="s">
        <v>113</v>
      </c>
      <c r="C46" s="92" t="s">
        <v>496</v>
      </c>
      <c r="D46" s="92" t="s">
        <v>836</v>
      </c>
      <c r="E46" s="92" t="str">
        <f t="shared" si="1"/>
        <v>PROTECTIONflg_chrnc_physcl_rsk</v>
      </c>
      <c r="F46" s="90" t="s">
        <v>115</v>
      </c>
      <c r="G46" t="s">
        <v>29</v>
      </c>
      <c r="H46" t="s">
        <v>605</v>
      </c>
      <c r="I46" t="s">
        <v>676</v>
      </c>
      <c r="J46" t="s">
        <v>676</v>
      </c>
      <c r="L46" t="str">
        <f>+IF(IFERROR(VLOOKUP(CONCATENATE(F46,H46),'2. Script '!A:A,1,FALSE),"#")=CONCATENATE(F46,H46),"Y","N")</f>
        <v>N</v>
      </c>
      <c r="M46" t="str">
        <f t="shared" si="2"/>
        <v>N</v>
      </c>
    </row>
    <row r="47" spans="2:13">
      <c r="B47" s="92" t="s">
        <v>113</v>
      </c>
      <c r="C47" s="92" t="s">
        <v>497</v>
      </c>
      <c r="D47" s="92" t="s">
        <v>837</v>
      </c>
      <c r="E47" s="92" t="str">
        <f t="shared" si="1"/>
        <v>INSTRUMENTrsk_mtgtd_cct</v>
      </c>
      <c r="F47" s="90" t="s">
        <v>113</v>
      </c>
      <c r="G47" t="s">
        <v>22</v>
      </c>
      <c r="H47" t="s">
        <v>625</v>
      </c>
      <c r="I47" t="s">
        <v>677</v>
      </c>
      <c r="J47" t="s">
        <v>677</v>
      </c>
      <c r="L47" t="str">
        <f>+IF(IFERROR(VLOOKUP(CONCATENATE(F47,H47),'2. Script '!A:A,1,FALSE),"#")=CONCATENATE(F47,H47),"Y","N")</f>
        <v>N</v>
      </c>
      <c r="M47" t="str">
        <f t="shared" si="2"/>
        <v>N</v>
      </c>
    </row>
    <row r="48" spans="2:13">
      <c r="B48" s="92" t="s">
        <v>113</v>
      </c>
      <c r="C48" s="92" t="s">
        <v>408</v>
      </c>
      <c r="D48" s="92" t="s">
        <v>838</v>
      </c>
      <c r="E48" s="92" t="str">
        <f t="shared" si="1"/>
        <v>INSTRUMENTrsk_mtgtd_ccp</v>
      </c>
      <c r="F48" s="90" t="s">
        <v>113</v>
      </c>
      <c r="G48" t="s">
        <v>22</v>
      </c>
      <c r="H48" t="s">
        <v>626</v>
      </c>
      <c r="I48" t="s">
        <v>676</v>
      </c>
      <c r="J48" t="s">
        <v>676</v>
      </c>
      <c r="L48" t="str">
        <f>+IF(IFERROR(VLOOKUP(CONCATENATE(F48,H48),'2. Script '!A:A,1,FALSE),"#")=CONCATENATE(F48,H48),"Y","N")</f>
        <v>N</v>
      </c>
      <c r="M48" t="str">
        <f t="shared" si="2"/>
        <v>N</v>
      </c>
    </row>
    <row r="49" spans="2:13">
      <c r="B49" s="92" t="s">
        <v>113</v>
      </c>
      <c r="C49" s="92" t="s">
        <v>409</v>
      </c>
      <c r="D49" s="92" t="s">
        <v>839</v>
      </c>
      <c r="E49" s="92" t="str">
        <f t="shared" si="1"/>
        <v>INSTR_ACTIVITYenvrnmntl_objctv</v>
      </c>
      <c r="F49" s="90" t="s">
        <v>306</v>
      </c>
      <c r="G49" t="s">
        <v>142</v>
      </c>
      <c r="H49" t="s">
        <v>627</v>
      </c>
      <c r="I49" t="s">
        <v>677</v>
      </c>
      <c r="J49" t="s">
        <v>677</v>
      </c>
      <c r="L49" t="str">
        <f>+IF(IFERROR(VLOOKUP(CONCATENATE(F49,H49),'2. Script '!A:A,1,FALSE),"#")=CONCATENATE(F49,H49),"Y","N")</f>
        <v>N</v>
      </c>
      <c r="M49" t="str">
        <f t="shared" si="2"/>
        <v>N</v>
      </c>
    </row>
    <row r="50" spans="2:13">
      <c r="B50" s="92" t="s">
        <v>113</v>
      </c>
      <c r="C50" s="92" t="s">
        <v>505</v>
      </c>
      <c r="D50" s="92" t="s">
        <v>840</v>
      </c>
      <c r="E50" s="92" t="str">
        <f t="shared" si="1"/>
        <v>INSTR_ACTIVITYtyp_actvty</v>
      </c>
      <c r="F50" s="90" t="s">
        <v>306</v>
      </c>
      <c r="G50" t="s">
        <v>142</v>
      </c>
      <c r="H50" t="s">
        <v>628</v>
      </c>
      <c r="I50" t="s">
        <v>677</v>
      </c>
      <c r="J50" t="s">
        <v>677</v>
      </c>
      <c r="L50" t="str">
        <f>+IF(IFERROR(VLOOKUP(CONCATENATE(F50,H50),'2. Script '!A:A,1,FALSE),"#")=CONCATENATE(F50,H50),"Y","N")</f>
        <v>N</v>
      </c>
      <c r="M50" t="str">
        <f t="shared" si="2"/>
        <v>N</v>
      </c>
    </row>
    <row r="51" spans="2:13">
      <c r="B51" s="92" t="s">
        <v>113</v>
      </c>
      <c r="C51" s="92" t="s">
        <v>410</v>
      </c>
      <c r="D51" s="92" t="s">
        <v>841</v>
      </c>
      <c r="E51" s="92" t="str">
        <f t="shared" si="1"/>
        <v>INSTRUMENTlns_clltrlzd_clssfctn</v>
      </c>
      <c r="F51" s="90" t="s">
        <v>113</v>
      </c>
      <c r="G51" t="s">
        <v>22</v>
      </c>
      <c r="H51" t="s">
        <v>629</v>
      </c>
      <c r="I51" t="s">
        <v>677</v>
      </c>
      <c r="J51" t="s">
        <v>677</v>
      </c>
      <c r="L51" t="str">
        <f>+IF(IFERROR(VLOOKUP(CONCATENATE(F51,H51),'2. Script '!A:A,1,FALSE),"#")=CONCATENATE(F51,H51),"Y","N")</f>
        <v>N</v>
      </c>
      <c r="M51" t="str">
        <f t="shared" si="2"/>
        <v>N</v>
      </c>
    </row>
    <row r="52" spans="2:13">
      <c r="B52" s="92" t="s">
        <v>113</v>
      </c>
      <c r="C52" s="92" t="s">
        <v>506</v>
      </c>
      <c r="D52" s="92" t="s">
        <v>842</v>
      </c>
      <c r="E52" s="92" t="str">
        <f t="shared" si="1"/>
        <v>INSTRUMENTmthd_usd_instrmnt_scp_1</v>
      </c>
      <c r="F52" s="90" t="s">
        <v>113</v>
      </c>
      <c r="G52" t="s">
        <v>22</v>
      </c>
      <c r="H52" t="s">
        <v>630</v>
      </c>
      <c r="I52" t="s">
        <v>676</v>
      </c>
      <c r="J52" t="s">
        <v>676</v>
      </c>
      <c r="L52" t="str">
        <f>+IF(IFERROR(VLOOKUP(CONCATENATE(F52,H52),'2. Script '!A:A,1,FALSE),"#")=CONCATENATE(F52,H52),"Y","N")</f>
        <v>N</v>
      </c>
      <c r="M52" t="str">
        <f t="shared" si="2"/>
        <v>N</v>
      </c>
    </row>
    <row r="53" spans="2:13">
      <c r="B53" s="92" t="s">
        <v>113</v>
      </c>
      <c r="C53" s="92" t="s">
        <v>411</v>
      </c>
      <c r="D53" s="92" t="s">
        <v>843</v>
      </c>
      <c r="E53" s="92" t="str">
        <f t="shared" si="1"/>
        <v>INSTRUMENTmthd_usd_instrmnt_scp_2</v>
      </c>
      <c r="F53" s="90" t="s">
        <v>113</v>
      </c>
      <c r="G53" t="s">
        <v>22</v>
      </c>
      <c r="H53" t="s">
        <v>631</v>
      </c>
      <c r="I53" t="s">
        <v>676</v>
      </c>
      <c r="J53" t="s">
        <v>676</v>
      </c>
      <c r="L53" t="str">
        <f>+IF(IFERROR(VLOOKUP(CONCATENATE(F53,H53),'2. Script '!A:A,1,FALSE),"#")=CONCATENATE(F53,H53),"Y","N")</f>
        <v>N</v>
      </c>
      <c r="M53" t="str">
        <f t="shared" si="2"/>
        <v>N</v>
      </c>
    </row>
    <row r="54" spans="2:13">
      <c r="B54" s="92" t="s">
        <v>113</v>
      </c>
      <c r="C54" s="92" t="s">
        <v>503</v>
      </c>
      <c r="D54" s="92" t="s">
        <v>844</v>
      </c>
      <c r="E54" s="92" t="str">
        <f t="shared" si="1"/>
        <v>INSTRUMENTmthd_usd_instrmnt_scp_3</v>
      </c>
      <c r="F54" s="90" t="s">
        <v>113</v>
      </c>
      <c r="G54" t="s">
        <v>22</v>
      </c>
      <c r="H54" t="s">
        <v>632</v>
      </c>
      <c r="I54" t="s">
        <v>676</v>
      </c>
      <c r="J54" t="s">
        <v>676</v>
      </c>
      <c r="L54" t="str">
        <f>+IF(IFERROR(VLOOKUP(CONCATENATE(F54,H54),'2. Script '!A:A,1,FALSE),"#")=CONCATENATE(F54,H54),"Y","N")</f>
        <v>N</v>
      </c>
      <c r="M54" t="str">
        <f t="shared" si="2"/>
        <v>N</v>
      </c>
    </row>
    <row r="55" spans="2:13">
      <c r="B55" s="92" t="s">
        <v>113</v>
      </c>
      <c r="C55" s="92" t="s">
        <v>412</v>
      </c>
      <c r="D55" s="92" t="s">
        <v>845</v>
      </c>
      <c r="E55" s="92" t="str">
        <f t="shared" si="1"/>
        <v>INSTRUMENTsstnbl_ctgry_txnmy</v>
      </c>
      <c r="F55" s="90" t="s">
        <v>113</v>
      </c>
      <c r="G55" t="s">
        <v>22</v>
      </c>
      <c r="H55" t="s">
        <v>633</v>
      </c>
      <c r="I55" t="s">
        <v>677</v>
      </c>
      <c r="J55" t="s">
        <v>677</v>
      </c>
      <c r="L55" t="str">
        <f>+IF(IFERROR(VLOOKUP(CONCATENATE(F55,H55),'2. Script '!A:A,1,FALSE),"#")=CONCATENATE(F55,H55),"Y","N")</f>
        <v>N</v>
      </c>
      <c r="M55" t="str">
        <f t="shared" si="2"/>
        <v>N</v>
      </c>
    </row>
    <row r="56" spans="2:13">
      <c r="B56" s="92" t="s">
        <v>113</v>
      </c>
      <c r="C56" s="92" t="s">
        <v>502</v>
      </c>
      <c r="D56" s="92" t="s">
        <v>846</v>
      </c>
      <c r="E56" s="92" t="str">
        <f t="shared" si="1"/>
        <v>INSTRUMENTdt_rfrnc</v>
      </c>
      <c r="F56" s="90" t="s">
        <v>113</v>
      </c>
      <c r="G56" t="s">
        <v>22</v>
      </c>
      <c r="H56" t="s">
        <v>634</v>
      </c>
      <c r="I56" t="s">
        <v>677</v>
      </c>
      <c r="J56" t="s">
        <v>677</v>
      </c>
      <c r="L56" t="str">
        <f>+IF(IFERROR(VLOOKUP(CONCATENATE(F56,H56),'2. Script '!A:A,1,FALSE),"#")=CONCATENATE(F56,H56),"Y","N")</f>
        <v>N</v>
      </c>
      <c r="M56" t="str">
        <f t="shared" si="2"/>
        <v>N</v>
      </c>
    </row>
    <row r="57" spans="2:13">
      <c r="B57" s="92" t="s">
        <v>113</v>
      </c>
      <c r="C57" s="92" t="s">
        <v>413</v>
      </c>
      <c r="D57" s="92" t="s">
        <v>767</v>
      </c>
      <c r="E57" s="92" t="str">
        <f t="shared" si="1"/>
        <v>INSTRUMENTinstrmnt_id</v>
      </c>
      <c r="F57" s="90" t="s">
        <v>113</v>
      </c>
      <c r="G57" t="s">
        <v>22</v>
      </c>
      <c r="H57" t="s">
        <v>26</v>
      </c>
      <c r="I57" t="s">
        <v>677</v>
      </c>
      <c r="J57" t="s">
        <v>677</v>
      </c>
      <c r="L57" t="str">
        <f>+IF(IFERROR(VLOOKUP(CONCATENATE(F57,H57),'2. Script '!A:A,1,FALSE),"#")=CONCATENATE(F57,H57),"Y","N")</f>
        <v>N</v>
      </c>
      <c r="M57" t="str">
        <f t="shared" si="2"/>
        <v>Y</v>
      </c>
    </row>
    <row r="58" spans="2:13">
      <c r="B58" s="92" t="s">
        <v>113</v>
      </c>
      <c r="C58" s="92" t="s">
        <v>500</v>
      </c>
      <c r="D58" s="92" t="s">
        <v>847</v>
      </c>
      <c r="E58" s="92" t="str">
        <f t="shared" si="1"/>
        <v>INSTRUMENTdt_incptn</v>
      </c>
      <c r="F58" s="90" t="s">
        <v>113</v>
      </c>
      <c r="G58" t="s">
        <v>22</v>
      </c>
      <c r="H58" t="s">
        <v>635</v>
      </c>
      <c r="I58" t="s">
        <v>677</v>
      </c>
      <c r="J58" t="s">
        <v>677</v>
      </c>
      <c r="L58" t="str">
        <f>+IF(IFERROR(VLOOKUP(CONCATENATE(F58,H58),'2. Script '!A:A,1,FALSE),"#")=CONCATENATE(F58,H58),"Y","N")</f>
        <v>Y</v>
      </c>
      <c r="M58" t="str">
        <f t="shared" si="2"/>
        <v>N</v>
      </c>
    </row>
    <row r="59" spans="2:13">
      <c r="B59" s="92" t="s">
        <v>113</v>
      </c>
      <c r="C59" s="92" t="s">
        <v>512</v>
      </c>
      <c r="D59" s="92" t="s">
        <v>848</v>
      </c>
      <c r="E59" s="92" t="str">
        <f t="shared" si="1"/>
        <v>INSTRUMENTdflt_stts_instrmnt</v>
      </c>
      <c r="F59" s="90" t="s">
        <v>113</v>
      </c>
      <c r="G59" t="s">
        <v>22</v>
      </c>
      <c r="H59" t="s">
        <v>636</v>
      </c>
      <c r="I59" t="s">
        <v>677</v>
      </c>
      <c r="J59" t="s">
        <v>677</v>
      </c>
      <c r="L59" t="str">
        <f>+IF(IFERROR(VLOOKUP(CONCATENATE(F59,H59),'2. Script '!A:A,1,FALSE),"#")=CONCATENATE(F59,H59),"Y","N")</f>
        <v>N</v>
      </c>
      <c r="M59" t="str">
        <f t="shared" si="2"/>
        <v>Y</v>
      </c>
    </row>
    <row r="60" spans="2:13">
      <c r="B60" s="92" t="s">
        <v>113</v>
      </c>
      <c r="C60" s="92" t="s">
        <v>513</v>
      </c>
      <c r="D60" s="92" t="s">
        <v>849</v>
      </c>
      <c r="E60" s="92" t="str">
        <f t="shared" si="1"/>
        <v>INSTRUMENTimprmnt_stts</v>
      </c>
      <c r="F60" s="90" t="s">
        <v>113</v>
      </c>
      <c r="G60" t="s">
        <v>22</v>
      </c>
      <c r="H60" t="s">
        <v>637</v>
      </c>
      <c r="I60" t="s">
        <v>677</v>
      </c>
      <c r="J60" t="s">
        <v>677</v>
      </c>
      <c r="L60" t="str">
        <f>+IF(IFERROR(VLOOKUP(CONCATENATE(F60,H60),'2. Script '!A:A,1,FALSE),"#")=CONCATENATE(F60,H60),"Y","N")</f>
        <v>N</v>
      </c>
      <c r="M60" t="str">
        <f t="shared" si="2"/>
        <v>Y</v>
      </c>
    </row>
    <row r="61" spans="2:13">
      <c r="B61" s="92" t="s">
        <v>113</v>
      </c>
      <c r="C61" s="92" t="s">
        <v>87</v>
      </c>
      <c r="D61" s="92" t="s">
        <v>772</v>
      </c>
      <c r="E61" s="92" t="str">
        <f t="shared" si="1"/>
        <v>INSTRUMENTprfrmng_stts</v>
      </c>
      <c r="F61" s="90" t="s">
        <v>113</v>
      </c>
      <c r="G61" t="s">
        <v>22</v>
      </c>
      <c r="H61" t="s">
        <v>638</v>
      </c>
      <c r="I61" t="s">
        <v>677</v>
      </c>
      <c r="J61" t="s">
        <v>677</v>
      </c>
      <c r="L61" t="str">
        <f>+IF(IFERROR(VLOOKUP(CONCATENATE(F61,H61),'2. Script '!A:A,1,FALSE),"#")=CONCATENATE(F61,H61),"Y","N")</f>
        <v>N</v>
      </c>
      <c r="M61" t="str">
        <f t="shared" si="2"/>
        <v>Y</v>
      </c>
    </row>
    <row r="62" spans="2:13">
      <c r="B62" s="92" t="s">
        <v>113</v>
      </c>
      <c r="C62" s="92" t="s">
        <v>514</v>
      </c>
      <c r="D62" s="92" t="s">
        <v>850</v>
      </c>
      <c r="E62" s="92" t="str">
        <f t="shared" si="1"/>
        <v>INSTRUMENTprjct_fnnc_ln</v>
      </c>
      <c r="F62" s="90" t="s">
        <v>113</v>
      </c>
      <c r="G62" t="s">
        <v>22</v>
      </c>
      <c r="H62" t="s">
        <v>639</v>
      </c>
      <c r="I62" t="s">
        <v>677</v>
      </c>
      <c r="J62" t="s">
        <v>677</v>
      </c>
      <c r="L62" t="str">
        <f>+IF(IFERROR(VLOOKUP(CONCATENATE(F62,H62),'2. Script '!A:A,1,FALSE),"#")=CONCATENATE(F62,H62),"Y","N")</f>
        <v>N</v>
      </c>
      <c r="M62" t="str">
        <f t="shared" si="2"/>
        <v>Y</v>
      </c>
    </row>
    <row r="63" spans="2:13">
      <c r="B63" s="92" t="s">
        <v>113</v>
      </c>
      <c r="C63" s="92" t="s">
        <v>98</v>
      </c>
      <c r="D63" s="92" t="s">
        <v>784</v>
      </c>
      <c r="E63" s="92" t="str">
        <f t="shared" si="1"/>
        <v>INSTRUMENTtyp_instrmnt</v>
      </c>
      <c r="F63" s="90" t="s">
        <v>113</v>
      </c>
      <c r="G63" t="s">
        <v>22</v>
      </c>
      <c r="H63" t="s">
        <v>640</v>
      </c>
      <c r="I63" t="s">
        <v>677</v>
      </c>
      <c r="J63" t="s">
        <v>677</v>
      </c>
      <c r="L63" t="str">
        <f>+IF(IFERROR(VLOOKUP(CONCATENATE(F63,H63),'2. Script '!A:A,1,FALSE),"#")=CONCATENATE(F63,H63),"Y","N")</f>
        <v>Y</v>
      </c>
      <c r="M63" t="str">
        <f t="shared" si="2"/>
        <v>Y</v>
      </c>
    </row>
    <row r="64" spans="2:13">
      <c r="B64" s="92" t="s">
        <v>113</v>
      </c>
      <c r="C64" s="92" t="s">
        <v>440</v>
      </c>
      <c r="D64" s="92" t="s">
        <v>775</v>
      </c>
      <c r="E64" s="92" t="str">
        <f t="shared" si="1"/>
        <v>INSTRUMENTgrss_crryng_amnt_instrmnt</v>
      </c>
      <c r="F64" s="90" t="s">
        <v>113</v>
      </c>
      <c r="G64" t="s">
        <v>22</v>
      </c>
      <c r="H64" t="s">
        <v>641</v>
      </c>
      <c r="I64" t="s">
        <v>677</v>
      </c>
      <c r="J64" t="s">
        <v>677</v>
      </c>
      <c r="L64" t="str">
        <f>+IF(IFERROR(VLOOKUP(CONCATENATE(F64,H64),'2. Script '!A:A,1,FALSE),"#")=CONCATENATE(F64,H64),"Y","N")</f>
        <v>Y</v>
      </c>
      <c r="M64" t="str">
        <f t="shared" si="2"/>
        <v>Y</v>
      </c>
    </row>
    <row r="65" spans="2:13">
      <c r="B65" s="92" t="s">
        <v>113</v>
      </c>
      <c r="C65" s="92" t="s">
        <v>442</v>
      </c>
      <c r="D65" s="92" t="s">
        <v>851</v>
      </c>
      <c r="E65" s="92" t="str">
        <f t="shared" si="1"/>
        <v>INSTRUMENTaccmltd_chngs_fv_cr_instrmnt</v>
      </c>
      <c r="F65" s="90" t="s">
        <v>113</v>
      </c>
      <c r="G65" t="s">
        <v>22</v>
      </c>
      <c r="H65" t="s">
        <v>642</v>
      </c>
      <c r="I65" t="s">
        <v>677</v>
      </c>
      <c r="J65" t="s">
        <v>677</v>
      </c>
      <c r="L65" t="str">
        <f>+IF(IFERROR(VLOOKUP(CONCATENATE(F65,H65),'2. Script '!A:A,1,FALSE),"#")=CONCATENATE(F65,H65),"Y","N")</f>
        <v>N</v>
      </c>
      <c r="M65" t="str">
        <f t="shared" si="2"/>
        <v>Y</v>
      </c>
    </row>
    <row r="66" spans="2:13">
      <c r="B66" s="92" t="s">
        <v>113</v>
      </c>
      <c r="C66" s="92" t="s">
        <v>443</v>
      </c>
      <c r="D66" s="92" t="s">
        <v>852</v>
      </c>
      <c r="E66" s="92" t="str">
        <f t="shared" si="1"/>
        <v>INSTRUMENTaccntng_clssfctn</v>
      </c>
      <c r="F66" s="90" t="s">
        <v>113</v>
      </c>
      <c r="G66" t="s">
        <v>22</v>
      </c>
      <c r="H66" t="s">
        <v>643</v>
      </c>
      <c r="I66" t="s">
        <v>677</v>
      </c>
      <c r="J66" t="s">
        <v>677</v>
      </c>
      <c r="L66" t="str">
        <f>+IF(IFERROR(VLOOKUP(CONCATENATE(F66,H66),'2. Script '!A:A,1,FALSE),"#")=CONCATENATE(F66,H66),"Y","N")</f>
        <v>Y</v>
      </c>
      <c r="M66" t="str">
        <f t="shared" si="2"/>
        <v>Y</v>
      </c>
    </row>
    <row r="67" spans="2:13">
      <c r="B67" s="92" t="s">
        <v>113</v>
      </c>
      <c r="C67" s="92" t="s">
        <v>471</v>
      </c>
      <c r="D67" s="92" t="s">
        <v>853</v>
      </c>
      <c r="E67" s="92" t="str">
        <f t="shared" si="1"/>
        <v>INSTRUMENTdt_lgl_fnl_mtrty</v>
      </c>
      <c r="F67" s="90" t="s">
        <v>113</v>
      </c>
      <c r="G67" t="s">
        <v>22</v>
      </c>
      <c r="H67" t="s">
        <v>644</v>
      </c>
      <c r="I67" t="s">
        <v>677</v>
      </c>
      <c r="J67" t="s">
        <v>677</v>
      </c>
      <c r="L67" t="str">
        <f>+IF(IFERROR(VLOOKUP(CONCATENATE(F67,H67),'2. Script '!A:A,1,FALSE),"#")=CONCATENATE(F67,H67),"Y","N")</f>
        <v>Y</v>
      </c>
      <c r="M67" t="str">
        <f t="shared" ref="M67:M98" si="3">+IF(IFERROR(VLOOKUP(CONCATENATE(F67,H67),D:D,1,FALSE),"#")=CONCATENATE(F67,H67),"Y","N")</f>
        <v>N</v>
      </c>
    </row>
    <row r="68" spans="2:13">
      <c r="B68" s="92" t="s">
        <v>113</v>
      </c>
      <c r="C68" s="92" t="s">
        <v>468</v>
      </c>
      <c r="D68" s="92" t="s">
        <v>854</v>
      </c>
      <c r="E68" s="92" t="str">
        <f t="shared" ref="E68:E131" si="4">+F68&amp;H68</f>
        <v>INSTRUMENTaccmltd_imprmnt_instrmnt</v>
      </c>
      <c r="F68" s="90" t="s">
        <v>113</v>
      </c>
      <c r="G68" t="s">
        <v>22</v>
      </c>
      <c r="H68" t="s">
        <v>645</v>
      </c>
      <c r="I68" t="s">
        <v>677</v>
      </c>
      <c r="J68" t="s">
        <v>677</v>
      </c>
      <c r="L68" t="str">
        <f>+IF(IFERROR(VLOOKUP(CONCATENATE(F68,H68),'2. Script '!A:A,1,FALSE),"#")=CONCATENATE(F68,H68),"Y","N")</f>
        <v>N</v>
      </c>
      <c r="M68" t="str">
        <f t="shared" si="3"/>
        <v>Y</v>
      </c>
    </row>
    <row r="69" spans="2:13">
      <c r="B69" s="92" t="s">
        <v>113</v>
      </c>
      <c r="C69" s="92" t="s">
        <v>469</v>
      </c>
      <c r="D69" s="92" t="s">
        <v>855</v>
      </c>
      <c r="E69" s="92" t="str">
        <f t="shared" si="4"/>
        <v>INSTRUMENTissr_cntry</v>
      </c>
      <c r="F69" s="90" t="s">
        <v>113</v>
      </c>
      <c r="G69" t="s">
        <v>22</v>
      </c>
      <c r="H69" t="s">
        <v>646</v>
      </c>
      <c r="I69" t="s">
        <v>677</v>
      </c>
      <c r="J69" t="s">
        <v>677</v>
      </c>
      <c r="L69" t="str">
        <f>+IF(IFERROR(VLOOKUP(CONCATENATE(F69,H69),'2. Script '!A:A,1,FALSE),"#")=CONCATENATE(F69,H69),"Y","N")</f>
        <v>N</v>
      </c>
      <c r="M69" t="str">
        <f t="shared" si="3"/>
        <v>Y</v>
      </c>
    </row>
    <row r="70" spans="2:13">
      <c r="B70" s="92" t="s">
        <v>113</v>
      </c>
      <c r="C70" s="92" t="s">
        <v>83</v>
      </c>
      <c r="D70" s="92" t="s">
        <v>768</v>
      </c>
      <c r="E70" s="92" t="str">
        <f t="shared" si="4"/>
        <v>INSTRUMENTissr_nace_sctr</v>
      </c>
      <c r="F70" s="90" t="s">
        <v>113</v>
      </c>
      <c r="G70" t="s">
        <v>22</v>
      </c>
      <c r="H70" t="s">
        <v>647</v>
      </c>
      <c r="I70" t="s">
        <v>677</v>
      </c>
      <c r="J70" t="s">
        <v>677</v>
      </c>
      <c r="L70" t="str">
        <f>+IF(IFERROR(VLOOKUP(CONCATENATE(F70,H70),'2. Script '!A:A,1,FALSE),"#")=CONCATENATE(F70,H70),"Y","N")</f>
        <v>N</v>
      </c>
      <c r="M70" t="str">
        <f t="shared" si="3"/>
        <v>Y</v>
      </c>
    </row>
    <row r="71" spans="2:13">
      <c r="B71" s="92" t="s">
        <v>113</v>
      </c>
      <c r="C71" s="92" t="s">
        <v>414</v>
      </c>
      <c r="D71" s="92" t="s">
        <v>856</v>
      </c>
      <c r="E71" s="92" t="str">
        <f t="shared" si="4"/>
        <v>INSTRUMENTprmry_asst_clssf</v>
      </c>
      <c r="F71" s="90" t="s">
        <v>113</v>
      </c>
      <c r="G71" t="s">
        <v>22</v>
      </c>
      <c r="H71" t="s">
        <v>648</v>
      </c>
      <c r="I71" t="s">
        <v>677</v>
      </c>
      <c r="J71" t="s">
        <v>677</v>
      </c>
      <c r="L71" t="str">
        <f>+IF(IFERROR(VLOOKUP(CONCATENATE(F71,H71),'2. Script '!A:A,1,FALSE),"#")=CONCATENATE(F71,H71),"Y","N")</f>
        <v>N</v>
      </c>
      <c r="M71" t="str">
        <f t="shared" si="3"/>
        <v>Y</v>
      </c>
    </row>
    <row r="72" spans="2:13">
      <c r="B72" s="92" t="s">
        <v>113</v>
      </c>
      <c r="C72" s="92" t="s">
        <v>444</v>
      </c>
      <c r="D72" s="92" t="s">
        <v>857</v>
      </c>
      <c r="E72" s="92" t="str">
        <f t="shared" si="4"/>
        <v>INSTRUMENTsubportfolio_id</v>
      </c>
      <c r="F72" s="90" t="s">
        <v>113</v>
      </c>
      <c r="G72" t="s">
        <v>22</v>
      </c>
      <c r="H72" t="s">
        <v>649</v>
      </c>
      <c r="I72" t="s">
        <v>677</v>
      </c>
      <c r="J72" t="s">
        <v>677</v>
      </c>
      <c r="L72" t="str">
        <f>+IF(IFERROR(VLOOKUP(CONCATENATE(F72,H72),'2. Script '!A:A,1,FALSE),"#")=CONCATENATE(F72,H72),"Y","N")</f>
        <v>N</v>
      </c>
      <c r="M72" t="str">
        <f t="shared" si="3"/>
        <v>Y</v>
      </c>
    </row>
    <row r="73" spans="2:13">
      <c r="B73" s="92" t="s">
        <v>113</v>
      </c>
      <c r="C73" s="92" t="s">
        <v>515</v>
      </c>
      <c r="D73" s="92" t="s">
        <v>858</v>
      </c>
      <c r="E73" s="92" t="str">
        <f t="shared" si="4"/>
        <v>INSTRUMENTcod_soc</v>
      </c>
      <c r="F73" s="90" t="s">
        <v>113</v>
      </c>
      <c r="G73" t="s">
        <v>22</v>
      </c>
      <c r="H73" t="s">
        <v>650</v>
      </c>
      <c r="I73" t="s">
        <v>677</v>
      </c>
      <c r="J73" t="s">
        <v>677</v>
      </c>
      <c r="L73" t="str">
        <f>+IF(IFERROR(VLOOKUP(CONCATENATE(F73,H73),'2. Script '!A:A,1,FALSE),"#")=CONCATENATE(F73,H73),"Y","N")</f>
        <v>Y</v>
      </c>
      <c r="M73" t="str">
        <f t="shared" si="3"/>
        <v>Y</v>
      </c>
    </row>
    <row r="74" spans="2:13">
      <c r="B74" s="92" t="s">
        <v>113</v>
      </c>
      <c r="C74" s="92" t="s">
        <v>516</v>
      </c>
      <c r="D74" s="92" t="s">
        <v>859</v>
      </c>
      <c r="E74" s="92" t="str">
        <f t="shared" si="4"/>
        <v>INSTRUMENTlcl_instmrnt_id</v>
      </c>
      <c r="F74" s="90" t="s">
        <v>113</v>
      </c>
      <c r="G74" t="s">
        <v>22</v>
      </c>
      <c r="H74" t="s">
        <v>651</v>
      </c>
      <c r="I74" t="s">
        <v>677</v>
      </c>
      <c r="J74" t="s">
        <v>677</v>
      </c>
      <c r="L74" t="str">
        <f>+IF(IFERROR(VLOOKUP(CONCATENATE(F74,H74),'2. Script '!A:A,1,FALSE),"#")=CONCATENATE(F74,H74),"Y","N")</f>
        <v>N</v>
      </c>
      <c r="M74" t="str">
        <f t="shared" si="3"/>
        <v>Y</v>
      </c>
    </row>
    <row r="75" spans="2:13">
      <c r="B75" s="92" t="s">
        <v>113</v>
      </c>
      <c r="C75" s="92" t="s">
        <v>582</v>
      </c>
      <c r="D75" s="92" t="s">
        <v>765</v>
      </c>
      <c r="E75" s="92" t="str">
        <f t="shared" si="4"/>
        <v>INSTR_ACTIVITYsstnbl_indctr</v>
      </c>
      <c r="F75" s="90" t="s">
        <v>306</v>
      </c>
      <c r="G75" t="s">
        <v>142</v>
      </c>
      <c r="H75" t="s">
        <v>680</v>
      </c>
      <c r="I75" t="s">
        <v>681</v>
      </c>
      <c r="J75" t="s">
        <v>681</v>
      </c>
      <c r="K75" t="s">
        <v>682</v>
      </c>
      <c r="L75" t="str">
        <f>+IF(IFERROR(VLOOKUP(CONCATENATE(F75,H75),'2. Script '!A:A,1,FALSE),"#")=CONCATENATE(F75,H75),"Y","N")</f>
        <v>N</v>
      </c>
      <c r="M75" t="str">
        <f t="shared" si="3"/>
        <v>N</v>
      </c>
    </row>
    <row r="76" spans="2:13">
      <c r="B76" s="92" t="s">
        <v>113</v>
      </c>
      <c r="C76" s="92" t="s">
        <v>339</v>
      </c>
      <c r="D76" s="92" t="s">
        <v>860</v>
      </c>
      <c r="E76" s="92" t="str">
        <f t="shared" si="4"/>
        <v>INSTR_ACTIVITYCOD_SOC</v>
      </c>
      <c r="F76" s="90" t="s">
        <v>306</v>
      </c>
      <c r="G76" t="s">
        <v>142</v>
      </c>
      <c r="H76" t="s">
        <v>96</v>
      </c>
      <c r="I76" t="s">
        <v>683</v>
      </c>
      <c r="J76" t="s">
        <v>684</v>
      </c>
      <c r="K76" t="s">
        <v>685</v>
      </c>
      <c r="L76" t="str">
        <f>+IF(IFERROR(VLOOKUP(CONCATENATE(F76,H76),'2. Script '!A:A,1,FALSE),"#")=CONCATENATE(F76,H76),"Y","N")</f>
        <v>N</v>
      </c>
      <c r="M76" t="str">
        <f t="shared" si="3"/>
        <v>N</v>
      </c>
    </row>
    <row r="77" spans="2:13">
      <c r="B77" s="92" t="s">
        <v>113</v>
      </c>
      <c r="C77" s="92" t="s">
        <v>415</v>
      </c>
      <c r="D77" s="92" t="s">
        <v>861</v>
      </c>
      <c r="E77" s="92" t="str">
        <f t="shared" si="4"/>
        <v>INSTR_ACTIVITYDT_RFRNC</v>
      </c>
      <c r="F77" s="90" t="s">
        <v>306</v>
      </c>
      <c r="G77" t="s">
        <v>142</v>
      </c>
      <c r="H77" t="s">
        <v>580</v>
      </c>
      <c r="I77" t="s">
        <v>683</v>
      </c>
      <c r="J77" t="s">
        <v>683</v>
      </c>
      <c r="K77" t="s">
        <v>686</v>
      </c>
      <c r="L77" t="str">
        <f>+IF(IFERROR(VLOOKUP(CONCATENATE(F77,H77),'2. Script '!A:A,1,FALSE),"#")=CONCATENATE(F77,H77),"Y","N")</f>
        <v>N</v>
      </c>
      <c r="M77" t="str">
        <f t="shared" si="3"/>
        <v>N</v>
      </c>
    </row>
    <row r="78" spans="2:13">
      <c r="B78" s="92" t="s">
        <v>113</v>
      </c>
      <c r="C78" s="92" t="s">
        <v>315</v>
      </c>
      <c r="D78" s="92" t="s">
        <v>862</v>
      </c>
      <c r="E78" s="92" t="str">
        <f t="shared" si="4"/>
        <v>INSTR_ACTIVITYINSTRMNT_ID</v>
      </c>
      <c r="F78" s="90" t="s">
        <v>306</v>
      </c>
      <c r="G78" t="s">
        <v>142</v>
      </c>
      <c r="H78" t="s">
        <v>582</v>
      </c>
      <c r="I78" t="s">
        <v>683</v>
      </c>
      <c r="J78" t="s">
        <v>684</v>
      </c>
      <c r="K78" t="s">
        <v>685</v>
      </c>
      <c r="L78" t="str">
        <f>+IF(IFERROR(VLOOKUP(CONCATENATE(F78,H78),'2. Script '!A:A,1,FALSE),"#")=CONCATENATE(F78,H78),"Y","N")</f>
        <v>N</v>
      </c>
      <c r="M78" t="str">
        <f t="shared" si="3"/>
        <v>N</v>
      </c>
    </row>
    <row r="79" spans="2:13">
      <c r="B79" s="92" t="s">
        <v>113</v>
      </c>
      <c r="C79" s="92" t="s">
        <v>534</v>
      </c>
      <c r="D79" s="92" t="s">
        <v>863</v>
      </c>
      <c r="E79" s="92" t="str">
        <f t="shared" si="4"/>
        <v>INSTR_ACTIVITYPRCNTG_ACTVTY</v>
      </c>
      <c r="F79" s="90" t="s">
        <v>306</v>
      </c>
      <c r="G79" t="s">
        <v>142</v>
      </c>
      <c r="H79" t="s">
        <v>578</v>
      </c>
      <c r="I79" t="s">
        <v>684</v>
      </c>
      <c r="J79" t="s">
        <v>684</v>
      </c>
      <c r="K79" t="s">
        <v>682</v>
      </c>
      <c r="L79" t="str">
        <f>+IF(IFERROR(VLOOKUP(CONCATENATE(F79,H79),'2. Script '!A:A,1,FALSE),"#")=CONCATENATE(F79,H79),"Y","N")</f>
        <v>N</v>
      </c>
      <c r="M79" t="str">
        <f t="shared" si="3"/>
        <v>N</v>
      </c>
    </row>
    <row r="80" spans="2:13">
      <c r="B80" s="92" t="s">
        <v>113</v>
      </c>
      <c r="C80" s="92" t="s">
        <v>535</v>
      </c>
      <c r="D80" s="92" t="s">
        <v>864</v>
      </c>
      <c r="E80" s="92" t="str">
        <f t="shared" si="4"/>
        <v>INSTR_ACTIVITYFLG_SBSTNTL_CNTRBTN</v>
      </c>
      <c r="F80" s="90" t="s">
        <v>306</v>
      </c>
      <c r="G80" t="s">
        <v>142</v>
      </c>
      <c r="H80" t="s">
        <v>687</v>
      </c>
      <c r="I80" t="s">
        <v>684</v>
      </c>
      <c r="J80" t="s">
        <v>684</v>
      </c>
      <c r="K80" t="s">
        <v>682</v>
      </c>
      <c r="L80" t="str">
        <f>+IF(IFERROR(VLOOKUP(CONCATENATE(F80,H80),'2. Script '!A:A,1,FALSE),"#")=CONCATENATE(F80,H80),"Y","N")</f>
        <v>N</v>
      </c>
      <c r="M80" t="str">
        <f t="shared" si="3"/>
        <v>N</v>
      </c>
    </row>
    <row r="81" spans="2:13">
      <c r="B81" s="92" t="s">
        <v>113</v>
      </c>
      <c r="C81" s="92" t="s">
        <v>533</v>
      </c>
      <c r="D81" s="92" t="s">
        <v>865</v>
      </c>
      <c r="E81" s="92" t="str">
        <f t="shared" si="4"/>
        <v>INSTR_ACTIVITYFLG_DNSH_CMPLNC</v>
      </c>
      <c r="F81" s="90" t="s">
        <v>306</v>
      </c>
      <c r="G81" t="s">
        <v>142</v>
      </c>
      <c r="H81" t="s">
        <v>688</v>
      </c>
      <c r="I81" t="s">
        <v>683</v>
      </c>
      <c r="J81" t="s">
        <v>683</v>
      </c>
      <c r="K81" t="s">
        <v>679</v>
      </c>
      <c r="L81" t="str">
        <f>+IF(IFERROR(VLOOKUP(CONCATENATE(F81,H81),'2. Script '!A:A,1,FALSE),"#")=CONCATENATE(F81,H81),"Y","N")</f>
        <v>N</v>
      </c>
      <c r="M81" t="str">
        <f t="shared" si="3"/>
        <v>N</v>
      </c>
    </row>
    <row r="82" spans="2:13">
      <c r="B82" s="92" t="s">
        <v>113</v>
      </c>
      <c r="C82" s="92" t="s">
        <v>316</v>
      </c>
      <c r="D82" s="92" t="s">
        <v>866</v>
      </c>
      <c r="E82" s="92" t="str">
        <f t="shared" si="4"/>
        <v>INSTR_ACTIVITYDNSH_DTL</v>
      </c>
      <c r="F82" s="90" t="s">
        <v>306</v>
      </c>
      <c r="G82" t="s">
        <v>142</v>
      </c>
      <c r="H82" t="s">
        <v>689</v>
      </c>
      <c r="I82" t="s">
        <v>683</v>
      </c>
      <c r="J82" t="s">
        <v>683</v>
      </c>
      <c r="K82" t="s">
        <v>679</v>
      </c>
      <c r="L82" t="str">
        <f>+IF(IFERROR(VLOOKUP(CONCATENATE(F82,H82),'2. Script '!A:A,1,FALSE),"#")=CONCATENATE(F82,H82),"Y","N")</f>
        <v>N</v>
      </c>
      <c r="M82" t="str">
        <f t="shared" si="3"/>
        <v>N</v>
      </c>
    </row>
    <row r="83" spans="2:13">
      <c r="B83" s="92" t="s">
        <v>113</v>
      </c>
      <c r="C83" s="92" t="s">
        <v>485</v>
      </c>
      <c r="D83" s="92" t="s">
        <v>867</v>
      </c>
      <c r="E83" s="92" t="str">
        <f t="shared" si="4"/>
        <v>INSTR_ACTIVITYsstnbl_ctgry</v>
      </c>
      <c r="F83" s="90" t="s">
        <v>306</v>
      </c>
      <c r="G83" t="s">
        <v>142</v>
      </c>
      <c r="H83" t="s">
        <v>690</v>
      </c>
      <c r="I83" t="s">
        <v>681</v>
      </c>
      <c r="J83" t="s">
        <v>681</v>
      </c>
      <c r="K83" t="s">
        <v>682</v>
      </c>
      <c r="L83" t="str">
        <f>+IF(IFERROR(VLOOKUP(CONCATENATE(F83,H83),'2. Script '!A:A,1,FALSE),"#")=CONCATENATE(F83,H83),"Y","N")</f>
        <v>N</v>
      </c>
      <c r="M83" t="str">
        <f t="shared" si="3"/>
        <v>N</v>
      </c>
    </row>
    <row r="84" spans="2:13">
      <c r="B84" s="92" t="s">
        <v>113</v>
      </c>
      <c r="C84" s="92" t="s">
        <v>99</v>
      </c>
      <c r="D84" s="92" t="s">
        <v>868</v>
      </c>
      <c r="E84" s="92" t="str">
        <f t="shared" si="4"/>
        <v>INSTRUMENTgrss_intrst_incm</v>
      </c>
      <c r="F84" s="90" t="s">
        <v>113</v>
      </c>
      <c r="G84" t="s">
        <v>22</v>
      </c>
      <c r="H84" t="s">
        <v>652</v>
      </c>
      <c r="I84" t="s">
        <v>691</v>
      </c>
      <c r="J84" t="s">
        <v>691</v>
      </c>
      <c r="L84" t="str">
        <f>+IF(IFERROR(VLOOKUP(CONCATENATE(F84,H84),'2. Script '!A:A,1,FALSE),"#")=CONCATENATE(F84,H84),"Y","N")</f>
        <v>N</v>
      </c>
      <c r="M84" t="str">
        <f t="shared" si="3"/>
        <v>N</v>
      </c>
    </row>
    <row r="85" spans="2:13">
      <c r="B85" s="92" t="s">
        <v>113</v>
      </c>
      <c r="C85" s="92" t="s">
        <v>537</v>
      </c>
      <c r="D85" s="92" t="s">
        <v>869</v>
      </c>
      <c r="E85" s="92" t="str">
        <f t="shared" si="4"/>
        <v>INSTRUMENTgrss_cmmssn_incm</v>
      </c>
      <c r="F85" s="90" t="s">
        <v>113</v>
      </c>
      <c r="G85" t="s">
        <v>22</v>
      </c>
      <c r="H85" t="s">
        <v>653</v>
      </c>
      <c r="I85" t="s">
        <v>691</v>
      </c>
      <c r="J85" t="s">
        <v>691</v>
      </c>
      <c r="L85" t="str">
        <f>+IF(IFERROR(VLOOKUP(CONCATENATE(F85,H85),'2. Script '!A:A,1,FALSE),"#")=CONCATENATE(F85,H85),"Y","N")</f>
        <v>N</v>
      </c>
      <c r="M85" t="str">
        <f t="shared" si="3"/>
        <v>N</v>
      </c>
    </row>
    <row r="86" spans="2:13">
      <c r="B86" s="92" t="s">
        <v>113</v>
      </c>
      <c r="C86" s="92" t="s">
        <v>92</v>
      </c>
      <c r="D86" s="92" t="s">
        <v>780</v>
      </c>
      <c r="E86" s="92" t="str">
        <f t="shared" si="4"/>
        <v>INSTRUMENTgrss_cmmssn_incm_off_blnc</v>
      </c>
      <c r="F86" s="90" t="s">
        <v>113</v>
      </c>
      <c r="G86" t="s">
        <v>22</v>
      </c>
      <c r="H86" t="s">
        <v>654</v>
      </c>
      <c r="I86" t="s">
        <v>691</v>
      </c>
      <c r="J86" t="s">
        <v>691</v>
      </c>
      <c r="L86" t="str">
        <f>+IF(IFERROR(VLOOKUP(CONCATENATE(F86,H86),'2. Script '!A:A,1,FALSE),"#")=CONCATENATE(F86,H86),"Y","N")</f>
        <v>N</v>
      </c>
      <c r="M86" t="str">
        <f t="shared" si="3"/>
        <v>N</v>
      </c>
    </row>
    <row r="87" spans="2:13">
      <c r="B87" s="92" t="s">
        <v>113</v>
      </c>
      <c r="C87" s="92" t="s">
        <v>517</v>
      </c>
      <c r="D87" s="92" t="s">
        <v>870</v>
      </c>
      <c r="E87" s="92" t="str">
        <f t="shared" si="4"/>
        <v>INSTRUMENTidcmb</v>
      </c>
      <c r="F87" s="90" t="s">
        <v>113</v>
      </c>
      <c r="G87" t="s">
        <v>22</v>
      </c>
      <c r="H87" t="s">
        <v>655</v>
      </c>
      <c r="I87" t="s">
        <v>677</v>
      </c>
      <c r="J87" t="s">
        <v>677</v>
      </c>
      <c r="L87" t="str">
        <f>+IF(IFERROR(VLOOKUP(CONCATENATE(F87,H87),'2. Script '!A:A,1,FALSE),"#")=CONCATENATE(F87,H87),"Y","N")</f>
        <v>N</v>
      </c>
      <c r="M87" t="str">
        <f t="shared" si="3"/>
        <v>Y</v>
      </c>
    </row>
    <row r="88" spans="2:13">
      <c r="B88" s="92" t="s">
        <v>113</v>
      </c>
      <c r="C88" s="92" t="s">
        <v>518</v>
      </c>
      <c r="D88" s="92" t="s">
        <v>871</v>
      </c>
      <c r="E88" s="92" t="str">
        <f t="shared" si="4"/>
        <v>INSTRUMENTFRBRNC_STTS_INSTRMNT</v>
      </c>
      <c r="F88" s="90" t="s">
        <v>113</v>
      </c>
      <c r="G88" t="s">
        <v>22</v>
      </c>
      <c r="H88" t="s">
        <v>413</v>
      </c>
      <c r="I88" t="s">
        <v>683</v>
      </c>
      <c r="J88" t="s">
        <v>683</v>
      </c>
      <c r="K88" t="s">
        <v>679</v>
      </c>
      <c r="L88" t="str">
        <f>+IF(IFERROR(VLOOKUP(CONCATENATE(F88,H88),'2. Script '!A:A,1,FALSE),"#")=CONCATENATE(F88,H88),"Y","N")</f>
        <v>N</v>
      </c>
      <c r="M88" t="str">
        <f t="shared" si="3"/>
        <v>Y</v>
      </c>
    </row>
    <row r="89" spans="2:13">
      <c r="B89" s="92" t="s">
        <v>113</v>
      </c>
      <c r="C89" s="92" t="s">
        <v>519</v>
      </c>
      <c r="D89" s="92" t="s">
        <v>872</v>
      </c>
      <c r="E89" s="92" t="str">
        <f t="shared" si="4"/>
        <v>INSTRUMENTINTRNL_SGMNT</v>
      </c>
      <c r="F89" s="90" t="s">
        <v>113</v>
      </c>
      <c r="G89" t="s">
        <v>22</v>
      </c>
      <c r="H89" t="s">
        <v>315</v>
      </c>
      <c r="I89" t="s">
        <v>683</v>
      </c>
      <c r="J89" t="s">
        <v>683</v>
      </c>
      <c r="K89" t="s">
        <v>686</v>
      </c>
      <c r="L89" t="str">
        <f>+IF(IFERROR(VLOOKUP(CONCATENATE(F89,H89),'2. Script '!A:A,1,FALSE),"#")=CONCATENATE(F89,H89),"Y","N")</f>
        <v>N</v>
      </c>
      <c r="M89" t="str">
        <f t="shared" si="3"/>
        <v>Y</v>
      </c>
    </row>
    <row r="90" spans="2:13">
      <c r="B90" s="92" t="s">
        <v>113</v>
      </c>
      <c r="C90" s="92" t="s">
        <v>93</v>
      </c>
      <c r="D90" s="92" t="s">
        <v>781</v>
      </c>
      <c r="E90" s="92" t="str">
        <f t="shared" si="4"/>
        <v>INSTRUMENTDT_ORGNL_MTRTY</v>
      </c>
      <c r="F90" s="90" t="s">
        <v>113</v>
      </c>
      <c r="G90" t="s">
        <v>22</v>
      </c>
      <c r="H90" t="s">
        <v>439</v>
      </c>
      <c r="I90" t="s">
        <v>683</v>
      </c>
      <c r="J90" t="s">
        <v>683</v>
      </c>
      <c r="K90" t="s">
        <v>686</v>
      </c>
      <c r="L90" t="str">
        <f>+IF(IFERROR(VLOOKUP(CONCATENATE(F90,H90),'2. Script '!A:A,1,FALSE),"#")=CONCATENATE(F90,H90),"Y","N")</f>
        <v>N</v>
      </c>
      <c r="M90" t="str">
        <f t="shared" si="3"/>
        <v>N</v>
      </c>
    </row>
    <row r="91" spans="2:13">
      <c r="B91" s="92" t="s">
        <v>113</v>
      </c>
      <c r="C91" s="92" t="s">
        <v>520</v>
      </c>
      <c r="D91" s="92" t="s">
        <v>873</v>
      </c>
      <c r="E91" s="92" t="str">
        <f t="shared" si="4"/>
        <v>INSTRUMENTEAD</v>
      </c>
      <c r="F91" s="90" t="s">
        <v>113</v>
      </c>
      <c r="G91" t="s">
        <v>22</v>
      </c>
      <c r="H91" t="s">
        <v>441</v>
      </c>
      <c r="I91" t="s">
        <v>683</v>
      </c>
      <c r="J91" t="s">
        <v>683</v>
      </c>
      <c r="K91" t="s">
        <v>686</v>
      </c>
      <c r="L91" t="str">
        <f>+IF(IFERROR(VLOOKUP(CONCATENATE(F91,H91),'2. Script '!A:A,1,FALSE),"#")=CONCATENATE(F91,H91),"Y","N")</f>
        <v>N</v>
      </c>
      <c r="M91" t="str">
        <f t="shared" si="3"/>
        <v>N</v>
      </c>
    </row>
    <row r="92" spans="2:13">
      <c r="B92" s="92" t="s">
        <v>113</v>
      </c>
      <c r="C92" s="92" t="s">
        <v>521</v>
      </c>
      <c r="D92" s="92" t="s">
        <v>874</v>
      </c>
      <c r="E92" s="92" t="str">
        <f t="shared" si="4"/>
        <v>INSTRUMENTOFF_BLNC_SHT_AMNT_INSTRMNT</v>
      </c>
      <c r="F92" s="90" t="s">
        <v>113</v>
      </c>
      <c r="G92" t="s">
        <v>22</v>
      </c>
      <c r="H92" t="s">
        <v>445</v>
      </c>
      <c r="I92" t="s">
        <v>683</v>
      </c>
      <c r="J92" t="s">
        <v>684</v>
      </c>
      <c r="K92" t="s">
        <v>685</v>
      </c>
      <c r="L92" t="str">
        <f>+IF(IFERROR(VLOOKUP(CONCATENATE(F92,H92),'2. Script '!A:A,1,FALSE),"#")=CONCATENATE(F92,H92),"Y","N")</f>
        <v>N</v>
      </c>
      <c r="M92" t="str">
        <f t="shared" si="3"/>
        <v>Y</v>
      </c>
    </row>
    <row r="93" spans="2:13">
      <c r="B93" s="92" t="s">
        <v>113</v>
      </c>
      <c r="C93" s="92" t="s">
        <v>522</v>
      </c>
      <c r="D93" s="92" t="s">
        <v>875</v>
      </c>
      <c r="E93" s="92" t="str">
        <f t="shared" si="4"/>
        <v>INSTRUMENTRWA</v>
      </c>
      <c r="F93" s="90" t="s">
        <v>113</v>
      </c>
      <c r="G93" t="s">
        <v>22</v>
      </c>
      <c r="H93" t="s">
        <v>452</v>
      </c>
      <c r="I93" t="s">
        <v>683</v>
      </c>
      <c r="J93" t="s">
        <v>683</v>
      </c>
      <c r="K93" t="s">
        <v>686</v>
      </c>
      <c r="L93" t="str">
        <f>+IF(IFERROR(VLOOKUP(CONCATENATE(F93,H93),'2. Script '!A:A,1,FALSE),"#")=CONCATENATE(F93,H93),"Y","N")</f>
        <v>N</v>
      </c>
      <c r="M93" t="str">
        <f t="shared" si="3"/>
        <v>Y</v>
      </c>
    </row>
    <row r="94" spans="2:13">
      <c r="B94" s="92" t="s">
        <v>113</v>
      </c>
      <c r="C94" s="92" t="s">
        <v>97</v>
      </c>
      <c r="D94" s="92" t="s">
        <v>783</v>
      </c>
      <c r="E94" s="92" t="str">
        <f t="shared" si="4"/>
        <v>INSTRUMENTLTV</v>
      </c>
      <c r="F94" s="90" t="s">
        <v>113</v>
      </c>
      <c r="G94" t="s">
        <v>22</v>
      </c>
      <c r="H94" t="s">
        <v>473</v>
      </c>
      <c r="I94" t="s">
        <v>683</v>
      </c>
      <c r="J94" t="s">
        <v>683</v>
      </c>
      <c r="K94" t="s">
        <v>686</v>
      </c>
      <c r="L94" t="str">
        <f>+IF(IFERROR(VLOOKUP(CONCATENATE(F94,H94),'2. Script '!A:A,1,FALSE),"#")=CONCATENATE(F94,H94),"Y","N")</f>
        <v>N</v>
      </c>
      <c r="M94" t="str">
        <f t="shared" si="3"/>
        <v>Y</v>
      </c>
    </row>
    <row r="95" spans="2:13">
      <c r="B95" s="92" t="s">
        <v>113</v>
      </c>
      <c r="C95" s="92" t="s">
        <v>523</v>
      </c>
      <c r="D95" s="92" t="s">
        <v>876</v>
      </c>
      <c r="E95" s="92" t="str">
        <f t="shared" si="4"/>
        <v>INSTRUMENTLTV_INCPTN</v>
      </c>
      <c r="F95" s="90" t="s">
        <v>113</v>
      </c>
      <c r="G95" t="s">
        <v>22</v>
      </c>
      <c r="H95" t="s">
        <v>474</v>
      </c>
      <c r="I95" t="s">
        <v>683</v>
      </c>
      <c r="J95" t="s">
        <v>683</v>
      </c>
      <c r="K95" t="s">
        <v>686</v>
      </c>
      <c r="L95" t="str">
        <f>+IF(IFERROR(VLOOKUP(CONCATENATE(F95,H95),'2. Script '!A:A,1,FALSE),"#")=CONCATENATE(F95,H95),"Y","N")</f>
        <v>N</v>
      </c>
      <c r="M95" t="str">
        <f t="shared" si="3"/>
        <v>Y</v>
      </c>
    </row>
    <row r="96" spans="2:13">
      <c r="B96" s="92" t="s">
        <v>113</v>
      </c>
      <c r="C96" s="92" t="s">
        <v>416</v>
      </c>
      <c r="D96" s="92" t="s">
        <v>877</v>
      </c>
      <c r="E96" s="92" t="str">
        <f t="shared" si="4"/>
        <v>INSTRUMENTEIR</v>
      </c>
      <c r="F96" s="90" t="s">
        <v>113</v>
      </c>
      <c r="G96" t="s">
        <v>22</v>
      </c>
      <c r="H96" t="s">
        <v>483</v>
      </c>
      <c r="I96" t="s">
        <v>683</v>
      </c>
      <c r="J96" t="s">
        <v>683</v>
      </c>
      <c r="K96" t="s">
        <v>686</v>
      </c>
      <c r="L96" t="str">
        <f>+IF(IFERROR(VLOOKUP(CONCATENATE(F96,H96),'2. Script '!A:A,1,FALSE),"#")=CONCATENATE(F96,H96),"Y","N")</f>
        <v>N</v>
      </c>
      <c r="M96" t="str">
        <f t="shared" si="3"/>
        <v>N</v>
      </c>
    </row>
    <row r="97" spans="2:13">
      <c r="B97" s="92" t="s">
        <v>113</v>
      </c>
      <c r="C97" s="92" t="s">
        <v>472</v>
      </c>
      <c r="D97" s="92" t="s">
        <v>878</v>
      </c>
      <c r="E97" s="92" t="str">
        <f t="shared" si="4"/>
        <v>INSTRUMENTEIR_INCPTN</v>
      </c>
      <c r="F97" s="90" t="s">
        <v>113</v>
      </c>
      <c r="G97" t="s">
        <v>22</v>
      </c>
      <c r="H97" t="s">
        <v>484</v>
      </c>
      <c r="I97" t="s">
        <v>683</v>
      </c>
      <c r="J97" t="s">
        <v>683</v>
      </c>
      <c r="K97" t="s">
        <v>686</v>
      </c>
      <c r="L97" t="str">
        <f>+IF(IFERROR(VLOOKUP(CONCATENATE(F97,H97),'2. Script '!A:A,1,FALSE),"#")=CONCATENATE(F97,H97),"Y","N")</f>
        <v>N</v>
      </c>
      <c r="M97" t="str">
        <f t="shared" si="3"/>
        <v>N</v>
      </c>
    </row>
    <row r="98" spans="2:13">
      <c r="B98" s="92" t="s">
        <v>113</v>
      </c>
      <c r="C98" s="92" t="s">
        <v>417</v>
      </c>
      <c r="D98" s="92" t="s">
        <v>879</v>
      </c>
      <c r="E98" s="92" t="str">
        <f t="shared" si="4"/>
        <v>INSTRUMENTINTRNL_SGMNT_CAT_MSTA</v>
      </c>
      <c r="F98" s="90" t="s">
        <v>113</v>
      </c>
      <c r="G98" t="s">
        <v>22</v>
      </c>
      <c r="H98" t="s">
        <v>534</v>
      </c>
      <c r="I98" t="s">
        <v>683</v>
      </c>
      <c r="J98" t="s">
        <v>683</v>
      </c>
      <c r="K98" t="s">
        <v>686</v>
      </c>
      <c r="L98" t="str">
        <f>+IF(IFERROR(VLOOKUP(CONCATENATE(F98,H98),'2. Script '!A:A,1,FALSE),"#")=CONCATENATE(F98,H98),"Y","N")</f>
        <v>N</v>
      </c>
      <c r="M98" t="str">
        <f t="shared" si="3"/>
        <v>Y</v>
      </c>
    </row>
    <row r="99" spans="2:13">
      <c r="B99" s="92" t="s">
        <v>113</v>
      </c>
      <c r="C99" s="92" t="s">
        <v>418</v>
      </c>
      <c r="D99" s="92" t="s">
        <v>880</v>
      </c>
      <c r="E99" s="92" t="str">
        <f t="shared" si="4"/>
        <v>INSTRUMENTINTRNL_SGMNT_CATGSUB</v>
      </c>
      <c r="F99" s="90" t="s">
        <v>113</v>
      </c>
      <c r="G99" t="s">
        <v>22</v>
      </c>
      <c r="H99" t="s">
        <v>535</v>
      </c>
      <c r="I99" t="s">
        <v>683</v>
      </c>
      <c r="J99" t="s">
        <v>683</v>
      </c>
      <c r="K99" t="s">
        <v>686</v>
      </c>
      <c r="L99" t="str">
        <f>+IF(IFERROR(VLOOKUP(CONCATENATE(F99,H99),'2. Script '!A:A,1,FALSE),"#")=CONCATENATE(F99,H99),"Y","N")</f>
        <v>N</v>
      </c>
      <c r="M99" t="str">
        <f t="shared" ref="M99:M130" si="5">+IF(IFERROR(VLOOKUP(CONCATENATE(F99,H99),D:D,1,FALSE),"#")=CONCATENATE(F99,H99),"Y","N")</f>
        <v>Y</v>
      </c>
    </row>
    <row r="100" spans="2:13">
      <c r="B100" s="92" t="s">
        <v>113</v>
      </c>
      <c r="C100" s="92" t="s">
        <v>540</v>
      </c>
      <c r="D100" s="92" t="s">
        <v>881</v>
      </c>
      <c r="E100" s="92" t="str">
        <f t="shared" si="4"/>
        <v>INSTRUMENTNW_BSNSS</v>
      </c>
      <c r="F100" s="90" t="s">
        <v>113</v>
      </c>
      <c r="G100" t="s">
        <v>22</v>
      </c>
      <c r="H100" t="s">
        <v>692</v>
      </c>
      <c r="I100" t="s">
        <v>684</v>
      </c>
      <c r="J100" t="s">
        <v>684</v>
      </c>
      <c r="K100" t="s">
        <v>682</v>
      </c>
      <c r="L100" t="str">
        <f>+IF(IFERROR(VLOOKUP(CONCATENATE(F100,H100),'2. Script '!A:A,1,FALSE),"#")=CONCATENATE(F100,H100),"Y","N")</f>
        <v>N</v>
      </c>
      <c r="M100" t="str">
        <f t="shared" si="5"/>
        <v>N</v>
      </c>
    </row>
    <row r="101" spans="2:13">
      <c r="B101" s="92" t="s">
        <v>113</v>
      </c>
      <c r="C101" s="92" t="s">
        <v>542</v>
      </c>
      <c r="D101" s="92" t="s">
        <v>882</v>
      </c>
      <c r="E101" s="92" t="str">
        <f t="shared" si="4"/>
        <v>INSTRUMENTCNCLLD_INSTRMNT_STTS</v>
      </c>
      <c r="F101" s="90" t="s">
        <v>113</v>
      </c>
      <c r="G101" t="s">
        <v>22</v>
      </c>
      <c r="H101" t="s">
        <v>693</v>
      </c>
      <c r="I101" t="s">
        <v>684</v>
      </c>
      <c r="J101" t="s">
        <v>684</v>
      </c>
      <c r="K101" t="s">
        <v>682</v>
      </c>
      <c r="L101" t="str">
        <f>+IF(IFERROR(VLOOKUP(CONCATENATE(F101,H101),'2. Script '!A:A,1,FALSE),"#")=CONCATENATE(F101,H101),"Y","N")</f>
        <v>N</v>
      </c>
      <c r="M101" t="str">
        <f t="shared" si="5"/>
        <v>N</v>
      </c>
    </row>
    <row r="102" spans="2:13">
      <c r="B102" s="92" t="s">
        <v>113</v>
      </c>
      <c r="C102" s="92" t="s">
        <v>473</v>
      </c>
      <c r="D102" s="92" t="s">
        <v>777</v>
      </c>
      <c r="E102" s="92" t="str">
        <f t="shared" si="4"/>
        <v>INSTRUMENTTYP_OFF_BLNC_PRDCT</v>
      </c>
      <c r="F102" s="90" t="s">
        <v>113</v>
      </c>
      <c r="G102" t="s">
        <v>22</v>
      </c>
      <c r="H102" t="s">
        <v>544</v>
      </c>
      <c r="I102" t="s">
        <v>683</v>
      </c>
      <c r="J102" t="s">
        <v>684</v>
      </c>
      <c r="K102" t="s">
        <v>694</v>
      </c>
      <c r="L102" t="str">
        <f>+IF(IFERROR(VLOOKUP(CONCATENATE(F102,H102),'2. Script '!A:A,1,FALSE),"#")=CONCATENATE(F102,H102),"Y","N")</f>
        <v>N</v>
      </c>
      <c r="M102" t="str">
        <f t="shared" si="5"/>
        <v>N</v>
      </c>
    </row>
    <row r="103" spans="2:13">
      <c r="B103" s="92" t="s">
        <v>113</v>
      </c>
      <c r="C103" s="92" t="s">
        <v>474</v>
      </c>
      <c r="D103" s="92" t="s">
        <v>778</v>
      </c>
      <c r="E103" s="92" t="str">
        <f t="shared" si="4"/>
        <v>INSTRUMENTFLG_MNMM_SFGRDS</v>
      </c>
      <c r="F103" s="90" t="s">
        <v>113</v>
      </c>
      <c r="G103" t="s">
        <v>22</v>
      </c>
      <c r="H103" t="s">
        <v>695</v>
      </c>
      <c r="I103" t="s">
        <v>683</v>
      </c>
      <c r="J103" t="s">
        <v>683</v>
      </c>
      <c r="K103" t="s">
        <v>679</v>
      </c>
      <c r="L103" t="str">
        <f>+IF(IFERROR(VLOOKUP(CONCATENATE(F103,H103),'2. Script '!A:A,1,FALSE),"#")=CONCATENATE(F103,H103),"Y","N")</f>
        <v>N</v>
      </c>
      <c r="M103" t="str">
        <f t="shared" si="5"/>
        <v>N</v>
      </c>
    </row>
    <row r="104" spans="2:13">
      <c r="B104" s="92" t="s">
        <v>113</v>
      </c>
      <c r="C104" s="92" t="s">
        <v>475</v>
      </c>
      <c r="D104" s="92" t="s">
        <v>883</v>
      </c>
      <c r="E104" s="92" t="str">
        <f t="shared" si="4"/>
        <v>ENTITYcntry</v>
      </c>
      <c r="F104" s="90" t="s">
        <v>114</v>
      </c>
      <c r="G104" t="s">
        <v>23</v>
      </c>
      <c r="H104" t="s">
        <v>656</v>
      </c>
      <c r="I104" t="s">
        <v>677</v>
      </c>
      <c r="J104" t="s">
        <v>677</v>
      </c>
      <c r="L104" t="str">
        <f>+IF(IFERROR(VLOOKUP(CONCATENATE(F104,H104),'2. Script '!A:A,1,FALSE),"#")=CONCATENATE(F104,H104),"Y","N")</f>
        <v>Y</v>
      </c>
      <c r="M104" t="str">
        <f t="shared" si="5"/>
        <v>Y</v>
      </c>
    </row>
    <row r="105" spans="2:13">
      <c r="B105" s="92" t="s">
        <v>113</v>
      </c>
      <c r="C105" s="92" t="s">
        <v>532</v>
      </c>
      <c r="D105" s="92" t="s">
        <v>884</v>
      </c>
      <c r="E105" s="92" t="str">
        <f t="shared" si="4"/>
        <v>ENTITYdt_rfrnc</v>
      </c>
      <c r="F105" s="90" t="s">
        <v>114</v>
      </c>
      <c r="G105" t="s">
        <v>23</v>
      </c>
      <c r="H105" t="s">
        <v>634</v>
      </c>
      <c r="I105" t="s">
        <v>677</v>
      </c>
      <c r="J105" t="s">
        <v>677</v>
      </c>
      <c r="L105" t="str">
        <f>+IF(IFERROR(VLOOKUP(CONCATENATE(F105,H105),'2. Script '!A:A,1,FALSE),"#")=CONCATENATE(F105,H105),"Y","N")</f>
        <v>N</v>
      </c>
      <c r="M105" t="str">
        <f t="shared" si="5"/>
        <v>Y</v>
      </c>
    </row>
    <row r="106" spans="2:13">
      <c r="B106" s="92" t="s">
        <v>113</v>
      </c>
      <c r="C106" s="92" t="s">
        <v>504</v>
      </c>
      <c r="D106" s="92" t="s">
        <v>885</v>
      </c>
      <c r="E106" s="92" t="str">
        <f t="shared" si="4"/>
        <v>ENTITYentty_id</v>
      </c>
      <c r="F106" s="90" t="s">
        <v>114</v>
      </c>
      <c r="G106" t="s">
        <v>23</v>
      </c>
      <c r="H106" t="s">
        <v>24</v>
      </c>
      <c r="I106" t="s">
        <v>677</v>
      </c>
      <c r="J106" t="s">
        <v>677</v>
      </c>
      <c r="L106" t="str">
        <f>+IF(IFERROR(VLOOKUP(CONCATENATE(F106,H106),'2. Script '!A:A,1,FALSE),"#")=CONCATENATE(F106,H106),"Y","N")</f>
        <v>N</v>
      </c>
      <c r="M106" t="str">
        <f t="shared" si="5"/>
        <v>Y</v>
      </c>
    </row>
    <row r="107" spans="2:13">
      <c r="B107" s="92" t="s">
        <v>113</v>
      </c>
      <c r="C107" s="92" t="s">
        <v>498</v>
      </c>
      <c r="D107" s="92" t="s">
        <v>886</v>
      </c>
      <c r="E107" s="92" t="str">
        <f t="shared" si="4"/>
        <v>ENTITYlei</v>
      </c>
      <c r="F107" s="90" t="s">
        <v>114</v>
      </c>
      <c r="G107" t="s">
        <v>23</v>
      </c>
      <c r="H107" t="s">
        <v>657</v>
      </c>
      <c r="I107" t="s">
        <v>677</v>
      </c>
      <c r="J107" t="s">
        <v>677</v>
      </c>
      <c r="L107" t="str">
        <f>+IF(IFERROR(VLOOKUP(CONCATENATE(F107,H107),'2. Script '!A:A,1,FALSE),"#")=CONCATENATE(F107,H107),"Y","N")</f>
        <v>Y</v>
      </c>
      <c r="M107" t="str">
        <f t="shared" si="5"/>
        <v>Y</v>
      </c>
    </row>
    <row r="108" spans="2:13">
      <c r="B108" s="92" t="s">
        <v>113</v>
      </c>
      <c r="C108" s="92" t="s">
        <v>470</v>
      </c>
      <c r="D108" s="92" t="s">
        <v>887</v>
      </c>
      <c r="E108" s="92" t="str">
        <f t="shared" si="4"/>
        <v>ENTITYecnmc_actvty</v>
      </c>
      <c r="F108" s="90" t="s">
        <v>114</v>
      </c>
      <c r="G108" t="s">
        <v>23</v>
      </c>
      <c r="H108" t="s">
        <v>658</v>
      </c>
      <c r="I108" t="s">
        <v>677</v>
      </c>
      <c r="J108" t="s">
        <v>677</v>
      </c>
      <c r="L108" t="str">
        <f>+IF(IFERROR(VLOOKUP(CONCATENATE(F108,H108),'2. Script '!A:A,1,FALSE),"#")=CONCATENATE(F108,H108),"Y","N")</f>
        <v>N</v>
      </c>
      <c r="M108" t="str">
        <f t="shared" si="5"/>
        <v>Y</v>
      </c>
    </row>
    <row r="109" spans="2:13">
      <c r="B109" s="92" t="s">
        <v>113</v>
      </c>
      <c r="C109" s="92" t="s">
        <v>400</v>
      </c>
      <c r="D109" s="92" t="s">
        <v>888</v>
      </c>
      <c r="E109" s="92" t="str">
        <f t="shared" si="4"/>
        <v>ENTITYgrp_eqty</v>
      </c>
      <c r="F109" s="90" t="s">
        <v>114</v>
      </c>
      <c r="G109" t="s">
        <v>23</v>
      </c>
      <c r="H109" t="s">
        <v>659</v>
      </c>
      <c r="I109" t="s">
        <v>677</v>
      </c>
      <c r="J109" t="s">
        <v>677</v>
      </c>
      <c r="L109" t="str">
        <f>+IF(IFERROR(VLOOKUP(CONCATENATE(F109,H109),'2. Script '!A:A,1,FALSE),"#")=CONCATENATE(F109,H109),"Y","N")</f>
        <v>N</v>
      </c>
      <c r="M109" t="str">
        <f t="shared" si="5"/>
        <v>Y</v>
      </c>
    </row>
    <row r="110" spans="2:13">
      <c r="B110" s="92" t="s">
        <v>113</v>
      </c>
      <c r="C110" s="92" t="s">
        <v>401</v>
      </c>
      <c r="D110" s="92" t="s">
        <v>889</v>
      </c>
      <c r="E110" s="92" t="str">
        <f t="shared" si="4"/>
        <v>ENTITYannl_trnvr_le</v>
      </c>
      <c r="F110" s="90" t="s">
        <v>114</v>
      </c>
      <c r="G110" t="s">
        <v>23</v>
      </c>
      <c r="H110" t="s">
        <v>660</v>
      </c>
      <c r="I110" t="s">
        <v>677</v>
      </c>
      <c r="J110" t="s">
        <v>677</v>
      </c>
      <c r="L110" t="str">
        <f>+IF(IFERROR(VLOOKUP(CONCATENATE(F110,H110),'2. Script '!A:A,1,FALSE),"#")=CONCATENATE(F110,H110),"Y","N")</f>
        <v>N</v>
      </c>
      <c r="M110" t="str">
        <f t="shared" si="5"/>
        <v>Y</v>
      </c>
    </row>
    <row r="111" spans="2:13">
      <c r="B111" s="92" t="s">
        <v>113</v>
      </c>
      <c r="C111" s="92" t="s">
        <v>445</v>
      </c>
      <c r="D111" s="92" t="s">
        <v>890</v>
      </c>
      <c r="E111" s="92" t="str">
        <f t="shared" si="4"/>
        <v>ENTITYeqty</v>
      </c>
      <c r="F111" s="90" t="s">
        <v>114</v>
      </c>
      <c r="G111" t="s">
        <v>23</v>
      </c>
      <c r="H111" t="s">
        <v>661</v>
      </c>
      <c r="I111" t="s">
        <v>677</v>
      </c>
      <c r="J111" t="s">
        <v>677</v>
      </c>
      <c r="L111" t="str">
        <f>+IF(IFERROR(VLOOKUP(CONCATENATE(F111,H111),'2. Script '!A:A,1,FALSE),"#")=CONCATENATE(F111,H111),"Y","N")</f>
        <v>N</v>
      </c>
      <c r="M111" t="str">
        <f t="shared" si="5"/>
        <v>Y</v>
      </c>
    </row>
    <row r="112" spans="2:13">
      <c r="B112" s="92" t="s">
        <v>113</v>
      </c>
      <c r="C112" s="92" t="s">
        <v>446</v>
      </c>
      <c r="D112" s="92" t="s">
        <v>891</v>
      </c>
      <c r="E112" s="92" t="str">
        <f t="shared" si="4"/>
        <v>ENTITYgrp_ttl_dbt</v>
      </c>
      <c r="F112" s="90" t="s">
        <v>114</v>
      </c>
      <c r="G112" t="s">
        <v>23</v>
      </c>
      <c r="H112" t="s">
        <v>662</v>
      </c>
      <c r="I112" t="s">
        <v>677</v>
      </c>
      <c r="J112" t="s">
        <v>677</v>
      </c>
      <c r="L112" t="str">
        <f>+IF(IFERROR(VLOOKUP(CONCATENATE(F112,H112),'2. Script '!A:A,1,FALSE),"#")=CONCATENATE(F112,H112),"Y","N")</f>
        <v>N</v>
      </c>
      <c r="M112" t="str">
        <f t="shared" si="5"/>
        <v>Y</v>
      </c>
    </row>
    <row r="113" spans="2:13">
      <c r="B113" s="92" t="s">
        <v>113</v>
      </c>
      <c r="C113" s="92" t="s">
        <v>447</v>
      </c>
      <c r="D113" s="92" t="s">
        <v>892</v>
      </c>
      <c r="E113" s="92" t="str">
        <f t="shared" si="4"/>
        <v>ENTITYttl_dbt</v>
      </c>
      <c r="F113" s="90" t="s">
        <v>114</v>
      </c>
      <c r="G113" t="s">
        <v>23</v>
      </c>
      <c r="H113" t="s">
        <v>663</v>
      </c>
      <c r="I113" t="s">
        <v>677</v>
      </c>
      <c r="J113" t="s">
        <v>677</v>
      </c>
      <c r="L113" t="str">
        <f>+IF(IFERROR(VLOOKUP(CONCATENATE(F113,H113),'2. Script '!A:A,1,FALSE),"#")=CONCATENATE(F113,H113),"Y","N")</f>
        <v>N</v>
      </c>
      <c r="M113" t="str">
        <f t="shared" si="5"/>
        <v>Y</v>
      </c>
    </row>
    <row r="114" spans="2:13">
      <c r="B114" s="92" t="s">
        <v>113</v>
      </c>
      <c r="C114" s="92" t="s">
        <v>448</v>
      </c>
      <c r="D114" s="92" t="s">
        <v>893</v>
      </c>
      <c r="E114" s="92" t="str">
        <f t="shared" si="4"/>
        <v>ENTITYcod_soc</v>
      </c>
      <c r="F114" s="90" t="s">
        <v>114</v>
      </c>
      <c r="G114" t="s">
        <v>23</v>
      </c>
      <c r="H114" t="s">
        <v>650</v>
      </c>
      <c r="I114" t="s">
        <v>677</v>
      </c>
      <c r="J114" t="s">
        <v>677</v>
      </c>
      <c r="L114" t="str">
        <f>+IF(IFERROR(VLOOKUP(CONCATENATE(F114,H114),'2. Script '!A:A,1,FALSE),"#")=CONCATENATE(F114,H114),"Y","N")</f>
        <v>Y</v>
      </c>
      <c r="M114" t="str">
        <f t="shared" si="5"/>
        <v>Y</v>
      </c>
    </row>
    <row r="115" spans="2:13">
      <c r="B115" s="92" t="s">
        <v>113</v>
      </c>
      <c r="C115" s="92" t="s">
        <v>508</v>
      </c>
      <c r="D115" s="92" t="s">
        <v>894</v>
      </c>
      <c r="E115" s="92" t="str">
        <f t="shared" si="4"/>
        <v>ENTITYentty_nm</v>
      </c>
      <c r="F115" s="90" t="s">
        <v>114</v>
      </c>
      <c r="G115" t="s">
        <v>23</v>
      </c>
      <c r="H115" t="s">
        <v>696</v>
      </c>
      <c r="I115" t="s">
        <v>683</v>
      </c>
      <c r="J115" t="s">
        <v>683</v>
      </c>
      <c r="K115" t="s">
        <v>686</v>
      </c>
      <c r="L115" t="str">
        <f>+IF(IFERROR(VLOOKUP(CONCATENATE(F115,H115),'2. Script '!A:A,1,FALSE),"#")=CONCATENATE(F115,H115),"Y","N")</f>
        <v>Y</v>
      </c>
      <c r="M115" t="str">
        <f t="shared" si="5"/>
        <v>Y</v>
      </c>
    </row>
    <row r="116" spans="2:13">
      <c r="B116" s="92" t="s">
        <v>113</v>
      </c>
      <c r="C116" s="92" t="s">
        <v>476</v>
      </c>
      <c r="D116" s="92" t="s">
        <v>895</v>
      </c>
      <c r="E116" s="92" t="str">
        <f t="shared" si="4"/>
        <v>ENTITYec_grp_id</v>
      </c>
      <c r="F116" s="90" t="s">
        <v>114</v>
      </c>
      <c r="G116" t="s">
        <v>23</v>
      </c>
      <c r="H116" t="s">
        <v>697</v>
      </c>
      <c r="I116" t="s">
        <v>683</v>
      </c>
      <c r="J116" t="s">
        <v>684</v>
      </c>
      <c r="K116" t="s">
        <v>685</v>
      </c>
      <c r="L116" t="str">
        <f>+IF(IFERROR(VLOOKUP(CONCATENATE(F116,H116),'2. Script '!A:A,1,FALSE),"#")=CONCATENATE(F116,H116),"Y","N")</f>
        <v>N</v>
      </c>
      <c r="M116" t="str">
        <f t="shared" si="5"/>
        <v>Y</v>
      </c>
    </row>
    <row r="117" spans="2:13">
      <c r="B117" s="92" t="s">
        <v>113</v>
      </c>
      <c r="C117" s="92" t="s">
        <v>377</v>
      </c>
      <c r="D117" s="92" t="s">
        <v>896</v>
      </c>
      <c r="E117" s="92" t="str">
        <f t="shared" si="4"/>
        <v>ENTITYec_grp_nm</v>
      </c>
      <c r="F117" s="90" t="s">
        <v>114</v>
      </c>
      <c r="G117" t="s">
        <v>23</v>
      </c>
      <c r="H117" t="s">
        <v>698</v>
      </c>
      <c r="I117" t="s">
        <v>683</v>
      </c>
      <c r="J117" t="s">
        <v>684</v>
      </c>
      <c r="K117" t="s">
        <v>685</v>
      </c>
      <c r="L117" t="str">
        <f>+IF(IFERROR(VLOOKUP(CONCATENATE(F117,H117),'2. Script '!A:A,1,FALSE),"#")=CONCATENATE(F117,H117),"Y","N")</f>
        <v>N</v>
      </c>
      <c r="M117" t="str">
        <f t="shared" si="5"/>
        <v>Y</v>
      </c>
    </row>
    <row r="118" spans="2:13">
      <c r="B118" s="92" t="s">
        <v>113</v>
      </c>
      <c r="C118" s="92" t="s">
        <v>384</v>
      </c>
      <c r="D118" s="92" t="s">
        <v>897</v>
      </c>
      <c r="E118" s="92" t="str">
        <f t="shared" si="4"/>
        <v>ENTITYgrp_ecnmc_actvty</v>
      </c>
      <c r="F118" s="90" t="s">
        <v>114</v>
      </c>
      <c r="G118" t="s">
        <v>23</v>
      </c>
      <c r="H118" t="s">
        <v>699</v>
      </c>
      <c r="I118" t="s">
        <v>684</v>
      </c>
      <c r="J118" t="s">
        <v>684</v>
      </c>
      <c r="K118" t="s">
        <v>682</v>
      </c>
      <c r="L118" t="str">
        <f>+IF(IFERROR(VLOOKUP(CONCATENATE(F118,H118),'2. Script '!A:A,1,FALSE),"#")=CONCATENATE(F118,H118),"Y","N")</f>
        <v>N</v>
      </c>
      <c r="M118" t="str">
        <f t="shared" si="5"/>
        <v>N</v>
      </c>
    </row>
    <row r="119" spans="2:13">
      <c r="B119" s="92" t="s">
        <v>113</v>
      </c>
      <c r="C119" s="92" t="s">
        <v>477</v>
      </c>
      <c r="D119" s="92" t="s">
        <v>898</v>
      </c>
      <c r="E119" s="92" t="str">
        <f t="shared" si="4"/>
        <v>ENTITYtxnmy_elgbl_capex_w</v>
      </c>
      <c r="F119" s="90" t="s">
        <v>114</v>
      </c>
      <c r="G119" t="s">
        <v>23</v>
      </c>
      <c r="H119" t="s">
        <v>700</v>
      </c>
      <c r="I119" t="s">
        <v>683</v>
      </c>
      <c r="J119" t="s">
        <v>683</v>
      </c>
      <c r="K119" t="s">
        <v>701</v>
      </c>
      <c r="L119" t="str">
        <f>+IF(IFERROR(VLOOKUP(CONCATENATE(F119,H119),'2. Script '!A:A,1,FALSE),"#")=CONCATENATE(F119,H119),"Y","N")</f>
        <v>N</v>
      </c>
      <c r="M119" t="str">
        <f t="shared" si="5"/>
        <v>N</v>
      </c>
    </row>
    <row r="120" spans="2:13">
      <c r="B120" s="92" t="s">
        <v>113</v>
      </c>
      <c r="C120" s="92" t="s">
        <v>378</v>
      </c>
      <c r="D120" s="92" t="s">
        <v>899</v>
      </c>
      <c r="E120" s="92" t="str">
        <f t="shared" si="4"/>
        <v>ENTITYtxnmy_elgbl_trnvr_w</v>
      </c>
      <c r="F120" s="90" t="s">
        <v>114</v>
      </c>
      <c r="G120" t="s">
        <v>23</v>
      </c>
      <c r="H120" t="s">
        <v>702</v>
      </c>
      <c r="I120" t="s">
        <v>683</v>
      </c>
      <c r="J120" t="s">
        <v>683</v>
      </c>
      <c r="K120" t="s">
        <v>701</v>
      </c>
      <c r="L120" t="str">
        <f>+IF(IFERROR(VLOOKUP(CONCATENATE(F120,H120),'2. Script '!A:A,1,FALSE),"#")=CONCATENATE(F120,H120),"Y","N")</f>
        <v>N</v>
      </c>
      <c r="M120" t="str">
        <f t="shared" si="5"/>
        <v>N</v>
      </c>
    </row>
    <row r="121" spans="2:13">
      <c r="B121" s="92" t="s">
        <v>113</v>
      </c>
      <c r="C121" s="92" t="s">
        <v>379</v>
      </c>
      <c r="D121" s="92" t="s">
        <v>900</v>
      </c>
      <c r="E121" s="92" t="str">
        <f t="shared" si="4"/>
        <v>ENTITYtxnmy_elgbl_capex_p</v>
      </c>
      <c r="F121" s="90" t="s">
        <v>114</v>
      </c>
      <c r="G121" t="s">
        <v>23</v>
      </c>
      <c r="H121" t="s">
        <v>703</v>
      </c>
      <c r="I121" t="s">
        <v>683</v>
      </c>
      <c r="J121" t="s">
        <v>683</v>
      </c>
      <c r="K121" t="s">
        <v>701</v>
      </c>
      <c r="L121" t="str">
        <f>+IF(IFERROR(VLOOKUP(CONCATENATE(F121,H121),'2. Script '!A:A,1,FALSE),"#")=CONCATENATE(F121,H121),"Y","N")</f>
        <v>N</v>
      </c>
      <c r="M121" t="str">
        <f t="shared" si="5"/>
        <v>N</v>
      </c>
    </row>
    <row r="122" spans="2:13">
      <c r="B122" s="92" t="s">
        <v>113</v>
      </c>
      <c r="C122" s="92" t="s">
        <v>478</v>
      </c>
      <c r="D122" s="92" t="s">
        <v>901</v>
      </c>
      <c r="E122" s="92" t="str">
        <f t="shared" si="4"/>
        <v>ENTITYtxnmy_elgbl_trnvr_p</v>
      </c>
      <c r="F122" s="90" t="s">
        <v>114</v>
      </c>
      <c r="G122" t="s">
        <v>23</v>
      </c>
      <c r="H122" t="s">
        <v>704</v>
      </c>
      <c r="I122" t="s">
        <v>683</v>
      </c>
      <c r="J122" t="s">
        <v>683</v>
      </c>
      <c r="K122" t="s">
        <v>701</v>
      </c>
      <c r="L122" t="str">
        <f>+IF(IFERROR(VLOOKUP(CONCATENATE(F122,H122),'2. Script '!A:A,1,FALSE),"#")=CONCATENATE(F122,H122),"Y","N")</f>
        <v>N</v>
      </c>
      <c r="M122" t="str">
        <f t="shared" si="5"/>
        <v>N</v>
      </c>
    </row>
    <row r="123" spans="2:13">
      <c r="B123" s="92" t="s">
        <v>113</v>
      </c>
      <c r="C123" s="92" t="s">
        <v>479</v>
      </c>
      <c r="D123" s="92" t="s">
        <v>902</v>
      </c>
      <c r="E123" s="92" t="str">
        <f t="shared" si="4"/>
        <v>ENTITYtxnmy_elgbl_capex_b</v>
      </c>
      <c r="F123" s="90" t="s">
        <v>114</v>
      </c>
      <c r="G123" t="s">
        <v>23</v>
      </c>
      <c r="H123" t="s">
        <v>705</v>
      </c>
      <c r="I123" t="s">
        <v>683</v>
      </c>
      <c r="J123" t="s">
        <v>683</v>
      </c>
      <c r="K123" t="s">
        <v>701</v>
      </c>
      <c r="L123" t="str">
        <f>+IF(IFERROR(VLOOKUP(CONCATENATE(F123,H123),'2. Script '!A:A,1,FALSE),"#")=CONCATENATE(F123,H123),"Y","N")</f>
        <v>N</v>
      </c>
      <c r="M123" t="str">
        <f t="shared" si="5"/>
        <v>N</v>
      </c>
    </row>
    <row r="124" spans="2:13">
      <c r="B124" s="92" t="s">
        <v>113</v>
      </c>
      <c r="C124" s="92" t="s">
        <v>480</v>
      </c>
      <c r="D124" s="92" t="s">
        <v>903</v>
      </c>
      <c r="E124" s="92" t="str">
        <f t="shared" si="4"/>
        <v>ENTITYtxnmy_elgbl_trnvr_b</v>
      </c>
      <c r="F124" s="90" t="s">
        <v>114</v>
      </c>
      <c r="G124" t="s">
        <v>23</v>
      </c>
      <c r="H124" t="s">
        <v>706</v>
      </c>
      <c r="I124" t="s">
        <v>683</v>
      </c>
      <c r="J124" t="s">
        <v>683</v>
      </c>
      <c r="K124" t="s">
        <v>701</v>
      </c>
      <c r="L124" t="str">
        <f>+IF(IFERROR(VLOOKUP(CONCATENATE(F124,H124),'2. Script '!A:A,1,FALSE),"#")=CONCATENATE(F124,H124),"Y","N")</f>
        <v>N</v>
      </c>
      <c r="M124" t="str">
        <f t="shared" si="5"/>
        <v>N</v>
      </c>
    </row>
    <row r="125" spans="2:13">
      <c r="B125" s="92" t="s">
        <v>113</v>
      </c>
      <c r="C125" s="92" t="s">
        <v>509</v>
      </c>
      <c r="D125" s="92" t="s">
        <v>904</v>
      </c>
      <c r="E125" s="92" t="str">
        <f t="shared" si="4"/>
        <v>ENTITYtxnmy_elgbl_capex_ce</v>
      </c>
      <c r="F125" s="90" t="s">
        <v>114</v>
      </c>
      <c r="G125" t="s">
        <v>23</v>
      </c>
      <c r="H125" t="s">
        <v>707</v>
      </c>
      <c r="I125" t="s">
        <v>683</v>
      </c>
      <c r="J125" t="s">
        <v>683</v>
      </c>
      <c r="K125" t="s">
        <v>701</v>
      </c>
      <c r="L125" t="str">
        <f>+IF(IFERROR(VLOOKUP(CONCATENATE(F125,H125),'2. Script '!A:A,1,FALSE),"#")=CONCATENATE(F125,H125),"Y","N")</f>
        <v>N</v>
      </c>
      <c r="M125" t="str">
        <f t="shared" si="5"/>
        <v>N</v>
      </c>
    </row>
    <row r="126" spans="2:13">
      <c r="B126" s="92" t="s">
        <v>113</v>
      </c>
      <c r="C126" s="92" t="s">
        <v>419</v>
      </c>
      <c r="D126" s="92" t="s">
        <v>905</v>
      </c>
      <c r="E126" s="92" t="str">
        <f t="shared" si="4"/>
        <v>ENTITYtxnmy_elgbl_trnvr_ce</v>
      </c>
      <c r="F126" s="90" t="s">
        <v>114</v>
      </c>
      <c r="G126" t="s">
        <v>23</v>
      </c>
      <c r="H126" t="s">
        <v>708</v>
      </c>
      <c r="I126" t="s">
        <v>683</v>
      </c>
      <c r="J126" t="s">
        <v>683</v>
      </c>
      <c r="K126" t="s">
        <v>701</v>
      </c>
      <c r="L126" t="str">
        <f>+IF(IFERROR(VLOOKUP(CONCATENATE(F126,H126),'2. Script '!A:A,1,FALSE),"#")=CONCATENATE(F126,H126),"Y","N")</f>
        <v>N</v>
      </c>
      <c r="M126" t="str">
        <f t="shared" si="5"/>
        <v>N</v>
      </c>
    </row>
    <row r="127" spans="2:13">
      <c r="B127" s="92" t="s">
        <v>113</v>
      </c>
      <c r="C127" s="92" t="s">
        <v>524</v>
      </c>
      <c r="D127" s="92" t="s">
        <v>906</v>
      </c>
      <c r="E127" s="92" t="str">
        <f t="shared" si="4"/>
        <v>ENTITYpure_capex_p</v>
      </c>
      <c r="F127" s="90" t="s">
        <v>114</v>
      </c>
      <c r="G127" t="s">
        <v>23</v>
      </c>
      <c r="H127" t="s">
        <v>709</v>
      </c>
      <c r="I127" t="s">
        <v>683</v>
      </c>
      <c r="J127" t="s">
        <v>683</v>
      </c>
      <c r="K127" t="s">
        <v>701</v>
      </c>
      <c r="L127" t="str">
        <f>+IF(IFERROR(VLOOKUP(CONCATENATE(F127,H127),'2. Script '!A:A,1,FALSE),"#")=CONCATENATE(F127,H127),"Y","N")</f>
        <v>N</v>
      </c>
      <c r="M127" t="str">
        <f t="shared" si="5"/>
        <v>N</v>
      </c>
    </row>
    <row r="128" spans="2:13">
      <c r="B128" s="92" t="s">
        <v>113</v>
      </c>
      <c r="C128" s="92" t="s">
        <v>402</v>
      </c>
      <c r="D128" s="92" t="s">
        <v>907</v>
      </c>
      <c r="E128" s="92" t="str">
        <f t="shared" si="4"/>
        <v>ENTITYpure_trnvr_p</v>
      </c>
      <c r="F128" s="90" t="s">
        <v>114</v>
      </c>
      <c r="G128" t="s">
        <v>23</v>
      </c>
      <c r="H128" t="s">
        <v>710</v>
      </c>
      <c r="I128" t="s">
        <v>683</v>
      </c>
      <c r="J128" t="s">
        <v>683</v>
      </c>
      <c r="K128" t="s">
        <v>701</v>
      </c>
      <c r="L128" t="str">
        <f>+IF(IFERROR(VLOOKUP(CONCATENATE(F128,H128),'2. Script '!A:A,1,FALSE),"#")=CONCATENATE(F128,H128),"Y","N")</f>
        <v>N</v>
      </c>
      <c r="M128" t="str">
        <f t="shared" si="5"/>
        <v>N</v>
      </c>
    </row>
    <row r="129" spans="2:13">
      <c r="B129" s="92" t="s">
        <v>113</v>
      </c>
      <c r="C129" s="92" t="s">
        <v>525</v>
      </c>
      <c r="D129" s="92" t="s">
        <v>908</v>
      </c>
      <c r="E129" s="92" t="str">
        <f t="shared" si="4"/>
        <v>ENTITYpure_capex_b</v>
      </c>
      <c r="F129" s="90" t="s">
        <v>114</v>
      </c>
      <c r="G129" t="s">
        <v>23</v>
      </c>
      <c r="H129" t="s">
        <v>711</v>
      </c>
      <c r="I129" t="s">
        <v>683</v>
      </c>
      <c r="J129" t="s">
        <v>683</v>
      </c>
      <c r="K129" t="s">
        <v>701</v>
      </c>
      <c r="L129" t="str">
        <f>+IF(IFERROR(VLOOKUP(CONCATENATE(F129,H129),'2. Script '!A:A,1,FALSE),"#")=CONCATENATE(F129,H129),"Y","N")</f>
        <v>N</v>
      </c>
      <c r="M129" t="str">
        <f t="shared" si="5"/>
        <v>N</v>
      </c>
    </row>
    <row r="130" spans="2:13">
      <c r="B130" s="92" t="s">
        <v>113</v>
      </c>
      <c r="C130" s="92" t="s">
        <v>84</v>
      </c>
      <c r="D130" s="92" t="s">
        <v>769</v>
      </c>
      <c r="E130" s="92" t="str">
        <f t="shared" si="4"/>
        <v>ENTITYpure_trnvr_b</v>
      </c>
      <c r="F130" s="90" t="s">
        <v>114</v>
      </c>
      <c r="G130" t="s">
        <v>23</v>
      </c>
      <c r="H130" t="s">
        <v>712</v>
      </c>
      <c r="I130" t="s">
        <v>683</v>
      </c>
      <c r="J130" t="s">
        <v>683</v>
      </c>
      <c r="K130" t="s">
        <v>701</v>
      </c>
      <c r="L130" t="str">
        <f>+IF(IFERROR(VLOOKUP(CONCATENATE(F130,H130),'2. Script '!A:A,1,FALSE),"#")=CONCATENATE(F130,H130),"Y","N")</f>
        <v>N</v>
      </c>
      <c r="M130" t="str">
        <f t="shared" si="5"/>
        <v>N</v>
      </c>
    </row>
    <row r="131" spans="2:13">
      <c r="B131" s="92" t="s">
        <v>113</v>
      </c>
      <c r="C131" s="92" t="s">
        <v>420</v>
      </c>
      <c r="D131" s="92" t="s">
        <v>909</v>
      </c>
      <c r="E131" s="92" t="str">
        <f t="shared" si="4"/>
        <v>ENTITYpure_capex_w</v>
      </c>
      <c r="F131" s="90" t="s">
        <v>114</v>
      </c>
      <c r="G131" t="s">
        <v>23</v>
      </c>
      <c r="H131" t="s">
        <v>713</v>
      </c>
      <c r="I131" t="s">
        <v>683</v>
      </c>
      <c r="J131" t="s">
        <v>683</v>
      </c>
      <c r="K131" t="s">
        <v>701</v>
      </c>
      <c r="L131" t="str">
        <f>+IF(IFERROR(VLOOKUP(CONCATENATE(F131,H131),'2. Script '!A:A,1,FALSE),"#")=CONCATENATE(F131,H131),"Y","N")</f>
        <v>N</v>
      </c>
      <c r="M131" t="str">
        <f t="shared" ref="M131:M162" si="6">+IF(IFERROR(VLOOKUP(CONCATENATE(F131,H131),D:D,1,FALSE),"#")=CONCATENATE(F131,H131),"Y","N")</f>
        <v>N</v>
      </c>
    </row>
    <row r="132" spans="2:13">
      <c r="B132" s="92" t="s">
        <v>113</v>
      </c>
      <c r="C132" s="92" t="s">
        <v>85</v>
      </c>
      <c r="D132" s="92" t="s">
        <v>770</v>
      </c>
      <c r="E132" s="92" t="str">
        <f t="shared" ref="E132:E184" si="7">+F132&amp;H132</f>
        <v>ENTITYpure_trnvr_w</v>
      </c>
      <c r="F132" s="90" t="s">
        <v>114</v>
      </c>
      <c r="G132" t="s">
        <v>23</v>
      </c>
      <c r="H132" t="s">
        <v>714</v>
      </c>
      <c r="I132" t="s">
        <v>683</v>
      </c>
      <c r="J132" t="s">
        <v>683</v>
      </c>
      <c r="K132" t="s">
        <v>701</v>
      </c>
      <c r="L132" t="str">
        <f>+IF(IFERROR(VLOOKUP(CONCATENATE(F132,H132),'2. Script '!A:A,1,FALSE),"#")=CONCATENATE(F132,H132),"Y","N")</f>
        <v>N</v>
      </c>
      <c r="M132" t="str">
        <f t="shared" si="6"/>
        <v>N</v>
      </c>
    </row>
    <row r="133" spans="2:13">
      <c r="B133" s="92" t="s">
        <v>113</v>
      </c>
      <c r="C133" s="92" t="s">
        <v>94</v>
      </c>
      <c r="D133" s="92" t="s">
        <v>782</v>
      </c>
      <c r="E133" s="92" t="str">
        <f t="shared" si="7"/>
        <v>ENTITYpure_capex_ce</v>
      </c>
      <c r="F133" s="90" t="s">
        <v>114</v>
      </c>
      <c r="G133" t="s">
        <v>23</v>
      </c>
      <c r="H133" t="s">
        <v>715</v>
      </c>
      <c r="I133" t="s">
        <v>683</v>
      </c>
      <c r="J133" t="s">
        <v>683</v>
      </c>
      <c r="K133" t="s">
        <v>701</v>
      </c>
      <c r="L133" t="str">
        <f>+IF(IFERROR(VLOOKUP(CONCATENATE(F133,H133),'2. Script '!A:A,1,FALSE),"#")=CONCATENATE(F133,H133),"Y","N")</f>
        <v>N</v>
      </c>
      <c r="M133" t="str">
        <f t="shared" si="6"/>
        <v>N</v>
      </c>
    </row>
    <row r="134" spans="2:13">
      <c r="B134" s="92" t="s">
        <v>113</v>
      </c>
      <c r="C134" s="92" t="s">
        <v>421</v>
      </c>
      <c r="D134" s="92" t="s">
        <v>910</v>
      </c>
      <c r="E134" s="92" t="str">
        <f t="shared" si="7"/>
        <v>ENTITYpure_trnvr_ce</v>
      </c>
      <c r="F134" s="90" t="s">
        <v>114</v>
      </c>
      <c r="G134" t="s">
        <v>23</v>
      </c>
      <c r="H134" t="s">
        <v>716</v>
      </c>
      <c r="I134" t="s">
        <v>683</v>
      </c>
      <c r="J134" t="s">
        <v>683</v>
      </c>
      <c r="K134" t="s">
        <v>701</v>
      </c>
      <c r="L134" t="str">
        <f>+IF(IFERROR(VLOOKUP(CONCATENATE(F134,H134),'2. Script '!A:A,1,FALSE),"#")=CONCATENATE(F134,H134),"Y","N")</f>
        <v>N</v>
      </c>
      <c r="M134" t="str">
        <f t="shared" si="6"/>
        <v>N</v>
      </c>
    </row>
    <row r="135" spans="2:13">
      <c r="B135" s="92" t="s">
        <v>113</v>
      </c>
      <c r="C135" s="92" t="s">
        <v>526</v>
      </c>
      <c r="D135" s="92" t="s">
        <v>911</v>
      </c>
      <c r="E135" s="92" t="str">
        <f t="shared" si="7"/>
        <v>ENTITYenblng_capex_w</v>
      </c>
      <c r="F135" s="90" t="s">
        <v>114</v>
      </c>
      <c r="G135" t="s">
        <v>23</v>
      </c>
      <c r="H135" t="s">
        <v>717</v>
      </c>
      <c r="I135" t="s">
        <v>683</v>
      </c>
      <c r="J135" t="s">
        <v>683</v>
      </c>
      <c r="K135" t="s">
        <v>701</v>
      </c>
      <c r="L135" t="str">
        <f>+IF(IFERROR(VLOOKUP(CONCATENATE(F135,H135),'2. Script '!A:A,1,FALSE),"#")=CONCATENATE(F135,H135),"Y","N")</f>
        <v>N</v>
      </c>
      <c r="M135" t="str">
        <f t="shared" si="6"/>
        <v>N</v>
      </c>
    </row>
    <row r="136" spans="2:13">
      <c r="B136" s="92" t="s">
        <v>113</v>
      </c>
      <c r="C136" s="92" t="s">
        <v>449</v>
      </c>
      <c r="D136" s="92" t="s">
        <v>912</v>
      </c>
      <c r="E136" s="92" t="str">
        <f t="shared" si="7"/>
        <v>ENTITYenblng_trnvr_w</v>
      </c>
      <c r="F136" s="90" t="s">
        <v>114</v>
      </c>
      <c r="G136" t="s">
        <v>23</v>
      </c>
      <c r="H136" t="s">
        <v>718</v>
      </c>
      <c r="I136" t="s">
        <v>683</v>
      </c>
      <c r="J136" t="s">
        <v>683</v>
      </c>
      <c r="K136" t="s">
        <v>701</v>
      </c>
      <c r="L136" t="str">
        <f>+IF(IFERROR(VLOOKUP(CONCATENATE(F136,H136),'2. Script '!A:A,1,FALSE),"#")=CONCATENATE(F136,H136),"Y","N")</f>
        <v>N</v>
      </c>
      <c r="M136" t="str">
        <f t="shared" si="6"/>
        <v>N</v>
      </c>
    </row>
    <row r="137" spans="2:13">
      <c r="B137" s="92" t="s">
        <v>113</v>
      </c>
      <c r="C137" s="92" t="s">
        <v>450</v>
      </c>
      <c r="D137" s="92" t="s">
        <v>913</v>
      </c>
      <c r="E137" s="92" t="str">
        <f t="shared" si="7"/>
        <v>ENTITYenblng_capex_ce</v>
      </c>
      <c r="F137" s="90" t="s">
        <v>114</v>
      </c>
      <c r="G137" t="s">
        <v>23</v>
      </c>
      <c r="H137" t="s">
        <v>719</v>
      </c>
      <c r="I137" t="s">
        <v>683</v>
      </c>
      <c r="J137" t="s">
        <v>683</v>
      </c>
      <c r="K137" t="s">
        <v>701</v>
      </c>
      <c r="L137" t="str">
        <f>+IF(IFERROR(VLOOKUP(CONCATENATE(F137,H137),'2. Script '!A:A,1,FALSE),"#")=CONCATENATE(F137,H137),"Y","N")</f>
        <v>N</v>
      </c>
      <c r="M137" t="str">
        <f t="shared" si="6"/>
        <v>N</v>
      </c>
    </row>
    <row r="138" spans="2:13">
      <c r="B138" s="92" t="s">
        <v>113</v>
      </c>
      <c r="C138" s="92" t="s">
        <v>422</v>
      </c>
      <c r="D138" s="92" t="s">
        <v>914</v>
      </c>
      <c r="E138" s="92" t="str">
        <f t="shared" si="7"/>
        <v>ENTITYenblng_trnvr_ce</v>
      </c>
      <c r="F138" s="90" t="s">
        <v>114</v>
      </c>
      <c r="G138" t="s">
        <v>23</v>
      </c>
      <c r="H138" t="s">
        <v>720</v>
      </c>
      <c r="I138" t="s">
        <v>683</v>
      </c>
      <c r="J138" t="s">
        <v>683</v>
      </c>
      <c r="K138" t="s">
        <v>701</v>
      </c>
      <c r="L138" t="str">
        <f>+IF(IFERROR(VLOOKUP(CONCATENATE(F138,H138),'2. Script '!A:A,1,FALSE),"#")=CONCATENATE(F138,H138),"Y","N")</f>
        <v>N</v>
      </c>
      <c r="M138" t="str">
        <f t="shared" si="6"/>
        <v>N</v>
      </c>
    </row>
    <row r="139" spans="2:13">
      <c r="B139" s="92" t="s">
        <v>113</v>
      </c>
      <c r="C139" s="92" t="s">
        <v>423</v>
      </c>
      <c r="D139" s="92" t="s">
        <v>915</v>
      </c>
      <c r="E139" s="92" t="str">
        <f t="shared" si="7"/>
        <v>PROTECTIONdt_rfrnc</v>
      </c>
      <c r="F139" s="90" t="s">
        <v>115</v>
      </c>
      <c r="G139" t="s">
        <v>29</v>
      </c>
      <c r="H139" t="s">
        <v>634</v>
      </c>
      <c r="I139" t="s">
        <v>677</v>
      </c>
      <c r="J139" t="s">
        <v>677</v>
      </c>
      <c r="L139" t="str">
        <f>+IF(IFERROR(VLOOKUP(CONCATENATE(F139,H139),'2. Script '!A:A,1,FALSE),"#")=CONCATENATE(F139,H139),"Y","N")</f>
        <v>N</v>
      </c>
      <c r="M139" t="str">
        <f t="shared" si="6"/>
        <v>Y</v>
      </c>
    </row>
    <row r="140" spans="2:13">
      <c r="B140" s="92" t="s">
        <v>113</v>
      </c>
      <c r="C140" s="92" t="s">
        <v>486</v>
      </c>
      <c r="D140" s="92" t="s">
        <v>916</v>
      </c>
      <c r="E140" s="92" t="str">
        <f t="shared" si="7"/>
        <v>PROTECTIONprtctn_id</v>
      </c>
      <c r="F140" s="90" t="s">
        <v>115</v>
      </c>
      <c r="G140" t="s">
        <v>29</v>
      </c>
      <c r="H140" t="s">
        <v>28</v>
      </c>
      <c r="I140" t="s">
        <v>677</v>
      </c>
      <c r="J140" t="s">
        <v>677</v>
      </c>
      <c r="L140" t="str">
        <f>+IF(IFERROR(VLOOKUP(CONCATENATE(F140,H140),'2. Script '!A:A,1,FALSE),"#")=CONCATENATE(F140,H140),"Y","N")</f>
        <v>N</v>
      </c>
      <c r="M140" t="str">
        <f t="shared" si="6"/>
        <v>Y</v>
      </c>
    </row>
    <row r="141" spans="2:13">
      <c r="B141" s="92" t="s">
        <v>113</v>
      </c>
      <c r="C141" s="92" t="s">
        <v>487</v>
      </c>
      <c r="D141" s="92" t="s">
        <v>917</v>
      </c>
      <c r="E141" s="92" t="str">
        <f t="shared" si="7"/>
        <v>PROTECTIONrl_estt_clltrl_lctn</v>
      </c>
      <c r="F141" s="90" t="s">
        <v>115</v>
      </c>
      <c r="G141" t="s">
        <v>29</v>
      </c>
      <c r="H141" t="s">
        <v>664</v>
      </c>
      <c r="I141" t="s">
        <v>677</v>
      </c>
      <c r="J141" t="s">
        <v>677</v>
      </c>
      <c r="L141" t="str">
        <f>+IF(IFERROR(VLOOKUP(CONCATENATE(F141,H141),'2. Script '!A:A,1,FALSE),"#")=CONCATENATE(F141,H141),"Y","N")</f>
        <v>N</v>
      </c>
      <c r="M141" t="str">
        <f t="shared" si="6"/>
        <v>Y</v>
      </c>
    </row>
    <row r="142" spans="2:13">
      <c r="B142" s="92" t="s">
        <v>113</v>
      </c>
      <c r="C142" s="92" t="s">
        <v>488</v>
      </c>
      <c r="D142" s="92" t="s">
        <v>918</v>
      </c>
      <c r="E142" s="92" t="str">
        <f t="shared" si="7"/>
        <v>PROTECTIONrl_estt_pst_cd</v>
      </c>
      <c r="F142" s="90" t="s">
        <v>115</v>
      </c>
      <c r="G142" t="s">
        <v>29</v>
      </c>
      <c r="H142" t="s">
        <v>665</v>
      </c>
      <c r="I142" t="s">
        <v>677</v>
      </c>
      <c r="J142" t="s">
        <v>677</v>
      </c>
      <c r="L142" t="str">
        <f>+IF(IFERROR(VLOOKUP(CONCATENATE(F142,H142),'2. Script '!A:A,1,FALSE),"#")=CONCATENATE(F142,H142),"Y","N")</f>
        <v>N</v>
      </c>
      <c r="M142" t="str">
        <f t="shared" si="6"/>
        <v>Y</v>
      </c>
    </row>
    <row r="143" spans="2:13">
      <c r="B143" s="92" t="s">
        <v>113</v>
      </c>
      <c r="C143" s="92" t="s">
        <v>489</v>
      </c>
      <c r="D143" s="92" t="s">
        <v>919</v>
      </c>
      <c r="E143" s="92" t="str">
        <f t="shared" si="7"/>
        <v>PROTECTIONtyp_prtctn</v>
      </c>
      <c r="F143" s="90" t="s">
        <v>115</v>
      </c>
      <c r="G143" t="s">
        <v>29</v>
      </c>
      <c r="H143" t="s">
        <v>666</v>
      </c>
      <c r="I143" t="s">
        <v>677</v>
      </c>
      <c r="J143" t="s">
        <v>677</v>
      </c>
      <c r="L143" t="str">
        <f>+IF(IFERROR(VLOOKUP(CONCATENATE(F143,H143),'2. Script '!A:A,1,FALSE),"#")=CONCATENATE(F143,H143),"Y","N")</f>
        <v>Y</v>
      </c>
      <c r="M143" t="str">
        <f t="shared" si="6"/>
        <v>Y</v>
      </c>
    </row>
    <row r="144" spans="2:13">
      <c r="B144" s="92" t="s">
        <v>113</v>
      </c>
      <c r="C144" s="92" t="s">
        <v>424</v>
      </c>
      <c r="D144" s="92" t="s">
        <v>920</v>
      </c>
      <c r="E144" s="92" t="str">
        <f t="shared" si="7"/>
        <v>PROTECTIONorgnl_prtctn_vl</v>
      </c>
      <c r="F144" s="90" t="s">
        <v>115</v>
      </c>
      <c r="G144" t="s">
        <v>29</v>
      </c>
      <c r="H144" t="s">
        <v>667</v>
      </c>
      <c r="I144" t="s">
        <v>677</v>
      </c>
      <c r="J144" t="s">
        <v>677</v>
      </c>
      <c r="L144" t="str">
        <f>+IF(IFERROR(VLOOKUP(CONCATENATE(F144,H144),'2. Script '!A:A,1,FALSE),"#")=CONCATENATE(F144,H144),"Y","N")</f>
        <v>N</v>
      </c>
      <c r="M144" t="str">
        <f t="shared" si="6"/>
        <v>Y</v>
      </c>
    </row>
    <row r="145" spans="2:13">
      <c r="B145" s="92" t="s">
        <v>113</v>
      </c>
      <c r="C145" s="92" t="s">
        <v>543</v>
      </c>
      <c r="D145" s="92" t="s">
        <v>921</v>
      </c>
      <c r="E145" s="92" t="str">
        <f t="shared" si="7"/>
        <v>PROTECTIONprtctn_vl</v>
      </c>
      <c r="F145" s="90" t="s">
        <v>115</v>
      </c>
      <c r="G145" t="s">
        <v>29</v>
      </c>
      <c r="H145" t="s">
        <v>668</v>
      </c>
      <c r="I145" t="s">
        <v>677</v>
      </c>
      <c r="J145" t="s">
        <v>677</v>
      </c>
      <c r="L145" t="str">
        <f>+IF(IFERROR(VLOOKUP(CONCATENATE(F145,H145),'2. Script '!A:A,1,FALSE),"#")=CONCATENATE(F145,H145),"Y","N")</f>
        <v>Y</v>
      </c>
      <c r="M145" t="str">
        <f t="shared" si="6"/>
        <v>Y</v>
      </c>
    </row>
    <row r="146" spans="2:13">
      <c r="B146" s="92" t="s">
        <v>113</v>
      </c>
      <c r="C146" s="92" t="s">
        <v>396</v>
      </c>
      <c r="D146" s="92" t="s">
        <v>922</v>
      </c>
      <c r="E146" s="92" t="str">
        <f t="shared" si="7"/>
        <v>PROTECTIONcod_soc</v>
      </c>
      <c r="F146" s="90" t="s">
        <v>115</v>
      </c>
      <c r="G146" t="s">
        <v>29</v>
      </c>
      <c r="H146" t="s">
        <v>650</v>
      </c>
      <c r="I146" t="s">
        <v>677</v>
      </c>
      <c r="J146" t="s">
        <v>677</v>
      </c>
      <c r="L146" t="str">
        <f>+IF(IFERROR(VLOOKUP(CONCATENATE(F146,H146),'2. Script '!A:A,1,FALSE),"#")=CONCATENATE(F146,H146),"Y","N")</f>
        <v>Y</v>
      </c>
      <c r="M146" t="str">
        <f t="shared" si="6"/>
        <v>Y</v>
      </c>
    </row>
    <row r="147" spans="2:13">
      <c r="B147" s="92" t="s">
        <v>113</v>
      </c>
      <c r="C147" s="92" t="s">
        <v>344</v>
      </c>
      <c r="D147" s="92" t="s">
        <v>923</v>
      </c>
      <c r="E147" s="92" t="str">
        <f t="shared" si="7"/>
        <v>INSTR_ENTITYdt_rfrnc</v>
      </c>
      <c r="F147" s="90" t="s">
        <v>304</v>
      </c>
      <c r="G147" t="s">
        <v>25</v>
      </c>
      <c r="H147" t="s">
        <v>634</v>
      </c>
      <c r="I147" t="s">
        <v>677</v>
      </c>
      <c r="J147" t="s">
        <v>677</v>
      </c>
      <c r="L147" t="str">
        <f>+IF(IFERROR(VLOOKUP(CONCATENATE(F147,H147),'2. Script '!A:A,1,FALSE),"#")=CONCATENATE(F147,H147),"Y","N")</f>
        <v>N</v>
      </c>
      <c r="M147" t="str">
        <f t="shared" si="6"/>
        <v>Y</v>
      </c>
    </row>
    <row r="148" spans="2:13">
      <c r="B148" s="92" t="s">
        <v>113</v>
      </c>
      <c r="C148" s="92" t="s">
        <v>345</v>
      </c>
      <c r="D148" s="92" t="s">
        <v>924</v>
      </c>
      <c r="E148" s="92" t="str">
        <f t="shared" si="7"/>
        <v>INSTR_ENTITYentty_id</v>
      </c>
      <c r="F148" s="90" t="s">
        <v>304</v>
      </c>
      <c r="G148" t="s">
        <v>25</v>
      </c>
      <c r="H148" t="s">
        <v>24</v>
      </c>
      <c r="I148" t="s">
        <v>677</v>
      </c>
      <c r="J148" t="s">
        <v>677</v>
      </c>
      <c r="L148" t="str">
        <f>+IF(IFERROR(VLOOKUP(CONCATENATE(F148,H148),'2. Script '!A:A,1,FALSE),"#")=CONCATENATE(F148,H148),"Y","N")</f>
        <v>N</v>
      </c>
      <c r="M148" t="str">
        <f t="shared" si="6"/>
        <v>Y</v>
      </c>
    </row>
    <row r="149" spans="2:13">
      <c r="B149" s="92" t="s">
        <v>113</v>
      </c>
      <c r="C149" s="92" t="s">
        <v>451</v>
      </c>
      <c r="D149" s="92" t="s">
        <v>925</v>
      </c>
      <c r="E149" s="92" t="str">
        <f t="shared" si="7"/>
        <v>INSTR_ENTITYinstrmnt_id</v>
      </c>
      <c r="F149" s="90" t="s">
        <v>304</v>
      </c>
      <c r="G149" t="s">
        <v>25</v>
      </c>
      <c r="H149" t="s">
        <v>26</v>
      </c>
      <c r="I149" t="s">
        <v>677</v>
      </c>
      <c r="J149" t="s">
        <v>677</v>
      </c>
      <c r="L149" t="str">
        <f>+IF(IFERROR(VLOOKUP(CONCATENATE(F149,H149),'2. Script '!A:A,1,FALSE),"#")=CONCATENATE(F149,H149),"Y","N")</f>
        <v>N</v>
      </c>
      <c r="M149" t="str">
        <f t="shared" si="6"/>
        <v>Y</v>
      </c>
    </row>
    <row r="150" spans="2:13">
      <c r="B150" s="92" t="s">
        <v>113</v>
      </c>
      <c r="C150" s="92" t="s">
        <v>452</v>
      </c>
      <c r="D150" s="92" t="s">
        <v>926</v>
      </c>
      <c r="E150" s="92" t="str">
        <f t="shared" si="7"/>
        <v>INSTR_ENTITYcod_soc</v>
      </c>
      <c r="F150" s="90" t="s">
        <v>304</v>
      </c>
      <c r="G150" t="s">
        <v>25</v>
      </c>
      <c r="H150" t="s">
        <v>650</v>
      </c>
      <c r="I150" t="s">
        <v>677</v>
      </c>
      <c r="J150" t="s">
        <v>677</v>
      </c>
      <c r="L150" t="str">
        <f>+IF(IFERROR(VLOOKUP(CONCATENATE(F150,H150),'2. Script '!A:A,1,FALSE),"#")=CONCATENATE(F150,H150),"Y","N")</f>
        <v>Y</v>
      </c>
      <c r="M150" t="str">
        <f t="shared" si="6"/>
        <v>Y</v>
      </c>
    </row>
    <row r="151" spans="2:13">
      <c r="B151" s="92" t="s">
        <v>113</v>
      </c>
      <c r="C151" s="92" t="s">
        <v>453</v>
      </c>
      <c r="D151" s="92" t="s">
        <v>927</v>
      </c>
      <c r="E151" s="92" t="str">
        <f t="shared" si="7"/>
        <v>INSTR_ENTITYmn_entty_id</v>
      </c>
      <c r="F151" s="90" t="s">
        <v>304</v>
      </c>
      <c r="G151" t="s">
        <v>25</v>
      </c>
      <c r="H151" t="s">
        <v>285</v>
      </c>
      <c r="I151" t="s">
        <v>677</v>
      </c>
      <c r="J151" t="s">
        <v>677</v>
      </c>
      <c r="L151" t="str">
        <f>+IF(IFERROR(VLOOKUP(CONCATENATE(F151,H151),'2. Script '!A:A,1,FALSE),"#")=CONCATENATE(F151,H151),"Y","N")</f>
        <v>Y</v>
      </c>
      <c r="M151" t="str">
        <f t="shared" si="6"/>
        <v>Y</v>
      </c>
    </row>
    <row r="152" spans="2:13">
      <c r="B152" s="92" t="s">
        <v>113</v>
      </c>
      <c r="C152" s="92" t="s">
        <v>507</v>
      </c>
      <c r="D152" s="92" t="s">
        <v>928</v>
      </c>
      <c r="E152" s="92" t="str">
        <f t="shared" si="7"/>
        <v>INSTR_PROTECTIONdt_rfrnc</v>
      </c>
      <c r="F152" s="90" t="s">
        <v>305</v>
      </c>
      <c r="G152" t="s">
        <v>27</v>
      </c>
      <c r="H152" t="s">
        <v>634</v>
      </c>
      <c r="I152" t="s">
        <v>677</v>
      </c>
      <c r="J152" t="s">
        <v>677</v>
      </c>
      <c r="L152" t="str">
        <f>+IF(IFERROR(VLOOKUP(CONCATENATE(F152,H152),'2. Script '!A:A,1,FALSE),"#")=CONCATENATE(F152,H152),"Y","N")</f>
        <v>N</v>
      </c>
      <c r="M152" t="str">
        <f t="shared" si="6"/>
        <v>Y</v>
      </c>
    </row>
    <row r="153" spans="2:13">
      <c r="B153" s="92" t="s">
        <v>113</v>
      </c>
      <c r="C153" s="92" t="s">
        <v>481</v>
      </c>
      <c r="D153" s="92" t="s">
        <v>929</v>
      </c>
      <c r="E153" s="92" t="str">
        <f t="shared" si="7"/>
        <v>INSTR_PROTECTIONinstrmnt_id</v>
      </c>
      <c r="F153" s="90" t="s">
        <v>305</v>
      </c>
      <c r="G153" t="s">
        <v>27</v>
      </c>
      <c r="H153" t="s">
        <v>26</v>
      </c>
      <c r="I153" t="s">
        <v>677</v>
      </c>
      <c r="J153" t="s">
        <v>677</v>
      </c>
      <c r="L153" t="str">
        <f>+IF(IFERROR(VLOOKUP(CONCATENATE(F153,H153),'2. Script '!A:A,1,FALSE),"#")=CONCATENATE(F153,H153),"Y","N")</f>
        <v>N</v>
      </c>
      <c r="M153" t="str">
        <f t="shared" si="6"/>
        <v>Y</v>
      </c>
    </row>
    <row r="154" spans="2:13">
      <c r="B154" s="92" t="s">
        <v>113</v>
      </c>
      <c r="C154" s="92" t="s">
        <v>395</v>
      </c>
      <c r="D154" s="92" t="s">
        <v>930</v>
      </c>
      <c r="E154" s="92" t="str">
        <f t="shared" si="7"/>
        <v>INSTR_PROTECTIONprtctn_id</v>
      </c>
      <c r="F154" s="90" t="s">
        <v>305</v>
      </c>
      <c r="G154" t="s">
        <v>27</v>
      </c>
      <c r="H154" t="s">
        <v>28</v>
      </c>
      <c r="I154" t="s">
        <v>677</v>
      </c>
      <c r="J154" t="s">
        <v>677</v>
      </c>
      <c r="L154" t="str">
        <f>+IF(IFERROR(VLOOKUP(CONCATENATE(F154,H154),'2. Script '!A:A,1,FALSE),"#")=CONCATENATE(F154,H154),"Y","N")</f>
        <v>N</v>
      </c>
      <c r="M154" t="str">
        <f t="shared" si="6"/>
        <v>Y</v>
      </c>
    </row>
    <row r="155" spans="2:13">
      <c r="B155" s="92" t="s">
        <v>113</v>
      </c>
      <c r="C155" s="92" t="s">
        <v>425</v>
      </c>
      <c r="D155" s="92" t="s">
        <v>931</v>
      </c>
      <c r="E155" s="92" t="str">
        <f t="shared" si="7"/>
        <v>INSTR_PROTECTIONprtctn_allctd_vl</v>
      </c>
      <c r="F155" s="90" t="s">
        <v>305</v>
      </c>
      <c r="G155" t="s">
        <v>27</v>
      </c>
      <c r="H155" t="s">
        <v>721</v>
      </c>
      <c r="I155" t="s">
        <v>683</v>
      </c>
      <c r="J155" t="s">
        <v>683</v>
      </c>
      <c r="K155" t="s">
        <v>679</v>
      </c>
      <c r="L155" t="str">
        <f>+IF(IFERROR(VLOOKUP(CONCATENATE(F155,H155),'2. Script '!A:A,1,FALSE),"#")=CONCATENATE(F155,H155),"Y","N")</f>
        <v>Y</v>
      </c>
      <c r="M155" t="str">
        <f t="shared" si="6"/>
        <v>Y</v>
      </c>
    </row>
    <row r="156" spans="2:13">
      <c r="B156" s="92" t="s">
        <v>113</v>
      </c>
      <c r="C156" s="92" t="s">
        <v>454</v>
      </c>
      <c r="D156" s="92" t="s">
        <v>932</v>
      </c>
      <c r="E156" s="92" t="str">
        <f t="shared" si="7"/>
        <v>INSTR_PROTECTIONTYP_RLTN</v>
      </c>
      <c r="F156" s="90" t="s">
        <v>305</v>
      </c>
      <c r="G156" t="s">
        <v>27</v>
      </c>
      <c r="H156" t="s">
        <v>722</v>
      </c>
      <c r="I156" t="s">
        <v>684</v>
      </c>
      <c r="J156" t="s">
        <v>684</v>
      </c>
      <c r="K156" t="s">
        <v>682</v>
      </c>
      <c r="L156" t="str">
        <f>+IF(IFERROR(VLOOKUP(CONCATENATE(F156,H156),'2. Script '!A:A,1,FALSE),"#")=CONCATENATE(F156,H156),"Y","N")</f>
        <v>N</v>
      </c>
      <c r="M156" t="str">
        <f t="shared" si="6"/>
        <v>N</v>
      </c>
    </row>
    <row r="157" spans="2:13">
      <c r="B157" s="92" t="s">
        <v>113</v>
      </c>
      <c r="C157" s="92" t="s">
        <v>527</v>
      </c>
      <c r="D157" s="92" t="s">
        <v>933</v>
      </c>
      <c r="E157" s="92" t="str">
        <f t="shared" si="7"/>
        <v>INSTR_PROTECTIONcod_soc</v>
      </c>
      <c r="F157" s="90" t="s">
        <v>305</v>
      </c>
      <c r="G157" t="s">
        <v>27</v>
      </c>
      <c r="H157" t="s">
        <v>650</v>
      </c>
      <c r="I157" t="s">
        <v>677</v>
      </c>
      <c r="J157" t="s">
        <v>677</v>
      </c>
      <c r="L157" t="str">
        <f>+IF(IFERROR(VLOOKUP(CONCATENATE(F157,H157),'2. Script '!A:A,1,FALSE),"#")=CONCATENATE(F157,H157),"Y","N")</f>
        <v>N</v>
      </c>
      <c r="M157" t="str">
        <f t="shared" si="6"/>
        <v>Y</v>
      </c>
    </row>
    <row r="158" spans="2:13">
      <c r="B158" s="92" t="s">
        <v>113</v>
      </c>
      <c r="C158" s="92" t="s">
        <v>528</v>
      </c>
      <c r="D158" s="92" t="s">
        <v>934</v>
      </c>
      <c r="E158" s="92" t="str">
        <f t="shared" si="7"/>
        <v>PROTECTIONflg_fin</v>
      </c>
      <c r="F158" s="90" t="s">
        <v>115</v>
      </c>
      <c r="G158" t="s">
        <v>29</v>
      </c>
      <c r="H158" t="s">
        <v>669</v>
      </c>
      <c r="I158" t="s">
        <v>723</v>
      </c>
      <c r="J158" t="s">
        <v>723</v>
      </c>
      <c r="L158" t="str">
        <f>+IF(IFERROR(VLOOKUP(CONCATENATE(F158,H158),'2. Script '!A:A,1,FALSE),"#")=CONCATENATE(F158,H158),"Y","N")</f>
        <v>N</v>
      </c>
      <c r="M158" t="str">
        <f t="shared" si="6"/>
        <v>N</v>
      </c>
    </row>
    <row r="159" spans="2:13">
      <c r="B159" s="92" t="s">
        <v>113</v>
      </c>
      <c r="C159" s="92" t="s">
        <v>426</v>
      </c>
      <c r="D159" s="92" t="s">
        <v>935</v>
      </c>
      <c r="E159" s="92" t="str">
        <f t="shared" si="7"/>
        <v>PROTECTIONflg_exec</v>
      </c>
      <c r="F159" s="90" t="s">
        <v>115</v>
      </c>
      <c r="G159" t="s">
        <v>29</v>
      </c>
      <c r="H159" t="s">
        <v>670</v>
      </c>
      <c r="I159" t="s">
        <v>723</v>
      </c>
      <c r="J159" t="s">
        <v>723</v>
      </c>
      <c r="L159" t="str">
        <f>+IF(IFERROR(VLOOKUP(CONCATENATE(F159,H159),'2. Script '!A:A,1,FALSE),"#")=CONCATENATE(F159,H159),"Y","N")</f>
        <v>N</v>
      </c>
      <c r="M159" t="str">
        <f t="shared" si="6"/>
        <v>N</v>
      </c>
    </row>
    <row r="160" spans="2:13">
      <c r="B160" s="92" t="s">
        <v>113</v>
      </c>
      <c r="C160" s="92" t="s">
        <v>95</v>
      </c>
      <c r="D160" s="92" t="s">
        <v>764</v>
      </c>
      <c r="E160" s="92" t="str">
        <f t="shared" si="7"/>
        <v>PROTECTIONRL_ESTT_ADDRSS</v>
      </c>
      <c r="F160" s="90" t="s">
        <v>115</v>
      </c>
      <c r="G160" t="s">
        <v>29</v>
      </c>
      <c r="H160" t="s">
        <v>550</v>
      </c>
      <c r="I160" t="s">
        <v>683</v>
      </c>
      <c r="J160" t="s">
        <v>684</v>
      </c>
      <c r="K160" t="s">
        <v>685</v>
      </c>
      <c r="L160" t="str">
        <f>+IF(IFERROR(VLOOKUP(CONCATENATE(F160,H160),'2. Script '!A:A,1,FALSE),"#")=CONCATENATE(F160,H160),"Y","N")</f>
        <v>N</v>
      </c>
      <c r="M160" t="str">
        <f t="shared" si="6"/>
        <v>Y</v>
      </c>
    </row>
    <row r="161" spans="2:13">
      <c r="B161" s="92" t="s">
        <v>113</v>
      </c>
      <c r="C161" s="92" t="s">
        <v>490</v>
      </c>
      <c r="D161" s="92" t="s">
        <v>936</v>
      </c>
      <c r="E161" s="92" t="str">
        <f t="shared" si="7"/>
        <v>PROTECTIONRL_ESTT_CLLTRL_LCTN_INT</v>
      </c>
      <c r="F161" s="90" t="s">
        <v>115</v>
      </c>
      <c r="G161" t="s">
        <v>29</v>
      </c>
      <c r="H161" t="s">
        <v>551</v>
      </c>
      <c r="I161" t="s">
        <v>684</v>
      </c>
      <c r="J161" t="s">
        <v>684</v>
      </c>
      <c r="K161" t="s">
        <v>682</v>
      </c>
      <c r="L161" t="str">
        <f>+IF(IFERROR(VLOOKUP(CONCATENATE(F161,H161),'2. Script '!A:A,1,FALSE),"#")=CONCATENATE(F161,H161),"Y","N")</f>
        <v>N</v>
      </c>
      <c r="M161" t="str">
        <f t="shared" si="6"/>
        <v>Y</v>
      </c>
    </row>
    <row r="162" spans="2:13">
      <c r="B162" s="92" t="s">
        <v>113</v>
      </c>
      <c r="C162" s="92" t="s">
        <v>491</v>
      </c>
      <c r="D162" s="92" t="s">
        <v>937</v>
      </c>
      <c r="E162" s="92" t="str">
        <f t="shared" si="7"/>
        <v>PROTECTIONRL_ESTT_CTY</v>
      </c>
      <c r="F162" s="90" t="s">
        <v>115</v>
      </c>
      <c r="G162" t="s">
        <v>29</v>
      </c>
      <c r="H162" t="s">
        <v>552</v>
      </c>
      <c r="I162" t="s">
        <v>683</v>
      </c>
      <c r="J162" t="s">
        <v>683</v>
      </c>
      <c r="K162" t="s">
        <v>686</v>
      </c>
      <c r="L162" t="str">
        <f>+IF(IFERROR(VLOOKUP(CONCATENATE(F162,H162),'2. Script '!A:A,1,FALSE),"#")=CONCATENATE(F162,H162),"Y","N")</f>
        <v>N</v>
      </c>
      <c r="M162" t="str">
        <f t="shared" si="6"/>
        <v>Y</v>
      </c>
    </row>
    <row r="163" spans="2:13">
      <c r="B163" s="92" t="s">
        <v>113</v>
      </c>
      <c r="C163" s="92" t="s">
        <v>492</v>
      </c>
      <c r="D163" s="92" t="s">
        <v>938</v>
      </c>
      <c r="E163" s="92" t="str">
        <f t="shared" si="7"/>
        <v>PROTECTIONTYP_EMSSNS_LBL</v>
      </c>
      <c r="F163" s="90" t="s">
        <v>115</v>
      </c>
      <c r="G163" t="s">
        <v>29</v>
      </c>
      <c r="H163" t="s">
        <v>724</v>
      </c>
      <c r="I163" t="s">
        <v>683</v>
      </c>
      <c r="J163" t="s">
        <v>683</v>
      </c>
      <c r="K163" t="s">
        <v>679</v>
      </c>
      <c r="L163" t="str">
        <f>+IF(IFERROR(VLOOKUP(CONCATENATE(F163,H163),'2. Script '!A:A,1,FALSE),"#")=CONCATENATE(F163,H163),"Y","N")</f>
        <v>N</v>
      </c>
      <c r="M163" t="str">
        <f t="shared" ref="M163:M184" si="8">+IF(IFERROR(VLOOKUP(CONCATENATE(F163,H163),D:D,1,FALSE),"#")=CONCATENATE(F163,H163),"Y","N")</f>
        <v>N</v>
      </c>
    </row>
    <row r="164" spans="2:13">
      <c r="B164" s="92" t="s">
        <v>113</v>
      </c>
      <c r="C164" s="92" t="s">
        <v>493</v>
      </c>
      <c r="D164" s="92" t="s">
        <v>939</v>
      </c>
      <c r="E164" s="92" t="str">
        <f t="shared" si="7"/>
        <v>PROTECTIONEPC_EMSSNS_LBL</v>
      </c>
      <c r="F164" s="90" t="s">
        <v>115</v>
      </c>
      <c r="G164" t="s">
        <v>29</v>
      </c>
      <c r="H164" t="s">
        <v>725</v>
      </c>
      <c r="I164" t="s">
        <v>681</v>
      </c>
      <c r="J164" t="s">
        <v>684</v>
      </c>
      <c r="K164" t="s">
        <v>685</v>
      </c>
      <c r="L164" t="str">
        <f>+IF(IFERROR(VLOOKUP(CONCATENATE(F164,H164),'2. Script '!A:A,1,FALSE),"#")=CONCATENATE(F164,H164),"Y","N")</f>
        <v>N</v>
      </c>
      <c r="M164" t="str">
        <f t="shared" si="8"/>
        <v>N</v>
      </c>
    </row>
    <row r="165" spans="2:13">
      <c r="B165" s="92" t="s">
        <v>113</v>
      </c>
      <c r="C165" s="92" t="s">
        <v>494</v>
      </c>
      <c r="D165" s="92" t="s">
        <v>940</v>
      </c>
      <c r="E165" s="92" t="str">
        <f t="shared" si="7"/>
        <v>PROTECTIONVHCL_EMSSNS_LBL</v>
      </c>
      <c r="F165" s="90" t="s">
        <v>115</v>
      </c>
      <c r="G165" t="s">
        <v>29</v>
      </c>
      <c r="H165" t="s">
        <v>726</v>
      </c>
      <c r="I165" t="s">
        <v>683</v>
      </c>
      <c r="J165" t="s">
        <v>683</v>
      </c>
      <c r="K165" t="s">
        <v>679</v>
      </c>
      <c r="L165" t="str">
        <f>+IF(IFERROR(VLOOKUP(CONCATENATE(F165,H165),'2. Script '!A:A,1,FALSE),"#")=CONCATENATE(F165,H165),"Y","N")</f>
        <v>N</v>
      </c>
      <c r="M165" t="str">
        <f t="shared" si="8"/>
        <v>N</v>
      </c>
    </row>
    <row r="166" spans="2:13">
      <c r="B166" s="92" t="s">
        <v>113</v>
      </c>
      <c r="C166" s="92" t="s">
        <v>495</v>
      </c>
      <c r="D166" s="92" t="s">
        <v>941</v>
      </c>
      <c r="E166" s="92" t="str">
        <f t="shared" si="7"/>
        <v>PROTECTIONTYP_EMSSNS_SCR</v>
      </c>
      <c r="F166" s="90" t="s">
        <v>115</v>
      </c>
      <c r="G166" t="s">
        <v>29</v>
      </c>
      <c r="H166" t="s">
        <v>727</v>
      </c>
      <c r="I166" t="s">
        <v>681</v>
      </c>
      <c r="J166" t="s">
        <v>684</v>
      </c>
      <c r="K166" t="s">
        <v>685</v>
      </c>
      <c r="L166" t="str">
        <f>+IF(IFERROR(VLOOKUP(CONCATENATE(F166,H166),'2. Script '!A:A,1,FALSE),"#")=CONCATENATE(F166,H166),"Y","N")</f>
        <v>N</v>
      </c>
      <c r="M166" t="str">
        <f t="shared" si="8"/>
        <v>N</v>
      </c>
    </row>
    <row r="167" spans="2:13">
      <c r="B167" s="92" t="s">
        <v>113</v>
      </c>
      <c r="C167" s="92" t="s">
        <v>427</v>
      </c>
      <c r="D167" s="92" t="s">
        <v>942</v>
      </c>
      <c r="E167" s="92" t="str">
        <f t="shared" si="7"/>
        <v>PROTECTIONEPC_EMSSNS_SCR</v>
      </c>
      <c r="F167" s="90" t="s">
        <v>115</v>
      </c>
      <c r="G167" t="s">
        <v>29</v>
      </c>
      <c r="H167" t="s">
        <v>728</v>
      </c>
      <c r="I167" t="s">
        <v>681</v>
      </c>
      <c r="J167" t="s">
        <v>684</v>
      </c>
      <c r="K167" t="s">
        <v>685</v>
      </c>
      <c r="L167" t="str">
        <f>+IF(IFERROR(VLOOKUP(CONCATENATE(F167,H167),'2. Script '!A:A,1,FALSE),"#")=CONCATENATE(F167,H167),"Y","N")</f>
        <v>N</v>
      </c>
      <c r="M167" t="str">
        <f t="shared" si="8"/>
        <v>N</v>
      </c>
    </row>
    <row r="168" spans="2:13">
      <c r="B168" s="92" t="s">
        <v>113</v>
      </c>
      <c r="C168" s="92" t="s">
        <v>428</v>
      </c>
      <c r="D168" s="92" t="s">
        <v>943</v>
      </c>
      <c r="E168" s="92" t="str">
        <f t="shared" si="7"/>
        <v>PROTECTIONVHCL_EMSSNS_SCR</v>
      </c>
      <c r="F168" s="90" t="s">
        <v>115</v>
      </c>
      <c r="G168" t="s">
        <v>29</v>
      </c>
      <c r="H168" t="s">
        <v>729</v>
      </c>
      <c r="I168" t="s">
        <v>683</v>
      </c>
      <c r="J168" t="s">
        <v>683</v>
      </c>
      <c r="K168" t="s">
        <v>679</v>
      </c>
      <c r="L168" t="str">
        <f>+IF(IFERROR(VLOOKUP(CONCATENATE(F168,H168),'2. Script '!A:A,1,FALSE),"#")=CONCATENATE(F168,H168),"Y","N")</f>
        <v>N</v>
      </c>
      <c r="M168" t="str">
        <f t="shared" si="8"/>
        <v>N</v>
      </c>
    </row>
    <row r="169" spans="2:13">
      <c r="B169" s="92" t="s">
        <v>113</v>
      </c>
      <c r="C169" s="92" t="s">
        <v>499</v>
      </c>
      <c r="D169" s="92" t="s">
        <v>944</v>
      </c>
      <c r="E169" s="92" t="str">
        <f t="shared" si="7"/>
        <v>PROTECTIONINSRNC_ID</v>
      </c>
      <c r="F169" s="90" t="s">
        <v>115</v>
      </c>
      <c r="G169" t="s">
        <v>29</v>
      </c>
      <c r="H169" t="s">
        <v>730</v>
      </c>
      <c r="I169" t="s">
        <v>683</v>
      </c>
      <c r="J169" t="s">
        <v>683</v>
      </c>
      <c r="K169" t="s">
        <v>679</v>
      </c>
      <c r="L169" t="str">
        <f>+IF(IFERROR(VLOOKUP(CONCATENATE(F169,H169),'2. Script '!A:A,1,FALSE),"#")=CONCATENATE(F169,H169),"Y","N")</f>
        <v>N</v>
      </c>
      <c r="M169" t="str">
        <f t="shared" si="8"/>
        <v>N</v>
      </c>
    </row>
    <row r="170" spans="2:13">
      <c r="B170" s="92" t="s">
        <v>113</v>
      </c>
      <c r="C170" s="92" t="s">
        <v>431</v>
      </c>
      <c r="D170" s="92" t="s">
        <v>945</v>
      </c>
      <c r="E170" s="92" t="str">
        <f t="shared" si="7"/>
        <v>PROTECTIONTYP_HZRDS_INSRD</v>
      </c>
      <c r="F170" s="90" t="s">
        <v>115</v>
      </c>
      <c r="G170" t="s">
        <v>29</v>
      </c>
      <c r="H170" t="s">
        <v>731</v>
      </c>
      <c r="I170" t="s">
        <v>683</v>
      </c>
      <c r="J170" t="s">
        <v>683</v>
      </c>
      <c r="K170" t="s">
        <v>679</v>
      </c>
      <c r="L170" t="str">
        <f>+IF(IFERROR(VLOOKUP(CONCATENATE(F170,H170),'2. Script '!A:A,1,FALSE),"#")=CONCATENATE(F170,H170),"Y","N")</f>
        <v>N</v>
      </c>
      <c r="M170" t="str">
        <f t="shared" si="8"/>
        <v>N</v>
      </c>
    </row>
    <row r="171" spans="2:13">
      <c r="B171" s="92" t="s">
        <v>113</v>
      </c>
      <c r="C171" s="92" t="s">
        <v>86</v>
      </c>
      <c r="D171" s="92" t="s">
        <v>771</v>
      </c>
      <c r="E171" s="92" t="str">
        <f t="shared" si="7"/>
        <v>PROTECTIONAMNT_CVRD_INSRNC</v>
      </c>
      <c r="F171" s="90" t="s">
        <v>115</v>
      </c>
      <c r="G171" t="s">
        <v>29</v>
      </c>
      <c r="H171" t="s">
        <v>732</v>
      </c>
      <c r="I171" t="s">
        <v>683</v>
      </c>
      <c r="J171" t="s">
        <v>683</v>
      </c>
      <c r="K171" t="s">
        <v>679</v>
      </c>
      <c r="L171" t="str">
        <f>+IF(IFERROR(VLOOKUP(CONCATENATE(F171,H171),'2. Script '!A:A,1,FALSE),"#")=CONCATENATE(F171,H171),"Y","N")</f>
        <v>N</v>
      </c>
      <c r="M171" t="str">
        <f t="shared" si="8"/>
        <v>N</v>
      </c>
    </row>
    <row r="172" spans="2:13">
      <c r="B172" s="92" t="s">
        <v>113</v>
      </c>
      <c r="C172" s="92" t="s">
        <v>429</v>
      </c>
      <c r="D172" s="92" t="s">
        <v>946</v>
      </c>
      <c r="E172" s="92" t="str">
        <f t="shared" si="7"/>
        <v>PROTECTIONDT_MTRTY_INSRNC</v>
      </c>
      <c r="F172" s="90" t="s">
        <v>115</v>
      </c>
      <c r="G172" t="s">
        <v>29</v>
      </c>
      <c r="H172" t="s">
        <v>733</v>
      </c>
      <c r="I172" t="s">
        <v>683</v>
      </c>
      <c r="J172" t="s">
        <v>683</v>
      </c>
      <c r="K172" t="s">
        <v>679</v>
      </c>
      <c r="L172" t="str">
        <f>+IF(IFERROR(VLOOKUP(CONCATENATE(F172,H172),'2. Script '!A:A,1,FALSE),"#")=CONCATENATE(F172,H172),"Y","N")</f>
        <v>N</v>
      </c>
      <c r="M172" t="str">
        <f t="shared" si="8"/>
        <v>N</v>
      </c>
    </row>
    <row r="173" spans="2:13">
      <c r="B173" s="92" t="s">
        <v>113</v>
      </c>
      <c r="C173" s="92" t="s">
        <v>430</v>
      </c>
      <c r="D173" s="92" t="s">
        <v>947</v>
      </c>
      <c r="E173" s="92" t="str">
        <f t="shared" si="7"/>
        <v>PROTECTIONFLG_FRST_HM</v>
      </c>
      <c r="F173" s="90" t="s">
        <v>115</v>
      </c>
      <c r="G173" t="s">
        <v>29</v>
      </c>
      <c r="H173" t="s">
        <v>734</v>
      </c>
      <c r="I173" t="s">
        <v>683</v>
      </c>
      <c r="J173" t="s">
        <v>683</v>
      </c>
      <c r="K173" t="s">
        <v>679</v>
      </c>
      <c r="L173" t="str">
        <f>+IF(IFERROR(VLOOKUP(CONCATENATE(F173,H173),'2. Script '!A:A,1,FALSE),"#")=CONCATENATE(F173,H173),"Y","N")</f>
        <v>N</v>
      </c>
      <c r="M173" t="str">
        <f t="shared" si="8"/>
        <v>N</v>
      </c>
    </row>
    <row r="174" spans="2:13">
      <c r="B174" s="92" t="s">
        <v>113</v>
      </c>
      <c r="C174" s="92" t="s">
        <v>529</v>
      </c>
      <c r="D174" s="92" t="s">
        <v>948</v>
      </c>
      <c r="E174" s="92" t="str">
        <f t="shared" si="7"/>
        <v>PROTECTIONYR_CNSTRCTN</v>
      </c>
      <c r="F174" s="90" t="s">
        <v>115</v>
      </c>
      <c r="G174" t="s">
        <v>29</v>
      </c>
      <c r="H174" t="s">
        <v>577</v>
      </c>
      <c r="I174" t="s">
        <v>683</v>
      </c>
      <c r="J174" t="s">
        <v>683</v>
      </c>
      <c r="K174" t="s">
        <v>686</v>
      </c>
      <c r="L174" t="str">
        <f>+IF(IFERROR(VLOOKUP(CONCATENATE(F174,H174),'2. Script '!A:A,1,FALSE),"#")=CONCATENATE(F174,H174),"Y","N")</f>
        <v>N</v>
      </c>
      <c r="M174" t="str">
        <f t="shared" si="8"/>
        <v>Y</v>
      </c>
    </row>
    <row r="175" spans="2:13">
      <c r="B175" s="92" t="s">
        <v>113</v>
      </c>
      <c r="C175" s="92" t="s">
        <v>530</v>
      </c>
      <c r="D175" s="92" t="s">
        <v>949</v>
      </c>
      <c r="E175" s="92" t="str">
        <f t="shared" si="7"/>
        <v>PROTECTIONBLDNG_AR</v>
      </c>
      <c r="F175" s="90" t="s">
        <v>115</v>
      </c>
      <c r="G175" t="s">
        <v>29</v>
      </c>
      <c r="H175" t="s">
        <v>735</v>
      </c>
      <c r="I175" t="s">
        <v>683</v>
      </c>
      <c r="J175" t="s">
        <v>683</v>
      </c>
      <c r="K175" t="s">
        <v>686</v>
      </c>
      <c r="L175" t="str">
        <f>+IF(IFERROR(VLOOKUP(CONCATENATE(F175,H175),'2. Script '!A:A,1,FALSE),"#")=CONCATENATE(F175,H175),"Y","N")</f>
        <v>N</v>
      </c>
      <c r="M175" t="str">
        <f t="shared" si="8"/>
        <v>N</v>
      </c>
    </row>
    <row r="176" spans="2:13">
      <c r="B176" s="92" t="s">
        <v>113</v>
      </c>
      <c r="C176" s="92" t="s">
        <v>531</v>
      </c>
      <c r="D176" s="92" t="s">
        <v>950</v>
      </c>
      <c r="E176" s="92" t="str">
        <f t="shared" si="7"/>
        <v>PROTECTIONRL_ESTT_CRTFCTN</v>
      </c>
      <c r="F176" s="90" t="s">
        <v>115</v>
      </c>
      <c r="G176" t="s">
        <v>29</v>
      </c>
      <c r="H176" t="s">
        <v>736</v>
      </c>
      <c r="I176" t="s">
        <v>683</v>
      </c>
      <c r="J176" t="s">
        <v>683</v>
      </c>
      <c r="K176" t="s">
        <v>679</v>
      </c>
      <c r="L176" t="str">
        <f>+IF(IFERROR(VLOOKUP(CONCATENATE(F176,H176),'2. Script '!A:A,1,FALSE),"#")=CONCATENATE(F176,H176),"Y","N")</f>
        <v>N</v>
      </c>
      <c r="M176" t="str">
        <f t="shared" si="8"/>
        <v>N</v>
      </c>
    </row>
    <row r="177" spans="2:13">
      <c r="B177" s="92" t="s">
        <v>114</v>
      </c>
      <c r="C177" s="92" t="s">
        <v>319</v>
      </c>
      <c r="D177" s="92" t="s">
        <v>951</v>
      </c>
      <c r="E177" s="92" t="str">
        <f t="shared" si="7"/>
        <v>PROTECTIONTYP_VHCL</v>
      </c>
      <c r="F177" s="90" t="s">
        <v>115</v>
      </c>
      <c r="G177" t="s">
        <v>29</v>
      </c>
      <c r="H177" t="s">
        <v>737</v>
      </c>
      <c r="I177" t="s">
        <v>681</v>
      </c>
      <c r="J177" t="s">
        <v>684</v>
      </c>
      <c r="K177" t="s">
        <v>685</v>
      </c>
      <c r="L177" t="str">
        <f>+IF(IFERROR(VLOOKUP(CONCATENATE(F177,H177),'2. Script '!A:A,1,FALSE),"#")=CONCATENATE(F177,H177),"Y","N")</f>
        <v>N</v>
      </c>
      <c r="M177" t="str">
        <f t="shared" si="8"/>
        <v>N</v>
      </c>
    </row>
    <row r="178" spans="2:13">
      <c r="B178" s="92" t="s">
        <v>114</v>
      </c>
      <c r="C178" s="92" t="s">
        <v>104</v>
      </c>
      <c r="D178" s="92" t="s">
        <v>753</v>
      </c>
      <c r="E178" s="92" t="str">
        <f t="shared" si="7"/>
        <v>PROTECTIONDT_RGSTRTN</v>
      </c>
      <c r="F178" s="90" t="s">
        <v>115</v>
      </c>
      <c r="G178" t="s">
        <v>29</v>
      </c>
      <c r="H178" t="s">
        <v>738</v>
      </c>
      <c r="I178" t="s">
        <v>683</v>
      </c>
      <c r="J178" t="s">
        <v>683</v>
      </c>
      <c r="K178" t="s">
        <v>679</v>
      </c>
      <c r="L178" t="str">
        <f>+IF(IFERROR(VLOOKUP(CONCATENATE(F178,H178),'2. Script '!A:A,1,FALSE),"#")=CONCATENATE(F178,H178),"Y","N")</f>
        <v>N</v>
      </c>
      <c r="M178" t="str">
        <f t="shared" si="8"/>
        <v>N</v>
      </c>
    </row>
    <row r="179" spans="2:13">
      <c r="B179" s="92" t="s">
        <v>114</v>
      </c>
      <c r="C179" s="92" t="s">
        <v>381</v>
      </c>
      <c r="D179" s="92" t="s">
        <v>952</v>
      </c>
      <c r="E179" s="92" t="str">
        <f t="shared" si="7"/>
        <v>PROTECTIONPRMRY_ENRGY_DMND_NN_RNWBL</v>
      </c>
      <c r="F179" s="90" t="s">
        <v>115</v>
      </c>
      <c r="G179" t="s">
        <v>29</v>
      </c>
      <c r="H179" t="s">
        <v>739</v>
      </c>
      <c r="I179" t="s">
        <v>683</v>
      </c>
      <c r="J179" t="s">
        <v>683</v>
      </c>
      <c r="K179" t="s">
        <v>686</v>
      </c>
      <c r="L179" t="str">
        <f>+IF(IFERROR(VLOOKUP(CONCATENATE(F179,H179),'2. Script '!A:A,1,FALSE),"#")=CONCATENATE(F179,H179),"Y","N")</f>
        <v>N</v>
      </c>
      <c r="M179" t="str">
        <f t="shared" si="8"/>
        <v>N</v>
      </c>
    </row>
    <row r="180" spans="2:13">
      <c r="B180" s="92" t="s">
        <v>114</v>
      </c>
      <c r="C180" s="92" t="s">
        <v>350</v>
      </c>
      <c r="D180" s="92" t="s">
        <v>953</v>
      </c>
      <c r="E180" s="92" t="str">
        <f t="shared" si="7"/>
        <v>PROTECTIONPRMRY_ENRGY_DMND_TTL</v>
      </c>
      <c r="F180" s="90" t="s">
        <v>115</v>
      </c>
      <c r="G180" t="s">
        <v>29</v>
      </c>
      <c r="H180" t="s">
        <v>740</v>
      </c>
      <c r="I180" t="s">
        <v>683</v>
      </c>
      <c r="J180" t="s">
        <v>684</v>
      </c>
      <c r="K180" t="s">
        <v>685</v>
      </c>
      <c r="L180" t="str">
        <f>+IF(IFERROR(VLOOKUP(CONCATENATE(F180,H180),'2. Script '!A:A,1,FALSE),"#")=CONCATENATE(F180,H180),"Y","N")</f>
        <v>N</v>
      </c>
      <c r="M180" t="str">
        <f t="shared" si="8"/>
        <v>N</v>
      </c>
    </row>
    <row r="181" spans="2:13">
      <c r="B181" s="92" t="s">
        <v>114</v>
      </c>
      <c r="C181" s="92" t="s">
        <v>382</v>
      </c>
      <c r="D181" s="92" t="s">
        <v>954</v>
      </c>
      <c r="E181" s="92" t="str">
        <f t="shared" si="7"/>
        <v>PROTECTIONPRMRY_ENRGY_DMND_RFRNC_VL</v>
      </c>
      <c r="F181" s="90" t="s">
        <v>115</v>
      </c>
      <c r="G181" t="s">
        <v>29</v>
      </c>
      <c r="H181" t="s">
        <v>741</v>
      </c>
      <c r="I181" t="s">
        <v>683</v>
      </c>
      <c r="J181" t="s">
        <v>684</v>
      </c>
      <c r="K181" t="s">
        <v>685</v>
      </c>
      <c r="L181" t="str">
        <f>+IF(IFERROR(VLOOKUP(CONCATENATE(F181,H181),'2. Script '!A:A,1,FALSE),"#")=CONCATENATE(F181,H181),"Y","N")</f>
        <v>N</v>
      </c>
      <c r="M181" t="str">
        <f t="shared" si="8"/>
        <v>N</v>
      </c>
    </row>
    <row r="182" spans="2:13">
      <c r="B182" s="92" t="s">
        <v>114</v>
      </c>
      <c r="C182" s="92" t="s">
        <v>351</v>
      </c>
      <c r="D182" s="92" t="s">
        <v>955</v>
      </c>
      <c r="E182" s="92" t="str">
        <f t="shared" si="7"/>
        <v>PROTECTIONRL_ESTT_CLMT_ZN</v>
      </c>
      <c r="F182" s="90" t="s">
        <v>115</v>
      </c>
      <c r="G182" t="s">
        <v>29</v>
      </c>
      <c r="H182" t="s">
        <v>742</v>
      </c>
      <c r="I182" t="s">
        <v>683</v>
      </c>
      <c r="J182" t="s">
        <v>684</v>
      </c>
      <c r="K182" t="s">
        <v>685</v>
      </c>
      <c r="L182" t="str">
        <f>+IF(IFERROR(VLOOKUP(CONCATENATE(F182,H182),'2. Script '!A:A,1,FALSE),"#")=CONCATENATE(F182,H182),"Y","N")</f>
        <v>N</v>
      </c>
      <c r="M182" t="str">
        <f t="shared" si="8"/>
        <v>N</v>
      </c>
    </row>
    <row r="183" spans="2:13">
      <c r="B183" s="92" t="s">
        <v>114</v>
      </c>
      <c r="C183" s="92" t="s">
        <v>352</v>
      </c>
      <c r="D183" s="92" t="s">
        <v>956</v>
      </c>
      <c r="E183" s="92" t="str">
        <f t="shared" si="7"/>
        <v>PROTECTIONflg_col</v>
      </c>
      <c r="F183" s="90" t="s">
        <v>115</v>
      </c>
      <c r="G183" t="s">
        <v>29</v>
      </c>
      <c r="H183" t="s">
        <v>671</v>
      </c>
      <c r="I183" t="s">
        <v>723</v>
      </c>
      <c r="J183" t="s">
        <v>723</v>
      </c>
      <c r="L183" t="str">
        <f>+IF(IFERROR(VLOOKUP(CONCATENATE(F183,H183),'2. Script '!A:A,1,FALSE),"#")=CONCATENATE(F183,H183),"Y","N")</f>
        <v>N</v>
      </c>
      <c r="M183" t="str">
        <f t="shared" si="8"/>
        <v>N</v>
      </c>
    </row>
    <row r="184" spans="2:13">
      <c r="B184" s="92" t="s">
        <v>114</v>
      </c>
      <c r="C184" s="92" t="s">
        <v>353</v>
      </c>
      <c r="D184" s="92" t="s">
        <v>957</v>
      </c>
      <c r="E184" s="92" t="str">
        <f t="shared" si="7"/>
        <v>PROTECTIONflg_pro</v>
      </c>
      <c r="F184" s="90" t="s">
        <v>115</v>
      </c>
      <c r="G184" t="s">
        <v>29</v>
      </c>
      <c r="H184" t="s">
        <v>672</v>
      </c>
      <c r="I184" t="s">
        <v>723</v>
      </c>
      <c r="J184" t="s">
        <v>723</v>
      </c>
      <c r="L184" t="str">
        <f>+IF(IFERROR(VLOOKUP(CONCATENATE(F184,H184),'2. Script '!A:A,1,FALSE),"#")=CONCATENATE(F184,H184),"Y","N")</f>
        <v>N</v>
      </c>
      <c r="M184" t="str">
        <f t="shared" si="8"/>
        <v>N</v>
      </c>
    </row>
    <row r="185" spans="2:13">
      <c r="B185" s="92" t="s">
        <v>114</v>
      </c>
      <c r="C185" s="92" t="s">
        <v>100</v>
      </c>
      <c r="D185" s="92" t="s">
        <v>746</v>
      </c>
      <c r="E185" s="92"/>
    </row>
    <row r="186" spans="2:13">
      <c r="B186" s="92" t="s">
        <v>114</v>
      </c>
      <c r="C186" s="92" t="s">
        <v>96</v>
      </c>
      <c r="D186" s="92" t="s">
        <v>745</v>
      </c>
      <c r="E186" s="92"/>
    </row>
    <row r="187" spans="2:13">
      <c r="B187" s="92" t="s">
        <v>114</v>
      </c>
      <c r="C187" s="92" t="s">
        <v>320</v>
      </c>
      <c r="D187" s="92" t="s">
        <v>958</v>
      </c>
      <c r="E187" s="92"/>
    </row>
    <row r="188" spans="2:13">
      <c r="B188" s="92" t="s">
        <v>114</v>
      </c>
      <c r="C188" s="92" t="s">
        <v>354</v>
      </c>
      <c r="D188" s="92" t="s">
        <v>959</v>
      </c>
      <c r="E188" s="92"/>
    </row>
    <row r="189" spans="2:13">
      <c r="B189" s="92" t="s">
        <v>114</v>
      </c>
      <c r="C189" s="92" t="s">
        <v>355</v>
      </c>
      <c r="D189" s="92" t="s">
        <v>960</v>
      </c>
      <c r="E189" s="92"/>
    </row>
    <row r="190" spans="2:13">
      <c r="B190" s="92" t="s">
        <v>114</v>
      </c>
      <c r="C190" s="92" t="s">
        <v>373</v>
      </c>
      <c r="D190" s="92" t="s">
        <v>961</v>
      </c>
      <c r="E190" s="92"/>
    </row>
    <row r="191" spans="2:13">
      <c r="B191" s="92" t="s">
        <v>114</v>
      </c>
      <c r="C191" s="92" t="s">
        <v>374</v>
      </c>
      <c r="D191" s="92" t="s">
        <v>962</v>
      </c>
      <c r="E191" s="92"/>
    </row>
    <row r="192" spans="2:13">
      <c r="B192" s="92" t="s">
        <v>114</v>
      </c>
      <c r="C192" s="92" t="s">
        <v>375</v>
      </c>
      <c r="D192" s="92" t="s">
        <v>963</v>
      </c>
      <c r="E192" s="92"/>
    </row>
    <row r="193" spans="2:5">
      <c r="B193" s="92" t="s">
        <v>114</v>
      </c>
      <c r="C193" s="92" t="s">
        <v>376</v>
      </c>
      <c r="D193" s="92" t="s">
        <v>964</v>
      </c>
      <c r="E193" s="92"/>
    </row>
    <row r="194" spans="2:5">
      <c r="B194" s="92" t="s">
        <v>114</v>
      </c>
      <c r="C194" s="92" t="s">
        <v>321</v>
      </c>
      <c r="D194" s="92" t="s">
        <v>965</v>
      </c>
      <c r="E194" s="92"/>
    </row>
    <row r="195" spans="2:5">
      <c r="B195" s="92" t="s">
        <v>114</v>
      </c>
      <c r="C195" s="92" t="s">
        <v>322</v>
      </c>
      <c r="D195" s="92" t="s">
        <v>966</v>
      </c>
      <c r="E195" s="92"/>
    </row>
    <row r="196" spans="2:5">
      <c r="B196" s="92" t="s">
        <v>114</v>
      </c>
      <c r="C196" s="92" t="s">
        <v>307</v>
      </c>
      <c r="D196" s="92" t="s">
        <v>967</v>
      </c>
      <c r="E196" s="92"/>
    </row>
    <row r="197" spans="2:5">
      <c r="B197" s="92" t="s">
        <v>114</v>
      </c>
      <c r="C197" s="92" t="s">
        <v>308</v>
      </c>
      <c r="D197" s="92" t="s">
        <v>968</v>
      </c>
      <c r="E197" s="92"/>
    </row>
    <row r="198" spans="2:5">
      <c r="B198" s="92" t="s">
        <v>114</v>
      </c>
      <c r="C198" s="92" t="s">
        <v>323</v>
      </c>
      <c r="D198" s="92" t="s">
        <v>969</v>
      </c>
      <c r="E198" s="92"/>
    </row>
    <row r="199" spans="2:5">
      <c r="B199" s="92" t="s">
        <v>114</v>
      </c>
      <c r="C199" s="92" t="s">
        <v>309</v>
      </c>
      <c r="D199" s="92" t="s">
        <v>970</v>
      </c>
      <c r="E199" s="92"/>
    </row>
    <row r="200" spans="2:5">
      <c r="B200" s="92" t="s">
        <v>114</v>
      </c>
      <c r="C200" s="92" t="s">
        <v>310</v>
      </c>
      <c r="D200" s="92" t="s">
        <v>971</v>
      </c>
      <c r="E200" s="92"/>
    </row>
    <row r="201" spans="2:5">
      <c r="B201" s="92" t="s">
        <v>114</v>
      </c>
      <c r="C201" s="92" t="s">
        <v>324</v>
      </c>
      <c r="D201" s="92" t="s">
        <v>972</v>
      </c>
      <c r="E201" s="92"/>
    </row>
    <row r="202" spans="2:5">
      <c r="B202" s="92" t="s">
        <v>114</v>
      </c>
      <c r="C202" s="92" t="s">
        <v>311</v>
      </c>
      <c r="D202" s="92" t="s">
        <v>973</v>
      </c>
      <c r="E202" s="92"/>
    </row>
    <row r="203" spans="2:5">
      <c r="B203" s="92" t="s">
        <v>114</v>
      </c>
      <c r="C203" s="92" t="s">
        <v>312</v>
      </c>
      <c r="D203" s="92" t="s">
        <v>974</v>
      </c>
      <c r="E203" s="92"/>
    </row>
    <row r="204" spans="2:5">
      <c r="B204" s="92" t="s">
        <v>114</v>
      </c>
      <c r="C204" s="92" t="s">
        <v>580</v>
      </c>
      <c r="D204" s="92" t="s">
        <v>747</v>
      </c>
      <c r="E204" s="92"/>
    </row>
    <row r="205" spans="2:5">
      <c r="B205" s="92" t="s">
        <v>114</v>
      </c>
      <c r="C205" s="92" t="s">
        <v>356</v>
      </c>
      <c r="D205" s="92" t="s">
        <v>975</v>
      </c>
      <c r="E205" s="92"/>
    </row>
    <row r="206" spans="2:5">
      <c r="B206" s="92" t="s">
        <v>114</v>
      </c>
      <c r="C206" s="92" t="s">
        <v>357</v>
      </c>
      <c r="D206" s="92" t="s">
        <v>976</v>
      </c>
      <c r="E206" s="92"/>
    </row>
    <row r="207" spans="2:5">
      <c r="B207" s="92" t="s">
        <v>114</v>
      </c>
      <c r="C207" s="92" t="s">
        <v>385</v>
      </c>
      <c r="D207" s="92" t="s">
        <v>977</v>
      </c>
      <c r="E207" s="92"/>
    </row>
    <row r="208" spans="2:5">
      <c r="B208" s="92" t="s">
        <v>114</v>
      </c>
      <c r="C208" s="92" t="s">
        <v>386</v>
      </c>
      <c r="D208" s="92" t="s">
        <v>757</v>
      </c>
      <c r="E208" s="92"/>
    </row>
    <row r="209" spans="2:5">
      <c r="B209" s="92" t="s">
        <v>114</v>
      </c>
      <c r="C209" s="92" t="s">
        <v>102</v>
      </c>
      <c r="D209" s="92" t="s">
        <v>751</v>
      </c>
      <c r="E209" s="92"/>
    </row>
    <row r="210" spans="2:5">
      <c r="B210" s="92" t="s">
        <v>114</v>
      </c>
      <c r="C210" s="92" t="s">
        <v>326</v>
      </c>
      <c r="D210" s="92" t="s">
        <v>978</v>
      </c>
      <c r="E210" s="92"/>
    </row>
    <row r="211" spans="2:5">
      <c r="B211" s="92" t="s">
        <v>114</v>
      </c>
      <c r="C211" s="92" t="s">
        <v>325</v>
      </c>
      <c r="D211" s="92" t="s">
        <v>979</v>
      </c>
      <c r="E211" s="92"/>
    </row>
    <row r="212" spans="2:5">
      <c r="B212" s="92" t="s">
        <v>114</v>
      </c>
      <c r="C212" s="92" t="s">
        <v>327</v>
      </c>
      <c r="D212" s="92" t="s">
        <v>980</v>
      </c>
      <c r="E212" s="92"/>
    </row>
    <row r="213" spans="2:5">
      <c r="B213" s="92" t="s">
        <v>114</v>
      </c>
      <c r="C213" s="92" t="s">
        <v>581</v>
      </c>
      <c r="D213" s="92" t="s">
        <v>748</v>
      </c>
      <c r="E213" s="92"/>
    </row>
    <row r="214" spans="2:5">
      <c r="B214" s="92" t="s">
        <v>114</v>
      </c>
      <c r="C214" s="92" t="s">
        <v>317</v>
      </c>
      <c r="D214" s="92" t="s">
        <v>750</v>
      </c>
      <c r="E214" s="92"/>
    </row>
    <row r="215" spans="2:5">
      <c r="B215" s="92" t="s">
        <v>114</v>
      </c>
      <c r="C215" s="92" t="s">
        <v>105</v>
      </c>
      <c r="D215" s="92" t="s">
        <v>754</v>
      </c>
      <c r="E215" s="92"/>
    </row>
    <row r="216" spans="2:5">
      <c r="B216" s="92" t="s">
        <v>114</v>
      </c>
      <c r="C216" s="92" t="s">
        <v>358</v>
      </c>
      <c r="D216" s="92" t="s">
        <v>981</v>
      </c>
      <c r="E216" s="92"/>
    </row>
    <row r="217" spans="2:5">
      <c r="B217" s="92" t="s">
        <v>114</v>
      </c>
      <c r="C217" s="92" t="s">
        <v>328</v>
      </c>
      <c r="D217" s="92" t="s">
        <v>982</v>
      </c>
      <c r="E217" s="92"/>
    </row>
    <row r="218" spans="2:5">
      <c r="B218" s="92" t="s">
        <v>114</v>
      </c>
      <c r="C218" s="92" t="s">
        <v>318</v>
      </c>
      <c r="D218" s="92" t="s">
        <v>983</v>
      </c>
      <c r="E218" s="92"/>
    </row>
    <row r="219" spans="2:5">
      <c r="B219" s="92" t="s">
        <v>114</v>
      </c>
      <c r="C219" s="92" t="s">
        <v>329</v>
      </c>
      <c r="D219" s="92" t="s">
        <v>984</v>
      </c>
      <c r="E219" s="92"/>
    </row>
    <row r="220" spans="2:5">
      <c r="B220" s="92" t="s">
        <v>114</v>
      </c>
      <c r="C220" s="92" t="s">
        <v>330</v>
      </c>
      <c r="D220" s="92" t="s">
        <v>985</v>
      </c>
      <c r="E220" s="92"/>
    </row>
    <row r="221" spans="2:5">
      <c r="B221" s="92" t="s">
        <v>114</v>
      </c>
      <c r="C221" s="92" t="s">
        <v>331</v>
      </c>
      <c r="D221" s="92" t="s">
        <v>986</v>
      </c>
      <c r="E221" s="92"/>
    </row>
    <row r="222" spans="2:5">
      <c r="B222" s="92" t="s">
        <v>114</v>
      </c>
      <c r="C222" s="92" t="s">
        <v>332</v>
      </c>
      <c r="D222" s="92" t="s">
        <v>987</v>
      </c>
      <c r="E222" s="92"/>
    </row>
    <row r="223" spans="2:5">
      <c r="B223" s="92" t="s">
        <v>114</v>
      </c>
      <c r="C223" s="92" t="s">
        <v>333</v>
      </c>
      <c r="D223" s="92" t="s">
        <v>988</v>
      </c>
      <c r="E223" s="92"/>
    </row>
    <row r="224" spans="2:5">
      <c r="B224" s="92" t="s">
        <v>114</v>
      </c>
      <c r="C224" s="92" t="s">
        <v>334</v>
      </c>
      <c r="D224" s="92" t="s">
        <v>989</v>
      </c>
      <c r="E224" s="92"/>
    </row>
    <row r="225" spans="2:5">
      <c r="B225" s="92" t="s">
        <v>114</v>
      </c>
      <c r="C225" s="92" t="s">
        <v>335</v>
      </c>
      <c r="D225" s="92" t="s">
        <v>990</v>
      </c>
      <c r="E225" s="92"/>
    </row>
    <row r="226" spans="2:5">
      <c r="B226" s="92" t="s">
        <v>114</v>
      </c>
      <c r="C226" s="92" t="s">
        <v>336</v>
      </c>
      <c r="D226" s="92" t="s">
        <v>991</v>
      </c>
      <c r="E226" s="92"/>
    </row>
    <row r="227" spans="2:5">
      <c r="B227" s="92" t="s">
        <v>114</v>
      </c>
      <c r="C227" s="92" t="s">
        <v>337</v>
      </c>
      <c r="D227" s="92" t="s">
        <v>992</v>
      </c>
      <c r="E227" s="92"/>
    </row>
    <row r="228" spans="2:5">
      <c r="B228" s="92" t="s">
        <v>114</v>
      </c>
      <c r="C228" s="92" t="s">
        <v>388</v>
      </c>
      <c r="D228" s="92" t="s">
        <v>993</v>
      </c>
      <c r="E228" s="92"/>
    </row>
    <row r="229" spans="2:5">
      <c r="B229" s="92" t="s">
        <v>114</v>
      </c>
      <c r="C229" s="92" t="s">
        <v>389</v>
      </c>
      <c r="D229" s="92" t="s">
        <v>994</v>
      </c>
      <c r="E229" s="92"/>
    </row>
    <row r="230" spans="2:5">
      <c r="B230" s="92" t="s">
        <v>114</v>
      </c>
      <c r="C230" s="92" t="s">
        <v>390</v>
      </c>
      <c r="D230" s="92" t="s">
        <v>995</v>
      </c>
      <c r="E230" s="92"/>
    </row>
    <row r="231" spans="2:5">
      <c r="B231" s="92" t="s">
        <v>114</v>
      </c>
      <c r="C231" s="92" t="s">
        <v>391</v>
      </c>
      <c r="D231" s="92" t="s">
        <v>996</v>
      </c>
      <c r="E231" s="92"/>
    </row>
    <row r="232" spans="2:5">
      <c r="B232" s="92" t="s">
        <v>114</v>
      </c>
      <c r="C232" s="92" t="s">
        <v>313</v>
      </c>
      <c r="D232" s="92" t="s">
        <v>997</v>
      </c>
      <c r="E232" s="92"/>
    </row>
    <row r="233" spans="2:5">
      <c r="B233" s="92" t="s">
        <v>114</v>
      </c>
      <c r="C233" s="92" t="s">
        <v>314</v>
      </c>
      <c r="D233" s="92" t="s">
        <v>998</v>
      </c>
      <c r="E233" s="92"/>
    </row>
    <row r="234" spans="2:5">
      <c r="B234" s="92" t="s">
        <v>114</v>
      </c>
      <c r="C234" s="92" t="s">
        <v>359</v>
      </c>
      <c r="D234" s="92" t="s">
        <v>999</v>
      </c>
      <c r="E234" s="92"/>
    </row>
    <row r="235" spans="2:5">
      <c r="B235" s="92" t="s">
        <v>114</v>
      </c>
      <c r="C235" s="92" t="s">
        <v>360</v>
      </c>
      <c r="D235" s="92" t="s">
        <v>1000</v>
      </c>
      <c r="E235" s="92"/>
    </row>
    <row r="236" spans="2:5">
      <c r="B236" s="92" t="s">
        <v>114</v>
      </c>
      <c r="C236" s="92" t="s">
        <v>348</v>
      </c>
      <c r="D236" s="92" t="s">
        <v>1001</v>
      </c>
      <c r="E236" s="92"/>
    </row>
    <row r="237" spans="2:5">
      <c r="B237" s="92" t="s">
        <v>114</v>
      </c>
      <c r="C237" s="92" t="s">
        <v>103</v>
      </c>
      <c r="D237" s="92" t="s">
        <v>752</v>
      </c>
      <c r="E237" s="92"/>
    </row>
    <row r="238" spans="2:5">
      <c r="B238" s="92" t="s">
        <v>114</v>
      </c>
      <c r="C238" s="92" t="s">
        <v>349</v>
      </c>
      <c r="D238" s="92" t="s">
        <v>1002</v>
      </c>
      <c r="E238" s="92"/>
    </row>
    <row r="239" spans="2:5">
      <c r="B239" s="92" t="s">
        <v>114</v>
      </c>
      <c r="C239" s="92" t="s">
        <v>106</v>
      </c>
      <c r="D239" s="92" t="s">
        <v>755</v>
      </c>
      <c r="E239" s="92"/>
    </row>
    <row r="240" spans="2:5">
      <c r="B240" s="92" t="s">
        <v>114</v>
      </c>
      <c r="C240" s="92" t="s">
        <v>338</v>
      </c>
      <c r="D240" s="92" t="s">
        <v>1003</v>
      </c>
      <c r="E240" s="92"/>
    </row>
    <row r="241" spans="2:5">
      <c r="B241" s="92" t="s">
        <v>114</v>
      </c>
      <c r="C241" s="92" t="s">
        <v>339</v>
      </c>
      <c r="D241" s="92" t="s">
        <v>1004</v>
      </c>
      <c r="E241" s="92"/>
    </row>
    <row r="242" spans="2:5">
      <c r="B242" s="92" t="s">
        <v>114</v>
      </c>
      <c r="C242" s="92" t="s">
        <v>340</v>
      </c>
      <c r="D242" s="92" t="s">
        <v>1005</v>
      </c>
      <c r="E242" s="92"/>
    </row>
    <row r="243" spans="2:5">
      <c r="B243" s="92" t="s">
        <v>114</v>
      </c>
      <c r="C243" s="92" t="s">
        <v>315</v>
      </c>
      <c r="D243" s="92" t="s">
        <v>1006</v>
      </c>
      <c r="E243" s="92"/>
    </row>
    <row r="244" spans="2:5">
      <c r="B244" s="92" t="s">
        <v>114</v>
      </c>
      <c r="C244" s="92" t="s">
        <v>316</v>
      </c>
      <c r="D244" s="92" t="s">
        <v>1007</v>
      </c>
      <c r="E244" s="92"/>
    </row>
    <row r="245" spans="2:5">
      <c r="B245" s="92" t="s">
        <v>114</v>
      </c>
      <c r="C245" s="92" t="s">
        <v>101</v>
      </c>
      <c r="D245" s="92" t="s">
        <v>749</v>
      </c>
      <c r="E245" s="92"/>
    </row>
    <row r="246" spans="2:5">
      <c r="B246" s="92" t="s">
        <v>114</v>
      </c>
      <c r="C246" s="92" t="s">
        <v>341</v>
      </c>
      <c r="D246" s="92" t="s">
        <v>1008</v>
      </c>
      <c r="E246" s="92"/>
    </row>
    <row r="247" spans="2:5">
      <c r="B247" s="92" t="s">
        <v>114</v>
      </c>
      <c r="C247" s="92" t="s">
        <v>361</v>
      </c>
      <c r="D247" s="92" t="s">
        <v>1009</v>
      </c>
      <c r="E247" s="92"/>
    </row>
    <row r="248" spans="2:5">
      <c r="B248" s="92" t="s">
        <v>114</v>
      </c>
      <c r="C248" s="92" t="s">
        <v>362</v>
      </c>
      <c r="D248" s="92" t="s">
        <v>1010</v>
      </c>
      <c r="E248" s="92"/>
    </row>
    <row r="249" spans="2:5">
      <c r="B249" s="92" t="s">
        <v>114</v>
      </c>
      <c r="C249" s="92" t="s">
        <v>363</v>
      </c>
      <c r="D249" s="92" t="s">
        <v>1011</v>
      </c>
      <c r="E249" s="92"/>
    </row>
    <row r="250" spans="2:5">
      <c r="B250" s="92" t="s">
        <v>114</v>
      </c>
      <c r="C250" s="92" t="s">
        <v>364</v>
      </c>
      <c r="D250" s="92" t="s">
        <v>1012</v>
      </c>
      <c r="E250" s="92"/>
    </row>
    <row r="251" spans="2:5">
      <c r="B251" s="92" t="s">
        <v>114</v>
      </c>
      <c r="C251" s="92" t="s">
        <v>365</v>
      </c>
      <c r="D251" s="92" t="s">
        <v>1013</v>
      </c>
      <c r="E251" s="92"/>
    </row>
    <row r="252" spans="2:5">
      <c r="B252" s="92" t="s">
        <v>114</v>
      </c>
      <c r="C252" s="92" t="s">
        <v>366</v>
      </c>
      <c r="D252" s="92" t="s">
        <v>1014</v>
      </c>
      <c r="E252" s="92"/>
    </row>
    <row r="253" spans="2:5">
      <c r="B253" s="92" t="s">
        <v>114</v>
      </c>
      <c r="C253" s="92" t="s">
        <v>367</v>
      </c>
      <c r="D253" s="92" t="s">
        <v>1015</v>
      </c>
      <c r="E253" s="92"/>
    </row>
    <row r="254" spans="2:5">
      <c r="B254" s="92" t="s">
        <v>114</v>
      </c>
      <c r="C254" s="92" t="s">
        <v>368</v>
      </c>
      <c r="D254" s="92" t="s">
        <v>1016</v>
      </c>
      <c r="E254" s="92"/>
    </row>
    <row r="255" spans="2:5">
      <c r="B255" s="92" t="s">
        <v>114</v>
      </c>
      <c r="C255" s="92" t="s">
        <v>383</v>
      </c>
      <c r="D255" s="92" t="s">
        <v>1017</v>
      </c>
      <c r="E255" s="92"/>
    </row>
    <row r="256" spans="2:5">
      <c r="B256" s="92" t="s">
        <v>114</v>
      </c>
      <c r="C256" s="92" t="s">
        <v>342</v>
      </c>
      <c r="D256" s="92" t="s">
        <v>1018</v>
      </c>
      <c r="E256" s="92"/>
    </row>
    <row r="257" spans="2:5">
      <c r="B257" s="92" t="s">
        <v>114</v>
      </c>
      <c r="C257" s="92" t="s">
        <v>377</v>
      </c>
      <c r="D257" s="92" t="s">
        <v>1019</v>
      </c>
      <c r="E257" s="92"/>
    </row>
    <row r="258" spans="2:5">
      <c r="B258" s="92" t="s">
        <v>114</v>
      </c>
      <c r="C258" s="92" t="s">
        <v>384</v>
      </c>
      <c r="D258" s="92" t="s">
        <v>1020</v>
      </c>
      <c r="E258" s="92"/>
    </row>
    <row r="259" spans="2:5">
      <c r="B259" s="92" t="s">
        <v>114</v>
      </c>
      <c r="C259" s="92" t="s">
        <v>378</v>
      </c>
      <c r="D259" s="92" t="s">
        <v>1021</v>
      </c>
      <c r="E259" s="92"/>
    </row>
    <row r="260" spans="2:5">
      <c r="B260" s="92" t="s">
        <v>114</v>
      </c>
      <c r="C260" s="92" t="s">
        <v>379</v>
      </c>
      <c r="D260" s="92" t="s">
        <v>1022</v>
      </c>
      <c r="E260" s="92"/>
    </row>
    <row r="261" spans="2:5">
      <c r="B261" s="92" t="s">
        <v>114</v>
      </c>
      <c r="C261" s="92" t="s">
        <v>343</v>
      </c>
      <c r="D261" s="92" t="s">
        <v>1023</v>
      </c>
      <c r="E261" s="92"/>
    </row>
    <row r="262" spans="2:5">
      <c r="B262" s="92" t="s">
        <v>114</v>
      </c>
      <c r="C262" s="92" t="s">
        <v>387</v>
      </c>
      <c r="D262" s="92" t="s">
        <v>1024</v>
      </c>
      <c r="E262" s="92"/>
    </row>
    <row r="263" spans="2:5">
      <c r="B263" s="92" t="s">
        <v>114</v>
      </c>
      <c r="C263" s="92" t="s">
        <v>344</v>
      </c>
      <c r="D263" s="92" t="s">
        <v>1025</v>
      </c>
      <c r="E263" s="92"/>
    </row>
    <row r="264" spans="2:5">
      <c r="B264" s="92" t="s">
        <v>114</v>
      </c>
      <c r="C264" s="92" t="s">
        <v>345</v>
      </c>
      <c r="D264" s="92" t="s">
        <v>1026</v>
      </c>
      <c r="E264" s="92"/>
    </row>
    <row r="265" spans="2:5">
      <c r="B265" s="92" t="s">
        <v>114</v>
      </c>
      <c r="C265" s="92" t="s">
        <v>347</v>
      </c>
      <c r="D265" s="92" t="s">
        <v>1027</v>
      </c>
      <c r="E265" s="92"/>
    </row>
    <row r="266" spans="2:5">
      <c r="B266" s="92" t="s">
        <v>114</v>
      </c>
      <c r="C266" s="92" t="s">
        <v>380</v>
      </c>
      <c r="D266" s="92" t="s">
        <v>1028</v>
      </c>
      <c r="E266" s="92"/>
    </row>
    <row r="267" spans="2:5">
      <c r="B267" s="92" t="s">
        <v>114</v>
      </c>
      <c r="C267" s="92" t="s">
        <v>107</v>
      </c>
      <c r="D267" s="92" t="s">
        <v>756</v>
      </c>
      <c r="E267" s="92"/>
    </row>
    <row r="268" spans="2:5">
      <c r="B268" s="92" t="s">
        <v>114</v>
      </c>
      <c r="C268" s="92" t="s">
        <v>369</v>
      </c>
      <c r="D268" s="92" t="s">
        <v>1029</v>
      </c>
      <c r="E268" s="92"/>
    </row>
    <row r="269" spans="2:5">
      <c r="B269" s="92" t="s">
        <v>114</v>
      </c>
      <c r="C269" s="92" t="s">
        <v>370</v>
      </c>
      <c r="D269" s="92" t="s">
        <v>1030</v>
      </c>
      <c r="E269" s="92"/>
    </row>
    <row r="270" spans="2:5">
      <c r="B270" s="92" t="s">
        <v>114</v>
      </c>
      <c r="C270" s="92" t="s">
        <v>371</v>
      </c>
      <c r="D270" s="92" t="s">
        <v>1031</v>
      </c>
      <c r="E270" s="92"/>
    </row>
    <row r="271" spans="2:5">
      <c r="B271" s="92" t="s">
        <v>114</v>
      </c>
      <c r="C271" s="92" t="s">
        <v>372</v>
      </c>
      <c r="D271" s="92" t="s">
        <v>1032</v>
      </c>
      <c r="E271" s="92"/>
    </row>
    <row r="272" spans="2:5">
      <c r="B272" s="92" t="s">
        <v>114</v>
      </c>
      <c r="C272" s="92" t="s">
        <v>346</v>
      </c>
      <c r="D272" s="92" t="s">
        <v>1033</v>
      </c>
      <c r="E272" s="92"/>
    </row>
    <row r="273" spans="2:5">
      <c r="B273" s="92" t="s">
        <v>115</v>
      </c>
      <c r="C273" s="92" t="s">
        <v>557</v>
      </c>
      <c r="D273" s="92" t="s">
        <v>1034</v>
      </c>
      <c r="E273" s="92"/>
    </row>
    <row r="274" spans="2:5">
      <c r="B274" s="92" t="s">
        <v>115</v>
      </c>
      <c r="C274" s="92" t="s">
        <v>558</v>
      </c>
      <c r="D274" s="92" t="s">
        <v>1035</v>
      </c>
      <c r="E274" s="92"/>
    </row>
    <row r="275" spans="2:5">
      <c r="B275" s="92" t="s">
        <v>115</v>
      </c>
      <c r="C275" s="92" t="s">
        <v>567</v>
      </c>
      <c r="D275" s="92" t="s">
        <v>1036</v>
      </c>
      <c r="E275" s="92"/>
    </row>
    <row r="276" spans="2:5">
      <c r="B276" s="92" t="s">
        <v>115</v>
      </c>
      <c r="C276" s="92" t="s">
        <v>96</v>
      </c>
      <c r="D276" s="92" t="s">
        <v>790</v>
      </c>
      <c r="E276" s="92"/>
    </row>
    <row r="277" spans="2:5">
      <c r="B277" s="92" t="s">
        <v>115</v>
      </c>
      <c r="C277" s="92" t="s">
        <v>573</v>
      </c>
      <c r="D277" s="92" t="s">
        <v>1037</v>
      </c>
      <c r="E277" s="92"/>
    </row>
    <row r="278" spans="2:5">
      <c r="B278" s="92" t="s">
        <v>115</v>
      </c>
      <c r="C278" s="92" t="s">
        <v>574</v>
      </c>
      <c r="D278" s="92" t="s">
        <v>1038</v>
      </c>
      <c r="E278" s="92"/>
    </row>
    <row r="279" spans="2:5">
      <c r="B279" s="92" t="s">
        <v>115</v>
      </c>
      <c r="C279" s="92" t="s">
        <v>575</v>
      </c>
      <c r="D279" s="92" t="s">
        <v>1039</v>
      </c>
      <c r="E279" s="92"/>
    </row>
    <row r="280" spans="2:5">
      <c r="B280" s="92" t="s">
        <v>115</v>
      </c>
      <c r="C280" s="92" t="s">
        <v>565</v>
      </c>
      <c r="D280" s="92" t="s">
        <v>1040</v>
      </c>
      <c r="E280" s="92"/>
    </row>
    <row r="281" spans="2:5">
      <c r="B281" s="92" t="s">
        <v>115</v>
      </c>
      <c r="C281" s="92" t="s">
        <v>568</v>
      </c>
      <c r="D281" s="92" t="s">
        <v>1041</v>
      </c>
      <c r="E281" s="92"/>
    </row>
    <row r="282" spans="2:5">
      <c r="B282" s="92" t="s">
        <v>115</v>
      </c>
      <c r="C282" s="92" t="s">
        <v>569</v>
      </c>
      <c r="D282" s="92" t="s">
        <v>1042</v>
      </c>
      <c r="E282" s="92"/>
    </row>
    <row r="283" spans="2:5">
      <c r="B283" s="92" t="s">
        <v>115</v>
      </c>
      <c r="C283" s="92" t="s">
        <v>559</v>
      </c>
      <c r="D283" s="92" t="s">
        <v>1043</v>
      </c>
      <c r="E283" s="92"/>
    </row>
    <row r="284" spans="2:5">
      <c r="B284" s="92" t="s">
        <v>115</v>
      </c>
      <c r="C284" s="92" t="s">
        <v>547</v>
      </c>
      <c r="D284" s="92" t="s">
        <v>1044</v>
      </c>
      <c r="E284" s="92"/>
    </row>
    <row r="285" spans="2:5">
      <c r="B285" s="92" t="s">
        <v>115</v>
      </c>
      <c r="C285" s="92" t="s">
        <v>560</v>
      </c>
      <c r="D285" s="92" t="s">
        <v>1045</v>
      </c>
      <c r="E285" s="92"/>
    </row>
    <row r="286" spans="2:5">
      <c r="B286" s="92" t="s">
        <v>115</v>
      </c>
      <c r="C286" s="92" t="s">
        <v>561</v>
      </c>
      <c r="D286" s="92" t="s">
        <v>1046</v>
      </c>
      <c r="E286" s="92"/>
    </row>
    <row r="287" spans="2:5">
      <c r="B287" s="92" t="s">
        <v>115</v>
      </c>
      <c r="C287" s="92" t="s">
        <v>580</v>
      </c>
      <c r="D287" s="92" t="s">
        <v>791</v>
      </c>
      <c r="E287" s="92"/>
    </row>
    <row r="288" spans="2:5">
      <c r="B288" s="92" t="s">
        <v>115</v>
      </c>
      <c r="C288" s="92" t="s">
        <v>570</v>
      </c>
      <c r="D288" s="92" t="s">
        <v>1047</v>
      </c>
      <c r="E288" s="92"/>
    </row>
    <row r="289" spans="2:5">
      <c r="B289" s="92" t="s">
        <v>115</v>
      </c>
      <c r="C289" s="92" t="s">
        <v>553</v>
      </c>
      <c r="D289" s="92" t="s">
        <v>1048</v>
      </c>
      <c r="E289" s="92"/>
    </row>
    <row r="290" spans="2:5">
      <c r="B290" s="92" t="s">
        <v>115</v>
      </c>
      <c r="C290" s="92" t="s">
        <v>571</v>
      </c>
      <c r="D290" s="92" t="s">
        <v>1049</v>
      </c>
      <c r="E290" s="92"/>
    </row>
    <row r="291" spans="2:5">
      <c r="B291" s="92" t="s">
        <v>115</v>
      </c>
      <c r="C291" s="92" t="s">
        <v>548</v>
      </c>
      <c r="D291" s="92" t="s">
        <v>1050</v>
      </c>
      <c r="E291" s="92"/>
    </row>
    <row r="292" spans="2:5">
      <c r="B292" s="92" t="s">
        <v>115</v>
      </c>
      <c r="C292" s="92" t="s">
        <v>111</v>
      </c>
      <c r="D292" s="92" t="s">
        <v>796</v>
      </c>
      <c r="E292" s="92"/>
    </row>
    <row r="293" spans="2:5">
      <c r="B293" s="92" t="s">
        <v>115</v>
      </c>
      <c r="C293" s="92" t="s">
        <v>572</v>
      </c>
      <c r="D293" s="92" t="s">
        <v>1051</v>
      </c>
      <c r="E293" s="92"/>
    </row>
    <row r="294" spans="2:5">
      <c r="B294" s="92" t="s">
        <v>115</v>
      </c>
      <c r="C294" s="92" t="s">
        <v>554</v>
      </c>
      <c r="D294" s="92" t="s">
        <v>1052</v>
      </c>
      <c r="E294" s="92"/>
    </row>
    <row r="295" spans="2:5">
      <c r="B295" s="92" t="s">
        <v>115</v>
      </c>
      <c r="C295" s="92" t="s">
        <v>562</v>
      </c>
      <c r="D295" s="92" t="s">
        <v>1053</v>
      </c>
      <c r="E295" s="92"/>
    </row>
    <row r="296" spans="2:5">
      <c r="B296" s="92" t="s">
        <v>115</v>
      </c>
      <c r="C296" s="92" t="s">
        <v>583</v>
      </c>
      <c r="D296" s="92" t="s">
        <v>792</v>
      </c>
      <c r="E296" s="92"/>
    </row>
    <row r="297" spans="2:5">
      <c r="B297" s="92" t="s">
        <v>115</v>
      </c>
      <c r="C297" s="92" t="s">
        <v>549</v>
      </c>
      <c r="D297" s="92" t="s">
        <v>1054</v>
      </c>
      <c r="E297" s="92"/>
    </row>
    <row r="298" spans="2:5">
      <c r="B298" s="92" t="s">
        <v>115</v>
      </c>
      <c r="C298" s="92" t="s">
        <v>576</v>
      </c>
      <c r="D298" s="92" t="s">
        <v>1055</v>
      </c>
      <c r="E298" s="92"/>
    </row>
    <row r="299" spans="2:5">
      <c r="B299" s="92" t="s">
        <v>115</v>
      </c>
      <c r="C299" s="92" t="s">
        <v>112</v>
      </c>
      <c r="D299" s="92" t="s">
        <v>797</v>
      </c>
      <c r="E299" s="92"/>
    </row>
    <row r="300" spans="2:5">
      <c r="B300" s="92" t="s">
        <v>115</v>
      </c>
      <c r="C300" s="92" t="s">
        <v>563</v>
      </c>
      <c r="D300" s="92" t="s">
        <v>1056</v>
      </c>
      <c r="E300" s="92"/>
    </row>
    <row r="301" spans="2:5">
      <c r="B301" s="92" t="s">
        <v>115</v>
      </c>
      <c r="C301" s="92" t="s">
        <v>566</v>
      </c>
      <c r="D301" s="92" t="s">
        <v>1057</v>
      </c>
      <c r="E301" s="92"/>
    </row>
    <row r="302" spans="2:5">
      <c r="B302" s="92" t="s">
        <v>115</v>
      </c>
      <c r="C302" s="92" t="s">
        <v>564</v>
      </c>
      <c r="D302" s="92" t="s">
        <v>1058</v>
      </c>
      <c r="E302" s="92"/>
    </row>
    <row r="303" spans="2:5">
      <c r="B303" s="92" t="s">
        <v>115</v>
      </c>
      <c r="C303" s="92" t="s">
        <v>550</v>
      </c>
      <c r="D303" s="92" t="s">
        <v>1059</v>
      </c>
      <c r="E303" s="92"/>
    </row>
    <row r="304" spans="2:5">
      <c r="B304" s="92" t="s">
        <v>115</v>
      </c>
      <c r="C304" s="92" t="s">
        <v>108</v>
      </c>
      <c r="D304" s="92" t="s">
        <v>793</v>
      </c>
      <c r="E304" s="92"/>
    </row>
    <row r="305" spans="2:5">
      <c r="B305" s="92" t="s">
        <v>115</v>
      </c>
      <c r="C305" s="92" t="s">
        <v>551</v>
      </c>
      <c r="D305" s="92" t="s">
        <v>1060</v>
      </c>
      <c r="E305" s="92"/>
    </row>
    <row r="306" spans="2:5">
      <c r="B306" s="92" t="s">
        <v>115</v>
      </c>
      <c r="C306" s="92" t="s">
        <v>552</v>
      </c>
      <c r="D306" s="92" t="s">
        <v>1061</v>
      </c>
      <c r="E306" s="92"/>
    </row>
    <row r="307" spans="2:5">
      <c r="B307" s="92" t="s">
        <v>115</v>
      </c>
      <c r="C307" s="92" t="s">
        <v>109</v>
      </c>
      <c r="D307" s="92" t="s">
        <v>794</v>
      </c>
      <c r="E307" s="92"/>
    </row>
    <row r="308" spans="2:5">
      <c r="B308" s="92" t="s">
        <v>115</v>
      </c>
      <c r="C308" s="92" t="s">
        <v>380</v>
      </c>
      <c r="D308" s="92" t="s">
        <v>1062</v>
      </c>
      <c r="E308" s="92"/>
    </row>
    <row r="309" spans="2:5">
      <c r="B309" s="92" t="s">
        <v>115</v>
      </c>
      <c r="C309" s="92" t="s">
        <v>110</v>
      </c>
      <c r="D309" s="92" t="s">
        <v>795</v>
      </c>
      <c r="E309" s="92"/>
    </row>
    <row r="310" spans="2:5">
      <c r="B310" s="92" t="s">
        <v>115</v>
      </c>
      <c r="C310" s="92" t="s">
        <v>555</v>
      </c>
      <c r="D310" s="92" t="s">
        <v>1063</v>
      </c>
      <c r="E310" s="92"/>
    </row>
    <row r="311" spans="2:5">
      <c r="B311" s="92" t="s">
        <v>115</v>
      </c>
      <c r="C311" s="92" t="s">
        <v>556</v>
      </c>
      <c r="D311" s="92" t="s">
        <v>1064</v>
      </c>
      <c r="E311" s="92"/>
    </row>
    <row r="312" spans="2:5">
      <c r="B312" s="92" t="s">
        <v>115</v>
      </c>
      <c r="C312" s="92" t="s">
        <v>577</v>
      </c>
      <c r="D312" s="92" t="s">
        <v>798</v>
      </c>
      <c r="E312" s="92"/>
    </row>
    <row r="313" spans="2:5">
      <c r="B313" s="92" t="s">
        <v>304</v>
      </c>
      <c r="C313" s="92" t="s">
        <v>580</v>
      </c>
      <c r="D313" s="92" t="s">
        <v>759</v>
      </c>
      <c r="E313" s="92"/>
    </row>
    <row r="314" spans="2:5">
      <c r="B314" s="92" t="s">
        <v>304</v>
      </c>
      <c r="C314" s="92" t="s">
        <v>581</v>
      </c>
      <c r="D314" s="92" t="s">
        <v>760</v>
      </c>
      <c r="E314" s="92"/>
    </row>
    <row r="315" spans="2:5">
      <c r="B315" s="92" t="s">
        <v>304</v>
      </c>
      <c r="C315" s="92" t="s">
        <v>582</v>
      </c>
      <c r="D315" s="92" t="s">
        <v>761</v>
      </c>
      <c r="E315" s="92"/>
    </row>
    <row r="316" spans="2:5">
      <c r="B316" s="92" t="s">
        <v>304</v>
      </c>
      <c r="C316" s="92" t="s">
        <v>392</v>
      </c>
      <c r="D316" s="92" t="s">
        <v>1065</v>
      </c>
      <c r="E316" s="92"/>
    </row>
    <row r="317" spans="2:5">
      <c r="B317" s="92" t="s">
        <v>304</v>
      </c>
      <c r="C317" s="92" t="s">
        <v>96</v>
      </c>
      <c r="D317" s="92" t="s">
        <v>758</v>
      </c>
      <c r="E317" s="92"/>
    </row>
    <row r="318" spans="2:5">
      <c r="B318" s="92" t="s">
        <v>304</v>
      </c>
      <c r="C318" s="92" t="s">
        <v>393</v>
      </c>
      <c r="D318" s="92" t="s">
        <v>762</v>
      </c>
      <c r="E318" s="92"/>
    </row>
    <row r="319" spans="2:5">
      <c r="B319" s="92" t="s">
        <v>305</v>
      </c>
      <c r="C319" s="92" t="s">
        <v>580</v>
      </c>
      <c r="D319" s="92" t="s">
        <v>786</v>
      </c>
      <c r="E319" s="92"/>
    </row>
    <row r="320" spans="2:5">
      <c r="B320" s="92" t="s">
        <v>305</v>
      </c>
      <c r="C320" s="92" t="s">
        <v>582</v>
      </c>
      <c r="D320" s="92" t="s">
        <v>787</v>
      </c>
      <c r="E320" s="92"/>
    </row>
    <row r="321" spans="2:5">
      <c r="B321" s="92" t="s">
        <v>305</v>
      </c>
      <c r="C321" s="92" t="s">
        <v>583</v>
      </c>
      <c r="D321" s="92" t="s">
        <v>788</v>
      </c>
      <c r="E321" s="92"/>
    </row>
    <row r="322" spans="2:5">
      <c r="B322" s="92" t="s">
        <v>305</v>
      </c>
      <c r="C322" s="92" t="s">
        <v>545</v>
      </c>
      <c r="D322" s="92" t="s">
        <v>789</v>
      </c>
      <c r="E322" s="92"/>
    </row>
    <row r="323" spans="2:5">
      <c r="B323" s="92" t="s">
        <v>305</v>
      </c>
      <c r="C323" s="92" t="s">
        <v>546</v>
      </c>
      <c r="D323" s="92" t="s">
        <v>1066</v>
      </c>
      <c r="E323" s="92"/>
    </row>
    <row r="324" spans="2:5">
      <c r="B324" s="92" t="s">
        <v>305</v>
      </c>
      <c r="C324" s="92" t="s">
        <v>96</v>
      </c>
      <c r="D324" s="92" t="s">
        <v>785</v>
      </c>
      <c r="E324" s="92"/>
    </row>
  </sheetData>
  <autoFilter ref="B2:M324" xr:uid="{00000000-0009-0000-0000-00000A000000}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2B71A5-DCD0-44F6-AAD8-A549B6894D09}"/>
</file>

<file path=customXml/itemProps2.xml><?xml version="1.0" encoding="utf-8"?>
<ds:datastoreItem xmlns:ds="http://schemas.openxmlformats.org/officeDocument/2006/customXml" ds:itemID="{92245C61-0587-4AF4-B06E-A266858205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FCF67E-18A3-44F3-A5B4-709C46479FC7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0683c779-04fc-4b63-89c9-6c25ffa1c0a4"/>
    <ds:schemaRef ds:uri="http://schemas.openxmlformats.org/package/2006/metadata/core-properties"/>
    <ds:schemaRef ds:uri="6ea7b29d-57ec-408d-9ea9-cf73b04f66d5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0. Instruções</vt:lpstr>
      <vt:lpstr>1. Status</vt:lpstr>
      <vt:lpstr>2. Script </vt:lpstr>
      <vt:lpstr>3. Resultados &gt;&gt;</vt:lpstr>
      <vt:lpstr>ID1&amp;5</vt:lpstr>
      <vt:lpstr>ID6&amp;7</vt:lpstr>
      <vt:lpstr>4. Incidências &gt;&gt; </vt:lpstr>
      <vt:lpstr>ID1</vt:lpstr>
      <vt:lpstr>Input_GF</vt:lpstr>
      <vt:lpstr>Campos</vt:lpstr>
      <vt:lpstr>ANL_CAMPOS_PDS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Nuno Miguel Rocha Ferreira</cp:lastModifiedBy>
  <dcterms:created xsi:type="dcterms:W3CDTF">2024-10-18T20:46:00Z</dcterms:created>
  <dcterms:modified xsi:type="dcterms:W3CDTF">2026-01-16T18:16:23Z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2024-10-19T00:47:24Z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5e8aba04-4250-4b89-bbc0-81f0c39a1635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